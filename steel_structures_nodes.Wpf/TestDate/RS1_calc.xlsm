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ength\source\repos\HingedJoint\HingedJoint.Wpf\TestDate\"/>
    </mc:Choice>
  </mc:AlternateContent>
  <xr:revisionPtr revIDLastSave="0" documentId="13_ncr:1_{1D887CF6-C41C-4AE5-8BCF-37F4058AA540}" xr6:coauthVersionLast="47" xr6:coauthVersionMax="47" xr10:uidLastSave="{00000000-0000-0000-0000-000000000000}"/>
  <bookViews>
    <workbookView xWindow="-120" yWindow="-120" windowWidth="20730" windowHeight="11040" tabRatio="837" firstSheet="6" activeTab="14" xr2:uid="{00000000-000D-0000-FFFF-FFFF00000000}"/>
  </bookViews>
  <sheets>
    <sheet name="Проверка" sheetId="1" r:id="rId1"/>
    <sheet name="DCL(РСН)" sheetId="5" r:id="rId2"/>
    <sheet name="IDEA StatiCA" sheetId="44" r:id="rId3"/>
    <sheet name="Interaction" sheetId="3" r:id="rId4"/>
    <sheet name="Data" sheetId="4" r:id="rId5"/>
    <sheet name="H1,3-6" sheetId="10" r:id="rId6"/>
    <sheet name="B,BH,BSH" sheetId="45" r:id="rId7"/>
    <sheet name="H2" sheetId="8" r:id="rId8"/>
    <sheet name="H2SH" sheetId="36" r:id="rId9"/>
    <sheet name="H7,11" sheetId="21" r:id="rId10"/>
    <sheet name="H8-10" sheetId="22" r:id="rId11"/>
    <sheet name="H12" sheetId="26" r:id="rId12"/>
    <sheet name="H13" sheetId="42" r:id="rId13"/>
    <sheet name="H14" sheetId="43" r:id="rId14"/>
    <sheet name="S1,2" sheetId="12" r:id="rId15"/>
    <sheet name="S1Н,2H" sheetId="13" r:id="rId16"/>
    <sheet name="S3" sheetId="30" r:id="rId17"/>
    <sheet name="S4" sheetId="37" r:id="rId18"/>
    <sheet name="P1,2,6" sheetId="31" r:id="rId19"/>
    <sheet name="P3,4" sheetId="33" r:id="rId20"/>
    <sheet name="P5" sheetId="34" r:id="rId21"/>
    <sheet name="R1,2" sheetId="38" r:id="rId22"/>
    <sheet name="R3" sheetId="40" r:id="rId23"/>
    <sheet name="R4" sheetId="41" r:id="rId24"/>
  </sheets>
  <functionGroups builtInGroupCount="19"/>
  <definedNames>
    <definedName name="_B">'B,BH,BSH'!$C$2:$C$83</definedName>
    <definedName name="_BH">'B,BH,BSH'!$C$84:$C$165</definedName>
    <definedName name="_BSH">'B,BH,BSH'!$C$166:$C$171</definedName>
    <definedName name="_H1">'H1,3-6'!$C$3:$C$52</definedName>
    <definedName name="_H10">'H8-10'!$C$103:$C$144</definedName>
    <definedName name="_H11">Interaction!$B$271:$B$319</definedName>
    <definedName name="_H12">'H12'!$B$3:$B$44</definedName>
    <definedName name="_H13">'H13'!$B$4:$B$11</definedName>
    <definedName name="_H14">'H14'!$B$3:$B$25</definedName>
    <definedName name="_H1H">'H1,3-6'!$C$53:$C$77</definedName>
    <definedName name="_H2">Interaction!$B$3:$B$52</definedName>
    <definedName name="_H2H">Interaction!$B$53:$B$98</definedName>
    <definedName name="_H2HZ">Interaction!$B$99:$B$144</definedName>
    <definedName name="_H2SH">Interaction!$B$145:$B$178</definedName>
    <definedName name="_H2Z">'H2'!$C$3:$C$52</definedName>
    <definedName name="_H3">'H1,3-6'!$C$78:$C$119</definedName>
    <definedName name="_H3H">'H1,3-6'!$C$120:$C$161</definedName>
    <definedName name="_H4">'H1,3-6'!$C$162:$C$212</definedName>
    <definedName name="_H4H">'H1,3-6'!$C$213:$C$237</definedName>
    <definedName name="_H5">'H1,3-6'!$C$238:$C$286</definedName>
    <definedName name="_H5H">'H1,3-6'!$C$287:$C$324</definedName>
    <definedName name="_H6">'H1,3-6'!$C$325:$C$366</definedName>
    <definedName name="_H6H">'H1,3-6'!$C$367:$C$408</definedName>
    <definedName name="_H7">Interaction!$B$179:$B$224</definedName>
    <definedName name="_H7H">Interaction!$B$225:$B$270</definedName>
    <definedName name="_H8">'H8-10'!$C$3:$C$51</definedName>
    <definedName name="_H9">'H8-10'!$C$52:$C$102</definedName>
    <definedName name="_P1">'P1,2,6'!$C$3:$C$51</definedName>
    <definedName name="_P2">'P1,2,6'!$C$52:$C$100</definedName>
    <definedName name="_P3">'P3,4'!$C$3:$C$51</definedName>
    <definedName name="_P4">'P3,4'!$C$52:$C$100</definedName>
    <definedName name="_P5">'P5'!$B$3:$B$58</definedName>
    <definedName name="_P6">'P1,2,6'!$C$101:$C$107</definedName>
    <definedName name="_R1">'R1,2'!$C$3:$C$36</definedName>
    <definedName name="_R1_R2_Var">Data!$AA$2:$AA$4</definedName>
    <definedName name="_R2">'R1,2'!$C$37:$C$70</definedName>
    <definedName name="_R3">'R3'!$B$3:$B$36</definedName>
    <definedName name="_R3_R4_Var">Data!$AB$2:$AB$7</definedName>
    <definedName name="_R4">'R4'!$B$3:$B$36</definedName>
    <definedName name="_S1">'S1,2'!$C$3:$C$52</definedName>
    <definedName name="_S1H">'S1Н,2H'!$C$3:$C$44</definedName>
    <definedName name="_S2">'S1,2'!$C$53:$C$102</definedName>
    <definedName name="_S2H">'S1Н,2H'!$C$45:$C$86</definedName>
    <definedName name="_S3">'S3'!$B$3:$B$51</definedName>
    <definedName name="_S4">'S4'!$B$3:$B$44</definedName>
    <definedName name="_xlnm._FilterDatabase" localSheetId="1" hidden="1">'DCL(РСН)'!$X$19:$AN$1736</definedName>
    <definedName name="_xlnm._FilterDatabase" localSheetId="5" hidden="1">'H1,3-6'!$A$2:$F$2</definedName>
    <definedName name="_xlnm._FilterDatabase" localSheetId="7" hidden="1">'H2'!$A$2:$I$2</definedName>
    <definedName name="_xlnm._FilterDatabase" localSheetId="3" hidden="1">Interaction!$A$2:$R$2</definedName>
    <definedName name="_xlnm._FilterDatabase" localSheetId="18" hidden="1">'P1,2,6'!$A$2:$H$2</definedName>
    <definedName name="H13_Var">Data!$Z$2:$Z$5</definedName>
    <definedName name="H14_Var">Data!$AC$2:$AC$3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" i="5" l="1"/>
  <c r="BB1" i="5" l="1"/>
  <c r="BA1" i="5"/>
  <c r="AY1" i="5"/>
  <c r="AX1" i="5"/>
  <c r="AW1" i="5"/>
  <c r="AV1" i="5"/>
  <c r="AU1" i="5"/>
  <c r="AT1" i="5"/>
  <c r="F2" i="1" l="1"/>
  <c r="I5" i="1"/>
  <c r="AI21" i="5" l="1"/>
  <c r="AH21" i="5"/>
  <c r="AG21" i="5"/>
  <c r="AF21" i="5"/>
  <c r="AE21" i="5"/>
  <c r="AD21" i="5"/>
  <c r="AC21" i="5"/>
  <c r="AB21" i="5"/>
  <c r="AA21" i="5"/>
  <c r="Z21" i="5"/>
  <c r="Y21" i="5"/>
  <c r="BG20" i="5"/>
  <c r="AE11" i="5"/>
  <c r="AI14" i="5"/>
  <c r="AF12" i="5"/>
  <c r="P1" i="5"/>
  <c r="U1" i="5"/>
  <c r="AH13" i="5"/>
  <c r="AA8" i="5"/>
  <c r="AD5" i="5"/>
  <c r="O1" i="5"/>
  <c r="AC7" i="5"/>
  <c r="T1" i="5"/>
  <c r="AI5" i="5"/>
  <c r="AD9" i="5"/>
  <c r="AI15" i="5"/>
  <c r="AG15" i="5"/>
  <c r="R1" i="5"/>
  <c r="O9" i="44" l="1"/>
  <c r="Q10" i="44"/>
  <c r="F10" i="44" s="1"/>
  <c r="R12" i="44"/>
  <c r="G12" i="44" s="1"/>
  <c r="S13" i="44"/>
  <c r="H13" i="44" s="1"/>
  <c r="P8" i="44"/>
  <c r="AJ1" i="4"/>
  <c r="AK1" i="4"/>
  <c r="AH1" i="4"/>
  <c r="AF1" i="4"/>
  <c r="AE1" i="4"/>
  <c r="N1" i="5"/>
  <c r="F33" i="1"/>
  <c r="F34" i="1"/>
  <c r="F35" i="1"/>
  <c r="H74" i="1"/>
  <c r="X74" i="1" s="1"/>
  <c r="H73" i="1"/>
  <c r="X73" i="1" s="1"/>
  <c r="H72" i="1"/>
  <c r="X72" i="1" s="1"/>
  <c r="Q3" i="1"/>
  <c r="W21" i="5" s="1"/>
  <c r="L1" i="5"/>
  <c r="AB9" i="5"/>
  <c r="AC8" i="5"/>
  <c r="AI8" i="5"/>
  <c r="AC14" i="5"/>
  <c r="AD15" i="5"/>
  <c r="AI9" i="5"/>
  <c r="AG7" i="5"/>
  <c r="AD13" i="5"/>
  <c r="AB7" i="5"/>
  <c r="AC11" i="5"/>
  <c r="AG9" i="5"/>
  <c r="AG12" i="5"/>
  <c r="AH15" i="5"/>
  <c r="W4" i="5"/>
  <c r="AH12" i="5"/>
  <c r="AH11" i="5"/>
  <c r="AB13" i="5"/>
  <c r="Y11" i="5"/>
  <c r="Z14" i="5"/>
  <c r="AB14" i="5"/>
  <c r="AI12" i="5"/>
  <c r="Z15" i="5"/>
  <c r="AA12" i="5"/>
  <c r="Z11" i="5"/>
  <c r="AB12" i="5"/>
  <c r="AA11" i="5"/>
  <c r="AF9" i="5"/>
  <c r="AC12" i="5"/>
  <c r="AD11" i="5"/>
  <c r="Z7" i="5"/>
  <c r="AC9" i="5"/>
  <c r="AA7" i="5"/>
  <c r="AC15" i="5"/>
  <c r="AI10" i="5"/>
  <c r="Y15" i="5"/>
  <c r="Y13" i="5"/>
  <c r="AE9" i="5"/>
  <c r="AI7" i="5"/>
  <c r="Y12" i="5"/>
  <c r="AH7" i="5"/>
  <c r="AG14" i="5"/>
  <c r="AG11" i="5"/>
  <c r="AE15" i="5"/>
  <c r="AE7" i="5"/>
  <c r="AA14" i="5"/>
  <c r="Z13" i="5"/>
  <c r="AF15" i="5"/>
  <c r="AG13" i="5"/>
  <c r="Y14" i="5"/>
  <c r="AE12" i="5"/>
  <c r="AB11" i="5"/>
  <c r="AA13" i="5"/>
  <c r="AF14" i="5"/>
  <c r="AA15" i="5"/>
  <c r="AI13" i="5"/>
  <c r="Y7" i="5"/>
  <c r="AH14" i="5"/>
  <c r="AD7" i="5"/>
  <c r="AD14" i="5"/>
  <c r="AH9" i="5"/>
  <c r="AB15" i="5"/>
  <c r="AE14" i="5"/>
  <c r="AC13" i="5"/>
  <c r="AF7" i="5"/>
  <c r="Z12" i="5"/>
  <c r="AD12" i="5"/>
  <c r="AI11" i="5"/>
  <c r="AE13" i="5"/>
  <c r="AF13" i="5"/>
  <c r="AF11" i="5"/>
  <c r="AD3" i="4" l="1"/>
  <c r="AD4" i="4"/>
  <c r="Q16" i="44"/>
  <c r="F16" i="44" s="1"/>
  <c r="O15" i="44"/>
  <c r="N15" i="44"/>
  <c r="C15" i="44" s="1"/>
  <c r="N12" i="44"/>
  <c r="C12" i="44" s="1"/>
  <c r="S16" i="44"/>
  <c r="H16" i="44" s="1"/>
  <c r="O16" i="44"/>
  <c r="P15" i="44"/>
  <c r="S12" i="44"/>
  <c r="H12" i="44" s="1"/>
  <c r="P16" i="44"/>
  <c r="R15" i="44"/>
  <c r="G15" i="44" s="1"/>
  <c r="P12" i="44"/>
  <c r="E12" i="44" s="1"/>
  <c r="O12" i="44"/>
  <c r="N16" i="44"/>
  <c r="C16" i="44" s="1"/>
  <c r="S15" i="44"/>
  <c r="H15" i="44" s="1"/>
  <c r="Q12" i="44"/>
  <c r="F12" i="44" s="1"/>
  <c r="Q15" i="44"/>
  <c r="F15" i="44" s="1"/>
  <c r="R16" i="44"/>
  <c r="G16" i="44" s="1"/>
  <c r="P9" i="44"/>
  <c r="N10" i="44"/>
  <c r="C10" i="44" s="1"/>
  <c r="S10" i="44"/>
  <c r="H10" i="44" s="1"/>
  <c r="R10" i="44"/>
  <c r="G10" i="44" s="1"/>
  <c r="P10" i="44"/>
  <c r="R13" i="44"/>
  <c r="G13" i="44" s="1"/>
  <c r="O13" i="44"/>
  <c r="D13" i="44" s="1"/>
  <c r="N13" i="44"/>
  <c r="C13" i="44" s="1"/>
  <c r="P13" i="44"/>
  <c r="Q13" i="44"/>
  <c r="F13" i="44" s="1"/>
  <c r="S14" i="44"/>
  <c r="H14" i="44" s="1"/>
  <c r="N14" i="44"/>
  <c r="C14" i="44" s="1"/>
  <c r="P14" i="44"/>
  <c r="O14" i="44"/>
  <c r="Q14" i="44"/>
  <c r="F14" i="44" s="1"/>
  <c r="R14" i="44"/>
  <c r="G14" i="44" s="1"/>
  <c r="N8" i="44"/>
  <c r="C8" i="44" s="1"/>
  <c r="O8" i="44"/>
  <c r="Q8" i="44"/>
  <c r="F8" i="44" s="1"/>
  <c r="R8" i="44"/>
  <c r="G8" i="44" s="1"/>
  <c r="S8" i="44"/>
  <c r="H8" i="44" s="1"/>
  <c r="Z9" i="5"/>
  <c r="AA9" i="5"/>
  <c r="Y9" i="5"/>
  <c r="G5" i="1" l="1"/>
  <c r="D12" i="44"/>
  <c r="D16" i="44"/>
  <c r="D15" i="44"/>
  <c r="E16" i="44"/>
  <c r="E15" i="44"/>
  <c r="E10" i="44"/>
  <c r="E14" i="44"/>
  <c r="E8" i="44"/>
  <c r="E13" i="44"/>
  <c r="D8" i="44"/>
  <c r="D14" i="44"/>
  <c r="O10" i="44"/>
  <c r="D10" i="44" s="1"/>
  <c r="S5" i="44"/>
  <c r="R5" i="44"/>
  <c r="P5" i="44"/>
  <c r="O5" i="44"/>
  <c r="N5" i="44"/>
  <c r="S3" i="44"/>
  <c r="R3" i="44"/>
  <c r="P3" i="44"/>
  <c r="O3" i="44"/>
  <c r="N3" i="44"/>
  <c r="S1" i="44"/>
  <c r="R1" i="44"/>
  <c r="P1" i="44"/>
  <c r="O1" i="44"/>
  <c r="N1" i="44"/>
  <c r="AG1" i="5" l="1"/>
  <c r="AG5" i="5"/>
  <c r="T20" i="5" l="1"/>
  <c r="BH20" i="5" s="1"/>
  <c r="S20" i="5"/>
  <c r="BM20" i="5" s="1"/>
  <c r="R20" i="5"/>
  <c r="BJ20" i="5" s="1"/>
  <c r="Q20" i="5"/>
  <c r="BL20" i="5" s="1"/>
  <c r="P20" i="5"/>
  <c r="BK20" i="5" s="1"/>
  <c r="O20" i="5"/>
  <c r="AB6" i="5"/>
  <c r="AF5" i="5"/>
  <c r="AE5" i="5"/>
  <c r="AC6" i="5"/>
  <c r="AA5" i="5"/>
  <c r="AH5" i="5"/>
  <c r="BO20" i="5" l="1"/>
  <c r="BI20" i="5"/>
  <c r="BN20" i="5"/>
  <c r="S7" i="44"/>
  <c r="H7" i="44" s="1"/>
  <c r="R7" i="44"/>
  <c r="G7" i="44" s="1"/>
  <c r="Q7" i="44"/>
  <c r="F7" i="44" s="1"/>
  <c r="O7" i="44"/>
  <c r="DN20" i="5"/>
  <c r="DM20" i="5"/>
  <c r="DL20" i="5"/>
  <c r="DK20" i="5"/>
  <c r="DJ20" i="5"/>
  <c r="DI20" i="5"/>
  <c r="D7" i="44" l="1"/>
  <c r="K20" i="5"/>
  <c r="BF20" i="5" s="1"/>
  <c r="T19" i="5"/>
  <c r="S19" i="5"/>
  <c r="R19" i="5"/>
  <c r="Q19" i="5"/>
  <c r="P19" i="5"/>
  <c r="O19" i="5"/>
  <c r="L19" i="5"/>
  <c r="K19" i="5"/>
  <c r="H5" i="44" l="1"/>
  <c r="G5" i="44"/>
  <c r="E5" i="44"/>
  <c r="D5" i="44"/>
  <c r="C5" i="44"/>
  <c r="H3" i="44"/>
  <c r="G3" i="44"/>
  <c r="E3" i="44"/>
  <c r="D3" i="44"/>
  <c r="C3" i="44"/>
  <c r="H1" i="44"/>
  <c r="G1" i="44"/>
  <c r="E1" i="44"/>
  <c r="D1" i="44"/>
  <c r="C1" i="44"/>
  <c r="G2" i="1" l="1"/>
  <c r="P3" i="10" l="1"/>
  <c r="O3" i="10"/>
  <c r="N3" i="10"/>
  <c r="M3" i="10"/>
  <c r="L3" i="10"/>
  <c r="R3" i="10" s="1"/>
  <c r="K3" i="10"/>
  <c r="Q3" i="10" s="1"/>
  <c r="J3" i="10"/>
  <c r="I3" i="10"/>
  <c r="H33" i="1"/>
  <c r="T3" i="10" l="1"/>
  <c r="E2" i="1"/>
  <c r="H37" i="1"/>
  <c r="H35" i="1"/>
  <c r="Q4" i="38" l="1"/>
  <c r="H67" i="1"/>
  <c r="AC67" i="1" s="1"/>
  <c r="Y67" i="1" l="1"/>
  <c r="Z67" i="1"/>
  <c r="AB67" i="1"/>
  <c r="F4" i="13" l="1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3" i="13"/>
  <c r="H31" i="1"/>
  <c r="G31" i="1" s="1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" i="36"/>
  <c r="Y35" i="1"/>
  <c r="H36" i="1"/>
  <c r="X36" i="1" s="1"/>
  <c r="H71" i="1"/>
  <c r="H70" i="1"/>
  <c r="H69" i="1"/>
  <c r="H68" i="1"/>
  <c r="H66" i="1"/>
  <c r="Y66" i="1" s="1"/>
  <c r="H65" i="1"/>
  <c r="H64" i="1"/>
  <c r="H62" i="1"/>
  <c r="H63" i="1"/>
  <c r="H61" i="1"/>
  <c r="Y61" i="1" s="1"/>
  <c r="H60" i="1"/>
  <c r="H59" i="1"/>
  <c r="H57" i="1"/>
  <c r="Z57" i="1" s="1"/>
  <c r="H58" i="1"/>
  <c r="Y58" i="1" s="1"/>
  <c r="H56" i="1"/>
  <c r="Z56" i="1" s="1"/>
  <c r="H55" i="1"/>
  <c r="H54" i="1"/>
  <c r="H53" i="1"/>
  <c r="Y53" i="1" s="1"/>
  <c r="X55" i="1" l="1"/>
  <c r="Y55" i="1"/>
  <c r="Y68" i="1"/>
  <c r="X68" i="1"/>
  <c r="X69" i="1"/>
  <c r="Y69" i="1"/>
  <c r="Z54" i="1"/>
  <c r="Y54" i="1"/>
  <c r="AA71" i="1"/>
  <c r="Z71" i="1"/>
  <c r="Y71" i="1"/>
  <c r="X71" i="1"/>
  <c r="AA70" i="1"/>
  <c r="X70" i="1"/>
  <c r="Z70" i="1"/>
  <c r="Y70" i="1"/>
  <c r="Z68" i="1"/>
  <c r="AA68" i="1"/>
  <c r="Z69" i="1"/>
  <c r="AA69" i="1"/>
  <c r="AB64" i="1"/>
  <c r="Z64" i="1"/>
  <c r="Y64" i="1"/>
  <c r="AD64" i="1"/>
  <c r="AC64" i="1"/>
  <c r="Y65" i="1"/>
  <c r="Z65" i="1"/>
  <c r="AB65" i="1"/>
  <c r="AC65" i="1"/>
  <c r="AD65" i="1"/>
  <c r="Y63" i="1"/>
  <c r="Z63" i="1"/>
  <c r="AB63" i="1"/>
  <c r="AC63" i="1"/>
  <c r="AC62" i="1"/>
  <c r="AB62" i="1"/>
  <c r="Z62" i="1"/>
  <c r="Y62" i="1"/>
  <c r="Z59" i="1"/>
  <c r="Y59" i="1"/>
  <c r="Y60" i="1"/>
  <c r="Z55" i="1"/>
  <c r="Y56" i="1"/>
  <c r="Y57" i="1"/>
  <c r="Z58" i="1"/>
  <c r="X54" i="1"/>
  <c r="X53" i="1"/>
  <c r="Y36" i="1"/>
  <c r="X35" i="1"/>
  <c r="AA35" i="1"/>
  <c r="Z35" i="1"/>
  <c r="H51" i="1" l="1"/>
  <c r="H50" i="1"/>
  <c r="H49" i="22"/>
  <c r="H49" i="1"/>
  <c r="X49" i="1" s="1"/>
  <c r="H46" i="1"/>
  <c r="H45" i="1"/>
  <c r="H44" i="1"/>
  <c r="H43" i="1"/>
  <c r="H42" i="1"/>
  <c r="Z50" i="1" l="1"/>
  <c r="X50" i="1"/>
  <c r="Y50" i="1"/>
  <c r="Z51" i="1"/>
  <c r="Y51" i="1"/>
  <c r="X51" i="1"/>
  <c r="Z49" i="1"/>
  <c r="Y49" i="1"/>
  <c r="Z43" i="1"/>
  <c r="Y43" i="1"/>
  <c r="X43" i="1"/>
  <c r="X42" i="1"/>
  <c r="Y42" i="1"/>
  <c r="Z42" i="1"/>
  <c r="X44" i="1"/>
  <c r="Y44" i="1"/>
  <c r="Z44" i="1"/>
  <c r="X45" i="1"/>
  <c r="Y45" i="1"/>
  <c r="Z45" i="1"/>
  <c r="X46" i="1"/>
  <c r="Y46" i="1"/>
  <c r="Z46" i="1"/>
  <c r="H41" i="1"/>
  <c r="H40" i="1"/>
  <c r="H39" i="1"/>
  <c r="H32" i="1"/>
  <c r="X40" i="1" l="1"/>
  <c r="Y40" i="1"/>
  <c r="Z40" i="1"/>
  <c r="X33" i="1"/>
  <c r="Y33" i="1"/>
  <c r="Z33" i="1"/>
  <c r="X41" i="1"/>
  <c r="Y41" i="1"/>
  <c r="Z41" i="1"/>
  <c r="Y32" i="1"/>
  <c r="Z32" i="1"/>
  <c r="X32" i="1"/>
  <c r="Y39" i="1"/>
  <c r="X39" i="1"/>
  <c r="Z39" i="1"/>
  <c r="A319" i="4"/>
  <c r="A321" i="4"/>
  <c r="A322" i="4"/>
  <c r="A323" i="4"/>
  <c r="A324" i="4"/>
  <c r="A325" i="4"/>
  <c r="A326" i="4"/>
  <c r="A327" i="4"/>
  <c r="A328" i="4"/>
  <c r="A329" i="4"/>
  <c r="A330" i="4"/>
  <c r="M6" i="1" l="1"/>
  <c r="AF20" i="5" l="1"/>
  <c r="AF19" i="5"/>
  <c r="AF1" i="5"/>
  <c r="AI20" i="5" l="1"/>
  <c r="AI19" i="5"/>
  <c r="AH20" i="5"/>
  <c r="AH19" i="5"/>
  <c r="AD20" i="5"/>
  <c r="AE20" i="5"/>
  <c r="AE19" i="5"/>
  <c r="AD19" i="5"/>
  <c r="AE1" i="5"/>
  <c r="N6" i="1" l="1"/>
  <c r="AD1" i="5"/>
  <c r="H52" i="1"/>
  <c r="H48" i="1"/>
  <c r="H47" i="1"/>
  <c r="H38" i="1"/>
  <c r="D3" i="1" s="1"/>
  <c r="H34" i="1"/>
  <c r="L6" i="1" l="1"/>
  <c r="K6" i="1"/>
  <c r="X48" i="1"/>
  <c r="Y48" i="1"/>
  <c r="Z48" i="1"/>
  <c r="AA48" i="1"/>
  <c r="X47" i="1"/>
  <c r="Y47" i="1"/>
  <c r="AA47" i="1"/>
  <c r="Z47" i="1"/>
  <c r="X52" i="1"/>
  <c r="Y52" i="1"/>
  <c r="Z52" i="1"/>
  <c r="AA52" i="1"/>
  <c r="Z38" i="1"/>
  <c r="Y38" i="1"/>
  <c r="X38" i="1"/>
  <c r="AA38" i="1"/>
  <c r="AA37" i="1"/>
  <c r="Y37" i="1"/>
  <c r="X37" i="1"/>
  <c r="Z37" i="1"/>
  <c r="Z36" i="1"/>
  <c r="AA36" i="1"/>
  <c r="AA34" i="1"/>
  <c r="Z34" i="1"/>
  <c r="Y34" i="1"/>
  <c r="X34" i="1"/>
  <c r="K3" i="1" l="1"/>
  <c r="M3" i="1"/>
  <c r="H9" i="1" s="1"/>
  <c r="R31" i="1"/>
  <c r="P3" i="1"/>
  <c r="G3" i="1"/>
  <c r="K31" i="1"/>
  <c r="N3" i="1"/>
  <c r="S31" i="1"/>
  <c r="L3" i="1"/>
  <c r="J3" i="1"/>
  <c r="O3" i="1"/>
  <c r="N31" i="1"/>
  <c r="M31" i="1"/>
  <c r="U31" i="1"/>
  <c r="Q31" i="1"/>
  <c r="I31" i="1"/>
  <c r="P31" i="1"/>
  <c r="O31" i="1"/>
  <c r="L31" i="1"/>
  <c r="W31" i="1"/>
  <c r="V31" i="1"/>
  <c r="J31" i="1"/>
  <c r="T31" i="1"/>
  <c r="AJ21" i="5" l="1"/>
  <c r="X21" i="5"/>
  <c r="AK21" i="5"/>
  <c r="BE20" i="5"/>
  <c r="AM21" i="5"/>
  <c r="BQ20" i="5"/>
  <c r="AL21" i="5"/>
  <c r="BP20" i="5"/>
  <c r="H13" i="1"/>
  <c r="H12" i="1"/>
  <c r="AC20" i="5"/>
  <c r="AB20" i="5"/>
  <c r="AA20" i="5"/>
  <c r="Y20" i="5"/>
  <c r="AC19" i="5"/>
  <c r="AB19" i="5"/>
  <c r="AA19" i="5"/>
  <c r="Y19" i="5"/>
  <c r="T5" i="5"/>
  <c r="S5" i="5"/>
  <c r="R5" i="5"/>
  <c r="Q5" i="5"/>
  <c r="P5" i="5"/>
  <c r="O5" i="5"/>
  <c r="K5" i="5"/>
  <c r="T4" i="5"/>
  <c r="S4" i="5"/>
  <c r="R4" i="5"/>
  <c r="Q4" i="5"/>
  <c r="P4" i="5"/>
  <c r="O4" i="5"/>
  <c r="L4" i="5"/>
  <c r="K4" i="5"/>
  <c r="AC1" i="5"/>
  <c r="AB1" i="5"/>
  <c r="AA1" i="5"/>
  <c r="X6" i="5"/>
  <c r="AK5" i="5"/>
  <c r="BB2" i="5"/>
  <c r="AJ5" i="5"/>
  <c r="X5" i="5"/>
  <c r="AM6" i="5"/>
  <c r="AL5" i="5"/>
  <c r="BB3" i="5"/>
  <c r="AM5" i="5"/>
  <c r="AL6" i="5"/>
  <c r="BR20" i="5" l="1"/>
  <c r="AN21" i="5"/>
  <c r="H11" i="1"/>
  <c r="H10" i="1"/>
  <c r="K7" i="1"/>
  <c r="H6" i="1"/>
  <c r="H7" i="1"/>
  <c r="AW2" i="5"/>
  <c r="AU3" i="5"/>
  <c r="AY3" i="5"/>
  <c r="AV2" i="5"/>
  <c r="AR3" i="5"/>
  <c r="AU2" i="5"/>
  <c r="Z5" i="5"/>
  <c r="AC5" i="5"/>
  <c r="AW3" i="5"/>
  <c r="AN5" i="5"/>
  <c r="AT2" i="5"/>
  <c r="AV3" i="5"/>
  <c r="Y5" i="5"/>
  <c r="AX2" i="5"/>
  <c r="AZ2" i="5"/>
  <c r="AS3" i="5"/>
  <c r="AR2" i="5"/>
  <c r="AS2" i="5"/>
  <c r="AN6" i="5"/>
  <c r="AZ3" i="5"/>
  <c r="BA2" i="5"/>
  <c r="AY2" i="5"/>
  <c r="AX3" i="5"/>
  <c r="AT3" i="5"/>
  <c r="BA3" i="5"/>
  <c r="AB5" i="5"/>
  <c r="H18" i="1" l="1"/>
  <c r="P17" i="44"/>
  <c r="Q17" i="44"/>
  <c r="F17" i="44" s="1"/>
  <c r="O17" i="44"/>
  <c r="N17" i="44"/>
  <c r="C17" i="44" s="1"/>
  <c r="R17" i="44"/>
  <c r="G17" i="44" s="1"/>
  <c r="S17" i="44"/>
  <c r="H17" i="44" s="1"/>
  <c r="N18" i="44"/>
  <c r="C18" i="44" s="1"/>
  <c r="P18" i="44"/>
  <c r="Q18" i="44"/>
  <c r="F18" i="44" s="1"/>
  <c r="R18" i="44"/>
  <c r="G18" i="44" s="1"/>
  <c r="S18" i="44"/>
  <c r="H18" i="44" s="1"/>
  <c r="O18" i="44"/>
  <c r="P7" i="44"/>
  <c r="E7" i="44" s="1"/>
  <c r="N7" i="44"/>
  <c r="C7" i="44" s="1"/>
  <c r="H8" i="1"/>
  <c r="O6" i="1"/>
  <c r="AG10" i="5"/>
  <c r="AE10" i="5"/>
  <c r="AB10" i="5"/>
  <c r="AD10" i="5"/>
  <c r="AA10" i="5"/>
  <c r="Z10" i="5"/>
  <c r="AF10" i="5"/>
  <c r="AC10" i="5"/>
  <c r="Y10" i="5"/>
  <c r="AH10" i="5"/>
  <c r="D17" i="44" l="1"/>
  <c r="E17" i="44"/>
  <c r="Q11" i="44"/>
  <c r="F11" i="44" s="1"/>
  <c r="O11" i="44"/>
  <c r="P11" i="44"/>
  <c r="N11" i="44"/>
  <c r="C11" i="44" s="1"/>
  <c r="S11" i="44"/>
  <c r="H11" i="44" s="1"/>
  <c r="R11" i="44"/>
  <c r="G11" i="44" s="1"/>
  <c r="D18" i="44"/>
  <c r="E18" i="44"/>
  <c r="H16" i="1"/>
  <c r="H5" i="1"/>
  <c r="H4" i="1" s="1"/>
  <c r="H17" i="1"/>
  <c r="E11" i="44" l="1"/>
  <c r="D11" i="44"/>
  <c r="H14" i="1"/>
  <c r="E1" i="1" s="1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6" i="4"/>
  <c r="C82" i="4"/>
  <c r="C83" i="4"/>
  <c r="C84" i="4"/>
  <c r="C85" i="4"/>
  <c r="C86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8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C5001" i="4"/>
  <c r="C5002" i="4"/>
  <c r="C5003" i="4"/>
  <c r="C5004" i="4"/>
  <c r="C5005" i="4"/>
  <c r="C5006" i="4"/>
  <c r="C5007" i="4"/>
  <c r="C5008" i="4"/>
  <c r="C5009" i="4"/>
  <c r="C5010" i="4"/>
  <c r="C5011" i="4"/>
  <c r="C5012" i="4"/>
  <c r="C5013" i="4"/>
  <c r="C5014" i="4"/>
  <c r="C5015" i="4"/>
  <c r="C5016" i="4"/>
  <c r="C5017" i="4"/>
  <c r="C5018" i="4"/>
  <c r="C5019" i="4"/>
  <c r="C5020" i="4"/>
  <c r="C5021" i="4"/>
  <c r="C5022" i="4"/>
  <c r="C5023" i="4"/>
  <c r="C5024" i="4"/>
  <c r="C5025" i="4"/>
  <c r="C5026" i="4"/>
  <c r="C5027" i="4"/>
  <c r="C5028" i="4"/>
  <c r="C5029" i="4"/>
  <c r="C5030" i="4"/>
  <c r="C5031" i="4"/>
  <c r="C5032" i="4"/>
  <c r="C5033" i="4"/>
  <c r="C5034" i="4"/>
  <c r="C5035" i="4"/>
  <c r="C5036" i="4"/>
  <c r="C5037" i="4"/>
  <c r="C5038" i="4"/>
  <c r="C5039" i="4"/>
  <c r="C5040" i="4"/>
  <c r="C5041" i="4"/>
  <c r="C5042" i="4"/>
  <c r="C5043" i="4"/>
  <c r="C5044" i="4"/>
  <c r="C5045" i="4"/>
  <c r="C5046" i="4"/>
  <c r="C5047" i="4"/>
  <c r="C5048" i="4"/>
  <c r="C5049" i="4"/>
  <c r="C5050" i="4"/>
  <c r="C5051" i="4"/>
  <c r="C5052" i="4"/>
  <c r="C5053" i="4"/>
  <c r="C5054" i="4"/>
  <c r="C5055" i="4"/>
  <c r="C5056" i="4"/>
  <c r="C5057" i="4"/>
  <c r="C5058" i="4"/>
  <c r="C5059" i="4"/>
  <c r="C5060" i="4"/>
  <c r="C5061" i="4"/>
  <c r="C5062" i="4"/>
  <c r="C5063" i="4"/>
  <c r="C5064" i="4"/>
  <c r="C5065" i="4"/>
  <c r="C5066" i="4"/>
  <c r="C5067" i="4"/>
  <c r="C5068" i="4"/>
  <c r="C5069" i="4"/>
  <c r="C5070" i="4"/>
  <c r="C5071" i="4"/>
  <c r="C5072" i="4"/>
  <c r="C5073" i="4"/>
  <c r="C5074" i="4"/>
  <c r="C5075" i="4"/>
  <c r="C5076" i="4"/>
  <c r="C5077" i="4"/>
  <c r="C5078" i="4"/>
  <c r="C5079" i="4"/>
  <c r="C5080" i="4"/>
  <c r="C5081" i="4"/>
  <c r="C5082" i="4"/>
  <c r="C5083" i="4"/>
  <c r="C5084" i="4"/>
  <c r="C5085" i="4"/>
  <c r="C5086" i="4"/>
  <c r="C5087" i="4"/>
  <c r="C5088" i="4"/>
  <c r="C5089" i="4"/>
  <c r="C5090" i="4"/>
  <c r="C5091" i="4"/>
  <c r="C5092" i="4"/>
  <c r="C5093" i="4"/>
  <c r="C5094" i="4"/>
  <c r="C5095" i="4"/>
  <c r="C5096" i="4"/>
  <c r="C5097" i="4"/>
  <c r="C5098" i="4"/>
  <c r="C5099" i="4"/>
  <c r="C5100" i="4"/>
  <c r="C5101" i="4"/>
  <c r="C5102" i="4"/>
  <c r="C5103" i="4"/>
  <c r="C5104" i="4"/>
  <c r="C5105" i="4"/>
  <c r="C5106" i="4"/>
  <c r="C5107" i="4"/>
  <c r="C5108" i="4"/>
  <c r="C5109" i="4"/>
  <c r="C5110" i="4"/>
  <c r="C5111" i="4"/>
  <c r="C5112" i="4"/>
  <c r="C5113" i="4"/>
  <c r="C5114" i="4"/>
  <c r="C5115" i="4"/>
  <c r="C5116" i="4"/>
  <c r="C5117" i="4"/>
  <c r="C5118" i="4"/>
  <c r="C5119" i="4"/>
  <c r="C5120" i="4"/>
  <c r="C5121" i="4"/>
  <c r="C5122" i="4"/>
  <c r="C5123" i="4"/>
  <c r="C5124" i="4"/>
  <c r="C5125" i="4"/>
  <c r="C5126" i="4"/>
  <c r="C5127" i="4"/>
  <c r="C5128" i="4"/>
  <c r="C5129" i="4"/>
  <c r="C5130" i="4"/>
  <c r="C5131" i="4"/>
  <c r="C5132" i="4"/>
  <c r="C5133" i="4"/>
  <c r="C5134" i="4"/>
  <c r="C5135" i="4"/>
  <c r="C5136" i="4"/>
  <c r="C5137" i="4"/>
  <c r="C5138" i="4"/>
  <c r="C5139" i="4"/>
  <c r="C5140" i="4"/>
  <c r="C5141" i="4"/>
  <c r="C5142" i="4"/>
  <c r="C5143" i="4"/>
  <c r="C5144" i="4"/>
  <c r="C5145" i="4"/>
  <c r="C5146" i="4"/>
  <c r="C5147" i="4"/>
  <c r="C5148" i="4"/>
  <c r="C5149" i="4"/>
  <c r="C5150" i="4"/>
  <c r="C5151" i="4"/>
  <c r="C5152" i="4"/>
  <c r="C5153" i="4"/>
  <c r="C5154" i="4"/>
  <c r="C5155" i="4"/>
  <c r="C5156" i="4"/>
  <c r="C5157" i="4"/>
  <c r="C5158" i="4"/>
  <c r="C5159" i="4"/>
  <c r="C5160" i="4"/>
  <c r="C5161" i="4"/>
  <c r="C5162" i="4"/>
  <c r="C5163" i="4"/>
  <c r="C5164" i="4"/>
  <c r="C5165" i="4"/>
  <c r="C5166" i="4"/>
  <c r="C5167" i="4"/>
  <c r="C5168" i="4"/>
  <c r="C5169" i="4"/>
  <c r="C5170" i="4"/>
  <c r="C5171" i="4"/>
  <c r="C5172" i="4"/>
  <c r="C5173" i="4"/>
  <c r="C5174" i="4"/>
  <c r="C5175" i="4"/>
  <c r="C5176" i="4"/>
  <c r="C5177" i="4"/>
  <c r="C5178" i="4"/>
  <c r="C5179" i="4"/>
  <c r="C5180" i="4"/>
  <c r="C5181" i="4"/>
  <c r="C5182" i="4"/>
  <c r="C5183" i="4"/>
  <c r="C5184" i="4"/>
  <c r="C5185" i="4"/>
  <c r="C5186" i="4"/>
  <c r="C5187" i="4"/>
  <c r="C5188" i="4"/>
  <c r="C5189" i="4"/>
  <c r="C5190" i="4"/>
  <c r="C5191" i="4"/>
  <c r="C5192" i="4"/>
  <c r="C5193" i="4"/>
  <c r="C5194" i="4"/>
  <c r="C5195" i="4"/>
  <c r="C5196" i="4"/>
  <c r="C5197" i="4"/>
  <c r="C5198" i="4"/>
  <c r="C5199" i="4"/>
  <c r="C5200" i="4"/>
  <c r="C5201" i="4"/>
  <c r="C5202" i="4"/>
  <c r="C5203" i="4"/>
  <c r="C5204" i="4"/>
  <c r="C5205" i="4"/>
  <c r="C5206" i="4"/>
  <c r="C5207" i="4"/>
  <c r="C5208" i="4"/>
  <c r="C5209" i="4"/>
  <c r="C5210" i="4"/>
  <c r="C5211" i="4"/>
  <c r="C5212" i="4"/>
  <c r="C5213" i="4"/>
  <c r="C5214" i="4"/>
  <c r="C5215" i="4"/>
  <c r="C5216" i="4"/>
  <c r="C5217" i="4"/>
  <c r="C5218" i="4"/>
  <c r="C5219" i="4"/>
  <c r="C5220" i="4"/>
  <c r="C5221" i="4"/>
  <c r="C5222" i="4"/>
  <c r="C5223" i="4"/>
  <c r="C5224" i="4"/>
  <c r="C5225" i="4"/>
  <c r="C5226" i="4"/>
  <c r="C5227" i="4"/>
  <c r="C5228" i="4"/>
  <c r="C5229" i="4"/>
  <c r="C5230" i="4"/>
  <c r="C5231" i="4"/>
  <c r="C5232" i="4"/>
  <c r="C5233" i="4"/>
  <c r="C5234" i="4"/>
  <c r="C5235" i="4"/>
  <c r="C5236" i="4"/>
  <c r="C5237" i="4"/>
  <c r="C5238" i="4"/>
  <c r="C5239" i="4"/>
  <c r="C5240" i="4"/>
  <c r="C5241" i="4"/>
  <c r="C5242" i="4"/>
  <c r="C5243" i="4"/>
  <c r="C5244" i="4"/>
  <c r="C5245" i="4"/>
  <c r="C5246" i="4"/>
  <c r="C5247" i="4"/>
  <c r="C5248" i="4"/>
  <c r="C5249" i="4"/>
  <c r="C5250" i="4"/>
  <c r="C5251" i="4"/>
  <c r="C5252" i="4"/>
  <c r="C5253" i="4"/>
  <c r="C5254" i="4"/>
  <c r="C5255" i="4"/>
  <c r="C5256" i="4"/>
  <c r="C5257" i="4"/>
  <c r="C5258" i="4"/>
  <c r="C5259" i="4"/>
  <c r="C5260" i="4"/>
  <c r="C5261" i="4"/>
  <c r="C5262" i="4"/>
  <c r="C5263" i="4"/>
  <c r="C5264" i="4"/>
  <c r="C5265" i="4"/>
  <c r="C5266" i="4"/>
  <c r="C5267" i="4"/>
  <c r="C5268" i="4"/>
  <c r="C5269" i="4"/>
  <c r="C5270" i="4"/>
  <c r="C5271" i="4"/>
  <c r="C5272" i="4"/>
  <c r="C5273" i="4"/>
  <c r="C5274" i="4"/>
  <c r="C5275" i="4"/>
  <c r="C5276" i="4"/>
  <c r="C5277" i="4"/>
  <c r="C5278" i="4"/>
  <c r="C5279" i="4"/>
  <c r="C5280" i="4"/>
  <c r="C5281" i="4"/>
  <c r="C5282" i="4"/>
  <c r="C5283" i="4"/>
  <c r="C5284" i="4"/>
  <c r="C5285" i="4"/>
  <c r="C5286" i="4"/>
  <c r="C5287" i="4"/>
  <c r="C5288" i="4"/>
  <c r="C5289" i="4"/>
  <c r="C5290" i="4"/>
  <c r="C5291" i="4"/>
  <c r="C5292" i="4"/>
  <c r="C5293" i="4"/>
  <c r="C5294" i="4"/>
  <c r="C5295" i="4"/>
  <c r="C5296" i="4"/>
  <c r="C5297" i="4"/>
  <c r="C5298" i="4"/>
  <c r="C5299" i="4"/>
  <c r="C5300" i="4"/>
  <c r="C5301" i="4"/>
  <c r="C5302" i="4"/>
  <c r="C5303" i="4"/>
  <c r="C5304" i="4"/>
  <c r="C5305" i="4"/>
  <c r="C5306" i="4"/>
  <c r="C5307" i="4"/>
  <c r="C5308" i="4"/>
  <c r="C5309" i="4"/>
  <c r="C5310" i="4"/>
  <c r="C5311" i="4"/>
  <c r="C5312" i="4"/>
  <c r="C5313" i="4"/>
  <c r="C5314" i="4"/>
  <c r="C5315" i="4"/>
  <c r="C5316" i="4"/>
  <c r="C5317" i="4"/>
  <c r="C5318" i="4"/>
  <c r="C5319" i="4"/>
  <c r="C5320" i="4"/>
  <c r="C5321" i="4"/>
  <c r="C5322" i="4"/>
  <c r="C5323" i="4"/>
  <c r="C5324" i="4"/>
  <c r="C5325" i="4"/>
  <c r="C5326" i="4"/>
  <c r="C5327" i="4"/>
  <c r="C5328" i="4"/>
  <c r="C5329" i="4"/>
  <c r="C5330" i="4"/>
  <c r="C5331" i="4"/>
  <c r="C5332" i="4"/>
  <c r="C5333" i="4"/>
  <c r="C5334" i="4"/>
  <c r="C5335" i="4"/>
  <c r="C5336" i="4"/>
  <c r="C5337" i="4"/>
  <c r="C5338" i="4"/>
  <c r="C5339" i="4"/>
  <c r="C5340" i="4"/>
  <c r="C5341" i="4"/>
  <c r="C5342" i="4"/>
  <c r="C5343" i="4"/>
  <c r="C5344" i="4"/>
  <c r="C5345" i="4"/>
  <c r="C5346" i="4"/>
  <c r="C5347" i="4"/>
  <c r="C5348" i="4"/>
  <c r="C5349" i="4"/>
  <c r="C5350" i="4"/>
  <c r="C5351" i="4"/>
  <c r="C5352" i="4"/>
  <c r="C5353" i="4"/>
  <c r="C5354" i="4"/>
  <c r="C5355" i="4"/>
  <c r="C5356" i="4"/>
  <c r="C5357" i="4"/>
  <c r="C5358" i="4"/>
  <c r="C5359" i="4"/>
  <c r="C5360" i="4"/>
  <c r="C5361" i="4"/>
  <c r="C5362" i="4"/>
  <c r="C5363" i="4"/>
  <c r="C5364" i="4"/>
  <c r="C5365" i="4"/>
  <c r="C5366" i="4"/>
  <c r="C5367" i="4"/>
  <c r="C5368" i="4"/>
  <c r="C5369" i="4"/>
  <c r="C5370" i="4"/>
  <c r="C5371" i="4"/>
  <c r="C5372" i="4"/>
  <c r="C5373" i="4"/>
  <c r="C5374" i="4"/>
  <c r="C5375" i="4"/>
  <c r="C5376" i="4"/>
  <c r="C5377" i="4"/>
  <c r="C5378" i="4"/>
  <c r="C5379" i="4"/>
  <c r="C5380" i="4"/>
  <c r="C5381" i="4"/>
  <c r="C5382" i="4"/>
  <c r="C5383" i="4"/>
  <c r="C5384" i="4"/>
  <c r="C5385" i="4"/>
  <c r="C5386" i="4"/>
  <c r="C5387" i="4"/>
  <c r="C5388" i="4"/>
  <c r="C5389" i="4"/>
  <c r="C5390" i="4"/>
  <c r="C5391" i="4"/>
  <c r="C5392" i="4"/>
  <c r="C5393" i="4"/>
  <c r="C5394" i="4"/>
  <c r="C5395" i="4"/>
  <c r="C5396" i="4"/>
  <c r="C5397" i="4"/>
  <c r="C5398" i="4"/>
  <c r="C5399" i="4"/>
  <c r="C5400" i="4"/>
  <c r="C5401" i="4"/>
  <c r="C5402" i="4"/>
  <c r="C5403" i="4"/>
  <c r="C5404" i="4"/>
  <c r="C5405" i="4"/>
  <c r="C5406" i="4"/>
  <c r="C5407" i="4"/>
  <c r="C5408" i="4"/>
  <c r="C5409" i="4"/>
  <c r="C5410" i="4"/>
  <c r="C5411" i="4"/>
  <c r="C5412" i="4"/>
  <c r="C5413" i="4"/>
  <c r="C5414" i="4"/>
  <c r="C5415" i="4"/>
  <c r="C5416" i="4"/>
  <c r="C5417" i="4"/>
  <c r="C5418" i="4"/>
  <c r="C5419" i="4"/>
  <c r="C5420" i="4"/>
  <c r="C5421" i="4"/>
  <c r="C5422" i="4"/>
  <c r="C5423" i="4"/>
  <c r="C5424" i="4"/>
  <c r="C5425" i="4"/>
  <c r="C5426" i="4"/>
  <c r="C5427" i="4"/>
  <c r="C5428" i="4"/>
  <c r="C5429" i="4"/>
  <c r="C5430" i="4"/>
  <c r="C5431" i="4"/>
  <c r="C5432" i="4"/>
  <c r="C5433" i="4"/>
  <c r="C5434" i="4"/>
  <c r="C5435" i="4"/>
  <c r="C5436" i="4"/>
  <c r="C5437" i="4"/>
  <c r="C5438" i="4"/>
  <c r="C5439" i="4"/>
  <c r="C5440" i="4"/>
  <c r="C5441" i="4"/>
  <c r="C5442" i="4"/>
  <c r="C5443" i="4"/>
  <c r="C5444" i="4"/>
  <c r="C5445" i="4"/>
  <c r="C5446" i="4"/>
  <c r="C5447" i="4"/>
  <c r="C5448" i="4"/>
  <c r="C5449" i="4"/>
  <c r="C5450" i="4"/>
  <c r="C5451" i="4"/>
  <c r="C5452" i="4"/>
  <c r="C5453" i="4"/>
  <c r="C5454" i="4"/>
  <c r="C5455" i="4"/>
  <c r="C5456" i="4"/>
  <c r="C5457" i="4"/>
  <c r="C5458" i="4"/>
  <c r="C5459" i="4"/>
  <c r="C5460" i="4"/>
  <c r="C5461" i="4"/>
  <c r="C5462" i="4"/>
  <c r="C5463" i="4"/>
  <c r="C5464" i="4"/>
  <c r="C5465" i="4"/>
  <c r="C5466" i="4"/>
  <c r="C5467" i="4"/>
  <c r="C5468" i="4"/>
  <c r="C5469" i="4"/>
  <c r="C5470" i="4"/>
  <c r="C5471" i="4"/>
  <c r="C5472" i="4"/>
  <c r="C5473" i="4"/>
  <c r="C5474" i="4"/>
  <c r="C5475" i="4"/>
  <c r="C5476" i="4"/>
  <c r="C5477" i="4"/>
  <c r="C5478" i="4"/>
  <c r="C5479" i="4"/>
  <c r="C5480" i="4"/>
  <c r="C5481" i="4"/>
  <c r="C5482" i="4"/>
  <c r="C5483" i="4"/>
  <c r="C5484" i="4"/>
  <c r="C5485" i="4"/>
  <c r="C5486" i="4"/>
  <c r="C5487" i="4"/>
  <c r="C5488" i="4"/>
  <c r="C5489" i="4"/>
  <c r="C5490" i="4"/>
  <c r="C5491" i="4"/>
  <c r="C5492" i="4"/>
  <c r="C5493" i="4"/>
  <c r="C5494" i="4"/>
  <c r="C5495" i="4"/>
  <c r="C5496" i="4"/>
  <c r="C5497" i="4"/>
  <c r="C5498" i="4"/>
  <c r="C5499" i="4"/>
  <c r="C5500" i="4"/>
  <c r="C5501" i="4"/>
  <c r="C5502" i="4"/>
  <c r="C5503" i="4"/>
  <c r="C5504" i="4"/>
  <c r="C5505" i="4"/>
  <c r="C5506" i="4"/>
  <c r="C5507" i="4"/>
  <c r="C5508" i="4"/>
  <c r="C5509" i="4"/>
  <c r="C5510" i="4"/>
  <c r="C5511" i="4"/>
  <c r="C5512" i="4"/>
  <c r="C5513" i="4"/>
  <c r="C5514" i="4"/>
  <c r="C5515" i="4"/>
  <c r="C5516" i="4"/>
  <c r="C5517" i="4"/>
  <c r="C5518" i="4"/>
  <c r="C5519" i="4"/>
  <c r="C5520" i="4"/>
  <c r="C5521" i="4"/>
  <c r="C5522" i="4"/>
  <c r="C5523" i="4"/>
  <c r="C5524" i="4"/>
  <c r="C5525" i="4"/>
  <c r="C5526" i="4"/>
  <c r="C5527" i="4"/>
  <c r="C5528" i="4"/>
  <c r="C5529" i="4"/>
  <c r="C5530" i="4"/>
  <c r="C5531" i="4"/>
  <c r="C5532" i="4"/>
  <c r="C5533" i="4"/>
  <c r="C5534" i="4"/>
  <c r="C5535" i="4"/>
  <c r="C5536" i="4"/>
  <c r="C5537" i="4"/>
  <c r="C5538" i="4"/>
  <c r="C5539" i="4"/>
  <c r="C5540" i="4"/>
  <c r="C5541" i="4"/>
  <c r="C5542" i="4"/>
  <c r="C5543" i="4"/>
  <c r="C5544" i="4"/>
  <c r="C5545" i="4"/>
  <c r="C5546" i="4"/>
  <c r="C5547" i="4"/>
  <c r="C5548" i="4"/>
  <c r="C5549" i="4"/>
  <c r="C5550" i="4"/>
  <c r="C5551" i="4"/>
  <c r="C5552" i="4"/>
  <c r="C5553" i="4"/>
  <c r="C5554" i="4"/>
  <c r="C5555" i="4"/>
  <c r="C5556" i="4"/>
  <c r="C5557" i="4"/>
  <c r="C5558" i="4"/>
  <c r="C5559" i="4"/>
  <c r="C5560" i="4"/>
  <c r="C5561" i="4"/>
  <c r="C5562" i="4"/>
  <c r="C5563" i="4"/>
  <c r="C5564" i="4"/>
  <c r="C5565" i="4"/>
  <c r="C5566" i="4"/>
  <c r="C5567" i="4"/>
  <c r="C5568" i="4"/>
  <c r="C5569" i="4"/>
  <c r="C5570" i="4"/>
  <c r="C5571" i="4"/>
  <c r="C5572" i="4"/>
  <c r="C5573" i="4"/>
  <c r="C5574" i="4"/>
  <c r="C5575" i="4"/>
  <c r="C5576" i="4"/>
  <c r="C5577" i="4"/>
  <c r="C5578" i="4"/>
  <c r="C5579" i="4"/>
  <c r="C5580" i="4"/>
  <c r="C5581" i="4"/>
  <c r="C5582" i="4"/>
  <c r="C5583" i="4"/>
  <c r="C5584" i="4"/>
  <c r="C5585" i="4"/>
  <c r="C5586" i="4"/>
  <c r="C5587" i="4"/>
  <c r="C5588" i="4"/>
  <c r="C5589" i="4"/>
  <c r="C5590" i="4"/>
  <c r="C5591" i="4"/>
  <c r="C5592" i="4"/>
  <c r="C5593" i="4"/>
  <c r="C5594" i="4"/>
  <c r="C5595" i="4"/>
  <c r="C5596" i="4"/>
  <c r="C5597" i="4"/>
  <c r="C5598" i="4"/>
  <c r="C5599" i="4"/>
  <c r="C5600" i="4"/>
  <c r="C5601" i="4"/>
  <c r="C5602" i="4"/>
  <c r="C5603" i="4"/>
  <c r="C5604" i="4"/>
  <c r="C5605" i="4"/>
  <c r="C5606" i="4"/>
  <c r="C5607" i="4"/>
  <c r="C5608" i="4"/>
  <c r="C5609" i="4"/>
  <c r="C5610" i="4"/>
  <c r="C5611" i="4"/>
  <c r="C5612" i="4"/>
  <c r="C5613" i="4"/>
  <c r="C5614" i="4"/>
  <c r="C5615" i="4"/>
  <c r="C5616" i="4"/>
  <c r="C5617" i="4"/>
  <c r="C5618" i="4"/>
  <c r="C5619" i="4"/>
  <c r="C5620" i="4"/>
  <c r="C5621" i="4"/>
  <c r="C5622" i="4"/>
  <c r="C5623" i="4"/>
  <c r="C5624" i="4"/>
  <c r="C5625" i="4"/>
  <c r="C5626" i="4"/>
  <c r="C5627" i="4"/>
  <c r="C5628" i="4"/>
  <c r="C5629" i="4"/>
  <c r="C5630" i="4"/>
  <c r="C5631" i="4"/>
  <c r="C5632" i="4"/>
  <c r="C5633" i="4"/>
  <c r="C5634" i="4"/>
  <c r="C5635" i="4"/>
  <c r="C5636" i="4"/>
  <c r="C5637" i="4"/>
  <c r="C5638" i="4"/>
  <c r="C5639" i="4"/>
  <c r="C5640" i="4"/>
  <c r="C5641" i="4"/>
  <c r="C5642" i="4"/>
  <c r="C5643" i="4"/>
  <c r="C5644" i="4"/>
  <c r="C5645" i="4"/>
  <c r="C5646" i="4"/>
  <c r="C5647" i="4"/>
  <c r="C5648" i="4"/>
  <c r="C5649" i="4"/>
  <c r="C5650" i="4"/>
  <c r="C5651" i="4"/>
  <c r="C5652" i="4"/>
  <c r="C5653" i="4"/>
  <c r="C5654" i="4"/>
  <c r="C5655" i="4"/>
  <c r="C5656" i="4"/>
  <c r="C5657" i="4"/>
  <c r="C5658" i="4"/>
  <c r="C5659" i="4"/>
  <c r="C5660" i="4"/>
  <c r="C5661" i="4"/>
  <c r="C5662" i="4"/>
  <c r="C5663" i="4"/>
  <c r="C5664" i="4"/>
  <c r="C5665" i="4"/>
  <c r="C5666" i="4"/>
  <c r="C5667" i="4"/>
  <c r="C5668" i="4"/>
  <c r="C5669" i="4"/>
  <c r="C5670" i="4"/>
  <c r="C5671" i="4"/>
  <c r="C5672" i="4"/>
  <c r="C5673" i="4"/>
  <c r="C5674" i="4"/>
  <c r="C5675" i="4"/>
  <c r="C5676" i="4"/>
  <c r="C5677" i="4"/>
  <c r="C5678" i="4"/>
  <c r="C5679" i="4"/>
  <c r="C5680" i="4"/>
  <c r="C5681" i="4"/>
  <c r="C5682" i="4"/>
  <c r="C5683" i="4"/>
  <c r="C5684" i="4"/>
  <c r="C5685" i="4"/>
  <c r="C5686" i="4"/>
  <c r="C5687" i="4"/>
  <c r="C5688" i="4"/>
  <c r="C5689" i="4"/>
  <c r="C5690" i="4"/>
  <c r="C5691" i="4"/>
  <c r="C5692" i="4"/>
  <c r="C5693" i="4"/>
  <c r="C5694" i="4"/>
  <c r="C5695" i="4"/>
  <c r="C5696" i="4"/>
  <c r="C5697" i="4"/>
  <c r="C5698" i="4"/>
  <c r="C5699" i="4"/>
  <c r="C5700" i="4"/>
  <c r="C5701" i="4"/>
  <c r="C5702" i="4"/>
  <c r="C5703" i="4"/>
  <c r="C5704" i="4"/>
  <c r="C5705" i="4"/>
  <c r="C5706" i="4"/>
  <c r="C5707" i="4"/>
  <c r="C5708" i="4"/>
  <c r="C5709" i="4"/>
  <c r="C5710" i="4"/>
  <c r="C5711" i="4"/>
  <c r="C5712" i="4"/>
  <c r="C5713" i="4"/>
  <c r="C5714" i="4"/>
  <c r="C5715" i="4"/>
  <c r="C5716" i="4"/>
  <c r="C5717" i="4"/>
  <c r="C5718" i="4"/>
  <c r="C5719" i="4"/>
  <c r="C5720" i="4"/>
  <c r="C5721" i="4"/>
  <c r="C5722" i="4"/>
  <c r="C5723" i="4"/>
  <c r="C5724" i="4"/>
  <c r="C5725" i="4"/>
  <c r="C5726" i="4"/>
  <c r="C5727" i="4"/>
  <c r="C5728" i="4"/>
  <c r="C5729" i="4"/>
  <c r="C5730" i="4"/>
  <c r="C5731" i="4"/>
  <c r="C5732" i="4"/>
  <c r="C5733" i="4"/>
  <c r="C5734" i="4"/>
  <c r="C5735" i="4"/>
  <c r="C5736" i="4"/>
  <c r="C5737" i="4"/>
  <c r="C5738" i="4"/>
  <c r="C5739" i="4"/>
  <c r="C5740" i="4"/>
  <c r="C5741" i="4"/>
  <c r="C5742" i="4"/>
  <c r="C5743" i="4"/>
  <c r="C5744" i="4"/>
  <c r="C5745" i="4"/>
  <c r="C5746" i="4"/>
  <c r="C5747" i="4"/>
  <c r="C5748" i="4"/>
  <c r="C5749" i="4"/>
  <c r="C5750" i="4"/>
  <c r="C5751" i="4"/>
  <c r="C5752" i="4"/>
  <c r="C5753" i="4"/>
  <c r="C5754" i="4"/>
  <c r="C5755" i="4"/>
  <c r="C5756" i="4"/>
  <c r="C5757" i="4"/>
  <c r="C5758" i="4"/>
  <c r="C5759" i="4"/>
  <c r="C5760" i="4"/>
  <c r="C5761" i="4"/>
  <c r="C5762" i="4"/>
  <c r="C5763" i="4"/>
  <c r="C5764" i="4"/>
  <c r="C5765" i="4"/>
  <c r="C5766" i="4"/>
  <c r="C5767" i="4"/>
  <c r="C5768" i="4"/>
  <c r="C5769" i="4"/>
  <c r="C5770" i="4"/>
  <c r="C5771" i="4"/>
  <c r="C5772" i="4"/>
  <c r="C5773" i="4"/>
  <c r="C5774" i="4"/>
  <c r="C5775" i="4"/>
  <c r="C5776" i="4"/>
  <c r="C5777" i="4"/>
  <c r="C5778" i="4"/>
  <c r="C5779" i="4"/>
  <c r="C5780" i="4"/>
  <c r="C5781" i="4"/>
  <c r="C5782" i="4"/>
  <c r="C5783" i="4"/>
  <c r="C5784" i="4"/>
  <c r="C5785" i="4"/>
  <c r="C5786" i="4"/>
  <c r="C5787" i="4"/>
  <c r="C5788" i="4"/>
  <c r="C5789" i="4"/>
  <c r="C5790" i="4"/>
  <c r="C5791" i="4"/>
  <c r="C5792" i="4"/>
  <c r="C5793" i="4"/>
  <c r="C5794" i="4"/>
  <c r="C5795" i="4"/>
  <c r="C5796" i="4"/>
  <c r="C5797" i="4"/>
  <c r="C5798" i="4"/>
  <c r="C5799" i="4"/>
  <c r="C5800" i="4"/>
  <c r="C5801" i="4"/>
  <c r="C5802" i="4"/>
  <c r="C5803" i="4"/>
  <c r="C5804" i="4"/>
  <c r="C5805" i="4"/>
  <c r="C5806" i="4"/>
  <c r="C5807" i="4"/>
  <c r="C5808" i="4"/>
  <c r="C5809" i="4"/>
  <c r="C5810" i="4"/>
  <c r="C5811" i="4"/>
  <c r="C5812" i="4"/>
  <c r="C5813" i="4"/>
  <c r="C5814" i="4"/>
  <c r="C5815" i="4"/>
  <c r="C5816" i="4"/>
  <c r="C5817" i="4"/>
  <c r="C5818" i="4"/>
  <c r="C5819" i="4"/>
  <c r="C5820" i="4"/>
  <c r="C5821" i="4"/>
  <c r="C5822" i="4"/>
  <c r="C5823" i="4"/>
  <c r="C5824" i="4"/>
  <c r="C5825" i="4"/>
  <c r="C5826" i="4"/>
  <c r="C5827" i="4"/>
  <c r="C5828" i="4"/>
  <c r="C5829" i="4"/>
  <c r="C5830" i="4"/>
  <c r="C5831" i="4"/>
  <c r="C5832" i="4"/>
  <c r="C5833" i="4"/>
  <c r="C5834" i="4"/>
  <c r="C5835" i="4"/>
  <c r="C5836" i="4"/>
  <c r="C5837" i="4"/>
  <c r="C5838" i="4"/>
  <c r="C5839" i="4"/>
  <c r="C5840" i="4"/>
  <c r="C5841" i="4"/>
  <c r="C5842" i="4"/>
  <c r="C5843" i="4"/>
  <c r="C5844" i="4"/>
  <c r="C5845" i="4"/>
  <c r="C5846" i="4"/>
  <c r="C5847" i="4"/>
  <c r="C5848" i="4"/>
  <c r="C5849" i="4"/>
  <c r="C5850" i="4"/>
  <c r="C5851" i="4"/>
  <c r="C5852" i="4"/>
  <c r="C5853" i="4"/>
  <c r="C5854" i="4"/>
  <c r="C5855" i="4"/>
  <c r="C5856" i="4"/>
  <c r="C5857" i="4"/>
  <c r="C5858" i="4"/>
  <c r="C5859" i="4"/>
  <c r="C5860" i="4"/>
  <c r="C5861" i="4"/>
  <c r="C5862" i="4"/>
  <c r="C5863" i="4"/>
  <c r="C5864" i="4"/>
  <c r="C5865" i="4"/>
  <c r="C5866" i="4"/>
  <c r="C5867" i="4"/>
  <c r="C5868" i="4"/>
  <c r="C5869" i="4"/>
  <c r="C5870" i="4"/>
  <c r="C5871" i="4"/>
  <c r="C5872" i="4"/>
  <c r="C5873" i="4"/>
  <c r="C5874" i="4"/>
  <c r="C5875" i="4"/>
  <c r="C5876" i="4"/>
  <c r="C5877" i="4"/>
  <c r="C5878" i="4"/>
  <c r="C5879" i="4"/>
  <c r="C5880" i="4"/>
  <c r="C5881" i="4"/>
  <c r="C5882" i="4"/>
  <c r="C5883" i="4"/>
  <c r="C5884" i="4"/>
  <c r="C5885" i="4"/>
  <c r="C5886" i="4"/>
  <c r="C5887" i="4"/>
  <c r="C5888" i="4"/>
  <c r="C5889" i="4"/>
  <c r="C5890" i="4"/>
  <c r="C5891" i="4"/>
  <c r="C5892" i="4"/>
  <c r="C5893" i="4"/>
  <c r="C5894" i="4"/>
  <c r="C5895" i="4"/>
  <c r="C5896" i="4"/>
  <c r="C5897" i="4"/>
  <c r="C5898" i="4"/>
  <c r="C5899" i="4"/>
  <c r="C5900" i="4"/>
  <c r="C5901" i="4"/>
  <c r="C5902" i="4"/>
  <c r="C5903" i="4"/>
  <c r="C5904" i="4"/>
  <c r="C5905" i="4"/>
  <c r="C5906" i="4"/>
  <c r="C5907" i="4"/>
  <c r="C5908" i="4"/>
  <c r="C5909" i="4"/>
  <c r="C5910" i="4"/>
  <c r="C5911" i="4"/>
  <c r="C5912" i="4"/>
  <c r="C5913" i="4"/>
  <c r="C5914" i="4"/>
  <c r="C5915" i="4"/>
  <c r="C5916" i="4"/>
  <c r="C5917" i="4"/>
  <c r="C5918" i="4"/>
  <c r="C5919" i="4"/>
  <c r="C5920" i="4"/>
  <c r="C5921" i="4"/>
  <c r="C5922" i="4"/>
  <c r="C5923" i="4"/>
  <c r="C5924" i="4"/>
  <c r="C5925" i="4"/>
  <c r="C5926" i="4"/>
  <c r="C5927" i="4"/>
  <c r="C5928" i="4"/>
  <c r="C5929" i="4"/>
  <c r="C5930" i="4"/>
  <c r="C5931" i="4"/>
  <c r="C5932" i="4"/>
  <c r="C5933" i="4"/>
  <c r="C5934" i="4"/>
  <c r="C5935" i="4"/>
  <c r="C5936" i="4"/>
  <c r="C5937" i="4"/>
  <c r="C5938" i="4"/>
  <c r="C5939" i="4"/>
  <c r="C5940" i="4"/>
  <c r="C5941" i="4"/>
  <c r="C5942" i="4"/>
  <c r="C5943" i="4"/>
  <c r="C5944" i="4"/>
  <c r="C5945" i="4"/>
  <c r="C5946" i="4"/>
  <c r="C5947" i="4"/>
  <c r="C5948" i="4"/>
  <c r="C5949" i="4"/>
  <c r="C5950" i="4"/>
  <c r="C5951" i="4"/>
  <c r="C5952" i="4"/>
  <c r="C5953" i="4"/>
  <c r="C5954" i="4"/>
  <c r="C5955" i="4"/>
  <c r="C5956" i="4"/>
  <c r="C5957" i="4"/>
  <c r="C5958" i="4"/>
  <c r="C5959" i="4"/>
  <c r="C5960" i="4"/>
  <c r="C5961" i="4"/>
  <c r="C5962" i="4"/>
  <c r="C5963" i="4"/>
  <c r="C5964" i="4"/>
  <c r="C5965" i="4"/>
  <c r="C5966" i="4"/>
  <c r="C5967" i="4"/>
  <c r="C5968" i="4"/>
  <c r="C5969" i="4"/>
  <c r="C5970" i="4"/>
  <c r="C5971" i="4"/>
  <c r="C5972" i="4"/>
  <c r="C5973" i="4"/>
  <c r="C5974" i="4"/>
  <c r="C5975" i="4"/>
  <c r="C5976" i="4"/>
  <c r="C5977" i="4"/>
  <c r="C5978" i="4"/>
  <c r="C5979" i="4"/>
  <c r="C5980" i="4"/>
  <c r="C5981" i="4"/>
  <c r="C5982" i="4"/>
  <c r="C5983" i="4"/>
  <c r="C5984" i="4"/>
  <c r="C5985" i="4"/>
  <c r="C5986" i="4"/>
  <c r="C5987" i="4"/>
  <c r="C5988" i="4"/>
  <c r="C5989" i="4"/>
  <c r="C5990" i="4"/>
  <c r="C5991" i="4"/>
  <c r="C5992" i="4"/>
  <c r="C5993" i="4"/>
  <c r="C5994" i="4"/>
  <c r="C5995" i="4"/>
  <c r="C5996" i="4"/>
  <c r="C5997" i="4"/>
  <c r="C5998" i="4"/>
  <c r="C5999" i="4"/>
  <c r="C6000" i="4"/>
  <c r="C6001" i="4"/>
  <c r="C6002" i="4"/>
  <c r="C6003" i="4"/>
  <c r="C6004" i="4"/>
  <c r="C6005" i="4"/>
  <c r="C6006" i="4"/>
  <c r="C6007" i="4"/>
  <c r="C6008" i="4"/>
  <c r="C6009" i="4"/>
  <c r="C6010" i="4"/>
  <c r="C6011" i="4"/>
  <c r="C6012" i="4"/>
  <c r="C6013" i="4"/>
  <c r="C6014" i="4"/>
  <c r="C6015" i="4"/>
  <c r="C6016" i="4"/>
  <c r="C6017" i="4"/>
  <c r="C6018" i="4"/>
  <c r="C6019" i="4"/>
  <c r="C6020" i="4"/>
  <c r="C6021" i="4"/>
  <c r="C6022" i="4"/>
  <c r="C6023" i="4"/>
  <c r="C6024" i="4"/>
  <c r="C6025" i="4"/>
  <c r="C6026" i="4"/>
  <c r="C6027" i="4"/>
  <c r="C6028" i="4"/>
  <c r="C6029" i="4"/>
  <c r="C6030" i="4"/>
  <c r="C6031" i="4"/>
  <c r="C6032" i="4"/>
  <c r="C6033" i="4"/>
  <c r="C6034" i="4"/>
  <c r="C6035" i="4"/>
  <c r="C6036" i="4"/>
  <c r="C6037" i="4"/>
  <c r="C6038" i="4"/>
  <c r="C6039" i="4"/>
  <c r="C6040" i="4"/>
  <c r="C6041" i="4"/>
  <c r="C6042" i="4"/>
  <c r="C6043" i="4"/>
  <c r="C6044" i="4"/>
  <c r="C6045" i="4"/>
  <c r="C6046" i="4"/>
  <c r="C6047" i="4"/>
  <c r="C6048" i="4"/>
  <c r="C6049" i="4"/>
  <c r="C6050" i="4"/>
  <c r="C6051" i="4"/>
  <c r="C6052" i="4"/>
  <c r="C6053" i="4"/>
  <c r="C6054" i="4"/>
  <c r="C6055" i="4"/>
  <c r="C6056" i="4"/>
  <c r="C6057" i="4"/>
  <c r="C6058" i="4"/>
  <c r="C6059" i="4"/>
  <c r="C6060" i="4"/>
  <c r="C6061" i="4"/>
  <c r="C6062" i="4"/>
  <c r="C6063" i="4"/>
  <c r="C6064" i="4"/>
  <c r="C6065" i="4"/>
  <c r="C6066" i="4"/>
  <c r="C6067" i="4"/>
  <c r="C6068" i="4"/>
  <c r="C6069" i="4"/>
  <c r="C6070" i="4"/>
  <c r="C6071" i="4"/>
  <c r="C6072" i="4"/>
  <c r="C6073" i="4"/>
  <c r="C6074" i="4"/>
  <c r="C6075" i="4"/>
  <c r="C6076" i="4"/>
  <c r="C6077" i="4"/>
  <c r="C6078" i="4"/>
  <c r="C6079" i="4"/>
  <c r="C6080" i="4"/>
  <c r="C6081" i="4"/>
  <c r="C6082" i="4"/>
  <c r="C6083" i="4"/>
  <c r="C6084" i="4"/>
  <c r="C6085" i="4"/>
  <c r="C6086" i="4"/>
  <c r="C6087" i="4"/>
  <c r="C6088" i="4"/>
  <c r="C6089" i="4"/>
  <c r="C6090" i="4"/>
  <c r="C6091" i="4"/>
  <c r="C6092" i="4"/>
  <c r="C6093" i="4"/>
  <c r="C6094" i="4"/>
  <c r="C6095" i="4"/>
  <c r="C6096" i="4"/>
  <c r="C6097" i="4"/>
  <c r="C6098" i="4"/>
  <c r="C6099" i="4"/>
  <c r="C6100" i="4"/>
  <c r="C6101" i="4"/>
  <c r="C6102" i="4"/>
  <c r="C6103" i="4"/>
  <c r="C6104" i="4"/>
  <c r="C6105" i="4"/>
  <c r="C6106" i="4"/>
  <c r="C6107" i="4"/>
  <c r="C6108" i="4"/>
  <c r="C6109" i="4"/>
  <c r="C6110" i="4"/>
  <c r="C6111" i="4"/>
  <c r="C6112" i="4"/>
  <c r="C6113" i="4"/>
  <c r="C6114" i="4"/>
  <c r="C6115" i="4"/>
  <c r="C6116" i="4"/>
  <c r="C6117" i="4"/>
  <c r="C6118" i="4"/>
  <c r="C6119" i="4"/>
  <c r="C6120" i="4"/>
  <c r="C6121" i="4"/>
  <c r="C6122" i="4"/>
  <c r="C6123" i="4"/>
  <c r="C6124" i="4"/>
  <c r="C6125" i="4"/>
  <c r="C6126" i="4"/>
  <c r="C6127" i="4"/>
  <c r="C6128" i="4"/>
  <c r="C6129" i="4"/>
  <c r="C6130" i="4"/>
  <c r="C6131" i="4"/>
  <c r="C6132" i="4"/>
  <c r="C6133" i="4"/>
  <c r="C6134" i="4"/>
  <c r="C6135" i="4"/>
  <c r="C6136" i="4"/>
  <c r="C6137" i="4"/>
  <c r="C6138" i="4"/>
  <c r="C6139" i="4"/>
  <c r="C6140" i="4"/>
  <c r="C6141" i="4"/>
  <c r="C6142" i="4"/>
  <c r="C6143" i="4"/>
  <c r="C6144" i="4"/>
  <c r="C6145" i="4"/>
  <c r="C6146" i="4"/>
  <c r="C6147" i="4"/>
  <c r="C6148" i="4"/>
  <c r="C6149" i="4"/>
  <c r="C6150" i="4"/>
  <c r="C6151" i="4"/>
  <c r="C6152" i="4"/>
  <c r="C6153" i="4"/>
  <c r="C6154" i="4"/>
  <c r="C6155" i="4"/>
  <c r="C6156" i="4"/>
  <c r="C6157" i="4"/>
  <c r="C6158" i="4"/>
  <c r="C6159" i="4"/>
  <c r="C6160" i="4"/>
  <c r="C6161" i="4"/>
  <c r="C6162" i="4"/>
  <c r="C6163" i="4"/>
  <c r="C6164" i="4"/>
  <c r="C6165" i="4"/>
  <c r="C6166" i="4"/>
  <c r="C6167" i="4"/>
  <c r="C6168" i="4"/>
  <c r="C6169" i="4"/>
  <c r="C6170" i="4"/>
  <c r="C6171" i="4"/>
  <c r="C6172" i="4"/>
  <c r="C6173" i="4"/>
  <c r="C6174" i="4"/>
  <c r="C6175" i="4"/>
  <c r="C6176" i="4"/>
  <c r="C6177" i="4"/>
  <c r="C6178" i="4"/>
  <c r="C6179" i="4"/>
  <c r="C6180" i="4"/>
  <c r="C6181" i="4"/>
  <c r="C6182" i="4"/>
  <c r="C6183" i="4"/>
  <c r="C6184" i="4"/>
  <c r="C6185" i="4"/>
  <c r="C6186" i="4"/>
  <c r="C6187" i="4"/>
  <c r="C6188" i="4"/>
  <c r="C6189" i="4"/>
  <c r="C6190" i="4"/>
  <c r="C6191" i="4"/>
  <c r="C6192" i="4"/>
  <c r="C6193" i="4"/>
  <c r="C6194" i="4"/>
  <c r="C6195" i="4"/>
  <c r="C6196" i="4"/>
  <c r="C6197" i="4"/>
  <c r="C6198" i="4"/>
  <c r="C6199" i="4"/>
  <c r="C6200" i="4"/>
  <c r="C6201" i="4"/>
  <c r="C6202" i="4"/>
  <c r="C6203" i="4"/>
  <c r="C6204" i="4"/>
  <c r="C6205" i="4"/>
  <c r="C6206" i="4"/>
  <c r="C6207" i="4"/>
  <c r="C6208" i="4"/>
  <c r="C6209" i="4"/>
  <c r="C6210" i="4"/>
  <c r="C6211" i="4"/>
  <c r="C6212" i="4"/>
  <c r="C6213" i="4"/>
  <c r="C6214" i="4"/>
  <c r="C6215" i="4"/>
  <c r="C6216" i="4"/>
  <c r="C6217" i="4"/>
  <c r="C6218" i="4"/>
  <c r="C6219" i="4"/>
  <c r="C6220" i="4"/>
  <c r="C6221" i="4"/>
  <c r="C6222" i="4"/>
  <c r="C6223" i="4"/>
  <c r="C6224" i="4"/>
  <c r="C6225" i="4"/>
  <c r="C6226" i="4"/>
  <c r="C6227" i="4"/>
  <c r="C6228" i="4"/>
  <c r="C6229" i="4"/>
  <c r="C6230" i="4"/>
  <c r="C6231" i="4"/>
  <c r="C6232" i="4"/>
  <c r="C6233" i="4"/>
  <c r="C6234" i="4"/>
  <c r="C6235" i="4"/>
  <c r="C6236" i="4"/>
  <c r="C6237" i="4"/>
  <c r="C6238" i="4"/>
  <c r="C6239" i="4"/>
  <c r="C6240" i="4"/>
  <c r="C6241" i="4"/>
  <c r="C6242" i="4"/>
  <c r="C6243" i="4"/>
  <c r="C6244" i="4"/>
  <c r="C6245" i="4"/>
  <c r="C6246" i="4"/>
  <c r="C6247" i="4"/>
  <c r="C6248" i="4"/>
  <c r="C6249" i="4"/>
  <c r="C6250" i="4"/>
  <c r="C6251" i="4"/>
  <c r="C6252" i="4"/>
  <c r="C6253" i="4"/>
  <c r="C6254" i="4"/>
  <c r="C6255" i="4"/>
  <c r="C6256" i="4"/>
  <c r="C6257" i="4"/>
  <c r="C6258" i="4"/>
  <c r="C6259" i="4"/>
  <c r="C6260" i="4"/>
  <c r="C6261" i="4"/>
  <c r="C6262" i="4"/>
  <c r="C6263" i="4"/>
  <c r="C6264" i="4"/>
  <c r="C6265" i="4"/>
  <c r="C6266" i="4"/>
  <c r="C6267" i="4"/>
  <c r="C6268" i="4"/>
  <c r="C6269" i="4"/>
  <c r="C6270" i="4"/>
  <c r="C6271" i="4"/>
  <c r="C6272" i="4"/>
  <c r="C6273" i="4"/>
  <c r="C6274" i="4"/>
  <c r="C6275" i="4"/>
  <c r="C6276" i="4"/>
  <c r="C6277" i="4"/>
  <c r="C6278" i="4"/>
  <c r="C6279" i="4"/>
  <c r="C6280" i="4"/>
  <c r="C6281" i="4"/>
  <c r="C6282" i="4"/>
  <c r="C6283" i="4"/>
  <c r="C6284" i="4"/>
  <c r="C6285" i="4"/>
  <c r="C6286" i="4"/>
  <c r="C6287" i="4"/>
  <c r="C6288" i="4"/>
  <c r="C6289" i="4"/>
  <c r="C6290" i="4"/>
  <c r="C6291" i="4"/>
  <c r="C6292" i="4"/>
  <c r="C6293" i="4"/>
  <c r="C6294" i="4"/>
  <c r="C6295" i="4"/>
  <c r="C6296" i="4"/>
  <c r="C6297" i="4"/>
  <c r="C6298" i="4"/>
  <c r="C6299" i="4"/>
  <c r="C6300" i="4"/>
  <c r="C6301" i="4"/>
  <c r="C6302" i="4"/>
  <c r="C6303" i="4"/>
  <c r="C6304" i="4"/>
  <c r="C6305" i="4"/>
  <c r="C6306" i="4"/>
  <c r="C6307" i="4"/>
  <c r="C6308" i="4"/>
  <c r="C6309" i="4"/>
  <c r="C6310" i="4"/>
  <c r="C6311" i="4"/>
  <c r="C6312" i="4"/>
  <c r="C6313" i="4"/>
  <c r="C6314" i="4"/>
  <c r="C6315" i="4"/>
  <c r="C6316" i="4"/>
  <c r="C6317" i="4"/>
  <c r="C6318" i="4"/>
  <c r="C6319" i="4"/>
  <c r="C6320" i="4"/>
  <c r="C6321" i="4"/>
  <c r="C6322" i="4"/>
  <c r="C6323" i="4"/>
  <c r="C6324" i="4"/>
  <c r="C6325" i="4"/>
  <c r="C6326" i="4"/>
  <c r="C6327" i="4"/>
  <c r="C6328" i="4"/>
  <c r="C6329" i="4"/>
  <c r="C6330" i="4"/>
  <c r="C6331" i="4"/>
  <c r="C6332" i="4"/>
  <c r="C6333" i="4"/>
  <c r="C6334" i="4"/>
  <c r="C6335" i="4"/>
  <c r="C6336" i="4"/>
  <c r="C6337" i="4"/>
  <c r="C6338" i="4"/>
  <c r="C6339" i="4"/>
  <c r="C6340" i="4"/>
  <c r="C6341" i="4"/>
  <c r="C6342" i="4"/>
  <c r="C6343" i="4"/>
  <c r="C6344" i="4"/>
  <c r="C6345" i="4"/>
  <c r="C6346" i="4"/>
  <c r="C6347" i="4"/>
  <c r="C6348" i="4"/>
  <c r="C6349" i="4"/>
  <c r="C6350" i="4"/>
  <c r="C6351" i="4"/>
  <c r="C6352" i="4"/>
  <c r="C6353" i="4"/>
  <c r="C6354" i="4"/>
  <c r="C6355" i="4"/>
  <c r="C6356" i="4"/>
  <c r="C6357" i="4"/>
  <c r="C6358" i="4"/>
  <c r="C6359" i="4"/>
  <c r="C6360" i="4"/>
  <c r="C6361" i="4"/>
  <c r="C6362" i="4"/>
  <c r="C6363" i="4"/>
  <c r="C6364" i="4"/>
  <c r="C6365" i="4"/>
  <c r="C6366" i="4"/>
  <c r="C6367" i="4"/>
  <c r="C6368" i="4"/>
  <c r="C6369" i="4"/>
  <c r="C6370" i="4"/>
  <c r="C6371" i="4"/>
  <c r="C6372" i="4"/>
  <c r="C6373" i="4"/>
  <c r="C6374" i="4"/>
  <c r="C6375" i="4"/>
  <c r="C6376" i="4"/>
  <c r="C6377" i="4"/>
  <c r="C6378" i="4"/>
  <c r="C6379" i="4"/>
  <c r="C6380" i="4"/>
  <c r="C6381" i="4"/>
  <c r="C6382" i="4"/>
  <c r="C6383" i="4"/>
  <c r="C6384" i="4"/>
  <c r="C6385" i="4"/>
  <c r="C6386" i="4"/>
  <c r="C6387" i="4"/>
  <c r="C6388" i="4"/>
  <c r="C6389" i="4"/>
  <c r="C6390" i="4"/>
  <c r="C6391" i="4"/>
  <c r="C6392" i="4"/>
  <c r="C6393" i="4"/>
  <c r="C6394" i="4"/>
  <c r="C6395" i="4"/>
  <c r="C6396" i="4"/>
  <c r="C6397" i="4"/>
  <c r="C6398" i="4"/>
  <c r="C6399" i="4"/>
  <c r="C6400" i="4"/>
  <c r="C6401" i="4"/>
  <c r="C6402" i="4"/>
  <c r="C6403" i="4"/>
  <c r="C6404" i="4"/>
  <c r="C6405" i="4"/>
  <c r="C6406" i="4"/>
  <c r="C6407" i="4"/>
  <c r="C6408" i="4"/>
  <c r="C6409" i="4"/>
  <c r="C6410" i="4"/>
  <c r="C6411" i="4"/>
  <c r="C6412" i="4"/>
  <c r="C6413" i="4"/>
  <c r="C6414" i="4"/>
  <c r="C6415" i="4"/>
  <c r="C6416" i="4"/>
  <c r="C6417" i="4"/>
  <c r="C6418" i="4"/>
  <c r="C6419" i="4"/>
  <c r="C6420" i="4"/>
  <c r="C6421" i="4"/>
  <c r="C6422" i="4"/>
  <c r="C6423" i="4"/>
  <c r="C6424" i="4"/>
  <c r="C6425" i="4"/>
  <c r="C6426" i="4"/>
  <c r="C6427" i="4"/>
  <c r="C6428" i="4"/>
  <c r="C6429" i="4"/>
  <c r="C6430" i="4"/>
  <c r="C6431" i="4"/>
  <c r="C6432" i="4"/>
  <c r="C6433" i="4"/>
  <c r="C6434" i="4"/>
  <c r="C6435" i="4"/>
  <c r="C6436" i="4"/>
  <c r="C6437" i="4"/>
  <c r="C6438" i="4"/>
  <c r="C6439" i="4"/>
  <c r="C6440" i="4"/>
  <c r="C6441" i="4"/>
  <c r="C6442" i="4"/>
  <c r="C6443" i="4"/>
  <c r="C6444" i="4"/>
  <c r="C6445" i="4"/>
  <c r="C6446" i="4"/>
  <c r="C6447" i="4"/>
  <c r="C6448" i="4"/>
  <c r="C6449" i="4"/>
  <c r="C6450" i="4"/>
  <c r="C6451" i="4"/>
  <c r="C6452" i="4"/>
  <c r="C6453" i="4"/>
  <c r="C6454" i="4"/>
  <c r="C6455" i="4"/>
  <c r="C6456" i="4"/>
  <c r="C6457" i="4"/>
  <c r="C6458" i="4"/>
  <c r="C6459" i="4"/>
  <c r="C6460" i="4"/>
  <c r="C6461" i="4"/>
  <c r="C6462" i="4"/>
  <c r="C6463" i="4"/>
  <c r="C6464" i="4"/>
  <c r="C6465" i="4"/>
  <c r="C6466" i="4"/>
  <c r="C6467" i="4"/>
  <c r="C6468" i="4"/>
  <c r="C6469" i="4"/>
  <c r="C6470" i="4"/>
  <c r="C6471" i="4"/>
  <c r="C6472" i="4"/>
  <c r="C6473" i="4"/>
  <c r="C6474" i="4"/>
  <c r="C6475" i="4"/>
  <c r="C6476" i="4"/>
  <c r="C6477" i="4"/>
  <c r="C6478" i="4"/>
  <c r="C6479" i="4"/>
  <c r="C6480" i="4"/>
  <c r="C6481" i="4"/>
  <c r="C6482" i="4"/>
  <c r="C6483" i="4"/>
  <c r="C6484" i="4"/>
  <c r="C6485" i="4"/>
  <c r="C6486" i="4"/>
  <c r="C6487" i="4"/>
  <c r="C6488" i="4"/>
  <c r="C6489" i="4"/>
  <c r="C6490" i="4"/>
  <c r="C6491" i="4"/>
  <c r="C6492" i="4"/>
  <c r="C6493" i="4"/>
  <c r="C6494" i="4"/>
  <c r="C6495" i="4"/>
  <c r="C6496" i="4"/>
  <c r="C6497" i="4"/>
  <c r="C6498" i="4"/>
  <c r="C6499" i="4"/>
  <c r="C6500" i="4"/>
  <c r="C6501" i="4"/>
  <c r="C6502" i="4"/>
  <c r="C6503" i="4"/>
  <c r="C6504" i="4"/>
  <c r="C6505" i="4"/>
  <c r="C6506" i="4"/>
  <c r="C6507" i="4"/>
  <c r="C6508" i="4"/>
  <c r="C6509" i="4"/>
  <c r="C6510" i="4"/>
  <c r="C6511" i="4"/>
  <c r="C6512" i="4"/>
  <c r="C6513" i="4"/>
  <c r="C6514" i="4"/>
  <c r="C6515" i="4"/>
  <c r="C6516" i="4"/>
  <c r="C6517" i="4"/>
  <c r="C6518" i="4"/>
  <c r="C6519" i="4"/>
  <c r="C6520" i="4"/>
  <c r="C6521" i="4"/>
  <c r="C6522" i="4"/>
  <c r="C6523" i="4"/>
  <c r="C6524" i="4"/>
  <c r="C6525" i="4"/>
  <c r="C6526" i="4"/>
  <c r="C6527" i="4"/>
  <c r="C6528" i="4"/>
  <c r="C6529" i="4"/>
  <c r="C6530" i="4"/>
  <c r="C6531" i="4"/>
  <c r="C6532" i="4"/>
  <c r="C6533" i="4"/>
  <c r="C6534" i="4"/>
  <c r="C6535" i="4"/>
  <c r="C6536" i="4"/>
  <c r="C6537" i="4"/>
  <c r="C6538" i="4"/>
  <c r="C6539" i="4"/>
  <c r="C6540" i="4"/>
  <c r="C6541" i="4"/>
  <c r="C6542" i="4"/>
  <c r="C6543" i="4"/>
  <c r="C6544" i="4"/>
  <c r="C6545" i="4"/>
  <c r="C6546" i="4"/>
  <c r="C6547" i="4"/>
  <c r="C6548" i="4"/>
  <c r="C6549" i="4"/>
  <c r="C6550" i="4"/>
  <c r="C6551" i="4"/>
  <c r="C6552" i="4"/>
  <c r="C6553" i="4"/>
  <c r="C6554" i="4"/>
  <c r="C6555" i="4"/>
  <c r="C6556" i="4"/>
  <c r="C6557" i="4"/>
  <c r="C6558" i="4"/>
  <c r="C6559" i="4"/>
  <c r="C6560" i="4"/>
  <c r="C6561" i="4"/>
  <c r="C6562" i="4"/>
  <c r="C6563" i="4"/>
  <c r="C6564" i="4"/>
  <c r="C6565" i="4"/>
  <c r="C6566" i="4"/>
  <c r="C6567" i="4"/>
  <c r="C6568" i="4"/>
  <c r="C6569" i="4"/>
  <c r="C6570" i="4"/>
  <c r="C6571" i="4"/>
  <c r="C6572" i="4"/>
  <c r="C6573" i="4"/>
  <c r="C6574" i="4"/>
  <c r="C6575" i="4"/>
  <c r="C6576" i="4"/>
  <c r="C6577" i="4"/>
  <c r="C6578" i="4"/>
  <c r="C6579" i="4"/>
  <c r="C6580" i="4"/>
  <c r="C6581" i="4"/>
  <c r="C6582" i="4"/>
  <c r="C6583" i="4"/>
  <c r="C6584" i="4"/>
  <c r="C6585" i="4"/>
  <c r="C6586" i="4"/>
  <c r="C6587" i="4"/>
  <c r="C6588" i="4"/>
  <c r="C6589" i="4"/>
  <c r="C6590" i="4"/>
  <c r="C6591" i="4"/>
  <c r="C6592" i="4"/>
  <c r="C2" i="4"/>
  <c r="C3" i="4" s="1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8" i="4"/>
  <c r="A99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3" i="4"/>
  <c r="A134" i="4"/>
  <c r="A135" i="4"/>
  <c r="A136" i="4"/>
  <c r="A137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6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70" i="4"/>
  <c r="A271" i="4"/>
  <c r="A272" i="4"/>
  <c r="A273" i="4"/>
  <c r="A274" i="4"/>
  <c r="A275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5" i="4"/>
  <c r="A306" i="4"/>
  <c r="A307" i="4"/>
  <c r="A308" i="4"/>
  <c r="A309" i="4"/>
  <c r="A331" i="4"/>
  <c r="A332" i="4"/>
  <c r="A334" i="4"/>
  <c r="A335" i="4"/>
  <c r="A336" i="4"/>
  <c r="A337" i="4"/>
  <c r="A338" i="4"/>
  <c r="A339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3" i="4"/>
  <c r="A364" i="4"/>
  <c r="A365" i="4"/>
  <c r="A366" i="4"/>
  <c r="A367" i="4"/>
  <c r="A368" i="4"/>
  <c r="A369" i="4"/>
  <c r="A370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4" i="4"/>
  <c r="A885" i="4"/>
  <c r="A886" i="4"/>
  <c r="A887" i="4"/>
  <c r="A889" i="4"/>
  <c r="A890" i="4"/>
  <c r="A891" i="4"/>
  <c r="A892" i="4"/>
  <c r="A894" i="4"/>
  <c r="A895" i="4"/>
  <c r="A896" i="4"/>
  <c r="A897" i="4"/>
  <c r="A899" i="4"/>
  <c r="A900" i="4"/>
  <c r="A901" i="4"/>
  <c r="A902" i="4"/>
  <c r="A904" i="4"/>
  <c r="A905" i="4"/>
  <c r="A906" i="4"/>
  <c r="A907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A4002" i="4"/>
  <c r="A4003" i="4"/>
  <c r="A4004" i="4"/>
  <c r="A4005" i="4"/>
  <c r="A4006" i="4"/>
  <c r="A4007" i="4"/>
  <c r="A4008" i="4"/>
  <c r="A4009" i="4"/>
  <c r="A4010" i="4"/>
  <c r="A4011" i="4"/>
  <c r="A4012" i="4"/>
  <c r="A4013" i="4"/>
  <c r="A4014" i="4"/>
  <c r="A4015" i="4"/>
  <c r="A4016" i="4"/>
  <c r="A4017" i="4"/>
  <c r="A4018" i="4"/>
  <c r="A4019" i="4"/>
  <c r="A4020" i="4"/>
  <c r="A4021" i="4"/>
  <c r="A4022" i="4"/>
  <c r="A4023" i="4"/>
  <c r="A4024" i="4"/>
  <c r="A4025" i="4"/>
  <c r="A4026" i="4"/>
  <c r="A4027" i="4"/>
  <c r="A4028" i="4"/>
  <c r="A4029" i="4"/>
  <c r="A4030" i="4"/>
  <c r="A4031" i="4"/>
  <c r="A4032" i="4"/>
  <c r="A4033" i="4"/>
  <c r="A4034" i="4"/>
  <c r="A4035" i="4"/>
  <c r="A4036" i="4"/>
  <c r="A4037" i="4"/>
  <c r="A4038" i="4"/>
  <c r="A4039" i="4"/>
  <c r="A4040" i="4"/>
  <c r="A4041" i="4"/>
  <c r="A4042" i="4"/>
  <c r="A4043" i="4"/>
  <c r="A4044" i="4"/>
  <c r="A4045" i="4"/>
  <c r="A4046" i="4"/>
  <c r="A4047" i="4"/>
  <c r="A4048" i="4"/>
  <c r="A4049" i="4"/>
  <c r="A4050" i="4"/>
  <c r="A4051" i="4"/>
  <c r="A4052" i="4"/>
  <c r="A4053" i="4"/>
  <c r="A4054" i="4"/>
  <c r="A4055" i="4"/>
  <c r="A4056" i="4"/>
  <c r="A4057" i="4"/>
  <c r="A4058" i="4"/>
  <c r="A4059" i="4"/>
  <c r="A4060" i="4"/>
  <c r="A4061" i="4"/>
  <c r="A4062" i="4"/>
  <c r="A4063" i="4"/>
  <c r="A4064" i="4"/>
  <c r="A4065" i="4"/>
  <c r="A4066" i="4"/>
  <c r="A4067" i="4"/>
  <c r="A4068" i="4"/>
  <c r="A4069" i="4"/>
  <c r="A4070" i="4"/>
  <c r="A4071" i="4"/>
  <c r="A4072" i="4"/>
  <c r="A4073" i="4"/>
  <c r="A4074" i="4"/>
  <c r="A4075" i="4"/>
  <c r="A4076" i="4"/>
  <c r="A4077" i="4"/>
  <c r="A4078" i="4"/>
  <c r="A4079" i="4"/>
  <c r="A4080" i="4"/>
  <c r="A4081" i="4"/>
  <c r="A4082" i="4"/>
  <c r="A4083" i="4"/>
  <c r="A4084" i="4"/>
  <c r="A4085" i="4"/>
  <c r="A4086" i="4"/>
  <c r="A4087" i="4"/>
  <c r="A4088" i="4"/>
  <c r="A4089" i="4"/>
  <c r="A4090" i="4"/>
  <c r="A4091" i="4"/>
  <c r="A4092" i="4"/>
  <c r="A4093" i="4"/>
  <c r="A4094" i="4"/>
  <c r="A4095" i="4"/>
  <c r="A4096" i="4"/>
  <c r="A4097" i="4"/>
  <c r="A4098" i="4"/>
  <c r="A4099" i="4"/>
  <c r="A4100" i="4"/>
  <c r="A4101" i="4"/>
  <c r="A4102" i="4"/>
  <c r="A4103" i="4"/>
  <c r="A4104" i="4"/>
  <c r="A4105" i="4"/>
  <c r="A4106" i="4"/>
  <c r="A4107" i="4"/>
  <c r="A4108" i="4"/>
  <c r="A4109" i="4"/>
  <c r="A4110" i="4"/>
  <c r="A4111" i="4"/>
  <c r="A4112" i="4"/>
  <c r="A4113" i="4"/>
  <c r="A4114" i="4"/>
  <c r="A4115" i="4"/>
  <c r="A4116" i="4"/>
  <c r="A4117" i="4"/>
  <c r="A4118" i="4"/>
  <c r="A4119" i="4"/>
  <c r="A4120" i="4"/>
  <c r="A4121" i="4"/>
  <c r="A4122" i="4"/>
  <c r="A4123" i="4"/>
  <c r="A4124" i="4"/>
  <c r="A4125" i="4"/>
  <c r="A4126" i="4"/>
  <c r="A4127" i="4"/>
  <c r="A4128" i="4"/>
  <c r="A4129" i="4"/>
  <c r="A4130" i="4"/>
  <c r="A4131" i="4"/>
  <c r="A4132" i="4"/>
  <c r="A4133" i="4"/>
  <c r="A4134" i="4"/>
  <c r="A4135" i="4"/>
  <c r="A4136" i="4"/>
  <c r="A4137" i="4"/>
  <c r="A4138" i="4"/>
  <c r="A4139" i="4"/>
  <c r="A4140" i="4"/>
  <c r="A4141" i="4"/>
  <c r="A4142" i="4"/>
  <c r="A4143" i="4"/>
  <c r="A4144" i="4"/>
  <c r="A4145" i="4"/>
  <c r="A4146" i="4"/>
  <c r="A4147" i="4"/>
  <c r="A4148" i="4"/>
  <c r="A4149" i="4"/>
  <c r="A4150" i="4"/>
  <c r="A4151" i="4"/>
  <c r="A4152" i="4"/>
  <c r="A4153" i="4"/>
  <c r="A4154" i="4"/>
  <c r="A4155" i="4"/>
  <c r="A4156" i="4"/>
  <c r="A4157" i="4"/>
  <c r="A4158" i="4"/>
  <c r="A4159" i="4"/>
  <c r="A4160" i="4"/>
  <c r="A4161" i="4"/>
  <c r="A4162" i="4"/>
  <c r="A4163" i="4"/>
  <c r="A4164" i="4"/>
  <c r="A4165" i="4"/>
  <c r="A4166" i="4"/>
  <c r="A4167" i="4"/>
  <c r="A4168" i="4"/>
  <c r="A4169" i="4"/>
  <c r="A4170" i="4"/>
  <c r="A4171" i="4"/>
  <c r="A4172" i="4"/>
  <c r="A4173" i="4"/>
  <c r="A4174" i="4"/>
  <c r="A4175" i="4"/>
  <c r="A4176" i="4"/>
  <c r="A4177" i="4"/>
  <c r="A4178" i="4"/>
  <c r="A4179" i="4"/>
  <c r="A4180" i="4"/>
  <c r="A4181" i="4"/>
  <c r="A4182" i="4"/>
  <c r="A4183" i="4"/>
  <c r="A4184" i="4"/>
  <c r="A4185" i="4"/>
  <c r="A4186" i="4"/>
  <c r="A4187" i="4"/>
  <c r="A4188" i="4"/>
  <c r="A4189" i="4"/>
  <c r="A4190" i="4"/>
  <c r="A4191" i="4"/>
  <c r="A4192" i="4"/>
  <c r="A4193" i="4"/>
  <c r="A4194" i="4"/>
  <c r="A4195" i="4"/>
  <c r="A4196" i="4"/>
  <c r="A4197" i="4"/>
  <c r="A4198" i="4"/>
  <c r="A4199" i="4"/>
  <c r="A4200" i="4"/>
  <c r="A4201" i="4"/>
  <c r="A4202" i="4"/>
  <c r="A4203" i="4"/>
  <c r="A4204" i="4"/>
  <c r="A4205" i="4"/>
  <c r="A4206" i="4"/>
  <c r="A4207" i="4"/>
  <c r="A4208" i="4"/>
  <c r="A4209" i="4"/>
  <c r="A4210" i="4"/>
  <c r="A4211" i="4"/>
  <c r="A4212" i="4"/>
  <c r="A4213" i="4"/>
  <c r="A4214" i="4"/>
  <c r="A4215" i="4"/>
  <c r="A4216" i="4"/>
  <c r="A4217" i="4"/>
  <c r="A4218" i="4"/>
  <c r="A4219" i="4"/>
  <c r="A4220" i="4"/>
  <c r="A4221" i="4"/>
  <c r="A4222" i="4"/>
  <c r="A4223" i="4"/>
  <c r="A4224" i="4"/>
  <c r="A4225" i="4"/>
  <c r="A4226" i="4"/>
  <c r="A4227" i="4"/>
  <c r="A4228" i="4"/>
  <c r="A4229" i="4"/>
  <c r="A4230" i="4"/>
  <c r="A4231" i="4"/>
  <c r="A4232" i="4"/>
  <c r="A4233" i="4"/>
  <c r="A4234" i="4"/>
  <c r="A4235" i="4"/>
  <c r="A4236" i="4"/>
  <c r="A4237" i="4"/>
  <c r="A4238" i="4"/>
  <c r="A4239" i="4"/>
  <c r="A4240" i="4"/>
  <c r="A4241" i="4"/>
  <c r="A4242" i="4"/>
  <c r="A4243" i="4"/>
  <c r="A4244" i="4"/>
  <c r="A4245" i="4"/>
  <c r="A4246" i="4"/>
  <c r="A4247" i="4"/>
  <c r="A4248" i="4"/>
  <c r="A4249" i="4"/>
  <c r="A4250" i="4"/>
  <c r="A4251" i="4"/>
  <c r="A4252" i="4"/>
  <c r="A4253" i="4"/>
  <c r="A4254" i="4"/>
  <c r="A4255" i="4"/>
  <c r="A4256" i="4"/>
  <c r="A4257" i="4"/>
  <c r="A4258" i="4"/>
  <c r="A4259" i="4"/>
  <c r="A4260" i="4"/>
  <c r="A4261" i="4"/>
  <c r="A4262" i="4"/>
  <c r="A4263" i="4"/>
  <c r="A4264" i="4"/>
  <c r="A4265" i="4"/>
  <c r="A4266" i="4"/>
  <c r="A4267" i="4"/>
  <c r="A4268" i="4"/>
  <c r="A4269" i="4"/>
  <c r="A4270" i="4"/>
  <c r="A4271" i="4"/>
  <c r="A4272" i="4"/>
  <c r="A4273" i="4"/>
  <c r="A4274" i="4"/>
  <c r="A4275" i="4"/>
  <c r="A4276" i="4"/>
  <c r="A4277" i="4"/>
  <c r="A4278" i="4"/>
  <c r="A4279" i="4"/>
  <c r="A4280" i="4"/>
  <c r="A4281" i="4"/>
  <c r="A4282" i="4"/>
  <c r="A4283" i="4"/>
  <c r="A4284" i="4"/>
  <c r="A4285" i="4"/>
  <c r="A4286" i="4"/>
  <c r="A4287" i="4"/>
  <c r="A4288" i="4"/>
  <c r="A4289" i="4"/>
  <c r="A4290" i="4"/>
  <c r="A4291" i="4"/>
  <c r="A4292" i="4"/>
  <c r="A4293" i="4"/>
  <c r="A4294" i="4"/>
  <c r="A4295" i="4"/>
  <c r="A4296" i="4"/>
  <c r="A4297" i="4"/>
  <c r="A4298" i="4"/>
  <c r="A4299" i="4"/>
  <c r="A4300" i="4"/>
  <c r="A4301" i="4"/>
  <c r="A4302" i="4"/>
  <c r="A4303" i="4"/>
  <c r="A4304" i="4"/>
  <c r="A4305" i="4"/>
  <c r="A4306" i="4"/>
  <c r="A4307" i="4"/>
  <c r="A4308" i="4"/>
  <c r="A4309" i="4"/>
  <c r="A4310" i="4"/>
  <c r="A4311" i="4"/>
  <c r="A4312" i="4"/>
  <c r="A4313" i="4"/>
  <c r="A4314" i="4"/>
  <c r="A4315" i="4"/>
  <c r="A4316" i="4"/>
  <c r="A4317" i="4"/>
  <c r="A4318" i="4"/>
  <c r="A4319" i="4"/>
  <c r="A4320" i="4"/>
  <c r="A4321" i="4"/>
  <c r="A4322" i="4"/>
  <c r="A4323" i="4"/>
  <c r="A4324" i="4"/>
  <c r="A4325" i="4"/>
  <c r="A4326" i="4"/>
  <c r="A4327" i="4"/>
  <c r="A4328" i="4"/>
  <c r="A4329" i="4"/>
  <c r="A4330" i="4"/>
  <c r="A4331" i="4"/>
  <c r="A4332" i="4"/>
  <c r="A4333" i="4"/>
  <c r="A4334" i="4"/>
  <c r="A4335" i="4"/>
  <c r="A4336" i="4"/>
  <c r="A4337" i="4"/>
  <c r="A4338" i="4"/>
  <c r="A4339" i="4"/>
  <c r="A4340" i="4"/>
  <c r="A4341" i="4"/>
  <c r="A4342" i="4"/>
  <c r="A4343" i="4"/>
  <c r="A4344" i="4"/>
  <c r="A4345" i="4"/>
  <c r="A4346" i="4"/>
  <c r="A4347" i="4"/>
  <c r="A4348" i="4"/>
  <c r="A4349" i="4"/>
  <c r="A4350" i="4"/>
  <c r="A4351" i="4"/>
  <c r="A4352" i="4"/>
  <c r="A4353" i="4"/>
  <c r="A4354" i="4"/>
  <c r="A4355" i="4"/>
  <c r="A4356" i="4"/>
  <c r="A4357" i="4"/>
  <c r="A4358" i="4"/>
  <c r="A4359" i="4"/>
  <c r="A4360" i="4"/>
  <c r="A4361" i="4"/>
  <c r="A4362" i="4"/>
  <c r="A4363" i="4"/>
  <c r="A4364" i="4"/>
  <c r="A4365" i="4"/>
  <c r="A4366" i="4"/>
  <c r="A4367" i="4"/>
  <c r="A4368" i="4"/>
  <c r="A4369" i="4"/>
  <c r="A4370" i="4"/>
  <c r="A4371" i="4"/>
  <c r="A4372" i="4"/>
  <c r="A4373" i="4"/>
  <c r="A4374" i="4"/>
  <c r="A4375" i="4"/>
  <c r="A4376" i="4"/>
  <c r="A4377" i="4"/>
  <c r="A4378" i="4"/>
  <c r="A4379" i="4"/>
  <c r="A4380" i="4"/>
  <c r="A4381" i="4"/>
  <c r="A4382" i="4"/>
  <c r="A4383" i="4"/>
  <c r="A4384" i="4"/>
  <c r="A4385" i="4"/>
  <c r="A4386" i="4"/>
  <c r="A4387" i="4"/>
  <c r="A4388" i="4"/>
  <c r="A4389" i="4"/>
  <c r="A4390" i="4"/>
  <c r="A4391" i="4"/>
  <c r="A4392" i="4"/>
  <c r="A4393" i="4"/>
  <c r="A4394" i="4"/>
  <c r="A4395" i="4"/>
  <c r="A4396" i="4"/>
  <c r="A4397" i="4"/>
  <c r="A4398" i="4"/>
  <c r="A4399" i="4"/>
  <c r="A4400" i="4"/>
  <c r="A4401" i="4"/>
  <c r="A4402" i="4"/>
  <c r="A4403" i="4"/>
  <c r="A4404" i="4"/>
  <c r="A4405" i="4"/>
  <c r="A4406" i="4"/>
  <c r="A4407" i="4"/>
  <c r="A4408" i="4"/>
  <c r="A4409" i="4"/>
  <c r="A4410" i="4"/>
  <c r="A4411" i="4"/>
  <c r="A4412" i="4"/>
  <c r="A4413" i="4"/>
  <c r="A4414" i="4"/>
  <c r="A4415" i="4"/>
  <c r="A4416" i="4"/>
  <c r="A4417" i="4"/>
  <c r="A4418" i="4"/>
  <c r="A4419" i="4"/>
  <c r="A4420" i="4"/>
  <c r="A4421" i="4"/>
  <c r="A4422" i="4"/>
  <c r="A4423" i="4"/>
  <c r="A4424" i="4"/>
  <c r="A4425" i="4"/>
  <c r="A4426" i="4"/>
  <c r="A4427" i="4"/>
  <c r="A4428" i="4"/>
  <c r="A4429" i="4"/>
  <c r="A4430" i="4"/>
  <c r="A4431" i="4"/>
  <c r="A4432" i="4"/>
  <c r="A4433" i="4"/>
  <c r="A4434" i="4"/>
  <c r="A4435" i="4"/>
  <c r="A4436" i="4"/>
  <c r="A4437" i="4"/>
  <c r="A4438" i="4"/>
  <c r="A4439" i="4"/>
  <c r="A4440" i="4"/>
  <c r="A4441" i="4"/>
  <c r="A4442" i="4"/>
  <c r="A4443" i="4"/>
  <c r="A4444" i="4"/>
  <c r="A4445" i="4"/>
  <c r="A4446" i="4"/>
  <c r="A4447" i="4"/>
  <c r="A4448" i="4"/>
  <c r="A4449" i="4"/>
  <c r="A4450" i="4"/>
  <c r="A4451" i="4"/>
  <c r="A4452" i="4"/>
  <c r="A4453" i="4"/>
  <c r="A4454" i="4"/>
  <c r="A4455" i="4"/>
  <c r="A4456" i="4"/>
  <c r="A4457" i="4"/>
  <c r="A4458" i="4"/>
  <c r="A4459" i="4"/>
  <c r="A4460" i="4"/>
  <c r="A4461" i="4"/>
  <c r="A4462" i="4"/>
  <c r="A4463" i="4"/>
  <c r="A4464" i="4"/>
  <c r="A4465" i="4"/>
  <c r="A4466" i="4"/>
  <c r="A4467" i="4"/>
  <c r="A4468" i="4"/>
  <c r="A4469" i="4"/>
  <c r="A4470" i="4"/>
  <c r="A4471" i="4"/>
  <c r="A4472" i="4"/>
  <c r="A4473" i="4"/>
  <c r="A4474" i="4"/>
  <c r="A4475" i="4"/>
  <c r="A4476" i="4"/>
  <c r="A4477" i="4"/>
  <c r="A4478" i="4"/>
  <c r="A4479" i="4"/>
  <c r="A4480" i="4"/>
  <c r="A4481" i="4"/>
  <c r="A4482" i="4"/>
  <c r="A4483" i="4"/>
  <c r="A4484" i="4"/>
  <c r="A4485" i="4"/>
  <c r="A4486" i="4"/>
  <c r="A4487" i="4"/>
  <c r="A4488" i="4"/>
  <c r="A4489" i="4"/>
  <c r="A4490" i="4"/>
  <c r="A4491" i="4"/>
  <c r="A4492" i="4"/>
  <c r="A4493" i="4"/>
  <c r="A4494" i="4"/>
  <c r="A4495" i="4"/>
  <c r="A4496" i="4"/>
  <c r="A4497" i="4"/>
  <c r="A4498" i="4"/>
  <c r="A4499" i="4"/>
  <c r="A4500" i="4"/>
  <c r="A4501" i="4"/>
  <c r="A4502" i="4"/>
  <c r="A4503" i="4"/>
  <c r="A4504" i="4"/>
  <c r="A4505" i="4"/>
  <c r="A4506" i="4"/>
  <c r="A4507" i="4"/>
  <c r="A4508" i="4"/>
  <c r="A4509" i="4"/>
  <c r="A4510" i="4"/>
  <c r="A4511" i="4"/>
  <c r="A4512" i="4"/>
  <c r="A4513" i="4"/>
  <c r="A4514" i="4"/>
  <c r="A4515" i="4"/>
  <c r="A4516" i="4"/>
  <c r="A4517" i="4"/>
  <c r="A4518" i="4"/>
  <c r="A4519" i="4"/>
  <c r="A4520" i="4"/>
  <c r="A4521" i="4"/>
  <c r="A4522" i="4"/>
  <c r="A4523" i="4"/>
  <c r="A4524" i="4"/>
  <c r="A4525" i="4"/>
  <c r="A4526" i="4"/>
  <c r="A4527" i="4"/>
  <c r="A4528" i="4"/>
  <c r="A4529" i="4"/>
  <c r="A4530" i="4"/>
  <c r="A4531" i="4"/>
  <c r="A4532" i="4"/>
  <c r="A4533" i="4"/>
  <c r="A4534" i="4"/>
  <c r="A4535" i="4"/>
  <c r="A4536" i="4"/>
  <c r="A4537" i="4"/>
  <c r="A4538" i="4"/>
  <c r="A4539" i="4"/>
  <c r="A4540" i="4"/>
  <c r="A4541" i="4"/>
  <c r="A4542" i="4"/>
  <c r="A4543" i="4"/>
  <c r="A4544" i="4"/>
  <c r="A4545" i="4"/>
  <c r="A4546" i="4"/>
  <c r="A4547" i="4"/>
  <c r="A4548" i="4"/>
  <c r="A4549" i="4"/>
  <c r="A4550" i="4"/>
  <c r="A4551" i="4"/>
  <c r="A4552" i="4"/>
  <c r="A4553" i="4"/>
  <c r="A4554" i="4"/>
  <c r="A4555" i="4"/>
  <c r="A4556" i="4"/>
  <c r="A4557" i="4"/>
  <c r="A4558" i="4"/>
  <c r="A4559" i="4"/>
  <c r="A4560" i="4"/>
  <c r="A4561" i="4"/>
  <c r="A4562" i="4"/>
  <c r="A4563" i="4"/>
  <c r="A4564" i="4"/>
  <c r="A4565" i="4"/>
  <c r="A4566" i="4"/>
  <c r="A4567" i="4"/>
  <c r="A4568" i="4"/>
  <c r="A4569" i="4"/>
  <c r="A4570" i="4"/>
  <c r="A4571" i="4"/>
  <c r="A4572" i="4"/>
  <c r="A4573" i="4"/>
  <c r="A4574" i="4"/>
  <c r="A4575" i="4"/>
  <c r="A4576" i="4"/>
  <c r="A4577" i="4"/>
  <c r="A4578" i="4"/>
  <c r="A4579" i="4"/>
  <c r="A4580" i="4"/>
  <c r="A4581" i="4"/>
  <c r="A4582" i="4"/>
  <c r="A4583" i="4"/>
  <c r="A4584" i="4"/>
  <c r="A4585" i="4"/>
  <c r="A4586" i="4"/>
  <c r="A4587" i="4"/>
  <c r="A4588" i="4"/>
  <c r="A4589" i="4"/>
  <c r="A4590" i="4"/>
  <c r="A4591" i="4"/>
  <c r="A4592" i="4"/>
  <c r="A4593" i="4"/>
  <c r="A4594" i="4"/>
  <c r="A4595" i="4"/>
  <c r="A4596" i="4"/>
  <c r="A4597" i="4"/>
  <c r="A4598" i="4"/>
  <c r="A4599" i="4"/>
  <c r="A4600" i="4"/>
  <c r="A4601" i="4"/>
  <c r="A4602" i="4"/>
  <c r="A4603" i="4"/>
  <c r="A4604" i="4"/>
  <c r="A4605" i="4"/>
  <c r="A4606" i="4"/>
  <c r="A4607" i="4"/>
  <c r="A4608" i="4"/>
  <c r="A4609" i="4"/>
  <c r="A4610" i="4"/>
  <c r="A4611" i="4"/>
  <c r="A4612" i="4"/>
  <c r="A4613" i="4"/>
  <c r="A4614" i="4"/>
  <c r="A4615" i="4"/>
  <c r="A4616" i="4"/>
  <c r="A4617" i="4"/>
  <c r="A4618" i="4"/>
  <c r="A4619" i="4"/>
  <c r="A4620" i="4"/>
  <c r="A4621" i="4"/>
  <c r="A4622" i="4"/>
  <c r="A4623" i="4"/>
  <c r="A4624" i="4"/>
  <c r="A4625" i="4"/>
  <c r="A4626" i="4"/>
  <c r="A4627" i="4"/>
  <c r="A4628" i="4"/>
  <c r="A4629" i="4"/>
  <c r="A4630" i="4"/>
  <c r="A4631" i="4"/>
  <c r="A4632" i="4"/>
  <c r="A4633" i="4"/>
  <c r="A4634" i="4"/>
  <c r="A4635" i="4"/>
  <c r="A4636" i="4"/>
  <c r="A4637" i="4"/>
  <c r="A4638" i="4"/>
  <c r="A4639" i="4"/>
  <c r="A4640" i="4"/>
  <c r="A4641" i="4"/>
  <c r="A4642" i="4"/>
  <c r="A4643" i="4"/>
  <c r="A4644" i="4"/>
  <c r="A4645" i="4"/>
  <c r="A4646" i="4"/>
  <c r="A4647" i="4"/>
  <c r="A4648" i="4"/>
  <c r="A4649" i="4"/>
  <c r="A4650" i="4"/>
  <c r="A4651" i="4"/>
  <c r="A4652" i="4"/>
  <c r="A4653" i="4"/>
  <c r="A4654" i="4"/>
  <c r="A4655" i="4"/>
  <c r="A4656" i="4"/>
  <c r="A4657" i="4"/>
  <c r="A4658" i="4"/>
  <c r="A4659" i="4"/>
  <c r="A4660" i="4"/>
  <c r="A4661" i="4"/>
  <c r="A4662" i="4"/>
  <c r="A4663" i="4"/>
  <c r="A4664" i="4"/>
  <c r="A4665" i="4"/>
  <c r="A4666" i="4"/>
  <c r="A4667" i="4"/>
  <c r="A4668" i="4"/>
  <c r="A4669" i="4"/>
  <c r="A4670" i="4"/>
  <c r="A4671" i="4"/>
  <c r="A4672" i="4"/>
  <c r="A4673" i="4"/>
  <c r="A4674" i="4"/>
  <c r="A4675" i="4"/>
  <c r="A4676" i="4"/>
  <c r="A4677" i="4"/>
  <c r="A4678" i="4"/>
  <c r="A4679" i="4"/>
  <c r="A4680" i="4"/>
  <c r="A4681" i="4"/>
  <c r="A4682" i="4"/>
  <c r="A4683" i="4"/>
  <c r="A4684" i="4"/>
  <c r="A4685" i="4"/>
  <c r="A4686" i="4"/>
  <c r="A4687" i="4"/>
  <c r="A4688" i="4"/>
  <c r="A4689" i="4"/>
  <c r="A4690" i="4"/>
  <c r="A4691" i="4"/>
  <c r="A4692" i="4"/>
  <c r="A4693" i="4"/>
  <c r="A4694" i="4"/>
  <c r="A4695" i="4"/>
  <c r="A4696" i="4"/>
  <c r="A4697" i="4"/>
  <c r="A4698" i="4"/>
  <c r="A4699" i="4"/>
  <c r="A4700" i="4"/>
  <c r="A4701" i="4"/>
  <c r="A4702" i="4"/>
  <c r="A4703" i="4"/>
  <c r="A4704" i="4"/>
  <c r="A4705" i="4"/>
  <c r="A4706" i="4"/>
  <c r="A4707" i="4"/>
  <c r="A4708" i="4"/>
  <c r="A4709" i="4"/>
  <c r="A4710" i="4"/>
  <c r="A4711" i="4"/>
  <c r="A4712" i="4"/>
  <c r="A4713" i="4"/>
  <c r="A4714" i="4"/>
  <c r="A4715" i="4"/>
  <c r="A4716" i="4"/>
  <c r="A4717" i="4"/>
  <c r="A4718" i="4"/>
  <c r="A4719" i="4"/>
  <c r="A4720" i="4"/>
  <c r="A4721" i="4"/>
  <c r="A4722" i="4"/>
  <c r="A4723" i="4"/>
  <c r="A4724" i="4"/>
  <c r="A4725" i="4"/>
  <c r="A4726" i="4"/>
  <c r="A4727" i="4"/>
  <c r="A4728" i="4"/>
  <c r="A4729" i="4"/>
  <c r="A4730" i="4"/>
  <c r="A4731" i="4"/>
  <c r="A4732" i="4"/>
  <c r="A4733" i="4"/>
  <c r="A4734" i="4"/>
  <c r="A4735" i="4"/>
  <c r="A4736" i="4"/>
  <c r="A4737" i="4"/>
  <c r="A4738" i="4"/>
  <c r="A4739" i="4"/>
  <c r="A4740" i="4"/>
  <c r="A4741" i="4"/>
  <c r="A4742" i="4"/>
  <c r="A4743" i="4"/>
  <c r="A4744" i="4"/>
  <c r="A4745" i="4"/>
  <c r="A4746" i="4"/>
  <c r="A4747" i="4"/>
  <c r="A4748" i="4"/>
  <c r="A4749" i="4"/>
  <c r="A4750" i="4"/>
  <c r="A4751" i="4"/>
  <c r="A4752" i="4"/>
  <c r="A4753" i="4"/>
  <c r="A4754" i="4"/>
  <c r="A4755" i="4"/>
  <c r="A4756" i="4"/>
  <c r="A4757" i="4"/>
  <c r="A4758" i="4"/>
  <c r="A4759" i="4"/>
  <c r="A4760" i="4"/>
  <c r="A4761" i="4"/>
  <c r="A4762" i="4"/>
  <c r="A4763" i="4"/>
  <c r="A4764" i="4"/>
  <c r="A4765" i="4"/>
  <c r="A4766" i="4"/>
  <c r="A4767" i="4"/>
  <c r="A4768" i="4"/>
  <c r="A4769" i="4"/>
  <c r="A4770" i="4"/>
  <c r="A4771" i="4"/>
  <c r="A4772" i="4"/>
  <c r="A4773" i="4"/>
  <c r="A4774" i="4"/>
  <c r="A4775" i="4"/>
  <c r="A4776" i="4"/>
  <c r="A4777" i="4"/>
  <c r="A4778" i="4"/>
  <c r="A4779" i="4"/>
  <c r="A4780" i="4"/>
  <c r="A4781" i="4"/>
  <c r="A4782" i="4"/>
  <c r="A4783" i="4"/>
  <c r="A4784" i="4"/>
  <c r="A4785" i="4"/>
  <c r="A4786" i="4"/>
  <c r="A4787" i="4"/>
  <c r="A4788" i="4"/>
  <c r="A4789" i="4"/>
  <c r="A4790" i="4"/>
  <c r="A4791" i="4"/>
  <c r="A4792" i="4"/>
  <c r="A4793" i="4"/>
  <c r="A4794" i="4"/>
  <c r="A4795" i="4"/>
  <c r="A4796" i="4"/>
  <c r="A4797" i="4"/>
  <c r="A4798" i="4"/>
  <c r="A4799" i="4"/>
  <c r="A4800" i="4"/>
  <c r="A4801" i="4"/>
  <c r="A4802" i="4"/>
  <c r="A4803" i="4"/>
  <c r="A4804" i="4"/>
  <c r="A4805" i="4"/>
  <c r="A4806" i="4"/>
  <c r="A4807" i="4"/>
  <c r="A4808" i="4"/>
  <c r="A4809" i="4"/>
  <c r="A4810" i="4"/>
  <c r="A4811" i="4"/>
  <c r="A4812" i="4"/>
  <c r="A4813" i="4"/>
  <c r="A4814" i="4"/>
  <c r="A4815" i="4"/>
  <c r="A4816" i="4"/>
  <c r="A4817" i="4"/>
  <c r="A4818" i="4"/>
  <c r="A4819" i="4"/>
  <c r="A4820" i="4"/>
  <c r="A4821" i="4"/>
  <c r="A4822" i="4"/>
  <c r="A4823" i="4"/>
  <c r="A4824" i="4"/>
  <c r="A4825" i="4"/>
  <c r="A4826" i="4"/>
  <c r="A4827" i="4"/>
  <c r="A4828" i="4"/>
  <c r="A4829" i="4"/>
  <c r="A4830" i="4"/>
  <c r="A4831" i="4"/>
  <c r="A4832" i="4"/>
  <c r="A4833" i="4"/>
  <c r="A4834" i="4"/>
  <c r="A4835" i="4"/>
  <c r="A4836" i="4"/>
  <c r="A4837" i="4"/>
  <c r="A4838" i="4"/>
  <c r="A4839" i="4"/>
  <c r="A4840" i="4"/>
  <c r="A4841" i="4"/>
  <c r="A4842" i="4"/>
  <c r="A4843" i="4"/>
  <c r="A4844" i="4"/>
  <c r="A4845" i="4"/>
  <c r="A4846" i="4"/>
  <c r="A4847" i="4"/>
  <c r="A4848" i="4"/>
  <c r="A4849" i="4"/>
  <c r="A4850" i="4"/>
  <c r="A4851" i="4"/>
  <c r="A4852" i="4"/>
  <c r="A4853" i="4"/>
  <c r="A4854" i="4"/>
  <c r="A4855" i="4"/>
  <c r="A4856" i="4"/>
  <c r="A4857" i="4"/>
  <c r="A4858" i="4"/>
  <c r="A4859" i="4"/>
  <c r="A4860" i="4"/>
  <c r="A4861" i="4"/>
  <c r="A4862" i="4"/>
  <c r="A4863" i="4"/>
  <c r="A4864" i="4"/>
  <c r="A4865" i="4"/>
  <c r="A4866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A5001" i="4"/>
  <c r="A5002" i="4"/>
  <c r="A5003" i="4"/>
  <c r="A5004" i="4"/>
  <c r="A5005" i="4"/>
  <c r="A5006" i="4"/>
  <c r="A5007" i="4"/>
  <c r="A5008" i="4"/>
  <c r="A5009" i="4"/>
  <c r="A5010" i="4"/>
  <c r="A5011" i="4"/>
  <c r="A5012" i="4"/>
  <c r="A5013" i="4"/>
  <c r="A5014" i="4"/>
  <c r="A5015" i="4"/>
  <c r="A5016" i="4"/>
  <c r="A5017" i="4"/>
  <c r="A5018" i="4"/>
  <c r="A5019" i="4"/>
  <c r="A5020" i="4"/>
  <c r="A5021" i="4"/>
  <c r="A5022" i="4"/>
  <c r="A5023" i="4"/>
  <c r="A5024" i="4"/>
  <c r="A5025" i="4"/>
  <c r="A5026" i="4"/>
  <c r="A5027" i="4"/>
  <c r="A5028" i="4"/>
  <c r="A5029" i="4"/>
  <c r="A5030" i="4"/>
  <c r="A5031" i="4"/>
  <c r="A5032" i="4"/>
  <c r="A5033" i="4"/>
  <c r="A5034" i="4"/>
  <c r="A5035" i="4"/>
  <c r="A5036" i="4"/>
  <c r="A5037" i="4"/>
  <c r="A5038" i="4"/>
  <c r="A5039" i="4"/>
  <c r="A5040" i="4"/>
  <c r="A5041" i="4"/>
  <c r="A5042" i="4"/>
  <c r="A5043" i="4"/>
  <c r="A5044" i="4"/>
  <c r="A5045" i="4"/>
  <c r="A5046" i="4"/>
  <c r="A5047" i="4"/>
  <c r="A5048" i="4"/>
  <c r="A5049" i="4"/>
  <c r="A5050" i="4"/>
  <c r="A5051" i="4"/>
  <c r="A5052" i="4"/>
  <c r="A5053" i="4"/>
  <c r="A5054" i="4"/>
  <c r="A5055" i="4"/>
  <c r="A5056" i="4"/>
  <c r="A5057" i="4"/>
  <c r="A5058" i="4"/>
  <c r="A5059" i="4"/>
  <c r="A5060" i="4"/>
  <c r="A5061" i="4"/>
  <c r="A5062" i="4"/>
  <c r="A5063" i="4"/>
  <c r="A5064" i="4"/>
  <c r="A5065" i="4"/>
  <c r="A5066" i="4"/>
  <c r="A5067" i="4"/>
  <c r="A5068" i="4"/>
  <c r="A5069" i="4"/>
  <c r="A5070" i="4"/>
  <c r="A5071" i="4"/>
  <c r="A5072" i="4"/>
  <c r="A5073" i="4"/>
  <c r="A5074" i="4"/>
  <c r="A5075" i="4"/>
  <c r="A5076" i="4"/>
  <c r="A5077" i="4"/>
  <c r="A5078" i="4"/>
  <c r="A5079" i="4"/>
  <c r="A5080" i="4"/>
  <c r="A5081" i="4"/>
  <c r="A5082" i="4"/>
  <c r="A5083" i="4"/>
  <c r="A5084" i="4"/>
  <c r="A5085" i="4"/>
  <c r="A5086" i="4"/>
  <c r="A5087" i="4"/>
  <c r="A5088" i="4"/>
  <c r="A5089" i="4"/>
  <c r="A5090" i="4"/>
  <c r="A5091" i="4"/>
  <c r="A5092" i="4"/>
  <c r="A5093" i="4"/>
  <c r="A5094" i="4"/>
  <c r="A5095" i="4"/>
  <c r="A5096" i="4"/>
  <c r="A5097" i="4"/>
  <c r="A5098" i="4"/>
  <c r="A5099" i="4"/>
  <c r="A5100" i="4"/>
  <c r="A5101" i="4"/>
  <c r="A5102" i="4"/>
  <c r="A5103" i="4"/>
  <c r="A5104" i="4"/>
  <c r="A5105" i="4"/>
  <c r="A5106" i="4"/>
  <c r="A5107" i="4"/>
  <c r="A5108" i="4"/>
  <c r="A5109" i="4"/>
  <c r="A5110" i="4"/>
  <c r="A5111" i="4"/>
  <c r="A5112" i="4"/>
  <c r="A5113" i="4"/>
  <c r="A5114" i="4"/>
  <c r="A5115" i="4"/>
  <c r="A5116" i="4"/>
  <c r="A5117" i="4"/>
  <c r="A5118" i="4"/>
  <c r="A5119" i="4"/>
  <c r="A5120" i="4"/>
  <c r="A5121" i="4"/>
  <c r="A5122" i="4"/>
  <c r="A5123" i="4"/>
  <c r="A5124" i="4"/>
  <c r="A5125" i="4"/>
  <c r="A5126" i="4"/>
  <c r="A5127" i="4"/>
  <c r="A5128" i="4"/>
  <c r="A5129" i="4"/>
  <c r="A5130" i="4"/>
  <c r="A5131" i="4"/>
  <c r="A5132" i="4"/>
  <c r="A5133" i="4"/>
  <c r="A5134" i="4"/>
  <c r="A5135" i="4"/>
  <c r="A5136" i="4"/>
  <c r="A5137" i="4"/>
  <c r="A5138" i="4"/>
  <c r="A5139" i="4"/>
  <c r="A5140" i="4"/>
  <c r="A5141" i="4"/>
  <c r="A5142" i="4"/>
  <c r="A5143" i="4"/>
  <c r="A5144" i="4"/>
  <c r="A5145" i="4"/>
  <c r="A5146" i="4"/>
  <c r="A5147" i="4"/>
  <c r="A5148" i="4"/>
  <c r="A5149" i="4"/>
  <c r="A5150" i="4"/>
  <c r="A5151" i="4"/>
  <c r="A5152" i="4"/>
  <c r="A5153" i="4"/>
  <c r="A5154" i="4"/>
  <c r="A5155" i="4"/>
  <c r="A5156" i="4"/>
  <c r="A5157" i="4"/>
  <c r="A5158" i="4"/>
  <c r="A5159" i="4"/>
  <c r="A5160" i="4"/>
  <c r="A5161" i="4"/>
  <c r="A5162" i="4"/>
  <c r="A5163" i="4"/>
  <c r="A5164" i="4"/>
  <c r="A5165" i="4"/>
  <c r="A5166" i="4"/>
  <c r="A5167" i="4"/>
  <c r="A5168" i="4"/>
  <c r="A5169" i="4"/>
  <c r="A5170" i="4"/>
  <c r="A5171" i="4"/>
  <c r="A5172" i="4"/>
  <c r="A5173" i="4"/>
  <c r="A5174" i="4"/>
  <c r="A5175" i="4"/>
  <c r="A5176" i="4"/>
  <c r="A5177" i="4"/>
  <c r="A5178" i="4"/>
  <c r="A5179" i="4"/>
  <c r="A5180" i="4"/>
  <c r="A5181" i="4"/>
  <c r="A5182" i="4"/>
  <c r="A5183" i="4"/>
  <c r="A5184" i="4"/>
  <c r="A5185" i="4"/>
  <c r="A5186" i="4"/>
  <c r="A5187" i="4"/>
  <c r="A5188" i="4"/>
  <c r="A5189" i="4"/>
  <c r="A5190" i="4"/>
  <c r="A5191" i="4"/>
  <c r="A5192" i="4"/>
  <c r="A5193" i="4"/>
  <c r="A5194" i="4"/>
  <c r="A5195" i="4"/>
  <c r="A5196" i="4"/>
  <c r="A5197" i="4"/>
  <c r="A5198" i="4"/>
  <c r="A5199" i="4"/>
  <c r="A5200" i="4"/>
  <c r="A5201" i="4"/>
  <c r="A5202" i="4"/>
  <c r="A5203" i="4"/>
  <c r="A5204" i="4"/>
  <c r="A5205" i="4"/>
  <c r="A5206" i="4"/>
  <c r="A5207" i="4"/>
  <c r="A5208" i="4"/>
  <c r="A5209" i="4"/>
  <c r="A5210" i="4"/>
  <c r="A5211" i="4"/>
  <c r="A5212" i="4"/>
  <c r="A5213" i="4"/>
  <c r="A5214" i="4"/>
  <c r="A5215" i="4"/>
  <c r="A5216" i="4"/>
  <c r="A5217" i="4"/>
  <c r="A5218" i="4"/>
  <c r="A5219" i="4"/>
  <c r="A5220" i="4"/>
  <c r="A5221" i="4"/>
  <c r="A5222" i="4"/>
  <c r="A5223" i="4"/>
  <c r="A5224" i="4"/>
  <c r="A5225" i="4"/>
  <c r="A5226" i="4"/>
  <c r="A5227" i="4"/>
  <c r="A5228" i="4"/>
  <c r="A5229" i="4"/>
  <c r="A5230" i="4"/>
  <c r="A5231" i="4"/>
  <c r="A5232" i="4"/>
  <c r="A5233" i="4"/>
  <c r="A5234" i="4"/>
  <c r="A5235" i="4"/>
  <c r="A5236" i="4"/>
  <c r="A5237" i="4"/>
  <c r="A5238" i="4"/>
  <c r="A5239" i="4"/>
  <c r="A5240" i="4"/>
  <c r="A5241" i="4"/>
  <c r="A5242" i="4"/>
  <c r="A5243" i="4"/>
  <c r="A5244" i="4"/>
  <c r="A5245" i="4"/>
  <c r="A5246" i="4"/>
  <c r="A5247" i="4"/>
  <c r="A5248" i="4"/>
  <c r="A5249" i="4"/>
  <c r="A5250" i="4"/>
  <c r="A5251" i="4"/>
  <c r="A5252" i="4"/>
  <c r="A5253" i="4"/>
  <c r="A5254" i="4"/>
  <c r="A5255" i="4"/>
  <c r="A5256" i="4"/>
  <c r="A5257" i="4"/>
  <c r="A5258" i="4"/>
  <c r="A5259" i="4"/>
  <c r="A5260" i="4"/>
  <c r="A5261" i="4"/>
  <c r="A5262" i="4"/>
  <c r="A5263" i="4"/>
  <c r="A5264" i="4"/>
  <c r="A5265" i="4"/>
  <c r="A5266" i="4"/>
  <c r="A5267" i="4"/>
  <c r="A5268" i="4"/>
  <c r="A5269" i="4"/>
  <c r="A5270" i="4"/>
  <c r="A5271" i="4"/>
  <c r="A5272" i="4"/>
  <c r="A5273" i="4"/>
  <c r="A5274" i="4"/>
  <c r="A5275" i="4"/>
  <c r="A5276" i="4"/>
  <c r="A5277" i="4"/>
  <c r="A5278" i="4"/>
  <c r="A5279" i="4"/>
  <c r="A5280" i="4"/>
  <c r="A5281" i="4"/>
  <c r="A5282" i="4"/>
  <c r="A5283" i="4"/>
  <c r="A5284" i="4"/>
  <c r="A5285" i="4"/>
  <c r="A5286" i="4"/>
  <c r="A5287" i="4"/>
  <c r="A5288" i="4"/>
  <c r="A5289" i="4"/>
  <c r="A5290" i="4"/>
  <c r="A5291" i="4"/>
  <c r="A5292" i="4"/>
  <c r="A5293" i="4"/>
  <c r="A5294" i="4"/>
  <c r="A5295" i="4"/>
  <c r="A5296" i="4"/>
  <c r="A5297" i="4"/>
  <c r="A5298" i="4"/>
  <c r="A5299" i="4"/>
  <c r="A5300" i="4"/>
  <c r="A5301" i="4"/>
  <c r="A5302" i="4"/>
  <c r="A5303" i="4"/>
  <c r="A5304" i="4"/>
  <c r="A5305" i="4"/>
  <c r="A5306" i="4"/>
  <c r="A5307" i="4"/>
  <c r="A5308" i="4"/>
  <c r="A5309" i="4"/>
  <c r="A5310" i="4"/>
  <c r="A5311" i="4"/>
  <c r="A5312" i="4"/>
  <c r="A5313" i="4"/>
  <c r="A5314" i="4"/>
  <c r="A5315" i="4"/>
  <c r="A5316" i="4"/>
  <c r="A5317" i="4"/>
  <c r="A5318" i="4"/>
  <c r="A5319" i="4"/>
  <c r="A5320" i="4"/>
  <c r="A5321" i="4"/>
  <c r="A5322" i="4"/>
  <c r="A5323" i="4"/>
  <c r="A5324" i="4"/>
  <c r="A5325" i="4"/>
  <c r="A5326" i="4"/>
  <c r="A5327" i="4"/>
  <c r="A5328" i="4"/>
  <c r="A5329" i="4"/>
  <c r="A5330" i="4"/>
  <c r="A5331" i="4"/>
  <c r="A5332" i="4"/>
  <c r="A5333" i="4"/>
  <c r="A5334" i="4"/>
  <c r="A5335" i="4"/>
  <c r="A5336" i="4"/>
  <c r="A5337" i="4"/>
  <c r="A5338" i="4"/>
  <c r="A5339" i="4"/>
  <c r="A5340" i="4"/>
  <c r="A5341" i="4"/>
  <c r="A5342" i="4"/>
  <c r="A5343" i="4"/>
  <c r="A5344" i="4"/>
  <c r="A5345" i="4"/>
  <c r="A5346" i="4"/>
  <c r="A5347" i="4"/>
  <c r="A5348" i="4"/>
  <c r="A5349" i="4"/>
  <c r="A5350" i="4"/>
  <c r="A5351" i="4"/>
  <c r="A5352" i="4"/>
  <c r="A5353" i="4"/>
  <c r="A5354" i="4"/>
  <c r="A5355" i="4"/>
  <c r="A5356" i="4"/>
  <c r="A5357" i="4"/>
  <c r="A5358" i="4"/>
  <c r="A5359" i="4"/>
  <c r="A5360" i="4"/>
  <c r="A5361" i="4"/>
  <c r="A5362" i="4"/>
  <c r="A5363" i="4"/>
  <c r="A5364" i="4"/>
  <c r="A5365" i="4"/>
  <c r="A5366" i="4"/>
  <c r="A5367" i="4"/>
  <c r="A5368" i="4"/>
  <c r="A5369" i="4"/>
  <c r="A5370" i="4"/>
  <c r="A5371" i="4"/>
  <c r="A5372" i="4"/>
  <c r="A5373" i="4"/>
  <c r="A5374" i="4"/>
  <c r="A5375" i="4"/>
  <c r="A5376" i="4"/>
  <c r="A5377" i="4"/>
  <c r="A5378" i="4"/>
  <c r="A5379" i="4"/>
  <c r="A5380" i="4"/>
  <c r="A5381" i="4"/>
  <c r="A5382" i="4"/>
  <c r="A5383" i="4"/>
  <c r="A5384" i="4"/>
  <c r="A5385" i="4"/>
  <c r="A5386" i="4"/>
  <c r="A5387" i="4"/>
  <c r="A5388" i="4"/>
  <c r="A5389" i="4"/>
  <c r="A5390" i="4"/>
  <c r="A5391" i="4"/>
  <c r="A5392" i="4"/>
  <c r="A5393" i="4"/>
  <c r="A5394" i="4"/>
  <c r="A5395" i="4"/>
  <c r="A5396" i="4"/>
  <c r="A5397" i="4"/>
  <c r="A5398" i="4"/>
  <c r="A5399" i="4"/>
  <c r="A5400" i="4"/>
  <c r="A5401" i="4"/>
  <c r="A5402" i="4"/>
  <c r="A5403" i="4"/>
  <c r="A5404" i="4"/>
  <c r="A5405" i="4"/>
  <c r="A5406" i="4"/>
  <c r="A5407" i="4"/>
  <c r="A5408" i="4"/>
  <c r="A5409" i="4"/>
  <c r="A5410" i="4"/>
  <c r="A5411" i="4"/>
  <c r="A5412" i="4"/>
  <c r="A5413" i="4"/>
  <c r="A5414" i="4"/>
  <c r="A5415" i="4"/>
  <c r="A5416" i="4"/>
  <c r="A5417" i="4"/>
  <c r="A5418" i="4"/>
  <c r="A5419" i="4"/>
  <c r="A5420" i="4"/>
  <c r="A5421" i="4"/>
  <c r="A5422" i="4"/>
  <c r="A5423" i="4"/>
  <c r="A5424" i="4"/>
  <c r="A5425" i="4"/>
  <c r="A5426" i="4"/>
  <c r="A5427" i="4"/>
  <c r="A5428" i="4"/>
  <c r="A5429" i="4"/>
  <c r="A5430" i="4"/>
  <c r="A5431" i="4"/>
  <c r="A5432" i="4"/>
  <c r="A5433" i="4"/>
  <c r="A5434" i="4"/>
  <c r="A5435" i="4"/>
  <c r="A5436" i="4"/>
  <c r="A5437" i="4"/>
  <c r="A5438" i="4"/>
  <c r="A5439" i="4"/>
  <c r="A5440" i="4"/>
  <c r="A5441" i="4"/>
  <c r="A5442" i="4"/>
  <c r="A5443" i="4"/>
  <c r="A5444" i="4"/>
  <c r="A5445" i="4"/>
  <c r="A5446" i="4"/>
  <c r="A5447" i="4"/>
  <c r="A5448" i="4"/>
  <c r="A5449" i="4"/>
  <c r="A5450" i="4"/>
  <c r="A5451" i="4"/>
  <c r="A5452" i="4"/>
  <c r="A5453" i="4"/>
  <c r="A5454" i="4"/>
  <c r="A5455" i="4"/>
  <c r="A5456" i="4"/>
  <c r="A5457" i="4"/>
  <c r="A5458" i="4"/>
  <c r="A5459" i="4"/>
  <c r="A5460" i="4"/>
  <c r="A5461" i="4"/>
  <c r="A5462" i="4"/>
  <c r="A5463" i="4"/>
  <c r="A5464" i="4"/>
  <c r="A5465" i="4"/>
  <c r="A5466" i="4"/>
  <c r="A5467" i="4"/>
  <c r="A5468" i="4"/>
  <c r="A5469" i="4"/>
  <c r="A5470" i="4"/>
  <c r="A5471" i="4"/>
  <c r="A5472" i="4"/>
  <c r="A5473" i="4"/>
  <c r="A5474" i="4"/>
  <c r="A5475" i="4"/>
  <c r="A5476" i="4"/>
  <c r="A5477" i="4"/>
  <c r="A5478" i="4"/>
  <c r="A5479" i="4"/>
  <c r="A5480" i="4"/>
  <c r="A5481" i="4"/>
  <c r="A5482" i="4"/>
  <c r="A5483" i="4"/>
  <c r="A5484" i="4"/>
  <c r="A5485" i="4"/>
  <c r="A5486" i="4"/>
  <c r="A5487" i="4"/>
  <c r="A5488" i="4"/>
  <c r="A5489" i="4"/>
  <c r="A5490" i="4"/>
  <c r="A5491" i="4"/>
  <c r="A5492" i="4"/>
  <c r="A5493" i="4"/>
  <c r="A5494" i="4"/>
  <c r="A5495" i="4"/>
  <c r="A5496" i="4"/>
  <c r="A5497" i="4"/>
  <c r="A5498" i="4"/>
  <c r="A5499" i="4"/>
  <c r="A5500" i="4"/>
  <c r="A5501" i="4"/>
  <c r="A5502" i="4"/>
  <c r="A5503" i="4"/>
  <c r="A5504" i="4"/>
  <c r="A5505" i="4"/>
  <c r="A5506" i="4"/>
  <c r="A5507" i="4"/>
  <c r="A5508" i="4"/>
  <c r="A5509" i="4"/>
  <c r="A5510" i="4"/>
  <c r="A5511" i="4"/>
  <c r="A5512" i="4"/>
  <c r="A5513" i="4"/>
  <c r="A5514" i="4"/>
  <c r="A5515" i="4"/>
  <c r="A5516" i="4"/>
  <c r="A5517" i="4"/>
  <c r="A5518" i="4"/>
  <c r="A5519" i="4"/>
  <c r="A5520" i="4"/>
  <c r="A5521" i="4"/>
  <c r="A5522" i="4"/>
  <c r="A5523" i="4"/>
  <c r="A5524" i="4"/>
  <c r="A5525" i="4"/>
  <c r="A5526" i="4"/>
  <c r="A5527" i="4"/>
  <c r="A5528" i="4"/>
  <c r="A5529" i="4"/>
  <c r="A5530" i="4"/>
  <c r="A5531" i="4"/>
  <c r="A5532" i="4"/>
  <c r="A5533" i="4"/>
  <c r="A5534" i="4"/>
  <c r="A5535" i="4"/>
  <c r="A5536" i="4"/>
  <c r="A5537" i="4"/>
  <c r="A5538" i="4"/>
  <c r="A5539" i="4"/>
  <c r="A5540" i="4"/>
  <c r="A5541" i="4"/>
  <c r="A5542" i="4"/>
  <c r="A5543" i="4"/>
  <c r="A5544" i="4"/>
  <c r="A5545" i="4"/>
  <c r="A5546" i="4"/>
  <c r="A5547" i="4"/>
  <c r="A5548" i="4"/>
  <c r="A5549" i="4"/>
  <c r="A5550" i="4"/>
  <c r="A5551" i="4"/>
  <c r="A5552" i="4"/>
  <c r="A5553" i="4"/>
  <c r="A5554" i="4"/>
  <c r="A5555" i="4"/>
  <c r="A5556" i="4"/>
  <c r="A5557" i="4"/>
  <c r="A5558" i="4"/>
  <c r="A5559" i="4"/>
  <c r="A5560" i="4"/>
  <c r="A5561" i="4"/>
  <c r="A5562" i="4"/>
  <c r="A5563" i="4"/>
  <c r="A5564" i="4"/>
  <c r="A5565" i="4"/>
  <c r="A5566" i="4"/>
  <c r="A5567" i="4"/>
  <c r="A5568" i="4"/>
  <c r="A5569" i="4"/>
  <c r="A5570" i="4"/>
  <c r="A5571" i="4"/>
  <c r="A5572" i="4"/>
  <c r="A5573" i="4"/>
  <c r="A5574" i="4"/>
  <c r="A5575" i="4"/>
  <c r="A5576" i="4"/>
  <c r="A5577" i="4"/>
  <c r="A5578" i="4"/>
  <c r="A5579" i="4"/>
  <c r="A5580" i="4"/>
  <c r="A5581" i="4"/>
  <c r="A5582" i="4"/>
  <c r="A5583" i="4"/>
  <c r="A5584" i="4"/>
  <c r="A5585" i="4"/>
  <c r="A5586" i="4"/>
  <c r="A5587" i="4"/>
  <c r="A5588" i="4"/>
  <c r="A5589" i="4"/>
  <c r="A5590" i="4"/>
  <c r="A5591" i="4"/>
  <c r="A5592" i="4"/>
  <c r="A5593" i="4"/>
  <c r="A5594" i="4"/>
  <c r="A5595" i="4"/>
  <c r="A5596" i="4"/>
  <c r="A5597" i="4"/>
  <c r="A5598" i="4"/>
  <c r="A5599" i="4"/>
  <c r="A5600" i="4"/>
  <c r="A5601" i="4"/>
  <c r="A5602" i="4"/>
  <c r="A5603" i="4"/>
  <c r="A5604" i="4"/>
  <c r="A5605" i="4"/>
  <c r="A5606" i="4"/>
  <c r="A5607" i="4"/>
  <c r="A5608" i="4"/>
  <c r="A5609" i="4"/>
  <c r="A5610" i="4"/>
  <c r="A5611" i="4"/>
  <c r="A5612" i="4"/>
  <c r="A5613" i="4"/>
  <c r="A5614" i="4"/>
  <c r="A5615" i="4"/>
  <c r="A5616" i="4"/>
  <c r="A5617" i="4"/>
  <c r="A5618" i="4"/>
  <c r="A5619" i="4"/>
  <c r="A5620" i="4"/>
  <c r="A5621" i="4"/>
  <c r="A5622" i="4"/>
  <c r="A5623" i="4"/>
  <c r="A5624" i="4"/>
  <c r="A5625" i="4"/>
  <c r="A5626" i="4"/>
  <c r="A5627" i="4"/>
  <c r="A5628" i="4"/>
  <c r="A5629" i="4"/>
  <c r="A5630" i="4"/>
  <c r="A5631" i="4"/>
  <c r="A5632" i="4"/>
  <c r="A5633" i="4"/>
  <c r="A5634" i="4"/>
  <c r="A5635" i="4"/>
  <c r="A5636" i="4"/>
  <c r="A5637" i="4"/>
  <c r="A5638" i="4"/>
  <c r="A5639" i="4"/>
  <c r="A5640" i="4"/>
  <c r="A5641" i="4"/>
  <c r="A5642" i="4"/>
  <c r="A5643" i="4"/>
  <c r="A5644" i="4"/>
  <c r="A5645" i="4"/>
  <c r="A5646" i="4"/>
  <c r="A5647" i="4"/>
  <c r="A5648" i="4"/>
  <c r="A5649" i="4"/>
  <c r="A5650" i="4"/>
  <c r="A5651" i="4"/>
  <c r="A5652" i="4"/>
  <c r="A5653" i="4"/>
  <c r="A5654" i="4"/>
  <c r="A5655" i="4"/>
  <c r="A5656" i="4"/>
  <c r="A5657" i="4"/>
  <c r="A5658" i="4"/>
  <c r="A5659" i="4"/>
  <c r="A5660" i="4"/>
  <c r="A5661" i="4"/>
  <c r="A5662" i="4"/>
  <c r="A5663" i="4"/>
  <c r="A5664" i="4"/>
  <c r="A5665" i="4"/>
  <c r="A5666" i="4"/>
  <c r="A5667" i="4"/>
  <c r="A5668" i="4"/>
  <c r="A5669" i="4"/>
  <c r="A5670" i="4"/>
  <c r="A5671" i="4"/>
  <c r="A5672" i="4"/>
  <c r="A5673" i="4"/>
  <c r="A5674" i="4"/>
  <c r="A5675" i="4"/>
  <c r="A5676" i="4"/>
  <c r="A5677" i="4"/>
  <c r="A5678" i="4"/>
  <c r="A5679" i="4"/>
  <c r="A5680" i="4"/>
  <c r="A5681" i="4"/>
  <c r="A5682" i="4"/>
  <c r="A5683" i="4"/>
  <c r="A5684" i="4"/>
  <c r="A5685" i="4"/>
  <c r="A5686" i="4"/>
  <c r="A5687" i="4"/>
  <c r="A5688" i="4"/>
  <c r="A5689" i="4"/>
  <c r="A5690" i="4"/>
  <c r="A5691" i="4"/>
  <c r="A5692" i="4"/>
  <c r="A5693" i="4"/>
  <c r="A5694" i="4"/>
  <c r="A5695" i="4"/>
  <c r="A5696" i="4"/>
  <c r="A5697" i="4"/>
  <c r="A5698" i="4"/>
  <c r="A5699" i="4"/>
  <c r="A5700" i="4"/>
  <c r="A5701" i="4"/>
  <c r="A5702" i="4"/>
  <c r="A5703" i="4"/>
  <c r="A5704" i="4"/>
  <c r="A5705" i="4"/>
  <c r="A5706" i="4"/>
  <c r="A5707" i="4"/>
  <c r="A5708" i="4"/>
  <c r="A5709" i="4"/>
  <c r="A5710" i="4"/>
  <c r="A5711" i="4"/>
  <c r="A5712" i="4"/>
  <c r="A5713" i="4"/>
  <c r="A5714" i="4"/>
  <c r="A5715" i="4"/>
  <c r="A5716" i="4"/>
  <c r="A5717" i="4"/>
  <c r="A5718" i="4"/>
  <c r="A5719" i="4"/>
  <c r="A5720" i="4"/>
  <c r="A5721" i="4"/>
  <c r="A5722" i="4"/>
  <c r="A5723" i="4"/>
  <c r="A5724" i="4"/>
  <c r="A5725" i="4"/>
  <c r="A5726" i="4"/>
  <c r="A5727" i="4"/>
  <c r="A5728" i="4"/>
  <c r="A5729" i="4"/>
  <c r="A5730" i="4"/>
  <c r="A5731" i="4"/>
  <c r="A5732" i="4"/>
  <c r="A5733" i="4"/>
  <c r="A5734" i="4"/>
  <c r="A5735" i="4"/>
  <c r="A5736" i="4"/>
  <c r="A5737" i="4"/>
  <c r="A5738" i="4"/>
  <c r="A5739" i="4"/>
  <c r="A5740" i="4"/>
  <c r="A5741" i="4"/>
  <c r="A5742" i="4"/>
  <c r="A5743" i="4"/>
  <c r="A5744" i="4"/>
  <c r="A5745" i="4"/>
  <c r="A5746" i="4"/>
  <c r="A5747" i="4"/>
  <c r="A5748" i="4"/>
  <c r="A5749" i="4"/>
  <c r="A5750" i="4"/>
  <c r="A5751" i="4"/>
  <c r="A5752" i="4"/>
  <c r="A5753" i="4"/>
  <c r="A5754" i="4"/>
  <c r="A5755" i="4"/>
  <c r="A5756" i="4"/>
  <c r="A5757" i="4"/>
  <c r="A5758" i="4"/>
  <c r="A5759" i="4"/>
  <c r="A5760" i="4"/>
  <c r="A5761" i="4"/>
  <c r="A5762" i="4"/>
  <c r="A5763" i="4"/>
  <c r="A5764" i="4"/>
  <c r="A5765" i="4"/>
  <c r="A5766" i="4"/>
  <c r="A5767" i="4"/>
  <c r="A5768" i="4"/>
  <c r="A5769" i="4"/>
  <c r="A5770" i="4"/>
  <c r="A5771" i="4"/>
  <c r="A5772" i="4"/>
  <c r="A5773" i="4"/>
  <c r="A5774" i="4"/>
  <c r="A5775" i="4"/>
  <c r="A5776" i="4"/>
  <c r="A5777" i="4"/>
  <c r="A5778" i="4"/>
  <c r="A5779" i="4"/>
  <c r="A5780" i="4"/>
  <c r="A5781" i="4"/>
  <c r="A5782" i="4"/>
  <c r="A5783" i="4"/>
  <c r="A5784" i="4"/>
  <c r="A5785" i="4"/>
  <c r="A5786" i="4"/>
  <c r="A5787" i="4"/>
  <c r="A5788" i="4"/>
  <c r="A5789" i="4"/>
  <c r="A5790" i="4"/>
  <c r="A5791" i="4"/>
  <c r="A5792" i="4"/>
  <c r="A5793" i="4"/>
  <c r="A5794" i="4"/>
  <c r="A5795" i="4"/>
  <c r="A5796" i="4"/>
  <c r="A5797" i="4"/>
  <c r="A5798" i="4"/>
  <c r="A5799" i="4"/>
  <c r="A5800" i="4"/>
  <c r="A5801" i="4"/>
  <c r="A5802" i="4"/>
  <c r="A5803" i="4"/>
  <c r="A5804" i="4"/>
  <c r="A5805" i="4"/>
  <c r="A5806" i="4"/>
  <c r="A5807" i="4"/>
  <c r="A5808" i="4"/>
  <c r="A5809" i="4"/>
  <c r="A5810" i="4"/>
  <c r="A5811" i="4"/>
  <c r="A5812" i="4"/>
  <c r="A5813" i="4"/>
  <c r="A5814" i="4"/>
  <c r="A5815" i="4"/>
  <c r="A5816" i="4"/>
  <c r="A5817" i="4"/>
  <c r="A5818" i="4"/>
  <c r="A5819" i="4"/>
  <c r="A5820" i="4"/>
  <c r="A5821" i="4"/>
  <c r="A5822" i="4"/>
  <c r="A5823" i="4"/>
  <c r="A5824" i="4"/>
  <c r="A5825" i="4"/>
  <c r="A5826" i="4"/>
  <c r="A5827" i="4"/>
  <c r="A5828" i="4"/>
  <c r="A5829" i="4"/>
  <c r="A5830" i="4"/>
  <c r="A5831" i="4"/>
  <c r="A5832" i="4"/>
  <c r="A5833" i="4"/>
  <c r="A5834" i="4"/>
  <c r="A5835" i="4"/>
  <c r="A5836" i="4"/>
  <c r="A5837" i="4"/>
  <c r="A5838" i="4"/>
  <c r="A5839" i="4"/>
  <c r="A5840" i="4"/>
  <c r="A5841" i="4"/>
  <c r="A5842" i="4"/>
  <c r="A5843" i="4"/>
  <c r="A5844" i="4"/>
  <c r="A5845" i="4"/>
  <c r="A5846" i="4"/>
  <c r="A5847" i="4"/>
  <c r="A5848" i="4"/>
  <c r="A5849" i="4"/>
  <c r="A5850" i="4"/>
  <c r="A5851" i="4"/>
  <c r="A5852" i="4"/>
  <c r="A5853" i="4"/>
  <c r="A5854" i="4"/>
  <c r="A5855" i="4"/>
  <c r="A5856" i="4"/>
  <c r="A5857" i="4"/>
  <c r="A5858" i="4"/>
  <c r="A5859" i="4"/>
  <c r="A5860" i="4"/>
  <c r="A5861" i="4"/>
  <c r="A5862" i="4"/>
  <c r="A5863" i="4"/>
  <c r="A5864" i="4"/>
  <c r="A5865" i="4"/>
  <c r="A5866" i="4"/>
  <c r="A5867" i="4"/>
  <c r="A5868" i="4"/>
  <c r="A5869" i="4"/>
  <c r="A5870" i="4"/>
  <c r="A5871" i="4"/>
  <c r="A5872" i="4"/>
  <c r="A5873" i="4"/>
  <c r="A5874" i="4"/>
  <c r="A5875" i="4"/>
  <c r="A5876" i="4"/>
  <c r="A5877" i="4"/>
  <c r="A5878" i="4"/>
  <c r="A5879" i="4"/>
  <c r="A5880" i="4"/>
  <c r="A5881" i="4"/>
  <c r="A5882" i="4"/>
  <c r="A5883" i="4"/>
  <c r="A5884" i="4"/>
  <c r="A5885" i="4"/>
  <c r="A5886" i="4"/>
  <c r="A5887" i="4"/>
  <c r="A5888" i="4"/>
  <c r="A5889" i="4"/>
  <c r="A5890" i="4"/>
  <c r="A5891" i="4"/>
  <c r="A5892" i="4"/>
  <c r="A5893" i="4"/>
  <c r="A5894" i="4"/>
  <c r="A5895" i="4"/>
  <c r="A5896" i="4"/>
  <c r="A5897" i="4"/>
  <c r="A5898" i="4"/>
  <c r="A5899" i="4"/>
  <c r="A5900" i="4"/>
  <c r="A5901" i="4"/>
  <c r="A5902" i="4"/>
  <c r="A5903" i="4"/>
  <c r="A5904" i="4"/>
  <c r="A5905" i="4"/>
  <c r="A5906" i="4"/>
  <c r="A5907" i="4"/>
  <c r="A5908" i="4"/>
  <c r="A5909" i="4"/>
  <c r="A5910" i="4"/>
  <c r="A5911" i="4"/>
  <c r="A5912" i="4"/>
  <c r="A5913" i="4"/>
  <c r="A5914" i="4"/>
  <c r="A5915" i="4"/>
  <c r="A5916" i="4"/>
  <c r="A5917" i="4"/>
  <c r="A5918" i="4"/>
  <c r="A5919" i="4"/>
  <c r="A5920" i="4"/>
  <c r="A5921" i="4"/>
  <c r="A5922" i="4"/>
  <c r="A5923" i="4"/>
  <c r="A5924" i="4"/>
  <c r="A5925" i="4"/>
  <c r="A5926" i="4"/>
  <c r="A5927" i="4"/>
  <c r="A5928" i="4"/>
  <c r="A5929" i="4"/>
  <c r="A5930" i="4"/>
  <c r="A5931" i="4"/>
  <c r="A5932" i="4"/>
  <c r="A5933" i="4"/>
  <c r="A5934" i="4"/>
  <c r="A5935" i="4"/>
  <c r="A5936" i="4"/>
  <c r="A5937" i="4"/>
  <c r="A5938" i="4"/>
  <c r="A5939" i="4"/>
  <c r="A5940" i="4"/>
  <c r="A5941" i="4"/>
  <c r="A5942" i="4"/>
  <c r="A5943" i="4"/>
  <c r="A5944" i="4"/>
  <c r="A5945" i="4"/>
  <c r="A5946" i="4"/>
  <c r="A5947" i="4"/>
  <c r="A5948" i="4"/>
  <c r="A5949" i="4"/>
  <c r="A5950" i="4"/>
  <c r="A5951" i="4"/>
  <c r="A5952" i="4"/>
  <c r="A5953" i="4"/>
  <c r="A5954" i="4"/>
  <c r="A5955" i="4"/>
  <c r="A5956" i="4"/>
  <c r="A5957" i="4"/>
  <c r="A5958" i="4"/>
  <c r="A5959" i="4"/>
  <c r="A5960" i="4"/>
  <c r="A5961" i="4"/>
  <c r="A5962" i="4"/>
  <c r="A5963" i="4"/>
  <c r="A5964" i="4"/>
  <c r="A5965" i="4"/>
  <c r="A5966" i="4"/>
  <c r="A5967" i="4"/>
  <c r="A5968" i="4"/>
  <c r="A5969" i="4"/>
  <c r="A5970" i="4"/>
  <c r="A5971" i="4"/>
  <c r="A5972" i="4"/>
  <c r="A5973" i="4"/>
  <c r="A5974" i="4"/>
  <c r="A5975" i="4"/>
  <c r="A5976" i="4"/>
  <c r="A5977" i="4"/>
  <c r="A5978" i="4"/>
  <c r="A5979" i="4"/>
  <c r="A5980" i="4"/>
  <c r="A5981" i="4"/>
  <c r="A5982" i="4"/>
  <c r="A5983" i="4"/>
  <c r="A5984" i="4"/>
  <c r="A5985" i="4"/>
  <c r="A5986" i="4"/>
  <c r="A5987" i="4"/>
  <c r="A5988" i="4"/>
  <c r="A5989" i="4"/>
  <c r="A5990" i="4"/>
  <c r="A5991" i="4"/>
  <c r="A5992" i="4"/>
  <c r="A5993" i="4"/>
  <c r="A5994" i="4"/>
  <c r="A5995" i="4"/>
  <c r="A5996" i="4"/>
  <c r="A5997" i="4"/>
  <c r="A5998" i="4"/>
  <c r="A5999" i="4"/>
  <c r="A6000" i="4"/>
  <c r="A6001" i="4"/>
  <c r="A6002" i="4"/>
  <c r="A6003" i="4"/>
  <c r="A6004" i="4"/>
  <c r="A6005" i="4"/>
  <c r="A6006" i="4"/>
  <c r="A6007" i="4"/>
  <c r="A6008" i="4"/>
  <c r="A6009" i="4"/>
  <c r="A6010" i="4"/>
  <c r="A6011" i="4"/>
  <c r="A6012" i="4"/>
  <c r="A6013" i="4"/>
  <c r="A6014" i="4"/>
  <c r="A6015" i="4"/>
  <c r="A6016" i="4"/>
  <c r="A6017" i="4"/>
  <c r="A6018" i="4"/>
  <c r="A6019" i="4"/>
  <c r="A6020" i="4"/>
  <c r="A6021" i="4"/>
  <c r="A6022" i="4"/>
  <c r="A6023" i="4"/>
  <c r="A6024" i="4"/>
  <c r="A6025" i="4"/>
  <c r="A6026" i="4"/>
  <c r="A6027" i="4"/>
  <c r="A6028" i="4"/>
  <c r="A6029" i="4"/>
  <c r="A6030" i="4"/>
  <c r="A6031" i="4"/>
  <c r="A6032" i="4"/>
  <c r="A6033" i="4"/>
  <c r="A6034" i="4"/>
  <c r="A6035" i="4"/>
  <c r="A6036" i="4"/>
  <c r="A6037" i="4"/>
  <c r="A6038" i="4"/>
  <c r="A6039" i="4"/>
  <c r="A6040" i="4"/>
  <c r="A6041" i="4"/>
  <c r="A6042" i="4"/>
  <c r="A6043" i="4"/>
  <c r="A6044" i="4"/>
  <c r="A6045" i="4"/>
  <c r="A6046" i="4"/>
  <c r="A6047" i="4"/>
  <c r="A6048" i="4"/>
  <c r="A6049" i="4"/>
  <c r="A6050" i="4"/>
  <c r="A6051" i="4"/>
  <c r="A6052" i="4"/>
  <c r="A6053" i="4"/>
  <c r="A6054" i="4"/>
  <c r="A6055" i="4"/>
  <c r="A6056" i="4"/>
  <c r="A6057" i="4"/>
  <c r="A6058" i="4"/>
  <c r="A6059" i="4"/>
  <c r="A6060" i="4"/>
  <c r="A6061" i="4"/>
  <c r="A6062" i="4"/>
  <c r="A6063" i="4"/>
  <c r="A6064" i="4"/>
  <c r="A6065" i="4"/>
  <c r="A6066" i="4"/>
  <c r="A6067" i="4"/>
  <c r="A6068" i="4"/>
  <c r="A6069" i="4"/>
  <c r="A6070" i="4"/>
  <c r="A6071" i="4"/>
  <c r="A6072" i="4"/>
  <c r="A6073" i="4"/>
  <c r="A6074" i="4"/>
  <c r="A6075" i="4"/>
  <c r="A6076" i="4"/>
  <c r="A6077" i="4"/>
  <c r="A6078" i="4"/>
  <c r="A6079" i="4"/>
  <c r="A6080" i="4"/>
  <c r="A6081" i="4"/>
  <c r="A6082" i="4"/>
  <c r="A6083" i="4"/>
  <c r="A6084" i="4"/>
  <c r="A6085" i="4"/>
  <c r="A6086" i="4"/>
  <c r="A6087" i="4"/>
  <c r="A6088" i="4"/>
  <c r="A6089" i="4"/>
  <c r="A6090" i="4"/>
  <c r="A6091" i="4"/>
  <c r="A6092" i="4"/>
  <c r="A6093" i="4"/>
  <c r="A6094" i="4"/>
  <c r="A6095" i="4"/>
  <c r="A6096" i="4"/>
  <c r="A6097" i="4"/>
  <c r="A6098" i="4"/>
  <c r="A6099" i="4"/>
  <c r="A6100" i="4"/>
  <c r="A6101" i="4"/>
  <c r="A6102" i="4"/>
  <c r="A6103" i="4"/>
  <c r="A6104" i="4"/>
  <c r="A6105" i="4"/>
  <c r="A6106" i="4"/>
  <c r="A6107" i="4"/>
  <c r="A6108" i="4"/>
  <c r="A6109" i="4"/>
  <c r="A6110" i="4"/>
  <c r="A6111" i="4"/>
  <c r="A6112" i="4"/>
  <c r="A6113" i="4"/>
  <c r="A6114" i="4"/>
  <c r="A6115" i="4"/>
  <c r="A6116" i="4"/>
  <c r="A6117" i="4"/>
  <c r="A6118" i="4"/>
  <c r="A6119" i="4"/>
  <c r="A6120" i="4"/>
  <c r="A6121" i="4"/>
  <c r="A6122" i="4"/>
  <c r="A6123" i="4"/>
  <c r="A6124" i="4"/>
  <c r="A6125" i="4"/>
  <c r="A6126" i="4"/>
  <c r="A6127" i="4"/>
  <c r="A6128" i="4"/>
  <c r="A6129" i="4"/>
  <c r="A6130" i="4"/>
  <c r="A6131" i="4"/>
  <c r="A6132" i="4"/>
  <c r="A6133" i="4"/>
  <c r="A6134" i="4"/>
  <c r="A6135" i="4"/>
  <c r="A6136" i="4"/>
  <c r="A6137" i="4"/>
  <c r="A6138" i="4"/>
  <c r="A6139" i="4"/>
  <c r="A6140" i="4"/>
  <c r="A6141" i="4"/>
  <c r="A6142" i="4"/>
  <c r="A6143" i="4"/>
  <c r="A6144" i="4"/>
  <c r="A6145" i="4"/>
  <c r="A6146" i="4"/>
  <c r="A6147" i="4"/>
  <c r="A6148" i="4"/>
  <c r="A6149" i="4"/>
  <c r="A6150" i="4"/>
  <c r="A6151" i="4"/>
  <c r="A6152" i="4"/>
  <c r="A6153" i="4"/>
  <c r="A6154" i="4"/>
  <c r="A6155" i="4"/>
  <c r="A6156" i="4"/>
  <c r="A6157" i="4"/>
  <c r="A6158" i="4"/>
  <c r="A6159" i="4"/>
  <c r="A6160" i="4"/>
  <c r="A6161" i="4"/>
  <c r="A6162" i="4"/>
  <c r="A6163" i="4"/>
  <c r="A6164" i="4"/>
  <c r="A6165" i="4"/>
  <c r="A6166" i="4"/>
  <c r="A6167" i="4"/>
  <c r="A6168" i="4"/>
  <c r="A6169" i="4"/>
  <c r="A6170" i="4"/>
  <c r="A6171" i="4"/>
  <c r="A6172" i="4"/>
  <c r="A6173" i="4"/>
  <c r="A6174" i="4"/>
  <c r="A6175" i="4"/>
  <c r="A6176" i="4"/>
  <c r="A6177" i="4"/>
  <c r="A6178" i="4"/>
  <c r="A6179" i="4"/>
  <c r="A6180" i="4"/>
  <c r="A6181" i="4"/>
  <c r="A6182" i="4"/>
  <c r="A6183" i="4"/>
  <c r="A6184" i="4"/>
  <c r="A6185" i="4"/>
  <c r="A6186" i="4"/>
  <c r="A6187" i="4"/>
  <c r="A6188" i="4"/>
  <c r="A6189" i="4"/>
  <c r="A6190" i="4"/>
  <c r="A6191" i="4"/>
  <c r="A6192" i="4"/>
  <c r="A6193" i="4"/>
  <c r="A6194" i="4"/>
  <c r="A6195" i="4"/>
  <c r="A6196" i="4"/>
  <c r="A6197" i="4"/>
  <c r="A6198" i="4"/>
  <c r="A6199" i="4"/>
  <c r="A6200" i="4"/>
  <c r="A6201" i="4"/>
  <c r="A6202" i="4"/>
  <c r="A6203" i="4"/>
  <c r="A6204" i="4"/>
  <c r="A6205" i="4"/>
  <c r="A6206" i="4"/>
  <c r="A6207" i="4"/>
  <c r="A6208" i="4"/>
  <c r="A6209" i="4"/>
  <c r="A6210" i="4"/>
  <c r="A6211" i="4"/>
  <c r="A6212" i="4"/>
  <c r="A6213" i="4"/>
  <c r="A6214" i="4"/>
  <c r="A6215" i="4"/>
  <c r="A6216" i="4"/>
  <c r="A6217" i="4"/>
  <c r="A6218" i="4"/>
  <c r="A6219" i="4"/>
  <c r="A6220" i="4"/>
  <c r="A6221" i="4"/>
  <c r="A6222" i="4"/>
  <c r="A6223" i="4"/>
  <c r="A6224" i="4"/>
  <c r="A6225" i="4"/>
  <c r="A6226" i="4"/>
  <c r="A6227" i="4"/>
  <c r="A6228" i="4"/>
  <c r="A6229" i="4"/>
  <c r="A6230" i="4"/>
  <c r="A6231" i="4"/>
  <c r="A6232" i="4"/>
  <c r="A6233" i="4"/>
  <c r="A6234" i="4"/>
  <c r="A6235" i="4"/>
  <c r="A6236" i="4"/>
  <c r="A6237" i="4"/>
  <c r="A6238" i="4"/>
  <c r="A6239" i="4"/>
  <c r="A6240" i="4"/>
  <c r="A6241" i="4"/>
  <c r="A6242" i="4"/>
  <c r="A6243" i="4"/>
  <c r="A6244" i="4"/>
  <c r="A6245" i="4"/>
  <c r="A6246" i="4"/>
  <c r="A6247" i="4"/>
  <c r="A6248" i="4"/>
  <c r="A6249" i="4"/>
  <c r="A6250" i="4"/>
  <c r="A6251" i="4"/>
  <c r="A6252" i="4"/>
  <c r="A6253" i="4"/>
  <c r="A6254" i="4"/>
  <c r="A6255" i="4"/>
  <c r="A6256" i="4"/>
  <c r="A6257" i="4"/>
  <c r="A6258" i="4"/>
  <c r="A6259" i="4"/>
  <c r="A6260" i="4"/>
  <c r="A6261" i="4"/>
  <c r="A6262" i="4"/>
  <c r="A6263" i="4"/>
  <c r="A6264" i="4"/>
  <c r="A6265" i="4"/>
  <c r="A6266" i="4"/>
  <c r="A6267" i="4"/>
  <c r="A6268" i="4"/>
  <c r="A6269" i="4"/>
  <c r="A6270" i="4"/>
  <c r="A6271" i="4"/>
  <c r="A6272" i="4"/>
  <c r="A6273" i="4"/>
  <c r="A6274" i="4"/>
  <c r="A6275" i="4"/>
  <c r="A6276" i="4"/>
  <c r="A6277" i="4"/>
  <c r="A6278" i="4"/>
  <c r="A6279" i="4"/>
  <c r="A6280" i="4"/>
  <c r="A6281" i="4"/>
  <c r="A6282" i="4"/>
  <c r="A6283" i="4"/>
  <c r="A6284" i="4"/>
  <c r="A6285" i="4"/>
  <c r="A6286" i="4"/>
  <c r="A6287" i="4"/>
  <c r="A6288" i="4"/>
  <c r="A6289" i="4"/>
  <c r="A6290" i="4"/>
  <c r="A6291" i="4"/>
  <c r="A6292" i="4"/>
  <c r="A6293" i="4"/>
  <c r="A6294" i="4"/>
  <c r="A6295" i="4"/>
  <c r="A6296" i="4"/>
  <c r="A6297" i="4"/>
  <c r="A6298" i="4"/>
  <c r="A6299" i="4"/>
  <c r="A6300" i="4"/>
  <c r="A6301" i="4"/>
  <c r="A6302" i="4"/>
  <c r="A6303" i="4"/>
  <c r="A6304" i="4"/>
  <c r="A6305" i="4"/>
  <c r="A6306" i="4"/>
  <c r="A6307" i="4"/>
  <c r="A6308" i="4"/>
  <c r="A6309" i="4"/>
  <c r="A6310" i="4"/>
  <c r="A6311" i="4"/>
  <c r="A6312" i="4"/>
  <c r="A6313" i="4"/>
  <c r="A6314" i="4"/>
  <c r="A6315" i="4"/>
  <c r="A6316" i="4"/>
  <c r="A6317" i="4"/>
  <c r="A6318" i="4"/>
  <c r="A6319" i="4"/>
  <c r="A6320" i="4"/>
  <c r="A6321" i="4"/>
  <c r="A6322" i="4"/>
  <c r="A6323" i="4"/>
  <c r="A6324" i="4"/>
  <c r="A6325" i="4"/>
  <c r="A6326" i="4"/>
  <c r="A6327" i="4"/>
  <c r="A6328" i="4"/>
  <c r="A6329" i="4"/>
  <c r="A6330" i="4"/>
  <c r="A6331" i="4"/>
  <c r="A6332" i="4"/>
  <c r="A6333" i="4"/>
  <c r="A6334" i="4"/>
  <c r="A6335" i="4"/>
  <c r="A6336" i="4"/>
  <c r="A6337" i="4"/>
  <c r="A6338" i="4"/>
  <c r="A6339" i="4"/>
  <c r="A6340" i="4"/>
  <c r="A6341" i="4"/>
  <c r="A6342" i="4"/>
  <c r="A6343" i="4"/>
  <c r="A6344" i="4"/>
  <c r="A6345" i="4"/>
  <c r="A6346" i="4"/>
  <c r="A6347" i="4"/>
  <c r="A6348" i="4"/>
  <c r="A6349" i="4"/>
  <c r="A6350" i="4"/>
  <c r="A6351" i="4"/>
  <c r="A6352" i="4"/>
  <c r="A6353" i="4"/>
  <c r="A6354" i="4"/>
  <c r="A6355" i="4"/>
  <c r="A6356" i="4"/>
  <c r="A6357" i="4"/>
  <c r="A6358" i="4"/>
  <c r="A6359" i="4"/>
  <c r="A6360" i="4"/>
  <c r="A6361" i="4"/>
  <c r="A6362" i="4"/>
  <c r="A6363" i="4"/>
  <c r="A6364" i="4"/>
  <c r="A6365" i="4"/>
  <c r="A6366" i="4"/>
  <c r="A6367" i="4"/>
  <c r="A6368" i="4"/>
  <c r="A6369" i="4"/>
  <c r="A6370" i="4"/>
  <c r="A6371" i="4"/>
  <c r="A6372" i="4"/>
  <c r="A6373" i="4"/>
  <c r="A6374" i="4"/>
  <c r="A6375" i="4"/>
  <c r="A6376" i="4"/>
  <c r="A6377" i="4"/>
  <c r="A6378" i="4"/>
  <c r="A6379" i="4"/>
  <c r="A6380" i="4"/>
  <c r="A6381" i="4"/>
  <c r="A6382" i="4"/>
  <c r="A6383" i="4"/>
  <c r="A6384" i="4"/>
  <c r="A6385" i="4"/>
  <c r="A6386" i="4"/>
  <c r="A6387" i="4"/>
  <c r="A6388" i="4"/>
  <c r="A6389" i="4"/>
  <c r="A6390" i="4"/>
  <c r="A6391" i="4"/>
  <c r="A6392" i="4"/>
  <c r="A6393" i="4"/>
  <c r="A6394" i="4"/>
  <c r="A6395" i="4"/>
  <c r="A6396" i="4"/>
  <c r="A6397" i="4"/>
  <c r="A6398" i="4"/>
  <c r="A6399" i="4"/>
  <c r="A6400" i="4"/>
  <c r="A6401" i="4"/>
  <c r="A6402" i="4"/>
  <c r="A6403" i="4"/>
  <c r="A6404" i="4"/>
  <c r="A6405" i="4"/>
  <c r="A6406" i="4"/>
  <c r="A6407" i="4"/>
  <c r="A6408" i="4"/>
  <c r="A6409" i="4"/>
  <c r="A6410" i="4"/>
  <c r="A6411" i="4"/>
  <c r="A6412" i="4"/>
  <c r="A6413" i="4"/>
  <c r="A6414" i="4"/>
  <c r="A6415" i="4"/>
  <c r="A6416" i="4"/>
  <c r="A6417" i="4"/>
  <c r="A6418" i="4"/>
  <c r="A6419" i="4"/>
  <c r="A6420" i="4"/>
  <c r="A6421" i="4"/>
  <c r="A6422" i="4"/>
  <c r="A6423" i="4"/>
  <c r="A6424" i="4"/>
  <c r="A6425" i="4"/>
  <c r="A6426" i="4"/>
  <c r="A6427" i="4"/>
  <c r="A6428" i="4"/>
  <c r="A6429" i="4"/>
  <c r="A6430" i="4"/>
  <c r="A6431" i="4"/>
  <c r="A6432" i="4"/>
  <c r="A6433" i="4"/>
  <c r="A6434" i="4"/>
  <c r="A6435" i="4"/>
  <c r="A6436" i="4"/>
  <c r="A6437" i="4"/>
  <c r="A6438" i="4"/>
  <c r="A6439" i="4"/>
  <c r="A6440" i="4"/>
  <c r="A6441" i="4"/>
  <c r="A6442" i="4"/>
  <c r="A6443" i="4"/>
  <c r="A6444" i="4"/>
  <c r="A6445" i="4"/>
  <c r="A6446" i="4"/>
  <c r="A6447" i="4"/>
  <c r="A6448" i="4"/>
  <c r="A6449" i="4"/>
  <c r="A6450" i="4"/>
  <c r="A6451" i="4"/>
  <c r="A6452" i="4"/>
  <c r="A6453" i="4"/>
  <c r="A6454" i="4"/>
  <c r="A6455" i="4"/>
  <c r="A6456" i="4"/>
  <c r="A6457" i="4"/>
  <c r="A6458" i="4"/>
  <c r="A6459" i="4"/>
  <c r="A6460" i="4"/>
  <c r="A6461" i="4"/>
  <c r="A6462" i="4"/>
  <c r="A6463" i="4"/>
  <c r="A6464" i="4"/>
  <c r="A6465" i="4"/>
  <c r="A6466" i="4"/>
  <c r="A6467" i="4"/>
  <c r="A6468" i="4"/>
  <c r="A6469" i="4"/>
  <c r="A6470" i="4"/>
  <c r="A6471" i="4"/>
  <c r="A6472" i="4"/>
  <c r="A6473" i="4"/>
  <c r="A6474" i="4"/>
  <c r="A6475" i="4"/>
  <c r="A6476" i="4"/>
  <c r="A6477" i="4"/>
  <c r="A6478" i="4"/>
  <c r="A6479" i="4"/>
  <c r="A6480" i="4"/>
  <c r="A6481" i="4"/>
  <c r="A6482" i="4"/>
  <c r="A6483" i="4"/>
  <c r="A6484" i="4"/>
  <c r="A6485" i="4"/>
  <c r="A6486" i="4"/>
  <c r="A6487" i="4"/>
  <c r="A6488" i="4"/>
  <c r="A6489" i="4"/>
  <c r="A6490" i="4"/>
  <c r="A6491" i="4"/>
  <c r="A6492" i="4"/>
  <c r="A6493" i="4"/>
  <c r="A6494" i="4"/>
  <c r="A6495" i="4"/>
  <c r="A6496" i="4"/>
  <c r="A6497" i="4"/>
  <c r="A6498" i="4"/>
  <c r="A6499" i="4"/>
  <c r="A6500" i="4"/>
  <c r="A6501" i="4"/>
  <c r="A6502" i="4"/>
  <c r="A6503" i="4"/>
  <c r="A6504" i="4"/>
  <c r="A6505" i="4"/>
  <c r="A6506" i="4"/>
  <c r="A6507" i="4"/>
  <c r="A6508" i="4"/>
  <c r="A6509" i="4"/>
  <c r="A6510" i="4"/>
  <c r="A6511" i="4"/>
  <c r="A6512" i="4"/>
  <c r="A6513" i="4"/>
  <c r="A6514" i="4"/>
  <c r="A6515" i="4"/>
  <c r="A6516" i="4"/>
  <c r="A6517" i="4"/>
  <c r="A6518" i="4"/>
  <c r="A6519" i="4"/>
  <c r="A6520" i="4"/>
  <c r="A6521" i="4"/>
  <c r="A6522" i="4"/>
  <c r="A6523" i="4"/>
  <c r="A6524" i="4"/>
  <c r="A6525" i="4"/>
  <c r="A6526" i="4"/>
  <c r="A6527" i="4"/>
  <c r="A6528" i="4"/>
  <c r="A6529" i="4"/>
  <c r="A6530" i="4"/>
  <c r="A6531" i="4"/>
  <c r="A6532" i="4"/>
  <c r="A6533" i="4"/>
  <c r="A6534" i="4"/>
  <c r="A6535" i="4"/>
  <c r="A6536" i="4"/>
  <c r="A6537" i="4"/>
  <c r="A6538" i="4"/>
  <c r="A6539" i="4"/>
  <c r="A6540" i="4"/>
  <c r="A6541" i="4"/>
  <c r="A6542" i="4"/>
  <c r="A6543" i="4"/>
  <c r="A6544" i="4"/>
  <c r="A6545" i="4"/>
  <c r="A6546" i="4"/>
  <c r="A6547" i="4"/>
  <c r="A6548" i="4"/>
  <c r="A6549" i="4"/>
  <c r="A6550" i="4"/>
  <c r="A6551" i="4"/>
  <c r="A6552" i="4"/>
  <c r="A6553" i="4"/>
  <c r="A6554" i="4"/>
  <c r="A6555" i="4"/>
  <c r="A6556" i="4"/>
  <c r="A6557" i="4"/>
  <c r="A6558" i="4"/>
  <c r="A6559" i="4"/>
  <c r="A6560" i="4"/>
  <c r="A6561" i="4"/>
  <c r="A6562" i="4"/>
  <c r="A6563" i="4"/>
  <c r="A6564" i="4"/>
  <c r="A6565" i="4"/>
  <c r="A6566" i="4"/>
  <c r="A6567" i="4"/>
  <c r="A6568" i="4"/>
  <c r="A6569" i="4"/>
  <c r="A6570" i="4"/>
  <c r="A6571" i="4"/>
  <c r="A6572" i="4"/>
  <c r="A6573" i="4"/>
  <c r="A6574" i="4"/>
  <c r="A6575" i="4"/>
  <c r="A6576" i="4"/>
  <c r="A6577" i="4"/>
  <c r="A6578" i="4"/>
  <c r="A6579" i="4"/>
  <c r="A6580" i="4"/>
  <c r="A6581" i="4"/>
  <c r="A6582" i="4"/>
  <c r="A6584" i="4"/>
  <c r="A6585" i="4"/>
  <c r="A6586" i="4"/>
  <c r="A6587" i="4"/>
  <c r="A6588" i="4"/>
  <c r="A6589" i="4"/>
  <c r="A6590" i="4"/>
  <c r="A6591" i="4"/>
  <c r="A2" i="4"/>
  <c r="C4" i="4" l="1"/>
  <c r="C5" i="4" s="1"/>
  <c r="A3" i="4"/>
  <c r="A100" i="4"/>
  <c r="C6" i="4" l="1"/>
  <c r="C7" i="4" s="1"/>
  <c r="A4" i="4"/>
  <c r="A132" i="4"/>
  <c r="A5" i="4" l="1"/>
  <c r="A6" i="4" s="1"/>
  <c r="C8" i="4"/>
  <c r="A162" i="4"/>
  <c r="A7" i="4" l="1"/>
  <c r="C9" i="4"/>
  <c r="A192" i="4"/>
  <c r="A8" i="4" l="1"/>
  <c r="C10" i="4"/>
  <c r="A9" i="4" l="1"/>
  <c r="C11" i="4"/>
  <c r="A248" i="4"/>
  <c r="A10" i="4" l="1"/>
  <c r="C12" i="4"/>
  <c r="A276" i="4"/>
  <c r="A11" i="4" l="1"/>
  <c r="C13" i="4"/>
  <c r="C14" i="4"/>
  <c r="A304" i="4"/>
  <c r="A12" i="4" l="1"/>
  <c r="A13" i="4" s="1"/>
  <c r="C15" i="4"/>
  <c r="C74" i="4"/>
  <c r="C75" i="4" s="1"/>
  <c r="C77" i="4" s="1"/>
  <c r="C78" i="4" s="1"/>
  <c r="C79" i="4" s="1"/>
  <c r="C80" i="4" s="1"/>
  <c r="C81" i="4" s="1"/>
  <c r="C87" i="4" s="1"/>
  <c r="C88" i="4" s="1"/>
  <c r="C89" i="4" s="1"/>
  <c r="C90" i="4" s="1"/>
  <c r="C267" i="4" s="1"/>
  <c r="C269" i="4" s="1"/>
  <c r="C328" i="4" s="1"/>
  <c r="C329" i="4" s="1"/>
  <c r="C330" i="4" s="1"/>
  <c r="C542" i="4" s="1"/>
  <c r="C543" i="4" s="1"/>
  <c r="C544" i="4" s="1"/>
  <c r="C941" i="4" s="1"/>
  <c r="C942" i="4" s="1"/>
  <c r="C943" i="4" s="1"/>
  <c r="A14" i="4" l="1"/>
  <c r="C16" i="4"/>
  <c r="A15" i="4" l="1"/>
  <c r="C17" i="4"/>
  <c r="A16" i="4" l="1"/>
  <c r="C18" i="4"/>
  <c r="A17" i="4" l="1"/>
  <c r="C19" i="4"/>
  <c r="A18" i="4" l="1"/>
  <c r="C20" i="4"/>
  <c r="A19" i="4" l="1"/>
  <c r="C21" i="4"/>
  <c r="A20" i="4" l="1"/>
  <c r="C22" i="4"/>
  <c r="A21" i="4" l="1"/>
  <c r="C23" i="4"/>
  <c r="A22" i="4" l="1"/>
  <c r="C73" i="4"/>
  <c r="A23" i="4" l="1"/>
  <c r="H51" i="4"/>
  <c r="H65" i="4"/>
  <c r="H37" i="4"/>
  <c r="H34" i="4"/>
  <c r="H62" i="4"/>
  <c r="H53" i="4"/>
  <c r="H25" i="4"/>
  <c r="H63" i="4"/>
  <c r="H67" i="4"/>
  <c r="H30" i="4"/>
  <c r="H29" i="4"/>
  <c r="H60" i="4"/>
  <c r="H55" i="4"/>
  <c r="H41" i="4"/>
  <c r="H64" i="4"/>
  <c r="H57" i="4"/>
  <c r="H52" i="4"/>
  <c r="H35" i="4"/>
  <c r="H31" i="4"/>
  <c r="H40" i="4"/>
  <c r="H24" i="4"/>
  <c r="H68" i="4"/>
  <c r="H38" i="4"/>
  <c r="H28" i="4"/>
  <c r="H59" i="4"/>
  <c r="H56" i="4"/>
  <c r="H26" i="4"/>
  <c r="H39" i="4"/>
  <c r="H36" i="4"/>
  <c r="H27" i="4"/>
  <c r="H32" i="4"/>
  <c r="H66" i="4"/>
  <c r="H61" i="4"/>
  <c r="H33" i="4"/>
  <c r="H54" i="4"/>
  <c r="H11" i="4"/>
  <c r="H10" i="4"/>
  <c r="H12" i="4"/>
  <c r="H14" i="4"/>
  <c r="H13" i="4"/>
  <c r="H3" i="4"/>
  <c r="H6" i="4"/>
  <c r="H4" i="4"/>
  <c r="H2" i="4"/>
  <c r="H7" i="4"/>
  <c r="H9" i="4"/>
  <c r="H15" i="4"/>
  <c r="H8" i="4"/>
  <c r="H5" i="4"/>
  <c r="H16" i="4"/>
  <c r="H17" i="4"/>
  <c r="H19" i="4"/>
  <c r="H23" i="4"/>
  <c r="H22" i="4"/>
  <c r="H20" i="4"/>
  <c r="H18" i="4"/>
  <c r="H21" i="4"/>
  <c r="A24" i="4" l="1"/>
  <c r="A25" i="4" l="1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5" i="4" l="1"/>
  <c r="A46" i="4" l="1"/>
  <c r="A68" i="4" l="1"/>
  <c r="A47" i="4"/>
  <c r="A48" i="4" l="1"/>
  <c r="A49" i="4" l="1"/>
  <c r="A50" i="4" l="1"/>
  <c r="A51" i="4" l="1"/>
  <c r="A92" i="4" l="1"/>
  <c r="A93" i="4" l="1"/>
  <c r="A94" i="4" s="1"/>
  <c r="A95" i="4" s="1"/>
  <c r="A96" i="4" s="1"/>
  <c r="A97" i="4" s="1"/>
  <c r="A138" i="4" l="1"/>
  <c r="A362" i="4"/>
  <c r="A390" i="4" s="1"/>
  <c r="A418" i="4" s="1"/>
  <c r="A446" i="4" s="1"/>
  <c r="A472" i="4" s="1"/>
  <c r="A500" i="4" s="1"/>
  <c r="A528" i="4" s="1"/>
  <c r="A560" i="4" s="1"/>
  <c r="A592" i="4" s="1"/>
  <c r="A620" i="4" s="1"/>
  <c r="A648" i="4" s="1"/>
  <c r="A675" i="4" s="1"/>
  <c r="A701" i="4" s="1"/>
  <c r="A727" i="4" s="1"/>
  <c r="A753" i="4" s="1"/>
  <c r="A779" i="4" s="1"/>
  <c r="A805" i="4" s="1"/>
  <c r="A831" i="4" s="1"/>
  <c r="A857" i="4" s="1"/>
  <c r="A883" i="4" s="1"/>
  <c r="A888" i="4" s="1"/>
  <c r="A893" i="4" s="1"/>
  <c r="A898" i="4" s="1"/>
  <c r="A903" i="4" s="1"/>
  <c r="A908" i="4" s="1"/>
  <c r="A3848" i="4" s="1"/>
  <c r="A6583" i="4" s="1"/>
  <c r="A6592" i="4" s="1"/>
  <c r="A139" i="4" l="1"/>
  <c r="A215" i="4" l="1"/>
  <c r="A217" i="4" s="1"/>
  <c r="A218" i="4" s="1"/>
  <c r="A219" i="4" s="1"/>
  <c r="A220" i="4" s="1"/>
  <c r="A221" i="4" s="1"/>
  <c r="A222" i="4" s="1"/>
  <c r="A268" i="4" l="1"/>
  <c r="A269" i="4" l="1"/>
  <c r="A310" i="4" s="1"/>
  <c r="A311" i="4" l="1"/>
  <c r="A333" i="4" l="1"/>
  <c r="A312" i="4"/>
  <c r="A313" i="4" s="1"/>
  <c r="A314" i="4" s="1"/>
  <c r="A315" i="4" s="1"/>
  <c r="A316" i="4" s="1"/>
  <c r="A317" i="4" s="1"/>
  <c r="A318" i="4" s="1"/>
  <c r="A320" i="4" s="1"/>
  <c r="A340" i="4"/>
  <c r="A371" i="4" l="1"/>
  <c r="A372" i="4" s="1"/>
  <c r="G11" i="4" l="1"/>
  <c r="G30" i="4"/>
  <c r="G39" i="4"/>
  <c r="G15" i="4"/>
  <c r="G10" i="4"/>
  <c r="G38" i="4"/>
  <c r="G43" i="4"/>
  <c r="G35" i="4"/>
  <c r="G44" i="4"/>
  <c r="G33" i="4"/>
  <c r="G3" i="4"/>
  <c r="G7" i="4"/>
  <c r="G21" i="4"/>
  <c r="G46" i="4"/>
  <c r="G17" i="4"/>
  <c r="G20" i="4"/>
  <c r="G40" i="4"/>
  <c r="G37" i="4"/>
  <c r="G53" i="4"/>
  <c r="G23" i="4"/>
  <c r="G55" i="4"/>
  <c r="G18" i="4"/>
  <c r="G4" i="4"/>
  <c r="G22" i="4"/>
  <c r="G49" i="4"/>
  <c r="G12" i="4"/>
  <c r="G6" i="4"/>
  <c r="G13" i="4"/>
  <c r="G50" i="4"/>
  <c r="G51" i="4"/>
  <c r="G48" i="4"/>
  <c r="G41" i="4"/>
  <c r="G8" i="4"/>
  <c r="G45" i="4"/>
  <c r="G29" i="4"/>
  <c r="G28" i="4"/>
  <c r="G19" i="4"/>
  <c r="G14" i="4"/>
  <c r="G9" i="4"/>
  <c r="G34" i="4"/>
  <c r="G24" i="4"/>
  <c r="G57" i="4"/>
  <c r="G52" i="4"/>
  <c r="G56" i="4"/>
  <c r="G32" i="4"/>
  <c r="G42" i="4"/>
  <c r="G5" i="4"/>
  <c r="G27" i="4"/>
  <c r="G47" i="4"/>
  <c r="G26" i="4"/>
  <c r="G2" i="4"/>
  <c r="G25" i="4"/>
  <c r="G36" i="4"/>
  <c r="G16" i="4"/>
  <c r="G31" i="4"/>
  <c r="G54" i="4"/>
  <c r="AH8" i="5"/>
  <c r="Y8" i="5"/>
  <c r="AE8" i="5"/>
  <c r="AD8" i="5"/>
  <c r="AB8" i="5"/>
  <c r="AF8" i="5"/>
  <c r="AG8" i="5"/>
  <c r="Z8" i="5"/>
  <c r="S9" i="44" l="1"/>
  <c r="R9" i="44"/>
  <c r="Q9" i="44"/>
  <c r="F9" i="44" s="1"/>
  <c r="N9" i="44"/>
  <c r="C9" i="44" s="1"/>
  <c r="G9" i="44" l="1"/>
  <c r="E9" i="44"/>
  <c r="H9" i="44"/>
  <c r="D9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Канотопский Николай Владимирович</author>
  </authors>
  <commentList>
    <comment ref="P3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Обратить внимание на работу узлов и восприятие моментов в плоскости и из плоскости.
При вводе ИД опредилить какой момент воспринимает данный узел</t>
        </r>
      </text>
    </comment>
  </commentList>
</comments>
</file>

<file path=xl/sharedStrings.xml><?xml version="1.0" encoding="utf-8"?>
<sst xmlns="http://schemas.openxmlformats.org/spreadsheetml/2006/main" count="8024" uniqueCount="2464">
  <si>
    <t>LIRA</t>
  </si>
  <si>
    <t>Load</t>
  </si>
  <si>
    <t>Element</t>
  </si>
  <si>
    <t>NIPIGAS</t>
  </si>
  <si>
    <t>Qo (kN)</t>
  </si>
  <si>
    <t>N (kN)  (M=0)</t>
  </si>
  <si>
    <t>Q(kN)</t>
  </si>
  <si>
    <t>ELEM</t>
  </si>
  <si>
    <t>SECT</t>
  </si>
  <si>
    <t>Тип ЭЛЕМ</t>
  </si>
  <si>
    <t>ЭЛЕМЕНТ</t>
  </si>
  <si>
    <t>СЕЧ</t>
  </si>
  <si>
    <t>Value</t>
  </si>
  <si>
    <t>Q (кН)</t>
  </si>
  <si>
    <t>Qo (кН)</t>
  </si>
  <si>
    <t>Несущая способность из альбома</t>
  </si>
  <si>
    <t>Mo</t>
  </si>
  <si>
    <t>T</t>
  </si>
  <si>
    <t>Альтернативные условия прочности</t>
  </si>
  <si>
    <t>un</t>
  </si>
  <si>
    <t>us</t>
  </si>
  <si>
    <t>CONNECTION NAME/ НАИМЕНОВАНИЕ СОЕДИНЕНИЯ</t>
  </si>
  <si>
    <t>BEAM/ БАЛКА</t>
  </si>
  <si>
    <t>COLUMN/ КОЛОННА</t>
  </si>
  <si>
    <t xml:space="preserve">НЕСУЩИЕ СПОСОБНОСТИ </t>
  </si>
  <si>
    <t>КОЭФФИЦИЕНТЫ ВЗАИМОДЕЙСТВИЯ</t>
  </si>
  <si>
    <t>N</t>
  </si>
  <si>
    <t>Qo</t>
  </si>
  <si>
    <t>Q</t>
  </si>
  <si>
    <t>M</t>
  </si>
  <si>
    <t>Mneg</t>
  </si>
  <si>
    <t>α</t>
  </si>
  <si>
    <t>β</t>
  </si>
  <si>
    <t>γ</t>
  </si>
  <si>
    <t>δ</t>
  </si>
  <si>
    <t>ε</t>
  </si>
  <si>
    <t>λ</t>
  </si>
  <si>
    <t>20Б1</t>
  </si>
  <si>
    <t>20Б2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</si>
  <si>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</si>
  <si>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</si>
  <si>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</si>
  <si>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</si>
  <si>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</si>
  <si>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</si>
  <si>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</si>
  <si>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</si>
  <si>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</si>
  <si>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</si>
  <si>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</si>
  <si>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</si>
  <si>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60Б1</t>
  </si>
  <si>
    <t>60Б2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</si>
  <si>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</si>
  <si>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</si>
  <si>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</si>
  <si>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</si>
  <si>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</si>
  <si>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</si>
  <si>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</si>
  <si>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</si>
  <si>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</si>
  <si>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</si>
  <si>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</si>
  <si>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</si>
  <si>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</si>
  <si>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</si>
  <si>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</si>
  <si>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</si>
  <si>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</si>
  <si>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H-644х42+317х68</t>
  </si>
  <si>
    <t>H-650х20+315х25</t>
  </si>
  <si>
    <t>H-700х20+630х25</t>
  </si>
  <si>
    <t>H-1000х20+500х32</t>
  </si>
  <si>
    <t>25К2</t>
  </si>
  <si>
    <t>35К1</t>
  </si>
  <si>
    <t>40К1</t>
  </si>
  <si>
    <t>25К1</t>
  </si>
  <si>
    <t>40К2</t>
  </si>
  <si>
    <t>20К1</t>
  </si>
  <si>
    <t>25К3</t>
  </si>
  <si>
    <t>30К1</t>
  </si>
  <si>
    <t>30К2</t>
  </si>
  <si>
    <t>30К3</t>
  </si>
  <si>
    <t>30К4</t>
  </si>
  <si>
    <t>35К2</t>
  </si>
  <si>
    <t>40К3</t>
  </si>
  <si>
    <t>40К4</t>
  </si>
  <si>
    <t>H-560х25+500х40</t>
  </si>
  <si>
    <t>H-610х30+650х50</t>
  </si>
  <si>
    <t>H-750х40+700х40</t>
  </si>
  <si>
    <t>H-1100х25+500х40</t>
  </si>
  <si>
    <t>балка</t>
  </si>
  <si>
    <t>Колонна</t>
  </si>
  <si>
    <t>Балка</t>
  </si>
  <si>
    <t>колонна</t>
  </si>
  <si>
    <t>НАИМЕНОВАНИЕ СОЕДИНЕНИЯ</t>
  </si>
  <si>
    <t>u</t>
  </si>
  <si>
    <t>Номер</t>
  </si>
  <si>
    <t>Номинальные размеры, мм</t>
  </si>
  <si>
    <t>профиля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</si>
  <si>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</si>
  <si>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</si>
  <si>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</si>
  <si>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</si>
  <si>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</si>
  <si>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</si>
  <si>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</si>
  <si>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</si>
  <si>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</si>
  <si>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</si>
  <si>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</si>
  <si>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</si>
  <si>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</si>
  <si>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</si>
  <si>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</si>
  <si>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</si>
  <si>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</si>
  <si>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</si>
  <si>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</si>
  <si>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</si>
  <si>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50Б3</t>
  </si>
  <si>
    <t>50Б4</t>
  </si>
  <si>
    <t>50Б5</t>
  </si>
  <si>
    <t>55Б1</t>
  </si>
  <si>
    <t>55Б2</t>
  </si>
  <si>
    <t>55Б3</t>
  </si>
  <si>
    <t>55Б4</t>
  </si>
  <si>
    <t>60Б3</t>
  </si>
  <si>
    <t>60Б4</t>
  </si>
  <si>
    <t>70Б1</t>
  </si>
  <si>
    <t>70Б2</t>
  </si>
  <si>
    <t>70Б3</t>
  </si>
  <si>
    <t>70Б4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</si>
  <si>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</si>
  <si>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</si>
  <si>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</si>
  <si>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</si>
  <si>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</si>
  <si>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</si>
  <si>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</si>
  <si>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</si>
  <si>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</si>
  <si>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</si>
  <si>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</si>
  <si>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</si>
  <si>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</si>
  <si>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</si>
  <si>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</si>
  <si>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</si>
  <si>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</si>
  <si>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20 0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</si>
  <si>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</si>
  <si>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</si>
  <si>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</si>
  <si>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</si>
  <si>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</si>
  <si>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</si>
  <si>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</si>
  <si>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</si>
  <si>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</si>
  <si>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</si>
  <si>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</si>
  <si>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</si>
  <si>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</si>
  <si>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</si>
  <si>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</si>
  <si>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</si>
  <si>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</si>
  <si>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</si>
  <si>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</si>
  <si>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</si>
  <si>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</si>
  <si>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</si>
  <si>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</si>
  <si>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</si>
  <si>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70Ш1</t>
  </si>
  <si>
    <t>70Ш2</t>
  </si>
  <si>
    <t>70Ш3</t>
  </si>
  <si>
    <t>70Ш4</t>
  </si>
  <si>
    <t>70Ш5</t>
  </si>
  <si>
    <t>70Ш6</t>
  </si>
  <si>
    <t>70Ш7</t>
  </si>
  <si>
    <t>70Ш8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</si>
  <si>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</si>
  <si>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</si>
  <si>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</si>
  <si>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</si>
  <si>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</si>
  <si>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</si>
  <si>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</si>
  <si>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</si>
  <si>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15К1</t>
  </si>
  <si>
    <t>15К2</t>
  </si>
  <si>
    <t>15К3</t>
  </si>
  <si>
    <t>15К4</t>
  </si>
  <si>
    <t>15К5</t>
  </si>
  <si>
    <t>20К2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</si>
  <si>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</si>
  <si>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</si>
  <si>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</si>
  <si>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</si>
  <si>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</si>
  <si>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</si>
  <si>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</si>
  <si>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</si>
  <si>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</si>
  <si>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</si>
  <si>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</si>
  <si>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</si>
  <si>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</si>
  <si>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</si>
  <si>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</si>
  <si>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</si>
  <si>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</si>
  <si>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</si>
  <si>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</si>
  <si>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</si>
  <si>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</si>
  <si>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</si>
  <si>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</si>
  <si>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</si>
  <si>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</si>
  <si>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</si>
  <si>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</si>
  <si>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</si>
  <si>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</si>
  <si>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</si>
  <si>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35К1,5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</si>
  <si>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</si>
  <si>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</si>
  <si>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</si>
  <si>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</si>
  <si>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</si>
  <si>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</si>
  <si>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</si>
  <si>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</si>
  <si>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</si>
  <si>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</si>
  <si>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</si>
  <si>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</si>
  <si>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</si>
  <si>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</si>
  <si>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</si>
  <si>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</si>
  <si>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</si>
  <si>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</si>
  <si>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</si>
  <si>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</si>
  <si>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</si>
  <si>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</si>
  <si>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40К4,5</t>
  </si>
  <si>
    <t>40К5</t>
  </si>
  <si>
    <t>H</t>
  </si>
  <si>
    <t>B</t>
  </si>
  <si>
    <t>s</t>
  </si>
  <si>
    <t>t</t>
  </si>
  <si>
    <t xml:space="preserve"> MAX Сoeff.</t>
  </si>
  <si>
    <t>DCL(РСН)</t>
  </si>
  <si>
    <t>Coeff.</t>
  </si>
  <si>
    <t>Коэф.</t>
  </si>
  <si>
    <t>Nt</t>
  </si>
  <si>
    <t>Nc</t>
  </si>
  <si>
    <t>H2_01</t>
  </si>
  <si>
    <t>H2_02</t>
  </si>
  <si>
    <t>H2_03</t>
  </si>
  <si>
    <t>H2_04</t>
  </si>
  <si>
    <t>H2_05</t>
  </si>
  <si>
    <t>H2_06</t>
  </si>
  <si>
    <t>H2_07</t>
  </si>
  <si>
    <t>H2_08</t>
  </si>
  <si>
    <t>H2_09</t>
  </si>
  <si>
    <t>H2_10</t>
  </si>
  <si>
    <t>H2_11</t>
  </si>
  <si>
    <t>H2_12</t>
  </si>
  <si>
    <t>H2_13</t>
  </si>
  <si>
    <t>H2_14</t>
  </si>
  <si>
    <t>H2_15</t>
  </si>
  <si>
    <t>H2_16</t>
  </si>
  <si>
    <t>H2_17</t>
  </si>
  <si>
    <t>H2_18</t>
  </si>
  <si>
    <t>H2_19</t>
  </si>
  <si>
    <t>H2_20</t>
  </si>
  <si>
    <t>H2_21</t>
  </si>
  <si>
    <t>H2_22</t>
  </si>
  <si>
    <t>H2_23</t>
  </si>
  <si>
    <t>H2_24</t>
  </si>
  <si>
    <t>H2_25</t>
  </si>
  <si>
    <t>H2_26</t>
  </si>
  <si>
    <t>H2_27</t>
  </si>
  <si>
    <t>H2_28</t>
  </si>
  <si>
    <t>H2_29</t>
  </si>
  <si>
    <t>H2_30</t>
  </si>
  <si>
    <t>H2_31</t>
  </si>
  <si>
    <t>H2_32</t>
  </si>
  <si>
    <t>H2_33</t>
  </si>
  <si>
    <t>H2_34</t>
  </si>
  <si>
    <t>H2_35</t>
  </si>
  <si>
    <t>H2_36</t>
  </si>
  <si>
    <t>H2_37</t>
  </si>
  <si>
    <t>H2_38</t>
  </si>
  <si>
    <t>H2_39</t>
  </si>
  <si>
    <t>H2_40</t>
  </si>
  <si>
    <t>H2_41</t>
  </si>
  <si>
    <t>H-1100x25+500x40</t>
  </si>
  <si>
    <t>H2_42</t>
  </si>
  <si>
    <t>H-1200x25+500x40</t>
  </si>
  <si>
    <t>H2_43</t>
  </si>
  <si>
    <t>12П</t>
  </si>
  <si>
    <t>H2_44</t>
  </si>
  <si>
    <t>14П</t>
  </si>
  <si>
    <t>H2_45</t>
  </si>
  <si>
    <t>16П</t>
  </si>
  <si>
    <t>H2_46</t>
  </si>
  <si>
    <t>18П</t>
  </si>
  <si>
    <t>H2_47</t>
  </si>
  <si>
    <t>20П</t>
  </si>
  <si>
    <t>H2_48</t>
  </si>
  <si>
    <t>24П</t>
  </si>
  <si>
    <t>H2_49</t>
  </si>
  <si>
    <t>30П</t>
  </si>
  <si>
    <t>H2_50</t>
  </si>
  <si>
    <t>36П</t>
  </si>
  <si>
    <t>H2H_01</t>
  </si>
  <si>
    <t>H2H_02</t>
  </si>
  <si>
    <t>H2H_03</t>
  </si>
  <si>
    <t>H2H_04</t>
  </si>
  <si>
    <t>H2H_05</t>
  </si>
  <si>
    <t>H2H_06</t>
  </si>
  <si>
    <t>H2H_07</t>
  </si>
  <si>
    <t>H2H_08</t>
  </si>
  <si>
    <t>H2H_09</t>
  </si>
  <si>
    <t>H2H_10</t>
  </si>
  <si>
    <t>H2H_11</t>
  </si>
  <si>
    <t>H2H_12</t>
  </si>
  <si>
    <t>H2H_13</t>
  </si>
  <si>
    <t>H2H_14</t>
  </si>
  <si>
    <t>H2H_15</t>
  </si>
  <si>
    <t>H2H_16</t>
  </si>
  <si>
    <t>H2H_17</t>
  </si>
  <si>
    <t>H2H_18</t>
  </si>
  <si>
    <t>H2H_19</t>
  </si>
  <si>
    <t>H2H_20</t>
  </si>
  <si>
    <t>H2H_21</t>
  </si>
  <si>
    <t>H2H_22</t>
  </si>
  <si>
    <t>H2H_23</t>
  </si>
  <si>
    <t>H2H_24</t>
  </si>
  <si>
    <t>H2H_25</t>
  </si>
  <si>
    <t>H2H_26</t>
  </si>
  <si>
    <t>H2H_27</t>
  </si>
  <si>
    <t>H2H_28</t>
  </si>
  <si>
    <t>H2H_29</t>
  </si>
  <si>
    <t>H2H_30</t>
  </si>
  <si>
    <t>H2H_31</t>
  </si>
  <si>
    <t>H2H_32</t>
  </si>
  <si>
    <t>H2H_33</t>
  </si>
  <si>
    <t>H2H_34</t>
  </si>
  <si>
    <t>H2H_35</t>
  </si>
  <si>
    <t>H2H_36</t>
  </si>
  <si>
    <t>H2H_37</t>
  </si>
  <si>
    <t>H2H_38</t>
  </si>
  <si>
    <t>H2H_39</t>
  </si>
  <si>
    <t>H2H_40</t>
  </si>
  <si>
    <t>H2H_41</t>
  </si>
  <si>
    <t>H2H_42</t>
  </si>
  <si>
    <t>H2H_43</t>
  </si>
  <si>
    <t>H2H_44</t>
  </si>
  <si>
    <t>H2H_45</t>
  </si>
  <si>
    <t>H2H_46</t>
  </si>
  <si>
    <t>H2H_01*</t>
  </si>
  <si>
    <t>H2H_02*</t>
  </si>
  <si>
    <t>H2H_03*</t>
  </si>
  <si>
    <t>H2H_04*</t>
  </si>
  <si>
    <t>H2H_05*</t>
  </si>
  <si>
    <t>H2H_06*</t>
  </si>
  <si>
    <t>H2H_07*</t>
  </si>
  <si>
    <t>H2H_08*</t>
  </si>
  <si>
    <t>H2H_09*</t>
  </si>
  <si>
    <t>H2H_10*</t>
  </si>
  <si>
    <t>H2H_11*</t>
  </si>
  <si>
    <t>H2H_12*</t>
  </si>
  <si>
    <t>H2H_13*</t>
  </si>
  <si>
    <t>H2H_14*</t>
  </si>
  <si>
    <t>H2H_15*</t>
  </si>
  <si>
    <t>H2H_16*</t>
  </si>
  <si>
    <t>H2H_17*</t>
  </si>
  <si>
    <t>H2H_18*</t>
  </si>
  <si>
    <t>H2H_19*</t>
  </si>
  <si>
    <t>H2H_20*</t>
  </si>
  <si>
    <t>H2H_21*</t>
  </si>
  <si>
    <t>H2H_22*</t>
  </si>
  <si>
    <t>H2H_23*</t>
  </si>
  <si>
    <t>H2H_24*</t>
  </si>
  <si>
    <t>H2H_25*</t>
  </si>
  <si>
    <t>H2H_26*</t>
  </si>
  <si>
    <t>H2H_27*</t>
  </si>
  <si>
    <t>H2H_28*</t>
  </si>
  <si>
    <t>H2H_29*</t>
  </si>
  <si>
    <t>H2H_30*</t>
  </si>
  <si>
    <t>H2H_31*</t>
  </si>
  <si>
    <t>H2H_32*</t>
  </si>
  <si>
    <t>H2H_33*</t>
  </si>
  <si>
    <t>H2H_34*</t>
  </si>
  <si>
    <t>H2H_35*</t>
  </si>
  <si>
    <t>H2H_36*</t>
  </si>
  <si>
    <t>H2H_37*</t>
  </si>
  <si>
    <t>H2H_38*</t>
  </si>
  <si>
    <t>H2H_39*</t>
  </si>
  <si>
    <t>H2H_40*</t>
  </si>
  <si>
    <t>H2H_41*</t>
  </si>
  <si>
    <t>H2H_42*</t>
  </si>
  <si>
    <t>H2H_43*</t>
  </si>
  <si>
    <t>H2H_44*</t>
  </si>
  <si>
    <t>H2H_45*</t>
  </si>
  <si>
    <t>H2H_46*</t>
  </si>
  <si>
    <t>H2SH_01</t>
  </si>
  <si>
    <t>H2SH_02</t>
  </si>
  <si>
    <t>H2SH_03</t>
  </si>
  <si>
    <t>H2SH_04</t>
  </si>
  <si>
    <t>H2SH_05</t>
  </si>
  <si>
    <t>H2SH_06</t>
  </si>
  <si>
    <t>H2SH_07</t>
  </si>
  <si>
    <t>H2SH_08</t>
  </si>
  <si>
    <t>H2SH_09</t>
  </si>
  <si>
    <t>H2SH_10</t>
  </si>
  <si>
    <t>H2SH_11</t>
  </si>
  <si>
    <t>H2SH_12</t>
  </si>
  <si>
    <t>H2SH_13</t>
  </si>
  <si>
    <t>H2SH_14</t>
  </si>
  <si>
    <t>H2SH_15</t>
  </si>
  <si>
    <t>H2SH_16</t>
  </si>
  <si>
    <t>H2SH_17</t>
  </si>
  <si>
    <t>H2SH_18</t>
  </si>
  <si>
    <t>H2SH_19</t>
  </si>
  <si>
    <t>H2SH_20</t>
  </si>
  <si>
    <t>H2SH_21</t>
  </si>
  <si>
    <t>H2SH_22</t>
  </si>
  <si>
    <t>H2SH_23</t>
  </si>
  <si>
    <t>H2SH_24</t>
  </si>
  <si>
    <t>H2SH_25</t>
  </si>
  <si>
    <t>H2SH_26</t>
  </si>
  <si>
    <t>H2SH_27</t>
  </si>
  <si>
    <t>H2SH_28</t>
  </si>
  <si>
    <t>H2SH_29</t>
  </si>
  <si>
    <t>H2SH_30</t>
  </si>
  <si>
    <t>H2SH_31</t>
  </si>
  <si>
    <t>H2SH_32</t>
  </si>
  <si>
    <t>H2SH_33</t>
  </si>
  <si>
    <t>H2SH_34</t>
  </si>
  <si>
    <t>H7_01</t>
  </si>
  <si>
    <t>H7_02</t>
  </si>
  <si>
    <t>H7_03</t>
  </si>
  <si>
    <t>H7_04</t>
  </si>
  <si>
    <t>H7_05</t>
  </si>
  <si>
    <t>H7_06</t>
  </si>
  <si>
    <t>H7_07</t>
  </si>
  <si>
    <t>H7_08</t>
  </si>
  <si>
    <t>H7_09</t>
  </si>
  <si>
    <t>H7_10</t>
  </si>
  <si>
    <t>H7_11</t>
  </si>
  <si>
    <t>H7_12</t>
  </si>
  <si>
    <t>H7_13</t>
  </si>
  <si>
    <t>H7_14</t>
  </si>
  <si>
    <t>H7_15</t>
  </si>
  <si>
    <t>H7_16</t>
  </si>
  <si>
    <t>H7_17</t>
  </si>
  <si>
    <t>H7_18</t>
  </si>
  <si>
    <t>H7_19</t>
  </si>
  <si>
    <t>H7_20</t>
  </si>
  <si>
    <t>H7_21</t>
  </si>
  <si>
    <t>H7_22</t>
  </si>
  <si>
    <t>H7_23</t>
  </si>
  <si>
    <t>H7_24</t>
  </si>
  <si>
    <t>H7_25</t>
  </si>
  <si>
    <t>H7_26</t>
  </si>
  <si>
    <t>H7_27</t>
  </si>
  <si>
    <t>H7_28</t>
  </si>
  <si>
    <t>H7_29</t>
  </si>
  <si>
    <t>H7_30</t>
  </si>
  <si>
    <t>H7_31</t>
  </si>
  <si>
    <t>H7_32</t>
  </si>
  <si>
    <t>H7_33</t>
  </si>
  <si>
    <t>H7_34</t>
  </si>
  <si>
    <t>H7_35</t>
  </si>
  <si>
    <t>H7_36</t>
  </si>
  <si>
    <t>H7_37</t>
  </si>
  <si>
    <t>H7_38</t>
  </si>
  <si>
    <t>H7_39</t>
  </si>
  <si>
    <t>H7_40</t>
  </si>
  <si>
    <t>H7_41</t>
  </si>
  <si>
    <t>H-644x42+317x68</t>
  </si>
  <si>
    <t>H7_42</t>
  </si>
  <si>
    <t>H-650x20+315x25</t>
  </si>
  <si>
    <t>H7_43</t>
  </si>
  <si>
    <t>H-700x20+630x25</t>
  </si>
  <si>
    <t>H7_44</t>
  </si>
  <si>
    <t>H-1000x20+500x32</t>
  </si>
  <si>
    <t>H7_45</t>
  </si>
  <si>
    <t xml:space="preserve">H-1100x25+500x40 </t>
  </si>
  <si>
    <t>H7_46</t>
  </si>
  <si>
    <t>H7H_01</t>
  </si>
  <si>
    <t>H7H_02</t>
  </si>
  <si>
    <t>H7H_03</t>
  </si>
  <si>
    <t>H7H_04</t>
  </si>
  <si>
    <t>H7H_05</t>
  </si>
  <si>
    <t>H7H_06</t>
  </si>
  <si>
    <t>H7H_07</t>
  </si>
  <si>
    <t>H7H_08</t>
  </si>
  <si>
    <t>H7H_09</t>
  </si>
  <si>
    <t>H7H_10</t>
  </si>
  <si>
    <t>H7H_11</t>
  </si>
  <si>
    <t>H7H_12</t>
  </si>
  <si>
    <t>H7H_13</t>
  </si>
  <si>
    <t>H7H_14</t>
  </si>
  <si>
    <t>H7H_15</t>
  </si>
  <si>
    <t>H7H_16</t>
  </si>
  <si>
    <t>H7H_17</t>
  </si>
  <si>
    <t>H7H_18</t>
  </si>
  <si>
    <t>H7H_19</t>
  </si>
  <si>
    <t>H7H_20</t>
  </si>
  <si>
    <t>H7H_21</t>
  </si>
  <si>
    <t>H7H_22</t>
  </si>
  <si>
    <t>H7H_23</t>
  </si>
  <si>
    <t>H7H_24</t>
  </si>
  <si>
    <t>H7H_25</t>
  </si>
  <si>
    <t>H7H_26</t>
  </si>
  <si>
    <t>H7H_27</t>
  </si>
  <si>
    <t>H7H_28</t>
  </si>
  <si>
    <t>H7H_29</t>
  </si>
  <si>
    <t>H7H_30</t>
  </si>
  <si>
    <t>H7H_31</t>
  </si>
  <si>
    <t>H7H_32</t>
  </si>
  <si>
    <t>H7H_33</t>
  </si>
  <si>
    <t>H7H_34</t>
  </si>
  <si>
    <t>H7H_35</t>
  </si>
  <si>
    <t>H7H_36</t>
  </si>
  <si>
    <t>H7H_37</t>
  </si>
  <si>
    <t>H7H_38</t>
  </si>
  <si>
    <t>H7H_39</t>
  </si>
  <si>
    <t>H7H_40</t>
  </si>
  <si>
    <t>H7H_41</t>
  </si>
  <si>
    <t>H7H_42</t>
  </si>
  <si>
    <t>H7H_43</t>
  </si>
  <si>
    <t>H7H_44</t>
  </si>
  <si>
    <t>H7H_45</t>
  </si>
  <si>
    <t>H7H_46</t>
  </si>
  <si>
    <t>H11_01</t>
  </si>
  <si>
    <t>H11_02</t>
  </si>
  <si>
    <t>H11_03</t>
  </si>
  <si>
    <t>H11_04</t>
  </si>
  <si>
    <t>H11_05</t>
  </si>
  <si>
    <t>H11_06</t>
  </si>
  <si>
    <t>H11_07</t>
  </si>
  <si>
    <t>H11_08</t>
  </si>
  <si>
    <t>H11_09</t>
  </si>
  <si>
    <t>H11_10</t>
  </si>
  <si>
    <t>H11_11</t>
  </si>
  <si>
    <t>H11_12</t>
  </si>
  <si>
    <t>H11_13</t>
  </si>
  <si>
    <t>H11_14</t>
  </si>
  <si>
    <t>H11_15</t>
  </si>
  <si>
    <t>H11_16</t>
  </si>
  <si>
    <t>H11_17</t>
  </si>
  <si>
    <t>H11_18</t>
  </si>
  <si>
    <t>H11_19</t>
  </si>
  <si>
    <t>H11_20</t>
  </si>
  <si>
    <t>H11_21</t>
  </si>
  <si>
    <t>H11_22</t>
  </si>
  <si>
    <t>H11_23</t>
  </si>
  <si>
    <t>H11_24</t>
  </si>
  <si>
    <t>H11_25</t>
  </si>
  <si>
    <t>H11_26</t>
  </si>
  <si>
    <t>H11_27</t>
  </si>
  <si>
    <t>H11_28</t>
  </si>
  <si>
    <t>H11_29</t>
  </si>
  <si>
    <t>H11_30</t>
  </si>
  <si>
    <t>H11_31</t>
  </si>
  <si>
    <t>H11_32</t>
  </si>
  <si>
    <t>H11_33</t>
  </si>
  <si>
    <t>H11_34</t>
  </si>
  <si>
    <t>H11_35</t>
  </si>
  <si>
    <t>H11_36</t>
  </si>
  <si>
    <t>H11_37</t>
  </si>
  <si>
    <t>H11_38</t>
  </si>
  <si>
    <t>H11_39</t>
  </si>
  <si>
    <t>H11_40</t>
  </si>
  <si>
    <t>H11_41</t>
  </si>
  <si>
    <t>H11_42</t>
  </si>
  <si>
    <t>H11_43</t>
  </si>
  <si>
    <t>H11_44</t>
  </si>
  <si>
    <t>H11_45</t>
  </si>
  <si>
    <t>H11_46</t>
  </si>
  <si>
    <t>H11_47</t>
  </si>
  <si>
    <t>H11_48</t>
  </si>
  <si>
    <t>H11_49</t>
  </si>
  <si>
    <t xml:space="preserve">Гнз80x4 </t>
  </si>
  <si>
    <t xml:space="preserve">Гнз100x5 </t>
  </si>
  <si>
    <t>Гнз120x5</t>
  </si>
  <si>
    <t xml:space="preserve">Гнз140x6 </t>
  </si>
  <si>
    <t xml:space="preserve">Гнз160x6 </t>
  </si>
  <si>
    <t xml:space="preserve">Гнз180x8 </t>
  </si>
  <si>
    <t xml:space="preserve">Гнз200x10 </t>
  </si>
  <si>
    <t>H2</t>
  </si>
  <si>
    <t>H2H</t>
  </si>
  <si>
    <t>H2SH</t>
  </si>
  <si>
    <t>H7</t>
  </si>
  <si>
    <t>H7H</t>
  </si>
  <si>
    <t>H11</t>
  </si>
  <si>
    <t>H2H*</t>
  </si>
  <si>
    <t>Nt(M=0)
(кН)</t>
  </si>
  <si>
    <t>Nc(M=0) (кН)</t>
  </si>
  <si>
    <t>M(N=0)
(кН·м)</t>
  </si>
  <si>
    <t>T (кН*м)</t>
  </si>
  <si>
    <t>T(kN*m)</t>
  </si>
  <si>
    <t>M(kN*m)</t>
  </si>
  <si>
    <t>Для P1... P4 и Р6</t>
  </si>
  <si>
    <t>Nt (kN)  (M=0)</t>
  </si>
  <si>
    <t>Nc (kN)  (M=0)</t>
  </si>
  <si>
    <t>For R1-R4, R6 series</t>
  </si>
  <si>
    <t>Mo(kN*m)</t>
  </si>
  <si>
    <t>Р3</t>
  </si>
  <si>
    <t>Р4</t>
  </si>
  <si>
    <r>
      <t xml:space="preserve">Воспринимает изгибающий
момент </t>
    </r>
    <r>
      <rPr>
        <sz val="12"/>
        <color rgb="FFFF0000"/>
        <rFont val="Calibri"/>
        <family val="2"/>
        <charset val="204"/>
        <scheme val="minor"/>
      </rPr>
      <t>в плоскости</t>
    </r>
    <r>
      <rPr>
        <sz val="12"/>
        <color theme="1"/>
        <rFont val="Calibri"/>
        <family val="2"/>
        <charset val="204"/>
        <scheme val="minor"/>
      </rPr>
      <t xml:space="preserve"> стойки</t>
    </r>
  </si>
  <si>
    <r>
      <t xml:space="preserve">Воспринимает изгибающий
момент </t>
    </r>
    <r>
      <rPr>
        <sz val="12"/>
        <color rgb="FFFF0000"/>
        <rFont val="Calibri"/>
        <family val="2"/>
        <charset val="204"/>
        <scheme val="minor"/>
      </rPr>
      <t xml:space="preserve">из плоскости </t>
    </r>
    <r>
      <rPr>
        <sz val="12"/>
        <color theme="1"/>
        <rFont val="Calibri"/>
        <family val="2"/>
        <charset val="204"/>
        <scheme val="minor"/>
      </rPr>
      <t>стойки</t>
    </r>
  </si>
  <si>
    <t>Усилия в ведомость элементов(максимальные)</t>
  </si>
  <si>
    <t>N (кН)</t>
  </si>
  <si>
    <t>M (кН*м)</t>
  </si>
  <si>
    <t>Mo (кН*м)</t>
  </si>
  <si>
    <t>+</t>
  </si>
  <si>
    <t>-</t>
  </si>
  <si>
    <t>Connection name/ Наименование соединения</t>
  </si>
  <si>
    <t>Beam/ Балка</t>
  </si>
  <si>
    <t xml:space="preserve"> </t>
  </si>
  <si>
    <t>Joint capacity/ Несущая способность</t>
  </si>
  <si>
    <t>Out of plane/ Из плоскости</t>
  </si>
  <si>
    <t>N(Q=0)(кН)</t>
  </si>
  <si>
    <t>Q(N=0) (кН)</t>
  </si>
  <si>
    <t>H3_01</t>
  </si>
  <si>
    <t>H3_02</t>
  </si>
  <si>
    <t>H3_03</t>
  </si>
  <si>
    <t>H3_04</t>
  </si>
  <si>
    <t>H3_05</t>
  </si>
  <si>
    <t>H3_06</t>
  </si>
  <si>
    <t>H3_07</t>
  </si>
  <si>
    <t>H3_08</t>
  </si>
  <si>
    <t>H3_09</t>
  </si>
  <si>
    <t>H3_10</t>
  </si>
  <si>
    <t>H3_11</t>
  </si>
  <si>
    <t>H3_12</t>
  </si>
  <si>
    <t>H3_13</t>
  </si>
  <si>
    <t>H3_14</t>
  </si>
  <si>
    <t>H3_15</t>
  </si>
  <si>
    <t>H3_16</t>
  </si>
  <si>
    <t>H3_17</t>
  </si>
  <si>
    <t>H3_18</t>
  </si>
  <si>
    <t>H3_19</t>
  </si>
  <si>
    <t>H3_20</t>
  </si>
  <si>
    <t>H3_21</t>
  </si>
  <si>
    <t>H3_22</t>
  </si>
  <si>
    <t>H3_23</t>
  </si>
  <si>
    <t>H3_24</t>
  </si>
  <si>
    <t>H3_25</t>
  </si>
  <si>
    <t>H3_26</t>
  </si>
  <si>
    <t>H3_27</t>
  </si>
  <si>
    <t>H3_28</t>
  </si>
  <si>
    <t>H3_29</t>
  </si>
  <si>
    <t>H3_30</t>
  </si>
  <si>
    <t>H3_31</t>
  </si>
  <si>
    <t>H3_32</t>
  </si>
  <si>
    <t>H3_33</t>
  </si>
  <si>
    <t>H3_34</t>
  </si>
  <si>
    <t>H3_35</t>
  </si>
  <si>
    <t>H3_36</t>
  </si>
  <si>
    <t>H3_37</t>
  </si>
  <si>
    <t>H3_38</t>
  </si>
  <si>
    <t>H3_39</t>
  </si>
  <si>
    <t>H3_40</t>
  </si>
  <si>
    <t>H3_41</t>
  </si>
  <si>
    <t>H3_42</t>
  </si>
  <si>
    <t>Connection name / Наименование соединения</t>
  </si>
  <si>
    <t>Beam / Балка</t>
  </si>
  <si>
    <t>Joint capacity / Несущая способность</t>
  </si>
  <si>
    <t>Joint capacity for "*" / Несущая способность для "*"</t>
  </si>
  <si>
    <t>N (Q=0) (кН)</t>
  </si>
  <si>
    <t>Q (N=0) (кН)</t>
  </si>
  <si>
    <t>T (кНм)</t>
  </si>
  <si>
    <t>H1H_01</t>
  </si>
  <si>
    <t>H1H_02</t>
  </si>
  <si>
    <t>H1H_03</t>
  </si>
  <si>
    <t>H1H_04</t>
  </si>
  <si>
    <t>H1H_05</t>
  </si>
  <si>
    <t>H1H_06</t>
  </si>
  <si>
    <t>H1H_07</t>
  </si>
  <si>
    <t>H1H_08</t>
  </si>
  <si>
    <t>H1H_09</t>
  </si>
  <si>
    <t>H1H_10</t>
  </si>
  <si>
    <t>H1H_11</t>
  </si>
  <si>
    <t>H1H_12</t>
  </si>
  <si>
    <t>H1H_13</t>
  </si>
  <si>
    <t>H1H_14</t>
  </si>
  <si>
    <t>H1H_15</t>
  </si>
  <si>
    <t>H1H_16</t>
  </si>
  <si>
    <t>H1H_17</t>
  </si>
  <si>
    <t>H1H_18</t>
  </si>
  <si>
    <t>H1H_19</t>
  </si>
  <si>
    <t>H1H_20</t>
  </si>
  <si>
    <t>H1H_21</t>
  </si>
  <si>
    <t>H1H_22</t>
  </si>
  <si>
    <t>H1H_23</t>
  </si>
  <si>
    <t>H1H_24</t>
  </si>
  <si>
    <t>H1H_25</t>
  </si>
  <si>
    <t>H1_01</t>
  </si>
  <si>
    <t>H1_02</t>
  </si>
  <si>
    <t>H1_03</t>
  </si>
  <si>
    <t>H1_04</t>
  </si>
  <si>
    <t>H1_05</t>
  </si>
  <si>
    <t>H1_06</t>
  </si>
  <si>
    <t>H1_07</t>
  </si>
  <si>
    <t>H1_08</t>
  </si>
  <si>
    <t>H1_09</t>
  </si>
  <si>
    <t>H1_10</t>
  </si>
  <si>
    <t>H1_11</t>
  </si>
  <si>
    <t>H1_12</t>
  </si>
  <si>
    <t>H1_13</t>
  </si>
  <si>
    <t>H1_14</t>
  </si>
  <si>
    <t>H1_15</t>
  </si>
  <si>
    <t>H1_16</t>
  </si>
  <si>
    <t>H1_17</t>
  </si>
  <si>
    <t>H1_18</t>
  </si>
  <si>
    <t>H1_19</t>
  </si>
  <si>
    <t>H1_20</t>
  </si>
  <si>
    <t>H1_21</t>
  </si>
  <si>
    <t>H1_22</t>
  </si>
  <si>
    <t>H1_23</t>
  </si>
  <si>
    <t>H1_24</t>
  </si>
  <si>
    <t>H1_25</t>
  </si>
  <si>
    <t>H1_26</t>
  </si>
  <si>
    <t>H1_27</t>
  </si>
  <si>
    <t>H1_28</t>
  </si>
  <si>
    <t>H1_29</t>
  </si>
  <si>
    <t>H1_30</t>
  </si>
  <si>
    <t>H1_31</t>
  </si>
  <si>
    <t>H1_32</t>
  </si>
  <si>
    <t>H1_33</t>
  </si>
  <si>
    <t>H1_34</t>
  </si>
  <si>
    <t>H1_35</t>
  </si>
  <si>
    <t>H1_36</t>
  </si>
  <si>
    <t>H1_37</t>
  </si>
  <si>
    <t>H1_38</t>
  </si>
  <si>
    <t>H1_39</t>
  </si>
  <si>
    <t>H1_40</t>
  </si>
  <si>
    <t>H1_41</t>
  </si>
  <si>
    <t>H1_42</t>
  </si>
  <si>
    <t>H1_43</t>
  </si>
  <si>
    <t>H1_44</t>
  </si>
  <si>
    <t>H1_45</t>
  </si>
  <si>
    <t>H1_46</t>
  </si>
  <si>
    <t>H1_47</t>
  </si>
  <si>
    <t>H1_48</t>
  </si>
  <si>
    <t>H1_49</t>
  </si>
  <si>
    <t>H1_50</t>
  </si>
  <si>
    <t>H3H_01</t>
  </si>
  <si>
    <t>H3H_02</t>
  </si>
  <si>
    <t>H3H_03</t>
  </si>
  <si>
    <t>H3H_04</t>
  </si>
  <si>
    <t>H3H_05</t>
  </si>
  <si>
    <t>H3H_06</t>
  </si>
  <si>
    <t>H3H_07</t>
  </si>
  <si>
    <t>H3H_08</t>
  </si>
  <si>
    <t>H3H_09</t>
  </si>
  <si>
    <t>H3H_10</t>
  </si>
  <si>
    <t>H3H_11</t>
  </si>
  <si>
    <t>H3H_12</t>
  </si>
  <si>
    <t>H3H_13</t>
  </si>
  <si>
    <t>H3H_14</t>
  </si>
  <si>
    <t>H3H_15</t>
  </si>
  <si>
    <t>H3H_16</t>
  </si>
  <si>
    <t>H3H_17</t>
  </si>
  <si>
    <t>H3H_18</t>
  </si>
  <si>
    <t>H3H_19</t>
  </si>
  <si>
    <t>H3H_20</t>
  </si>
  <si>
    <t>H3H_21</t>
  </si>
  <si>
    <t>H3H_22</t>
  </si>
  <si>
    <t>H3H_23</t>
  </si>
  <si>
    <t>H3H_24</t>
  </si>
  <si>
    <t>H3H_25</t>
  </si>
  <si>
    <t>H3H_26</t>
  </si>
  <si>
    <t>H3H_27</t>
  </si>
  <si>
    <t>H3H_28</t>
  </si>
  <si>
    <t>H3H_29</t>
  </si>
  <si>
    <t>H3H_30</t>
  </si>
  <si>
    <t>H3H_31</t>
  </si>
  <si>
    <t>H3H_32</t>
  </si>
  <si>
    <t>H3H_33</t>
  </si>
  <si>
    <t>H3H_34</t>
  </si>
  <si>
    <t>H3H_35</t>
  </si>
  <si>
    <t>H3H_36</t>
  </si>
  <si>
    <t>H3H_37</t>
  </si>
  <si>
    <t>H3H_38</t>
  </si>
  <si>
    <t>H3H_39</t>
  </si>
  <si>
    <t>H3H_40</t>
  </si>
  <si>
    <t>H3H_41</t>
  </si>
  <si>
    <t>H3H_42</t>
  </si>
  <si>
    <t>S1_01</t>
  </si>
  <si>
    <t>S1_02</t>
  </si>
  <si>
    <t>S1_03</t>
  </si>
  <si>
    <t>S1_04</t>
  </si>
  <si>
    <t>S1_05</t>
  </si>
  <si>
    <t>S1_06</t>
  </si>
  <si>
    <t>S1_07</t>
  </si>
  <si>
    <t>S1_08</t>
  </si>
  <si>
    <t>S1_09</t>
  </si>
  <si>
    <t>S1_10</t>
  </si>
  <si>
    <t>S1_11</t>
  </si>
  <si>
    <t>S1_12</t>
  </si>
  <si>
    <t>S1_13</t>
  </si>
  <si>
    <t>S1_14</t>
  </si>
  <si>
    <t>S1_15</t>
  </si>
  <si>
    <t>S1_16</t>
  </si>
  <si>
    <t>S1_17</t>
  </si>
  <si>
    <t>S1_18</t>
  </si>
  <si>
    <t>S1_19</t>
  </si>
  <si>
    <t>S1_20</t>
  </si>
  <si>
    <t>S1_21</t>
  </si>
  <si>
    <t>S1_22</t>
  </si>
  <si>
    <t>S1_23</t>
  </si>
  <si>
    <t>S1_24</t>
  </si>
  <si>
    <t>S1_25</t>
  </si>
  <si>
    <t>S1_26</t>
  </si>
  <si>
    <t>S1_27</t>
  </si>
  <si>
    <t>S1_28</t>
  </si>
  <si>
    <t>S1_29</t>
  </si>
  <si>
    <t>S1_30</t>
  </si>
  <si>
    <t>S1_31</t>
  </si>
  <si>
    <t>S1_32</t>
  </si>
  <si>
    <t>S1_33</t>
  </si>
  <si>
    <t>S1_34</t>
  </si>
  <si>
    <t>S1_35</t>
  </si>
  <si>
    <t>S1_36</t>
  </si>
  <si>
    <t>S1_37</t>
  </si>
  <si>
    <t>S1_38</t>
  </si>
  <si>
    <t>S1_39</t>
  </si>
  <si>
    <t>S1_40</t>
  </si>
  <si>
    <t>S1_41</t>
  </si>
  <si>
    <t>S1_42</t>
  </si>
  <si>
    <t>S1_43</t>
  </si>
  <si>
    <t>S1_44</t>
  </si>
  <si>
    <t>S1_45</t>
  </si>
  <si>
    <t>S1_46</t>
  </si>
  <si>
    <t>S1_47</t>
  </si>
  <si>
    <t>S1_48</t>
  </si>
  <si>
    <t>S1_49</t>
  </si>
  <si>
    <t>S1_50</t>
  </si>
  <si>
    <t>Column from.../ Колонна от…</t>
  </si>
  <si>
    <t>Option/ Вариант</t>
  </si>
  <si>
    <t>S1H_01</t>
  </si>
  <si>
    <t>20Б1; 20Ш1; 20К1</t>
  </si>
  <si>
    <t>S1H_02</t>
  </si>
  <si>
    <t>S1H_03</t>
  </si>
  <si>
    <t>S1H_04</t>
  </si>
  <si>
    <t>S1H_05</t>
  </si>
  <si>
    <t>S1H_06</t>
  </si>
  <si>
    <t>S1H_07</t>
  </si>
  <si>
    <t>S1H_08</t>
  </si>
  <si>
    <t>S1H_09</t>
  </si>
  <si>
    <t>S1H_10</t>
  </si>
  <si>
    <t>S1H_11</t>
  </si>
  <si>
    <t>35Б2; 25Ш1; 20К2</t>
  </si>
  <si>
    <t>S1H_12</t>
  </si>
  <si>
    <t>S1H_13</t>
  </si>
  <si>
    <t>S1H_14</t>
  </si>
  <si>
    <t>S1H_15</t>
  </si>
  <si>
    <t>S1H_16</t>
  </si>
  <si>
    <t>S1H_17</t>
  </si>
  <si>
    <t>S1H_18</t>
  </si>
  <si>
    <t>45Б1; 35Ш2; 30К1</t>
  </si>
  <si>
    <t>S1H_19</t>
  </si>
  <si>
    <t>S1H_20</t>
  </si>
  <si>
    <t>S1H_21</t>
  </si>
  <si>
    <t>S1H_22</t>
  </si>
  <si>
    <t>S1H_23</t>
  </si>
  <si>
    <t>S1H_24</t>
  </si>
  <si>
    <t>S1H_25</t>
  </si>
  <si>
    <t>S1H_26</t>
  </si>
  <si>
    <t>S1H_27</t>
  </si>
  <si>
    <t>S1H_28</t>
  </si>
  <si>
    <t>S1H_29</t>
  </si>
  <si>
    <t>S1H_30</t>
  </si>
  <si>
    <t>S1H_31</t>
  </si>
  <si>
    <t>S1H_32</t>
  </si>
  <si>
    <t>S1H_33</t>
  </si>
  <si>
    <t>S1H_34</t>
  </si>
  <si>
    <t>S1H_35</t>
  </si>
  <si>
    <t>S1H_36</t>
  </si>
  <si>
    <t>S1H_37</t>
  </si>
  <si>
    <t>S1H_38</t>
  </si>
  <si>
    <t>S1H_39</t>
  </si>
  <si>
    <t>S1H_40</t>
  </si>
  <si>
    <t>S1H_41</t>
  </si>
  <si>
    <t>S1H_42</t>
  </si>
  <si>
    <t>H4_01</t>
  </si>
  <si>
    <t>H4_02</t>
  </si>
  <si>
    <t>H4_03</t>
  </si>
  <si>
    <t>H4_04</t>
  </si>
  <si>
    <t>H4_05</t>
  </si>
  <si>
    <t>H4_06</t>
  </si>
  <si>
    <t>H4_07</t>
  </si>
  <si>
    <t>H4_08</t>
  </si>
  <si>
    <t>H4_09</t>
  </si>
  <si>
    <t>H4_10</t>
  </si>
  <si>
    <t>H4_11</t>
  </si>
  <si>
    <t>H4_12</t>
  </si>
  <si>
    <t>H4_13</t>
  </si>
  <si>
    <t>H4_14</t>
  </si>
  <si>
    <t>H4_15</t>
  </si>
  <si>
    <t>H4_16</t>
  </si>
  <si>
    <t>H4_17</t>
  </si>
  <si>
    <t>H4_18</t>
  </si>
  <si>
    <t>H4_19</t>
  </si>
  <si>
    <t>H4_20</t>
  </si>
  <si>
    <t>H4_21</t>
  </si>
  <si>
    <t>H4_22</t>
  </si>
  <si>
    <t>H4_23</t>
  </si>
  <si>
    <t>H4_24</t>
  </si>
  <si>
    <t>H4_25</t>
  </si>
  <si>
    <t>H4_26</t>
  </si>
  <si>
    <t>H4_27</t>
  </si>
  <si>
    <t>H4_28</t>
  </si>
  <si>
    <t>H4_29</t>
  </si>
  <si>
    <t>H4_30</t>
  </si>
  <si>
    <t>H4_31</t>
  </si>
  <si>
    <t>H4_32</t>
  </si>
  <si>
    <t>H4_33</t>
  </si>
  <si>
    <t>H4_34</t>
  </si>
  <si>
    <t>H4_35</t>
  </si>
  <si>
    <t>H4_36</t>
  </si>
  <si>
    <t>H4_37</t>
  </si>
  <si>
    <t>H4_38</t>
  </si>
  <si>
    <t>H4_39</t>
  </si>
  <si>
    <t>H4_40</t>
  </si>
  <si>
    <t>H4_41</t>
  </si>
  <si>
    <t>H4_42</t>
  </si>
  <si>
    <t>H4_43</t>
  </si>
  <si>
    <t>H4_44</t>
  </si>
  <si>
    <t>H4_45</t>
  </si>
  <si>
    <t>H4_46</t>
  </si>
  <si>
    <t>H4_47</t>
  </si>
  <si>
    <t>H4_48</t>
  </si>
  <si>
    <t>H4_49</t>
  </si>
  <si>
    <t>H4_50</t>
  </si>
  <si>
    <t>H4_51</t>
  </si>
  <si>
    <t>H4H_01</t>
  </si>
  <si>
    <t>H4H_02</t>
  </si>
  <si>
    <t>H4H_03</t>
  </si>
  <si>
    <t>H4H_04</t>
  </si>
  <si>
    <t>H4H_05</t>
  </si>
  <si>
    <t>H4H_06</t>
  </si>
  <si>
    <t>H4H_07</t>
  </si>
  <si>
    <t>H4H_08</t>
  </si>
  <si>
    <t>H4H_09</t>
  </si>
  <si>
    <t>H4H_10</t>
  </si>
  <si>
    <t>H4H_11</t>
  </si>
  <si>
    <t>H4H_12</t>
  </si>
  <si>
    <t>H4H_13</t>
  </si>
  <si>
    <t>H4H_14</t>
  </si>
  <si>
    <t>H4H_15</t>
  </si>
  <si>
    <t>H4H_16</t>
  </si>
  <si>
    <t>H4H_17</t>
  </si>
  <si>
    <t>H4H_18</t>
  </si>
  <si>
    <t>H4H_19</t>
  </si>
  <si>
    <t>H4H_20</t>
  </si>
  <si>
    <t>H4H_21</t>
  </si>
  <si>
    <t>H4H_22</t>
  </si>
  <si>
    <t>H4H_23</t>
  </si>
  <si>
    <t>H4H_24</t>
  </si>
  <si>
    <t>H4H_25</t>
  </si>
  <si>
    <t>H5_01</t>
  </si>
  <si>
    <t>H5_02</t>
  </si>
  <si>
    <t>H5_03</t>
  </si>
  <si>
    <t>H5_04</t>
  </si>
  <si>
    <t>H5_05</t>
  </si>
  <si>
    <t>H5_06</t>
  </si>
  <si>
    <t>H5_07</t>
  </si>
  <si>
    <t>H5_08</t>
  </si>
  <si>
    <t>H5_09</t>
  </si>
  <si>
    <t>H5_10</t>
  </si>
  <si>
    <t>H5_11</t>
  </si>
  <si>
    <t>H5_12</t>
  </si>
  <si>
    <t>H5_13</t>
  </si>
  <si>
    <t>H5_14</t>
  </si>
  <si>
    <t>H5_15</t>
  </si>
  <si>
    <t>H5_16</t>
  </si>
  <si>
    <t>H5_17</t>
  </si>
  <si>
    <t>H5_18</t>
  </si>
  <si>
    <t>H5_19</t>
  </si>
  <si>
    <t>H5_20</t>
  </si>
  <si>
    <t>H5_21</t>
  </si>
  <si>
    <t>H5_22</t>
  </si>
  <si>
    <t>H5_23</t>
  </si>
  <si>
    <t>H5_24</t>
  </si>
  <si>
    <t>H5_25</t>
  </si>
  <si>
    <t>H5_26</t>
  </si>
  <si>
    <t>H5_27</t>
  </si>
  <si>
    <t>H5_28</t>
  </si>
  <si>
    <t>H5_29</t>
  </si>
  <si>
    <t>H5_30</t>
  </si>
  <si>
    <t>H5_31</t>
  </si>
  <si>
    <t>H5_32</t>
  </si>
  <si>
    <t>H5_33</t>
  </si>
  <si>
    <t>H5_34</t>
  </si>
  <si>
    <t>H5_35</t>
  </si>
  <si>
    <t>H5_36</t>
  </si>
  <si>
    <t>H5_37</t>
  </si>
  <si>
    <t>H5_38</t>
  </si>
  <si>
    <t>H5_39</t>
  </si>
  <si>
    <t>H5_40</t>
  </si>
  <si>
    <t>H5_41</t>
  </si>
  <si>
    <t>H5_42</t>
  </si>
  <si>
    <t>H5_43</t>
  </si>
  <si>
    <t>H5_44</t>
  </si>
  <si>
    <t>H5_45</t>
  </si>
  <si>
    <t>H5_46</t>
  </si>
  <si>
    <t>H5_47</t>
  </si>
  <si>
    <t>H5_48</t>
  </si>
  <si>
    <t>H5_49</t>
  </si>
  <si>
    <t>H5H_01</t>
  </si>
  <si>
    <t>H5H_02</t>
  </si>
  <si>
    <t>H5H_03</t>
  </si>
  <si>
    <t>H5H_04</t>
  </si>
  <si>
    <t>H5H_05</t>
  </si>
  <si>
    <t>H5H_06</t>
  </si>
  <si>
    <t>H5H_07</t>
  </si>
  <si>
    <t>H5H_08</t>
  </si>
  <si>
    <t>H5H_09</t>
  </si>
  <si>
    <t>H5H_10</t>
  </si>
  <si>
    <t>H5H_11</t>
  </si>
  <si>
    <t>H5H_12</t>
  </si>
  <si>
    <t>H5H_13</t>
  </si>
  <si>
    <t>H5H_14</t>
  </si>
  <si>
    <t>H5H_15</t>
  </si>
  <si>
    <t>H5H_16</t>
  </si>
  <si>
    <t>H5H_17</t>
  </si>
  <si>
    <t>H5H_18</t>
  </si>
  <si>
    <t>H5H_19</t>
  </si>
  <si>
    <t>H5H_20</t>
  </si>
  <si>
    <t>H5H_21</t>
  </si>
  <si>
    <t>H5H_22</t>
  </si>
  <si>
    <t>H5H_23</t>
  </si>
  <si>
    <t>H5H_24</t>
  </si>
  <si>
    <t>H5H_25</t>
  </si>
  <si>
    <t>H5H_26</t>
  </si>
  <si>
    <t>H5H_27</t>
  </si>
  <si>
    <t>H5H_28</t>
  </si>
  <si>
    <t>H5H_29</t>
  </si>
  <si>
    <t>H5H_30</t>
  </si>
  <si>
    <t>H5H_31</t>
  </si>
  <si>
    <t>H5H_32</t>
  </si>
  <si>
    <t>H5H_33</t>
  </si>
  <si>
    <t>H5H_34</t>
  </si>
  <si>
    <t>H5H_35</t>
  </si>
  <si>
    <t>H5H_36</t>
  </si>
  <si>
    <t>H5H_37</t>
  </si>
  <si>
    <t>H5H_38</t>
  </si>
  <si>
    <t>H6_01</t>
  </si>
  <si>
    <t>H6_02</t>
  </si>
  <si>
    <t>H6_03</t>
  </si>
  <si>
    <t>H6_04</t>
  </si>
  <si>
    <t>H6_05</t>
  </si>
  <si>
    <t>H6_06</t>
  </si>
  <si>
    <t>H6_07</t>
  </si>
  <si>
    <t>H6_08</t>
  </si>
  <si>
    <t>H6_09</t>
  </si>
  <si>
    <t>H6_10</t>
  </si>
  <si>
    <t>H6_11</t>
  </si>
  <si>
    <t>H6_12</t>
  </si>
  <si>
    <t>H6_13</t>
  </si>
  <si>
    <t>H6_14</t>
  </si>
  <si>
    <t>H6_15</t>
  </si>
  <si>
    <t>H6_16</t>
  </si>
  <si>
    <t>H6_17</t>
  </si>
  <si>
    <t>H6_18</t>
  </si>
  <si>
    <t>H6_19</t>
  </si>
  <si>
    <t>H6_20</t>
  </si>
  <si>
    <t>H6_21</t>
  </si>
  <si>
    <t>H6_22</t>
  </si>
  <si>
    <t>H6_23</t>
  </si>
  <si>
    <t>H6_24</t>
  </si>
  <si>
    <t>H6_25</t>
  </si>
  <si>
    <t>H6_26</t>
  </si>
  <si>
    <t>H6_27</t>
  </si>
  <si>
    <t>H6_28</t>
  </si>
  <si>
    <t>H6_29</t>
  </si>
  <si>
    <t>H6_30</t>
  </si>
  <si>
    <t>H6_31</t>
  </si>
  <si>
    <t>H6_32</t>
  </si>
  <si>
    <t>H6_33</t>
  </si>
  <si>
    <t>H6_34</t>
  </si>
  <si>
    <t>H6_35</t>
  </si>
  <si>
    <t>H6_36</t>
  </si>
  <si>
    <t>H6_37</t>
  </si>
  <si>
    <t>H6_38</t>
  </si>
  <si>
    <t>H6_39</t>
  </si>
  <si>
    <t>H6_40</t>
  </si>
  <si>
    <t>H6_41</t>
  </si>
  <si>
    <t>H6_42</t>
  </si>
  <si>
    <t>H6H_01</t>
  </si>
  <si>
    <t>H6H_02</t>
  </si>
  <si>
    <t>H6H_03</t>
  </si>
  <si>
    <t>H6H_04</t>
  </si>
  <si>
    <t>H6H_05</t>
  </si>
  <si>
    <t>H6H_06</t>
  </si>
  <si>
    <t>H6H_07</t>
  </si>
  <si>
    <t>H6H_08</t>
  </si>
  <si>
    <t>H6H_09</t>
  </si>
  <si>
    <t>H6H_10</t>
  </si>
  <si>
    <t>H6H_11</t>
  </si>
  <si>
    <t>H6H_12</t>
  </si>
  <si>
    <t>H6H_13</t>
  </si>
  <si>
    <t>H6H_14</t>
  </si>
  <si>
    <t>H6H_15</t>
  </si>
  <si>
    <t>H6H_16</t>
  </si>
  <si>
    <t>H6H_17</t>
  </si>
  <si>
    <t>H6H_18</t>
  </si>
  <si>
    <t>H6H_19</t>
  </si>
  <si>
    <t>H6H_20</t>
  </si>
  <si>
    <t>H6H_21</t>
  </si>
  <si>
    <t>H6H_22</t>
  </si>
  <si>
    <t>H6H_23</t>
  </si>
  <si>
    <t>H6H_24</t>
  </si>
  <si>
    <t>H6H_25</t>
  </si>
  <si>
    <t>H6H_26</t>
  </si>
  <si>
    <t>H6H_27</t>
  </si>
  <si>
    <t>H6H_28</t>
  </si>
  <si>
    <t>H6H_29</t>
  </si>
  <si>
    <t>H6H_30</t>
  </si>
  <si>
    <t>H6H_31</t>
  </si>
  <si>
    <t>H6H_32</t>
  </si>
  <si>
    <t>H6H_33</t>
  </si>
  <si>
    <t>H6H_34</t>
  </si>
  <si>
    <t>H6H_35</t>
  </si>
  <si>
    <t>H6H_36</t>
  </si>
  <si>
    <t>H6H_37</t>
  </si>
  <si>
    <t>H6H_38</t>
  </si>
  <si>
    <t>H6H_39</t>
  </si>
  <si>
    <t>H6H_40</t>
  </si>
  <si>
    <t>H6H_41</t>
  </si>
  <si>
    <t>H6H_42</t>
  </si>
  <si>
    <t>N(Q=0) (кН)</t>
  </si>
  <si>
    <t>20K2</t>
  </si>
  <si>
    <t>25K1</t>
  </si>
  <si>
    <t>40K1</t>
  </si>
  <si>
    <t>40K2</t>
  </si>
  <si>
    <t>Joint capacity for _x000D_
_x000D_
Bm?201 mm/ Несущая способность для _x000D_
_x000D_
Bm?201 мм</t>
  </si>
  <si>
    <t>Joint capacity for _x000D_
_x000D_
201&lt;Bm?250 mm/ Несущая способность для 201&lt;Bm?250 мм</t>
  </si>
  <si>
    <t>Joint capacity for 250&lt;Bm?320 mm/ Несущая способность для 250&lt;Bm?320 мм</t>
  </si>
  <si>
    <t>Joint capacity for 320&lt;Bm?500 mm/ Несущая способность для 320&lt;Bm?500 мм</t>
  </si>
  <si>
    <t>Joint capacity for 500&lt;Bm?630 mm/ Несущая способность для 500&lt;Bm?630 мм</t>
  </si>
  <si>
    <t>H8_01</t>
  </si>
  <si>
    <t>H8_02</t>
  </si>
  <si>
    <t>H8_03</t>
  </si>
  <si>
    <t>H8_04</t>
  </si>
  <si>
    <t>H8_05</t>
  </si>
  <si>
    <t>H8_06</t>
  </si>
  <si>
    <t>H8_07</t>
  </si>
  <si>
    <t>H8_08</t>
  </si>
  <si>
    <t>H8_09</t>
  </si>
  <si>
    <t>H8_10</t>
  </si>
  <si>
    <t>H8_11</t>
  </si>
  <si>
    <t>H8_12</t>
  </si>
  <si>
    <t>H8_13</t>
  </si>
  <si>
    <t>H8_14</t>
  </si>
  <si>
    <t>H8_15</t>
  </si>
  <si>
    <t>H8_16</t>
  </si>
  <si>
    <t>H8_17</t>
  </si>
  <si>
    <t>H8_18</t>
  </si>
  <si>
    <t>H8_19</t>
  </si>
  <si>
    <t>H8_20</t>
  </si>
  <si>
    <t>H8_21</t>
  </si>
  <si>
    <t>H8_22</t>
  </si>
  <si>
    <t>H8_23</t>
  </si>
  <si>
    <t>H8_24</t>
  </si>
  <si>
    <t>H8_25</t>
  </si>
  <si>
    <t>H8_26</t>
  </si>
  <si>
    <t>H8_27</t>
  </si>
  <si>
    <t>H8_28</t>
  </si>
  <si>
    <t>H8_29</t>
  </si>
  <si>
    <t>H8_30</t>
  </si>
  <si>
    <t>H8_31</t>
  </si>
  <si>
    <t>H8_32</t>
  </si>
  <si>
    <t>H8_33</t>
  </si>
  <si>
    <t>H8_34</t>
  </si>
  <si>
    <t>H8_35</t>
  </si>
  <si>
    <t>H8_36</t>
  </si>
  <si>
    <t>H8_37</t>
  </si>
  <si>
    <t>H8_38</t>
  </si>
  <si>
    <t>H8_39</t>
  </si>
  <si>
    <t>H8_40</t>
  </si>
  <si>
    <t>H8_41</t>
  </si>
  <si>
    <t>H8_42</t>
  </si>
  <si>
    <t>H8_43</t>
  </si>
  <si>
    <t>H8_44</t>
  </si>
  <si>
    <t>H8_45</t>
  </si>
  <si>
    <t>H8_46</t>
  </si>
  <si>
    <t>H8_47</t>
  </si>
  <si>
    <t>H8_48</t>
  </si>
  <si>
    <t>H8_49</t>
  </si>
  <si>
    <t>H9_01</t>
  </si>
  <si>
    <t>H9_02</t>
  </si>
  <si>
    <t>H9_03</t>
  </si>
  <si>
    <t>H9_04</t>
  </si>
  <si>
    <t>H9_05</t>
  </si>
  <si>
    <t>H9_06</t>
  </si>
  <si>
    <t>H9_07</t>
  </si>
  <si>
    <t>H9_08</t>
  </si>
  <si>
    <t>H9_09</t>
  </si>
  <si>
    <t>H9_10</t>
  </si>
  <si>
    <t>H9_11</t>
  </si>
  <si>
    <t>H9_12</t>
  </si>
  <si>
    <t>H9_13</t>
  </si>
  <si>
    <t>H9_14</t>
  </si>
  <si>
    <t>H9_15</t>
  </si>
  <si>
    <t>H9_16</t>
  </si>
  <si>
    <t>H9_17</t>
  </si>
  <si>
    <t>H9_18</t>
  </si>
  <si>
    <t>H9_19</t>
  </si>
  <si>
    <t>H9_20</t>
  </si>
  <si>
    <t>H9_21</t>
  </si>
  <si>
    <t>H9_22</t>
  </si>
  <si>
    <t>H9_23</t>
  </si>
  <si>
    <t>H9_24</t>
  </si>
  <si>
    <t>H9_25</t>
  </si>
  <si>
    <t>H9_26</t>
  </si>
  <si>
    <t>H9_27</t>
  </si>
  <si>
    <t>H9_28</t>
  </si>
  <si>
    <t>H9_29</t>
  </si>
  <si>
    <t>H9_30</t>
  </si>
  <si>
    <t>H9_31</t>
  </si>
  <si>
    <t>H9_32</t>
  </si>
  <si>
    <t>H9_33</t>
  </si>
  <si>
    <t>H9_34</t>
  </si>
  <si>
    <t>H9_35</t>
  </si>
  <si>
    <t>H9_36</t>
  </si>
  <si>
    <t>H9_37</t>
  </si>
  <si>
    <t>H9_38</t>
  </si>
  <si>
    <t>H9_39</t>
  </si>
  <si>
    <t>H9_40</t>
  </si>
  <si>
    <t>H9_41</t>
  </si>
  <si>
    <t>H9_42</t>
  </si>
  <si>
    <t>H9_43</t>
  </si>
  <si>
    <t>H9_44</t>
  </si>
  <si>
    <t>H9_45</t>
  </si>
  <si>
    <t>H9_46</t>
  </si>
  <si>
    <t>H9_47</t>
  </si>
  <si>
    <t>H9_48</t>
  </si>
  <si>
    <t>H9_49</t>
  </si>
  <si>
    <t>H9_50</t>
  </si>
  <si>
    <t>H9_51</t>
  </si>
  <si>
    <t>H10_01</t>
  </si>
  <si>
    <t>H10_02</t>
  </si>
  <si>
    <t>H10_03</t>
  </si>
  <si>
    <t>H10_04</t>
  </si>
  <si>
    <t>H10_05</t>
  </si>
  <si>
    <t>H10_06</t>
  </si>
  <si>
    <t>H10_07</t>
  </si>
  <si>
    <t>H10_08</t>
  </si>
  <si>
    <t>H10_09</t>
  </si>
  <si>
    <t>H10_10</t>
  </si>
  <si>
    <t>H10_11</t>
  </si>
  <si>
    <t>H10_12</t>
  </si>
  <si>
    <t>H10_13</t>
  </si>
  <si>
    <t>H10_14</t>
  </si>
  <si>
    <t>H10_15</t>
  </si>
  <si>
    <t>H10_16</t>
  </si>
  <si>
    <t>H10_17</t>
  </si>
  <si>
    <t>H10_18</t>
  </si>
  <si>
    <t>H10_19</t>
  </si>
  <si>
    <t>H10_20</t>
  </si>
  <si>
    <t>H10_21</t>
  </si>
  <si>
    <t>H10_22</t>
  </si>
  <si>
    <t>H10_23</t>
  </si>
  <si>
    <t>H10_24</t>
  </si>
  <si>
    <t>H10_25</t>
  </si>
  <si>
    <t>H10_26</t>
  </si>
  <si>
    <t>H10_27</t>
  </si>
  <si>
    <t>H10_28</t>
  </si>
  <si>
    <t>H10_29</t>
  </si>
  <si>
    <t>H10_30</t>
  </si>
  <si>
    <t>H10_31</t>
  </si>
  <si>
    <t>H10_32</t>
  </si>
  <si>
    <t>H10_33</t>
  </si>
  <si>
    <t>H10_34</t>
  </si>
  <si>
    <t>H10_35</t>
  </si>
  <si>
    <t>H10_36</t>
  </si>
  <si>
    <t>H10_37</t>
  </si>
  <si>
    <t>H10_38</t>
  </si>
  <si>
    <t>H10_39</t>
  </si>
  <si>
    <t>H10_40</t>
  </si>
  <si>
    <t>H10_41</t>
  </si>
  <si>
    <t>H10_42</t>
  </si>
  <si>
    <t>Main beam/ Главная балка</t>
  </si>
  <si>
    <t>Option / Вариант</t>
  </si>
  <si>
    <t>Joint capacity / Несущая способнсть</t>
  </si>
  <si>
    <t>H12_01</t>
  </si>
  <si>
    <t>3, 4</t>
  </si>
  <si>
    <t>H12_02</t>
  </si>
  <si>
    <t>H12_03</t>
  </si>
  <si>
    <t>H12_04</t>
  </si>
  <si>
    <t>H12_05</t>
  </si>
  <si>
    <t>H12_06</t>
  </si>
  <si>
    <t>H12_07</t>
  </si>
  <si>
    <t>H12_08</t>
  </si>
  <si>
    <t>H12_09</t>
  </si>
  <si>
    <t>H12_10</t>
  </si>
  <si>
    <t>H12_11</t>
  </si>
  <si>
    <t>2, 3</t>
  </si>
  <si>
    <t>H12_12</t>
  </si>
  <si>
    <t>H12_13</t>
  </si>
  <si>
    <t>H12_14</t>
  </si>
  <si>
    <t>H12_15</t>
  </si>
  <si>
    <t>H12_16</t>
  </si>
  <si>
    <t>H12_17</t>
  </si>
  <si>
    <t>H12_18</t>
  </si>
  <si>
    <t>H12_19</t>
  </si>
  <si>
    <t>H12_20</t>
  </si>
  <si>
    <t>H12_21</t>
  </si>
  <si>
    <t>H12_22</t>
  </si>
  <si>
    <t>H12_23</t>
  </si>
  <si>
    <t>H12_24</t>
  </si>
  <si>
    <t>1, 2</t>
  </si>
  <si>
    <t>H12_25</t>
  </si>
  <si>
    <t>H12_26</t>
  </si>
  <si>
    <t>H12_27</t>
  </si>
  <si>
    <t>H12_28</t>
  </si>
  <si>
    <t>H12_29</t>
  </si>
  <si>
    <t>H12_30</t>
  </si>
  <si>
    <t>H12_31</t>
  </si>
  <si>
    <t>H12_32</t>
  </si>
  <si>
    <t>H12_33</t>
  </si>
  <si>
    <t>H12_34</t>
  </si>
  <si>
    <t>H12_35</t>
  </si>
  <si>
    <t>H12_36</t>
  </si>
  <si>
    <t>H12_37</t>
  </si>
  <si>
    <t>H12_38</t>
  </si>
  <si>
    <t>H12_39</t>
  </si>
  <si>
    <t>H12_40</t>
  </si>
  <si>
    <t>H12_41</t>
  </si>
  <si>
    <t>H12_42</t>
  </si>
  <si>
    <t>S2_01</t>
  </si>
  <si>
    <t>S2_02</t>
  </si>
  <si>
    <t>S2_03</t>
  </si>
  <si>
    <t>S2_04</t>
  </si>
  <si>
    <t>S2_05</t>
  </si>
  <si>
    <t>S2_06</t>
  </si>
  <si>
    <t>S2_07</t>
  </si>
  <si>
    <t>S2_08</t>
  </si>
  <si>
    <t>S2_09</t>
  </si>
  <si>
    <t>S2_10</t>
  </si>
  <si>
    <t>S2_11</t>
  </si>
  <si>
    <t>S2_12</t>
  </si>
  <si>
    <t>S2_13</t>
  </si>
  <si>
    <t>S2_14</t>
  </si>
  <si>
    <t>S2_15</t>
  </si>
  <si>
    <t>S2_16</t>
  </si>
  <si>
    <t>S2_17</t>
  </si>
  <si>
    <t>S2_18</t>
  </si>
  <si>
    <t>S2_19</t>
  </si>
  <si>
    <t>S2_20</t>
  </si>
  <si>
    <t>S2_21</t>
  </si>
  <si>
    <t>S2_22</t>
  </si>
  <si>
    <t>S2_23</t>
  </si>
  <si>
    <t>S2_24</t>
  </si>
  <si>
    <t>S2_25</t>
  </si>
  <si>
    <t>S2_26</t>
  </si>
  <si>
    <t>S2_27</t>
  </si>
  <si>
    <t>S2_28</t>
  </si>
  <si>
    <t>S2_29</t>
  </si>
  <si>
    <t>S2_30</t>
  </si>
  <si>
    <t>S2_31</t>
  </si>
  <si>
    <t>S2_32</t>
  </si>
  <si>
    <t>S2_33</t>
  </si>
  <si>
    <t>S2_34</t>
  </si>
  <si>
    <t>S2_35</t>
  </si>
  <si>
    <t>S2_36</t>
  </si>
  <si>
    <t>S2_37</t>
  </si>
  <si>
    <t>S2_38</t>
  </si>
  <si>
    <t>S2_39</t>
  </si>
  <si>
    <t>S2_40</t>
  </si>
  <si>
    <t>S2_41</t>
  </si>
  <si>
    <t>S2_42</t>
  </si>
  <si>
    <t>S2_43</t>
  </si>
  <si>
    <t>S2_44</t>
  </si>
  <si>
    <t>S2_45</t>
  </si>
  <si>
    <t>S2_46</t>
  </si>
  <si>
    <t>S2_47</t>
  </si>
  <si>
    <t>S2_48</t>
  </si>
  <si>
    <t>S2_49</t>
  </si>
  <si>
    <t>S2_50</t>
  </si>
  <si>
    <t>S2H_01</t>
  </si>
  <si>
    <t>S2H_02</t>
  </si>
  <si>
    <t>S2H_03</t>
  </si>
  <si>
    <t>S2H_04</t>
  </si>
  <si>
    <t>S2H_05</t>
  </si>
  <si>
    <t>S2H_06</t>
  </si>
  <si>
    <t>S2H_07</t>
  </si>
  <si>
    <t>S2H_08</t>
  </si>
  <si>
    <t>S2H_09</t>
  </si>
  <si>
    <t>S2H_10</t>
  </si>
  <si>
    <t>S2H_11</t>
  </si>
  <si>
    <t>40Б2; 30Ш1; 20К2</t>
  </si>
  <si>
    <t>S2H_12</t>
  </si>
  <si>
    <t>S2H_13</t>
  </si>
  <si>
    <t>S2H_14</t>
  </si>
  <si>
    <t>S2H_15</t>
  </si>
  <si>
    <t>S2H_16</t>
  </si>
  <si>
    <t>S2H_17</t>
  </si>
  <si>
    <t>S2H_18</t>
  </si>
  <si>
    <t>S2H_19</t>
  </si>
  <si>
    <t>S2H_20</t>
  </si>
  <si>
    <t>S2H_21</t>
  </si>
  <si>
    <t>S2H_22</t>
  </si>
  <si>
    <t>S2H_23</t>
  </si>
  <si>
    <t>S2H_24</t>
  </si>
  <si>
    <t>S2H_25</t>
  </si>
  <si>
    <t>S2H_26</t>
  </si>
  <si>
    <t>S2H_27</t>
  </si>
  <si>
    <t>S2H_28</t>
  </si>
  <si>
    <t>S2H_29</t>
  </si>
  <si>
    <t>S2H_30</t>
  </si>
  <si>
    <t>S2H_31</t>
  </si>
  <si>
    <t>S2H_32</t>
  </si>
  <si>
    <t>S2H_33</t>
  </si>
  <si>
    <t>S2H_34</t>
  </si>
  <si>
    <t>S2H_35</t>
  </si>
  <si>
    <t>S2H_36</t>
  </si>
  <si>
    <t>S2H_37</t>
  </si>
  <si>
    <t>S2H_38</t>
  </si>
  <si>
    <t>S2H_39</t>
  </si>
  <si>
    <t>S2H_40</t>
  </si>
  <si>
    <t>S2H_41</t>
  </si>
  <si>
    <t>S2H_42</t>
  </si>
  <si>
    <t>Колонна от…</t>
  </si>
  <si>
    <t>S3_01</t>
  </si>
  <si>
    <t>S3_02</t>
  </si>
  <si>
    <t>S3_03</t>
  </si>
  <si>
    <t>S3_04</t>
  </si>
  <si>
    <t>S3_05</t>
  </si>
  <si>
    <t>S3_06</t>
  </si>
  <si>
    <t>S3_07</t>
  </si>
  <si>
    <t>S3_08</t>
  </si>
  <si>
    <t>S3_09</t>
  </si>
  <si>
    <t>S3_10</t>
  </si>
  <si>
    <t>S3_11</t>
  </si>
  <si>
    <t>S3_12</t>
  </si>
  <si>
    <t>S3_13</t>
  </si>
  <si>
    <t>S3_14</t>
  </si>
  <si>
    <t>S3_15</t>
  </si>
  <si>
    <t>S3_16</t>
  </si>
  <si>
    <t>S3_17</t>
  </si>
  <si>
    <t>S3_18</t>
  </si>
  <si>
    <t>S3_19</t>
  </si>
  <si>
    <t>S3_20</t>
  </si>
  <si>
    <t>S3_21</t>
  </si>
  <si>
    <t>S3_22</t>
  </si>
  <si>
    <t>S3_23</t>
  </si>
  <si>
    <t>S3_24</t>
  </si>
  <si>
    <t>S3_25</t>
  </si>
  <si>
    <t>S3_26</t>
  </si>
  <si>
    <t>S3_27</t>
  </si>
  <si>
    <t>S3_28</t>
  </si>
  <si>
    <t>S3_29</t>
  </si>
  <si>
    <t>S3_30</t>
  </si>
  <si>
    <t>S3_31</t>
  </si>
  <si>
    <t>S3_32</t>
  </si>
  <si>
    <t>S3_33</t>
  </si>
  <si>
    <t>S3_34</t>
  </si>
  <si>
    <t>S3_35</t>
  </si>
  <si>
    <t>S3_36</t>
  </si>
  <si>
    <t>S3_37</t>
  </si>
  <si>
    <t>S3_38</t>
  </si>
  <si>
    <t>S3_39</t>
  </si>
  <si>
    <t>S3_40</t>
  </si>
  <si>
    <t>S3_41</t>
  </si>
  <si>
    <t>S3_42</t>
  </si>
  <si>
    <t>S3_43</t>
  </si>
  <si>
    <t>S3_44</t>
  </si>
  <si>
    <t>S3_45</t>
  </si>
  <si>
    <t>S3_46</t>
  </si>
  <si>
    <t>S3_47</t>
  </si>
  <si>
    <t>S3_48</t>
  </si>
  <si>
    <t>S3_49</t>
  </si>
  <si>
    <t>Post/ Стойка</t>
  </si>
  <si>
    <t xml:space="preserve"> Nс (кН)</t>
  </si>
  <si>
    <t xml:space="preserve"> Nt (кН)</t>
  </si>
  <si>
    <t>P1_01</t>
  </si>
  <si>
    <t>P1_02</t>
  </si>
  <si>
    <t>20Б2; 20Ш1; 20К1</t>
  </si>
  <si>
    <t>P1_03</t>
  </si>
  <si>
    <t>25Б1; 25Ш1; 20К1</t>
  </si>
  <si>
    <t>P1_04</t>
  </si>
  <si>
    <t>25Б2; 25Ш1; 20К1</t>
  </si>
  <si>
    <t>P1_05</t>
  </si>
  <si>
    <t>35Б1; 25Ш1; 20К1</t>
  </si>
  <si>
    <t>P1_06</t>
  </si>
  <si>
    <t>P1_07</t>
  </si>
  <si>
    <t>35Б1; 25Ш1; 25К1</t>
  </si>
  <si>
    <t>P1_08</t>
  </si>
  <si>
    <t>P1_09</t>
  </si>
  <si>
    <t>40Б1; 30Ш1; 30К1</t>
  </si>
  <si>
    <t>P1_10</t>
  </si>
  <si>
    <t>40Б2; 35Ш2; 30К2</t>
  </si>
  <si>
    <t>P1_11</t>
  </si>
  <si>
    <t>45Б1; 35Ш2; 35К1</t>
  </si>
  <si>
    <t>P1_12</t>
  </si>
  <si>
    <t>45Б2; 40Ш1; 35К2</t>
  </si>
  <si>
    <t>P1_13</t>
  </si>
  <si>
    <t>55Б1; 45Ш1; 35К2</t>
  </si>
  <si>
    <t>P1_14</t>
  </si>
  <si>
    <t>55Б2; 45Ш1; 35К2</t>
  </si>
  <si>
    <t>P1_15</t>
  </si>
  <si>
    <t>P1_16</t>
  </si>
  <si>
    <t>30Б1; 20Ш1; 20К1</t>
  </si>
  <si>
    <t>P1_17</t>
  </si>
  <si>
    <t>P1_18</t>
  </si>
  <si>
    <t>P1_19</t>
  </si>
  <si>
    <t>35Б2; 30Ш1; 30К1</t>
  </si>
  <si>
    <t>P1_20</t>
  </si>
  <si>
    <t>40Б1; 30Ш2; 30К1</t>
  </si>
  <si>
    <t>P1_21</t>
  </si>
  <si>
    <t>40Б2; 35Ш1; 30К1</t>
  </si>
  <si>
    <t>P1_22</t>
  </si>
  <si>
    <t>40Б2; 35Ш2; 30К1</t>
  </si>
  <si>
    <t>P1_23</t>
  </si>
  <si>
    <t>50Б2; 40Ш1; 35К2</t>
  </si>
  <si>
    <t>P1_24</t>
  </si>
  <si>
    <t>P1_25</t>
  </si>
  <si>
    <t>55Б2; 45Ш2; 35К2</t>
  </si>
  <si>
    <t>P1_26</t>
  </si>
  <si>
    <t>55Б2; 45Ш2; 40К1</t>
  </si>
  <si>
    <t>P1_27</t>
  </si>
  <si>
    <t>55Б2; 45Ш2; 40К2</t>
  </si>
  <si>
    <t>P1_28</t>
  </si>
  <si>
    <t>55Б2; 50Ш1; 40К2</t>
  </si>
  <si>
    <t>P1_29</t>
  </si>
  <si>
    <t>60Б2; 50Ш2; 40К2</t>
  </si>
  <si>
    <t>P1_30</t>
  </si>
  <si>
    <t>P1_31</t>
  </si>
  <si>
    <t>P1_32</t>
  </si>
  <si>
    <t>P1_33</t>
  </si>
  <si>
    <t>35Б2; 25Ш1; 20К1</t>
  </si>
  <si>
    <t>P1_34</t>
  </si>
  <si>
    <t>P1_35</t>
  </si>
  <si>
    <t>40Б2; 25Ш2; 25К1</t>
  </si>
  <si>
    <t>P1_36</t>
  </si>
  <si>
    <t>P1_37</t>
  </si>
  <si>
    <t>40Б2; 30Ш1; 25К1</t>
  </si>
  <si>
    <t>P1_38</t>
  </si>
  <si>
    <t>40Б2; 30Ш1; 25К2</t>
  </si>
  <si>
    <t>P1_39</t>
  </si>
  <si>
    <t>P1_40</t>
  </si>
  <si>
    <t>50Б2; 35Ш2; 30К1</t>
  </si>
  <si>
    <t>P1_41</t>
  </si>
  <si>
    <t>50Б2; 35Ш2; 30К2</t>
  </si>
  <si>
    <t>P1_42</t>
  </si>
  <si>
    <t>35Ш2; 35К1</t>
  </si>
  <si>
    <t>P1_43</t>
  </si>
  <si>
    <t>40Ш2; 35К2</t>
  </si>
  <si>
    <t>P1_44</t>
  </si>
  <si>
    <t>P1_45</t>
  </si>
  <si>
    <t>P1_46</t>
  </si>
  <si>
    <t>P1_47</t>
  </si>
  <si>
    <t xml:space="preserve">H-560х25+500х40 </t>
  </si>
  <si>
    <t>P1_48</t>
  </si>
  <si>
    <t>P1_49</t>
  </si>
  <si>
    <t>P2_01</t>
  </si>
  <si>
    <t>P2_02</t>
  </si>
  <si>
    <t>30Б2; 20Ш1; 20К1</t>
  </si>
  <si>
    <t>P2_03</t>
  </si>
  <si>
    <t>30Б1; 25Ш1; 20К1</t>
  </si>
  <si>
    <t>P2_04</t>
  </si>
  <si>
    <t>30Б2; 25Ш1; 20К1</t>
  </si>
  <si>
    <t>P2_05</t>
  </si>
  <si>
    <t>P2_06</t>
  </si>
  <si>
    <t>P2_07</t>
  </si>
  <si>
    <t>P2_08</t>
  </si>
  <si>
    <t>P2_09</t>
  </si>
  <si>
    <t>P2_10</t>
  </si>
  <si>
    <t>P2_11</t>
  </si>
  <si>
    <t>P2_12</t>
  </si>
  <si>
    <t>P2_13</t>
  </si>
  <si>
    <t>P2_14</t>
  </si>
  <si>
    <t>P2_15</t>
  </si>
  <si>
    <t>30Б1,20Ш1,20К1</t>
  </si>
  <si>
    <t>P2_16</t>
  </si>
  <si>
    <t>P2_17</t>
  </si>
  <si>
    <t>P2_18</t>
  </si>
  <si>
    <t>P2_19</t>
  </si>
  <si>
    <t>P2_20</t>
  </si>
  <si>
    <t>P2_21</t>
  </si>
  <si>
    <t>P2_22</t>
  </si>
  <si>
    <t>P2_23</t>
  </si>
  <si>
    <t>P2_24</t>
  </si>
  <si>
    <t>P2_25</t>
  </si>
  <si>
    <t>P2_26</t>
  </si>
  <si>
    <t>P2_27</t>
  </si>
  <si>
    <t>P2_28</t>
  </si>
  <si>
    <t>P2_29</t>
  </si>
  <si>
    <t>P2_30</t>
  </si>
  <si>
    <t>P2_31</t>
  </si>
  <si>
    <t>P2_32</t>
  </si>
  <si>
    <t>30Б2,20Ш1,20К1</t>
  </si>
  <si>
    <t>P2_33</t>
  </si>
  <si>
    <t>P2_34</t>
  </si>
  <si>
    <t>P2_35</t>
  </si>
  <si>
    <t>P2_36</t>
  </si>
  <si>
    <t>P2_37</t>
  </si>
  <si>
    <t>P2_38</t>
  </si>
  <si>
    <t>P2_39</t>
  </si>
  <si>
    <t>P2_40</t>
  </si>
  <si>
    <t>P2_41</t>
  </si>
  <si>
    <t>P2_42</t>
  </si>
  <si>
    <t>P2_43</t>
  </si>
  <si>
    <t>P2_44</t>
  </si>
  <si>
    <t>P2_45</t>
  </si>
  <si>
    <t>P2_46</t>
  </si>
  <si>
    <t>P2_47</t>
  </si>
  <si>
    <t>P2_48</t>
  </si>
  <si>
    <t>P2_49</t>
  </si>
  <si>
    <t>"Beam from... / _x000D_
Балка от…"</t>
  </si>
  <si>
    <t>M(N=0) (кН·м)</t>
  </si>
  <si>
    <t xml:space="preserve"> Nt(M=0) (кН)</t>
  </si>
  <si>
    <t xml:space="preserve"> Nс(M=0) (кН)</t>
  </si>
  <si>
    <t>P3_01</t>
  </si>
  <si>
    <t>P3_02</t>
  </si>
  <si>
    <t>P3_03</t>
  </si>
  <si>
    <t>P3_04</t>
  </si>
  <si>
    <t>P3_05</t>
  </si>
  <si>
    <t>P3_06</t>
  </si>
  <si>
    <t>P3_07</t>
  </si>
  <si>
    <t>P3_08</t>
  </si>
  <si>
    <t>P3_09</t>
  </si>
  <si>
    <t>P3_10</t>
  </si>
  <si>
    <t>40Б1; 35Ш2; 30К2</t>
  </si>
  <si>
    <t>P3_11</t>
  </si>
  <si>
    <t>P3_12</t>
  </si>
  <si>
    <t>45Б1; 40Ш1; 35К2</t>
  </si>
  <si>
    <t>P3_13</t>
  </si>
  <si>
    <t>P3_14</t>
  </si>
  <si>
    <t>P3_15</t>
  </si>
  <si>
    <t>P3_16</t>
  </si>
  <si>
    <t>P3_17</t>
  </si>
  <si>
    <t>P3_18</t>
  </si>
  <si>
    <t>P3_19</t>
  </si>
  <si>
    <t>35Б1; 30Ш1; 30К1</t>
  </si>
  <si>
    <t>P3_20</t>
  </si>
  <si>
    <t>P3_21</t>
  </si>
  <si>
    <t>40Б1; 35Ш1; 30К1</t>
  </si>
  <si>
    <t>P3_22</t>
  </si>
  <si>
    <t>40Б1; 35Ш2; 30К1</t>
  </si>
  <si>
    <t>P3_23</t>
  </si>
  <si>
    <t>50Б1; 40Ш1; 35К2</t>
  </si>
  <si>
    <t>P3_24</t>
  </si>
  <si>
    <t>P3_25</t>
  </si>
  <si>
    <t>55Б1; 45Ш2; 35К2</t>
  </si>
  <si>
    <t>P3_26</t>
  </si>
  <si>
    <t>55Б1; 45Ш2; 40К1</t>
  </si>
  <si>
    <t>P3_27</t>
  </si>
  <si>
    <t>55Б1; 45Ш2; 40К2</t>
  </si>
  <si>
    <t>P3_28</t>
  </si>
  <si>
    <t>55Б1; 50Ш1; 40К2</t>
  </si>
  <si>
    <t>P3_29</t>
  </si>
  <si>
    <t>60Б1; 50Ш2; 40К2</t>
  </si>
  <si>
    <t>P3_30</t>
  </si>
  <si>
    <t>P3_31</t>
  </si>
  <si>
    <t>P3_32</t>
  </si>
  <si>
    <t>P3_33</t>
  </si>
  <si>
    <t>35Б1; 30Ш1; 20К1</t>
  </si>
  <si>
    <t>P3_34</t>
  </si>
  <si>
    <t>35Б1; 30Ш1; 20К2</t>
  </si>
  <si>
    <t>P3_35</t>
  </si>
  <si>
    <t>40Б1; 30Ш1; 25К1</t>
  </si>
  <si>
    <t>P3_36</t>
  </si>
  <si>
    <t>P3_37</t>
  </si>
  <si>
    <t>P3_38</t>
  </si>
  <si>
    <t>40Б1; 30Ш1; 25К2</t>
  </si>
  <si>
    <t>P3_39</t>
  </si>
  <si>
    <t>P3_40</t>
  </si>
  <si>
    <t>50Б1; 35Ш2; 30К1</t>
  </si>
  <si>
    <t>P3_41</t>
  </si>
  <si>
    <t>50Б1; 35Ш2; 30К2</t>
  </si>
  <si>
    <t>P3_42</t>
  </si>
  <si>
    <t>35Ш1; 35К1</t>
  </si>
  <si>
    <t>P3_43</t>
  </si>
  <si>
    <t>40Ш1; 35К2</t>
  </si>
  <si>
    <t>P3_44</t>
  </si>
  <si>
    <t>P3_45</t>
  </si>
  <si>
    <t>P3_46</t>
  </si>
  <si>
    <t>P3_47</t>
  </si>
  <si>
    <t>P3_48</t>
  </si>
  <si>
    <t>P3_49</t>
  </si>
  <si>
    <t>P5_01</t>
  </si>
  <si>
    <t>P5_02</t>
  </si>
  <si>
    <t>P5_03</t>
  </si>
  <si>
    <t>P5_04</t>
  </si>
  <si>
    <t>P5_05</t>
  </si>
  <si>
    <t>P5_06</t>
  </si>
  <si>
    <t>P5_07</t>
  </si>
  <si>
    <t>P5_08</t>
  </si>
  <si>
    <t>P5_09</t>
  </si>
  <si>
    <t>P5_10</t>
  </si>
  <si>
    <t>P5_11</t>
  </si>
  <si>
    <t>P5_12</t>
  </si>
  <si>
    <t>P5_13</t>
  </si>
  <si>
    <t>P5_14</t>
  </si>
  <si>
    <t>P5_15</t>
  </si>
  <si>
    <t>P5_16</t>
  </si>
  <si>
    <t>P5_17</t>
  </si>
  <si>
    <t>P5_18</t>
  </si>
  <si>
    <t>P5_19</t>
  </si>
  <si>
    <t>P5_20</t>
  </si>
  <si>
    <t>P5_21</t>
  </si>
  <si>
    <t>P5_22</t>
  </si>
  <si>
    <t>P5_23</t>
  </si>
  <si>
    <t>P5_24</t>
  </si>
  <si>
    <t>P5_25</t>
  </si>
  <si>
    <t>P5_26</t>
  </si>
  <si>
    <t>P5_27</t>
  </si>
  <si>
    <t>P5_28</t>
  </si>
  <si>
    <t>P5_29</t>
  </si>
  <si>
    <t>P5_30</t>
  </si>
  <si>
    <t>P5_31</t>
  </si>
  <si>
    <t>P5_32</t>
  </si>
  <si>
    <t>P5_33</t>
  </si>
  <si>
    <t>P5_34</t>
  </si>
  <si>
    <t>P5_35</t>
  </si>
  <si>
    <t>P5_36</t>
  </si>
  <si>
    <t>P5_37</t>
  </si>
  <si>
    <t>P5_38</t>
  </si>
  <si>
    <t>P5_39</t>
  </si>
  <si>
    <t>P5_40</t>
  </si>
  <si>
    <t>P5_41</t>
  </si>
  <si>
    <t>P5_42</t>
  </si>
  <si>
    <t>P5_43</t>
  </si>
  <si>
    <t>P5_44</t>
  </si>
  <si>
    <t>P5_45</t>
  </si>
  <si>
    <t>P5_46</t>
  </si>
  <si>
    <t>P5_47</t>
  </si>
  <si>
    <t>P5_48</t>
  </si>
  <si>
    <t>P5_49</t>
  </si>
  <si>
    <t>P5_50</t>
  </si>
  <si>
    <t>P5_51</t>
  </si>
  <si>
    <t>P5_52</t>
  </si>
  <si>
    <t>P5_53</t>
  </si>
  <si>
    <t>P5_54</t>
  </si>
  <si>
    <t>P5_55</t>
  </si>
  <si>
    <t>P5_56</t>
  </si>
  <si>
    <t>P4_01</t>
  </si>
  <si>
    <t>P4_02</t>
  </si>
  <si>
    <t>P4_03</t>
  </si>
  <si>
    <t>P4_04</t>
  </si>
  <si>
    <t>P4_05</t>
  </si>
  <si>
    <t>P4_06</t>
  </si>
  <si>
    <t>P4_07</t>
  </si>
  <si>
    <t>P4_08</t>
  </si>
  <si>
    <t>P4_09</t>
  </si>
  <si>
    <t>P4_10</t>
  </si>
  <si>
    <t>P4_11</t>
  </si>
  <si>
    <t>P4_12</t>
  </si>
  <si>
    <t>P4_13</t>
  </si>
  <si>
    <t>P4_14</t>
  </si>
  <si>
    <t>P4_15</t>
  </si>
  <si>
    <t>P4_16</t>
  </si>
  <si>
    <t>P4_17</t>
  </si>
  <si>
    <t>P4_18</t>
  </si>
  <si>
    <t>P4_19</t>
  </si>
  <si>
    <t>P4_20</t>
  </si>
  <si>
    <t>P4_21</t>
  </si>
  <si>
    <t>P4_22</t>
  </si>
  <si>
    <t>P4_23</t>
  </si>
  <si>
    <t>P4_24</t>
  </si>
  <si>
    <t>P4_25</t>
  </si>
  <si>
    <t>P4_26</t>
  </si>
  <si>
    <t>P4_27</t>
  </si>
  <si>
    <t>P4_28</t>
  </si>
  <si>
    <t>P4_29</t>
  </si>
  <si>
    <t>P4_30</t>
  </si>
  <si>
    <t>P4_31</t>
  </si>
  <si>
    <t>P4_32</t>
  </si>
  <si>
    <t>P4_33</t>
  </si>
  <si>
    <t>P4_34</t>
  </si>
  <si>
    <t>P4_35</t>
  </si>
  <si>
    <t>P4_36</t>
  </si>
  <si>
    <t>P4_37</t>
  </si>
  <si>
    <t>P4_38</t>
  </si>
  <si>
    <t>P4_39</t>
  </si>
  <si>
    <t>P4_40</t>
  </si>
  <si>
    <t>P4_41</t>
  </si>
  <si>
    <t>P4_42</t>
  </si>
  <si>
    <t>P4_43</t>
  </si>
  <si>
    <t>P4_44</t>
  </si>
  <si>
    <t>P4_45</t>
  </si>
  <si>
    <t>P4_46</t>
  </si>
  <si>
    <t>P4_47</t>
  </si>
  <si>
    <t>P4_48</t>
  </si>
  <si>
    <t>P4_49</t>
  </si>
  <si>
    <t>Type / Тип_x000D_
Б</t>
  </si>
  <si>
    <t>Type / Тип_x000D_
Ш</t>
  </si>
  <si>
    <t>Type / Тип_x000D_
К</t>
  </si>
  <si>
    <t>Type / Тип    Сварные</t>
  </si>
  <si>
    <t>N (Q=0)  (кН)</t>
  </si>
  <si>
    <t>Q (N=0)  (кН)</t>
  </si>
  <si>
    <t>Qo       (кН)</t>
  </si>
  <si>
    <t>T      (кН•м)</t>
  </si>
  <si>
    <t>H650x20+315x25</t>
  </si>
  <si>
    <t>H650x20+315x26</t>
  </si>
  <si>
    <t>H650x20+315x27</t>
  </si>
  <si>
    <t>H650x20+315x28</t>
  </si>
  <si>
    <t>H650x20+315x29</t>
  </si>
  <si>
    <t>H650x20+315x30</t>
  </si>
  <si>
    <t>H650x20+315x31</t>
  </si>
  <si>
    <t>H650x20+315x32</t>
  </si>
  <si>
    <t>H650x20+315x33</t>
  </si>
  <si>
    <t>H650x20+315x34</t>
  </si>
  <si>
    <t>H650x20+315x35</t>
  </si>
  <si>
    <t>H650x20+315x36</t>
  </si>
  <si>
    <t>H650x20+315x37</t>
  </si>
  <si>
    <t>H650x20+315x38</t>
  </si>
  <si>
    <t>H650x20+315x39</t>
  </si>
  <si>
    <t>H650x20+315x40</t>
  </si>
  <si>
    <t>H650x20+315x41</t>
  </si>
  <si>
    <t>H650x20+315x42</t>
  </si>
  <si>
    <t>H650x20+315x43</t>
  </si>
  <si>
    <t>H650x20+315x44</t>
  </si>
  <si>
    <t>H650x20+315x45</t>
  </si>
  <si>
    <t>H650x20+315x46</t>
  </si>
  <si>
    <t>S4_01</t>
  </si>
  <si>
    <t>S4_02</t>
  </si>
  <si>
    <t>S4_03</t>
  </si>
  <si>
    <t>S4_04</t>
  </si>
  <si>
    <t>S4_05</t>
  </si>
  <si>
    <t>S4_06</t>
  </si>
  <si>
    <t>S4_07</t>
  </si>
  <si>
    <t>S4_08</t>
  </si>
  <si>
    <t>S4_09</t>
  </si>
  <si>
    <t>S4_10</t>
  </si>
  <si>
    <t>S4_11</t>
  </si>
  <si>
    <t>S4_12</t>
  </si>
  <si>
    <t>S4_13</t>
  </si>
  <si>
    <t>S4_14</t>
  </si>
  <si>
    <t>S4_15</t>
  </si>
  <si>
    <t>S4_16</t>
  </si>
  <si>
    <t>S4_17</t>
  </si>
  <si>
    <t>S4_18</t>
  </si>
  <si>
    <t>S4_19</t>
  </si>
  <si>
    <t>S4_20</t>
  </si>
  <si>
    <t>S4_21</t>
  </si>
  <si>
    <t>S4_22</t>
  </si>
  <si>
    <t>S4_23</t>
  </si>
  <si>
    <t>S4_24</t>
  </si>
  <si>
    <t>S4_25</t>
  </si>
  <si>
    <t>S4_26</t>
  </si>
  <si>
    <t>S4_27</t>
  </si>
  <si>
    <t>S4_28</t>
  </si>
  <si>
    <t>S4_29</t>
  </si>
  <si>
    <t>S4_30</t>
  </si>
  <si>
    <t>S4_31</t>
  </si>
  <si>
    <t>S4_32</t>
  </si>
  <si>
    <t>S4_33</t>
  </si>
  <si>
    <t>S4_34</t>
  </si>
  <si>
    <t>S4_35</t>
  </si>
  <si>
    <t>S4_36</t>
  </si>
  <si>
    <t>S4_37</t>
  </si>
  <si>
    <t>S4_38</t>
  </si>
  <si>
    <t>S4_39</t>
  </si>
  <si>
    <t>S4_40</t>
  </si>
  <si>
    <t>S4_41</t>
  </si>
  <si>
    <t>S4_42</t>
  </si>
  <si>
    <t>Connection name /_x000D_
Наименование_x000D_
соединения</t>
  </si>
  <si>
    <t>Joint capacity for all_x000D_
options / Несущая_x000D_
способность для всех_x000D_
вариантов</t>
  </si>
  <si>
    <t>Joint capacity without additional plates_x000D_
(Option 1) / Несущая способность без добавочных пластин _x000D_
_x000D_
(Вариант 1)</t>
  </si>
  <si>
    <t>Joint capacitywith top_x000D_
plate (Option 2) /_x000D_
Несущая способность с верхней пластиной_x000D_
(Вариант 2)</t>
  </si>
  <si>
    <t>Joint capacity with top plate and bottom plate (Option 3) /_x000D_
Несущая способность с верхней и нижней пластинами_x000D_
(Вариант 3)</t>
  </si>
  <si>
    <t>R1_01</t>
  </si>
  <si>
    <t>R1_02</t>
  </si>
  <si>
    <t>R1_03</t>
  </si>
  <si>
    <t>R1_04</t>
  </si>
  <si>
    <t>R1_05</t>
  </si>
  <si>
    <t>R1_06</t>
  </si>
  <si>
    <t>R1_07</t>
  </si>
  <si>
    <t>R1_08</t>
  </si>
  <si>
    <t>R1_09</t>
  </si>
  <si>
    <t>R1_10</t>
  </si>
  <si>
    <t>R1_11</t>
  </si>
  <si>
    <t>R1_12</t>
  </si>
  <si>
    <t>R1_13</t>
  </si>
  <si>
    <t>R1_14</t>
  </si>
  <si>
    <t>R1_15</t>
  </si>
  <si>
    <t>R1_16</t>
  </si>
  <si>
    <t>R1_17</t>
  </si>
  <si>
    <t>R1_18</t>
  </si>
  <si>
    <t>R1_19</t>
  </si>
  <si>
    <t>R1_20</t>
  </si>
  <si>
    <t>R1_21</t>
  </si>
  <si>
    <t>R1_22</t>
  </si>
  <si>
    <t>R1_23</t>
  </si>
  <si>
    <t>R1_24</t>
  </si>
  <si>
    <t>R1_25</t>
  </si>
  <si>
    <t>R1_26</t>
  </si>
  <si>
    <t>R1_27</t>
  </si>
  <si>
    <t>R1_28</t>
  </si>
  <si>
    <t>R1_29</t>
  </si>
  <si>
    <t>R1_30</t>
  </si>
  <si>
    <t>R1_31</t>
  </si>
  <si>
    <t>R1_32</t>
  </si>
  <si>
    <t>R1_33</t>
  </si>
  <si>
    <t>R1_34</t>
  </si>
  <si>
    <t>Joint capacity with top plate (Option 2) / Несущая способность с верхней пластиной (Вариант 2)</t>
  </si>
  <si>
    <t>R2_01</t>
  </si>
  <si>
    <t>R2_02</t>
  </si>
  <si>
    <t>R2_03</t>
  </si>
  <si>
    <t>R2_04</t>
  </si>
  <si>
    <t>R2_05</t>
  </si>
  <si>
    <t>R2_06</t>
  </si>
  <si>
    <t>R2_07</t>
  </si>
  <si>
    <t>R2_08</t>
  </si>
  <si>
    <t>R2_09</t>
  </si>
  <si>
    <t>R2_10</t>
  </si>
  <si>
    <t>R2_11</t>
  </si>
  <si>
    <t>R2_12</t>
  </si>
  <si>
    <t>R2_13</t>
  </si>
  <si>
    <t>R2_14</t>
  </si>
  <si>
    <t>R2_15</t>
  </si>
  <si>
    <t>R2_16</t>
  </si>
  <si>
    <t>R2_17</t>
  </si>
  <si>
    <t>R2_18</t>
  </si>
  <si>
    <t>R2_19</t>
  </si>
  <si>
    <t>R2_20</t>
  </si>
  <si>
    <t>R2_21</t>
  </si>
  <si>
    <t>R2_22</t>
  </si>
  <si>
    <t>R2_23</t>
  </si>
  <si>
    <t>R2_24</t>
  </si>
  <si>
    <t>R2_25</t>
  </si>
  <si>
    <t>R2_26</t>
  </si>
  <si>
    <t>R2_27</t>
  </si>
  <si>
    <t>R2_28</t>
  </si>
  <si>
    <t>R2_29</t>
  </si>
  <si>
    <t>R2_30</t>
  </si>
  <si>
    <t>R2_31</t>
  </si>
  <si>
    <t>R2_32</t>
  </si>
  <si>
    <t>R2_33</t>
  </si>
  <si>
    <t>R2_34</t>
  </si>
  <si>
    <t>Connection name /_x000D_
Наименование соединения</t>
  </si>
  <si>
    <t>Joint capacity with top plate _x000D_
_x000D_
(Option 2) / Несущая способность _x000D_
_x000D_
с верхней пластиной (Вариант 2)</t>
  </si>
  <si>
    <t>Joint capacity with top plate and bottom plate (Option 3) / Несущая способность с верхней и нижней _x000D_
_x000D_
пластинами (Вариант 3)</t>
  </si>
  <si>
    <t>Joint capacity with welded fin plate (Option 4) / Несущая способность с обваренной планкой (Вариант 4)</t>
  </si>
  <si>
    <t>Joint capacity with welded fin plate and top plate (Option 5) / Несущая способность с обваренной планкой и верхней пластиной (Вариант 5)</t>
  </si>
  <si>
    <t>Joint capacity with welded fin plate, top plate and bottom plate (Option 6) / Несущая способность со обваренной планкой, верхней и нижней пластинами (Вариант 6)</t>
  </si>
  <si>
    <t>R3_01</t>
  </si>
  <si>
    <t>R3_02</t>
  </si>
  <si>
    <t>R3_03</t>
  </si>
  <si>
    <t>R3_04</t>
  </si>
  <si>
    <t>R3_05</t>
  </si>
  <si>
    <t>R3_06</t>
  </si>
  <si>
    <t>R3_07</t>
  </si>
  <si>
    <t>R3_08</t>
  </si>
  <si>
    <t>R3_09</t>
  </si>
  <si>
    <t>R3_10</t>
  </si>
  <si>
    <t>R3_11</t>
  </si>
  <si>
    <t>R3_12</t>
  </si>
  <si>
    <t>R3_13</t>
  </si>
  <si>
    <t>R3_14</t>
  </si>
  <si>
    <t>R3_15</t>
  </si>
  <si>
    <t>R3_16</t>
  </si>
  <si>
    <t>R3_17</t>
  </si>
  <si>
    <t>R3_18</t>
  </si>
  <si>
    <t>R3_19</t>
  </si>
  <si>
    <t>R3_20</t>
  </si>
  <si>
    <t>R3_21</t>
  </si>
  <si>
    <t>R3_22</t>
  </si>
  <si>
    <t>R3_23</t>
  </si>
  <si>
    <t>R3_24</t>
  </si>
  <si>
    <t>R3_25</t>
  </si>
  <si>
    <t>R3_26</t>
  </si>
  <si>
    <t>R3_27</t>
  </si>
  <si>
    <t>R3_28</t>
  </si>
  <si>
    <t>R3_29</t>
  </si>
  <si>
    <t>R3_30</t>
  </si>
  <si>
    <t>R3_31</t>
  </si>
  <si>
    <t>R3_32</t>
  </si>
  <si>
    <t>R3_33</t>
  </si>
  <si>
    <t>R3_34</t>
  </si>
  <si>
    <t>Joint capacity for all options / Несущая способность для всех вариантов</t>
  </si>
  <si>
    <t>Joint capacity with top and bot plate (Option 3) / Несущая способность с верхней и нижней пластиной (Вариант 3)</t>
  </si>
  <si>
    <t>Joint capacity with welded fin plate (Option 4) / Несущая способность со обваренной планкой (Вариант 4)</t>
  </si>
  <si>
    <t>Joint capacity with welded fin plate and with top plate (Option 5) / Несущая способность со обваренной планкой и верхней пластиной (Вариант 5)</t>
  </si>
  <si>
    <t>Joint capacity with welded fin plate and with top plate and bot plate (Option 6) / Несущая способность со обваренной планкой, верхней и нижней пластиной (Вариант 6)</t>
  </si>
  <si>
    <t>R4_01</t>
  </si>
  <si>
    <t>R4_02</t>
  </si>
  <si>
    <t>R4_03</t>
  </si>
  <si>
    <t>R4_04</t>
  </si>
  <si>
    <t>R4_05</t>
  </si>
  <si>
    <t>R4_06</t>
  </si>
  <si>
    <t>R4_07</t>
  </si>
  <si>
    <t>R4_08</t>
  </si>
  <si>
    <t>R4_09</t>
  </si>
  <si>
    <t>R4_10</t>
  </si>
  <si>
    <t>R4_11</t>
  </si>
  <si>
    <t>R4_12</t>
  </si>
  <si>
    <t>R4_13</t>
  </si>
  <si>
    <t>R4_14</t>
  </si>
  <si>
    <t>R4_15</t>
  </si>
  <si>
    <t>R4_16</t>
  </si>
  <si>
    <t>R4_17</t>
  </si>
  <si>
    <t>R4_18</t>
  </si>
  <si>
    <t>R4_19</t>
  </si>
  <si>
    <t>R4_20</t>
  </si>
  <si>
    <t>R4_21</t>
  </si>
  <si>
    <t>R4_22</t>
  </si>
  <si>
    <t>R4_23</t>
  </si>
  <si>
    <t>R4_24</t>
  </si>
  <si>
    <t>R4_25</t>
  </si>
  <si>
    <t>R4_26</t>
  </si>
  <si>
    <t>R4_27</t>
  </si>
  <si>
    <t>R4_28</t>
  </si>
  <si>
    <t>R4_29</t>
  </si>
  <si>
    <t>R4_30</t>
  </si>
  <si>
    <t>R4_31</t>
  </si>
  <si>
    <t>R4_32</t>
  </si>
  <si>
    <t>R4_33</t>
  </si>
  <si>
    <t>R4_34</t>
  </si>
  <si>
    <t>Option 1 / Вариант 1</t>
  </si>
  <si>
    <t>Option 2 / Вариант 2</t>
  </si>
  <si>
    <t>Option 3 / Вариант 3</t>
  </si>
  <si>
    <t>Option 4 / Вариант 4</t>
  </si>
  <si>
    <t>H13_1</t>
  </si>
  <si>
    <t>H13_2</t>
  </si>
  <si>
    <t>H13_3</t>
  </si>
  <si>
    <t>H13_4</t>
  </si>
  <si>
    <t>H13_5</t>
  </si>
  <si>
    <t>H13_6</t>
  </si>
  <si>
    <t>H13_7</t>
  </si>
  <si>
    <t>H13_8</t>
  </si>
  <si>
    <t>Joint capacity for option 1 / Несущая способность для варианта 1</t>
  </si>
  <si>
    <t>H14_01</t>
  </si>
  <si>
    <t>H14_02</t>
  </si>
  <si>
    <t>H14_03</t>
  </si>
  <si>
    <t>H14_04</t>
  </si>
  <si>
    <t>H14_05</t>
  </si>
  <si>
    <t>H14_06</t>
  </si>
  <si>
    <t>H14_07</t>
  </si>
  <si>
    <t>H14_08</t>
  </si>
  <si>
    <t>H14_09</t>
  </si>
  <si>
    <t>H14_10</t>
  </si>
  <si>
    <t>H14_11</t>
  </si>
  <si>
    <t>H14_12</t>
  </si>
  <si>
    <t>H14_13</t>
  </si>
  <si>
    <t>H14_14</t>
  </si>
  <si>
    <t>H14_15</t>
  </si>
  <si>
    <t>H14_16</t>
  </si>
  <si>
    <t>H14_17</t>
  </si>
  <si>
    <t>H14_18</t>
  </si>
  <si>
    <t>H14_19</t>
  </si>
  <si>
    <t>H14_20</t>
  </si>
  <si>
    <t>H14_21</t>
  </si>
  <si>
    <t>H14_22</t>
  </si>
  <si>
    <t>H14_23</t>
  </si>
  <si>
    <t>Н1</t>
  </si>
  <si>
    <t>Н2</t>
  </si>
  <si>
    <t>Н1Н</t>
  </si>
  <si>
    <t>Н3</t>
  </si>
  <si>
    <t>Н3Н</t>
  </si>
  <si>
    <t>Н4</t>
  </si>
  <si>
    <t>Н5</t>
  </si>
  <si>
    <t>Н4Н</t>
  </si>
  <si>
    <t>Н5Н</t>
  </si>
  <si>
    <t>Н6</t>
  </si>
  <si>
    <t>Н6Н</t>
  </si>
  <si>
    <t>Н2Н</t>
  </si>
  <si>
    <t>Н7</t>
  </si>
  <si>
    <t>Н7Н</t>
  </si>
  <si>
    <t>Н11</t>
  </si>
  <si>
    <t>Н8</t>
  </si>
  <si>
    <t>Н9</t>
  </si>
  <si>
    <t>Н10</t>
  </si>
  <si>
    <t>S1</t>
  </si>
  <si>
    <t>S2</t>
  </si>
  <si>
    <t>S1H</t>
  </si>
  <si>
    <t>S2H</t>
  </si>
  <si>
    <t>P1</t>
  </si>
  <si>
    <t>P2</t>
  </si>
  <si>
    <t>P3</t>
  </si>
  <si>
    <t>P4</t>
  </si>
  <si>
    <t>R1</t>
  </si>
  <si>
    <t>R2</t>
  </si>
  <si>
    <t>H1</t>
  </si>
  <si>
    <t>H1H</t>
  </si>
  <si>
    <t>H3</t>
  </si>
  <si>
    <t>H3H</t>
  </si>
  <si>
    <t>H4</t>
  </si>
  <si>
    <t>H4H</t>
  </si>
  <si>
    <t>H5</t>
  </si>
  <si>
    <t>H5H</t>
  </si>
  <si>
    <t>H6</t>
  </si>
  <si>
    <t>H6H</t>
  </si>
  <si>
    <t>H8</t>
  </si>
  <si>
    <t>H9</t>
  </si>
  <si>
    <t>H10</t>
  </si>
  <si>
    <t>H12</t>
  </si>
  <si>
    <t>H13</t>
  </si>
  <si>
    <t>H14</t>
  </si>
  <si>
    <t>S3</t>
  </si>
  <si>
    <t>S4</t>
  </si>
  <si>
    <t>P5</t>
  </si>
  <si>
    <t>R3</t>
  </si>
  <si>
    <t>R4</t>
  </si>
  <si>
    <t>H2*</t>
  </si>
  <si>
    <t>Bm</t>
  </si>
  <si>
    <t>профиль</t>
  </si>
  <si>
    <t>По сортаменту</t>
  </si>
  <si>
    <t>N (кН)
(Q=0)</t>
  </si>
  <si>
    <t>Q (кН)
(N=0)</t>
  </si>
  <si>
    <t>Колонна от…  и вариант исполнения</t>
  </si>
  <si>
    <t>Балка от…</t>
  </si>
  <si>
    <t>M(N=0)</t>
  </si>
  <si>
    <t>P6</t>
  </si>
  <si>
    <t>P6_01</t>
  </si>
  <si>
    <t>P6_02</t>
  </si>
  <si>
    <t>P6_03</t>
  </si>
  <si>
    <t>P6_04</t>
  </si>
  <si>
    <t>P6_05</t>
  </si>
  <si>
    <t>P6_06</t>
  </si>
  <si>
    <t>P6_07</t>
  </si>
  <si>
    <t>СЕЧЕНИЕ ЭЛЕМЕНТА</t>
  </si>
  <si>
    <t>Joint capacity without additional
plates (Option 1) / Несущая
способность без добавочных
пластин (Вариант 1)</t>
  </si>
  <si>
    <t xml:space="preserve"> Несущая
способность без добавочных
пластин (Вариант 1)</t>
  </si>
  <si>
    <t>Выбор топологии узла</t>
  </si>
  <si>
    <t>Основное условие прочности по альбому</t>
  </si>
  <si>
    <t>—</t>
  </si>
  <si>
    <t>MAX</t>
  </si>
  <si>
    <t>Только для P1...P4 и Р6</t>
  </si>
  <si>
    <t>MW,kN*m*m</t>
  </si>
  <si>
    <t>MW, кН*м*м</t>
  </si>
  <si>
    <t>Альбом</t>
  </si>
  <si>
    <t>T, kN*m</t>
  </si>
  <si>
    <t>Лира</t>
  </si>
  <si>
    <t>MK, kN*m</t>
  </si>
  <si>
    <t>IDEA StatiCA</t>
  </si>
  <si>
    <t>Mx, kN*m</t>
  </si>
  <si>
    <t>MAX Сoeff</t>
  </si>
  <si>
    <t>MAX  Q</t>
  </si>
  <si>
    <t>MAX Qo</t>
  </si>
  <si>
    <t xml:space="preserve"> MAX T</t>
  </si>
  <si>
    <t>MAX M</t>
  </si>
  <si>
    <t>MAX Mo</t>
  </si>
  <si>
    <t>MAX Nt</t>
  </si>
  <si>
    <t>MAX Nc</t>
  </si>
  <si>
    <t>MAX u</t>
  </si>
  <si>
    <t>ЭЛЕМ</t>
  </si>
  <si>
    <t>НС</t>
  </si>
  <si>
    <t>КРТ</t>
  </si>
  <si>
    <t>СТ</t>
  </si>
  <si>
    <t>КС</t>
  </si>
  <si>
    <t>Г</t>
  </si>
  <si>
    <t>ЗАГРУЖЕНИЯ</t>
  </si>
  <si>
    <t>Данные для выгрузки в IS</t>
  </si>
  <si>
    <t>Если в качестве разделителя используется "точка", необходимо использовать кнопку "Подготовить данные для выгрузки в IS" для замены разделителя. В Idea Statica разделитель должен быть "запятая"</t>
  </si>
  <si>
    <t>MW. кН*м*м</t>
  </si>
  <si>
    <t>ᴪ</t>
  </si>
  <si>
    <t xml:space="preserve">H-1100х25+500х40 </t>
  </si>
  <si>
    <t>H-1200х25+500х40</t>
  </si>
  <si>
    <t xml:space="preserve"> MAX Сoeff. B</t>
  </si>
  <si>
    <t>Coeff. B</t>
  </si>
  <si>
    <t>Mw(kN*m*m)</t>
  </si>
  <si>
    <t>M coeff</t>
  </si>
  <si>
    <t>Q coeff</t>
  </si>
  <si>
    <t>M коэф</t>
  </si>
  <si>
    <t>Q коэф</t>
  </si>
  <si>
    <t>Выбранный узел</t>
  </si>
  <si>
    <t>BH</t>
  </si>
  <si>
    <t>BSH</t>
  </si>
  <si>
    <t>B-1</t>
  </si>
  <si>
    <t>L50×5</t>
  </si>
  <si>
    <t>B-2</t>
  </si>
  <si>
    <t>L63×5</t>
  </si>
  <si>
    <t>B-3</t>
  </si>
  <si>
    <t>L70×5</t>
  </si>
  <si>
    <t>B-4</t>
  </si>
  <si>
    <t>L75×6</t>
  </si>
  <si>
    <t>B-5</t>
  </si>
  <si>
    <t>L90×7</t>
  </si>
  <si>
    <t>B-6</t>
  </si>
  <si>
    <t>L100×7</t>
  </si>
  <si>
    <t>B-7</t>
  </si>
  <si>
    <t>L100×10</t>
  </si>
  <si>
    <t>B-8</t>
  </si>
  <si>
    <t>L100×12</t>
  </si>
  <si>
    <t>B-9</t>
  </si>
  <si>
    <t>L110×8</t>
  </si>
  <si>
    <t>B-10</t>
  </si>
  <si>
    <t>L125×10</t>
  </si>
  <si>
    <t>B-11</t>
  </si>
  <si>
    <t>L140×10</t>
  </si>
  <si>
    <t>B-12</t>
  </si>
  <si>
    <t>L140×12</t>
  </si>
  <si>
    <t>B-13</t>
  </si>
  <si>
    <t>L160×10</t>
  </si>
  <si>
    <t>B-14</t>
  </si>
  <si>
    <t>L160×16</t>
  </si>
  <si>
    <t>B-15</t>
  </si>
  <si>
    <t>L180×12</t>
  </si>
  <si>
    <t>B-16</t>
  </si>
  <si>
    <t>2_L50×5</t>
  </si>
  <si>
    <t>B-17</t>
  </si>
  <si>
    <t>2_L63×5</t>
  </si>
  <si>
    <t>B-18</t>
  </si>
  <si>
    <t>2_L70×5</t>
  </si>
  <si>
    <t>B-19</t>
  </si>
  <si>
    <t>2_L75×6</t>
  </si>
  <si>
    <t>B-20</t>
  </si>
  <si>
    <t>2_L90×7</t>
  </si>
  <si>
    <t>B-21</t>
  </si>
  <si>
    <t>2_L100×7</t>
  </si>
  <si>
    <t>B-22</t>
  </si>
  <si>
    <t>2_L100×10</t>
  </si>
  <si>
    <t>B-23</t>
  </si>
  <si>
    <t>2_L100×12</t>
  </si>
  <si>
    <t>B-24</t>
  </si>
  <si>
    <t>2_L110×8</t>
  </si>
  <si>
    <t>B-25</t>
  </si>
  <si>
    <t>2_L125×10</t>
  </si>
  <si>
    <t>B-26</t>
  </si>
  <si>
    <t>2_L140×10</t>
  </si>
  <si>
    <t>B-27</t>
  </si>
  <si>
    <t>2_L140×12</t>
  </si>
  <si>
    <t>B-28</t>
  </si>
  <si>
    <t>2_L160×10</t>
  </si>
  <si>
    <t>B-29</t>
  </si>
  <si>
    <t>2_L160×16</t>
  </si>
  <si>
    <t>B-30</t>
  </si>
  <si>
    <t>2_L180×12</t>
  </si>
  <si>
    <t>B-31</t>
  </si>
  <si>
    <t>T12.5-К1</t>
  </si>
  <si>
    <t>B-32</t>
  </si>
  <si>
    <t>T15-К1</t>
  </si>
  <si>
    <t>B-33</t>
  </si>
  <si>
    <t>T17.5-К1</t>
  </si>
  <si>
    <t>B-34</t>
  </si>
  <si>
    <t>T20-К1</t>
  </si>
  <si>
    <t>B-35</t>
  </si>
  <si>
    <t>T12.5-Б1</t>
  </si>
  <si>
    <t>B-36</t>
  </si>
  <si>
    <t>T15-Б1</t>
  </si>
  <si>
    <t>B-37</t>
  </si>
  <si>
    <t>T17.5-Б1</t>
  </si>
  <si>
    <t>B-38</t>
  </si>
  <si>
    <t>T20-Б1</t>
  </si>
  <si>
    <t>B-39</t>
  </si>
  <si>
    <t>T12.5-Ш1</t>
  </si>
  <si>
    <t>B-40</t>
  </si>
  <si>
    <t>T15-Ш1</t>
  </si>
  <si>
    <t>B-41</t>
  </si>
  <si>
    <t>T17.5-Ш1</t>
  </si>
  <si>
    <t>B-42</t>
  </si>
  <si>
    <t>T20-Ш1</t>
  </si>
  <si>
    <t>B-43</t>
  </si>
  <si>
    <t>B-44</t>
  </si>
  <si>
    <t>B-45</t>
  </si>
  <si>
    <t>B-46</t>
  </si>
  <si>
    <t>B-47</t>
  </si>
  <si>
    <t>B-48</t>
  </si>
  <si>
    <t>B-49</t>
  </si>
  <si>
    <t>B-50</t>
  </si>
  <si>
    <t>B-51</t>
  </si>
  <si>
    <t>B-52</t>
  </si>
  <si>
    <t>B-53</t>
  </si>
  <si>
    <t>B-54</t>
  </si>
  <si>
    <t>B-55</t>
  </si>
  <si>
    <t>B-56</t>
  </si>
  <si>
    <t>B-57</t>
  </si>
  <si>
    <t>B-58</t>
  </si>
  <si>
    <t>B-59</t>
  </si>
  <si>
    <t>B-60</t>
  </si>
  <si>
    <t>B-61</t>
  </si>
  <si>
    <t>B-62</t>
  </si>
  <si>
    <t>B-63</t>
  </si>
  <si>
    <t>B-64</t>
  </si>
  <si>
    <t>B-65</t>
  </si>
  <si>
    <t>B-66</t>
  </si>
  <si>
    <t>B-67</t>
  </si>
  <si>
    <t>B-68</t>
  </si>
  <si>
    <t>B-69</t>
  </si>
  <si>
    <t>B-70</t>
  </si>
  <si>
    <t>B-71</t>
  </si>
  <si>
    <t>B-72</t>
  </si>
  <si>
    <t>B-73</t>
  </si>
  <si>
    <t>B-74</t>
  </si>
  <si>
    <t>B-75</t>
  </si>
  <si>
    <t>B-76</t>
  </si>
  <si>
    <t>B-77</t>
  </si>
  <si>
    <t>B-78</t>
  </si>
  <si>
    <t>B-79</t>
  </si>
  <si>
    <t>B-80</t>
  </si>
  <si>
    <t>B-81</t>
  </si>
  <si>
    <t>B-82</t>
  </si>
  <si>
    <t>BH-1</t>
  </si>
  <si>
    <t>BH-2</t>
  </si>
  <si>
    <t>BH-3</t>
  </si>
  <si>
    <t>BH-4</t>
  </si>
  <si>
    <t>BH-5</t>
  </si>
  <si>
    <t>BH-6</t>
  </si>
  <si>
    <t>BH-7</t>
  </si>
  <si>
    <t>BH-8</t>
  </si>
  <si>
    <t>BH-9</t>
  </si>
  <si>
    <t>BH-10</t>
  </si>
  <si>
    <t>BH-11</t>
  </si>
  <si>
    <t>BH-12</t>
  </si>
  <si>
    <t>BH-13</t>
  </si>
  <si>
    <t>BH-14</t>
  </si>
  <si>
    <t>BH-15</t>
  </si>
  <si>
    <t>BH-16</t>
  </si>
  <si>
    <t>BH-17</t>
  </si>
  <si>
    <t>BH-18</t>
  </si>
  <si>
    <t>BH-19</t>
  </si>
  <si>
    <t>BH-20</t>
  </si>
  <si>
    <t>BH-21</t>
  </si>
  <si>
    <t>BH-22</t>
  </si>
  <si>
    <t>BH-23</t>
  </si>
  <si>
    <t>BH-24</t>
  </si>
  <si>
    <t>BH-25</t>
  </si>
  <si>
    <t>BH-26</t>
  </si>
  <si>
    <t>BH-27</t>
  </si>
  <si>
    <t>BH-28</t>
  </si>
  <si>
    <t>BH-29</t>
  </si>
  <si>
    <t>BH-30</t>
  </si>
  <si>
    <t>BH-31</t>
  </si>
  <si>
    <t>BH-32</t>
  </si>
  <si>
    <t>BH-33</t>
  </si>
  <si>
    <t>BH-34</t>
  </si>
  <si>
    <t>BH-35</t>
  </si>
  <si>
    <t>BH-36</t>
  </si>
  <si>
    <t>BH-37</t>
  </si>
  <si>
    <t>BH-38</t>
  </si>
  <si>
    <t>BH-39</t>
  </si>
  <si>
    <t>BH-40</t>
  </si>
  <si>
    <t>BH-41</t>
  </si>
  <si>
    <t>BH-42</t>
  </si>
  <si>
    <t>BH-43</t>
  </si>
  <si>
    <t>BH-44</t>
  </si>
  <si>
    <t>BH-45</t>
  </si>
  <si>
    <t>BH-46</t>
  </si>
  <si>
    <t>BH-47</t>
  </si>
  <si>
    <t>BH-48</t>
  </si>
  <si>
    <t>BH-49</t>
  </si>
  <si>
    <t>BH-50</t>
  </si>
  <si>
    <t>BH-51</t>
  </si>
  <si>
    <t>BH-52</t>
  </si>
  <si>
    <t>BH-53</t>
  </si>
  <si>
    <t>BH-54</t>
  </si>
  <si>
    <t>BH-55</t>
  </si>
  <si>
    <t>BH-56</t>
  </si>
  <si>
    <t>BH-57</t>
  </si>
  <si>
    <t>BH-58</t>
  </si>
  <si>
    <t>BH-59</t>
  </si>
  <si>
    <t>BH-60</t>
  </si>
  <si>
    <t>BH-61</t>
  </si>
  <si>
    <t>BH-62</t>
  </si>
  <si>
    <t>BH-63</t>
  </si>
  <si>
    <t>BH-64</t>
  </si>
  <si>
    <t>BH-65</t>
  </si>
  <si>
    <t>BH-66</t>
  </si>
  <si>
    <t>BH-67</t>
  </si>
  <si>
    <t>BH-68</t>
  </si>
  <si>
    <t>BH-69</t>
  </si>
  <si>
    <t>BH-70</t>
  </si>
  <si>
    <t>BH-71</t>
  </si>
  <si>
    <t>BH-72</t>
  </si>
  <si>
    <t>BH-73</t>
  </si>
  <si>
    <t>BH-74</t>
  </si>
  <si>
    <t>BH-75</t>
  </si>
  <si>
    <t>BH-76</t>
  </si>
  <si>
    <t>BH-77</t>
  </si>
  <si>
    <t>BH-78</t>
  </si>
  <si>
    <t>BH-79</t>
  </si>
  <si>
    <t>BH-80</t>
  </si>
  <si>
    <t>BH-81</t>
  </si>
  <si>
    <t>BH-82</t>
  </si>
  <si>
    <t>BSH-01</t>
  </si>
  <si>
    <t>BSH-02</t>
  </si>
  <si>
    <t>BSH-03</t>
  </si>
  <si>
    <t>BSH-04</t>
  </si>
  <si>
    <t>BSH-05</t>
  </si>
  <si>
    <t>BSH-06</t>
  </si>
  <si>
    <t xml:space="preserve">Внимание не заполнены следующие усилия: </t>
  </si>
  <si>
    <t xml:space="preserve"> Необходимо проверить корректность введенных данных</t>
  </si>
  <si>
    <t>Эскиз узла</t>
  </si>
  <si>
    <t>Описание узла</t>
  </si>
  <si>
    <t>Альтернативное условие прочности соединения
Только для фланцевых шарнирных узлов</t>
  </si>
  <si>
    <t>Шарнирный узел к стенке колонны:
- с двумя рядами болтов
- с усилением стенки балки</t>
  </si>
  <si>
    <t>Скользящий шарнирный узел к полке колонны:
- c опорным столиком</t>
  </si>
  <si>
    <t>Крепление стоек из трубы</t>
  </si>
  <si>
    <t>Шарнирный узел к закладной</t>
  </si>
  <si>
    <t>Шарнирный узел к закладной:
- с усиливающими пластинами</t>
  </si>
  <si>
    <t>Шарнирный скользящий узел к закладной</t>
  </si>
  <si>
    <t>Шарнирный скользящий узел к закладной:
- с усиливающими пластинами</t>
  </si>
  <si>
    <t>Узел крепления связей:
- характеристики пластины
- характеристики болтового
соединения</t>
  </si>
  <si>
    <t>Скользящий узел крепления стоек</t>
  </si>
  <si>
    <t>Крепление стоек:
-воспринимает изгибающий
момент из плоскости стойки
- болты снаружи профиля
- стойка перпендикулярно
балке</t>
  </si>
  <si>
    <t>Крепление стоек:
-воспринимает изгибающий
момент в плоскости стойки
- болты снаружи профиля</t>
  </si>
  <si>
    <t>Крепление стоек:
- болты внутри профиля
- стойка перпендикулярно
балке</t>
  </si>
  <si>
    <t>Крепление стоек:
- болты внутри профиля</t>
  </si>
  <si>
    <t>Скользящий шарнирный узел крепления балок</t>
  </si>
  <si>
    <t>Скользящий Шарнирный узел к стенке колонны
- c опорным столиком</t>
  </si>
  <si>
    <t>Скользящий шарнирный узел к стенке колонны</t>
  </si>
  <si>
    <t>Скользящий шарнирный узел к полке колонны</t>
  </si>
  <si>
    <t>Шарнирный узел крепления балок</t>
  </si>
  <si>
    <t>Фланцевый шарнирный узел крепления балок</t>
  </si>
  <si>
    <t>Шарнирный узел крепления балок
- с одним рядом болтов</t>
  </si>
  <si>
    <t>Шарнирный узел к стенке колонны:
- с двумя рядами болтов</t>
  </si>
  <si>
    <t>Шарнирный узел к стенке колонны:
- с двумя рядоми болтов</t>
  </si>
  <si>
    <t>Шарнирный узел к стенке колонны:
- с одним рядом болтов
- с усилением стенки балки</t>
  </si>
  <si>
    <t>Шарнирный узел к стенке колонны:
- с одним рядом болтов</t>
  </si>
  <si>
    <t>Шарнирный узел к полке колонны:
- с усилением стенки балки</t>
  </si>
  <si>
    <t>Шарнирный узел к полке колонны</t>
  </si>
  <si>
    <t>Шарнирный узел к полке колонны:
- c одним рядом болтов
- с усилением стенки балки</t>
  </si>
  <si>
    <t>Шарнирный узел к полке колонны:
- c одним рядом болтов.</t>
  </si>
  <si>
    <t>Фланцевый шарнирный узел к полке колонны:
- 4-е болта в соединении</t>
  </si>
  <si>
    <t>Фланцевый шарнирный узел к полке колонны:
- без опорной пластины</t>
  </si>
  <si>
    <t>Фланцевый шарнирный узел к полке колонны:
- без опорной пластины
- с центральным ребром</t>
  </si>
  <si>
    <t>Фланцевый шарнирный узел к стенке колонны</t>
  </si>
  <si>
    <t>Фланцевый шарнирный узел к стенке колонны:
- с двумя рядами болтов
- с усилением стенки балки</t>
  </si>
  <si>
    <t>Шарнирный узел крепления балок с поэтажным опиранием</t>
  </si>
  <si>
    <t>Скользящий шарнирный узел крепления балок с поэтажным опиранием</t>
  </si>
  <si>
    <t>Узел крепления связей усиленный:
- характеристики пластины
- характеристики болтового
соединения</t>
  </si>
  <si>
    <t>Узел крепления связей(применять для ферм):
- к полке колонны и балки через
соединительную пластину на
болтах</t>
  </si>
  <si>
    <t>R1,R2</t>
  </si>
  <si>
    <t>R3,R4</t>
  </si>
  <si>
    <t>MAX Mw</t>
  </si>
  <si>
    <t>MAX Mcoeff</t>
  </si>
  <si>
    <t>MAX Qcoeff</t>
  </si>
  <si>
    <t>1...4 9 10 12</t>
  </si>
  <si>
    <t>1 2 9 10</t>
  </si>
  <si>
    <t>1...4 7 9 10 12</t>
  </si>
  <si>
    <t>1...4 9 10</t>
  </si>
  <si>
    <t>1 2 9 10 12</t>
  </si>
  <si>
    <t>﻿1 (B1) - РСН1</t>
  </si>
  <si>
    <t>﻿2 (B1) - РСН2</t>
  </si>
  <si>
    <t>﻿3 (B1) - РСН3</t>
  </si>
  <si>
    <t>﻿4 (B1) - РСН4</t>
  </si>
  <si>
    <t>1 2 8...10</t>
  </si>
  <si>
    <t>1...3 9 10 12</t>
  </si>
  <si>
    <t>1 2 4 9 10</t>
  </si>
  <si>
    <t>1 2 4 8...10</t>
  </si>
  <si>
    <t>1...3 7 9 10 12</t>
  </si>
  <si>
    <t>1...3 9 10</t>
  </si>
  <si>
    <t>1 2 4 9 10 12</t>
  </si>
  <si>
    <t>1...3 8...10</t>
  </si>
  <si>
    <t>1 2 4 7 9 10 12</t>
  </si>
  <si>
    <t>1 2 7 9 10</t>
  </si>
  <si>
    <t>1...4 8...10 12</t>
  </si>
  <si>
    <t>1 2 7 9 10 12</t>
  </si>
  <si>
    <t>1...4 8...10</t>
  </si>
  <si>
    <t>1 2 4 8...10 12</t>
  </si>
  <si>
    <t>1...3 7 9 10</t>
  </si>
  <si>
    <t>1 2 8...10 12</t>
  </si>
  <si>
    <t>1...4 7 9 10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</si>
</sst>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rgb="FF444444"/>
      <name val="Arial"/>
      <family val="2"/>
      <charset val="204"/>
    </font>
    <font>
      <sz val="11"/>
      <color rgb="FFC00000"/>
      <name val="Calibri"/>
      <family val="2"/>
      <charset val="204"/>
      <scheme val="minor"/>
    </font>
    <font>
      <i/>
      <sz val="11"/>
      <color rgb="FF40404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20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1" tint="0.249977111117893"/>
      <name val="Calibri"/>
      <family val="2"/>
      <charset val="204"/>
    </font>
    <font>
      <sz val="11"/>
      <color theme="1" tint="0.249977111117893"/>
      <name val="Calibri"/>
      <family val="2"/>
      <charset val="204"/>
      <scheme val="minor"/>
    </font>
    <font>
      <b/>
      <sz val="11"/>
      <color theme="1" tint="0.249977111117893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sz val="18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28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8CBAD"/>
        <bgColor rgb="FFF8CBAD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46CD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A9D08E"/>
        <bgColor rgb="FFA9D08E"/>
      </patternFill>
    </fill>
    <fill>
      <patternFill patternType="solid">
        <fgColor rgb="FF548235"/>
        <bgColor rgb="FF548235"/>
      </patternFill>
    </fill>
    <fill>
      <patternFill patternType="solid">
        <fgColor rgb="FF375623"/>
        <bgColor rgb="FF375623"/>
      </patternFill>
    </fill>
    <fill>
      <patternFill patternType="solid">
        <fgColor rgb="FFACB9CA"/>
        <bgColor rgb="FFACB9CA"/>
      </patternFill>
    </fill>
    <fill>
      <patternFill patternType="solid">
        <fgColor rgb="FF305496"/>
        <bgColor rgb="FF305496"/>
      </patternFill>
    </fill>
    <fill>
      <patternFill patternType="solid">
        <fgColor rgb="FF00B0F0"/>
        <bgColor rgb="FF00B0F0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7" fillId="0" borderId="0"/>
    <xf numFmtId="0" fontId="7" fillId="0" borderId="0" applyNumberFormat="0" applyFont="0" applyBorder="0" applyProtection="0"/>
    <xf numFmtId="9" fontId="15" fillId="0" borderId="0" applyFont="0" applyFill="0" applyBorder="0" applyAlignment="0" applyProtection="0"/>
    <xf numFmtId="0" fontId="16" fillId="26" borderId="49" applyNumberFormat="0" applyAlignment="0" applyProtection="0"/>
  </cellStyleXfs>
  <cellXfs count="36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6" fillId="4" borderId="9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0" borderId="25" xfId="1" applyBorder="1" applyAlignment="1">
      <alignment horizontal="center"/>
    </xf>
    <xf numFmtId="0" fontId="7" fillId="0" borderId="26" xfId="1" applyBorder="1" applyAlignment="1">
      <alignment horizontal="center"/>
    </xf>
    <xf numFmtId="0" fontId="7" fillId="0" borderId="0" xfId="1" applyAlignment="1">
      <alignment horizontal="center"/>
    </xf>
    <xf numFmtId="0" fontId="7" fillId="0" borderId="0" xfId="1"/>
    <xf numFmtId="164" fontId="7" fillId="0" borderId="25" xfId="1" applyNumberFormat="1" applyBorder="1" applyAlignment="1">
      <alignment horizontal="center"/>
    </xf>
    <xf numFmtId="164" fontId="7" fillId="0" borderId="0" xfId="1" applyNumberFormat="1" applyAlignment="1">
      <alignment horizontal="center"/>
    </xf>
    <xf numFmtId="164" fontId="7" fillId="0" borderId="27" xfId="1" applyNumberFormat="1" applyBorder="1" applyAlignment="1">
      <alignment horizontal="center"/>
    </xf>
    <xf numFmtId="0" fontId="7" fillId="0" borderId="9" xfId="1" applyBorder="1" applyAlignment="1">
      <alignment horizontal="center" vertical="center"/>
    </xf>
    <xf numFmtId="0" fontId="7" fillId="0" borderId="0" xfId="1" applyAlignment="1">
      <alignment horizontal="center" vertical="center"/>
    </xf>
    <xf numFmtId="164" fontId="0" fillId="0" borderId="0" xfId="0" applyNumberFormat="1"/>
    <xf numFmtId="10" fontId="0" fillId="0" borderId="9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8" borderId="9" xfId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8" fillId="9" borderId="30" xfId="0" applyFont="1" applyFill="1" applyBorder="1" applyAlignment="1">
      <alignment horizontal="center" vertical="center" wrapText="1"/>
    </xf>
    <xf numFmtId="0" fontId="8" fillId="9" borderId="28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27" xfId="0" applyNumberFormat="1" applyBorder="1" applyAlignment="1">
      <alignment horizontal="center"/>
    </xf>
    <xf numFmtId="0" fontId="3" fillId="11" borderId="9" xfId="0" applyFont="1" applyFill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/>
    </xf>
    <xf numFmtId="0" fontId="3" fillId="12" borderId="14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12" borderId="9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center"/>
    </xf>
    <xf numFmtId="0" fontId="0" fillId="16" borderId="25" xfId="0" applyFill="1" applyBorder="1" applyAlignment="1">
      <alignment horizontal="center"/>
    </xf>
    <xf numFmtId="0" fontId="0" fillId="17" borderId="25" xfId="0" applyFill="1" applyBorder="1" applyAlignment="1">
      <alignment horizontal="center"/>
    </xf>
    <xf numFmtId="0" fontId="10" fillId="18" borderId="25" xfId="0" applyFont="1" applyFill="1" applyBorder="1" applyAlignment="1">
      <alignment horizontal="center"/>
    </xf>
    <xf numFmtId="0" fontId="0" fillId="19" borderId="25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22" borderId="25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/>
    <xf numFmtId="0" fontId="14" fillId="4" borderId="9" xfId="0" applyFont="1" applyFill="1" applyBorder="1" applyAlignment="1">
      <alignment horizontal="center" vertical="center"/>
    </xf>
    <xf numFmtId="0" fontId="8" fillId="9" borderId="3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7" xfId="0" applyBorder="1"/>
    <xf numFmtId="0" fontId="0" fillId="23" borderId="7" xfId="0" applyFill="1" applyBorder="1"/>
    <xf numFmtId="0" fontId="0" fillId="15" borderId="7" xfId="0" applyFill="1" applyBorder="1"/>
    <xf numFmtId="0" fontId="0" fillId="5" borderId="7" xfId="0" applyFill="1" applyBorder="1"/>
    <xf numFmtId="0" fontId="0" fillId="24" borderId="7" xfId="0" applyFill="1" applyBorder="1"/>
    <xf numFmtId="0" fontId="0" fillId="25" borderId="7" xfId="0" applyFill="1" applyBorder="1"/>
    <xf numFmtId="0" fontId="0" fillId="0" borderId="7" xfId="0" applyBorder="1" applyAlignment="1">
      <alignment wrapText="1"/>
    </xf>
    <xf numFmtId="0" fontId="0" fillId="15" borderId="7" xfId="0" applyFill="1" applyBorder="1" applyAlignment="1">
      <alignment wrapText="1"/>
    </xf>
    <xf numFmtId="0" fontId="0" fillId="23" borderId="7" xfId="0" applyFill="1" applyBorder="1" applyAlignment="1">
      <alignment wrapText="1"/>
    </xf>
    <xf numFmtId="0" fontId="0" fillId="5" borderId="7" xfId="0" applyFill="1" applyBorder="1" applyAlignment="1">
      <alignment wrapText="1"/>
    </xf>
    <xf numFmtId="0" fontId="0" fillId="24" borderId="7" xfId="0" applyFill="1" applyBorder="1" applyAlignment="1">
      <alignment wrapText="1"/>
    </xf>
    <xf numFmtId="0" fontId="0" fillId="25" borderId="7" xfId="0" applyFill="1" applyBorder="1" applyAlignment="1">
      <alignment wrapText="1"/>
    </xf>
    <xf numFmtId="0" fontId="0" fillId="15" borderId="0" xfId="0" applyFill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5" xfId="0" applyBorder="1" applyAlignment="1">
      <alignment wrapText="1"/>
    </xf>
    <xf numFmtId="0" fontId="0" fillId="28" borderId="7" xfId="0" applyFill="1" applyBorder="1"/>
    <xf numFmtId="0" fontId="0" fillId="27" borderId="7" xfId="0" applyFill="1" applyBorder="1"/>
    <xf numFmtId="0" fontId="0" fillId="28" borderId="45" xfId="0" applyFill="1" applyBorder="1" applyAlignment="1">
      <alignment wrapText="1"/>
    </xf>
    <xf numFmtId="165" fontId="16" fillId="26" borderId="49" xfId="4" applyNumberFormat="1" applyAlignment="1">
      <alignment horizontal="center" vertical="center"/>
    </xf>
    <xf numFmtId="9" fontId="0" fillId="0" borderId="0" xfId="3" applyFont="1"/>
    <xf numFmtId="0" fontId="6" fillId="4" borderId="8" xfId="0" applyFont="1" applyFill="1" applyBorder="1" applyAlignment="1">
      <alignment horizontal="center" vertical="center" wrapText="1"/>
    </xf>
    <xf numFmtId="0" fontId="6" fillId="29" borderId="9" xfId="0" applyFont="1" applyFill="1" applyBorder="1" applyAlignment="1">
      <alignment horizontal="center" vertical="center" wrapText="1"/>
    </xf>
    <xf numFmtId="0" fontId="16" fillId="26" borderId="9" xfId="4" applyBorder="1" applyAlignment="1">
      <alignment horizontal="center" vertical="center"/>
    </xf>
    <xf numFmtId="0" fontId="16" fillId="26" borderId="10" xfId="4" applyBorder="1" applyAlignment="1">
      <alignment horizontal="center" vertical="center"/>
    </xf>
    <xf numFmtId="0" fontId="17" fillId="5" borderId="9" xfId="1" applyFont="1" applyFill="1" applyBorder="1" applyAlignment="1">
      <alignment horizontal="center" vertical="center"/>
    </xf>
    <xf numFmtId="0" fontId="18" fillId="5" borderId="9" xfId="0" applyFont="1" applyFill="1" applyBorder="1" applyAlignment="1">
      <alignment horizontal="center" vertical="center"/>
    </xf>
    <xf numFmtId="0" fontId="19" fillId="26" borderId="9" xfId="4" applyFont="1" applyBorder="1" applyAlignment="1">
      <alignment horizontal="center" vertical="center"/>
    </xf>
    <xf numFmtId="2" fontId="0" fillId="13" borderId="17" xfId="0" applyNumberFormat="1" applyFill="1" applyBorder="1" applyAlignment="1">
      <alignment horizontal="center" vertical="center"/>
    </xf>
    <xf numFmtId="0" fontId="0" fillId="13" borderId="17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15" borderId="40" xfId="0" applyFill="1" applyBorder="1" applyAlignment="1">
      <alignment horizontal="center"/>
    </xf>
    <xf numFmtId="0" fontId="0" fillId="5" borderId="7" xfId="0" quotePrefix="1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16" fillId="26" borderId="54" xfId="4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5" borderId="18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1" fontId="0" fillId="0" borderId="0" xfId="0" applyNumberFormat="1"/>
    <xf numFmtId="0" fontId="23" fillId="0" borderId="58" xfId="0" applyFont="1" applyBorder="1" applyAlignment="1">
      <alignment horizontal="center" vertical="center" wrapText="1"/>
    </xf>
    <xf numFmtId="1" fontId="23" fillId="0" borderId="58" xfId="0" applyNumberFormat="1" applyFont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23" fillId="0" borderId="59" xfId="0" applyFont="1" applyBorder="1" applyAlignment="1">
      <alignment horizontal="center" vertical="center" wrapText="1"/>
    </xf>
    <xf numFmtId="0" fontId="24" fillId="0" borderId="0" xfId="0" applyFont="1"/>
    <xf numFmtId="0" fontId="5" fillId="15" borderId="9" xfId="0" applyFont="1" applyFill="1" applyBorder="1" applyAlignment="1">
      <alignment horizontal="center" vertical="center" wrapText="1"/>
    </xf>
    <xf numFmtId="0" fontId="25" fillId="15" borderId="9" xfId="0" applyFont="1" applyFill="1" applyBorder="1" applyAlignment="1">
      <alignment horizontal="center" vertical="center" wrapText="1"/>
    </xf>
    <xf numFmtId="10" fontId="4" fillId="0" borderId="9" xfId="0" applyNumberFormat="1" applyFont="1" applyBorder="1" applyAlignment="1">
      <alignment horizontal="center" vertical="center"/>
    </xf>
    <xf numFmtId="0" fontId="0" fillId="34" borderId="7" xfId="0" applyFill="1" applyBorder="1"/>
    <xf numFmtId="0" fontId="0" fillId="30" borderId="7" xfId="0" applyFill="1" applyBorder="1"/>
    <xf numFmtId="0" fontId="0" fillId="37" borderId="7" xfId="0" applyFill="1" applyBorder="1"/>
    <xf numFmtId="0" fontId="0" fillId="36" borderId="7" xfId="0" applyFill="1" applyBorder="1"/>
    <xf numFmtId="0" fontId="0" fillId="35" borderId="7" xfId="0" applyFill="1" applyBorder="1"/>
    <xf numFmtId="0" fontId="0" fillId="38" borderId="7" xfId="0" applyFill="1" applyBorder="1"/>
    <xf numFmtId="0" fontId="0" fillId="39" borderId="7" xfId="0" applyFill="1" applyBorder="1"/>
    <xf numFmtId="0" fontId="0" fillId="11" borderId="35" xfId="0" applyFill="1" applyBorder="1"/>
    <xf numFmtId="0" fontId="0" fillId="11" borderId="3" xfId="0" applyFill="1" applyBorder="1"/>
    <xf numFmtId="0" fontId="0" fillId="11" borderId="36" xfId="0" applyFill="1" applyBorder="1"/>
    <xf numFmtId="0" fontId="0" fillId="34" borderId="37" xfId="0" applyFill="1" applyBorder="1"/>
    <xf numFmtId="0" fontId="0" fillId="34" borderId="60" xfId="0" applyFill="1" applyBorder="1"/>
    <xf numFmtId="0" fontId="0" fillId="30" borderId="37" xfId="0" applyFill="1" applyBorder="1"/>
    <xf numFmtId="0" fontId="0" fillId="30" borderId="60" xfId="0" applyFill="1" applyBorder="1"/>
    <xf numFmtId="0" fontId="0" fillId="37" borderId="37" xfId="0" applyFill="1" applyBorder="1"/>
    <xf numFmtId="0" fontId="0" fillId="37" borderId="60" xfId="0" applyFill="1" applyBorder="1"/>
    <xf numFmtId="0" fontId="0" fillId="36" borderId="37" xfId="0" applyFill="1" applyBorder="1"/>
    <xf numFmtId="0" fontId="0" fillId="36" borderId="60" xfId="0" applyFill="1" applyBorder="1"/>
    <xf numFmtId="0" fontId="0" fillId="35" borderId="37" xfId="0" applyFill="1" applyBorder="1"/>
    <xf numFmtId="0" fontId="0" fillId="35" borderId="60" xfId="0" applyFill="1" applyBorder="1"/>
    <xf numFmtId="0" fontId="0" fillId="38" borderId="37" xfId="0" applyFill="1" applyBorder="1"/>
    <xf numFmtId="0" fontId="0" fillId="38" borderId="60" xfId="0" applyFill="1" applyBorder="1"/>
    <xf numFmtId="0" fontId="0" fillId="11" borderId="61" xfId="0" applyFill="1" applyBorder="1"/>
    <xf numFmtId="0" fontId="0" fillId="34" borderId="45" xfId="0" applyFill="1" applyBorder="1"/>
    <xf numFmtId="0" fontId="0" fillId="30" borderId="45" xfId="0" applyFill="1" applyBorder="1"/>
    <xf numFmtId="0" fontId="0" fillId="37" borderId="45" xfId="0" applyFill="1" applyBorder="1"/>
    <xf numFmtId="0" fontId="0" fillId="36" borderId="45" xfId="0" applyFill="1" applyBorder="1"/>
    <xf numFmtId="0" fontId="0" fillId="35" borderId="45" xfId="0" applyFill="1" applyBorder="1"/>
    <xf numFmtId="0" fontId="0" fillId="38" borderId="45" xfId="0" applyFill="1" applyBorder="1"/>
    <xf numFmtId="0" fontId="0" fillId="11" borderId="3" xfId="0" applyFill="1" applyBorder="1" applyAlignment="1">
      <alignment horizontal="right" vertical="center"/>
    </xf>
    <xf numFmtId="0" fontId="0" fillId="39" borderId="37" xfId="0" applyFill="1" applyBorder="1"/>
    <xf numFmtId="0" fontId="0" fillId="39" borderId="60" xfId="0" applyFill="1" applyBorder="1"/>
    <xf numFmtId="0" fontId="0" fillId="39" borderId="45" xfId="0" applyFill="1" applyBorder="1"/>
    <xf numFmtId="0" fontId="0" fillId="42" borderId="62" xfId="0" applyFill="1" applyBorder="1"/>
    <xf numFmtId="0" fontId="0" fillId="42" borderId="11" xfId="0" applyFill="1" applyBorder="1"/>
    <xf numFmtId="0" fontId="0" fillId="42" borderId="12" xfId="0" applyFill="1" applyBorder="1"/>
    <xf numFmtId="0" fontId="0" fillId="42" borderId="63" xfId="0" applyFill="1" applyBorder="1"/>
    <xf numFmtId="0" fontId="0" fillId="0" borderId="0" xfId="0" applyAlignment="1">
      <alignment vertical="center" wrapText="1"/>
    </xf>
    <xf numFmtId="0" fontId="0" fillId="15" borderId="56" xfId="0" applyFill="1" applyBorder="1" applyAlignment="1">
      <alignment horizontal="center" vertical="center"/>
    </xf>
    <xf numFmtId="0" fontId="0" fillId="5" borderId="56" xfId="0" quotePrefix="1" applyFill="1" applyBorder="1" applyAlignment="1">
      <alignment horizontal="center" vertical="center"/>
    </xf>
    <xf numFmtId="0" fontId="0" fillId="0" borderId="72" xfId="0" applyBorder="1" applyAlignment="1">
      <alignment wrapText="1"/>
    </xf>
    <xf numFmtId="0" fontId="6" fillId="0" borderId="0" xfId="0" applyFont="1"/>
    <xf numFmtId="0" fontId="0" fillId="0" borderId="72" xfId="0" applyBorder="1" applyAlignment="1">
      <alignment vertical="top" wrapText="1"/>
    </xf>
    <xf numFmtId="0" fontId="5" fillId="25" borderId="15" xfId="0" applyFont="1" applyFill="1" applyBorder="1" applyAlignment="1">
      <alignment horizontal="center" vertical="center"/>
    </xf>
    <xf numFmtId="0" fontId="5" fillId="25" borderId="10" xfId="0" applyFont="1" applyFill="1" applyBorder="1" applyAlignment="1">
      <alignment horizontal="center" vertical="center"/>
    </xf>
    <xf numFmtId="0" fontId="5" fillId="25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 wrapText="1"/>
    </xf>
    <xf numFmtId="10" fontId="4" fillId="0" borderId="14" xfId="0" applyNumberFormat="1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 textRotation="90"/>
    </xf>
    <xf numFmtId="0" fontId="0" fillId="15" borderId="5" xfId="0" applyFill="1" applyBorder="1" applyAlignment="1">
      <alignment horizontal="center" vertical="center" textRotation="90"/>
    </xf>
    <xf numFmtId="0" fontId="0" fillId="15" borderId="8" xfId="0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/>
    </xf>
    <xf numFmtId="0" fontId="5" fillId="25" borderId="18" xfId="0" applyFont="1" applyFill="1" applyBorder="1" applyAlignment="1">
      <alignment horizontal="center" vertical="center" wrapText="1"/>
    </xf>
    <xf numFmtId="0" fontId="5" fillId="25" borderId="19" xfId="0" applyFont="1" applyFill="1" applyBorder="1" applyAlignment="1">
      <alignment horizontal="center" vertical="center" wrapText="1"/>
    </xf>
    <xf numFmtId="0" fontId="5" fillId="25" borderId="22" xfId="0" applyFont="1" applyFill="1" applyBorder="1" applyAlignment="1">
      <alignment horizontal="center" vertical="center" wrapText="1"/>
    </xf>
    <xf numFmtId="0" fontId="5" fillId="25" borderId="23" xfId="0" applyFont="1" applyFill="1" applyBorder="1" applyAlignment="1">
      <alignment horizontal="center" vertical="center" wrapText="1"/>
    </xf>
    <xf numFmtId="10" fontId="27" fillId="0" borderId="1" xfId="0" applyNumberFormat="1" applyFont="1" applyBorder="1" applyAlignment="1">
      <alignment horizontal="center" vertical="center"/>
    </xf>
    <xf numFmtId="10" fontId="27" fillId="0" borderId="8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165" fontId="16" fillId="26" borderId="49" xfId="4" applyNumberFormat="1" applyAlignment="1">
      <alignment horizontal="center" vertical="center"/>
    </xf>
    <xf numFmtId="0" fontId="26" fillId="0" borderId="18" xfId="0" applyFont="1" applyBorder="1" applyAlignment="1">
      <alignment horizontal="left" vertical="top" wrapText="1"/>
    </xf>
    <xf numFmtId="0" fontId="26" fillId="0" borderId="21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center" wrapText="1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8" borderId="22" xfId="0" applyFill="1" applyBorder="1" applyAlignment="1">
      <alignment horizontal="center" vertical="center" wrapText="1"/>
    </xf>
    <xf numFmtId="0" fontId="0" fillId="8" borderId="24" xfId="0" applyFill="1" applyBorder="1" applyAlignment="1">
      <alignment horizontal="center" vertical="center" wrapText="1"/>
    </xf>
    <xf numFmtId="0" fontId="6" fillId="15" borderId="15" xfId="0" applyFont="1" applyFill="1" applyBorder="1" applyAlignment="1">
      <alignment horizontal="center" vertical="center"/>
    </xf>
    <xf numFmtId="0" fontId="6" fillId="15" borderId="10" xfId="0" applyFont="1" applyFill="1" applyBorder="1" applyAlignment="1">
      <alignment horizontal="center" vertical="center"/>
    </xf>
    <xf numFmtId="0" fontId="6" fillId="15" borderId="14" xfId="0" applyFont="1" applyFill="1" applyBorder="1" applyAlignment="1">
      <alignment horizontal="center" vertical="center"/>
    </xf>
    <xf numFmtId="49" fontId="6" fillId="4" borderId="15" xfId="0" applyNumberFormat="1" applyFont="1" applyFill="1" applyBorder="1" applyAlignment="1">
      <alignment horizontal="center" vertical="center" wrapText="1"/>
    </xf>
    <xf numFmtId="49" fontId="6" fillId="4" borderId="14" xfId="0" applyNumberFormat="1" applyFont="1" applyFill="1" applyBorder="1" applyAlignment="1">
      <alignment horizontal="center" vertical="center" wrapText="1"/>
    </xf>
    <xf numFmtId="0" fontId="7" fillId="5" borderId="22" xfId="1" applyFill="1" applyBorder="1" applyAlignment="1">
      <alignment horizontal="center" vertical="center"/>
    </xf>
    <xf numFmtId="0" fontId="7" fillId="5" borderId="23" xfId="1" applyFill="1" applyBorder="1" applyAlignment="1">
      <alignment horizontal="center" vertical="center"/>
    </xf>
    <xf numFmtId="10" fontId="0" fillId="27" borderId="1" xfId="0" applyNumberFormat="1" applyFill="1" applyBorder="1" applyAlignment="1">
      <alignment horizontal="center" vertical="center" wrapText="1"/>
    </xf>
    <xf numFmtId="10" fontId="0" fillId="27" borderId="5" xfId="0" applyNumberFormat="1" applyFill="1" applyBorder="1" applyAlignment="1">
      <alignment horizontal="center" vertical="center" wrapText="1"/>
    </xf>
    <xf numFmtId="10" fontId="0" fillId="27" borderId="8" xfId="0" applyNumberFormat="1" applyFill="1" applyBorder="1" applyAlignment="1">
      <alignment horizontal="center" vertical="center" wrapText="1"/>
    </xf>
    <xf numFmtId="0" fontId="6" fillId="4" borderId="15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6" fillId="15" borderId="18" xfId="0" applyFont="1" applyFill="1" applyBorder="1" applyAlignment="1">
      <alignment horizontal="center" vertical="center"/>
    </xf>
    <xf numFmtId="0" fontId="6" fillId="15" borderId="19" xfId="0" applyFont="1" applyFill="1" applyBorder="1" applyAlignment="1">
      <alignment horizontal="center" vertical="center"/>
    </xf>
    <xf numFmtId="0" fontId="6" fillId="15" borderId="20" xfId="0" applyFont="1" applyFill="1" applyBorder="1" applyAlignment="1">
      <alignment horizontal="center" vertical="center"/>
    </xf>
    <xf numFmtId="0" fontId="5" fillId="15" borderId="1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14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4" fillId="15" borderId="7" xfId="0" applyFont="1" applyFill="1" applyBorder="1" applyAlignment="1">
      <alignment horizontal="center" vertical="center" wrapText="1"/>
    </xf>
    <xf numFmtId="0" fontId="4" fillId="15" borderId="73" xfId="0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/>
    </xf>
    <xf numFmtId="0" fontId="0" fillId="5" borderId="73" xfId="0" applyFill="1" applyBorder="1" applyAlignment="1">
      <alignment horizontal="center" vertical="center"/>
    </xf>
    <xf numFmtId="0" fontId="3" fillId="10" borderId="18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10" borderId="20" xfId="0" applyFont="1" applyFill="1" applyBorder="1" applyAlignment="1">
      <alignment horizontal="center" vertical="center" wrapText="1"/>
    </xf>
    <xf numFmtId="0" fontId="3" fillId="10" borderId="22" xfId="0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0" fontId="3" fillId="2" borderId="57" xfId="0" applyFont="1" applyFill="1" applyBorder="1" applyAlignment="1">
      <alignment horizontal="center" vertical="center" wrapText="1"/>
    </xf>
    <xf numFmtId="0" fontId="3" fillId="2" borderId="42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56" xfId="0" applyFont="1" applyFill="1" applyBorder="1" applyAlignment="1">
      <alignment horizontal="center" vertical="center" wrapText="1"/>
    </xf>
    <xf numFmtId="0" fontId="3" fillId="2" borderId="55" xfId="0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 vertical="center"/>
    </xf>
    <xf numFmtId="0" fontId="28" fillId="14" borderId="18" xfId="0" applyFont="1" applyFill="1" applyBorder="1" applyAlignment="1">
      <alignment horizontal="center" vertical="center"/>
    </xf>
    <xf numFmtId="0" fontId="28" fillId="14" borderId="19" xfId="0" applyFont="1" applyFill="1" applyBorder="1" applyAlignment="1">
      <alignment horizontal="center" vertical="center"/>
    </xf>
    <xf numFmtId="0" fontId="28" fillId="14" borderId="20" xfId="0" applyFont="1" applyFill="1" applyBorder="1" applyAlignment="1">
      <alignment horizontal="center" vertical="center"/>
    </xf>
    <xf numFmtId="0" fontId="28" fillId="14" borderId="21" xfId="0" applyFont="1" applyFill="1" applyBorder="1" applyAlignment="1">
      <alignment horizontal="center" vertical="center"/>
    </xf>
    <xf numFmtId="0" fontId="28" fillId="14" borderId="0" xfId="0" applyFont="1" applyFill="1" applyAlignment="1">
      <alignment horizontal="center" vertical="center"/>
    </xf>
    <xf numFmtId="0" fontId="28" fillId="14" borderId="29" xfId="0" applyFont="1" applyFill="1" applyBorder="1" applyAlignment="1">
      <alignment horizontal="center" vertical="center"/>
    </xf>
    <xf numFmtId="0" fontId="28" fillId="14" borderId="22" xfId="0" applyFont="1" applyFill="1" applyBorder="1" applyAlignment="1">
      <alignment horizontal="center" vertical="center"/>
    </xf>
    <xf numFmtId="0" fontId="28" fillId="14" borderId="23" xfId="0" applyFont="1" applyFill="1" applyBorder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0" fillId="40" borderId="0" xfId="0" applyFill="1" applyAlignment="1">
      <alignment horizontal="center"/>
    </xf>
    <xf numFmtId="0" fontId="0" fillId="40" borderId="23" xfId="0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164" fontId="22" fillId="30" borderId="1" xfId="0" applyNumberFormat="1" applyFont="1" applyFill="1" applyBorder="1" applyAlignment="1">
      <alignment horizontal="center" vertical="center"/>
    </xf>
    <xf numFmtId="164" fontId="22" fillId="30" borderId="8" xfId="0" applyNumberFormat="1" applyFont="1" applyFill="1" applyBorder="1" applyAlignment="1">
      <alignment horizontal="center" vertical="center"/>
    </xf>
    <xf numFmtId="0" fontId="0" fillId="37" borderId="21" xfId="0" applyFill="1" applyBorder="1" applyAlignment="1">
      <alignment horizontal="center"/>
    </xf>
    <xf numFmtId="0" fontId="0" fillId="37" borderId="64" xfId="0" applyFill="1" applyBorder="1" applyAlignment="1">
      <alignment horizontal="center"/>
    </xf>
    <xf numFmtId="0" fontId="0" fillId="35" borderId="21" xfId="0" applyFill="1" applyBorder="1" applyAlignment="1">
      <alignment horizontal="center"/>
    </xf>
    <xf numFmtId="0" fontId="0" fillId="35" borderId="64" xfId="0" applyFill="1" applyBorder="1" applyAlignment="1">
      <alignment horizontal="center"/>
    </xf>
    <xf numFmtId="0" fontId="0" fillId="36" borderId="21" xfId="0" applyFill="1" applyBorder="1" applyAlignment="1">
      <alignment horizontal="center"/>
    </xf>
    <xf numFmtId="0" fontId="0" fillId="36" borderId="64" xfId="0" applyFill="1" applyBorder="1" applyAlignment="1">
      <alignment horizontal="center"/>
    </xf>
    <xf numFmtId="0" fontId="0" fillId="38" borderId="21" xfId="0" applyFill="1" applyBorder="1" applyAlignment="1">
      <alignment horizontal="center"/>
    </xf>
    <xf numFmtId="0" fontId="0" fillId="38" borderId="64" xfId="0" applyFill="1" applyBorder="1" applyAlignment="1">
      <alignment horizontal="center"/>
    </xf>
    <xf numFmtId="0" fontId="0" fillId="0" borderId="66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0" fontId="0" fillId="42" borderId="21" xfId="0" applyFill="1" applyBorder="1" applyAlignment="1">
      <alignment horizontal="center"/>
    </xf>
    <xf numFmtId="0" fontId="0" fillId="42" borderId="64" xfId="0" applyFill="1" applyBorder="1" applyAlignment="1">
      <alignment horizontal="center"/>
    </xf>
    <xf numFmtId="0" fontId="0" fillId="43" borderId="21" xfId="0" applyFill="1" applyBorder="1" applyAlignment="1">
      <alignment horizontal="center"/>
    </xf>
    <xf numFmtId="0" fontId="0" fillId="43" borderId="64" xfId="0" applyFill="1" applyBorder="1" applyAlignment="1">
      <alignment horizontal="center"/>
    </xf>
    <xf numFmtId="0" fontId="0" fillId="41" borderId="21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39" borderId="69" xfId="0" applyFill="1" applyBorder="1" applyAlignment="1">
      <alignment horizontal="center"/>
    </xf>
    <xf numFmtId="0" fontId="0" fillId="39" borderId="68" xfId="0" applyFill="1" applyBorder="1" applyAlignment="1">
      <alignment horizontal="center"/>
    </xf>
    <xf numFmtId="0" fontId="3" fillId="33" borderId="21" xfId="0" applyFont="1" applyFill="1" applyBorder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0" fontId="3" fillId="32" borderId="8" xfId="0" applyFont="1" applyFill="1" applyBorder="1" applyAlignment="1">
      <alignment horizontal="center" vertical="center"/>
    </xf>
    <xf numFmtId="0" fontId="0" fillId="30" borderId="21" xfId="0" applyFill="1" applyBorder="1" applyAlignment="1">
      <alignment horizontal="center"/>
    </xf>
    <xf numFmtId="0" fontId="0" fillId="30" borderId="64" xfId="0" applyFill="1" applyBorder="1" applyAlignment="1">
      <alignment horizontal="center"/>
    </xf>
    <xf numFmtId="0" fontId="0" fillId="32" borderId="18" xfId="0" applyFill="1" applyBorder="1" applyAlignment="1">
      <alignment horizontal="center" vertical="center"/>
    </xf>
    <xf numFmtId="0" fontId="0" fillId="32" borderId="20" xfId="0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/>
    </xf>
    <xf numFmtId="0" fontId="0" fillId="32" borderId="24" xfId="0" applyFill="1" applyBorder="1" applyAlignment="1">
      <alignment horizontal="center" vertical="center"/>
    </xf>
    <xf numFmtId="0" fontId="3" fillId="32" borderId="50" xfId="0" applyFont="1" applyFill="1" applyBorder="1" applyAlignment="1">
      <alignment horizontal="center" vertical="center"/>
    </xf>
    <xf numFmtId="0" fontId="3" fillId="32" borderId="70" xfId="0" applyFont="1" applyFill="1" applyBorder="1" applyAlignment="1">
      <alignment horizontal="center" vertical="center"/>
    </xf>
    <xf numFmtId="0" fontId="3" fillId="32" borderId="51" xfId="0" applyFont="1" applyFill="1" applyBorder="1" applyAlignment="1">
      <alignment horizontal="center" vertical="center"/>
    </xf>
    <xf numFmtId="0" fontId="3" fillId="32" borderId="71" xfId="0" applyFont="1" applyFill="1" applyBorder="1" applyAlignment="1">
      <alignment horizontal="center" vertical="center"/>
    </xf>
    <xf numFmtId="0" fontId="0" fillId="11" borderId="21" xfId="0" applyFill="1" applyBorder="1" applyAlignment="1">
      <alignment horizontal="center"/>
    </xf>
    <xf numFmtId="0" fontId="0" fillId="11" borderId="64" xfId="0" applyFill="1" applyBorder="1" applyAlignment="1">
      <alignment horizontal="center"/>
    </xf>
    <xf numFmtId="0" fontId="0" fillId="34" borderId="21" xfId="0" applyFill="1" applyBorder="1" applyAlignment="1">
      <alignment horizontal="center"/>
    </xf>
    <xf numFmtId="0" fontId="0" fillId="34" borderId="64" xfId="0" applyFill="1" applyBorder="1" applyAlignment="1">
      <alignment horizontal="center"/>
    </xf>
    <xf numFmtId="0" fontId="0" fillId="25" borderId="0" xfId="0" applyFill="1" applyAlignment="1">
      <alignment horizontal="center" vertical="center" wrapText="1"/>
    </xf>
    <xf numFmtId="0" fontId="3" fillId="31" borderId="1" xfId="0" applyFont="1" applyFill="1" applyBorder="1" applyAlignment="1">
      <alignment horizontal="center" vertical="center"/>
    </xf>
    <xf numFmtId="0" fontId="3" fillId="31" borderId="8" xfId="0" applyFon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0" fillId="31" borderId="18" xfId="0" applyFill="1" applyBorder="1" applyAlignment="1">
      <alignment horizontal="center" vertical="center"/>
    </xf>
    <xf numFmtId="0" fontId="0" fillId="31" borderId="20" xfId="0" applyFill="1" applyBorder="1" applyAlignment="1">
      <alignment horizontal="center" vertical="center"/>
    </xf>
    <xf numFmtId="0" fontId="0" fillId="31" borderId="22" xfId="0" applyFill="1" applyBorder="1" applyAlignment="1">
      <alignment horizontal="center" vertical="center"/>
    </xf>
    <xf numFmtId="0" fontId="0" fillId="31" borderId="24" xfId="0" applyFill="1" applyBorder="1" applyAlignment="1">
      <alignment horizontal="center" vertical="center"/>
    </xf>
    <xf numFmtId="0" fontId="3" fillId="31" borderId="20" xfId="0" applyFont="1" applyFill="1" applyBorder="1" applyAlignment="1">
      <alignment horizontal="center" vertical="center"/>
    </xf>
    <xf numFmtId="0" fontId="3" fillId="31" borderId="24" xfId="0" applyFont="1" applyFill="1" applyBorder="1" applyAlignment="1">
      <alignment horizontal="center" vertical="center"/>
    </xf>
    <xf numFmtId="0" fontId="3" fillId="32" borderId="5" xfId="0" applyFont="1" applyFill="1" applyBorder="1" applyAlignment="1">
      <alignment horizontal="center" vertical="center"/>
    </xf>
    <xf numFmtId="0" fontId="3" fillId="32" borderId="52" xfId="0" applyFont="1" applyFill="1" applyBorder="1" applyAlignment="1">
      <alignment horizontal="center" vertical="center"/>
    </xf>
    <xf numFmtId="0" fontId="3" fillId="32" borderId="5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 wrapText="1"/>
    </xf>
    <xf numFmtId="0" fontId="8" fillId="9" borderId="5" xfId="0" applyFont="1" applyFill="1" applyBorder="1" applyAlignment="1">
      <alignment horizontal="center" vertical="center" wrapText="1"/>
    </xf>
    <xf numFmtId="0" fontId="8" fillId="9" borderId="8" xfId="0" applyFont="1" applyFill="1" applyBorder="1" applyAlignment="1">
      <alignment horizontal="center" vertical="center" wrapText="1"/>
    </xf>
    <xf numFmtId="0" fontId="8" fillId="9" borderId="46" xfId="0" applyFont="1" applyFill="1" applyBorder="1" applyAlignment="1">
      <alignment horizontal="center" vertical="center" wrapText="1"/>
    </xf>
    <xf numFmtId="0" fontId="8" fillId="9" borderId="47" xfId="0" applyFont="1" applyFill="1" applyBorder="1" applyAlignment="1">
      <alignment horizontal="center" vertical="center" wrapText="1"/>
    </xf>
    <xf numFmtId="0" fontId="8" fillId="9" borderId="48" xfId="0" applyFont="1" applyFill="1" applyBorder="1" applyAlignment="1">
      <alignment horizontal="center" vertical="center" wrapText="1"/>
    </xf>
    <xf numFmtId="0" fontId="8" fillId="9" borderId="30" xfId="0" applyFont="1" applyFill="1" applyBorder="1" applyAlignment="1">
      <alignment horizontal="center" vertical="center" wrapText="1"/>
    </xf>
    <xf numFmtId="0" fontId="8" fillId="9" borderId="34" xfId="0" applyFont="1" applyFill="1" applyBorder="1" applyAlignment="1">
      <alignment horizontal="center" vertical="center" wrapText="1"/>
    </xf>
    <xf numFmtId="0" fontId="8" fillId="9" borderId="33" xfId="0" applyFont="1" applyFill="1" applyBorder="1" applyAlignment="1">
      <alignment horizontal="center" vertical="center" wrapText="1"/>
    </xf>
    <xf numFmtId="0" fontId="8" fillId="9" borderId="31" xfId="0" applyFont="1" applyFill="1" applyBorder="1" applyAlignment="1">
      <alignment horizontal="center" vertical="center" wrapText="1"/>
    </xf>
    <xf numFmtId="0" fontId="8" fillId="9" borderId="32" xfId="0" applyFont="1" applyFill="1" applyBorder="1" applyAlignment="1">
      <alignment horizontal="center" vertical="center" wrapText="1"/>
    </xf>
    <xf numFmtId="0" fontId="0" fillId="15" borderId="7" xfId="0" applyFill="1" applyBorder="1" applyAlignment="1">
      <alignment horizontal="center" wrapText="1"/>
    </xf>
    <xf numFmtId="0" fontId="0" fillId="23" borderId="7" xfId="0" applyFill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5" borderId="41" xfId="0" applyFill="1" applyBorder="1" applyAlignment="1">
      <alignment horizontal="center" wrapText="1"/>
    </xf>
    <xf numFmtId="0" fontId="0" fillId="5" borderId="45" xfId="0" applyFill="1" applyBorder="1" applyAlignment="1">
      <alignment horizontal="center" wrapText="1"/>
    </xf>
    <xf numFmtId="0" fontId="0" fillId="15" borderId="41" xfId="0" applyFill="1" applyBorder="1" applyAlignment="1">
      <alignment horizontal="center" wrapText="1"/>
    </xf>
    <xf numFmtId="0" fontId="0" fillId="15" borderId="45" xfId="0" applyFill="1" applyBorder="1" applyAlignment="1">
      <alignment horizontal="center" wrapText="1"/>
    </xf>
    <xf numFmtId="0" fontId="0" fillId="23" borderId="41" xfId="0" applyFill="1" applyBorder="1" applyAlignment="1">
      <alignment horizontal="center" wrapText="1"/>
    </xf>
    <xf numFmtId="0" fontId="0" fillId="23" borderId="45" xfId="0" applyFill="1" applyBorder="1" applyAlignment="1">
      <alignment horizontal="center" wrapText="1"/>
    </xf>
    <xf numFmtId="0" fontId="0" fillId="24" borderId="41" xfId="0" applyFill="1" applyBorder="1" applyAlignment="1">
      <alignment horizontal="center" wrapText="1"/>
    </xf>
    <xf numFmtId="0" fontId="0" fillId="24" borderId="45" xfId="0" applyFill="1" applyBorder="1" applyAlignment="1">
      <alignment horizontal="center" wrapText="1"/>
    </xf>
    <xf numFmtId="0" fontId="0" fillId="25" borderId="41" xfId="0" applyFill="1" applyBorder="1" applyAlignment="1">
      <alignment horizontal="center" wrapText="1"/>
    </xf>
    <xf numFmtId="0" fontId="0" fillId="25" borderId="45" xfId="0" applyFill="1" applyBorder="1" applyAlignment="1">
      <alignment horizontal="center" wrapText="1"/>
    </xf>
    <xf numFmtId="0" fontId="0" fillId="25" borderId="44" xfId="0" applyFill="1" applyBorder="1" applyAlignment="1">
      <alignment horizontal="center" wrapText="1"/>
    </xf>
    <xf numFmtId="0" fontId="0" fillId="23" borderId="44" xfId="0" applyFill="1" applyBorder="1" applyAlignment="1">
      <alignment horizontal="center" wrapText="1"/>
    </xf>
    <xf numFmtId="0" fontId="0" fillId="15" borderId="44" xfId="0" applyFill="1" applyBorder="1" applyAlignment="1">
      <alignment horizontal="center" wrapText="1"/>
    </xf>
    <xf numFmtId="0" fontId="0" fillId="5" borderId="44" xfId="0" applyFill="1" applyBorder="1" applyAlignment="1">
      <alignment horizontal="center" wrapText="1"/>
    </xf>
    <xf numFmtId="0" fontId="0" fillId="28" borderId="41" xfId="0" applyFill="1" applyBorder="1" applyAlignment="1">
      <alignment horizontal="center" wrapText="1"/>
    </xf>
    <xf numFmtId="0" fontId="0" fillId="28" borderId="45" xfId="0" applyFill="1" applyBorder="1" applyAlignment="1">
      <alignment horizontal="center"/>
    </xf>
    <xf numFmtId="0" fontId="0" fillId="25" borderId="7" xfId="0" applyFill="1" applyBorder="1" applyAlignment="1">
      <alignment horizontal="center" wrapText="1"/>
    </xf>
    <xf numFmtId="0" fontId="0" fillId="24" borderId="7" xfId="0" applyFill="1" applyBorder="1" applyAlignment="1">
      <alignment horizontal="center" wrapText="1"/>
    </xf>
    <xf numFmtId="0" fontId="0" fillId="5" borderId="7" xfId="0" applyFill="1" applyBorder="1" applyAlignment="1">
      <alignment horizontal="center" wrapText="1"/>
    </xf>
  </cellXfs>
  <cellStyles count="5">
    <cellStyle name="Вывод" xfId="4" builtinId="21"/>
    <cellStyle name="Обычный" xfId="0" builtinId="0"/>
    <cellStyle name="Обычный 2" xfId="1" xr:uid="{00000000-0005-0000-0000-000002000000}"/>
    <cellStyle name="Обычный 2 2" xfId="2" xr:uid="{00000000-0005-0000-0000-000003000000}"/>
    <cellStyle name="Процентный" xfId="3" builtinId="5"/>
  </cellStyles>
  <dxfs count="150">
    <dxf>
      <fill>
        <patternFill>
          <bgColor rgb="FFFF66FF"/>
        </patternFill>
      </fill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717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7171"/>
        </patternFill>
      </fill>
    </dxf>
    <dxf>
      <fill>
        <patternFill>
          <bgColor rgb="FFFF717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emf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142876</xdr:colOff>
      <xdr:row>4</xdr:row>
      <xdr:rowOff>28575</xdr:rowOff>
    </xdr:from>
    <xdr:to>
      <xdr:col>3</xdr:col>
      <xdr:colOff>466725</xdr:colOff>
      <xdr:row>4</xdr:row>
      <xdr:rowOff>427530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6" y="1743075"/>
          <a:ext cx="2295524" cy="39895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7</xdr:row>
      <xdr:rowOff>47626</xdr:rowOff>
    </xdr:from>
    <xdr:to>
      <xdr:col>2</xdr:col>
      <xdr:colOff>247272</xdr:colOff>
      <xdr:row>7</xdr:row>
      <xdr:rowOff>409576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076576"/>
          <a:ext cx="1418847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9</xdr:row>
      <xdr:rowOff>19051</xdr:rowOff>
    </xdr:from>
    <xdr:to>
      <xdr:col>3</xdr:col>
      <xdr:colOff>685800</xdr:colOff>
      <xdr:row>9</xdr:row>
      <xdr:rowOff>412260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3924301"/>
          <a:ext cx="2619375" cy="39320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28575</xdr:rowOff>
    </xdr:from>
    <xdr:to>
      <xdr:col>4</xdr:col>
      <xdr:colOff>466725</xdr:colOff>
      <xdr:row>10</xdr:row>
      <xdr:rowOff>398693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575" y="4371975"/>
          <a:ext cx="3209925" cy="37011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47626</xdr:rowOff>
    </xdr:from>
    <xdr:to>
      <xdr:col>1</xdr:col>
      <xdr:colOff>581025</xdr:colOff>
      <xdr:row>8</xdr:row>
      <xdr:rowOff>419741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575" y="3514726"/>
          <a:ext cx="1152525" cy="37211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11</xdr:row>
      <xdr:rowOff>19051</xdr:rowOff>
    </xdr:from>
    <xdr:to>
      <xdr:col>2</xdr:col>
      <xdr:colOff>114300</xdr:colOff>
      <xdr:row>11</xdr:row>
      <xdr:rowOff>416591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150" y="4800601"/>
          <a:ext cx="1266825" cy="39754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12</xdr:row>
      <xdr:rowOff>47626</xdr:rowOff>
    </xdr:from>
    <xdr:to>
      <xdr:col>2</xdr:col>
      <xdr:colOff>85725</xdr:colOff>
      <xdr:row>12</xdr:row>
      <xdr:rowOff>373986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150" y="5267326"/>
          <a:ext cx="1238250" cy="326360"/>
        </a:xfrm>
        <a:prstGeom prst="rect">
          <a:avLst/>
        </a:prstGeom>
      </xdr:spPr>
    </xdr:pic>
    <xdr:clientData/>
  </xdr:twoCellAnchor>
  <xdr:twoCellAnchor editAs="oneCell">
    <xdr:from>
      <xdr:col>9</xdr:col>
      <xdr:colOff>797379</xdr:colOff>
      <xdr:row>9</xdr:row>
      <xdr:rowOff>148317</xdr:rowOff>
    </xdr:from>
    <xdr:to>
      <xdr:col>12</xdr:col>
      <xdr:colOff>705503</xdr:colOff>
      <xdr:row>16</xdr:row>
      <xdr:rowOff>250132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69779" y="4053567"/>
          <a:ext cx="2451299" cy="2786744"/>
        </a:xfrm>
        <a:prstGeom prst="rect">
          <a:avLst/>
        </a:prstGeom>
      </xdr:spPr>
    </xdr:pic>
    <xdr:clientData/>
  </xdr:twoCellAnchor>
  <xdr:twoCellAnchor editAs="oneCell">
    <xdr:from>
      <xdr:col>14</xdr:col>
      <xdr:colOff>557895</xdr:colOff>
      <xdr:row>9</xdr:row>
      <xdr:rowOff>166007</xdr:rowOff>
    </xdr:from>
    <xdr:to>
      <xdr:col>16</xdr:col>
      <xdr:colOff>422273</xdr:colOff>
      <xdr:row>16</xdr:row>
      <xdr:rowOff>124946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568920" y="4071257"/>
          <a:ext cx="1559828" cy="26438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142876</xdr:rowOff>
    </xdr:from>
    <xdr:to>
      <xdr:col>5</xdr:col>
      <xdr:colOff>1530328</xdr:colOff>
      <xdr:row>17</xdr:row>
      <xdr:rowOff>276225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6677026"/>
          <a:ext cx="5616553" cy="100964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6</xdr:row>
      <xdr:rowOff>38100</xdr:rowOff>
    </xdr:from>
    <xdr:to>
      <xdr:col>1</xdr:col>
      <xdr:colOff>446068</xdr:colOff>
      <xdr:row>6</xdr:row>
      <xdr:rowOff>390526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00" y="2628900"/>
          <a:ext cx="1008043" cy="352426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5</xdr:row>
      <xdr:rowOff>76202</xdr:rowOff>
    </xdr:from>
    <xdr:to>
      <xdr:col>1</xdr:col>
      <xdr:colOff>323851</xdr:colOff>
      <xdr:row>5</xdr:row>
      <xdr:rowOff>371900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5726" y="2667002"/>
          <a:ext cx="838200" cy="295698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0</xdr:row>
      <xdr:rowOff>76200</xdr:rowOff>
    </xdr:from>
    <xdr:to>
      <xdr:col>22</xdr:col>
      <xdr:colOff>552947</xdr:colOff>
      <xdr:row>3</xdr:row>
      <xdr:rowOff>181202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144750" y="76200"/>
          <a:ext cx="3562847" cy="1629002"/>
        </a:xfrm>
        <a:prstGeom prst="rect">
          <a:avLst/>
        </a:prstGeom>
      </xdr:spPr>
    </xdr:pic>
    <xdr:clientData/>
  </xdr:twoCellAnchor>
  <xdr:twoCellAnchor>
    <xdr:from>
      <xdr:col>8</xdr:col>
      <xdr:colOff>164123</xdr:colOff>
      <xdr:row>99</xdr:row>
      <xdr:rowOff>25085</xdr:rowOff>
    </xdr:from>
    <xdr:to>
      <xdr:col>8</xdr:col>
      <xdr:colOff>1097573</xdr:colOff>
      <xdr:row>99</xdr:row>
      <xdr:rowOff>936311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923335" y="28219085"/>
          <a:ext cx="933450" cy="911226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190501</xdr:colOff>
      <xdr:row>100</xdr:row>
      <xdr:rowOff>57150</xdr:rowOff>
    </xdr:from>
    <xdr:to>
      <xdr:col>8</xdr:col>
      <xdr:colOff>1047751</xdr:colOff>
      <xdr:row>100</xdr:row>
      <xdr:rowOff>827955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955883" y="28897847"/>
          <a:ext cx="857250" cy="770805"/>
        </a:xfrm>
        <a:prstGeom prst="rect">
          <a:avLst/>
        </a:prstGeom>
      </xdr:spPr>
    </xdr:pic>
    <xdr:clientData/>
  </xdr:twoCellAnchor>
  <xdr:twoCellAnchor editAs="oneCell">
    <xdr:from>
      <xdr:col>8</xdr:col>
      <xdr:colOff>266701</xdr:colOff>
      <xdr:row>101</xdr:row>
      <xdr:rowOff>19050</xdr:rowOff>
    </xdr:from>
    <xdr:to>
      <xdr:col>8</xdr:col>
      <xdr:colOff>971551</xdr:colOff>
      <xdr:row>101</xdr:row>
      <xdr:rowOff>856436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933951" y="1790700"/>
          <a:ext cx="704850" cy="837386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257175</xdr:colOff>
      <xdr:row>102</xdr:row>
      <xdr:rowOff>38100</xdr:rowOff>
    </xdr:from>
    <xdr:to>
      <xdr:col>8</xdr:col>
      <xdr:colOff>962025</xdr:colOff>
      <xdr:row>102</xdr:row>
      <xdr:rowOff>875486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924425" y="2695575"/>
          <a:ext cx="704850" cy="837386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238125</xdr:colOff>
      <xdr:row>103</xdr:row>
      <xdr:rowOff>21620</xdr:rowOff>
    </xdr:from>
    <xdr:to>
      <xdr:col>8</xdr:col>
      <xdr:colOff>1000125</xdr:colOff>
      <xdr:row>103</xdr:row>
      <xdr:rowOff>886429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905375" y="3564920"/>
          <a:ext cx="762000" cy="864809"/>
        </a:xfrm>
        <a:prstGeom prst="rect">
          <a:avLst/>
        </a:prstGeom>
      </xdr:spPr>
    </xdr:pic>
    <xdr:clientData/>
  </xdr:twoCellAnchor>
  <xdr:twoCellAnchor editAs="oneCell">
    <xdr:from>
      <xdr:col>8</xdr:col>
      <xdr:colOff>266700</xdr:colOff>
      <xdr:row>104</xdr:row>
      <xdr:rowOff>57150</xdr:rowOff>
    </xdr:from>
    <xdr:to>
      <xdr:col>8</xdr:col>
      <xdr:colOff>969951</xdr:colOff>
      <xdr:row>104</xdr:row>
      <xdr:rowOff>855284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933950" y="4486275"/>
          <a:ext cx="703251" cy="798134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257174</xdr:colOff>
      <xdr:row>105</xdr:row>
      <xdr:rowOff>76200</xdr:rowOff>
    </xdr:from>
    <xdr:to>
      <xdr:col>8</xdr:col>
      <xdr:colOff>990599</xdr:colOff>
      <xdr:row>105</xdr:row>
      <xdr:rowOff>841513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924424" y="5391150"/>
          <a:ext cx="733425" cy="765313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106</xdr:row>
      <xdr:rowOff>76200</xdr:rowOff>
    </xdr:from>
    <xdr:to>
      <xdr:col>8</xdr:col>
      <xdr:colOff>1064998</xdr:colOff>
      <xdr:row>106</xdr:row>
      <xdr:rowOff>790575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4914900" y="6276975"/>
          <a:ext cx="817348" cy="714375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107</xdr:row>
      <xdr:rowOff>57150</xdr:rowOff>
    </xdr:from>
    <xdr:to>
      <xdr:col>8</xdr:col>
      <xdr:colOff>1114425</xdr:colOff>
      <xdr:row>107</xdr:row>
      <xdr:rowOff>849437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914900" y="7143750"/>
          <a:ext cx="866775" cy="792287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209551</xdr:colOff>
      <xdr:row>123</xdr:row>
      <xdr:rowOff>55886</xdr:rowOff>
    </xdr:from>
    <xdr:to>
      <xdr:col>8</xdr:col>
      <xdr:colOff>1057275</xdr:colOff>
      <xdr:row>123</xdr:row>
      <xdr:rowOff>798583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876801" y="21315686"/>
          <a:ext cx="847724" cy="742697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124</xdr:row>
      <xdr:rowOff>9525</xdr:rowOff>
    </xdr:from>
    <xdr:to>
      <xdr:col>8</xdr:col>
      <xdr:colOff>1066800</xdr:colOff>
      <xdr:row>124</xdr:row>
      <xdr:rowOff>847725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895850" y="22155150"/>
          <a:ext cx="8382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108</xdr:row>
      <xdr:rowOff>66675</xdr:rowOff>
    </xdr:from>
    <xdr:to>
      <xdr:col>8</xdr:col>
      <xdr:colOff>962025</xdr:colOff>
      <xdr:row>108</xdr:row>
      <xdr:rowOff>787156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914900" y="8039100"/>
          <a:ext cx="714375" cy="720481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257175</xdr:colOff>
      <xdr:row>109</xdr:row>
      <xdr:rowOff>38100</xdr:rowOff>
    </xdr:from>
    <xdr:to>
      <xdr:col>8</xdr:col>
      <xdr:colOff>1057275</xdr:colOff>
      <xdr:row>109</xdr:row>
      <xdr:rowOff>810126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924425" y="8896350"/>
          <a:ext cx="800100" cy="772026"/>
        </a:xfrm>
        <a:prstGeom prst="rect">
          <a:avLst/>
        </a:prstGeom>
      </xdr:spPr>
    </xdr:pic>
    <xdr:clientData/>
  </xdr:twoCellAnchor>
  <xdr:twoCellAnchor editAs="oneCell">
    <xdr:from>
      <xdr:col>8</xdr:col>
      <xdr:colOff>238124</xdr:colOff>
      <xdr:row>110</xdr:row>
      <xdr:rowOff>28575</xdr:rowOff>
    </xdr:from>
    <xdr:to>
      <xdr:col>8</xdr:col>
      <xdr:colOff>1085849</xdr:colOff>
      <xdr:row>110</xdr:row>
      <xdr:rowOff>831683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905374" y="9772650"/>
          <a:ext cx="847725" cy="803108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111</xdr:row>
      <xdr:rowOff>19051</xdr:rowOff>
    </xdr:from>
    <xdr:to>
      <xdr:col>8</xdr:col>
      <xdr:colOff>1074050</xdr:colOff>
      <xdr:row>111</xdr:row>
      <xdr:rowOff>838201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914900" y="10648951"/>
          <a:ext cx="826400" cy="81915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112</xdr:row>
      <xdr:rowOff>57150</xdr:rowOff>
    </xdr:from>
    <xdr:to>
      <xdr:col>8</xdr:col>
      <xdr:colOff>982913</xdr:colOff>
      <xdr:row>112</xdr:row>
      <xdr:rowOff>819150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914900" y="11572875"/>
          <a:ext cx="735263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266700</xdr:colOff>
      <xdr:row>113</xdr:row>
      <xdr:rowOff>85725</xdr:rowOff>
    </xdr:from>
    <xdr:to>
      <xdr:col>8</xdr:col>
      <xdr:colOff>968318</xdr:colOff>
      <xdr:row>113</xdr:row>
      <xdr:rowOff>800100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933950" y="12487275"/>
          <a:ext cx="701618" cy="714375"/>
        </a:xfrm>
        <a:prstGeom prst="rect">
          <a:avLst/>
        </a:prstGeom>
      </xdr:spPr>
    </xdr:pic>
    <xdr:clientData/>
  </xdr:twoCellAnchor>
  <xdr:twoCellAnchor editAs="oneCell">
    <xdr:from>
      <xdr:col>8</xdr:col>
      <xdr:colOff>276226</xdr:colOff>
      <xdr:row>114</xdr:row>
      <xdr:rowOff>85726</xdr:rowOff>
    </xdr:from>
    <xdr:to>
      <xdr:col>8</xdr:col>
      <xdr:colOff>1038226</xdr:colOff>
      <xdr:row>114</xdr:row>
      <xdr:rowOff>821674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4943476" y="13373101"/>
          <a:ext cx="762000" cy="735948"/>
        </a:xfrm>
        <a:prstGeom prst="rect">
          <a:avLst/>
        </a:prstGeom>
      </xdr:spPr>
    </xdr:pic>
    <xdr:clientData/>
  </xdr:twoCellAnchor>
  <xdr:twoCellAnchor editAs="oneCell">
    <xdr:from>
      <xdr:col>8</xdr:col>
      <xdr:colOff>266700</xdr:colOff>
      <xdr:row>115</xdr:row>
      <xdr:rowOff>76201</xdr:rowOff>
    </xdr:from>
    <xdr:to>
      <xdr:col>8</xdr:col>
      <xdr:colOff>1019175</xdr:colOff>
      <xdr:row>115</xdr:row>
      <xdr:rowOff>790087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4933950" y="14249401"/>
          <a:ext cx="752475" cy="713886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257176</xdr:colOff>
      <xdr:row>125</xdr:row>
      <xdr:rowOff>66675</xdr:rowOff>
    </xdr:from>
    <xdr:to>
      <xdr:col>8</xdr:col>
      <xdr:colOff>1021160</xdr:colOff>
      <xdr:row>125</xdr:row>
      <xdr:rowOff>800100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24426" y="23098125"/>
          <a:ext cx="763984" cy="733425"/>
        </a:xfrm>
        <a:prstGeom prst="rect">
          <a:avLst/>
        </a:prstGeom>
      </xdr:spPr>
    </xdr:pic>
    <xdr:clientData/>
  </xdr:twoCellAnchor>
  <xdr:twoCellAnchor editAs="oneCell">
    <xdr:from>
      <xdr:col>8</xdr:col>
      <xdr:colOff>257176</xdr:colOff>
      <xdr:row>126</xdr:row>
      <xdr:rowOff>66674</xdr:rowOff>
    </xdr:from>
    <xdr:to>
      <xdr:col>8</xdr:col>
      <xdr:colOff>971550</xdr:colOff>
      <xdr:row>126</xdr:row>
      <xdr:rowOff>856815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4924426" y="23983949"/>
          <a:ext cx="714374" cy="790141"/>
        </a:xfrm>
        <a:prstGeom prst="rect">
          <a:avLst/>
        </a:prstGeom>
      </xdr:spPr>
    </xdr:pic>
    <xdr:clientData/>
  </xdr:twoCellAnchor>
  <xdr:twoCellAnchor editAs="oneCell">
    <xdr:from>
      <xdr:col>8</xdr:col>
      <xdr:colOff>76200</xdr:colOff>
      <xdr:row>116</xdr:row>
      <xdr:rowOff>104775</xdr:rowOff>
    </xdr:from>
    <xdr:to>
      <xdr:col>8</xdr:col>
      <xdr:colOff>1175507</xdr:colOff>
      <xdr:row>116</xdr:row>
      <xdr:rowOff>809625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4743450" y="15163800"/>
          <a:ext cx="1099307" cy="704850"/>
        </a:xfrm>
        <a:prstGeom prst="rect">
          <a:avLst/>
        </a:prstGeom>
      </xdr:spPr>
    </xdr:pic>
    <xdr:clientData/>
  </xdr:twoCellAnchor>
  <xdr:twoCellAnchor editAs="oneCell">
    <xdr:from>
      <xdr:col>8</xdr:col>
      <xdr:colOff>76201</xdr:colOff>
      <xdr:row>117</xdr:row>
      <xdr:rowOff>76200</xdr:rowOff>
    </xdr:from>
    <xdr:to>
      <xdr:col>8</xdr:col>
      <xdr:colOff>1201641</xdr:colOff>
      <xdr:row>117</xdr:row>
      <xdr:rowOff>828675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4743451" y="16021050"/>
          <a:ext cx="1125440" cy="752475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118</xdr:row>
      <xdr:rowOff>95251</xdr:rowOff>
    </xdr:from>
    <xdr:to>
      <xdr:col>8</xdr:col>
      <xdr:colOff>1141455</xdr:colOff>
      <xdr:row>118</xdr:row>
      <xdr:rowOff>762001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4781550" y="16925926"/>
          <a:ext cx="1027155" cy="666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119</xdr:row>
      <xdr:rowOff>85725</xdr:rowOff>
    </xdr:from>
    <xdr:to>
      <xdr:col>8</xdr:col>
      <xdr:colOff>1146146</xdr:colOff>
      <xdr:row>119</xdr:row>
      <xdr:rowOff>771525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4781550" y="17802225"/>
          <a:ext cx="1031846" cy="6858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390525</xdr:colOff>
      <xdr:row>120</xdr:row>
      <xdr:rowOff>76200</xdr:rowOff>
    </xdr:from>
    <xdr:to>
      <xdr:col>8</xdr:col>
      <xdr:colOff>857250</xdr:colOff>
      <xdr:row>120</xdr:row>
      <xdr:rowOff>842691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5057775" y="18678525"/>
          <a:ext cx="466725" cy="76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104775</xdr:colOff>
      <xdr:row>127</xdr:row>
      <xdr:rowOff>76200</xdr:rowOff>
    </xdr:from>
    <xdr:to>
      <xdr:col>8</xdr:col>
      <xdr:colOff>1193633</xdr:colOff>
      <xdr:row>127</xdr:row>
      <xdr:rowOff>762000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4772025" y="24879300"/>
          <a:ext cx="1088858" cy="685800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381000</xdr:colOff>
      <xdr:row>128</xdr:row>
      <xdr:rowOff>57150</xdr:rowOff>
    </xdr:from>
    <xdr:to>
      <xdr:col>8</xdr:col>
      <xdr:colOff>847725</xdr:colOff>
      <xdr:row>128</xdr:row>
      <xdr:rowOff>823641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5048250" y="25746075"/>
          <a:ext cx="466725" cy="76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121</xdr:row>
      <xdr:rowOff>57150</xdr:rowOff>
    </xdr:from>
    <xdr:to>
      <xdr:col>8</xdr:col>
      <xdr:colOff>1071097</xdr:colOff>
      <xdr:row>121</xdr:row>
      <xdr:rowOff>819150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4781550" y="19545300"/>
          <a:ext cx="956797" cy="76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133351</xdr:colOff>
      <xdr:row>122</xdr:row>
      <xdr:rowOff>76200</xdr:rowOff>
    </xdr:from>
    <xdr:to>
      <xdr:col>8</xdr:col>
      <xdr:colOff>1140373</xdr:colOff>
      <xdr:row>122</xdr:row>
      <xdr:rowOff>771525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4800601" y="20450175"/>
          <a:ext cx="1007022" cy="695325"/>
        </a:xfrm>
        <a:prstGeom prst="rect">
          <a:avLst/>
        </a:prstGeom>
      </xdr:spPr>
    </xdr:pic>
    <xdr:clientData/>
  </xdr:twoCellAnchor>
  <xdr:twoCellAnchor editAs="oneCell">
    <xdr:from>
      <xdr:col>8</xdr:col>
      <xdr:colOff>276225</xdr:colOff>
      <xdr:row>129</xdr:row>
      <xdr:rowOff>57149</xdr:rowOff>
    </xdr:from>
    <xdr:to>
      <xdr:col>8</xdr:col>
      <xdr:colOff>888534</xdr:colOff>
      <xdr:row>129</xdr:row>
      <xdr:rowOff>847724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4943475" y="26631899"/>
          <a:ext cx="612309" cy="790575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130</xdr:row>
      <xdr:rowOff>19050</xdr:rowOff>
    </xdr:from>
    <xdr:to>
      <xdr:col>8</xdr:col>
      <xdr:colOff>866775</xdr:colOff>
      <xdr:row>130</xdr:row>
      <xdr:rowOff>859154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019675" y="27479625"/>
          <a:ext cx="514350" cy="840104"/>
        </a:xfrm>
        <a:prstGeom prst="rect">
          <a:avLst/>
        </a:prstGeom>
      </xdr:spPr>
    </xdr:pic>
    <xdr:clientData/>
  </xdr:twoCellAnchor>
  <xdr:twoCellAnchor editAs="oneCell">
    <xdr:from>
      <xdr:col>8</xdr:col>
      <xdr:colOff>361950</xdr:colOff>
      <xdr:row>131</xdr:row>
      <xdr:rowOff>57150</xdr:rowOff>
    </xdr:from>
    <xdr:to>
      <xdr:col>8</xdr:col>
      <xdr:colOff>828582</xdr:colOff>
      <xdr:row>131</xdr:row>
      <xdr:rowOff>847725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029200" y="28403550"/>
          <a:ext cx="466632" cy="790575"/>
        </a:xfrm>
        <a:prstGeom prst="rect">
          <a:avLst/>
        </a:prstGeom>
      </xdr:spPr>
    </xdr:pic>
    <xdr:clientData/>
  </xdr:twoCellAnchor>
  <xdr:twoCellAnchor editAs="oneCell">
    <xdr:from>
      <xdr:col>8</xdr:col>
      <xdr:colOff>361950</xdr:colOff>
      <xdr:row>132</xdr:row>
      <xdr:rowOff>31145</xdr:rowOff>
    </xdr:from>
    <xdr:to>
      <xdr:col>8</xdr:col>
      <xdr:colOff>857250</xdr:colOff>
      <xdr:row>132</xdr:row>
      <xdr:rowOff>864507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029200" y="29263370"/>
          <a:ext cx="495300" cy="833362"/>
        </a:xfrm>
        <a:prstGeom prst="rect">
          <a:avLst/>
        </a:prstGeom>
      </xdr:spPr>
    </xdr:pic>
    <xdr:clientData/>
  </xdr:twoCellAnchor>
  <xdr:twoCellAnchor editAs="oneCell">
    <xdr:from>
      <xdr:col>8</xdr:col>
      <xdr:colOff>266700</xdr:colOff>
      <xdr:row>133</xdr:row>
      <xdr:rowOff>57150</xdr:rowOff>
    </xdr:from>
    <xdr:to>
      <xdr:col>8</xdr:col>
      <xdr:colOff>990599</xdr:colOff>
      <xdr:row>133</xdr:row>
      <xdr:rowOff>879763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933950" y="30175200"/>
          <a:ext cx="723899" cy="822613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390525</xdr:colOff>
      <xdr:row>134</xdr:row>
      <xdr:rowOff>38100</xdr:rowOff>
    </xdr:from>
    <xdr:to>
      <xdr:col>8</xdr:col>
      <xdr:colOff>885825</xdr:colOff>
      <xdr:row>134</xdr:row>
      <xdr:rowOff>859366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057775" y="31041975"/>
          <a:ext cx="495300" cy="821266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190500</xdr:colOff>
      <xdr:row>135</xdr:row>
      <xdr:rowOff>28575</xdr:rowOff>
    </xdr:from>
    <xdr:to>
      <xdr:col>8</xdr:col>
      <xdr:colOff>1076325</xdr:colOff>
      <xdr:row>135</xdr:row>
      <xdr:rowOff>815188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4857750" y="31918275"/>
          <a:ext cx="885825" cy="786613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136</xdr:row>
      <xdr:rowOff>19050</xdr:rowOff>
    </xdr:from>
    <xdr:to>
      <xdr:col>8</xdr:col>
      <xdr:colOff>962025</xdr:colOff>
      <xdr:row>136</xdr:row>
      <xdr:rowOff>841526</xdr:rowOff>
    </xdr:to>
    <xdr:pic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981575" y="32794575"/>
          <a:ext cx="647700" cy="822476"/>
        </a:xfrm>
        <a:prstGeom prst="rect">
          <a:avLst/>
        </a:prstGeom>
      </xdr:spPr>
    </xdr:pic>
    <xdr:clientData/>
  </xdr:twoCellAnchor>
  <xdr:twoCellAnchor editAs="oneCell">
    <xdr:from>
      <xdr:col>8</xdr:col>
      <xdr:colOff>323850</xdr:colOff>
      <xdr:row>137</xdr:row>
      <xdr:rowOff>47625</xdr:rowOff>
    </xdr:from>
    <xdr:to>
      <xdr:col>8</xdr:col>
      <xdr:colOff>962025</xdr:colOff>
      <xdr:row>137</xdr:row>
      <xdr:rowOff>850329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4991100" y="33708975"/>
          <a:ext cx="638175" cy="802704"/>
        </a:xfrm>
        <a:prstGeom prst="rect">
          <a:avLst/>
        </a:prstGeom>
      </xdr:spPr>
    </xdr:pic>
    <xdr:clientData/>
  </xdr:twoCellAnchor>
  <xdr:twoCellAnchor editAs="oneCell">
    <xdr:from>
      <xdr:col>8</xdr:col>
      <xdr:colOff>323850</xdr:colOff>
      <xdr:row>138</xdr:row>
      <xdr:rowOff>47625</xdr:rowOff>
    </xdr:from>
    <xdr:to>
      <xdr:col>8</xdr:col>
      <xdr:colOff>952382</xdr:colOff>
      <xdr:row>138</xdr:row>
      <xdr:rowOff>838200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991100" y="34594800"/>
          <a:ext cx="628532" cy="790575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139</xdr:row>
      <xdr:rowOff>95251</xdr:rowOff>
    </xdr:from>
    <xdr:to>
      <xdr:col>8</xdr:col>
      <xdr:colOff>1049729</xdr:colOff>
      <xdr:row>139</xdr:row>
      <xdr:rowOff>838201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7915275" y="66084451"/>
          <a:ext cx="897329" cy="742950"/>
        </a:xfrm>
        <a:prstGeom prst="rect">
          <a:avLst/>
        </a:prstGeom>
      </xdr:spPr>
    </xdr:pic>
    <xdr:clientData/>
  </xdr:twoCellAnchor>
  <xdr:twoCellAnchor editAs="oneCell">
    <xdr:from>
      <xdr:col>8</xdr:col>
      <xdr:colOff>133350</xdr:colOff>
      <xdr:row>140</xdr:row>
      <xdr:rowOff>47625</xdr:rowOff>
    </xdr:from>
    <xdr:to>
      <xdr:col>8</xdr:col>
      <xdr:colOff>1030679</xdr:colOff>
      <xdr:row>140</xdr:row>
      <xdr:rowOff>790575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7896225" y="66989325"/>
          <a:ext cx="897329" cy="742950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200025</xdr:colOff>
      <xdr:row>141</xdr:row>
      <xdr:rowOff>47625</xdr:rowOff>
    </xdr:from>
    <xdr:to>
      <xdr:col>8</xdr:col>
      <xdr:colOff>990600</xdr:colOff>
      <xdr:row>141</xdr:row>
      <xdr:rowOff>936488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7962900" y="67941825"/>
          <a:ext cx="790575" cy="888863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9</xdr:col>
      <xdr:colOff>9525</xdr:colOff>
      <xdr:row>3</xdr:row>
      <xdr:rowOff>9525</xdr:rowOff>
    </xdr:to>
    <xdr:pic>
      <xdr:nvPicPr>
        <xdr:cNvPr id="3098" name="Picture 26">
          <a:extLs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96225" y="571500"/>
          <a:ext cx="1257300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6</xdr:row>
          <xdr:rowOff>171450</xdr:rowOff>
        </xdr:from>
        <xdr:to>
          <xdr:col>20</xdr:col>
          <xdr:colOff>962025</xdr:colOff>
          <xdr:row>15</xdr:row>
          <xdr:rowOff>104775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Выполнить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6</xdr:row>
          <xdr:rowOff>180975</xdr:rowOff>
        </xdr:from>
        <xdr:to>
          <xdr:col>14</xdr:col>
          <xdr:colOff>76200</xdr:colOff>
          <xdr:row>10</xdr:row>
          <xdr:rowOff>142875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Вставить данные(РСУ)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</xdr:row>
          <xdr:rowOff>123825</xdr:rowOff>
        </xdr:from>
        <xdr:to>
          <xdr:col>14</xdr:col>
          <xdr:colOff>85725</xdr:colOff>
          <xdr:row>15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Вставить данные(РСН)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6</xdr:row>
          <xdr:rowOff>171450</xdr:rowOff>
        </xdr:from>
        <xdr:to>
          <xdr:col>11</xdr:col>
          <xdr:colOff>428625</xdr:colOff>
          <xdr:row>15</xdr:row>
          <xdr:rowOff>85725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Очистить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257175</xdr:colOff>
          <xdr:row>11</xdr:row>
          <xdr:rowOff>133350</xdr:rowOff>
        </xdr:from>
        <xdr:to>
          <xdr:col>17</xdr:col>
          <xdr:colOff>704850</xdr:colOff>
          <xdr:row>15</xdr:row>
          <xdr:rowOff>95250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Добавить данные (РСН)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257175</xdr:colOff>
          <xdr:row>6</xdr:row>
          <xdr:rowOff>180975</xdr:rowOff>
        </xdr:from>
        <xdr:to>
          <xdr:col>17</xdr:col>
          <xdr:colOff>695325</xdr:colOff>
          <xdr:row>10</xdr:row>
          <xdr:rowOff>142875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Добавить данные (РСУ)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11</xdr:row>
          <xdr:rowOff>28575</xdr:rowOff>
        </xdr:from>
        <xdr:to>
          <xdr:col>10</xdr:col>
          <xdr:colOff>276225</xdr:colOff>
          <xdr:row>15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Подготовить данные для выгрузки в 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2</xdr:row>
      <xdr:rowOff>0</xdr:rowOff>
    </xdr:from>
    <xdr:to>
      <xdr:col>11</xdr:col>
      <xdr:colOff>123825</xdr:colOff>
      <xdr:row>2</xdr:row>
      <xdr:rowOff>180975</xdr:rowOff>
    </xdr:to>
    <xdr:sp macro="" textlink="">
      <xdr:nvSpPr>
        <xdr:cNvPr id="2" name="AutoShape 1" descr="data:image;base64,R0lGODdhDQATAIABAAAAAP///ywAAAAADQATAAACHYyPqcvtAcCDUzp7TWSyL08pWygeGIKBqHlO7vsWADs=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267200" y="40005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123825</xdr:colOff>
      <xdr:row>2</xdr:row>
      <xdr:rowOff>180975</xdr:rowOff>
    </xdr:to>
    <xdr:sp macro="" textlink="">
      <xdr:nvSpPr>
        <xdr:cNvPr id="3" name="AutoShape 2" descr="data:image;base64,R0lGODdhDQATAIABAAAAAP///ywAAAAADQATAAACHYyPqcvtAcCDUzp7IVbR7LN9HiJSIweWmjq17lQAADs=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4876800" y="40005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114300</xdr:colOff>
      <xdr:row>2</xdr:row>
      <xdr:rowOff>142875</xdr:rowOff>
    </xdr:to>
    <xdr:sp macro="" textlink="">
      <xdr:nvSpPr>
        <xdr:cNvPr id="4" name="AutoShape 3" descr="data:image;base64,R0lGODdhDAAPAIABAAAAAP///ywAAAAADAAPAAACFoyPqcvNAMGShibb4DuYexV1zkiWRgEAOw==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005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2</xdr:row>
      <xdr:rowOff>0</xdr:rowOff>
    </xdr:from>
    <xdr:to>
      <xdr:col>14</xdr:col>
      <xdr:colOff>85725</xdr:colOff>
      <xdr:row>2</xdr:row>
      <xdr:rowOff>152400</xdr:rowOff>
    </xdr:to>
    <xdr:sp macro="" textlink="">
      <xdr:nvSpPr>
        <xdr:cNvPr id="5" name="AutoShape 4" descr="data:image;base64,R0lGODdhCQAQAIABAAAAAP///ywAAAAACQAQAAACEYyPqYuwroB8tMYKj8yse18AADs=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6096000" y="400050"/>
          <a:ext cx="857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18</xdr:col>
      <xdr:colOff>0</xdr:colOff>
      <xdr:row>2</xdr:row>
      <xdr:rowOff>0</xdr:rowOff>
    </xdr:from>
    <xdr:ext cx="123825" cy="180975"/>
    <xdr:sp macro="" textlink="">
      <xdr:nvSpPr>
        <xdr:cNvPr id="6" name="AutoShape 1" descr="data:image;base64,R0lGODdhDQATAIABAAAAAP///ywAAAAADQATAAACHYyPqcvtAcCDUzp7TWSyL08pWygeGIKBqHlO7vsWADs=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1553825" y="40005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</xdr:col>
      <xdr:colOff>0</xdr:colOff>
      <xdr:row>2</xdr:row>
      <xdr:rowOff>0</xdr:rowOff>
    </xdr:from>
    <xdr:ext cx="123825" cy="180975"/>
    <xdr:sp macro="" textlink="">
      <xdr:nvSpPr>
        <xdr:cNvPr id="7" name="AutoShape 2" descr="data:image;base64,R0lGODdhDQATAIABAAAAAP///ywAAAAADQATAAACHYyPqcvtAcCDUzp7IVbR7LN9HiJSIweWmjq17lQAADs=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2163425" y="40005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20</xdr:col>
      <xdr:colOff>0</xdr:colOff>
      <xdr:row>2</xdr:row>
      <xdr:rowOff>0</xdr:rowOff>
    </xdr:from>
    <xdr:ext cx="114300" cy="142875"/>
    <xdr:sp macro="" textlink="">
      <xdr:nvSpPr>
        <xdr:cNvPr id="8" name="AutoShape 3" descr="data:image;base64,R0lGODdhDAAPAIABAAAAAP///ywAAAAADAAPAAACFoyPqcvNAMGShibb4DuYexV1zkiWRgEAOw==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2773025" y="40005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21</xdr:col>
      <xdr:colOff>0</xdr:colOff>
      <xdr:row>2</xdr:row>
      <xdr:rowOff>0</xdr:rowOff>
    </xdr:from>
    <xdr:ext cx="85725" cy="152400"/>
    <xdr:sp macro="" textlink="">
      <xdr:nvSpPr>
        <xdr:cNvPr id="9" name="AutoShape 4" descr="data:image;base64,R0lGODdhCQAQAIABAAAAAP///ywAAAAACQAQAAACEYyPqYuwroB8tMYKj8yse18AADs=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3382625" y="400050"/>
          <a:ext cx="857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D145"/>
  <sheetViews>
    <sheetView zoomScale="85" zoomScaleNormal="85" workbookViewId="0">
      <selection activeCell="C3" sqref="C3"/>
    </sheetView>
  </sheetViews>
  <sheetFormatPr defaultRowHeight="15" outlineLevelRow="1" x14ac:dyDescent="0.25"/>
  <cols>
    <col min="1" max="1" width="9" customWidth="1"/>
    <col min="2" max="2" width="9.140625" customWidth="1"/>
    <col min="3" max="3" width="11.42578125" customWidth="1"/>
    <col min="4" max="4" width="12" customWidth="1"/>
    <col min="5" max="5" width="19.7109375" customWidth="1"/>
    <col min="6" max="6" width="23.7109375" bestFit="1" customWidth="1"/>
    <col min="7" max="8" width="16.7109375" customWidth="1"/>
    <col min="9" max="9" width="18.7109375" customWidth="1"/>
    <col min="10" max="16" width="12.7109375" customWidth="1"/>
    <col min="17" max="23" width="9.140625" customWidth="1"/>
    <col min="24" max="24" width="11" customWidth="1"/>
    <col min="25" max="25" width="11.42578125" bestFit="1" customWidth="1"/>
    <col min="26" max="26" width="10.28515625" bestFit="1" customWidth="1"/>
  </cols>
  <sheetData>
    <row r="1" spans="1:23" ht="45" customHeight="1" thickBot="1" x14ac:dyDescent="0.3">
      <c r="A1" s="161" t="s">
        <v>2134</v>
      </c>
      <c r="B1" s="162"/>
      <c r="C1" s="162"/>
      <c r="D1" s="163"/>
      <c r="E1" s="164" t="str">
        <f ca="1">IF(OR(C3="H1",C3="H1H",C3="H3",C3="H3H",C3="H4",C3="H4H",C3="H5",C3="H5H",C3="H6",C3="H6H",C3="H8",C3="H9",C3="H10",C3="H13",C3="S1",C3="S1H",C3="S2",C3="S2H",C3="S3",C3="H14"),IF(OR(A3="16Б1",A3=18,A3="12П",A3="14П",A3="16П",A3="18П"),IF('DCL(РСН)'!AD5&gt;0.5,"Усилие T(Mx) слишком большое для данного узла, необходимо дополнитеьно проверить узел в Idea Statica или выбрать фланцевый шарнирный узел для данного случая",IF(AND(H4="Не применимо",H14="Не применимо"),"Неправильно подобраны профили для данного узла или незаполнены усилия",IF(OR(H4="Проходит",H14="Проходит"),"Несущая способность узла обеспечена, узел можно применять","Несущая способность узла не обеспечена, необходима дополнительная проверка узла"))),IF('DCL(РСН)'!AD5&gt;1,"Усилие T(Mx) слишком большое для данного узла, необходимо дополнитеьно проверить узел в Idea Statica или выбрать фланцевый шарнирный узел для данного случая",IF(AND(H4="Не применимо",H14="Не применимо"),"Неправильно подобраны профили для данного узла или незаполнены усилия",IF(OR(H4="Проходит",H14="Проходит"),"Несущая способность узла обеспечена, узел можно применять","Несущая способность узла не обеспечена, необходима дополнительная проверка узла")))),IF(AND(H4="Не применимо",H14="Не применимо"),"Неправильно подобраны профили для данного узла или незаполнены усилия",IF(OR(H4="Проходит",H14="Проходит"),"Несущая способность узла обеспечена, узел можно применять","Несущая способность узла не обеспечена, необходима дополнительная проверка узла")))</f>
        <v>Несущая способность узла обеспечена, узел можно применять</v>
      </c>
      <c r="F1" s="164"/>
      <c r="G1" s="164"/>
      <c r="H1" s="165"/>
      <c r="I1" s="112" t="s">
        <v>2393</v>
      </c>
      <c r="J1" s="213" t="s">
        <v>15</v>
      </c>
      <c r="K1" s="214"/>
      <c r="L1" s="214"/>
      <c r="M1" s="215"/>
      <c r="N1" s="199" t="s">
        <v>615</v>
      </c>
      <c r="O1" s="200"/>
      <c r="P1" s="201"/>
      <c r="R1" s="191"/>
      <c r="S1" s="191"/>
      <c r="T1" s="191"/>
      <c r="U1" s="191"/>
      <c r="V1" s="191"/>
      <c r="W1" s="191"/>
    </row>
    <row r="2" spans="1:23" ht="45" customHeight="1" thickBot="1" x14ac:dyDescent="0.3">
      <c r="A2" s="202" t="s">
        <v>2131</v>
      </c>
      <c r="B2" s="203"/>
      <c r="C2" s="197" t="s">
        <v>96</v>
      </c>
      <c r="D2" s="198"/>
      <c r="E2" s="80" t="str">
        <f>IF(OR(C3="H8",C3="H9",C3="H10",C3="S3"),"Элемент к котрому крепится узел","Выбор элементов не требуется")</f>
        <v>Выбор элементов не требуется</v>
      </c>
      <c r="F2" s="80" t="str">
        <f>IF((C3="H13"),"Выбор из трех вариантов исполнения узла",IF(OR(C3="R1",C3="R2",C3="R3",C3="R4",C3="H14"),"Выбор вариантов исполнения узла","Выбор вариантов не требуется"))</f>
        <v>Выбор вариантов не требуется</v>
      </c>
      <c r="G2" s="209" t="str">
        <f>IF(C3="H2SH",H2SH!C1,IF(OR(C3="H12",C3="S4"),"Вариант исполнения узла",IF(OR(C3="S1H",C3="S2H"),'S1Н,2H'!F1,IF(OR(C3="P1",C3="P2",C3="P3",C3="P4",C3="P6"),'P1,2,6'!D1,"Нет дополнительных условий"))))</f>
        <v>Нет дополнительных условий</v>
      </c>
      <c r="H2" s="210"/>
      <c r="I2" s="219"/>
      <c r="J2" s="8" t="s">
        <v>2119</v>
      </c>
      <c r="K2" s="8" t="s">
        <v>2118</v>
      </c>
      <c r="L2" s="9" t="s">
        <v>14</v>
      </c>
      <c r="M2" s="9" t="s">
        <v>612</v>
      </c>
      <c r="N2" s="81" t="s">
        <v>609</v>
      </c>
      <c r="O2" s="81" t="s">
        <v>610</v>
      </c>
      <c r="P2" s="81" t="s">
        <v>611</v>
      </c>
      <c r="Q2" s="98" t="s">
        <v>2166</v>
      </c>
      <c r="R2" s="191"/>
      <c r="S2" s="191"/>
      <c r="T2" s="191"/>
      <c r="U2" s="191"/>
      <c r="V2" s="191"/>
      <c r="W2" s="191"/>
    </row>
    <row r="3" spans="1:23" ht="30" customHeight="1" thickBot="1" x14ac:dyDescent="0.3">
      <c r="A3" s="204" t="s">
        <v>38</v>
      </c>
      <c r="B3" s="205"/>
      <c r="C3" s="25" t="s">
        <v>602</v>
      </c>
      <c r="D3" s="26" t="str">
        <f>IF(C3="H2*",H35,IF(C3="H2H*",H37,VLOOKUP(C3,G32:H74,2,0)))</f>
        <v>H2_04</v>
      </c>
      <c r="E3" s="84" t="s">
        <v>83</v>
      </c>
      <c r="F3" s="85">
        <v>2</v>
      </c>
      <c r="G3" s="211" t="str">
        <f>IFERROR(IF(C3="H2SH",VLOOKUP(D3,H2SH!A3:G36,7,0),IF(C3="H12",VLOOKUP(D3,'H12'!A3:C44,3,0),IF(OR(C3="S1H",C3="S2H"),VLOOKUP(D3,'S1Н,2H'!B3:H86,5,0),IF(C3="S4",VLOOKUP(D3,'S4'!A3:C44,3,0),IF(OR(C3="P1",C3="P2",C3="P6"),VLOOKUP(D3,'P1,2,6'!B3:H107,3,0),IF(OR(C3="P3",C3="P4"),VLOOKUP(D3,'P3,4'!B3:D100,3,0),"—")))))),"Неверный профиль")</f>
        <v>—</v>
      </c>
      <c r="H3" s="212"/>
      <c r="I3" s="220"/>
      <c r="J3" s="82">
        <f>IFERROR(IF(C3="H2*",Y35,IF(C3="H2H*",Y37,VLOOKUP(D3,H32:AA71,18,0))),"—")</f>
        <v>202</v>
      </c>
      <c r="K3" s="86">
        <f>IFERROR(IF(C3="H2*",X35,IF(C3="H2H*",X37,VLOOKUP($D$3,$H$32:$AA$74,17,0))),"—")</f>
        <v>209</v>
      </c>
      <c r="L3" s="82">
        <f>IFERROR(IF(C3="H2*",Z35,IF(C3="H2H*",Z37,VLOOKUP($D$3,$H$32:$AA$71,19,0))),"—")</f>
        <v>36</v>
      </c>
      <c r="M3" s="82">
        <f>IFERROR(IF(C3="H2*",AA35,IF(C3="H2H*",AA37,VLOOKUP($D$3,$H$32:$AA$71,20,0))),"—")</f>
        <v>2</v>
      </c>
      <c r="N3" s="82" t="str">
        <f>IFERROR(VLOOKUP(D3,H62:AD67,22,0),"—")</f>
        <v>—</v>
      </c>
      <c r="O3" s="83" t="str">
        <f>IFERROR(VLOOKUP(D3,H62:AD67,21,0),"—")</f>
        <v>—</v>
      </c>
      <c r="P3" s="82">
        <f>IFERROR(VLOOKUP(D3,H62:AD67,23,0),0)</f>
        <v>0</v>
      </c>
      <c r="Q3" s="99">
        <f>VLOOKUP(A3,Data!X2:Y73,2,0)</f>
        <v>10.93</v>
      </c>
      <c r="R3" s="191"/>
      <c r="S3" s="191"/>
      <c r="T3" s="191"/>
      <c r="U3" s="191"/>
      <c r="V3" s="191"/>
      <c r="W3" s="191"/>
    </row>
    <row r="4" spans="1:23" ht="30" customHeight="1" thickBot="1" x14ac:dyDescent="0.3">
      <c r="A4" s="158" t="s">
        <v>2135</v>
      </c>
      <c r="B4" s="159"/>
      <c r="C4" s="159"/>
      <c r="D4" s="159"/>
      <c r="E4" s="159"/>
      <c r="F4" s="159"/>
      <c r="G4" s="160"/>
      <c r="H4" s="114" t="str">
        <f ca="1">IF(SUM(H5:H13)=0,"Не применимо",IF(OR(AND(C3="R3",F3=4),C3="H1",C3="H1H",C3="H3",C3="H3H",C3="H4",C3="H4H",C3="H5",C3="H5H",C3="H6",C3="H6H",C3="H8",C3="H9",C3="H10",C3="H13",AND(C3="H14",F3=1),AND(OR(C3="R1",C3="R2"),F3=1)),IF(AND(H5&lt;1,H6&lt;1,H7&lt;1,H8&lt;1),"Проходит","Не проходит"),IF(OR(OR(AND(OR(C3="R3",C3="R4"),OR(F3=5,F3=6)),AND(C3="R4",F3=4)),C3="H2",C3="H2*",C3="H2",C3="H2H",C3="H2H*",C3="H2SH",C3="H7",C3="H7H",C3="H11",AND(OR(C3="R1",C3="R2"))),IF(AND(H5&lt;1,H6&lt;1,H7&lt;1,H8&lt;1,H9&lt;1),"Проходит","Не проходит"),IF(OR(C3="H12"),IF(AND(H5&lt;1,H6&lt;1,H7&lt;1),"Проходит","Не проходит"),IF(OR(C3="S1",C3="S1H",C3="S2",C3="S2H",AND(OR(C3="R3",C3="R4"),F3=1),AND(C3="H14",F3=2)),IF(AND(H7&lt;1,H8&lt;1),"Проходит","Не проходит"),IF(OR(C3="S3",C3="S4"),IF(AND(H7&lt;1),"Проходит","Не проходит"),IF(OR(C3="P1",C3="P2",C3="P6"),IF(AND(H11&lt;1,H12&lt;1,H7&lt;1,H13&lt;1,H8&lt;1),"Проходит","Не проходит"),IF(OR(C3="P3",C3="P4"),IF(AND(H11&lt;1,H12&lt;1,H7&lt;1,H13&lt;1,H10&lt;1,H8&lt;1),"Проходит","Не проходит"),IF(OR(C3="P5"),IF(AND(H7&lt;1),"Проходит","Не проходит"),IF(OR(C3="B",C3="BH",C3="BSH"),IF(AND(H6&lt;1),"Проходит","Не проходит"),IF(OR(AND(OR(C3="R3",C3="R4"),OR(F3=2,F3=3))),IF(AND(H7&lt;1,H8&lt;1,H9&lt;1),"Проходит","Не проходит"),0)))))))))))</f>
        <v>Проходит</v>
      </c>
      <c r="I4" s="113" t="s">
        <v>2394</v>
      </c>
      <c r="J4" s="216" t="s">
        <v>624</v>
      </c>
      <c r="K4" s="217"/>
      <c r="L4" s="217"/>
      <c r="M4" s="217"/>
      <c r="N4" s="217"/>
      <c r="O4" s="218"/>
      <c r="Q4" s="1"/>
      <c r="R4" s="191"/>
      <c r="S4" s="191"/>
      <c r="T4" s="191"/>
      <c r="U4" s="191"/>
      <c r="V4" s="191"/>
      <c r="W4" s="191"/>
    </row>
    <row r="5" spans="1:23" ht="35.1" customHeight="1" thickBot="1" x14ac:dyDescent="0.3">
      <c r="A5" s="166"/>
      <c r="B5" s="166"/>
      <c r="C5" s="166"/>
      <c r="D5" s="166"/>
      <c r="E5" s="166"/>
      <c r="F5" s="166"/>
      <c r="G5" s="206" t="str">
        <f ca="1">IF(OR(C3="H2",C3="H2H",C3="H2*",C3="H2H*",C3="H2SH",C3="H7",C3="H7H",C3="H11"),IF(SUM('DCL(РСН)'!O1:U1)&lt;5,Data!AD4,""),IF(SUM('DCL(РСН)'!O1:T1)&lt;4,Data!AD3,""))</f>
        <v>Внимание не заполнены следующие усилия: B. Необходимо проверить корректность введенных данных</v>
      </c>
      <c r="H5" s="21">
        <f ca="1">IF('DCL(РСН)'!X6=0,IF(N3="—",'DCL(РСН)'!X5,"—"),"—")</f>
        <v>9.5723614335117724E-2</v>
      </c>
      <c r="I5" s="184" t="str">
        <f>VLOOKUP(C3,H100:J142,3,0)</f>
        <v>Фланцевый шарнирный узел к полке колонны:
- 4-е болта в соединении</v>
      </c>
      <c r="J5" s="54"/>
      <c r="K5" s="8" t="s">
        <v>625</v>
      </c>
      <c r="L5" s="8" t="s">
        <v>626</v>
      </c>
      <c r="M5" s="9" t="s">
        <v>13</v>
      </c>
      <c r="N5" s="9" t="s">
        <v>627</v>
      </c>
      <c r="O5" s="9" t="s">
        <v>14</v>
      </c>
      <c r="R5" s="79"/>
    </row>
    <row r="6" spans="1:23" ht="35.1" customHeight="1" thickBot="1" x14ac:dyDescent="0.3">
      <c r="A6" s="167"/>
      <c r="B6" s="168"/>
      <c r="C6" s="168"/>
      <c r="D6" s="168"/>
      <c r="E6" s="168"/>
      <c r="F6" s="169"/>
      <c r="G6" s="207"/>
      <c r="H6" s="21">
        <f ca="1">IFERROR('DCL(РСН)'!AB6/Проверка!K3,"—")</f>
        <v>9.3397129186602867E-2</v>
      </c>
      <c r="I6" s="185"/>
      <c r="J6" s="55" t="s">
        <v>628</v>
      </c>
      <c r="K6" s="78">
        <f ca="1">'DCL(РСН)'!AH5</f>
        <v>19.52</v>
      </c>
      <c r="L6" s="183" t="str">
        <f ca="1">'DCL(РСН)'!AE5</f>
        <v>-</v>
      </c>
      <c r="M6" s="183">
        <f>MAX(ABS(MIN('DCL(РСН)'!R22:R15007)),ABS(MAX('DCL(РСН)'!R22:R15007)))</f>
        <v>1.6808000000000001</v>
      </c>
      <c r="N6" s="183" t="str">
        <f ca="1">'DCL(РСН)'!AF5</f>
        <v>-</v>
      </c>
      <c r="O6" s="183">
        <f ca="1">'DCL(РСН)'!AA5</f>
        <v>0.36606</v>
      </c>
    </row>
    <row r="7" spans="1:23" ht="35.1" customHeight="1" thickBot="1" x14ac:dyDescent="0.3">
      <c r="A7" s="167"/>
      <c r="B7" s="168"/>
      <c r="C7" s="168"/>
      <c r="D7" s="168"/>
      <c r="E7" s="168"/>
      <c r="F7" s="169"/>
      <c r="G7" s="207"/>
      <c r="H7" s="21">
        <f ca="1">IFERROR('DCL(РСН)'!AC6/Проверка!J3,"—")</f>
        <v>8.3207920792079219E-3</v>
      </c>
      <c r="I7" s="185"/>
      <c r="J7" s="55" t="s">
        <v>629</v>
      </c>
      <c r="K7" s="78">
        <f ca="1">'DCL(РСН)'!AI5</f>
        <v>-18.472999999999999</v>
      </c>
      <c r="L7" s="183"/>
      <c r="M7" s="183"/>
      <c r="N7" s="183"/>
      <c r="O7" s="183"/>
    </row>
    <row r="8" spans="1:23" ht="35.1" customHeight="1" thickBot="1" x14ac:dyDescent="0.3">
      <c r="A8" s="167"/>
      <c r="B8" s="168"/>
      <c r="C8" s="168"/>
      <c r="D8" s="168"/>
      <c r="E8" s="168"/>
      <c r="F8" s="169"/>
      <c r="G8" s="207"/>
      <c r="H8" s="21">
        <f ca="1">IFERROR('DCL(РСН)'!AA5/Проверка!L3,"—")</f>
        <v>1.0168333333333333E-2</v>
      </c>
      <c r="I8" s="185"/>
      <c r="J8" s="182" t="s">
        <v>620</v>
      </c>
      <c r="K8" s="182"/>
      <c r="L8" s="182"/>
      <c r="M8" s="182"/>
      <c r="N8" s="182"/>
      <c r="O8" s="182" t="s">
        <v>621</v>
      </c>
      <c r="P8" s="182"/>
      <c r="Q8" s="182"/>
      <c r="R8" s="182"/>
    </row>
    <row r="9" spans="1:23" ht="35.1" customHeight="1" thickBot="1" x14ac:dyDescent="0.3">
      <c r="A9" s="166"/>
      <c r="B9" s="166"/>
      <c r="C9" s="166"/>
      <c r="D9" s="166"/>
      <c r="E9" s="166"/>
      <c r="F9" s="166"/>
      <c r="G9" s="208"/>
      <c r="H9" s="21">
        <f ca="1">IFERROR('DCL(РСН)'!AD5/Проверка!M3,"—")</f>
        <v>4.5034999999999999E-2</v>
      </c>
      <c r="I9" s="155"/>
      <c r="J9" s="186" t="s">
        <v>622</v>
      </c>
      <c r="K9" s="186"/>
      <c r="L9" s="186"/>
      <c r="M9" s="186"/>
      <c r="N9" s="186"/>
      <c r="O9" s="186" t="s">
        <v>623</v>
      </c>
      <c r="P9" s="221"/>
      <c r="Q9" s="221"/>
      <c r="R9" s="221"/>
    </row>
    <row r="10" spans="1:23" ht="35.1" customHeight="1" thickBot="1" x14ac:dyDescent="0.3">
      <c r="A10" s="166"/>
      <c r="B10" s="166"/>
      <c r="C10" s="166"/>
      <c r="D10" s="166"/>
      <c r="E10" s="166"/>
      <c r="F10" s="166"/>
      <c r="G10" s="172" t="s">
        <v>2138</v>
      </c>
      <c r="H10" s="21" t="str">
        <f>IFERROR(IF(P3=0,"—",'DCL(РСН)'!AJ5),"—")</f>
        <v>—</v>
      </c>
      <c r="I10" s="157"/>
      <c r="J10" s="196"/>
      <c r="K10" s="196"/>
      <c r="L10" s="196"/>
      <c r="M10" s="196"/>
      <c r="N10" s="196"/>
      <c r="O10" s="196"/>
      <c r="P10" s="196"/>
      <c r="Q10" s="196"/>
      <c r="R10" s="196"/>
    </row>
    <row r="11" spans="1:23" ht="35.1" customHeight="1" thickBot="1" x14ac:dyDescent="0.3">
      <c r="A11" s="166"/>
      <c r="B11" s="166"/>
      <c r="C11" s="166"/>
      <c r="D11" s="166"/>
      <c r="E11" s="166"/>
      <c r="F11" s="166"/>
      <c r="G11" s="173"/>
      <c r="H11" s="21" t="str">
        <f>IF(K3=0,'DCL(РСН)'!AK5,"—")</f>
        <v>—</v>
      </c>
      <c r="I11" s="157"/>
      <c r="J11" s="196"/>
      <c r="K11" s="196"/>
      <c r="L11" s="196"/>
      <c r="M11" s="196"/>
      <c r="N11" s="196"/>
      <c r="O11" s="196"/>
      <c r="P11" s="196"/>
      <c r="Q11" s="196"/>
      <c r="R11" s="196"/>
    </row>
    <row r="12" spans="1:23" ht="35.1" customHeight="1" thickBot="1" x14ac:dyDescent="0.3">
      <c r="A12" s="167"/>
      <c r="B12" s="168"/>
      <c r="C12" s="168"/>
      <c r="D12" s="168"/>
      <c r="E12" s="168"/>
      <c r="F12" s="169"/>
      <c r="G12" s="173"/>
      <c r="H12" s="21" t="str">
        <f>IFERROR(IF(K3&lt;&gt;0,"—",'DCL(РСН)'!AH5/Проверка!N3),0)</f>
        <v>—</v>
      </c>
      <c r="I12" s="157"/>
      <c r="J12" s="196"/>
      <c r="K12" s="196"/>
      <c r="L12" s="196"/>
      <c r="M12" s="196"/>
      <c r="N12" s="196"/>
      <c r="O12" s="196"/>
      <c r="P12" s="196"/>
      <c r="Q12" s="196"/>
      <c r="R12" s="196"/>
    </row>
    <row r="13" spans="1:23" ht="35.1" customHeight="1" thickBot="1" x14ac:dyDescent="0.3">
      <c r="A13" s="167"/>
      <c r="B13" s="168"/>
      <c r="C13" s="168"/>
      <c r="D13" s="168"/>
      <c r="E13" s="168"/>
      <c r="F13" s="169"/>
      <c r="G13" s="174"/>
      <c r="H13" s="21" t="str">
        <f>IFERROR(IF(K3&lt;&gt;0,"—",ABS('DCL(РСН)'!AI5)/Проверка!O3),0)</f>
        <v>—</v>
      </c>
      <c r="I13" s="157"/>
      <c r="J13" s="196"/>
      <c r="K13" s="196"/>
      <c r="L13" s="196"/>
      <c r="M13" s="196"/>
      <c r="N13" s="196"/>
      <c r="O13" s="196"/>
      <c r="P13" s="196"/>
      <c r="Q13" s="196"/>
      <c r="R13" s="196"/>
    </row>
    <row r="14" spans="1:23" ht="20.100000000000001" customHeight="1" x14ac:dyDescent="0.25">
      <c r="A14" s="176" t="s">
        <v>2395</v>
      </c>
      <c r="B14" s="177"/>
      <c r="C14" s="177"/>
      <c r="D14" s="177"/>
      <c r="E14" s="177"/>
      <c r="F14" s="177"/>
      <c r="G14" s="177"/>
      <c r="H14" s="180" t="str">
        <f ca="1">IF(SUM(H16:H17)=0,"Не применимо",IF(H18&lt;1,"Проходит","Не проходит"))</f>
        <v>Проходит</v>
      </c>
      <c r="I14" s="157"/>
      <c r="J14" s="196"/>
      <c r="K14" s="196"/>
      <c r="L14" s="196"/>
      <c r="M14" s="196"/>
      <c r="N14" s="196"/>
      <c r="O14" s="196"/>
      <c r="P14" s="196"/>
      <c r="Q14" s="196"/>
      <c r="R14" s="196"/>
    </row>
    <row r="15" spans="1:23" ht="20.100000000000001" customHeight="1" thickBot="1" x14ac:dyDescent="0.3">
      <c r="A15" s="178"/>
      <c r="B15" s="179"/>
      <c r="C15" s="179"/>
      <c r="D15" s="179"/>
      <c r="E15" s="179"/>
      <c r="F15" s="179"/>
      <c r="G15" s="179"/>
      <c r="H15" s="181"/>
      <c r="I15" s="157"/>
      <c r="J15" s="196"/>
      <c r="K15" s="196"/>
      <c r="L15" s="196"/>
      <c r="M15" s="196"/>
      <c r="N15" s="196"/>
      <c r="O15" s="196"/>
      <c r="P15" s="196"/>
      <c r="Q15" s="196"/>
      <c r="R15" s="196"/>
    </row>
    <row r="16" spans="1:23" ht="35.1" customHeight="1" thickBot="1" x14ac:dyDescent="0.3">
      <c r="A16" s="187"/>
      <c r="B16" s="188"/>
      <c r="C16" s="188"/>
      <c r="D16" s="188"/>
      <c r="E16" s="188"/>
      <c r="F16" s="189"/>
      <c r="G16" s="23" t="s">
        <v>19</v>
      </c>
      <c r="H16" s="21">
        <f ca="1">IF('DCL(РСН)'!AL6=0,'DCL(РСН)'!AL5,"—")</f>
        <v>7.5366795366795358E-2</v>
      </c>
      <c r="I16" s="157"/>
      <c r="J16" s="196"/>
      <c r="K16" s="196"/>
      <c r="L16" s="196"/>
      <c r="M16" s="196"/>
      <c r="N16" s="196"/>
      <c r="O16" s="196"/>
      <c r="P16" s="196"/>
      <c r="Q16" s="196"/>
      <c r="R16" s="196"/>
    </row>
    <row r="17" spans="1:30" ht="35.1" customHeight="1" thickBot="1" x14ac:dyDescent="0.3">
      <c r="A17" s="190"/>
      <c r="B17" s="191"/>
      <c r="C17" s="191"/>
      <c r="D17" s="191"/>
      <c r="E17" s="191"/>
      <c r="F17" s="192"/>
      <c r="G17" s="23" t="s">
        <v>20</v>
      </c>
      <c r="H17" s="21">
        <f ca="1">IF('DCL(РСН)'!AM6=0,'DCL(РСН)'!AM5,"—")</f>
        <v>3.644246996789214E-2</v>
      </c>
      <c r="J17" s="196"/>
      <c r="K17" s="196"/>
      <c r="L17" s="196"/>
      <c r="M17" s="196"/>
      <c r="N17" s="196"/>
      <c r="O17" s="196"/>
      <c r="P17" s="196"/>
      <c r="Q17" s="196"/>
      <c r="R17" s="196"/>
    </row>
    <row r="18" spans="1:30" ht="35.1" customHeight="1" thickBot="1" x14ac:dyDescent="0.3">
      <c r="A18" s="193"/>
      <c r="B18" s="194"/>
      <c r="C18" s="194"/>
      <c r="D18" s="194"/>
      <c r="E18" s="194"/>
      <c r="F18" s="195"/>
      <c r="G18" s="24" t="s">
        <v>97</v>
      </c>
      <c r="H18" s="21">
        <f ca="1">IF('DCL(РСН)'!AN6=0,'DCL(РСН)'!AN5,"—")</f>
        <v>7.6032581865249804E-2</v>
      </c>
    </row>
    <row r="19" spans="1:30" ht="50.1" customHeight="1" x14ac:dyDescent="0.25"/>
    <row r="20" spans="1:30" ht="84.95" customHeight="1" x14ac:dyDescent="0.25"/>
    <row r="21" spans="1:30" ht="48" customHeight="1" x14ac:dyDescent="0.25"/>
    <row r="22" spans="1:30" ht="48" customHeight="1" x14ac:dyDescent="0.25"/>
    <row r="23" spans="1:30" ht="45" customHeight="1" x14ac:dyDescent="0.25"/>
    <row r="24" spans="1:30" ht="43.5" customHeight="1" x14ac:dyDescent="0.25"/>
    <row r="25" spans="1:30" ht="84" customHeight="1" x14ac:dyDescent="0.25"/>
    <row r="27" spans="1:30" ht="15" customHeight="1" outlineLevel="1" x14ac:dyDescent="0.25"/>
    <row r="28" spans="1:30" ht="15.75" customHeight="1" outlineLevel="1" x14ac:dyDescent="0.25">
      <c r="I28" s="170" t="s">
        <v>18</v>
      </c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</row>
    <row r="29" spans="1:30" ht="15.75" customHeight="1" outlineLevel="1" x14ac:dyDescent="0.25">
      <c r="I29" s="175" t="s">
        <v>24</v>
      </c>
      <c r="J29" s="175"/>
      <c r="K29" s="175"/>
      <c r="L29" s="175"/>
      <c r="M29" s="175"/>
      <c r="N29" s="175"/>
      <c r="O29" s="175"/>
      <c r="P29" s="175"/>
      <c r="Q29" s="175"/>
      <c r="R29" s="171" t="s">
        <v>25</v>
      </c>
      <c r="S29" s="171"/>
      <c r="T29" s="171"/>
      <c r="U29" s="171"/>
      <c r="V29" s="171"/>
      <c r="W29" s="171"/>
    </row>
    <row r="30" spans="1:30" outlineLevel="1" x14ac:dyDescent="0.25">
      <c r="H30" t="s">
        <v>2115</v>
      </c>
      <c r="I30" s="53" t="s">
        <v>261</v>
      </c>
      <c r="J30" s="53" t="s">
        <v>262</v>
      </c>
      <c r="K30" s="53" t="s">
        <v>26</v>
      </c>
      <c r="L30" s="53" t="s">
        <v>27</v>
      </c>
      <c r="M30" s="53" t="s">
        <v>28</v>
      </c>
      <c r="N30" s="53" t="s">
        <v>17</v>
      </c>
      <c r="O30" s="53" t="s">
        <v>29</v>
      </c>
      <c r="P30" s="53" t="s">
        <v>30</v>
      </c>
      <c r="Q30" s="53" t="s">
        <v>16</v>
      </c>
      <c r="R30" s="53" t="s">
        <v>31</v>
      </c>
      <c r="S30" s="53" t="s">
        <v>32</v>
      </c>
      <c r="T30" s="53" t="s">
        <v>33</v>
      </c>
      <c r="U30" s="53" t="s">
        <v>34</v>
      </c>
      <c r="V30" s="53" t="s">
        <v>35</v>
      </c>
      <c r="W30" s="53" t="s">
        <v>36</v>
      </c>
      <c r="X30" s="58" t="s">
        <v>635</v>
      </c>
      <c r="Y30" s="58" t="s">
        <v>636</v>
      </c>
      <c r="Z30" s="58" t="s">
        <v>14</v>
      </c>
      <c r="AA30" s="58" t="s">
        <v>685</v>
      </c>
      <c r="AB30" s="58" t="s">
        <v>1491</v>
      </c>
      <c r="AC30" s="58" t="s">
        <v>1492</v>
      </c>
      <c r="AD30" s="58" t="s">
        <v>2122</v>
      </c>
    </row>
    <row r="31" spans="1:30" ht="46.5" customHeight="1" outlineLevel="1" thickBot="1" x14ac:dyDescent="0.3">
      <c r="G31">
        <f>IF(H31&lt;=201,1,IF(AND(H31&gt;201,H31&lt;=250),2,IF(AND(H31&gt;250,H31&lt;=320),3,IF(AND(H31&gt;320,H31&lt;=500),4,IF(AND(H31&gt;500,H31&lt;=630),5,"—")))))</f>
        <v>3</v>
      </c>
      <c r="H31">
        <f>VLOOKUP(E3,Data!R8:T75,3,0)</f>
        <v>305</v>
      </c>
      <c r="I31" s="20">
        <f>VLOOKUP($D3,Interaction!$A$3:$R$347,4,FALSE)</f>
        <v>0</v>
      </c>
      <c r="J31" s="20">
        <f>VLOOKUP($D3,Interaction!$A$3:$R$347,5,FALSE)</f>
        <v>0</v>
      </c>
      <c r="K31" s="20">
        <f>VLOOKUP($D3,Interaction!$A$3:$R$347,6,FALSE)</f>
        <v>259</v>
      </c>
      <c r="L31" s="20">
        <f>VLOOKUP($D3,Interaction!$A$3:$R$347,7,FALSE)</f>
        <v>73</v>
      </c>
      <c r="M31" s="20">
        <f>VLOOKUP($D3,Interaction!$A$3:$R$347,8,FALSE)</f>
        <v>237</v>
      </c>
      <c r="N31" s="20">
        <f>VLOOKUP($D3,Interaction!$A$3:$R$347,9,FALSE)</f>
        <v>3</v>
      </c>
      <c r="O31" s="20">
        <f>VLOOKUP($D3,Interaction!$A$3:$R$347,10,FALSE)</f>
        <v>21</v>
      </c>
      <c r="P31" s="20">
        <f>VLOOKUP($D3,Interaction!$A$3:$R$347,11,FALSE)</f>
        <v>0</v>
      </c>
      <c r="Q31" s="20">
        <f>VLOOKUP($D3,Interaction!$A$3:$R$347,12,FALSE)</f>
        <v>8</v>
      </c>
      <c r="R31" s="20">
        <f>IF(C3="H2H*",VLOOKUP(D3,Interaction!A99:R144,13,0),VLOOKUP($D3,Interaction!$A$3:$R$347,13,0))</f>
        <v>0.6</v>
      </c>
      <c r="S31" s="20">
        <f>IF(C3="H2H*",VLOOKUP(D3,Interaction!A99:R144,14,0),VLOOKUP($D3,Interaction!$A$3:$R$347,14,0))</f>
        <v>0.8</v>
      </c>
      <c r="T31" s="20">
        <f>VLOOKUP($D3,Interaction!$A$3:$R$347,15,FALSE)</f>
        <v>0</v>
      </c>
      <c r="U31" s="20">
        <f>VLOOKUP($D3,Interaction!$A$3:$R$347,16,FALSE)</f>
        <v>0</v>
      </c>
      <c r="V31" s="20">
        <f>VLOOKUP($D3,Interaction!$A$3:$R$347,17,FALSE)</f>
        <v>0</v>
      </c>
      <c r="W31" s="20">
        <f>VLOOKUP($D3,Interaction!$A$3:$R$347,18,FALSE)</f>
        <v>0</v>
      </c>
      <c r="X31" s="19"/>
      <c r="Y31" s="19"/>
      <c r="Z31" s="19"/>
    </row>
    <row r="32" spans="1:30" ht="15.75" outlineLevel="1" thickBot="1" x14ac:dyDescent="0.3">
      <c r="C32" s="1"/>
      <c r="G32" s="1" t="s">
        <v>2093</v>
      </c>
      <c r="H32" s="72" t="str">
        <f>IFERROR((INDEX('H1,3-6'!B3:B52,MATCH(A3,'H1,3-6'!C3:C52,0))),"—")</f>
        <v>H1_04</v>
      </c>
      <c r="X32">
        <f>VLOOKUP(H32,'H1,3-6'!$B$3:$F$408,3,0)</f>
        <v>130</v>
      </c>
      <c r="Y32">
        <f>VLOOKUP(H32,'H1,3-6'!$B$3:$F$408,4,0)</f>
        <v>43</v>
      </c>
      <c r="Z32">
        <f>VLOOKUP(H32,'H1,3-6'!$B$3:$F$408,5,0)</f>
        <v>4</v>
      </c>
    </row>
    <row r="33" spans="2:27" ht="15.75" outlineLevel="1" thickBot="1" x14ac:dyDescent="0.3">
      <c r="E33" s="1"/>
      <c r="F33">
        <f>VLOOKUP(C3,G32:I74,3,0)</f>
        <v>0</v>
      </c>
      <c r="G33" s="1" t="s">
        <v>2094</v>
      </c>
      <c r="H33" s="10" t="str">
        <f>IFERROR((INDEX('H1,3-6'!B53:B77,MATCH(A3,'H1,3-6'!C53:C77,0))),"—")</f>
        <v>H1H_04</v>
      </c>
      <c r="X33">
        <f>VLOOKUP(H33,'H1,3-6'!$B$3:$F$408,3,0)</f>
        <v>166</v>
      </c>
      <c r="Y33">
        <f>VLOOKUP(H33,'H1,3-6'!$B$3:$F$408,4,0)</f>
        <v>71</v>
      </c>
      <c r="Z33">
        <f>VLOOKUP(H33,'H1,3-6'!$B$3:$F$408,5,0)</f>
        <v>4</v>
      </c>
    </row>
    <row r="34" spans="2:27" ht="15.75" outlineLevel="1" thickBot="1" x14ac:dyDescent="0.3">
      <c r="E34" s="1"/>
      <c r="F34">
        <f>VLOOKUP(C3,G32:J74,4,0)</f>
        <v>0</v>
      </c>
      <c r="G34" s="1" t="s">
        <v>602</v>
      </c>
      <c r="H34" s="18" t="str">
        <f>IFERROR((INDEX(Interaction!A3:A52,MATCH(A3,Interaction!B3:B52,0))),"—")</f>
        <v>H2_04</v>
      </c>
      <c r="X34">
        <f>VLOOKUP(H34,'H2'!B3:I98,3,0)</f>
        <v>209</v>
      </c>
      <c r="Y34">
        <f>VLOOKUP(H34,'H2'!$B$3:$I$98,4,0)</f>
        <v>202</v>
      </c>
      <c r="Z34">
        <f>VLOOKUP(H34,'H2'!$B$3:$I$98,7,0)</f>
        <v>36</v>
      </c>
      <c r="AA34">
        <f>VLOOKUP(H34,'H2'!$B$3:$I$98,8,0)</f>
        <v>2</v>
      </c>
    </row>
    <row r="35" spans="2:27" ht="15.75" outlineLevel="1" thickBot="1" x14ac:dyDescent="0.3">
      <c r="D35" s="1"/>
      <c r="F35">
        <f>VLOOKUP(C3,G32:K74,5,0)</f>
        <v>0</v>
      </c>
      <c r="G35" s="1" t="s">
        <v>2114</v>
      </c>
      <c r="H35" s="18" t="str">
        <f>IFERROR(CONCATENATE(INDEX('H2'!B3:B52,MATCH(A3,'H2'!C3:C52,0)),"*"),"—")</f>
        <v>H2_04*</v>
      </c>
      <c r="X35">
        <f>VLOOKUP(H35,'H2'!B4:I99,5,0)</f>
        <v>167</v>
      </c>
      <c r="Y35">
        <f>VLOOKUP(H35,'H2'!$B$3:$I$98,6,0)</f>
        <v>162</v>
      </c>
      <c r="Z35">
        <f>VLOOKUP(H35,'H2'!$B$3:$I$98,7,0)</f>
        <v>36</v>
      </c>
      <c r="AA35">
        <f>VLOOKUP(H35,'H2'!$B$3:$I$98,8,0)</f>
        <v>2</v>
      </c>
    </row>
    <row r="36" spans="2:27" ht="15.75" outlineLevel="1" thickBot="1" x14ac:dyDescent="0.3">
      <c r="D36" s="1"/>
      <c r="G36" s="70" t="s">
        <v>603</v>
      </c>
      <c r="H36" s="71" t="str">
        <f>IFERROR((INDEX(Interaction!A53:A98,MATCH(A3,Interaction!B53:B98,0))),"—")</f>
        <v>H2H_04</v>
      </c>
      <c r="X36">
        <f>VLOOKUP(H36,'H2'!B4:I99,3,0)</f>
        <v>239</v>
      </c>
      <c r="Y36">
        <f>VLOOKUP(H36,'H2'!$B$3:$I$98,4,0)</f>
        <v>203</v>
      </c>
      <c r="Z36">
        <f>VLOOKUP(H36,'H2'!$B$3:$I$98,7,0)</f>
        <v>33</v>
      </c>
      <c r="AA36">
        <f>VLOOKUP(H36,'H2'!$B$3:$I$98,8,0)</f>
        <v>2</v>
      </c>
    </row>
    <row r="37" spans="2:27" ht="15.75" outlineLevel="1" thickBot="1" x14ac:dyDescent="0.3">
      <c r="G37" s="70" t="s">
        <v>608</v>
      </c>
      <c r="H37" s="71" t="str">
        <f>IFERROR((INDEX(Interaction!A99:A144,MATCH(A3,Interaction!B99:B144,0))),"—")</f>
        <v>H2H_04*</v>
      </c>
      <c r="X37">
        <f>VLOOKUP(H37,'H2'!B5:I100,5,0)</f>
        <v>199</v>
      </c>
      <c r="Y37">
        <f>VLOOKUP(H37,'H2'!$B$3:$I$98,6,0)</f>
        <v>87</v>
      </c>
      <c r="Z37">
        <f>VLOOKUP(H37,'H2'!$B$3:$I$98,7,0)</f>
        <v>33</v>
      </c>
      <c r="AA37">
        <f>VLOOKUP(H37,'H2'!$B$3:$I$98,8,0)</f>
        <v>2</v>
      </c>
    </row>
    <row r="38" spans="2:27" ht="15.75" outlineLevel="1" thickBot="1" x14ac:dyDescent="0.3">
      <c r="D38" s="1"/>
      <c r="G38" s="1" t="s">
        <v>604</v>
      </c>
      <c r="H38" s="10" t="str">
        <f>IFERROR((INDEX(Interaction!A145:A178,MATCH(A3,Interaction!B145:B178,0))),"—")</f>
        <v>H2SH_02</v>
      </c>
      <c r="X38">
        <f>VLOOKUP($H38,H2SH!$A$3:$K$36,8,0)</f>
        <v>410</v>
      </c>
      <c r="Y38">
        <f>VLOOKUP($H38,H2SH!$A$3:$K$36,9,0)</f>
        <v>215</v>
      </c>
      <c r="Z38">
        <f>VLOOKUP($H38,H2SH!$A$3:$K$36,10,0)</f>
        <v>32</v>
      </c>
      <c r="AA38">
        <f>VLOOKUP($H38,H2SH!$A$3:$K$36,11,0)</f>
        <v>2</v>
      </c>
    </row>
    <row r="39" spans="2:27" ht="15.75" outlineLevel="1" thickBot="1" x14ac:dyDescent="0.3">
      <c r="E39" t="s">
        <v>632</v>
      </c>
      <c r="G39" s="1" t="s">
        <v>2095</v>
      </c>
      <c r="H39" s="10" t="str">
        <f>IFERROR((INDEX('H1,3-6'!B78:B119,MATCH(A3,'H1,3-6'!C78:C119,0))),"—")</f>
        <v>H3_04</v>
      </c>
      <c r="X39">
        <f>VLOOKUP(H39,'H1,3-6'!$B$3:$F$408,3,0)</f>
        <v>138</v>
      </c>
      <c r="Y39">
        <f>VLOOKUP(H39,'H1,3-6'!$B$3:$F$408,4,0)</f>
        <v>29</v>
      </c>
      <c r="Z39">
        <f>VLOOKUP(H39,'H1,3-6'!$B$3:$F$408,5,0)</f>
        <v>2</v>
      </c>
    </row>
    <row r="40" spans="2:27" ht="15.75" outlineLevel="1" thickBot="1" x14ac:dyDescent="0.3">
      <c r="B40" s="1"/>
      <c r="E40" t="s">
        <v>632</v>
      </c>
      <c r="G40" s="1" t="s">
        <v>2096</v>
      </c>
      <c r="H40" s="73" t="str">
        <f>IFERROR((INDEX('H1,3-6'!B120:B161,MATCH(A3,'H1,3-6'!C120:C161,0))),"—")</f>
        <v>H3H_04</v>
      </c>
      <c r="X40">
        <f>VLOOKUP(H40,'H1,3-6'!$B$3:$F$408,3,0)</f>
        <v>580</v>
      </c>
      <c r="Y40">
        <f>VLOOKUP(H40,'H1,3-6'!$B$3:$F$408,4,0)</f>
        <v>101</v>
      </c>
      <c r="Z40">
        <f>VLOOKUP(H40,'H1,3-6'!$B$3:$F$408,5,0)</f>
        <v>2</v>
      </c>
    </row>
    <row r="41" spans="2:27" ht="15.75" outlineLevel="1" thickBot="1" x14ac:dyDescent="0.3">
      <c r="B41" s="1"/>
      <c r="E41" t="s">
        <v>632</v>
      </c>
      <c r="G41" s="1" t="s">
        <v>2097</v>
      </c>
      <c r="H41" s="10" t="str">
        <f>IFERROR((INDEX('H1,3-6'!B162:B212,MATCH(A3,'H1,3-6'!C162:C212,0))),"—")</f>
        <v>H4_04</v>
      </c>
      <c r="N41" s="20"/>
      <c r="O41" s="20"/>
      <c r="P41" s="20"/>
      <c r="Q41" s="20"/>
      <c r="R41" s="20"/>
      <c r="S41" s="20"/>
      <c r="T41" s="20"/>
      <c r="U41" s="20"/>
      <c r="V41" s="20"/>
      <c r="W41" s="20"/>
      <c r="X41">
        <f>VLOOKUP(H41,'H1,3-6'!$B$3:$F$408,3,0)</f>
        <v>130</v>
      </c>
      <c r="Y41">
        <f>VLOOKUP(H41,'H1,3-6'!$B$3:$F$408,4,0)</f>
        <v>51</v>
      </c>
      <c r="Z41">
        <f>VLOOKUP(H41,'H1,3-6'!$B$3:$F$408,5,0)</f>
        <v>2</v>
      </c>
    </row>
    <row r="42" spans="2:27" ht="15.75" outlineLevel="1" thickBot="1" x14ac:dyDescent="0.3">
      <c r="B42" s="1"/>
      <c r="E42" t="s">
        <v>632</v>
      </c>
      <c r="G42" s="1" t="s">
        <v>2098</v>
      </c>
      <c r="H42" s="10" t="str">
        <f>IFERROR((INDEX('H1,3-6'!B213:B237,MATCH(A3,'H1,3-6'!C213:C237,0))),"—")</f>
        <v>H4H_04</v>
      </c>
      <c r="N42" s="20"/>
      <c r="O42" s="20"/>
      <c r="P42" s="20"/>
      <c r="Q42" s="20"/>
      <c r="R42" s="20"/>
      <c r="S42" s="20"/>
      <c r="T42" s="20"/>
      <c r="U42" s="20"/>
      <c r="V42" s="20"/>
      <c r="W42" s="20"/>
      <c r="X42">
        <f>VLOOKUP(H42,'H1,3-6'!$B$3:$F$408,3,0)</f>
        <v>166</v>
      </c>
      <c r="Y42">
        <f>VLOOKUP(H42,'H1,3-6'!$B$3:$F$408,4,0)</f>
        <v>81</v>
      </c>
      <c r="Z42">
        <f>VLOOKUP(H42,'H1,3-6'!$B$3:$F$408,5,0)</f>
        <v>4</v>
      </c>
    </row>
    <row r="43" spans="2:27" ht="15.75" outlineLevel="1" thickBot="1" x14ac:dyDescent="0.3">
      <c r="B43" s="1"/>
      <c r="E43" t="s">
        <v>632</v>
      </c>
      <c r="G43" s="1" t="s">
        <v>2099</v>
      </c>
      <c r="H43" s="73" t="str">
        <f>IFERROR((INDEX('H1,3-6'!B238:B286,MATCH(A3,'H1,3-6'!C238:C286,0))),"—")</f>
        <v>H5_04</v>
      </c>
      <c r="N43" s="20"/>
      <c r="O43" s="20"/>
      <c r="P43" s="20"/>
      <c r="Q43" s="20"/>
      <c r="R43" s="20"/>
      <c r="S43" s="20"/>
      <c r="T43" s="20"/>
      <c r="U43" s="20"/>
      <c r="V43" s="20"/>
      <c r="W43" s="20"/>
      <c r="X43">
        <f>VLOOKUP(H43,'H1,3-6'!$B$3:$F$408,3,0)</f>
        <v>232</v>
      </c>
      <c r="Y43">
        <f>VLOOKUP(H43,'H1,3-6'!$B$3:$F$408,4,0)</f>
        <v>63</v>
      </c>
      <c r="Z43">
        <f>VLOOKUP(H43,'H1,3-6'!$B$3:$F$408,5,0)</f>
        <v>4</v>
      </c>
    </row>
    <row r="44" spans="2:27" ht="15.75" outlineLevel="1" thickBot="1" x14ac:dyDescent="0.3">
      <c r="B44" s="1"/>
      <c r="E44" t="s">
        <v>632</v>
      </c>
      <c r="G44" s="1" t="s">
        <v>2100</v>
      </c>
      <c r="H44" s="10" t="str">
        <f>IFERROR((INDEX('H1,3-6'!B287:B324,MATCH(A3,'H1,3-6'!C287:C324,0))),"—")</f>
        <v>H5H_04</v>
      </c>
      <c r="N44" s="20"/>
      <c r="O44" s="20"/>
      <c r="P44" s="20"/>
      <c r="Q44" s="20"/>
      <c r="R44" s="20"/>
      <c r="S44" s="20"/>
      <c r="T44" s="20"/>
      <c r="U44" s="20"/>
      <c r="V44" s="20"/>
      <c r="W44" s="20"/>
      <c r="X44">
        <f>VLOOKUP(H44,'H1,3-6'!$B$3:$F$408,3,0)</f>
        <v>334</v>
      </c>
      <c r="Y44">
        <f>VLOOKUP(H44,'H1,3-6'!$B$3:$F$408,4,0)</f>
        <v>120</v>
      </c>
      <c r="Z44">
        <f>VLOOKUP(H44,'H1,3-6'!$B$3:$F$408,5,0)</f>
        <v>5</v>
      </c>
    </row>
    <row r="45" spans="2:27" ht="15.75" outlineLevel="1" thickBot="1" x14ac:dyDescent="0.3">
      <c r="B45" s="1"/>
      <c r="E45" t="s">
        <v>632</v>
      </c>
      <c r="G45" s="1" t="s">
        <v>2101</v>
      </c>
      <c r="H45" s="10" t="str">
        <f>IFERROR((INDEX('H1,3-6'!B325:B366,MATCH(A3,'H1,3-6'!C325:C366,0))),"—")</f>
        <v>H6_04</v>
      </c>
      <c r="N45" s="20"/>
      <c r="O45" s="20"/>
      <c r="P45" s="20"/>
      <c r="Q45" s="20"/>
      <c r="R45" s="20"/>
      <c r="S45" s="20"/>
      <c r="T45" s="20"/>
      <c r="U45" s="20"/>
      <c r="V45" s="20"/>
      <c r="W45" s="20"/>
      <c r="X45">
        <f>VLOOKUP(H45,'H1,3-6'!$B$3:$F$408,3,0)</f>
        <v>138</v>
      </c>
      <c r="Y45">
        <f>VLOOKUP(H45,'H1,3-6'!$B$3:$F$408,4,0)</f>
        <v>29</v>
      </c>
      <c r="Z45">
        <f>VLOOKUP(H45,'H1,3-6'!$B$3:$F$408,5,0)</f>
        <v>2</v>
      </c>
    </row>
    <row r="46" spans="2:27" ht="15.75" outlineLevel="1" thickBot="1" x14ac:dyDescent="0.3">
      <c r="B46" s="1"/>
      <c r="E46" t="s">
        <v>632</v>
      </c>
      <c r="G46" s="1" t="s">
        <v>2102</v>
      </c>
      <c r="H46" s="73" t="str">
        <f>IFERROR((INDEX('H1,3-6'!B367:B408,MATCH(A3,'H1,3-6'!C367:C408,0))),"—")</f>
        <v>H6H_04</v>
      </c>
      <c r="N46" s="20"/>
      <c r="O46" s="20"/>
      <c r="P46" s="20"/>
      <c r="Q46" s="20"/>
      <c r="R46" s="20"/>
      <c r="S46" s="20"/>
      <c r="T46" s="20"/>
      <c r="U46" s="20"/>
      <c r="V46" s="20"/>
      <c r="W46" s="20"/>
      <c r="X46">
        <f>VLOOKUP(H46,'H1,3-6'!$B$3:$F$408,3,0)</f>
        <v>630</v>
      </c>
      <c r="Y46">
        <f>VLOOKUP(H46,'H1,3-6'!$B$3:$F$408,4,0)</f>
        <v>101</v>
      </c>
      <c r="Z46">
        <f>VLOOKUP(H46,'H1,3-6'!$B$3:$F$408,5,0)</f>
        <v>2</v>
      </c>
    </row>
    <row r="47" spans="2:27" ht="15.75" outlineLevel="1" thickBot="1" x14ac:dyDescent="0.3">
      <c r="B47" s="1"/>
      <c r="E47" t="s">
        <v>632</v>
      </c>
      <c r="G47" s="1" t="s">
        <v>605</v>
      </c>
      <c r="H47" s="10" t="str">
        <f>IFERROR((INDEX(Interaction!A179:A224,MATCH(A3,Interaction!B179:B224,0))),"—")</f>
        <v>H7_04</v>
      </c>
      <c r="N47" s="20"/>
      <c r="O47" s="20"/>
      <c r="P47" s="20"/>
      <c r="Q47" s="20"/>
      <c r="R47" s="20"/>
      <c r="S47" s="20"/>
      <c r="T47" s="20"/>
      <c r="U47" s="20"/>
      <c r="V47" s="20"/>
      <c r="W47" s="20"/>
      <c r="X47">
        <f>VLOOKUP($H47,'H7,11'!$B$3:$G$143,3,0)</f>
        <v>252</v>
      </c>
      <c r="Y47">
        <f>VLOOKUP($H47,'H7,11'!$B$3:$G$143,4,0)</f>
        <v>192</v>
      </c>
      <c r="Z47">
        <f>VLOOKUP($H47,'H7,11'!$B$3:$G$143,5,0)</f>
        <v>15</v>
      </c>
      <c r="AA47">
        <f>VLOOKUP($H47,'H7,11'!$B$3:$G$143,6,0)</f>
        <v>2</v>
      </c>
    </row>
    <row r="48" spans="2:27" ht="15.75" outlineLevel="1" thickBot="1" x14ac:dyDescent="0.3">
      <c r="B48" s="1"/>
      <c r="E48" t="s">
        <v>632</v>
      </c>
      <c r="G48" s="1" t="s">
        <v>606</v>
      </c>
      <c r="H48" s="10" t="str">
        <f>IFERROR((INDEX(Interaction!A225:A270,MATCH(A3,Interaction!B225:B270,0))),"—")</f>
        <v>H7H_04</v>
      </c>
      <c r="N48" s="20"/>
      <c r="O48" s="20"/>
      <c r="P48" s="20"/>
      <c r="Q48" s="20"/>
      <c r="R48" s="20"/>
      <c r="S48" s="20"/>
      <c r="T48" s="20"/>
      <c r="U48" s="20"/>
      <c r="V48" s="20"/>
      <c r="W48" s="20"/>
      <c r="X48">
        <f>VLOOKUP($H48,'H7,11'!$B$3:$G$143,3,0)</f>
        <v>405</v>
      </c>
      <c r="Y48">
        <f>VLOOKUP($H48,'H7,11'!$B$3:$G$143,4,0)</f>
        <v>220</v>
      </c>
      <c r="Z48">
        <f>VLOOKUP($H48,'H7,11'!$B$3:$G$143,5,0)</f>
        <v>38</v>
      </c>
      <c r="AA48">
        <f>VLOOKUP($H48,'H7,11'!$B$3:$G$143,6,0)</f>
        <v>2</v>
      </c>
    </row>
    <row r="49" spans="1:30" ht="15.75" outlineLevel="1" thickBot="1" x14ac:dyDescent="0.3">
      <c r="B49" s="1"/>
      <c r="E49" t="s">
        <v>632</v>
      </c>
      <c r="G49" s="1" t="s">
        <v>2103</v>
      </c>
      <c r="H49" s="73" t="str">
        <f>IFERROR((INDEX('H8-10'!B3:B51,MATCH(A3,'H8-10'!C3:C51,0))),"—")</f>
        <v>H8_04</v>
      </c>
      <c r="K49">
        <v>1</v>
      </c>
      <c r="X49">
        <f>VLOOKUP($H49,'H8-10'!$B$3:$N$144,(VLOOKUP($G$31,'H8-10'!$Q$4:$R$8,2,0)),0)</f>
        <v>62</v>
      </c>
      <c r="Y49">
        <f>VLOOKUP($H49,'H8-10'!$B$3:$N$144,(VLOOKUP($G$31,'H8-10'!$Q$4:$S$8,3,0)),0)</f>
        <v>48</v>
      </c>
      <c r="Z49">
        <f>VLOOKUP($H49,'H8-10'!$B$3:$N$144,13,0)</f>
        <v>1</v>
      </c>
    </row>
    <row r="50" spans="1:30" ht="15.75" outlineLevel="1" thickBot="1" x14ac:dyDescent="0.3">
      <c r="B50" s="70"/>
      <c r="E50" t="s">
        <v>632</v>
      </c>
      <c r="G50" s="1" t="s">
        <v>2104</v>
      </c>
      <c r="H50" s="10" t="str">
        <f>IFERROR((INDEX('H8-10'!B52:B102,MATCH(A3,'H8-10'!C52:C102,0))),"—")</f>
        <v>H9_04</v>
      </c>
      <c r="K50">
        <v>1</v>
      </c>
      <c r="X50">
        <f>VLOOKUP($H50,'H8-10'!$B$3:$N$144,(VLOOKUP($G$31,'H8-10'!$Q$4:$R$8,2,0)),0)</f>
        <v>91</v>
      </c>
      <c r="Y50">
        <f>VLOOKUP($H50,'H8-10'!$B$3:$N$144,(VLOOKUP($G$31,'H8-10'!$Q$4:$S$8,3,0)),0)</f>
        <v>46</v>
      </c>
      <c r="Z50">
        <f>VLOOKUP($H50,'H8-10'!$B$3:$N$144,13,0)</f>
        <v>1</v>
      </c>
    </row>
    <row r="51" spans="1:30" ht="15.75" outlineLevel="1" thickBot="1" x14ac:dyDescent="0.3">
      <c r="B51" s="70"/>
      <c r="E51" t="s">
        <v>632</v>
      </c>
      <c r="G51" s="1" t="s">
        <v>2105</v>
      </c>
      <c r="H51" s="10" t="str">
        <f>IFERROR((INDEX('H8-10'!B103:B144,MATCH(A3,'H8-10'!C103:C144,0))),"—")</f>
        <v>H10_04</v>
      </c>
      <c r="K51">
        <v>1</v>
      </c>
      <c r="X51">
        <f>VLOOKUP($H51,'H8-10'!$B$3:$N$144,(VLOOKUP($G$31,'H8-10'!$Q$4:$R$8,2,0)),0)</f>
        <v>88</v>
      </c>
      <c r="Y51">
        <f>VLOOKUP($H51,'H8-10'!$B$3:$N$144,(VLOOKUP($G$31,'H8-10'!$Q$4:$S$8,3,0)),0)</f>
        <v>13</v>
      </c>
      <c r="Z51">
        <f>VLOOKUP($H51,'H8-10'!$B$3:$N$144,13,0)</f>
        <v>1</v>
      </c>
    </row>
    <row r="52" spans="1:30" ht="15.75" outlineLevel="1" thickBot="1" x14ac:dyDescent="0.3">
      <c r="B52" s="1"/>
      <c r="E52" t="s">
        <v>632</v>
      </c>
      <c r="G52" s="1" t="s">
        <v>607</v>
      </c>
      <c r="H52" s="10" t="str">
        <f>IFERROR((INDEX(Interaction!A271:A319,MATCH(A3,Interaction!B271:B319,0))),"—")</f>
        <v>H11_04</v>
      </c>
      <c r="X52">
        <f>VLOOKUP($H52,'H7,11'!$B$3:$G$143,3,0)</f>
        <v>235</v>
      </c>
      <c r="Y52">
        <f>VLOOKUP($H52,'H7,11'!$B$3:$G$143,4,0)</f>
        <v>108</v>
      </c>
      <c r="Z52">
        <f>VLOOKUP($H52,'H7,11'!$B$3:$G$143,5,0)</f>
        <v>5</v>
      </c>
      <c r="AA52">
        <f>VLOOKUP($H52,'H7,11'!$B$3:$G$143,6,0)</f>
        <v>2</v>
      </c>
    </row>
    <row r="53" spans="1:30" ht="15.75" outlineLevel="1" thickBot="1" x14ac:dyDescent="0.3">
      <c r="B53" s="1"/>
      <c r="E53" t="s">
        <v>632</v>
      </c>
      <c r="G53" s="1" t="s">
        <v>2106</v>
      </c>
      <c r="H53" s="10" t="str">
        <f>IFERROR((INDEX('H12'!A3:A44,MATCH(A3,'H12'!B3:B44,0))),"—")</f>
        <v>H12_04</v>
      </c>
      <c r="X53">
        <f>VLOOKUP($H53,'H12'!$A$3:$E$44,4,0)</f>
        <v>5</v>
      </c>
      <c r="Y53">
        <f>VLOOKUP($H53,'H12'!$A$3:$E$44,5,0)</f>
        <v>220</v>
      </c>
    </row>
    <row r="54" spans="1:30" ht="15.75" outlineLevel="1" thickBot="1" x14ac:dyDescent="0.3">
      <c r="B54" s="1"/>
      <c r="E54" t="s">
        <v>632</v>
      </c>
      <c r="G54" s="1" t="s">
        <v>2107</v>
      </c>
      <c r="H54" s="10" t="str">
        <f>IFERROR((INDEX('H13'!A4:A11,MATCH(A3,'H13'!B4:B11,0))),"—")</f>
        <v>—</v>
      </c>
      <c r="J54">
        <v>1</v>
      </c>
      <c r="X54" t="e">
        <f>VLOOKUP($H54,'H13'!$A$4:$N$11,(VLOOKUP($F$3,'H13'!$Q$4:$T$7,2,0)),0)</f>
        <v>#N/A</v>
      </c>
      <c r="Y54" t="e">
        <f>IF(F3&gt;4,"—",VLOOKUP($H54,'H13'!$A$4:$N$11,(VLOOKUP($F$3,'H13'!$Q$4:$T$7,3,0)),0))</f>
        <v>#N/A</v>
      </c>
      <c r="Z54" t="e">
        <f>IF(F3&gt;4,"—",VLOOKUP($H54,'H13'!$A$4:$N$11,(VLOOKUP($F$3,'H13'!$Q$4:$T$7,4,0)),0))</f>
        <v>#N/A</v>
      </c>
    </row>
    <row r="55" spans="1:30" ht="15.75" outlineLevel="1" thickBot="1" x14ac:dyDescent="0.3">
      <c r="B55" s="1"/>
      <c r="E55" t="s">
        <v>632</v>
      </c>
      <c r="G55" s="1" t="s">
        <v>2108</v>
      </c>
      <c r="H55" s="10" t="str">
        <f>IFERROR((INDEX('H14'!A3:A25,MATCH(A3,'H14'!B3:B25,0))),"—")</f>
        <v>H14_04</v>
      </c>
      <c r="J55">
        <v>1</v>
      </c>
      <c r="X55" t="str">
        <f>IF(F3=1,VLOOKUP($H55,'H14'!$A$3:$E$25,5,0),"—")</f>
        <v>—</v>
      </c>
      <c r="Y55">
        <f>IF(OR(F3=1,F3=2),VLOOKUP($H55,'H14'!$A$3:$E$25,3,0),"—")</f>
        <v>35</v>
      </c>
      <c r="Z55">
        <f>IF(OR(F3=1,F3=2),VLOOKUP($H55,'H14'!$A$3:$E$25,4,0),"—")</f>
        <v>2</v>
      </c>
    </row>
    <row r="56" spans="1:30" ht="15.75" outlineLevel="1" thickBot="1" x14ac:dyDescent="0.3">
      <c r="B56" s="1"/>
      <c r="E56" t="s">
        <v>632</v>
      </c>
      <c r="G56" s="1" t="s">
        <v>2083</v>
      </c>
      <c r="H56" s="10" t="str">
        <f>IFERROR((INDEX('S1,2'!B3:B52,MATCH(A3,'S1,2'!C3:C52,0))),"—")</f>
        <v>S1_04</v>
      </c>
      <c r="X56" t="s">
        <v>2136</v>
      </c>
      <c r="Y56">
        <f>VLOOKUP($H56,'S1,2'!$B$3:$E$102,3,0)</f>
        <v>70</v>
      </c>
      <c r="Z56">
        <f>VLOOKUP($H56,'S1,2'!$B$3:$E$102,4,0)</f>
        <v>4</v>
      </c>
    </row>
    <row r="57" spans="1:30" ht="15.75" outlineLevel="1" thickBot="1" x14ac:dyDescent="0.3">
      <c r="B57" s="1"/>
      <c r="E57" t="s">
        <v>632</v>
      </c>
      <c r="G57" s="1" t="s">
        <v>2085</v>
      </c>
      <c r="H57" s="10" t="str">
        <f>IFERROR((INDEX('S1Н,2H'!B3:B44,MATCH(A3,'S1Н,2H'!C3:C44,0))),"—")</f>
        <v>S1H_04</v>
      </c>
      <c r="X57" t="s">
        <v>2136</v>
      </c>
      <c r="Y57">
        <f>VLOOKUP($H57,'S1Н,2H'!$B$3:$H$86,6,0)</f>
        <v>224</v>
      </c>
      <c r="Z57">
        <f>VLOOKUP($H57,'S1Н,2H'!$B$3:$H$86,7,0)</f>
        <v>4</v>
      </c>
    </row>
    <row r="58" spans="1:30" ht="15.75" outlineLevel="1" thickBot="1" x14ac:dyDescent="0.3">
      <c r="B58" s="1"/>
      <c r="E58" t="s">
        <v>632</v>
      </c>
      <c r="G58" s="1" t="s">
        <v>2084</v>
      </c>
      <c r="H58" s="10" t="str">
        <f>IFERROR((INDEX('S1,2'!B53:B102,MATCH(A3,'S1,2'!C53:C102,0))),"—")</f>
        <v>S2_04</v>
      </c>
      <c r="X58" t="s">
        <v>2136</v>
      </c>
      <c r="Y58">
        <f>VLOOKUP($H58,'S1,2'!$B$3:$E$102,3,0)</f>
        <v>130</v>
      </c>
      <c r="Z58">
        <f>VLOOKUP($H58,'S1,2'!$B$3:$E$102,4,0)</f>
        <v>4</v>
      </c>
    </row>
    <row r="59" spans="1:30" ht="15.75" outlineLevel="1" thickBot="1" x14ac:dyDescent="0.3">
      <c r="B59" s="1"/>
      <c r="E59" t="s">
        <v>632</v>
      </c>
      <c r="G59" s="1" t="s">
        <v>2086</v>
      </c>
      <c r="H59" s="10" t="str">
        <f>IFERROR((INDEX('S1Н,2H'!B45:B86,MATCH(A3,'S1Н,2H'!C46:C86,0))),"—")</f>
        <v>S2H_03</v>
      </c>
      <c r="X59" t="s">
        <v>2136</v>
      </c>
      <c r="Y59">
        <f>VLOOKUP($H59,'S1Н,2H'!$B$3:$H$86,6,0)</f>
        <v>188</v>
      </c>
      <c r="Z59">
        <f>VLOOKUP($H59,'S1Н,2H'!$B$3:$H$86,7,0)</f>
        <v>4</v>
      </c>
    </row>
    <row r="60" spans="1:30" ht="15.75" outlineLevel="1" thickBot="1" x14ac:dyDescent="0.3">
      <c r="B60" s="1"/>
      <c r="E60" t="s">
        <v>632</v>
      </c>
      <c r="G60" s="1" t="s">
        <v>2109</v>
      </c>
      <c r="H60" s="10" t="str">
        <f>IFERROR((INDEX('S3'!A3:A51,MATCH(A3,'S3'!B3:B51,0))),"—")</f>
        <v>S3_04</v>
      </c>
      <c r="K60">
        <v>1</v>
      </c>
      <c r="X60" t="s">
        <v>2136</v>
      </c>
      <c r="Y60">
        <f>VLOOKUP($H60,'S3'!A3:G51,2+Проверка!G31,0)</f>
        <v>94</v>
      </c>
    </row>
    <row r="61" spans="1:30" ht="15.75" outlineLevel="1" thickBot="1" x14ac:dyDescent="0.3">
      <c r="B61" s="1"/>
      <c r="E61" t="s">
        <v>632</v>
      </c>
      <c r="G61" s="1" t="s">
        <v>2110</v>
      </c>
      <c r="H61" s="10" t="str">
        <f>IFERROR((INDEX('S4'!A3:A44,MATCH(A3,'S4'!B3:B44,0))),"—")</f>
        <v>S4_04</v>
      </c>
      <c r="X61" t="s">
        <v>2136</v>
      </c>
      <c r="Y61">
        <f>VLOOKUP($H61,'S4'!A3:D44,4,0)</f>
        <v>220</v>
      </c>
    </row>
    <row r="62" spans="1:30" ht="15.75" outlineLevel="1" thickBot="1" x14ac:dyDescent="0.3">
      <c r="B62" s="1"/>
      <c r="E62" t="s">
        <v>632</v>
      </c>
      <c r="G62" s="1" t="s">
        <v>2087</v>
      </c>
      <c r="H62" s="10" t="str">
        <f>IFERROR((INDEX('P1,2,6'!B3:B51,MATCH(A3,'P1,2,6'!C3:C51,0))),"—")</f>
        <v>P1_02</v>
      </c>
      <c r="I62">
        <v>1</v>
      </c>
      <c r="Y62">
        <f>VLOOKUP($H62,'P1,2,6'!$B$3:$H$100,6,0)</f>
        <v>152</v>
      </c>
      <c r="Z62">
        <f>VLOOKUP($H62,'P1,2,6'!$B$3:$H$100,7,0)</f>
        <v>33</v>
      </c>
      <c r="AB62">
        <f>VLOOKUP($H62,'P1,2,6'!$B$3:$H$100,4,0)</f>
        <v>413</v>
      </c>
      <c r="AC62">
        <f>VLOOKUP($H62,'P1,2,6'!$B$3:$H$100,5,0)</f>
        <v>257</v>
      </c>
    </row>
    <row r="63" spans="1:30" ht="15.75" outlineLevel="1" thickBot="1" x14ac:dyDescent="0.3">
      <c r="A63" s="1"/>
      <c r="B63" s="1"/>
      <c r="E63" t="s">
        <v>632</v>
      </c>
      <c r="G63" s="1" t="s">
        <v>2088</v>
      </c>
      <c r="H63" s="10" t="str">
        <f>IFERROR((INDEX('P1,2,6'!B52:B100,MATCH(A3,'P1,2,6'!C52:C100,0))),"—")</f>
        <v>P2_02</v>
      </c>
      <c r="I63">
        <v>1</v>
      </c>
      <c r="Y63">
        <f>VLOOKUP($H63,'P1,2,6'!$B$3:$H$100,6,0)</f>
        <v>152</v>
      </c>
      <c r="Z63">
        <f>VLOOKUP($H63,'P1,2,6'!$B$3:$H$100,7,0)</f>
        <v>48</v>
      </c>
      <c r="AB63">
        <f>VLOOKUP($H63,'P1,2,6'!$B$3:$H$100,4,0)</f>
        <v>276</v>
      </c>
      <c r="AC63">
        <f>VLOOKUP($H63,'P1,2,6'!$B$3:$H$100,5,0)</f>
        <v>285</v>
      </c>
    </row>
    <row r="64" spans="1:30" ht="15.75" outlineLevel="1" thickBot="1" x14ac:dyDescent="0.3">
      <c r="A64" s="1"/>
      <c r="B64" s="1"/>
      <c r="E64" t="s">
        <v>632</v>
      </c>
      <c r="G64" s="1" t="s">
        <v>2089</v>
      </c>
      <c r="H64" s="10" t="str">
        <f>IFERROR((INDEX('P3,4'!B3:B51,MATCH(A3,'P3,4'!C3:C51,0))),"—")</f>
        <v>P3_02</v>
      </c>
      <c r="I64">
        <v>1</v>
      </c>
      <c r="Y64">
        <f>VLOOKUP($H64,'P3,4'!$B$3:$I$100,5,0)</f>
        <v>151</v>
      </c>
      <c r="Z64">
        <f>VLOOKUP($H64,'P3,4'!$B$3:$I$100,8,0)</f>
        <v>35</v>
      </c>
      <c r="AB64">
        <f>VLOOKUP($H64,'P3,4'!$B$3:$I$100,7,0)</f>
        <v>238</v>
      </c>
      <c r="AC64">
        <f>VLOOKUP($H64,'P3,4'!$B$3:$I$100,6,0)</f>
        <v>238</v>
      </c>
      <c r="AD64">
        <f>VLOOKUP($H64,'P3,4'!$B$3:$I$100,4,0)</f>
        <v>62</v>
      </c>
    </row>
    <row r="65" spans="1:30" ht="15.75" outlineLevel="1" thickBot="1" x14ac:dyDescent="0.3">
      <c r="A65" s="1"/>
      <c r="B65" s="1"/>
      <c r="E65" t="s">
        <v>632</v>
      </c>
      <c r="G65" s="1" t="s">
        <v>2090</v>
      </c>
      <c r="H65" s="10" t="str">
        <f>IFERROR((INDEX('P3,4'!B52:B100,MATCH(A3,'P3,4'!C52:C100,0))),"—")</f>
        <v>P4_02</v>
      </c>
      <c r="I65">
        <v>1</v>
      </c>
      <c r="Y65">
        <f>VLOOKUP($H65,'P3,4'!$B$3:$I$100,5,0)</f>
        <v>105</v>
      </c>
      <c r="Z65">
        <f>VLOOKUP($H65,'P3,4'!$B$3:$I$100,8,0)</f>
        <v>40</v>
      </c>
      <c r="AB65">
        <f>VLOOKUP($H65,'P3,4'!$B$3:$I$100,7,0)</f>
        <v>500</v>
      </c>
      <c r="AC65">
        <f>VLOOKUP($H65,'P3,4'!$B$3:$I$100,6,0)</f>
        <v>500</v>
      </c>
      <c r="AD65">
        <f>VLOOKUP($H65,'P3,4'!$B$3:$I$100,4,0)</f>
        <v>10</v>
      </c>
    </row>
    <row r="66" spans="1:30" ht="15.75" outlineLevel="1" thickBot="1" x14ac:dyDescent="0.3">
      <c r="A66" s="1"/>
      <c r="B66" s="1"/>
      <c r="E66" t="s">
        <v>632</v>
      </c>
      <c r="G66" s="1" t="s">
        <v>2111</v>
      </c>
      <c r="H66" s="10" t="str">
        <f>IFERROR((INDEX('P5'!A3:A58,MATCH(A3,'P5'!B3:B58,0))),"—")</f>
        <v>P5_02</v>
      </c>
      <c r="X66" t="s">
        <v>2136</v>
      </c>
      <c r="Y66">
        <f>VLOOKUP($H66,'P5'!A3:C58,3,0)</f>
        <v>92</v>
      </c>
    </row>
    <row r="67" spans="1:30" ht="15.75" outlineLevel="1" thickBot="1" x14ac:dyDescent="0.3">
      <c r="A67" s="1"/>
      <c r="B67" s="1"/>
      <c r="E67" t="s">
        <v>632</v>
      </c>
      <c r="G67" s="1" t="s">
        <v>2123</v>
      </c>
      <c r="H67" s="10" t="str">
        <f>IFERROR((INDEX('P1,2,6'!B101:B107,MATCH(A3,'P1,2,6'!C101:C107,0))),"—")</f>
        <v>—</v>
      </c>
      <c r="I67">
        <v>1</v>
      </c>
      <c r="Y67" t="e">
        <f>VLOOKUP($H67,'P1,2,6'!$B$3:$H$107,6,0)</f>
        <v>#N/A</v>
      </c>
      <c r="Z67" t="e">
        <f>VLOOKUP($H67,'P1,2,6'!$B$3:$H$107,7,0)</f>
        <v>#N/A</v>
      </c>
      <c r="AB67" t="e">
        <f>VLOOKUP($H67,'P1,2,6'!$B$3:$H$107,4,0)</f>
        <v>#N/A</v>
      </c>
      <c r="AC67" t="e">
        <f>VLOOKUP($H67,'P1,2,6'!$B$3:$H$107,5,0)</f>
        <v>#N/A</v>
      </c>
    </row>
    <row r="68" spans="1:30" ht="15.75" outlineLevel="1" thickBot="1" x14ac:dyDescent="0.3">
      <c r="A68" s="1"/>
      <c r="B68" s="1"/>
      <c r="E68" t="s">
        <v>632</v>
      </c>
      <c r="G68" s="1" t="s">
        <v>2091</v>
      </c>
      <c r="H68" s="10" t="str">
        <f>IFERROR((INDEX('R1,2'!B3:B36,MATCH(A3,'R1,2'!C3:C36,0))),"—")</f>
        <v>R1_02</v>
      </c>
      <c r="J68">
        <v>1</v>
      </c>
      <c r="X68">
        <f>IF($F$3&gt;3,"—",VLOOKUP($H68,'R1,2'!$B$3:$E$70,3,0))</f>
        <v>130</v>
      </c>
      <c r="Y68">
        <f>IF($F$3&gt;3,"—",VLOOKUP($H68,'R1,2'!$B$3:$E$70,4,0))</f>
        <v>122</v>
      </c>
      <c r="Z68">
        <f>IF($F$3&gt;3,"—",VLOOKUP($H68,'R1,2'!$B$3:$J$70,VLOOKUP($F$3,'R1,2'!$L$3:$N$5,2),0))</f>
        <v>24</v>
      </c>
      <c r="AA68">
        <f>IF($F$3&gt;3,"—",VLOOKUP($H68,'R1,2'!$B$3:$J$70,VLOOKUP($F$3,'R1,2'!$L$3:$N$5,3),0))</f>
        <v>1</v>
      </c>
    </row>
    <row r="69" spans="1:30" ht="15.75" outlineLevel="1" thickBot="1" x14ac:dyDescent="0.3">
      <c r="A69" s="1"/>
      <c r="B69" s="1"/>
      <c r="E69" t="s">
        <v>632</v>
      </c>
      <c r="G69" s="1" t="s">
        <v>2092</v>
      </c>
      <c r="H69" s="10" t="str">
        <f>IFERROR((INDEX('R1,2'!B37:B70,MATCH(A3,'R1,2'!C37:C70,0))),"—")</f>
        <v>R2_02</v>
      </c>
      <c r="J69">
        <v>1</v>
      </c>
      <c r="X69">
        <f>IF($F$3&gt;3,"—",VLOOKUP($H69,'R1,2'!$B$3:$E$70,3,0))</f>
        <v>134</v>
      </c>
      <c r="Y69">
        <f>IF($F$3&gt;3,"—",VLOOKUP($H69,'R1,2'!$B$3:$E$70,4,0))</f>
        <v>40</v>
      </c>
      <c r="Z69">
        <f>IF($F$3&gt;3,"—",VLOOKUP($H69,'R1,2'!$B$3:$J$70,VLOOKUP($F$3,'R1,2'!$L$3:$N$5,2),0))</f>
        <v>28</v>
      </c>
      <c r="AA69">
        <f>IF($F$3&gt;3,"—",VLOOKUP($H69,'R1,2'!$B$3:$J$70,VLOOKUP($F$3,'R1,2'!$L$3:$N$5,3),0))</f>
        <v>1</v>
      </c>
    </row>
    <row r="70" spans="1:30" ht="15.75" outlineLevel="1" thickBot="1" x14ac:dyDescent="0.3">
      <c r="A70" s="1"/>
      <c r="B70" s="1"/>
      <c r="E70" t="s">
        <v>632</v>
      </c>
      <c r="G70" s="1" t="s">
        <v>2112</v>
      </c>
      <c r="H70" s="10" t="str">
        <f>IFERROR((INDEX('R3'!A3:A36,MATCH(A3,'R3'!B3:B36,0))),"—")</f>
        <v>R3_02</v>
      </c>
      <c r="J70">
        <v>1</v>
      </c>
      <c r="X70" t="e">
        <f>VLOOKUP($H70,'R3'!$A$3:$U$36,VLOOKUP(Проверка!$F$3,'R3'!$W$3:$AA$8,2,0),0)</f>
        <v>#VALUE!</v>
      </c>
      <c r="Y70">
        <f>VLOOKUP($H70,'R3'!$A$3:$U$36,VLOOKUP(Проверка!$F$3,'R3'!$W$3:$AA$8,3,0),0)</f>
        <v>140</v>
      </c>
      <c r="Z70">
        <f>VLOOKUP($H70,'R3'!$A$3:$U$36,VLOOKUP(Проверка!$F$3,'R3'!$W$3:$AA$8,4,0),0)</f>
        <v>32</v>
      </c>
      <c r="AA70">
        <f>VLOOKUP($H70,'R3'!$A$3:$U$36,VLOOKUP(Проверка!$F$3,'R3'!$W$3:$AA$8,5,0),0)</f>
        <v>3</v>
      </c>
    </row>
    <row r="71" spans="1:30" ht="15.75" outlineLevel="1" thickBot="1" x14ac:dyDescent="0.3">
      <c r="A71" s="1"/>
      <c r="B71" s="1"/>
      <c r="E71" t="s">
        <v>632</v>
      </c>
      <c r="G71" s="1" t="s">
        <v>2113</v>
      </c>
      <c r="H71" s="10" t="str">
        <f>IFERROR((INDEX('R4'!A3:A36,MATCH(A3,'R4'!B3:B36,0))),"—")</f>
        <v>R4_02</v>
      </c>
      <c r="J71">
        <v>1</v>
      </c>
      <c r="X71" t="e">
        <f>VLOOKUP($H71,'R4'!$A$3:$Q$36,VLOOKUP(Проверка!$F$3,'R4'!$W$3:$AA$8,2,0),0)</f>
        <v>#VALUE!</v>
      </c>
      <c r="Y71">
        <f>VLOOKUP($H71,'R4'!$A$3:$Q$36,VLOOKUP(Проверка!$F$3,'R4'!$W$3:$AA$8,3,0),0)</f>
        <v>121</v>
      </c>
      <c r="Z71">
        <f>VLOOKUP($H71,'R4'!$A$3:$Q$36,VLOOKUP(Проверка!$F$3,'R4'!$W$3:$AA$8,4,0),0)</f>
        <v>33</v>
      </c>
      <c r="AA71">
        <f>VLOOKUP($H71,'R4'!$A$3:$Q$36,VLOOKUP(Проверка!$F$3,'R4'!$W$3:$AA$8,5,0),0)</f>
        <v>2</v>
      </c>
    </row>
    <row r="72" spans="1:30" ht="15.75" thickBot="1" x14ac:dyDescent="0.3">
      <c r="A72" s="1"/>
      <c r="B72" s="1"/>
      <c r="E72" t="s">
        <v>632</v>
      </c>
      <c r="G72" s="1" t="s">
        <v>254</v>
      </c>
      <c r="H72" s="10" t="str">
        <f>IFERROR((INDEX('B,BH,BSH'!B2:B83,MATCH($A$3,'B,BH,BSH'!C2:C83,0))),"—")</f>
        <v>—</v>
      </c>
      <c r="X72" t="e">
        <f>VLOOKUP($H72,'B,BH,BSH'!$B$2:$D$83,3,0)</f>
        <v>#N/A</v>
      </c>
    </row>
    <row r="73" spans="1:30" ht="15.75" thickBot="1" x14ac:dyDescent="0.3">
      <c r="A73" s="1"/>
      <c r="B73" s="1"/>
      <c r="E73" t="s">
        <v>632</v>
      </c>
      <c r="G73" s="1" t="s">
        <v>2177</v>
      </c>
      <c r="H73" s="10" t="str">
        <f>IFERROR((INDEX('B,BH,BSH'!B84:B165,MATCH($A$3,'B,BH,BSH'!C84:C165,0))),"—")</f>
        <v>—</v>
      </c>
      <c r="X73" t="e">
        <f>VLOOKUP($H73,'B,BH,BSH'!$B$84:$D$165,3,0)</f>
        <v>#N/A</v>
      </c>
    </row>
    <row r="74" spans="1:30" ht="15.75" thickBot="1" x14ac:dyDescent="0.3">
      <c r="A74" s="1"/>
      <c r="B74" s="1"/>
      <c r="E74" t="s">
        <v>632</v>
      </c>
      <c r="G74" s="1" t="s">
        <v>2178</v>
      </c>
      <c r="H74" s="10" t="str">
        <f>IFERROR((INDEX('B,BH,BSH'!B166:B171,MATCH($A$3,'B,BH,BSH'!C166:C171,0))),"—")</f>
        <v>—</v>
      </c>
      <c r="X74" t="e">
        <f>VLOOKUP($H74,'B,BH,BSH'!$B$166:$D$171,3,0)</f>
        <v>#N/A</v>
      </c>
    </row>
    <row r="75" spans="1:30" x14ac:dyDescent="0.25">
      <c r="A75" s="1"/>
    </row>
    <row r="76" spans="1:30" x14ac:dyDescent="0.25">
      <c r="A76" s="1"/>
    </row>
    <row r="77" spans="1:30" x14ac:dyDescent="0.25">
      <c r="A77" s="1"/>
    </row>
    <row r="78" spans="1:30" x14ac:dyDescent="0.25">
      <c r="A78" s="1"/>
    </row>
    <row r="79" spans="1:30" x14ac:dyDescent="0.25">
      <c r="A79" s="1"/>
    </row>
    <row r="80" spans="1:30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0" x14ac:dyDescent="0.25">
      <c r="A97" s="1"/>
    </row>
    <row r="98" spans="1:10" x14ac:dyDescent="0.25">
      <c r="A98" s="1"/>
    </row>
    <row r="99" spans="1:10" ht="75" customHeight="1" x14ac:dyDescent="0.25">
      <c r="A99" s="1"/>
    </row>
    <row r="100" spans="1:10" ht="75" customHeight="1" x14ac:dyDescent="0.25">
      <c r="A100" s="1"/>
      <c r="H100" s="1" t="s">
        <v>2093</v>
      </c>
      <c r="J100" s="57" t="s">
        <v>2423</v>
      </c>
    </row>
    <row r="101" spans="1:10" ht="75" customHeight="1" x14ac:dyDescent="0.25">
      <c r="A101" s="1"/>
      <c r="H101" s="1" t="s">
        <v>2094</v>
      </c>
      <c r="J101" s="57" t="s">
        <v>2422</v>
      </c>
    </row>
    <row r="102" spans="1:10" ht="75" customHeight="1" x14ac:dyDescent="0.25">
      <c r="A102" s="1"/>
      <c r="H102" s="1" t="s">
        <v>602</v>
      </c>
      <c r="J102" s="57" t="s">
        <v>2424</v>
      </c>
    </row>
    <row r="103" spans="1:10" ht="75" customHeight="1" x14ac:dyDescent="0.25">
      <c r="A103" s="1"/>
      <c r="H103" s="1" t="s">
        <v>2114</v>
      </c>
      <c r="J103" s="57" t="s">
        <v>2424</v>
      </c>
    </row>
    <row r="104" spans="1:10" ht="75" customHeight="1" x14ac:dyDescent="0.25">
      <c r="A104" s="1"/>
      <c r="H104" s="1" t="s">
        <v>603</v>
      </c>
      <c r="J104" s="57" t="s">
        <v>2425</v>
      </c>
    </row>
    <row r="105" spans="1:10" ht="75" customHeight="1" x14ac:dyDescent="0.25">
      <c r="A105" s="1"/>
      <c r="H105" s="1" t="s">
        <v>608</v>
      </c>
      <c r="J105" s="57" t="s">
        <v>2425</v>
      </c>
    </row>
    <row r="106" spans="1:10" ht="75" customHeight="1" x14ac:dyDescent="0.25">
      <c r="H106" s="1" t="s">
        <v>604</v>
      </c>
      <c r="J106" s="57" t="s">
        <v>2426</v>
      </c>
    </row>
    <row r="107" spans="1:10" ht="75" customHeight="1" x14ac:dyDescent="0.25">
      <c r="H107" s="1" t="s">
        <v>2095</v>
      </c>
      <c r="J107" s="57" t="s">
        <v>2421</v>
      </c>
    </row>
    <row r="108" spans="1:10" ht="75" customHeight="1" x14ac:dyDescent="0.25">
      <c r="H108" s="1" t="s">
        <v>2096</v>
      </c>
      <c r="J108" s="57" t="s">
        <v>2420</v>
      </c>
    </row>
    <row r="109" spans="1:10" ht="75" customHeight="1" x14ac:dyDescent="0.25">
      <c r="H109" s="1" t="s">
        <v>2097</v>
      </c>
      <c r="J109" s="57" t="s">
        <v>2419</v>
      </c>
    </row>
    <row r="110" spans="1:10" ht="75" customHeight="1" x14ac:dyDescent="0.25">
      <c r="H110" s="1" t="s">
        <v>2098</v>
      </c>
      <c r="J110" s="57" t="s">
        <v>2418</v>
      </c>
    </row>
    <row r="111" spans="1:10" ht="75" customHeight="1" x14ac:dyDescent="0.25">
      <c r="H111" s="1" t="s">
        <v>2099</v>
      </c>
      <c r="J111" s="57" t="s">
        <v>2417</v>
      </c>
    </row>
    <row r="112" spans="1:10" ht="75" customHeight="1" x14ac:dyDescent="0.25">
      <c r="H112" s="1" t="s">
        <v>2100</v>
      </c>
      <c r="J112" s="57" t="s">
        <v>2396</v>
      </c>
    </row>
    <row r="113" spans="8:10" ht="75" customHeight="1" x14ac:dyDescent="0.25">
      <c r="H113" s="1" t="s">
        <v>2101</v>
      </c>
      <c r="J113" s="57" t="s">
        <v>2416</v>
      </c>
    </row>
    <row r="114" spans="8:10" ht="75" customHeight="1" x14ac:dyDescent="0.25">
      <c r="H114" s="1" t="s">
        <v>2102</v>
      </c>
      <c r="J114" s="57" t="s">
        <v>2396</v>
      </c>
    </row>
    <row r="115" spans="8:10" ht="75" customHeight="1" x14ac:dyDescent="0.25">
      <c r="H115" s="1" t="s">
        <v>605</v>
      </c>
      <c r="J115" s="57" t="s">
        <v>2427</v>
      </c>
    </row>
    <row r="116" spans="8:10" ht="75" customHeight="1" x14ac:dyDescent="0.25">
      <c r="H116" s="1" t="s">
        <v>606</v>
      </c>
      <c r="J116" s="57" t="s">
        <v>2428</v>
      </c>
    </row>
    <row r="117" spans="8:10" ht="75" customHeight="1" x14ac:dyDescent="0.25">
      <c r="H117" s="1" t="s">
        <v>2103</v>
      </c>
      <c r="J117" s="57" t="s">
        <v>2413</v>
      </c>
    </row>
    <row r="118" spans="8:10" ht="75" customHeight="1" x14ac:dyDescent="0.25">
      <c r="H118" s="1" t="s">
        <v>2104</v>
      </c>
      <c r="J118" s="57" t="s">
        <v>2413</v>
      </c>
    </row>
    <row r="119" spans="8:10" ht="75" customHeight="1" x14ac:dyDescent="0.25">
      <c r="H119" s="1" t="s">
        <v>2105</v>
      </c>
      <c r="J119" s="57" t="s">
        <v>2415</v>
      </c>
    </row>
    <row r="120" spans="8:10" ht="75" customHeight="1" x14ac:dyDescent="0.25">
      <c r="H120" s="1" t="s">
        <v>607</v>
      </c>
      <c r="J120" s="57" t="s">
        <v>2414</v>
      </c>
    </row>
    <row r="121" spans="8:10" ht="75" customHeight="1" x14ac:dyDescent="0.25">
      <c r="H121" s="1" t="s">
        <v>2106</v>
      </c>
      <c r="J121" s="57" t="s">
        <v>2429</v>
      </c>
    </row>
    <row r="122" spans="8:10" ht="75" customHeight="1" x14ac:dyDescent="0.25">
      <c r="H122" s="1" t="s">
        <v>2107</v>
      </c>
      <c r="J122" s="57" t="s">
        <v>2413</v>
      </c>
    </row>
    <row r="123" spans="8:10" ht="75" customHeight="1" x14ac:dyDescent="0.25">
      <c r="H123" s="1" t="s">
        <v>2108</v>
      </c>
      <c r="J123" s="57" t="s">
        <v>2409</v>
      </c>
    </row>
    <row r="124" spans="8:10" ht="75" customHeight="1" x14ac:dyDescent="0.25">
      <c r="H124" s="1" t="s">
        <v>2083</v>
      </c>
      <c r="J124" s="57" t="s">
        <v>2412</v>
      </c>
    </row>
    <row r="125" spans="8:10" ht="75" customHeight="1" x14ac:dyDescent="0.25">
      <c r="H125" s="1" t="s">
        <v>2085</v>
      </c>
      <c r="J125" s="57" t="s">
        <v>2397</v>
      </c>
    </row>
    <row r="126" spans="8:10" ht="75" customHeight="1" x14ac:dyDescent="0.25">
      <c r="H126" s="1" t="s">
        <v>2084</v>
      </c>
      <c r="J126" s="57" t="s">
        <v>2411</v>
      </c>
    </row>
    <row r="127" spans="8:10" ht="75" customHeight="1" x14ac:dyDescent="0.25">
      <c r="H127" s="1" t="s">
        <v>2086</v>
      </c>
      <c r="J127" s="57" t="s">
        <v>2410</v>
      </c>
    </row>
    <row r="128" spans="8:10" ht="75" customHeight="1" x14ac:dyDescent="0.25">
      <c r="H128" s="1" t="s">
        <v>2109</v>
      </c>
      <c r="J128" s="57" t="s">
        <v>2409</v>
      </c>
    </row>
    <row r="129" spans="8:10" ht="75" customHeight="1" x14ac:dyDescent="0.25">
      <c r="H129" s="1" t="s">
        <v>2110</v>
      </c>
      <c r="J129" s="57" t="s">
        <v>2430</v>
      </c>
    </row>
    <row r="130" spans="8:10" ht="75" customHeight="1" x14ac:dyDescent="0.25">
      <c r="H130" s="1" t="s">
        <v>2087</v>
      </c>
      <c r="J130" s="57" t="s">
        <v>2408</v>
      </c>
    </row>
    <row r="131" spans="8:10" ht="75" customHeight="1" x14ac:dyDescent="0.25">
      <c r="H131" s="1" t="s">
        <v>2088</v>
      </c>
      <c r="J131" s="57" t="s">
        <v>2407</v>
      </c>
    </row>
    <row r="132" spans="8:10" ht="75" customHeight="1" x14ac:dyDescent="0.25">
      <c r="H132" s="1" t="s">
        <v>2089</v>
      </c>
      <c r="J132" s="57" t="s">
        <v>2406</v>
      </c>
    </row>
    <row r="133" spans="8:10" ht="75" customHeight="1" x14ac:dyDescent="0.25">
      <c r="H133" s="1" t="s">
        <v>2090</v>
      </c>
      <c r="J133" s="57" t="s">
        <v>2405</v>
      </c>
    </row>
    <row r="134" spans="8:10" ht="75" customHeight="1" x14ac:dyDescent="0.25">
      <c r="H134" s="1" t="s">
        <v>2111</v>
      </c>
      <c r="J134" s="57" t="s">
        <v>2404</v>
      </c>
    </row>
    <row r="135" spans="8:10" ht="75" customHeight="1" x14ac:dyDescent="0.25">
      <c r="H135" s="1" t="s">
        <v>2123</v>
      </c>
      <c r="J135" s="57" t="s">
        <v>2398</v>
      </c>
    </row>
    <row r="136" spans="8:10" ht="75" customHeight="1" x14ac:dyDescent="0.25">
      <c r="H136" s="1" t="s">
        <v>2091</v>
      </c>
      <c r="J136" s="57" t="s">
        <v>2399</v>
      </c>
    </row>
    <row r="137" spans="8:10" ht="75" customHeight="1" x14ac:dyDescent="0.25">
      <c r="H137" s="1" t="s">
        <v>2092</v>
      </c>
      <c r="J137" s="57" t="s">
        <v>2400</v>
      </c>
    </row>
    <row r="138" spans="8:10" ht="75" customHeight="1" x14ac:dyDescent="0.25">
      <c r="H138" s="1" t="s">
        <v>2112</v>
      </c>
      <c r="J138" s="57" t="s">
        <v>2401</v>
      </c>
    </row>
    <row r="139" spans="8:10" ht="75" customHeight="1" x14ac:dyDescent="0.25">
      <c r="H139" s="1" t="s">
        <v>2113</v>
      </c>
      <c r="J139" s="57" t="s">
        <v>2402</v>
      </c>
    </row>
    <row r="140" spans="8:10" ht="75" customHeight="1" x14ac:dyDescent="0.25">
      <c r="H140" s="1" t="s">
        <v>254</v>
      </c>
      <c r="J140" s="57" t="s">
        <v>2403</v>
      </c>
    </row>
    <row r="141" spans="8:10" ht="75" customHeight="1" x14ac:dyDescent="0.25">
      <c r="H141" s="1" t="s">
        <v>2177</v>
      </c>
      <c r="J141" s="57" t="s">
        <v>2431</v>
      </c>
    </row>
    <row r="142" spans="8:10" ht="75" customHeight="1" x14ac:dyDescent="0.25">
      <c r="H142" s="1" t="s">
        <v>2178</v>
      </c>
      <c r="J142" s="57" t="s">
        <v>2432</v>
      </c>
    </row>
    <row r="143" spans="8:10" ht="75" customHeight="1" x14ac:dyDescent="0.25"/>
    <row r="144" spans="8:10" ht="75" customHeight="1" x14ac:dyDescent="0.25"/>
    <row r="145" ht="75" customHeight="1" x14ac:dyDescent="0.25"/>
  </sheetData>
  <mergeCells count="41">
    <mergeCell ref="R1:W4"/>
    <mergeCell ref="C2:D2"/>
    <mergeCell ref="A8:F8"/>
    <mergeCell ref="N1:P1"/>
    <mergeCell ref="A2:B2"/>
    <mergeCell ref="A3:B3"/>
    <mergeCell ref="G5:G9"/>
    <mergeCell ref="O8:R8"/>
    <mergeCell ref="G2:H2"/>
    <mergeCell ref="G3:H3"/>
    <mergeCell ref="J1:M1"/>
    <mergeCell ref="J4:O4"/>
    <mergeCell ref="M6:M7"/>
    <mergeCell ref="I2:I3"/>
    <mergeCell ref="O9:R9"/>
    <mergeCell ref="A9:F9"/>
    <mergeCell ref="J9:N9"/>
    <mergeCell ref="A12:F12"/>
    <mergeCell ref="A16:F18"/>
    <mergeCell ref="J10:N17"/>
    <mergeCell ref="O10:R17"/>
    <mergeCell ref="J8:N8"/>
    <mergeCell ref="N6:N7"/>
    <mergeCell ref="O6:O7"/>
    <mergeCell ref="L6:L7"/>
    <mergeCell ref="A7:F7"/>
    <mergeCell ref="I5:I8"/>
    <mergeCell ref="I28:W28"/>
    <mergeCell ref="R29:W29"/>
    <mergeCell ref="A13:F13"/>
    <mergeCell ref="G10:G13"/>
    <mergeCell ref="A11:F11"/>
    <mergeCell ref="A10:F10"/>
    <mergeCell ref="I29:Q29"/>
    <mergeCell ref="A14:G15"/>
    <mergeCell ref="H14:H15"/>
    <mergeCell ref="A4:G4"/>
    <mergeCell ref="A1:D1"/>
    <mergeCell ref="E1:H1"/>
    <mergeCell ref="A5:F5"/>
    <mergeCell ref="A6:F6"/>
  </mergeCells>
  <conditionalFormatting sqref="H5:H8">
    <cfRule type="cellIs" dxfId="149" priority="47" operator="greaterThan">
      <formula>1</formula>
    </cfRule>
    <cfRule type="cellIs" dxfId="148" priority="51" operator="lessThan">
      <formula>1</formula>
    </cfRule>
  </conditionalFormatting>
  <conditionalFormatting sqref="H9:H10">
    <cfRule type="cellIs" dxfId="147" priority="49" operator="lessThan">
      <formula>1</formula>
    </cfRule>
  </conditionalFormatting>
  <conditionalFormatting sqref="H10">
    <cfRule type="expression" dxfId="146" priority="25">
      <formula>$H$10="—"</formula>
    </cfRule>
    <cfRule type="cellIs" dxfId="145" priority="48" operator="greaterThan">
      <formula>1</formula>
    </cfRule>
  </conditionalFormatting>
  <conditionalFormatting sqref="H9">
    <cfRule type="expression" dxfId="144" priority="26">
      <formula>$H$9="—"</formula>
    </cfRule>
    <cfRule type="cellIs" dxfId="143" priority="46" operator="greaterThan">
      <formula>1</formula>
    </cfRule>
  </conditionalFormatting>
  <conditionalFormatting sqref="H11">
    <cfRule type="expression" dxfId="142" priority="24">
      <formula>$H$11="—"</formula>
    </cfRule>
    <cfRule type="cellIs" dxfId="141" priority="44" operator="lessThan">
      <formula>1</formula>
    </cfRule>
    <cfRule type="cellIs" dxfId="140" priority="45" operator="greaterThan">
      <formula>1</formula>
    </cfRule>
  </conditionalFormatting>
  <conditionalFormatting sqref="H16">
    <cfRule type="expression" dxfId="139" priority="17">
      <formula>$H$16="—"</formula>
    </cfRule>
    <cfRule type="cellIs" dxfId="138" priority="42" operator="lessThan">
      <formula>1</formula>
    </cfRule>
    <cfRule type="cellIs" dxfId="137" priority="43" operator="greaterThan">
      <formula>1</formula>
    </cfRule>
  </conditionalFormatting>
  <conditionalFormatting sqref="H17">
    <cfRule type="expression" dxfId="136" priority="16">
      <formula>$H$17="—"</formula>
    </cfRule>
    <cfRule type="cellIs" dxfId="135" priority="40" operator="lessThan">
      <formula>1</formula>
    </cfRule>
    <cfRule type="cellIs" dxfId="134" priority="41" operator="greaterThan">
      <formula>1</formula>
    </cfRule>
  </conditionalFormatting>
  <conditionalFormatting sqref="H18">
    <cfRule type="expression" dxfId="133" priority="15">
      <formula>$H$18="—"</formula>
    </cfRule>
    <cfRule type="cellIs" dxfId="132" priority="38" operator="lessThan">
      <formula>1</formula>
    </cfRule>
    <cfRule type="cellIs" dxfId="131" priority="39" operator="greaterThan">
      <formula>1</formula>
    </cfRule>
  </conditionalFormatting>
  <conditionalFormatting sqref="H12:H13">
    <cfRule type="cellIs" dxfId="130" priority="34" operator="greaterThan">
      <formula>1</formula>
    </cfRule>
    <cfRule type="cellIs" dxfId="129" priority="35" operator="lessThan">
      <formula>1</formula>
    </cfRule>
  </conditionalFormatting>
  <conditionalFormatting sqref="K3">
    <cfRule type="expression" dxfId="128" priority="33">
      <formula>$F$33=1</formula>
    </cfRule>
  </conditionalFormatting>
  <conditionalFormatting sqref="N3:P3">
    <cfRule type="expression" dxfId="127" priority="32">
      <formula>$F$33=0</formula>
    </cfRule>
  </conditionalFormatting>
  <conditionalFormatting sqref="F3">
    <cfRule type="expression" dxfId="126" priority="30">
      <formula>$F$34=0</formula>
    </cfRule>
  </conditionalFormatting>
  <conditionalFormatting sqref="E3">
    <cfRule type="expression" dxfId="125" priority="29">
      <formula>$F$35=0</formula>
    </cfRule>
  </conditionalFormatting>
  <conditionalFormatting sqref="H12">
    <cfRule type="expression" dxfId="124" priority="23">
      <formula>$H$12="—"</formula>
    </cfRule>
  </conditionalFormatting>
  <conditionalFormatting sqref="H13">
    <cfRule type="expression" dxfId="123" priority="22">
      <formula>$H$13="—"</formula>
    </cfRule>
  </conditionalFormatting>
  <conditionalFormatting sqref="H8">
    <cfRule type="expression" dxfId="122" priority="21">
      <formula>$H$8="—"</formula>
    </cfRule>
  </conditionalFormatting>
  <conditionalFormatting sqref="H7">
    <cfRule type="expression" dxfId="121" priority="20">
      <formula>$H$7="—"</formula>
    </cfRule>
  </conditionalFormatting>
  <conditionalFormatting sqref="H6">
    <cfRule type="expression" dxfId="120" priority="19">
      <formula>$H$6="—"</formula>
    </cfRule>
  </conditionalFormatting>
  <conditionalFormatting sqref="H5">
    <cfRule type="expression" dxfId="119" priority="18">
      <formula>$H$5="—"</formula>
    </cfRule>
  </conditionalFormatting>
  <conditionalFormatting sqref="H4">
    <cfRule type="cellIs" dxfId="118" priority="10" operator="equal">
      <formula>"Не проходит"</formula>
    </cfRule>
    <cfRule type="cellIs" dxfId="117" priority="11" operator="equal">
      <formula>"Проходит"</formula>
    </cfRule>
  </conditionalFormatting>
  <conditionalFormatting sqref="H4">
    <cfRule type="cellIs" dxfId="116" priority="9" operator="equal">
      <formula>"Не применимо"</formula>
    </cfRule>
  </conditionalFormatting>
  <conditionalFormatting sqref="H14">
    <cfRule type="cellIs" dxfId="115" priority="7" operator="equal">
      <formula>"Не проходит"</formula>
    </cfRule>
    <cfRule type="cellIs" dxfId="114" priority="8" operator="equal">
      <formula>"Проходит"</formula>
    </cfRule>
  </conditionalFormatting>
  <conditionalFormatting sqref="H14">
    <cfRule type="cellIs" dxfId="113" priority="6" operator="equal">
      <formula>"Не применимо"</formula>
    </cfRule>
  </conditionalFormatting>
  <conditionalFormatting sqref="E1">
    <cfRule type="cellIs" dxfId="112" priority="4" operator="equal">
      <formula>"Несущая способность узла не обеспечена, необходима дополнительная проверка узла"</formula>
    </cfRule>
    <cfRule type="cellIs" dxfId="111" priority="5" operator="equal">
      <formula>"Несущая способность узла обеспечена, узел можно применять"</formula>
    </cfRule>
  </conditionalFormatting>
  <conditionalFormatting sqref="E1">
    <cfRule type="cellIs" dxfId="110" priority="3" operator="equal">
      <formula>"Неправильно подобраны профили для данного узла или незаполнены усилия"</formula>
    </cfRule>
  </conditionalFormatting>
  <conditionalFormatting sqref="E1:H1">
    <cfRule type="cellIs" dxfId="109" priority="2" operator="equal">
      <formula>"Усилие T(Mx) слишком большое для данного узла, необходимо дополнитеьно проверить узел в Idea Statica или выбрать фланцевый шарнирный узел для данного случая"</formula>
    </cfRule>
  </conditionalFormatting>
  <conditionalFormatting sqref="H5:H18">
    <cfRule type="cellIs" dxfId="108" priority="1" operator="equal">
      <formula>0</formula>
    </cfRule>
  </conditionalFormatting>
  <conditionalFormatting sqref="G5">
    <cfRule type="containsText" dxfId="107" priority="13" operator="containsText" text="Внимание">
      <formula>NOT(ISERROR(SEARCH("Внимание",G5)))</formula>
    </cfRule>
  </conditionalFormatting>
  <dataValidations count="2">
    <dataValidation type="list" allowBlank="1" showInputMessage="1" showErrorMessage="1" sqref="F3" xr:uid="{00000000-0002-0000-0000-000000000000}">
      <formula1>_R3_R4_Var</formula1>
    </dataValidation>
    <dataValidation type="list" allowBlank="1" showInputMessage="1" showErrorMessage="1" sqref="A3:B3" xr:uid="{00000000-0002-0000-0000-000001000000}">
      <formula1>_H2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Data!$R$8:$R$75</xm:f>
          </x14:formula1>
          <xm:sqref>E3</xm:sqref>
        </x14:dataValidation>
        <x14:dataValidation type="list" allowBlank="1" showInputMessage="1" showErrorMessage="1" xr:uid="{00000000-0002-0000-0000-000003000000}">
          <x14:formula1>
            <xm:f>Data!$E$1:$E$43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9">
    <tabColor theme="5" tint="0.39997558519241921"/>
  </sheetPr>
  <dimension ref="A1:DP42710"/>
  <sheetViews>
    <sheetView topLeftCell="Z1" zoomScale="85" zoomScaleNormal="85" workbookViewId="0">
      <pane ySplit="5" topLeftCell="A6" activePane="bottomLeft" state="frozen"/>
      <selection activeCell="U1" sqref="U1"/>
      <selection pane="bottomLeft" activeCell="X1" sqref="X1:AN15"/>
    </sheetView>
  </sheetViews>
  <sheetFormatPr defaultRowHeight="15" x14ac:dyDescent="0.25"/>
  <cols>
    <col min="1" max="7" width="9.140625" hidden="1" customWidth="1"/>
    <col min="8" max="8" width="9.140625" customWidth="1"/>
    <col min="9" max="10" width="9.140625" hidden="1" customWidth="1"/>
    <col min="11" max="11" width="14.5703125" customWidth="1"/>
    <col min="12" max="12" width="11.85546875" customWidth="1"/>
    <col min="13" max="13" width="11.140625" customWidth="1"/>
    <col min="16" max="16" width="11.7109375" customWidth="1"/>
    <col min="17" max="17" width="11.42578125" customWidth="1"/>
    <col min="18" max="18" width="11" customWidth="1"/>
    <col min="19" max="19" width="11.28515625" customWidth="1"/>
    <col min="20" max="20" width="10" customWidth="1"/>
    <col min="21" max="21" width="15" bestFit="1" customWidth="1"/>
    <col min="22" max="22" width="14" bestFit="1" customWidth="1"/>
    <col min="23" max="23" width="14" hidden="1" customWidth="1"/>
    <col min="24" max="24" width="15.85546875" bestFit="1" customWidth="1"/>
    <col min="25" max="25" width="16.85546875" bestFit="1" customWidth="1"/>
    <col min="26" max="26" width="14.7109375" style="7" customWidth="1"/>
    <col min="27" max="27" width="11.7109375" customWidth="1"/>
    <col min="28" max="28" width="12.28515625" customWidth="1"/>
    <col min="29" max="32" width="12" customWidth="1"/>
    <col min="33" max="33" width="15.28515625" customWidth="1"/>
    <col min="34" max="37" width="12" customWidth="1"/>
    <col min="38" max="40" width="11.28515625" customWidth="1"/>
    <col min="41" max="41" width="12" customWidth="1"/>
    <col min="42" max="42" width="14.85546875" customWidth="1"/>
    <col min="43" max="44" width="12.28515625" hidden="1" customWidth="1"/>
    <col min="45" max="48" width="0" hidden="1" customWidth="1"/>
    <col min="49" max="49" width="10.7109375" hidden="1" customWidth="1"/>
    <col min="50" max="50" width="13.7109375" hidden="1" customWidth="1"/>
    <col min="51" max="51" width="14.5703125" hidden="1" customWidth="1"/>
    <col min="52" max="52" width="12.7109375" hidden="1" customWidth="1"/>
    <col min="53" max="53" width="10.85546875" hidden="1" customWidth="1"/>
    <col min="54" max="54" width="10" hidden="1" customWidth="1"/>
    <col min="55" max="55" width="12.140625" customWidth="1"/>
    <col min="56" max="56" width="11.140625" hidden="1" customWidth="1"/>
    <col min="57" max="57" width="11.42578125" hidden="1" customWidth="1"/>
    <col min="58" max="58" width="12.42578125" hidden="1" customWidth="1"/>
    <col min="59" max="59" width="10" hidden="1" customWidth="1"/>
    <col min="60" max="61" width="9.140625" hidden="1" customWidth="1"/>
    <col min="62" max="62" width="12" hidden="1" customWidth="1"/>
    <col min="63" max="120" width="9.140625" hidden="1" customWidth="1"/>
    <col min="121" max="122" width="9.140625" customWidth="1"/>
  </cols>
  <sheetData>
    <row r="1" spans="11:61" ht="15" customHeight="1" thickBot="1" x14ac:dyDescent="0.3">
      <c r="K1" s="222" t="s">
        <v>2176</v>
      </c>
      <c r="L1" s="224" t="str">
        <f>Проверка!C3</f>
        <v>H2</v>
      </c>
      <c r="M1" s="224" t="str">
        <f>Проверка!A3</f>
        <v>20Б2</v>
      </c>
      <c r="N1" s="111">
        <f ca="1">SUM(O1:U1)</f>
        <v>4</v>
      </c>
      <c r="O1" s="111">
        <f ca="1">IF(SUM(INDIRECT("O22:O"&amp;$I$19))=0,0,1)</f>
        <v>1</v>
      </c>
      <c r="P1" s="111">
        <f ca="1">IF(SUM(INDIRECT("P22:P"&amp;$I$19))=0,0,1)</f>
        <v>1</v>
      </c>
      <c r="Q1" s="111"/>
      <c r="R1" s="111">
        <f ca="1">IF(SUM(INDIRECT("R22:R"&amp;$I$19))=0,0,1)</f>
        <v>1</v>
      </c>
      <c r="S1" s="111"/>
      <c r="T1" s="111">
        <f ca="1">IF(SUM(INDIRECT("T22:T"&amp;$I$19))=0,0,1)</f>
        <v>1</v>
      </c>
      <c r="U1" s="111">
        <f ca="1">IF(SUM(INDIRECT("U22:U"&amp;$I$19))=0,0,1)</f>
        <v>0</v>
      </c>
      <c r="V1" s="256" t="s">
        <v>0</v>
      </c>
      <c r="W1" s="264" t="s">
        <v>2169</v>
      </c>
      <c r="X1" s="258" t="s">
        <v>257</v>
      </c>
      <c r="Y1" s="258" t="s">
        <v>1</v>
      </c>
      <c r="Z1" s="258" t="s">
        <v>2</v>
      </c>
      <c r="AA1" s="254" t="str">
        <f>"QY, kN"</f>
        <v>QY, kN</v>
      </c>
      <c r="AB1" s="254" t="str">
        <f>"N, kN"</f>
        <v>N, kN</v>
      </c>
      <c r="AC1" s="254" t="str">
        <f>"QZ, kN"</f>
        <v>QZ, kN</v>
      </c>
      <c r="AD1" s="254" t="str">
        <f>"T, kN*m"</f>
        <v>T, kN*m</v>
      </c>
      <c r="AE1" s="254" t="str">
        <f>"M, kN*m"</f>
        <v>M, kN*m</v>
      </c>
      <c r="AF1" s="254" t="str">
        <f>"Mo, kN*m"</f>
        <v>Mo, kN*m</v>
      </c>
      <c r="AG1" s="241" t="str">
        <f>"Mw, kN*m*m"</f>
        <v>Mw, kN*m*m</v>
      </c>
      <c r="AH1" s="226" t="s">
        <v>618</v>
      </c>
      <c r="AI1" s="227"/>
      <c r="AJ1" s="227"/>
      <c r="AK1" s="228"/>
      <c r="AL1" s="226" t="s">
        <v>18</v>
      </c>
      <c r="AM1" s="227"/>
      <c r="AN1" s="228"/>
      <c r="AT1" s="36" t="str">
        <f>"QY, кН"</f>
        <v>QY, кН</v>
      </c>
      <c r="AU1" s="36" t="str">
        <f>"N, кН"</f>
        <v>N, кН</v>
      </c>
      <c r="AV1" s="36" t="str">
        <f>"QZ, кН"</f>
        <v>QZ, кН</v>
      </c>
      <c r="AW1" s="36" t="str">
        <f>"T, кН*м"</f>
        <v>T, кН*м</v>
      </c>
      <c r="AX1" s="36" t="str">
        <f>"M, кН*м"</f>
        <v>M, кН*м</v>
      </c>
      <c r="AY1" s="36" t="str">
        <f>"Mo, кН*м"</f>
        <v>Mo, кН*м</v>
      </c>
      <c r="AZ1" s="38" t="s">
        <v>2165</v>
      </c>
      <c r="BA1" s="36" t="str">
        <f>"Nt, кН"</f>
        <v>Nt, кН</v>
      </c>
      <c r="BB1" s="36" t="str">
        <f>"Nc, кН"</f>
        <v>Nc, кН</v>
      </c>
    </row>
    <row r="2" spans="11:61" ht="15" customHeight="1" thickBot="1" x14ac:dyDescent="0.3">
      <c r="K2" s="222"/>
      <c r="L2" s="224"/>
      <c r="M2" s="224"/>
      <c r="N2" s="156"/>
      <c r="V2" s="257"/>
      <c r="W2" s="265"/>
      <c r="X2" s="259"/>
      <c r="Y2" s="261"/>
      <c r="Z2" s="259"/>
      <c r="AA2" s="255"/>
      <c r="AB2" s="255"/>
      <c r="AC2" s="255"/>
      <c r="AD2" s="255"/>
      <c r="AE2" s="255"/>
      <c r="AF2" s="255"/>
      <c r="AG2" s="242"/>
      <c r="AH2" s="229"/>
      <c r="AI2" s="230"/>
      <c r="AJ2" s="230"/>
      <c r="AK2" s="231"/>
      <c r="AL2" s="229"/>
      <c r="AM2" s="230"/>
      <c r="AN2" s="231"/>
      <c r="AQ2" s="145" t="s">
        <v>2436</v>
      </c>
      <c r="AR2" s="121" t="e">
        <f ca="1">IFERROR((INDEX(INDIRECT("Y21:Y"&amp;$I$19),MATCH($AJ$5,INDIRECT("AJ21:AJ"&amp;$I$19),0))),(INDEX(INDIRECT("Y21:Y"&amp;$I$19),MATCH($AJ$5*-1,INDIRECT("AJ21:AJ"&amp;$I$19),0))))</f>
        <v>#VALUE!</v>
      </c>
      <c r="AS2" s="121" t="e">
        <f ca="1">IFERROR((INDEX(INDIRECT("Z21:Z"&amp;$I$19),MATCH($AJ$5,INDIRECT("AJ21:AJ"&amp;$I$19),0))),(INDEX(INDIRECT("Z21:Z"&amp;$I$19),MATCH($AJ$5*-1,INDIRECT("AJ21:AJ"&amp;$I$19),0))))</f>
        <v>#VALUE!</v>
      </c>
      <c r="AT2" s="121" t="e">
        <f ca="1">IFERROR((INDEX(INDIRECT("AA21:AA"&amp;$I$19),MATCH($AJ$5,INDIRECT("AJ21:AJ"&amp;$I$19),0))),(INDEX(INDIRECT("AA21:AA"&amp;$I$19),MATCH($AJ$5*-1,INDIRECT("AJ21:AJ"&amp;$I$19),0))))</f>
        <v>#VALUE!</v>
      </c>
      <c r="AU2" s="121" t="e">
        <f ca="1">IFERROR((INDEX(INDIRECT("AB21:AB"&amp;$I$19),MATCH($AJ$5,INDIRECT("AJ21:AJ"&amp;$I$19),0))),(INDEX(INDIRECT("AB21:AB"&amp;$I$19),MATCH($AJ$5*-1,INDIRECT("AJ21:AJ"&amp;$I$19),0))))</f>
        <v>#VALUE!</v>
      </c>
      <c r="AV2" s="121" t="e">
        <f ca="1">IFERROR((INDEX(INDIRECT("AC21:AC"&amp;$I$19),MATCH($AJ$5,INDIRECT("AJ21:AJ"&amp;$I$19),0))),(INDEX(INDIRECT("AC21:AC"&amp;$I$19),MATCH($AJ$5*-1,INDIRECT("AJ21:AJ"&amp;$I$19),0))))</f>
        <v>#VALUE!</v>
      </c>
      <c r="AW2" s="121" t="e">
        <f ca="1">IFERROR((INDEX(INDIRECT("AD21:AD"&amp;$I$19),MATCH($AJ$5,INDIRECT("AJ21:AJ"&amp;$I$19),0))),(INDEX(INDIRECT("AD21:AD"&amp;$I$19),MATCH($AJ$5*-1,INDIRECT("AJ21:AJ"&amp;$I$19),0))))</f>
        <v>#VALUE!</v>
      </c>
      <c r="AX2" s="121" t="e">
        <f ca="1">IFERROR((INDEX(INDIRECT("AE21:AE"&amp;$I$19),MATCH($AJ$5,INDIRECT("AJ21:AJ"&amp;$I$19),0))),(INDEX(INDIRECT("AE21:AE"&amp;$I$19),MATCH($AJ$5*-1,INDIRECT("AJ21:AJ"&amp;$I$19),0))))</f>
        <v>#VALUE!</v>
      </c>
      <c r="AY2" s="121" t="e">
        <f ca="1">IFERROR((INDEX(INDIRECT("AF21:AF"&amp;$I$19),MATCH($AJ$5,INDIRECT("AJ21:AJ"&amp;$I$19),0))),(INDEX(INDIRECT("AF21:AF"&amp;$I$19),MATCH($AJ$5*-1,INDIRECT("AJ21:AJ"&amp;$I$19),0))))</f>
        <v>#VALUE!</v>
      </c>
      <c r="AZ2" s="121" t="e">
        <f ca="1">IFERROR((INDEX(INDIRECT("AG21:AG"&amp;$I$19),MATCH($AJ$5,INDIRECT("AJ21:AJ"&amp;$I$19),0))),(INDEX(INDIRECT("AG21:AG"&amp;$I$19),MATCH($AJ$5*-1,INDIRECT("AJ21:AJ"&amp;$I$19),0))))</f>
        <v>#VALUE!</v>
      </c>
      <c r="BA2" s="121" t="e">
        <f ca="1">IFERROR((INDEX(INDIRECT("AH21:AH"&amp;$I$19),MATCH($AJ$5,INDIRECT("AJ21:AJ"&amp;$I$19),0))),(INDEX(INDIRECT("AH21:AH"&amp;$I$19),MATCH($AJ$5*-1,INDIRECT("AJ21:AJ"&amp;$I$19),0))))</f>
        <v>#VALUE!</v>
      </c>
      <c r="BB2" s="146">
        <f ca="1">MIN(INDIRECT("AJ21:AJ"&amp;$I$19))</f>
        <v>0</v>
      </c>
    </row>
    <row r="3" spans="11:61" ht="15" customHeight="1" thickBot="1" x14ac:dyDescent="0.3">
      <c r="K3" s="223"/>
      <c r="L3" s="225"/>
      <c r="M3" s="225"/>
      <c r="V3" s="257" t="s">
        <v>3</v>
      </c>
      <c r="W3" s="266"/>
      <c r="X3" s="259"/>
      <c r="Y3" s="261"/>
      <c r="Z3" s="259"/>
      <c r="AA3" s="236" t="s">
        <v>4</v>
      </c>
      <c r="AB3" s="236" t="s">
        <v>5</v>
      </c>
      <c r="AC3" s="236" t="s">
        <v>6</v>
      </c>
      <c r="AD3" s="236" t="s">
        <v>613</v>
      </c>
      <c r="AE3" s="236" t="s">
        <v>614</v>
      </c>
      <c r="AF3" s="236" t="s">
        <v>619</v>
      </c>
      <c r="AG3" s="236" t="s">
        <v>2171</v>
      </c>
      <c r="AH3" s="240" t="s">
        <v>616</v>
      </c>
      <c r="AI3" s="232" t="s">
        <v>617</v>
      </c>
      <c r="AJ3" s="232" t="s">
        <v>2172</v>
      </c>
      <c r="AK3" s="232" t="s">
        <v>2173</v>
      </c>
      <c r="AL3" s="238" t="s">
        <v>19</v>
      </c>
      <c r="AM3" s="234" t="s">
        <v>20</v>
      </c>
      <c r="AN3" s="234" t="s">
        <v>97</v>
      </c>
      <c r="AQ3" s="148" t="s">
        <v>2437</v>
      </c>
      <c r="AR3" s="149" t="str">
        <f ca="1">IFERROR((INDEX(INDIRECT("Y21:Y"&amp;$I$19),MATCH($AK$5,INDIRECT("AK21:AK"&amp;$I$19),0))),(INDEX(INDIRECT("Y21:Y"&amp;$I$19),MATCH($AK$5*-1,INDIRECT("AK21:AK"&amp;$I$19),0))))</f>
        <v>1...4 7 9 10 12</v>
      </c>
      <c r="AS3" s="149">
        <f ca="1">IFERROR((INDEX(INDIRECT("Z21:Z"&amp;$I$19),MATCH($AK$5,INDIRECT("AK21:AK"&amp;$I$19),0))),(INDEX(INDIRECT("Z21:Z"&amp;$I$19),MATCH($AK$5*-1,INDIRECT("AK21:AK"&amp;$I$19),0))))</f>
        <v>125</v>
      </c>
      <c r="AT3" s="149">
        <f ca="1">IFERROR((INDEX(INDIRECT("AA21:AA"&amp;$I$19),MATCH($AK$5,INDIRECT("AK21:AK"&amp;$I$19),0))),(INDEX(INDIRECT("AA21:AA"&amp;$I$19),MATCH($AK$5*-1,INDIRECT("AK21:AK"&amp;$I$19),0))))</f>
        <v>-0.36606</v>
      </c>
      <c r="AU3" s="149">
        <f ca="1">IFERROR((INDEX(INDIRECT("AB21:AB"&amp;$I$19),MATCH($AK$5,INDIRECT("AK21:AK"&amp;$I$19),0))),(INDEX(INDIRECT("AB21:AB"&amp;$I$19),MATCH($AK$5*-1,INDIRECT("AK21:AK"&amp;$I$19),0))))</f>
        <v>6.9880000000000004</v>
      </c>
      <c r="AV3" s="149">
        <f ca="1">IFERROR((INDEX(INDIRECT("AC21:AC"&amp;$I$19),MATCH($AK$5,INDIRECT("AK21:AK"&amp;$I$19),0))),(INDEX(INDIRECT("AC21:AC"&amp;$I$19),MATCH($AK$5*-1,INDIRECT("AK21:AK"&amp;$I$19),0))))</f>
        <v>1.6221000000000001</v>
      </c>
      <c r="AW3" s="149">
        <f ca="1">IFERROR((INDEX(INDIRECT("AD21:AD"&amp;$I$19),MATCH($AK$5,INDIRECT("AK21:AK"&amp;$I$19),0))),(INDEX(INDIRECT("AD21:AD"&amp;$I$19),MATCH($AK$5*-1,INDIRECT("AK21:AK"&amp;$I$19),0))))</f>
        <v>1.3999999999999999E-4</v>
      </c>
      <c r="AX3" s="149">
        <f ca="1">IFERROR((INDEX(INDIRECT("AE21:AE"&amp;$I$19),MATCH($AK$5,INDIRECT("AK21:AK"&amp;$I$19),0))),(INDEX(INDIRECT("AE21:AE"&amp;$I$19),MATCH($AK$5*-1,INDIRECT("AK21:AK"&amp;$I$19),0))))</f>
        <v>0</v>
      </c>
      <c r="AY3" s="149">
        <f ca="1">IFERROR((INDEX(INDIRECT("AF21:AF"&amp;$I$19),MATCH($AK$5,INDIRECT("AK21:AK"&amp;$I$19),0))),(INDEX(INDIRECT("AF21:AF"&amp;$I$19),MATCH($AK$5*-1,INDIRECT("AK21:AK"&amp;$I$19),0))))</f>
        <v>0</v>
      </c>
      <c r="AZ3" s="149">
        <f ca="1">IFERROR((INDEX(INDIRECT("AG21:AG"&amp;$I$19),MATCH($AK$5,INDIRECT("AK21:AK"&amp;$I$19),0))),(INDEX(INDIRECT("AG21:AG"&amp;$I$19),MATCH($AK$5*-1,INDIRECT("AK21:AK"&amp;$I$19),0))))</f>
        <v>0</v>
      </c>
      <c r="BA3" s="149">
        <f ca="1">IFERROR((INDEX(INDIRECT("AH21:AH"&amp;$I$19),MATCH($AK$5,INDIRECT("AK21:AK"&amp;$I$19),0))),(INDEX(INDIRECT("AH21:AH"&amp;$I$19),MATCH($AK$5*-1,INDIRECT("AK21:AK"&amp;$I$19),0))))</f>
        <v>6.9880000000000004</v>
      </c>
      <c r="BB3" s="150">
        <f ca="1">MIN(INDIRECT("AK21:AK"&amp;$I$19))</f>
        <v>0</v>
      </c>
    </row>
    <row r="4" spans="11:61" ht="15.75" customHeight="1" thickBot="1" x14ac:dyDescent="0.3">
      <c r="K4" s="34" t="str">
        <f>"DCL No."</f>
        <v>DCL No.</v>
      </c>
      <c r="L4" s="34" t="str">
        <f>"ELEM type"</f>
        <v>ELEM type</v>
      </c>
      <c r="M4" s="34" t="s">
        <v>7</v>
      </c>
      <c r="N4" s="35" t="s">
        <v>8</v>
      </c>
      <c r="O4" s="34" t="str">
        <f>"N, kN"</f>
        <v>N, kN</v>
      </c>
      <c r="P4" s="34" t="str">
        <f>"MK, kN*m"</f>
        <v>MK, kN*m</v>
      </c>
      <c r="Q4" s="34" t="str">
        <f>"MY, kN*m"</f>
        <v>MY, kN*m</v>
      </c>
      <c r="R4" s="35" t="str">
        <f>"QZ, kN"</f>
        <v>QZ, kN</v>
      </c>
      <c r="S4" s="34" t="str">
        <f>"MZ, kN*m"</f>
        <v>MZ, kN*m</v>
      </c>
      <c r="T4" s="34" t="str">
        <f>"QY, kN"</f>
        <v>QY, kN</v>
      </c>
      <c r="U4" s="34" t="s">
        <v>2139</v>
      </c>
      <c r="V4" s="263"/>
      <c r="W4" s="267">
        <f ca="1">IF(MAX(INDIRECT("W21:W"&amp;$I$19))=0,0,MAX(INDIRECT("W21:W"&amp;$I$19)))</f>
        <v>0</v>
      </c>
      <c r="X4" s="260"/>
      <c r="Y4" s="262"/>
      <c r="Z4" s="260"/>
      <c r="AA4" s="237"/>
      <c r="AB4" s="237"/>
      <c r="AC4" s="237"/>
      <c r="AD4" s="237"/>
      <c r="AE4" s="237"/>
      <c r="AF4" s="237"/>
      <c r="AG4" s="237"/>
      <c r="AH4" s="237"/>
      <c r="AI4" s="233"/>
      <c r="AJ4" s="233"/>
      <c r="AK4" s="233"/>
      <c r="AL4" s="239"/>
      <c r="AM4" s="235"/>
      <c r="AN4" s="235"/>
    </row>
    <row r="5" spans="11:61" ht="16.5" thickBot="1" x14ac:dyDescent="0.3">
      <c r="K5" s="36" t="str">
        <f>"Номер РСН"</f>
        <v>Номер РСН</v>
      </c>
      <c r="L5" s="37" t="s">
        <v>9</v>
      </c>
      <c r="M5" s="36" t="s">
        <v>10</v>
      </c>
      <c r="N5" s="36" t="s">
        <v>11</v>
      </c>
      <c r="O5" s="36" t="str">
        <f>"N, кН"</f>
        <v>N, кН</v>
      </c>
      <c r="P5" s="37" t="str">
        <f>"MK, кН*м"</f>
        <v>MK, кН*м</v>
      </c>
      <c r="Q5" s="36" t="str">
        <f>"MY, кН*м"</f>
        <v>MY, кН*м</v>
      </c>
      <c r="R5" s="37" t="str">
        <f>"QZ, кН"</f>
        <v>QZ, кН</v>
      </c>
      <c r="S5" s="36" t="str">
        <f>"MZ, кН*м"</f>
        <v>MZ, кН*м</v>
      </c>
      <c r="T5" s="38" t="str">
        <f>"QY, кН"</f>
        <v>QY, кН</v>
      </c>
      <c r="U5" s="38" t="s">
        <v>2140</v>
      </c>
      <c r="V5" s="39" t="s">
        <v>12</v>
      </c>
      <c r="W5" s="268"/>
      <c r="X5" s="87">
        <f ca="1">IF(MAX(INDIRECT("X21:X"&amp;$I$19))=0,0,MAX(INDIRECT("X21:X"&amp;$I$19)))</f>
        <v>9.5723614335117724E-2</v>
      </c>
      <c r="Y5" s="88" t="str">
        <f ca="1">IF(IFERROR((VLOOKUP($X$5,INDIRECT("X21:AC"&amp;$I$19),2,FALSE)),0)=0,"-",IFERROR((VLOOKUP($X$5,INDIRECT("X21:AC"&amp;$I$19),2,FALSE)),0))</f>
        <v>1 2 8...10 12</v>
      </c>
      <c r="Z5" s="89">
        <f ca="1">IF(IFERROR((VLOOKUP($X$5,INDIRECT("X21:AB"&amp;$I$19),3,FALSE)),0)=0,"-",IFERROR((VLOOKUP($X$5,INDIRECT("X21:AB"&amp;$I$19),3,FALSE)),0))</f>
        <v>142</v>
      </c>
      <c r="AA5" s="90">
        <f ca="1">IF(MAX(ABS(MIN(INDIRECT("AA21:AA"&amp;$I$19))),ABS(MAX(INDIRECT("AA21:AA"&amp;$I$19))))=0,"-",MAX(ABS(MIN(INDIRECT("AA21:AA"&amp;$I$19))),ABS(MAX(INDIRECT("AA21:AA"&amp;$I$19)))))</f>
        <v>0.36606</v>
      </c>
      <c r="AB5" s="91">
        <f ca="1">IF(IFERROR((VLOOKUP($X$5,INDIRECT("X21:AB"&amp;$I$19),5,FALSE)),0)=0,"-",IFERROR((VLOOKUP($X$5,INDIRECT("X21:AB"&amp;$I$19),5,FALSE)),0))</f>
        <v>19.52</v>
      </c>
      <c r="AC5" s="92">
        <f ca="1">IF(IFERROR((VLOOKUP($X$5,INDIRECT("X21:AC"&amp;$I$19),6,FALSE)),0)=0,"-",IFERROR((VLOOKUP($X$5,INDIRECT("X21:AC"&amp;$I$19),6,FALSE)),0))</f>
        <v>0.46994999999999998</v>
      </c>
      <c r="AD5" s="93">
        <f ca="1">IF(MAX(ABS(MIN(INDIRECT("AD21:AC"&amp;$I$19))),ABS(MAX(INDIRECT("AD21:AD"&amp;$I$19))))=0,0,MAX(ABS(MIN(INDIRECT("AD21:AD"&amp;$I$19))),ABS(MAX(INDIRECT("AD21:AD"&amp;$I$19)))))</f>
        <v>9.0069999999999997E-2</v>
      </c>
      <c r="AE5" s="93" t="str">
        <f ca="1">IF(MAX(ABS(MIN(INDIRECT("AE21:AE"&amp;$I$19))),ABS(MAX(INDIRECT("AE21:AE"&amp;$I$19))))=0,"-",MAX(ABS(MIN(INDIRECT("AE21:AE"&amp;$I$19))),ABS(MAX(INDIRECT("AE21:AE"&amp;$I$19)))))</f>
        <v>-</v>
      </c>
      <c r="AF5" s="93" t="str">
        <f ca="1">IF(MAX(ABS(MIN(INDIRECT("AF21:AF"&amp;$I$19))),ABS(MAX(INDIRECT("AF21:AF"&amp;$I$19))))=0,"-",MAX(ABS(MIN(INDIRECT("AF21:AF"&amp;$I$19))),ABS(MAX(INDIRECT("AF21:AF"&amp;$I$19)))))</f>
        <v>-</v>
      </c>
      <c r="AG5" s="93" t="str">
        <f ca="1">IF(MAX(ABS(MIN(INDIRECT("AG21:AG"&amp;$I$19))),ABS(MAX(INDIRECT("AG21:AG"&amp;$I$19))))=0,"-",MAX(ABS(MIN(INDIRECT("AG21:AG"&amp;$I$19))),ABS(MAX(INDIRECT("AG21:AG"&amp;$I$19)))))</f>
        <v>-</v>
      </c>
      <c r="AH5" s="93">
        <f ca="1">IF(MAX(INDIRECT("AH21:AH"&amp;$I$19))=0,"-",MAX(INDIRECT("AH21:AH"&amp;$I$19)))</f>
        <v>19.52</v>
      </c>
      <c r="AI5" s="94">
        <f ca="1">IF(MIN(INDIRECT("AI21:AI"&amp;$I$19))=0,"-",MIN(INDIRECT("AI21:AI"&amp;$I$19)))</f>
        <v>-18.472999999999999</v>
      </c>
      <c r="AJ5" s="94" t="str">
        <f ca="1">IF(MAX(INDIRECT("AJ21:AJ"&amp;$I$19))=0,"-",MAX(INDIRECT("AJ21:AJ"&amp;$I$19)))</f>
        <v>-</v>
      </c>
      <c r="AK5" s="94">
        <f ca="1">IF(MAX(INDIRECT("AK21:AK"&amp;$I$19))=0,"-",MAX(INDIRECT("AK21:AK"&amp;$I$19)))</f>
        <v>1.8198531353135313E-2</v>
      </c>
      <c r="AL5" s="93">
        <f ca="1">IF(MAX(INDIRECT("AL21:AL"&amp;$I$19))=0,"-",MAX(INDIRECT("AL21:AL"&amp;$I$19)))</f>
        <v>7.5366795366795358E-2</v>
      </c>
      <c r="AM5" s="93">
        <f ca="1">IF(MAX(INDIRECT("AM21:AM"&amp;$I$19))=0,"-",MAX(INDIRECT("AM21:AM"&amp;$I$19)))</f>
        <v>3.644246996789214E-2</v>
      </c>
      <c r="AN5" s="93">
        <f ca="1">IF(MAX(INDIRECT("AN21:AN"&amp;$I$19))=0,"-",MAX(INDIRECT("AN21:AN"&amp;$I$19)))</f>
        <v>7.6032581865249804E-2</v>
      </c>
      <c r="BI5" s="1"/>
    </row>
    <row r="6" spans="11:61" ht="15" hidden="1" customHeight="1" thickBot="1" x14ac:dyDescent="0.3">
      <c r="X6" s="22">
        <f ca="1">IF(SUM(INDIRECT("X21:X"&amp;$I$19))=0,1,0)</f>
        <v>0</v>
      </c>
      <c r="Y6" s="22"/>
      <c r="Z6" s="101" t="s">
        <v>2137</v>
      </c>
      <c r="AA6" s="102"/>
      <c r="AB6" s="103">
        <f ca="1">MAX(ABS(MIN(INDIRECT("AB21:AB"&amp;$I$19))),ABS(MAX(INDIRECT("AB21:AB"&amp;$I$19))))</f>
        <v>19.52</v>
      </c>
      <c r="AC6" s="104">
        <f ca="1">MAX(ABS(MIN(INDIRECT("AC21:AC"&amp;$I$19))),ABS(MAX(INDIRECT("AC21:AC"&amp;$I$19))))</f>
        <v>1.6808000000000001</v>
      </c>
      <c r="AD6" s="22"/>
      <c r="AE6" s="22"/>
      <c r="AF6" s="22"/>
      <c r="AG6" s="22"/>
      <c r="AH6" s="22"/>
      <c r="AI6" s="22"/>
      <c r="AJ6" s="22"/>
      <c r="AK6" s="22"/>
      <c r="AL6" s="22">
        <f ca="1">IF(SUM(INDIRECT("AL21:AL"&amp;$I$19))=0,1,0)</f>
        <v>0</v>
      </c>
      <c r="AM6" s="22">
        <f ca="1">IF(SUM(INDIRECT("AM21:AM"&amp;$I$19))=0,1,0)</f>
        <v>0</v>
      </c>
      <c r="AN6" s="22">
        <f ca="1">IF(SUM(INDIRECT("AN21:AN"&amp;$I$19))=0,1,0)</f>
        <v>0</v>
      </c>
      <c r="AP6" s="22"/>
    </row>
    <row r="7" spans="11:61" ht="15" customHeight="1" x14ac:dyDescent="0.25"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X7" s="122" t="s">
        <v>2148</v>
      </c>
      <c r="Y7" s="123" t="str">
        <f ca="1">IFERROR((INDEX(INDIRECT("Y21:Y"&amp;$I$19),MATCH($AC$7,INDIRECT("AC21:AC"&amp;$I$19),0))),(INDEX(INDIRECT("Y21:Y"&amp;$I$19),MATCH($AC$7*-1,INDIRECT("AC21:AC"&amp;$I$19),0))))</f>
        <v>1 2 4 8...10 12</v>
      </c>
      <c r="Z7" s="123">
        <f ca="1">IFERROR((INDEX(INDIRECT("Z21:Z"&amp;$I$19),MATCH($AC$7,INDIRECT("AC21:AC"&amp;$I$19),0))),(INDEX(INDIRECT("Z21:Z"&amp;$I$19),MATCH($AC$7*-1,INDIRECT("AC21:AC"&amp;$I$19),0))))</f>
        <v>105</v>
      </c>
      <c r="AA7" s="123">
        <f ca="1">IFERROR((INDEX(INDIRECT("AA21:AA"&amp;$I$19),MATCH($AC$7,INDIRECT("AC21:AC"&amp;$I$19),0))),(INDEX(INDIRECT("AA21:AA"&amp;$I$19),MATCH($AC$7*-1,INDIRECT("AC21:AC"&amp;$I$19),0))))</f>
        <v>-9.8999999999999999E-4</v>
      </c>
      <c r="AB7" s="123">
        <f ca="1">IFERROR((INDEX(INDIRECT("AB21:AB"&amp;$I$19),MATCH($AC$7,INDIRECT("AC21:AC"&amp;$I$19),0))),(INDEX(INDIRECT("AB21:AB"&amp;$I$19),MATCH($AC$7*-1,INDIRECT("AC21:AC"&amp;$I$19),0))))</f>
        <v>-3.3858999999999999</v>
      </c>
      <c r="AC7" s="144">
        <f ca="1">MAX(ABS(MIN(INDIRECT("AC21:AC"&amp;$I$19))),ABS(MAX(INDIRECT("AC21:AC"&amp;$I$19))))</f>
        <v>1.6808000000000001</v>
      </c>
      <c r="AD7" s="123">
        <f ca="1">IFERROR((INDEX(INDIRECT("AD21:AD"&amp;$I$19),MATCH($AC$7,INDIRECT("AC21:AC"&amp;$I$19),0))),(INDEX(INDIRECT("AD21:AD"&amp;$I$19),MATCH($AC$7*-1,INDIRECT("AC21:AC"&amp;$I$19),0))))</f>
        <v>-1.984E-2</v>
      </c>
      <c r="AE7" s="123">
        <f ca="1">IFERROR((INDEX(INDIRECT("AE21:AE"&amp;$I$19),MATCH($AC$7,INDIRECT("AC21:AC"&amp;$I$19),0))),(INDEX(INDIRECT("AE21:AE"&amp;$I$19),MATCH($AC$7*-1,INDIRECT("AC21:AC"&amp;$I$19),0))))</f>
        <v>0</v>
      </c>
      <c r="AF7" s="123">
        <f ca="1">IFERROR((INDEX(INDIRECT("AF21:AF"&amp;$I$19),MATCH($AC$7,INDIRECT("AC21:AC"&amp;$I$19),0))),(INDEX(INDIRECT("AF21:AF"&amp;$I$19),MATCH($AC$7*-1,INDIRECT("AC21:AC"&amp;$I$19),0))))</f>
        <v>0</v>
      </c>
      <c r="AG7" s="123">
        <f ca="1">IFERROR((INDEX(INDIRECT("AG21:AG"&amp;$I$19),MATCH($AC$7,INDIRECT("AC21:AC"&amp;$I$19),0))),(INDEX(INDIRECT("AG21:AG"&amp;$I$19),MATCH($AC$7*-1,INDIRECT("AC21:AC"&amp;$I$19),0))))</f>
        <v>0</v>
      </c>
      <c r="AH7" s="123">
        <f ca="1">IFERROR((INDEX(INDIRECT("AH21:AH"&amp;$I$19),MATCH($AC$7,INDIRECT("AC21:AC"&amp;$I$19),0))),(INDEX(INDIRECT("AH21:AH"&amp;$I$19),MATCH($AC$7*-1,INDIRECT("AC21:AC"&amp;$I$19),0))))</f>
        <v>0</v>
      </c>
      <c r="AI7" s="124">
        <f ca="1">IFERROR((INDEX(INDIRECT("AI21:AI"&amp;$I$19),MATCH($AC$7,INDIRECT("AC21:AC"&amp;$I$19),0))),(INDEX(INDIRECT("AI21:AI"&amp;$I$19),MATCH($AC$7*-1,INDIRECT("AC21:AC"&amp;$I$19),0))))</f>
        <v>-3.3858999999999999</v>
      </c>
      <c r="AJ7" s="137"/>
      <c r="AK7" s="123"/>
      <c r="AL7" s="123"/>
      <c r="AM7" s="123"/>
      <c r="AN7" s="124"/>
    </row>
    <row r="8" spans="11:61" ht="15" customHeight="1" x14ac:dyDescent="0.25"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2"/>
      <c r="X8" s="125" t="s">
        <v>2149</v>
      </c>
      <c r="Y8" s="115" t="str">
        <f ca="1">IFERROR((INDEX(INDIRECT("Y21:Y"&amp;$I$19),MATCH($AA$8,INDIRECT("AA21:AA"&amp;$I$19),0))),(INDEX(INDIRECT("Y21:Y"&amp;$I$19),MATCH($AA$8*-1,INDIRECT("AA21:AA"&amp;$I$19),0))))</f>
        <v>1...4 7 9 10 12</v>
      </c>
      <c r="Z8" s="115">
        <f ca="1">IFERROR((INDEX(INDIRECT("Z21:Z"&amp;$I$19),MATCH($AA$8,INDIRECT("AA21:AA"&amp;$I$19),0))),(INDEX(INDIRECT("Z21:Z"&amp;$I$19),MATCH($AA$8*-1,INDIRECT("AA21:AA"&amp;$I$19),0))))</f>
        <v>125</v>
      </c>
      <c r="AA8" s="115">
        <f ca="1">MAX(ABS(MIN(INDIRECT("AA21:AA"&amp;$I$19))),ABS(MAX(INDIRECT("AA21:AA"&amp;$I$19))))</f>
        <v>0.36606</v>
      </c>
      <c r="AB8" s="115">
        <f ca="1">IFERROR((INDEX(INDIRECT("AB21:AB"&amp;$I$19),MATCH($AA$8,INDIRECT("AA21:AA"&amp;$I$19),0))),(INDEX(INDIRECT("AB21:AB"&amp;$I$19),MATCH($AA$8*-1,INDIRECT("AA21:AA"&amp;$I$19),0))))</f>
        <v>6.9880000000000004</v>
      </c>
      <c r="AC8" s="115">
        <f ca="1">IFERROR((INDEX(INDIRECT("AC21:AC"&amp;$I$19),MATCH($AA$8,INDIRECT("AA21:AA"&amp;$I$19),0))),(INDEX(INDIRECT("AC21:AC"&amp;$I$19),MATCH($AA$8*-1,INDIRECT("AA21:AA"&amp;$I$19),0))))</f>
        <v>1.6221000000000001</v>
      </c>
      <c r="AD8" s="115">
        <f ca="1">IFERROR((INDEX(INDIRECT("AD21:AD"&amp;$I$19),MATCH($AA$8,INDIRECT("AA21:AA"&amp;$I$19),0))),(INDEX(INDIRECT("AD21:AD"&amp;$I$19),MATCH($AA$8*-1,INDIRECT("AA21:AA"&amp;$I$19),0))))</f>
        <v>1.3999999999999999E-4</v>
      </c>
      <c r="AE8" s="115">
        <f ca="1">IFERROR((INDEX(INDIRECT("AE21:AE"&amp;$I$19),MATCH($AA$8,INDIRECT("AA21:AA"&amp;$I$19),0))),(INDEX(INDIRECT("AE21:AE"&amp;$I$19),MATCH($AA$8*-1,INDIRECT("AA21:AA"&amp;$I$19),0))))</f>
        <v>0</v>
      </c>
      <c r="AF8" s="115">
        <f ca="1">IFERROR((INDEX(INDIRECT("AF21:AF"&amp;$I$19),MATCH($AA$8,INDIRECT("AA21:AA"&amp;$I$19),0))),(INDEX(INDIRECT("AF21:AF"&amp;$I$19),MATCH($AA$8*-1,INDIRECT("AA21:AA"&amp;$I$19),0))))</f>
        <v>0</v>
      </c>
      <c r="AG8" s="115">
        <f ca="1">IFERROR((INDEX(INDIRECT("AG21:AG"&amp;$I$19),MATCH($AA$8,INDIRECT("AA21:AA"&amp;$I$19),0))),(INDEX(INDIRECT("AG21:AG"&amp;$I$19),MATCH($AA$8*-1,INDIRECT("AA21:AA"&amp;$I$19),0))))</f>
        <v>0</v>
      </c>
      <c r="AH8" s="115">
        <f ca="1">IFERROR((INDEX(INDIRECT("AH21:AH"&amp;$I$19),MATCH($AA$8,INDIRECT("AA21:AA"&amp;$I$19),0))),(INDEX(INDIRECT("AH21:AH"&amp;$I$19),MATCH($AA$8*-1,INDIRECT("AA21:AA"&amp;$I$19),0))))</f>
        <v>6.9880000000000004</v>
      </c>
      <c r="AI8" s="126">
        <f ca="1">IFERROR((INDEX(INDIRECT("AI21:AI"&amp;$I$19),MATCH($AA$8,INDIRECT("AA21:AA"&amp;$I$19),0))),(INDEX(INDIRECT("AI21:AI"&amp;$I$19),MATCH($AA$8*-1,INDIRECT("AA21:AA"&amp;$I$19),0))))</f>
        <v>0</v>
      </c>
      <c r="AJ8" s="138"/>
      <c r="AK8" s="115"/>
      <c r="AL8" s="115"/>
      <c r="AM8" s="115"/>
      <c r="AN8" s="126"/>
      <c r="BF8" s="40"/>
    </row>
    <row r="9" spans="11:61" ht="15" customHeight="1" x14ac:dyDescent="0.25"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X9" s="127" t="s">
        <v>2150</v>
      </c>
      <c r="Y9" s="116" t="str">
        <f ca="1">IFERROR((INDEX(INDIRECT("Y21:Y"&amp;$I$19),MATCH($AD$9,INDIRECT("AD21:AD"&amp;$I$19),0))),(INDEX(INDIRECT("Y21:Y"&amp;$I$19),MATCH($AD$9*-1,INDIRECT("AD21:AD"&amp;$I$19),0))))</f>
        <v>1...3 7 9 10</v>
      </c>
      <c r="Z9" s="116">
        <f ca="1">IFERROR((INDEX(INDIRECT("Z21:Z"&amp;$I$19),MATCH($AD$9,INDIRECT("AD21:AD"&amp;$I$19),0))),(INDEX(INDIRECT("Z21:Z"&amp;$I$19),MATCH($AD$9*-1,INDIRECT("AD21:AD"&amp;$I$19),0))))</f>
        <v>105</v>
      </c>
      <c r="AA9" s="116">
        <f ca="1">IFERROR((INDEX(INDIRECT("AA21:AA"&amp;$I$19),MATCH($AD$9,INDIRECT("AD21:AD"&amp;$I$19),0))),(INDEX(INDIRECT("AA21:AA"&amp;$I$19),MATCH($AD$9*-1,INDIRECT("AD21:AD"&amp;$I$19),0))))</f>
        <v>-0.18643999999999999</v>
      </c>
      <c r="AB9" s="116">
        <f ca="1">IFERROR((INDEX(INDIRECT("AB21:AB"&amp;$I$19),MATCH($AD$9,INDIRECT("AD21:AD"&amp;$I$19),0))),(INDEX(INDIRECT("AB21:AB"&amp;$I$19),MATCH($AD$9*-1,INDIRECT("AD21:AD"&amp;$I$19),0))))</f>
        <v>1.5114000000000001</v>
      </c>
      <c r="AC9" s="116">
        <f ca="1">IFERROR((INDEX(INDIRECT("AC21:AC"&amp;$I$19),MATCH($AD$9,INDIRECT("AD21:AD"&amp;$I$19),0))),(INDEX(INDIRECT("AC21:AC"&amp;$I$19),MATCH($AD$9*-1,INDIRECT("AD21:AD"&amp;$I$19),0))))</f>
        <v>1.6412</v>
      </c>
      <c r="AD9" s="116">
        <f ca="1">MAX(ABS(MIN(INDIRECT("AD21:AD"&amp;$I$19))),ABS(MAX(INDIRECT("AD21:AD"&amp;$I$19))))</f>
        <v>9.0069999999999997E-2</v>
      </c>
      <c r="AE9" s="116">
        <f ca="1">IFERROR((INDEX(INDIRECT("AE21:AE"&amp;$I$19),MATCH($AD$9,INDIRECT("AD21:AD"&amp;$I$19),0))),(INDEX(INDIRECT("AE21:AE"&amp;$I$19),MATCH($AD$9*-1,INDIRECT("AD21:AD"&amp;$I$19),0))))</f>
        <v>0</v>
      </c>
      <c r="AF9" s="116">
        <f ca="1">IFERROR((INDEX(INDIRECT("AF21:AF"&amp;$I$19),MATCH($AD$9,INDIRECT("AD21:AD"&amp;$I$19),0))),(INDEX(INDIRECT("AF21:AF"&amp;$I$19),MATCH($AD$9*-1,INDIRECT("AD21:AD"&amp;$I$19),0))))</f>
        <v>0</v>
      </c>
      <c r="AG9" s="116">
        <f ca="1">IFERROR((INDEX(INDIRECT("AG21:AG"&amp;$I$19),MATCH($AD$9,INDIRECT("AD21:AD"&amp;$I$19),0))),(INDEX(INDIRECT("AG21:AG"&amp;$I$19),MATCH($AD$9*-1,INDIRECT("AD21:AD"&amp;$I$19),0))))</f>
        <v>0</v>
      </c>
      <c r="AH9" s="116">
        <f ca="1">IFERROR((INDEX(INDIRECT("AH21:AH"&amp;$I$19),MATCH($AD$9,INDIRECT("AD21:AD"&amp;$I$19),0))),(INDEX(INDIRECT("AH21:AH"&amp;$I$19),MATCH($AD$9*-1,INDIRECT("AD21:AD"&amp;$I$19),0))))</f>
        <v>1.5114000000000001</v>
      </c>
      <c r="AI9" s="128">
        <f ca="1">IFERROR((INDEX(INDIRECT("AI21:AI"&amp;$I$19),MATCH($AD$9,INDIRECT("AD21:AD"&amp;$I$19),0))),(INDEX(INDIRECT("AI21:AI"&amp;$I$19),MATCH($AD$9*-1,INDIRECT("AD21:AD"&amp;$I$19),0))))</f>
        <v>0</v>
      </c>
      <c r="AJ9" s="139"/>
      <c r="AK9" s="116"/>
      <c r="AL9" s="116"/>
      <c r="AM9" s="116"/>
      <c r="AN9" s="128"/>
      <c r="BF9" s="40"/>
    </row>
    <row r="10" spans="11:61" ht="15" customHeight="1" x14ac:dyDescent="0.25"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X10" s="129" t="s">
        <v>2155</v>
      </c>
      <c r="Y10" s="117" t="str">
        <f ca="1">IFERROR((INDEX(INDIRECT("Y21:Y"&amp;$I$19),MATCH($AN$5,INDIRECT("AN21:AN"&amp;$I$19),0))),(INDEX(INDIRECT("Y21:Y"&amp;$I$19),MATCH($AN$5*-1,INDIRECT("AN21:AN"&amp;$I$19),0))))</f>
        <v>1 2 8...10 12</v>
      </c>
      <c r="Z10" s="117">
        <f ca="1">IFERROR((INDEX(INDIRECT("Z21:Z"&amp;$I$19),MATCH($AN$5,INDIRECT("AN21:AN"&amp;$I$19),0))),(INDEX(INDIRECT("Z21:Z"&amp;$I$19),MATCH($AN$5*-1,INDIRECT("AN21:AN"&amp;$I$19),0))))</f>
        <v>142</v>
      </c>
      <c r="AA10" s="117">
        <f ca="1">IFERROR((INDEX(INDIRECT("AA21:AA"&amp;$I$19),MATCH($AN$5,INDIRECT("AN21:AN"&amp;$I$19),0))),(INDEX(INDIRECT("AA21:AA"&amp;$I$19),MATCH($AN$5*-1,INDIRECT("AN21:AN"&amp;$I$19),0))))</f>
        <v>-2.2360000000000001E-2</v>
      </c>
      <c r="AB10" s="117">
        <f ca="1">IFERROR((INDEX(INDIRECT("AB21:AB"&amp;$I$19),MATCH($AN$5,INDIRECT("AN21:AN"&amp;$I$19),0))),(INDEX(INDIRECT("AB21:AB"&amp;$I$19),MATCH($AN$5*-1,INDIRECT("AN21:AN"&amp;$I$19),0))))</f>
        <v>19.52</v>
      </c>
      <c r="AC10" s="117">
        <f ca="1">IFERROR((INDEX(INDIRECT("AC21:AC"&amp;$I$19),MATCH($AN$5,INDIRECT("AN21:AN"&amp;$I$19),0))),(INDEX(INDIRECT("AC21:AC"&amp;$I$19),MATCH($AN$5*-1,INDIRECT("AN21:AN"&amp;$I$19),0))))</f>
        <v>0.46994999999999998</v>
      </c>
      <c r="AD10" s="117">
        <f ca="1">IFERROR((INDEX(INDIRECT("AD21:AD"&amp;$I$19),MATCH($AN$5,INDIRECT("AN21:AN"&amp;$I$19),0))),(INDEX(INDIRECT("AD21:AD"&amp;$I$19),MATCH($AN$5*-1,INDIRECT("AN21:AN"&amp;$I$19),0))))</f>
        <v>-2.5520000000000001E-2</v>
      </c>
      <c r="AE10" s="117">
        <f ca="1">IFERROR((INDEX(INDIRECT("AE21:AE"&amp;$I$19),MATCH($AN$5,INDIRECT("AN21:AN"&amp;$I$19),0))),(INDEX(INDIRECT("AE21:AE"&amp;$I$19),MATCH($AN$5*-1,INDIRECT("AN21:AN"&amp;$I$19),0))))</f>
        <v>0</v>
      </c>
      <c r="AF10" s="117">
        <f ca="1">IFERROR((INDEX(INDIRECT("AF21:AF"&amp;$I$19),MATCH($AN$5,INDIRECT("AN21:AN"&amp;$I$19),0))),(INDEX(INDIRECT("AF21:AF"&amp;$I$19),MATCH($AN$5*-1,INDIRECT("AN21:AN"&amp;$I$19),0))))</f>
        <v>0</v>
      </c>
      <c r="AG10" s="117">
        <f ca="1">IFERROR((INDEX(INDIRECT("AG21:AG"&amp;$I$19),MATCH($AN$5,INDIRECT("AN21:AN"&amp;$I$19),0))),(INDEX(INDIRECT("AG21:AG"&amp;$I$19),MATCH($AN$5*-1,INDIRECT("AN21:AN"&amp;$I$19),0))))</f>
        <v>0</v>
      </c>
      <c r="AH10" s="117">
        <f ca="1">IFERROR((INDEX(INDIRECT("AH21:AH"&amp;$I$19),MATCH($AN$5,INDIRECT("AN21:AN"&amp;$I$19),0))),(INDEX(INDIRECT("AH21:AH"&amp;$I$19),MATCH($AN$5*-1,INDIRECT("AN21:AN"&amp;$I$19),0))))</f>
        <v>19.52</v>
      </c>
      <c r="AI10" s="130">
        <f t="shared" ref="AI10:AI13" ca="1" si="0">IFERROR((INDEX(INDIRECT("AI21:AI"&amp;$I$19),MATCH($AC$7,INDIRECT("AC21:AC"&amp;$I$19),0))),(INDEX(INDIRECT("AI21:AI"&amp;$I$19),MATCH($AC$7*-1,INDIRECT("AC21:AC"&amp;$I$19),0))))</f>
        <v>-3.3858999999999999</v>
      </c>
      <c r="AJ10" s="140"/>
      <c r="AK10" s="117"/>
      <c r="AL10" s="117"/>
      <c r="AM10" s="117"/>
      <c r="AN10" s="130"/>
      <c r="BF10" s="40"/>
    </row>
    <row r="11" spans="11:61" ht="15" customHeight="1" x14ac:dyDescent="0.25"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X11" s="131" t="s">
        <v>2151</v>
      </c>
      <c r="Y11" s="118">
        <f ca="1">IFERROR((INDEX(INDIRECT("Y21:Y"&amp;$I$19),MATCH($AE$11,INDIRECT("AE21:AE"&amp;$I$19),0))),(INDEX(INDIRECT("Y21:Y"&amp;$I$19),MATCH($AE$11*-1,INDIRECT("AE21:AE"&amp;$I$19),0))))</f>
        <v>0</v>
      </c>
      <c r="Z11" s="118">
        <f ca="1">IFERROR((INDEX(INDIRECT("Z21:Z"&amp;$I$19),MATCH($AE$11,INDIRECT("AE21:AE"&amp;$I$19),0))),(INDEX(INDIRECT("Z21:Z"&amp;$I$19),MATCH($AE$11*-1,INDIRECT("AE21:AE"&amp;$I$19),0))))</f>
        <v>0</v>
      </c>
      <c r="AA11" s="118">
        <f ca="1">IFERROR((INDEX(INDIRECT("AA21:AA"&amp;$I$19),MATCH($AE$11,INDIRECT("AE21:AE"&amp;$I$19),0))),(INDEX(INDIRECT("AA21:AA"&amp;$I$19),MATCH($AE$11*-1,INDIRECT("AE21:AE"&amp;$I$19),0))))</f>
        <v>0</v>
      </c>
      <c r="AB11" s="118">
        <f ca="1">IFERROR((INDEX(INDIRECT("AB21:AB"&amp;$I$19),MATCH($AE$11,INDIRECT("AE21:AE"&amp;$I$19),0))),(INDEX(INDIRECT("AB21:AB"&amp;$I$19),MATCH($AE$11*-1,INDIRECT("AE21:AE"&amp;$I$19),0))))</f>
        <v>0</v>
      </c>
      <c r="AC11" s="118">
        <f ca="1">IFERROR((INDEX(INDIRECT("AC21:AC"&amp;$I$19),MATCH($AE$11,INDIRECT("AE21:AE"&amp;$I$19),0))),(INDEX(INDIRECT("AC21:AC"&amp;$I$19),MATCH($AE$11*-1,INDIRECT("AE21:AE"&amp;$I$19),0))))</f>
        <v>0</v>
      </c>
      <c r="AD11" s="118">
        <f ca="1">IFERROR((INDEX(INDIRECT("AD21:AD"&amp;$I$19),MATCH($AE$11,INDIRECT("AE21:AE"&amp;$I$19),0))),(INDEX(INDIRECT("AD21:AD"&amp;$I$19),MATCH($AE$11*-1,INDIRECT("AE21:AE"&amp;$I$19),0))))</f>
        <v>0</v>
      </c>
      <c r="AE11" s="118">
        <f ca="1">MAX(ABS(MIN(INDIRECT("AE21:AE"&amp;$I$19))),ABS(MAX(INDIRECT("AE21:AE"&amp;$I$19))))</f>
        <v>0</v>
      </c>
      <c r="AF11" s="118">
        <f ca="1">IFERROR((INDEX(INDIRECT("AF21:AF"&amp;$I$19),MATCH($AE$11,INDIRECT("AE21:AE"&amp;$I$19),0))),(INDEX(INDIRECT("AF21:AF"&amp;$I$19),MATCH($AE$11*-1,INDIRECT("AE21:AE"&amp;$I$19),0))))</f>
        <v>0</v>
      </c>
      <c r="AG11" s="118">
        <f ca="1">IFERROR((INDEX(INDIRECT("AG21:AG"&amp;$I$19),MATCH($AE$11,INDIRECT("AE21:AE"&amp;$I$19),0))),(INDEX(INDIRECT("AG21:AG"&amp;$I$19),MATCH($AE$11*-1,INDIRECT("AE21:AE"&amp;$I$19),0))))</f>
        <v>0</v>
      </c>
      <c r="AH11" s="118">
        <f ca="1">IFERROR((INDEX(INDIRECT("AH21:AH"&amp;$I$19),MATCH($AE$11,INDIRECT("AE21:AE"&amp;$I$19),0))),(INDEX(INDIRECT("AH21:AH"&amp;$I$19),MATCH($AE$11*-1,INDIRECT("AE21:AE"&amp;$I$19),0))))</f>
        <v>0</v>
      </c>
      <c r="AI11" s="132">
        <f t="shared" ca="1" si="0"/>
        <v>-3.3858999999999999</v>
      </c>
      <c r="AJ11" s="141"/>
      <c r="AK11" s="118"/>
      <c r="AL11" s="118"/>
      <c r="AM11" s="118"/>
      <c r="AN11" s="132"/>
      <c r="BF11" s="40"/>
    </row>
    <row r="12" spans="11:61" ht="15" customHeight="1" x14ac:dyDescent="0.25"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X12" s="133" t="s">
        <v>2152</v>
      </c>
      <c r="Y12" s="119">
        <f ca="1">IFERROR((INDEX(INDIRECT("Y21:Y"&amp;$I$19),MATCH($AF$12,INDIRECT("AF21:AF"&amp;$I$19),0))),(INDEX(INDIRECT("Y21:Y"&amp;$I$19),MATCH($AF$12*-1,INDIRECT("AF21:AF"&amp;$I$19),0))))</f>
        <v>0</v>
      </c>
      <c r="Z12" s="119">
        <f ca="1">IFERROR((INDEX(INDIRECT("Z21:Z"&amp;$I$19),MATCH($AF$12,INDIRECT("AF21:AF"&amp;$I$19),0))),(INDEX(INDIRECT("Z21:Z"&amp;$I$19),MATCH($AF$12*-1,INDIRECT("AF21:AF"&amp;$I$19),0))))</f>
        <v>0</v>
      </c>
      <c r="AA12" s="119">
        <f ca="1">IFERROR((INDEX(INDIRECT("AA21:AA"&amp;$I$19),MATCH($AF$12,INDIRECT("AF21:AF"&amp;$I$19),0))),(INDEX(INDIRECT("AA21:AA"&amp;$I$19),MATCH($AF$12*-1,INDIRECT("AF21:AF"&amp;$I$19),0))))</f>
        <v>0</v>
      </c>
      <c r="AB12" s="119">
        <f ca="1">IFERROR((INDEX(INDIRECT("AB21:AB"&amp;$I$19),MATCH($AF$12,INDIRECT("AF21:AF"&amp;$I$19),0))),(INDEX(INDIRECT("AB21:AB"&amp;$I$19),MATCH($AF$12*-1,INDIRECT("AF21:AF"&amp;$I$19),0))))</f>
        <v>0</v>
      </c>
      <c r="AC12" s="119">
        <f ca="1">IFERROR((INDEX(INDIRECT("AC21:AC"&amp;$I$19),MATCH($AF$12,INDIRECT("AF21:AF"&amp;$I$19),0))),(INDEX(INDIRECT("AC21:AC"&amp;$I$19),MATCH($AF$12*-1,INDIRECT("AF21:AF"&amp;$I$19),0))))</f>
        <v>0</v>
      </c>
      <c r="AD12" s="119">
        <f ca="1">IFERROR((INDEX(INDIRECT("AD21:AD"&amp;$I$19),MATCH($AF$12,INDIRECT("AF21:AF"&amp;$I$19),0))),(INDEX(INDIRECT("AD21:AD"&amp;$I$19),MATCH($AF$12*-1,INDIRECT("AF21:AF"&amp;$I$19),0))))</f>
        <v>0</v>
      </c>
      <c r="AE12" s="119">
        <f ca="1">IFERROR((INDEX(INDIRECT("AE21:AE"&amp;$I$19),MATCH($AF$12,INDIRECT("AF21:AF"&amp;$I$19),0))),(INDEX(INDIRECT("AE21:AE"&amp;$I$19),MATCH($AF$12*-1,INDIRECT("AF21:AF"&amp;$I$19),0))))</f>
        <v>0</v>
      </c>
      <c r="AF12" s="119">
        <f ca="1">MAX(ABS(MIN(INDIRECT("AF21:AF"&amp;$I$19))),ABS(MAX(INDIRECT("AF21:AF"&amp;$I$19))))</f>
        <v>0</v>
      </c>
      <c r="AG12" s="119">
        <f ca="1">IFERROR((INDEX(INDIRECT("AG21:AG"&amp;$I$19),MATCH($AF$12,INDIRECT("AF21:AF"&amp;$I$19),0))),(INDEX(INDIRECT("AG21:AG"&amp;$I$19),MATCH($AF$12*-1,INDIRECT("AF21:AF"&amp;$I$19),0))))</f>
        <v>0</v>
      </c>
      <c r="AH12" s="119">
        <f ca="1">IFERROR((INDEX(INDIRECT("AH21:AH"&amp;$I$19),MATCH($AF$12,INDIRECT("AF21:AF"&amp;$I$19),0))),(INDEX(INDIRECT("AH21:AH"&amp;$I$19),MATCH($AF$12*-1,INDIRECT("AF21:AF"&amp;$I$19),0))))</f>
        <v>0</v>
      </c>
      <c r="AI12" s="134">
        <f t="shared" ca="1" si="0"/>
        <v>-3.3858999999999999</v>
      </c>
      <c r="AJ12" s="142"/>
      <c r="AK12" s="119"/>
      <c r="AL12" s="119"/>
      <c r="AM12" s="119"/>
      <c r="AN12" s="134"/>
      <c r="BF12" s="40"/>
    </row>
    <row r="13" spans="11:61" ht="15" customHeight="1" x14ac:dyDescent="0.25"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X13" s="135" t="s">
        <v>2153</v>
      </c>
      <c r="Y13" s="120" t="str">
        <f ca="1">IFERROR((INDEX(INDIRECT("Y21:Y"&amp;$I$19),MATCH($AH$13,INDIRECT("AH21:AH"&amp;$I$19),0))),(INDEX(INDIRECT("Y21:Y"&amp;$I$19),MATCH($AH$13*-1,INDIRECT("AH21:AH"&amp;$I$19),0))))</f>
        <v>1 2 8...10 12</v>
      </c>
      <c r="Z13" s="120">
        <f ca="1">IFERROR((INDEX(INDIRECT("Z21:Z"&amp;$I$19),MATCH($AH$13,INDIRECT("AH21:AH"&amp;$I$19),0))),(INDEX(INDIRECT("Z21:Z"&amp;$I$19),MATCH($AH$13*-1,INDIRECT("AH21:AH"&amp;$I$19),0))))</f>
        <v>142</v>
      </c>
      <c r="AA13" s="120">
        <f ca="1">IFERROR((INDEX(INDIRECT("AA21:AA"&amp;$I$19),MATCH($AH$13,INDIRECT("AH21:AH"&amp;$I$19),0))),(INDEX(INDIRECT("AA21:AA"&amp;$I$19),MATCH($AH$13*-1,INDIRECT("AH21:AH"&amp;$I$19),0))))</f>
        <v>-2.2360000000000001E-2</v>
      </c>
      <c r="AB13" s="120">
        <f ca="1">IFERROR((INDEX(INDIRECT("AB21:AB"&amp;$I$19),MATCH($AH$13,INDIRECT("AH21:AH"&amp;$I$19),0))),(INDEX(INDIRECT("AB21:AB"&amp;$I$19),MATCH($AH$13*-1,INDIRECT("AH21:AH"&amp;$I$19),0))))</f>
        <v>19.52</v>
      </c>
      <c r="AC13" s="120">
        <f ca="1">IFERROR((INDEX(INDIRECT("AC21:AC"&amp;$I$19),MATCH($AH$13,INDIRECT("AH21:AH"&amp;$I$19),0))),(INDEX(INDIRECT("AC21:AC"&amp;$I$19),MATCH($AH$13*-1,INDIRECT("AH21:AH"&amp;$I$19),0))))</f>
        <v>0.46994999999999998</v>
      </c>
      <c r="AD13" s="120">
        <f ca="1">IFERROR((INDEX(INDIRECT("AD21:AD"&amp;$I$19),MATCH($AH$13,INDIRECT("AH21:AH"&amp;$I$19),0))),(INDEX(INDIRECT("AD21:AD"&amp;$I$19),MATCH($AH$13*-1,INDIRECT("AH21:AH"&amp;$I$19),0))))</f>
        <v>-2.5520000000000001E-2</v>
      </c>
      <c r="AE13" s="120">
        <f ca="1">IFERROR((INDEX(INDIRECT("AE21:AE"&amp;$I$19),MATCH($AH$13,INDIRECT("AH21:AH"&amp;$I$19),0))),(INDEX(INDIRECT("AE21:AE"&amp;$I$19),MATCH($AH$13*-1,INDIRECT("AH21:AH"&amp;$I$19),0))))</f>
        <v>0</v>
      </c>
      <c r="AF13" s="120">
        <f ca="1">IFERROR((INDEX(INDIRECT("AF21:AF"&amp;$I$19),MATCH($AH$13,INDIRECT("AH21:AH"&amp;$I$19),0))),(INDEX(INDIRECT("AF21:AF"&amp;$I$19),MATCH($AH$13*-1,INDIRECT("AH21:AH"&amp;$I$19),0))))</f>
        <v>0</v>
      </c>
      <c r="AG13" s="120">
        <f ca="1">IFERROR((INDEX(INDIRECT("AG21:AG"&amp;$I$19),MATCH($AH$13,INDIRECT("AH21:AH"&amp;$I$19),0))),(INDEX(INDIRECT("AG21:AG"&amp;$I$19),MATCH($AH$13*-1,INDIRECT("AH21:AH"&amp;$I$19),0))))</f>
        <v>0</v>
      </c>
      <c r="AH13" s="120">
        <f ca="1">MAX(INDIRECT("AH21:AH"&amp;$I$19))</f>
        <v>19.52</v>
      </c>
      <c r="AI13" s="136">
        <f t="shared" ca="1" si="0"/>
        <v>-3.3858999999999999</v>
      </c>
      <c r="AJ13" s="143"/>
      <c r="AK13" s="120"/>
      <c r="AL13" s="120"/>
      <c r="AM13" s="120"/>
      <c r="AN13" s="136"/>
      <c r="BF13" s="40"/>
    </row>
    <row r="14" spans="11:61" ht="15" customHeight="1" x14ac:dyDescent="0.25"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X14" s="145" t="s">
        <v>2154</v>
      </c>
      <c r="Y14" s="121" t="str">
        <f ca="1">IFERROR((INDEX(INDIRECT("Y21:Y"&amp;$I$19),MATCH($AI$14,INDIRECT("AI21:AI"&amp;$I$19),0))),(INDEX(INDIRECT("Y21:Y"&amp;$I$19),MATCH($AI$14*-1,INDIRECT("AI21:AI"&amp;$I$19),0))))</f>
        <v>1...4 8...10</v>
      </c>
      <c r="Z14" s="121">
        <f ca="1">IFERROR((INDEX(INDIRECT("Z21:Z"&amp;$I$19),MATCH($AI$14,INDIRECT("AI21:AI"&amp;$I$19),0))),(INDEX(INDIRECT("Z21:Z"&amp;$I$19),MATCH($AI$14*-1,INDIRECT("AI21:AI"&amp;$I$19),0))))</f>
        <v>116</v>
      </c>
      <c r="AA14" s="121">
        <f ca="1">IFERROR((INDEX(INDIRECT("AA21:AA"&amp;$I$19),MATCH($AI$14,INDIRECT("AI21:AI"&amp;$I$19),0))),(INDEX(INDIRECT("AA21:AA"&amp;$I$19),MATCH($AI$14*-1,INDIRECT("AI21:AI"&amp;$I$19),0))))</f>
        <v>-0.19331999999999999</v>
      </c>
      <c r="AB14" s="121">
        <f ca="1">IFERROR((INDEX(INDIRECT("AB21:AB"&amp;$I$19),MATCH($AI$14,INDIRECT("AI21:AI"&amp;$I$19),0))),(INDEX(INDIRECT("AB21:AB"&amp;$I$19),MATCH($AI$14*-1,INDIRECT("AI21:AI"&amp;$I$19),0))))</f>
        <v>-18.472999999999999</v>
      </c>
      <c r="AC14" s="121">
        <f ca="1">IFERROR((INDEX(INDIRECT("AC21:AC"&amp;$I$19),MATCH($AI$14,INDIRECT("AI21:AI"&amp;$I$19),0))),(INDEX(INDIRECT("AC21:AC"&amp;$I$19),MATCH($AI$14*-1,INDIRECT("AI21:AI"&amp;$I$19),0))))</f>
        <v>1.3856999999999999</v>
      </c>
      <c r="AD14" s="121">
        <f ca="1">IFERROR((INDEX(INDIRECT("AD21:AD"&amp;$I$19),MATCH($AI$14,INDIRECT("AI21:AI"&amp;$I$19),0))),(INDEX(INDIRECT("AD21:AD"&amp;$I$19),MATCH($AI$14*-1,INDIRECT("AI21:AI"&amp;$I$19),0))))</f>
        <v>5.348E-2</v>
      </c>
      <c r="AE14" s="121">
        <f ca="1">IFERROR((INDEX(INDIRECT("AE21:AE"&amp;$I$19),MATCH($AI$14,INDIRECT("AI21:AI"&amp;$I$19),0))),(INDEX(INDIRECT("AE21:AE"&amp;$I$19),MATCH($AI$14*-1,INDIRECT("AI21:AI"&amp;$I$19),0))))</f>
        <v>0</v>
      </c>
      <c r="AF14" s="121">
        <f ca="1">IFERROR((INDEX(INDIRECT("AF21:AF"&amp;$I$19),MATCH($AI$14,INDIRECT("AI21:AI"&amp;$I$19),0))),(INDEX(INDIRECT("AF21:AF"&amp;$I$19),MATCH($AI$14*-1,INDIRECT("AI21:AI"&amp;$I$19),0))))</f>
        <v>0</v>
      </c>
      <c r="AG14" s="121">
        <f ca="1">IFERROR((INDEX(INDIRECT("AG21:AG"&amp;$I$19),MATCH($AI$14,INDIRECT("AI21:AI"&amp;$I$19),0))),(INDEX(INDIRECT("AG21:AG"&amp;$I$19),MATCH($AI$14*-1,INDIRECT("AI21:AI"&amp;$I$19),0))))</f>
        <v>0</v>
      </c>
      <c r="AH14" s="121">
        <f ca="1">IFERROR((INDEX(INDIRECT("AH21:AH"&amp;$I$19),MATCH($AI$14,INDIRECT("AI21:AI"&amp;$I$19),0))),(INDEX(INDIRECT("AH21:AH"&amp;$I$19),MATCH($AI$14*-1,INDIRECT("AI21:AI"&amp;$I$19),0))))</f>
        <v>0</v>
      </c>
      <c r="AI14" s="146">
        <f ca="1">MIN(INDIRECT("AI21:AI"&amp;$I$19))</f>
        <v>-18.472999999999999</v>
      </c>
      <c r="AJ14" s="147"/>
      <c r="AK14" s="121"/>
      <c r="AL14" s="121"/>
      <c r="AM14" s="121"/>
      <c r="AN14" s="146"/>
      <c r="BF14" s="40"/>
    </row>
    <row r="15" spans="11:61" ht="15" customHeight="1" thickBot="1" x14ac:dyDescent="0.3"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X15" s="148" t="s">
        <v>2435</v>
      </c>
      <c r="Y15" s="149">
        <f ca="1">IFERROR((INDEX(INDIRECT("Y21:Y"&amp;$I$19),MATCH($AG$15,INDIRECT("AG21:AG"&amp;$I$19),0))),(INDEX(INDIRECT("Y21:Y"&amp;$I$19),MATCH($AG$15*-1,INDIRECT("AG21:AG"&amp;$I$19),0))))</f>
        <v>0</v>
      </c>
      <c r="Z15" s="149">
        <f ca="1">IFERROR((INDEX(INDIRECT("Z21:Z"&amp;$I$19),MATCH($AG$15,INDIRECT("AG21:AG"&amp;$I$19),0))),(INDEX(INDIRECT("Z21:Z"&amp;$I$19),MATCH($AG$15*-1,INDIRECT("AG21:AG"&amp;$I$19),0))))</f>
        <v>0</v>
      </c>
      <c r="AA15" s="149">
        <f ca="1">IFERROR((INDEX(INDIRECT("AA21:AA"&amp;$I$19),MATCH($AG$15,INDIRECT("AG21:AG"&amp;$I$19),0))),(INDEX(INDIRECT("AA21:AA"&amp;$I$19),MATCH($AG$15*-1,INDIRECT("AG21:AG"&amp;$I$19),0))))</f>
        <v>0</v>
      </c>
      <c r="AB15" s="149">
        <f ca="1">IFERROR((INDEX(INDIRECT("AB21:AB"&amp;$I$19),MATCH($AG$15,INDIRECT("AG21:AG"&amp;$I$19),0))),(INDEX(INDIRECT("AB21:AB"&amp;$I$19),MATCH($AG$15*-1,INDIRECT("AG21:AG"&amp;$I$19),0))))</f>
        <v>0</v>
      </c>
      <c r="AC15" s="149">
        <f ca="1">IFERROR((INDEX(INDIRECT("AC21:AC"&amp;$I$19),MATCH($AG$15,INDIRECT("AG21:AG"&amp;$I$19),0))),(INDEX(INDIRECT("AC21:AC"&amp;$I$19),MATCH($AG$15*-1,INDIRECT("AG21:AG"&amp;$I$19),0))))</f>
        <v>0</v>
      </c>
      <c r="AD15" s="149">
        <f ca="1">IFERROR((INDEX(INDIRECT("AD21:AD"&amp;$I$19),MATCH($AG$15,INDIRECT("AG21:AG"&amp;$I$19),0))),(INDEX(INDIRECT("AD21:AD"&amp;$I$19),MATCH($AG$15*-1,INDIRECT("AG21:AG"&amp;$I$19),0))))</f>
        <v>0</v>
      </c>
      <c r="AE15" s="149">
        <f ca="1">IFERROR((INDEX(INDIRECT("AE21:AE"&amp;$I$19),MATCH($AG$15,INDIRECT("AG21:AG"&amp;$I$19),0))),(INDEX(INDIRECT("AE21:AE"&amp;$I$19),MATCH($AG$15*-1,INDIRECT("AG21:AG"&amp;$I$19),0))))</f>
        <v>0</v>
      </c>
      <c r="AF15" s="149">
        <f ca="1">IFERROR((INDEX(INDIRECT("AF21:AF"&amp;$I$19),MATCH($AG$15,INDIRECT("AG21:AG"&amp;$I$19),0))),(INDEX(INDIRECT("AF21:AF"&amp;$I$19),MATCH($AG$15*-1,INDIRECT("AG21:AG"&amp;$I$19),0))))</f>
        <v>0</v>
      </c>
      <c r="AG15" s="149">
        <f ca="1">MAX(ABS(MIN(INDIRECT("AG21:AG"&amp;$I$19))),ABS(MAX(INDIRECT("AG21:AG"&amp;$I$19))))</f>
        <v>0</v>
      </c>
      <c r="AH15" s="149">
        <f ca="1">IFERROR((INDEX(INDIRECT("AH21:AH"&amp;$I$19),MATCH($AG$15,INDIRECT("AG21:AG"&amp;$I$19),0))),(INDEX(INDIRECT("AH21:AH"&amp;$I$19),MATCH($AG$15*-1,INDIRECT("AG21:AG"&amp;$I$19),0))))</f>
        <v>0</v>
      </c>
      <c r="AI15" s="150">
        <f ca="1">MIN(INDIRECT("AG21:AG"&amp;$I$19))</f>
        <v>0</v>
      </c>
      <c r="AJ15" s="151"/>
      <c r="AK15" s="149"/>
      <c r="AL15" s="149"/>
      <c r="AM15" s="149"/>
      <c r="AN15" s="150"/>
      <c r="BF15" s="40"/>
    </row>
    <row r="16" spans="11:61" ht="13.5" customHeight="1" x14ac:dyDescent="0.25"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X16" s="243" t="s">
        <v>258</v>
      </c>
      <c r="Y16" s="244"/>
      <c r="Z16" s="244"/>
      <c r="AA16" s="244"/>
      <c r="AB16" s="244"/>
      <c r="AC16" s="244"/>
      <c r="AD16" s="244"/>
      <c r="AE16" s="244"/>
      <c r="AF16" s="244"/>
      <c r="AG16" s="244"/>
      <c r="AH16" s="244"/>
      <c r="AI16" s="244"/>
      <c r="AJ16" s="244"/>
      <c r="AK16" s="244"/>
      <c r="AL16" s="244"/>
      <c r="AM16" s="244"/>
      <c r="AN16" s="245"/>
      <c r="BF16" s="40"/>
    </row>
    <row r="17" spans="2:119" ht="15.75" customHeight="1" x14ac:dyDescent="0.25"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X17" s="246"/>
      <c r="Y17" s="247"/>
      <c r="Z17" s="247"/>
      <c r="AA17" s="247"/>
      <c r="AB17" s="247"/>
      <c r="AC17" s="247"/>
      <c r="AD17" s="247"/>
      <c r="AE17" s="247"/>
      <c r="AF17" s="247"/>
      <c r="AG17" s="247"/>
      <c r="AH17" s="247"/>
      <c r="AI17" s="247"/>
      <c r="AJ17" s="247"/>
      <c r="AK17" s="247"/>
      <c r="AL17" s="247"/>
      <c r="AM17" s="247"/>
      <c r="AN17" s="248"/>
      <c r="BF17" s="40"/>
    </row>
    <row r="18" spans="2:119" ht="15.75" thickBot="1" x14ac:dyDescent="0.3">
      <c r="I18">
        <v>81</v>
      </c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X18" s="249"/>
      <c r="Y18" s="250"/>
      <c r="Z18" s="250"/>
      <c r="AA18" s="250"/>
      <c r="AB18" s="250"/>
      <c r="AC18" s="250"/>
      <c r="AD18" s="250"/>
      <c r="AE18" s="250"/>
      <c r="AF18" s="250"/>
      <c r="AG18" s="250"/>
      <c r="AH18" s="250"/>
      <c r="AI18" s="250"/>
      <c r="AJ18" s="250"/>
      <c r="AK18" s="250"/>
      <c r="AL18" s="250"/>
      <c r="AM18" s="250"/>
      <c r="AN18" s="251"/>
    </row>
    <row r="19" spans="2:119" ht="16.5" thickBot="1" x14ac:dyDescent="0.3">
      <c r="B19" s="2"/>
      <c r="C19" s="3"/>
      <c r="D19" s="3"/>
      <c r="I19">
        <v>109</v>
      </c>
      <c r="K19" s="34" t="str">
        <f>"DCL No."</f>
        <v>DCL No.</v>
      </c>
      <c r="L19" s="34" t="str">
        <f>"ELEM type"</f>
        <v>ELEM type</v>
      </c>
      <c r="M19" s="34" t="s">
        <v>7</v>
      </c>
      <c r="N19" s="35" t="s">
        <v>8</v>
      </c>
      <c r="O19" s="34" t="str">
        <f>"N, kN"</f>
        <v>N, kN</v>
      </c>
      <c r="P19" s="34" t="str">
        <f>"MK, kN*m"</f>
        <v>MK, kN*m</v>
      </c>
      <c r="Q19" s="34" t="str">
        <f>"MY, kN*m"</f>
        <v>MY, kN*m</v>
      </c>
      <c r="R19" s="35" t="str">
        <f>"QZ, kN"</f>
        <v>QZ, kN</v>
      </c>
      <c r="S19" s="34" t="str">
        <f>"MZ, kN*m"</f>
        <v>MZ, kN*m</v>
      </c>
      <c r="T19" s="34" t="str">
        <f>"QY, kN"</f>
        <v>QY, kN</v>
      </c>
      <c r="U19" s="34" t="s">
        <v>2139</v>
      </c>
      <c r="W19" s="34" t="s">
        <v>2170</v>
      </c>
      <c r="X19" s="34" t="s">
        <v>259</v>
      </c>
      <c r="Y19" s="34" t="str">
        <f>"DCL No."</f>
        <v>DCL No.</v>
      </c>
      <c r="Z19" s="34" t="s">
        <v>2</v>
      </c>
      <c r="AA19" s="34" t="str">
        <f>"QY, kN"</f>
        <v>QY, kN</v>
      </c>
      <c r="AB19" s="34" t="str">
        <f>"N, kN"</f>
        <v>N, kN</v>
      </c>
      <c r="AC19" s="34" t="str">
        <f>"QZ, kN"</f>
        <v>QZ, kN</v>
      </c>
      <c r="AD19" s="34" t="str">
        <f>"T, kN*m"</f>
        <v>T, kN*m</v>
      </c>
      <c r="AE19" s="34" t="str">
        <f>"M, kN*m"</f>
        <v>M, kN*m</v>
      </c>
      <c r="AF19" s="34" t="str">
        <f>"Mo, kN*m"</f>
        <v>Mo, kN*m</v>
      </c>
      <c r="AG19" s="34" t="s">
        <v>2139</v>
      </c>
      <c r="AH19" s="34" t="str">
        <f>"Nt, kN"</f>
        <v>Nt, kN</v>
      </c>
      <c r="AI19" s="34" t="str">
        <f>"Nc, kN"</f>
        <v>Nc, kN</v>
      </c>
      <c r="AJ19" s="34" t="s">
        <v>2172</v>
      </c>
      <c r="AK19" s="34" t="s">
        <v>2173</v>
      </c>
      <c r="AL19" s="238" t="s">
        <v>19</v>
      </c>
      <c r="AM19" s="234" t="s">
        <v>20</v>
      </c>
      <c r="AN19" s="234" t="s">
        <v>97</v>
      </c>
    </row>
    <row r="20" spans="2:119" ht="21.75" thickBot="1" x14ac:dyDescent="0.3">
      <c r="B20" s="4"/>
      <c r="C20" s="3"/>
      <c r="D20" s="3"/>
      <c r="K20" s="36" t="str">
        <f>"Номер РСН"</f>
        <v>Номер РСН</v>
      </c>
      <c r="L20" s="37" t="s">
        <v>9</v>
      </c>
      <c r="M20" s="36" t="s">
        <v>10</v>
      </c>
      <c r="N20" s="36" t="s">
        <v>11</v>
      </c>
      <c r="O20" s="36" t="str">
        <f>"N. кН"</f>
        <v>N. кН</v>
      </c>
      <c r="P20" s="37" t="str">
        <f>"MK. кН*м"</f>
        <v>MK. кН*м</v>
      </c>
      <c r="Q20" s="36" t="str">
        <f>"MY. кН*м"</f>
        <v>MY. кН*м</v>
      </c>
      <c r="R20" s="37" t="str">
        <f>"QZ. кН"</f>
        <v>QZ. кН</v>
      </c>
      <c r="S20" s="36" t="str">
        <f>"MZ. кН*м"</f>
        <v>MZ. кН*м</v>
      </c>
      <c r="T20" s="38" t="str">
        <f>"QY. кН"</f>
        <v>QY. кН</v>
      </c>
      <c r="U20" s="38" t="s">
        <v>2165</v>
      </c>
      <c r="V20" s="5"/>
      <c r="W20" s="41" t="s">
        <v>2170</v>
      </c>
      <c r="X20" s="41" t="s">
        <v>260</v>
      </c>
      <c r="Y20" s="36" t="str">
        <f>"Номер РСН"</f>
        <v>Номер РСН</v>
      </c>
      <c r="Z20" s="36" t="s">
        <v>10</v>
      </c>
      <c r="AA20" s="36" t="str">
        <f>"QY, кН"</f>
        <v>QY, кН</v>
      </c>
      <c r="AB20" s="36" t="str">
        <f>"N, кН"</f>
        <v>N, кН</v>
      </c>
      <c r="AC20" s="36" t="str">
        <f>"QZ, кН"</f>
        <v>QZ, кН</v>
      </c>
      <c r="AD20" s="36" t="str">
        <f>"T, кН*м"</f>
        <v>T, кН*м</v>
      </c>
      <c r="AE20" s="36" t="str">
        <f>"M, кН*м"</f>
        <v>M, кН*м</v>
      </c>
      <c r="AF20" s="36" t="str">
        <f>"Mo, кН*м"</f>
        <v>Mo, кН*м</v>
      </c>
      <c r="AG20" s="38" t="s">
        <v>2165</v>
      </c>
      <c r="AH20" s="36" t="str">
        <f>"Nt, кН"</f>
        <v>Nt, кН</v>
      </c>
      <c r="AI20" s="36" t="str">
        <f>"Nc, кН"</f>
        <v>Nc, кН</v>
      </c>
      <c r="AJ20" s="100" t="s">
        <v>2174</v>
      </c>
      <c r="AK20" s="100" t="s">
        <v>2175</v>
      </c>
      <c r="AL20" s="239"/>
      <c r="AM20" s="235"/>
      <c r="AN20" s="235"/>
      <c r="BE20">
        <f>IF(IFERROR(ABS(BJ20)/Проверка!$J$3+ABS('DCL(РСН)'!BI20)/Проверка!$K$3,0)=0,0,ABS(BJ20)/Проверка!$J$3+ABS('DCL(РСН)'!BI20)/Проверка!$K$3)</f>
        <v>0</v>
      </c>
      <c r="BF20" t="str">
        <f>IF(K20=0,0,K20)</f>
        <v>Номер РСН</v>
      </c>
      <c r="BG20" t="str">
        <f>IF(M20=0,0,M20)</f>
        <v>ЭЛЕМЕНТ</v>
      </c>
      <c r="BH20" t="str">
        <f>IF(T20=0,0,T20)</f>
        <v>QY. кН</v>
      </c>
      <c r="BI20" t="str">
        <f>IF(O20=0,0,O20)</f>
        <v>N. кН</v>
      </c>
      <c r="BJ20" t="str">
        <f>IF(R20=0,0,R20)</f>
        <v>QZ. кН</v>
      </c>
      <c r="BK20" t="str">
        <f>IF(P20=0,0,P20)</f>
        <v>MK. кН*м</v>
      </c>
      <c r="BL20" t="str">
        <f>IF(Q20=0,0,Q20)</f>
        <v>MY. кН*м</v>
      </c>
      <c r="BM20" t="str">
        <f>IF(S20=0,0,S20)</f>
        <v>MZ. кН*м</v>
      </c>
      <c r="BN20" t="str">
        <f>IF(O20&gt;0,O20,0)</f>
        <v>N. кН</v>
      </c>
      <c r="BO20">
        <f>IF(O20&lt;0,O20,0)</f>
        <v>0</v>
      </c>
      <c r="BP20">
        <f>IFERROR(BI20/Проверка!$K$31+IFERROR(ABS('DCL(РСН)'!BL20)/Проверка!$O$31,0)+IFERROR(ABS('DCL(РСН)'!BM20)/Проверка!$Q$31,0),0)</f>
        <v>0</v>
      </c>
      <c r="BQ20">
        <f>IFERROR(SQRT((ABS(BJ20)/Проверка!$M$31)^2+(ABS('DCL(РСН)'!BH20)/Проверка!$L$31)^2+(ABS('DCL(РСН)'!BK20)/Проверка!$N$31)^2+(2*ABS('DCL(РСН)'!BK20)/Проверка!$N$31)*(Проверка!$R$31*ABS(BJ20)/Проверка!$M$31+Проверка!$S$31*ABS('DCL(РСН)'!BH20)/Проверка!$L$31)),0)</f>
        <v>0</v>
      </c>
      <c r="BR20">
        <f>IFERROR(SQRT(BP20^2+BQ20^2),0)</f>
        <v>0</v>
      </c>
      <c r="DC20" t="s">
        <v>2156</v>
      </c>
      <c r="DD20" t="s">
        <v>2157</v>
      </c>
      <c r="DE20" t="s">
        <v>2158</v>
      </c>
      <c r="DF20" t="s">
        <v>2159</v>
      </c>
      <c r="DG20" t="s">
        <v>2160</v>
      </c>
      <c r="DH20" t="s">
        <v>2161</v>
      </c>
      <c r="DI20" t="str">
        <f>"N, кН"</f>
        <v>N, кН</v>
      </c>
      <c r="DJ20" t="str">
        <f>"MK, кН*м"</f>
        <v>MK, кН*м</v>
      </c>
      <c r="DK20" t="str">
        <f>"MY, кН*м"</f>
        <v>MY, кН*м</v>
      </c>
      <c r="DL20" t="str">
        <f>"QZ, кН"</f>
        <v>QZ, кН</v>
      </c>
      <c r="DM20" t="str">
        <f>"MZ, кН*м"</f>
        <v>MZ, кН*м</v>
      </c>
      <c r="DN20" t="str">
        <f>"QY, кН"</f>
        <v>QY, кН</v>
      </c>
      <c r="DO20" t="s">
        <v>2162</v>
      </c>
    </row>
    <row r="21" spans="2:119" ht="21" hidden="1" customHeight="1" x14ac:dyDescent="0.25">
      <c r="B21" s="4"/>
      <c r="C21" s="3"/>
      <c r="D21" s="3"/>
      <c r="K21" s="97">
        <v>0</v>
      </c>
      <c r="L21" s="97">
        <v>0</v>
      </c>
      <c r="M21" s="97">
        <v>0</v>
      </c>
      <c r="N21" s="97">
        <v>0</v>
      </c>
      <c r="O21" s="97">
        <v>0</v>
      </c>
      <c r="P21" s="97">
        <v>0</v>
      </c>
      <c r="Q21" s="97">
        <v>0</v>
      </c>
      <c r="R21" s="97">
        <v>0</v>
      </c>
      <c r="S21" s="97">
        <v>0</v>
      </c>
      <c r="T21" s="97">
        <v>0</v>
      </c>
      <c r="U21" s="97">
        <v>0</v>
      </c>
      <c r="V21" s="5"/>
      <c r="W21">
        <f>IF(IFERROR((ABS(AG21)*Проверка!$Q$3+ABS(AF21))/(Проверка!$R$3*0.015),0)=0,0,(ABS(AG21)*Проверка!$Q$3+ABS(AF21))/(Проверка!$R$3*0.015))</f>
        <v>0</v>
      </c>
      <c r="X21">
        <f>IF(IFERROR(ABS(AC21)/Проверка!$J$3+ABS('DCL(РСН)'!AB21)/Проверка!$K$3,0)=0,0,ABS(AC21)/Проверка!$J$3+ABS('DCL(РСН)'!AB21)/Проверка!$K$3)</f>
        <v>0</v>
      </c>
      <c r="Y21">
        <f>IF(K21=0,0,K21)</f>
        <v>0</v>
      </c>
      <c r="Z21">
        <f>IF(M21=0,0,M21)</f>
        <v>0</v>
      </c>
      <c r="AA21">
        <f>IF(T21=0,0,T21)</f>
        <v>0</v>
      </c>
      <c r="AB21">
        <f>IF(O21=0,0,O21)</f>
        <v>0</v>
      </c>
      <c r="AC21">
        <f>IF(R21=0,0,R21)</f>
        <v>0</v>
      </c>
      <c r="AD21">
        <f>IF(P21=0,0,P21)</f>
        <v>0</v>
      </c>
      <c r="AE21">
        <f>IF(Q21=0,0,Q21)</f>
        <v>0</v>
      </c>
      <c r="AF21">
        <f>IF(S21=0,0,S21)</f>
        <v>0</v>
      </c>
      <c r="AG21">
        <f>IF(U21=0,0,U21)</f>
        <v>0</v>
      </c>
      <c r="AH21">
        <f>IF(O21&gt;0,O21,0)</f>
        <v>0</v>
      </c>
      <c r="AI21">
        <f>IF(O21&lt;0,O21,0)</f>
        <v>0</v>
      </c>
      <c r="AJ21">
        <f>IFERROR(ABS(AE21)/Проверка!$P$3+'DCL(РСН)'!AH21/Проверка!$N$3,0)</f>
        <v>0</v>
      </c>
      <c r="AK21">
        <f>IFERROR(ABS(AC21)/Проверка!$J$3+ABS('DCL(РСН)'!AA21)/Проверка!$L$3,0)</f>
        <v>0</v>
      </c>
      <c r="AL21">
        <f>IFERROR(AB21/Проверка!$K$31+IFERROR(ABS('DCL(РСН)'!AE21)/Проверка!$O$31,0)+IFERROR((ABS('DCL(РСН)'!AF21)+IFERROR(ABS(AG21)*Проверка!$Q$3,0))/Проверка!$Q$31,0),0)</f>
        <v>0</v>
      </c>
      <c r="AM21">
        <f>IFERROR(SQRT((ABS(AC21)/Проверка!$M$31)^2+(ABS('DCL(РСН)'!AA21)/Проверка!$L$31)^2+(ABS('DCL(РСН)'!AD21)/Проверка!$N$31)^2+(2*ABS('DCL(РСН)'!AD21)/Проверка!$N$31)*(Проверка!$R$31*ABS(AC21)/Проверка!$M$31+Проверка!$S$31*ABS('DCL(РСН)'!AA21)/Проверка!$L$31)),0)</f>
        <v>0</v>
      </c>
      <c r="AN21">
        <f>IFERROR(SQRT(AL21^2+AM21^2),0)</f>
        <v>0</v>
      </c>
    </row>
    <row r="22" spans="2:119" x14ac:dyDescent="0.25">
      <c r="K22" t="s">
        <v>2438</v>
      </c>
      <c r="M22">
        <v>105</v>
      </c>
      <c r="N22">
        <v>1</v>
      </c>
      <c r="O22">
        <v>1.1200000000000001</v>
      </c>
      <c r="P22">
        <v>6.4079999999999998E-2</v>
      </c>
      <c r="Q22">
        <v>0</v>
      </c>
      <c r="R22">
        <v>1.6674</v>
      </c>
      <c r="S22">
        <v>0</v>
      </c>
      <c r="T22">
        <v>-4.8599999999999997E-2</v>
      </c>
      <c r="W22">
        <v>0</v>
      </c>
      <c r="X22">
        <v>1.3613307120185703E-2</v>
      </c>
      <c r="Y22" t="s">
        <v>2438</v>
      </c>
      <c r="Z22">
        <v>105</v>
      </c>
      <c r="AA22">
        <v>-4.8599999999999997E-2</v>
      </c>
      <c r="AB22">
        <v>1.1200000000000001</v>
      </c>
      <c r="AC22">
        <v>1.6674</v>
      </c>
      <c r="AD22">
        <v>6.4079999999999998E-2</v>
      </c>
      <c r="AE22">
        <v>0</v>
      </c>
      <c r="AF22">
        <v>0</v>
      </c>
      <c r="AG22">
        <v>0</v>
      </c>
      <c r="AH22">
        <v>1.1200000000000001</v>
      </c>
      <c r="AI22">
        <v>0</v>
      </c>
      <c r="AJ22">
        <v>0</v>
      </c>
      <c r="AK22">
        <v>9.6044554455445557E-3</v>
      </c>
      <c r="AL22">
        <v>4.3243243243243244E-3</v>
      </c>
      <c r="AM22">
        <v>2.663222768289376E-2</v>
      </c>
      <c r="AN22">
        <v>2.6981017998130387E-2</v>
      </c>
    </row>
    <row r="23" spans="2:119" x14ac:dyDescent="0.25">
      <c r="K23" t="s">
        <v>2439</v>
      </c>
      <c r="M23">
        <v>105</v>
      </c>
      <c r="N23">
        <v>1</v>
      </c>
      <c r="O23">
        <v>-3.0063</v>
      </c>
      <c r="P23">
        <v>5.3099999999999996E-3</v>
      </c>
      <c r="Q23">
        <v>0</v>
      </c>
      <c r="R23">
        <v>1.6546000000000001</v>
      </c>
      <c r="S23">
        <v>0</v>
      </c>
      <c r="T23">
        <v>-0.13875999999999999</v>
      </c>
      <c r="W23">
        <v>0</v>
      </c>
      <c r="X23">
        <v>2.257529963522668E-2</v>
      </c>
      <c r="Y23" t="s">
        <v>2439</v>
      </c>
      <c r="Z23">
        <v>105</v>
      </c>
      <c r="AA23">
        <v>-0.13875999999999999</v>
      </c>
      <c r="AB23">
        <v>-3.0063</v>
      </c>
      <c r="AC23">
        <v>1.6546000000000001</v>
      </c>
      <c r="AD23">
        <v>5.3099999999999996E-3</v>
      </c>
      <c r="AE23">
        <v>0</v>
      </c>
      <c r="AF23">
        <v>0</v>
      </c>
      <c r="AG23">
        <v>0</v>
      </c>
      <c r="AH23">
        <v>0</v>
      </c>
      <c r="AI23">
        <v>-3.0063</v>
      </c>
      <c r="AJ23">
        <v>0</v>
      </c>
      <c r="AK23">
        <v>1.2045533553355334E-2</v>
      </c>
      <c r="AL23">
        <v>-1.1607335907335908E-2</v>
      </c>
      <c r="AM23">
        <v>8.7004682509250458E-3</v>
      </c>
      <c r="AN23">
        <v>1.450615023536859E-2</v>
      </c>
    </row>
    <row r="24" spans="2:119" x14ac:dyDescent="0.25">
      <c r="K24" t="s">
        <v>2452</v>
      </c>
      <c r="M24">
        <v>105</v>
      </c>
      <c r="N24">
        <v>1</v>
      </c>
      <c r="O24">
        <v>-2.1251000000000002</v>
      </c>
      <c r="P24">
        <v>7.5679999999999997E-2</v>
      </c>
      <c r="Q24">
        <v>0</v>
      </c>
      <c r="R24">
        <v>1.6515</v>
      </c>
      <c r="S24">
        <v>0</v>
      </c>
      <c r="T24">
        <v>-0.13145000000000001</v>
      </c>
      <c r="W24">
        <v>0</v>
      </c>
      <c r="X24">
        <v>1.8343685157989485E-2</v>
      </c>
      <c r="Y24" t="s">
        <v>2452</v>
      </c>
      <c r="Z24">
        <v>105</v>
      </c>
      <c r="AA24">
        <v>-0.13145000000000001</v>
      </c>
      <c r="AB24">
        <v>-2.1251000000000002</v>
      </c>
      <c r="AC24">
        <v>1.6515</v>
      </c>
      <c r="AD24">
        <v>7.5679999999999997E-2</v>
      </c>
      <c r="AE24">
        <v>0</v>
      </c>
      <c r="AF24">
        <v>0</v>
      </c>
      <c r="AG24">
        <v>0</v>
      </c>
      <c r="AH24">
        <v>0</v>
      </c>
      <c r="AI24">
        <v>-2.1251000000000002</v>
      </c>
      <c r="AJ24">
        <v>0</v>
      </c>
      <c r="AK24">
        <v>1.1827131463146316E-2</v>
      </c>
      <c r="AL24">
        <v>-8.2050193050193058E-3</v>
      </c>
      <c r="AM24">
        <v>3.1173893112340267E-2</v>
      </c>
      <c r="AN24">
        <v>3.2235600716837204E-2</v>
      </c>
    </row>
    <row r="25" spans="2:119" x14ac:dyDescent="0.25">
      <c r="K25" t="s">
        <v>2453</v>
      </c>
      <c r="M25">
        <v>105</v>
      </c>
      <c r="N25">
        <v>1</v>
      </c>
      <c r="O25">
        <v>0.23888000000000001</v>
      </c>
      <c r="P25">
        <v>-6.2899999999999996E-3</v>
      </c>
      <c r="Q25">
        <v>0</v>
      </c>
      <c r="R25">
        <v>1.6705000000000001</v>
      </c>
      <c r="S25">
        <v>0</v>
      </c>
      <c r="T25">
        <v>-5.5910000000000001E-2</v>
      </c>
      <c r="W25">
        <v>0</v>
      </c>
      <c r="X25">
        <v>9.4127684873750537E-3</v>
      </c>
      <c r="Y25" t="s">
        <v>2453</v>
      </c>
      <c r="Z25">
        <v>105</v>
      </c>
      <c r="AA25">
        <v>-5.5910000000000001E-2</v>
      </c>
      <c r="AB25">
        <v>0.23888000000000001</v>
      </c>
      <c r="AC25">
        <v>1.6705000000000001</v>
      </c>
      <c r="AD25">
        <v>-6.2899999999999996E-3</v>
      </c>
      <c r="AE25">
        <v>0</v>
      </c>
      <c r="AF25">
        <v>0</v>
      </c>
      <c r="AG25">
        <v>0</v>
      </c>
      <c r="AH25">
        <v>0.23888000000000001</v>
      </c>
      <c r="AI25">
        <v>0</v>
      </c>
      <c r="AJ25">
        <v>0</v>
      </c>
      <c r="AK25">
        <v>9.822857535753576E-3</v>
      </c>
      <c r="AL25">
        <v>9.2231660231660237E-4</v>
      </c>
      <c r="AM25">
        <v>8.658387266054066E-3</v>
      </c>
      <c r="AN25">
        <v>8.7073726211685711E-3</v>
      </c>
    </row>
    <row r="26" spans="2:119" x14ac:dyDescent="0.25">
      <c r="K26" t="s">
        <v>2440</v>
      </c>
      <c r="M26">
        <v>105</v>
      </c>
      <c r="N26">
        <v>1</v>
      </c>
      <c r="O26">
        <v>4.7565999999999997</v>
      </c>
      <c r="P26">
        <v>7.8460000000000002E-2</v>
      </c>
      <c r="Q26">
        <v>0</v>
      </c>
      <c r="R26">
        <v>1.657</v>
      </c>
      <c r="S26">
        <v>0</v>
      </c>
      <c r="T26">
        <v>-0.10359</v>
      </c>
      <c r="W26">
        <v>0</v>
      </c>
      <c r="X26">
        <v>3.0961821971670852E-2</v>
      </c>
      <c r="Y26" t="s">
        <v>2440</v>
      </c>
      <c r="Z26">
        <v>105</v>
      </c>
      <c r="AA26">
        <v>-0.10359</v>
      </c>
      <c r="AB26">
        <v>4.7565999999999997</v>
      </c>
      <c r="AC26">
        <v>1.657</v>
      </c>
      <c r="AD26">
        <v>7.8460000000000002E-2</v>
      </c>
      <c r="AE26">
        <v>0</v>
      </c>
      <c r="AF26">
        <v>0</v>
      </c>
      <c r="AG26">
        <v>0</v>
      </c>
      <c r="AH26">
        <v>4.7565999999999997</v>
      </c>
      <c r="AI26">
        <v>0</v>
      </c>
      <c r="AJ26">
        <v>0</v>
      </c>
      <c r="AK26">
        <v>1.1080470297029703E-2</v>
      </c>
      <c r="AL26">
        <v>1.8365250965250966E-2</v>
      </c>
      <c r="AM26">
        <v>3.1838590634941585E-2</v>
      </c>
      <c r="AN26">
        <v>3.6755656661744483E-2</v>
      </c>
    </row>
    <row r="27" spans="2:119" x14ac:dyDescent="0.25">
      <c r="K27" t="s">
        <v>2447</v>
      </c>
      <c r="M27">
        <v>105</v>
      </c>
      <c r="N27">
        <v>1</v>
      </c>
      <c r="O27">
        <v>-6.6311</v>
      </c>
      <c r="P27">
        <v>-8.2400000000000008E-3</v>
      </c>
      <c r="Q27">
        <v>0</v>
      </c>
      <c r="R27">
        <v>1.6649</v>
      </c>
      <c r="S27">
        <v>0</v>
      </c>
      <c r="T27">
        <v>-8.3839999999999998E-2</v>
      </c>
      <c r="W27">
        <v>0</v>
      </c>
      <c r="X27">
        <v>3.9969830404093042E-2</v>
      </c>
      <c r="Y27" t="s">
        <v>2447</v>
      </c>
      <c r="Z27">
        <v>105</v>
      </c>
      <c r="AA27">
        <v>-8.3839999999999998E-2</v>
      </c>
      <c r="AB27">
        <v>-6.6311</v>
      </c>
      <c r="AC27">
        <v>1.6649</v>
      </c>
      <c r="AD27">
        <v>-8.2400000000000008E-3</v>
      </c>
      <c r="AE27">
        <v>0</v>
      </c>
      <c r="AF27">
        <v>0</v>
      </c>
      <c r="AG27">
        <v>0</v>
      </c>
      <c r="AH27">
        <v>0</v>
      </c>
      <c r="AI27">
        <v>-6.6311</v>
      </c>
      <c r="AJ27">
        <v>0</v>
      </c>
      <c r="AK27">
        <v>1.0570968096809682E-2</v>
      </c>
      <c r="AL27">
        <v>-2.5602702702702703E-2</v>
      </c>
      <c r="AM27">
        <v>9.2958944768886942E-3</v>
      </c>
      <c r="AN27">
        <v>2.7238062335790885E-2</v>
      </c>
    </row>
    <row r="28" spans="2:119" x14ac:dyDescent="0.25">
      <c r="K28" t="s">
        <v>2461</v>
      </c>
      <c r="M28">
        <v>105</v>
      </c>
      <c r="N28">
        <v>1</v>
      </c>
      <c r="O28">
        <v>1.5114000000000001</v>
      </c>
      <c r="P28">
        <v>9.0069999999999997E-2</v>
      </c>
      <c r="Q28">
        <v>0</v>
      </c>
      <c r="R28">
        <v>1.6412</v>
      </c>
      <c r="S28">
        <v>0</v>
      </c>
      <c r="T28">
        <v>-0.18643999999999999</v>
      </c>
      <c r="W28">
        <v>0</v>
      </c>
      <c r="X28">
        <v>1.5356331422615947E-2</v>
      </c>
      <c r="Y28" t="s">
        <v>2461</v>
      </c>
      <c r="Z28">
        <v>105</v>
      </c>
      <c r="AA28">
        <v>-0.18643999999999999</v>
      </c>
      <c r="AB28">
        <v>1.5114000000000001</v>
      </c>
      <c r="AC28">
        <v>1.6412</v>
      </c>
      <c r="AD28">
        <v>9.0069999999999997E-2</v>
      </c>
      <c r="AE28">
        <v>0</v>
      </c>
      <c r="AF28">
        <v>0</v>
      </c>
      <c r="AG28">
        <v>0</v>
      </c>
      <c r="AH28">
        <v>1.5114000000000001</v>
      </c>
      <c r="AI28">
        <v>0</v>
      </c>
      <c r="AJ28">
        <v>0</v>
      </c>
      <c r="AK28">
        <v>1.3303641364136413E-2</v>
      </c>
      <c r="AL28">
        <v>5.835521235521236E-3</v>
      </c>
      <c r="AM28">
        <v>3.644246996789214E-2</v>
      </c>
      <c r="AN28">
        <v>3.6906732792959876E-2</v>
      </c>
    </row>
    <row r="29" spans="2:119" x14ac:dyDescent="0.25">
      <c r="K29" t="s">
        <v>2460</v>
      </c>
      <c r="M29">
        <v>105</v>
      </c>
      <c r="N29">
        <v>1</v>
      </c>
      <c r="O29">
        <v>-3.3858999999999999</v>
      </c>
      <c r="P29">
        <v>-1.984E-2</v>
      </c>
      <c r="Q29">
        <v>0</v>
      </c>
      <c r="R29">
        <v>1.6808000000000001</v>
      </c>
      <c r="S29">
        <v>0</v>
      </c>
      <c r="T29">
        <v>-9.8999999999999999E-4</v>
      </c>
      <c r="W29">
        <v>0</v>
      </c>
      <c r="X29">
        <v>2.4521270548107443E-2</v>
      </c>
      <c r="Y29" t="s">
        <v>2460</v>
      </c>
      <c r="Z29">
        <v>105</v>
      </c>
      <c r="AA29">
        <v>-9.8999999999999999E-4</v>
      </c>
      <c r="AB29">
        <v>-3.3858999999999999</v>
      </c>
      <c r="AC29">
        <v>1.6808000000000001</v>
      </c>
      <c r="AD29">
        <v>-1.984E-2</v>
      </c>
      <c r="AE29">
        <v>0</v>
      </c>
      <c r="AF29">
        <v>0</v>
      </c>
      <c r="AG29">
        <v>0</v>
      </c>
      <c r="AH29">
        <v>0</v>
      </c>
      <c r="AI29">
        <v>-3.3858999999999999</v>
      </c>
      <c r="AJ29">
        <v>0</v>
      </c>
      <c r="AK29">
        <v>8.3482920792079217E-3</v>
      </c>
      <c r="AL29">
        <v>-1.3072972972972973E-2</v>
      </c>
      <c r="AM29">
        <v>1.2266134869504959E-2</v>
      </c>
      <c r="AN29">
        <v>1.7926535833477902E-2</v>
      </c>
    </row>
    <row r="30" spans="2:119" x14ac:dyDescent="0.25">
      <c r="K30" t="s">
        <v>2456</v>
      </c>
      <c r="M30">
        <v>105</v>
      </c>
      <c r="N30">
        <v>1</v>
      </c>
      <c r="O30">
        <v>0.63027</v>
      </c>
      <c r="P30">
        <v>1.9689999999999999E-2</v>
      </c>
      <c r="Q30">
        <v>0</v>
      </c>
      <c r="R30">
        <v>1.6443000000000001</v>
      </c>
      <c r="S30">
        <v>0</v>
      </c>
      <c r="T30">
        <v>-0.19374</v>
      </c>
      <c r="W30">
        <v>0</v>
      </c>
      <c r="X30">
        <v>1.1155744942915345E-2</v>
      </c>
      <c r="Y30" t="s">
        <v>2456</v>
      </c>
      <c r="Z30">
        <v>105</v>
      </c>
      <c r="AA30">
        <v>-0.19374</v>
      </c>
      <c r="AB30">
        <v>0.63027</v>
      </c>
      <c r="AC30">
        <v>1.6443000000000001</v>
      </c>
      <c r="AD30">
        <v>1.9689999999999999E-2</v>
      </c>
      <c r="AE30">
        <v>0</v>
      </c>
      <c r="AF30">
        <v>0</v>
      </c>
      <c r="AG30">
        <v>0</v>
      </c>
      <c r="AH30">
        <v>0.63027</v>
      </c>
      <c r="AI30">
        <v>0</v>
      </c>
      <c r="AJ30">
        <v>0</v>
      </c>
      <c r="AK30">
        <v>1.3521765676567658E-2</v>
      </c>
      <c r="AL30">
        <v>2.4334749034749035E-3</v>
      </c>
      <c r="AM30">
        <v>1.3445078924890634E-2</v>
      </c>
      <c r="AN30">
        <v>1.3663526170150238E-2</v>
      </c>
    </row>
    <row r="31" spans="2:119" x14ac:dyDescent="0.25">
      <c r="K31" t="s">
        <v>2457</v>
      </c>
      <c r="M31">
        <v>105</v>
      </c>
      <c r="N31">
        <v>1</v>
      </c>
      <c r="O31">
        <v>-2.5047000000000001</v>
      </c>
      <c r="P31">
        <v>5.0520000000000002E-2</v>
      </c>
      <c r="Q31">
        <v>0</v>
      </c>
      <c r="R31">
        <v>1.6777</v>
      </c>
      <c r="S31">
        <v>0</v>
      </c>
      <c r="T31">
        <v>6.3099999999999996E-3</v>
      </c>
      <c r="W31">
        <v>0</v>
      </c>
      <c r="X31">
        <v>2.0289656070870243E-2</v>
      </c>
      <c r="Y31" t="s">
        <v>2457</v>
      </c>
      <c r="Z31">
        <v>105</v>
      </c>
      <c r="AA31">
        <v>6.3099999999999996E-3</v>
      </c>
      <c r="AB31">
        <v>-2.5047000000000001</v>
      </c>
      <c r="AC31">
        <v>1.6777</v>
      </c>
      <c r="AD31">
        <v>5.0520000000000002E-2</v>
      </c>
      <c r="AE31">
        <v>0</v>
      </c>
      <c r="AF31">
        <v>0</v>
      </c>
      <c r="AG31">
        <v>0</v>
      </c>
      <c r="AH31">
        <v>0</v>
      </c>
      <c r="AI31">
        <v>-2.5047000000000001</v>
      </c>
      <c r="AJ31">
        <v>0</v>
      </c>
      <c r="AK31">
        <v>8.4807233223322329E-3</v>
      </c>
      <c r="AL31">
        <v>-9.6706563706563716E-3</v>
      </c>
      <c r="AM31">
        <v>2.1887973971345114E-2</v>
      </c>
      <c r="AN31">
        <v>2.3929166287390748E-2</v>
      </c>
    </row>
    <row r="32" spans="2:119" x14ac:dyDescent="0.25">
      <c r="K32" t="s">
        <v>2441</v>
      </c>
      <c r="M32">
        <v>116</v>
      </c>
      <c r="N32">
        <v>1</v>
      </c>
      <c r="O32">
        <v>-13.151</v>
      </c>
      <c r="P32">
        <v>5.0450000000000002E-2</v>
      </c>
      <c r="Q32">
        <v>0</v>
      </c>
      <c r="R32">
        <v>1.3742000000000001</v>
      </c>
      <c r="S32">
        <v>0</v>
      </c>
      <c r="T32">
        <v>-0.21462999999999999</v>
      </c>
      <c r="W32">
        <v>0</v>
      </c>
      <c r="X32">
        <v>6.9726415273106246E-2</v>
      </c>
      <c r="Y32" t="s">
        <v>2441</v>
      </c>
      <c r="Z32">
        <v>116</v>
      </c>
      <c r="AA32">
        <v>-0.21462999999999999</v>
      </c>
      <c r="AB32">
        <v>-13.151</v>
      </c>
      <c r="AC32">
        <v>1.3742000000000001</v>
      </c>
      <c r="AD32">
        <v>5.0450000000000002E-2</v>
      </c>
      <c r="AE32">
        <v>0</v>
      </c>
      <c r="AF32">
        <v>0</v>
      </c>
      <c r="AG32">
        <v>0</v>
      </c>
      <c r="AH32">
        <v>0</v>
      </c>
      <c r="AI32">
        <v>-13.151</v>
      </c>
      <c r="AJ32">
        <v>0</v>
      </c>
      <c r="AK32">
        <v>1.2764914741474148E-2</v>
      </c>
      <c r="AL32">
        <v>-5.0776061776061775E-2</v>
      </c>
      <c r="AM32">
        <v>2.2829461991875511E-2</v>
      </c>
      <c r="AN32">
        <v>5.5672190403512331E-2</v>
      </c>
    </row>
    <row r="33" spans="11:40" x14ac:dyDescent="0.25">
      <c r="K33" t="s">
        <v>2452</v>
      </c>
      <c r="M33">
        <v>116</v>
      </c>
      <c r="N33">
        <v>1</v>
      </c>
      <c r="O33">
        <v>-12.718</v>
      </c>
      <c r="P33">
        <v>5.0689999999999999E-2</v>
      </c>
      <c r="Q33">
        <v>0</v>
      </c>
      <c r="R33">
        <v>1.3741000000000001</v>
      </c>
      <c r="S33">
        <v>0</v>
      </c>
      <c r="T33">
        <v>-0.21510000000000001</v>
      </c>
      <c r="W33">
        <v>0</v>
      </c>
      <c r="X33">
        <v>6.7654149888673076E-2</v>
      </c>
      <c r="Y33" t="s">
        <v>2452</v>
      </c>
      <c r="Z33">
        <v>116</v>
      </c>
      <c r="AA33">
        <v>-0.21510000000000001</v>
      </c>
      <c r="AB33">
        <v>-12.718</v>
      </c>
      <c r="AC33">
        <v>1.3741000000000001</v>
      </c>
      <c r="AD33">
        <v>5.0689999999999999E-2</v>
      </c>
      <c r="AE33">
        <v>0</v>
      </c>
      <c r="AF33">
        <v>0</v>
      </c>
      <c r="AG33">
        <v>0</v>
      </c>
      <c r="AH33">
        <v>0</v>
      </c>
      <c r="AI33">
        <v>-12.718</v>
      </c>
      <c r="AJ33">
        <v>0</v>
      </c>
      <c r="AK33">
        <v>1.2777475247524754E-2</v>
      </c>
      <c r="AL33">
        <v>-4.9104247104247101E-2</v>
      </c>
      <c r="AM33">
        <v>2.2913159720797098E-2</v>
      </c>
      <c r="AN33">
        <v>5.4187083073973623E-2</v>
      </c>
    </row>
    <row r="34" spans="11:40" x14ac:dyDescent="0.25">
      <c r="K34" t="s">
        <v>2453</v>
      </c>
      <c r="M34">
        <v>116</v>
      </c>
      <c r="N34">
        <v>1</v>
      </c>
      <c r="O34">
        <v>-0.49173</v>
      </c>
      <c r="P34">
        <v>-5.1000000000000004E-3</v>
      </c>
      <c r="Q34">
        <v>0</v>
      </c>
      <c r="R34">
        <v>1.3771</v>
      </c>
      <c r="S34">
        <v>0</v>
      </c>
      <c r="T34">
        <v>-0.19348000000000001</v>
      </c>
      <c r="W34">
        <v>0</v>
      </c>
      <c r="X34">
        <v>9.1701018522904916E-3</v>
      </c>
      <c r="Y34" t="s">
        <v>2453</v>
      </c>
      <c r="Z34">
        <v>116</v>
      </c>
      <c r="AA34">
        <v>-0.19348000000000001</v>
      </c>
      <c r="AB34">
        <v>-0.49173</v>
      </c>
      <c r="AC34">
        <v>1.3771</v>
      </c>
      <c r="AD34">
        <v>-5.1000000000000004E-3</v>
      </c>
      <c r="AE34">
        <v>0</v>
      </c>
      <c r="AF34">
        <v>0</v>
      </c>
      <c r="AG34">
        <v>0</v>
      </c>
      <c r="AH34">
        <v>0</v>
      </c>
      <c r="AI34">
        <v>-0.49173</v>
      </c>
      <c r="AJ34">
        <v>0</v>
      </c>
      <c r="AK34">
        <v>1.2191771177117712E-2</v>
      </c>
      <c r="AL34">
        <v>-1.8985714285714285E-3</v>
      </c>
      <c r="AM34">
        <v>7.9208452318663639E-3</v>
      </c>
      <c r="AN34">
        <v>8.1452048873289773E-3</v>
      </c>
    </row>
    <row r="35" spans="11:40" x14ac:dyDescent="0.25">
      <c r="K35" t="s">
        <v>2442</v>
      </c>
      <c r="M35">
        <v>116</v>
      </c>
      <c r="N35">
        <v>1</v>
      </c>
      <c r="O35">
        <v>-5.9240000000000001E-2</v>
      </c>
      <c r="P35">
        <v>-4.8500000000000001E-3</v>
      </c>
      <c r="Q35">
        <v>0</v>
      </c>
      <c r="R35">
        <v>1.377</v>
      </c>
      <c r="S35">
        <v>0</v>
      </c>
      <c r="T35">
        <v>-0.19395000000000001</v>
      </c>
      <c r="W35">
        <v>0</v>
      </c>
      <c r="X35">
        <v>7.1002766592448722E-3</v>
      </c>
      <c r="Y35" t="s">
        <v>2442</v>
      </c>
      <c r="Z35">
        <v>116</v>
      </c>
      <c r="AA35">
        <v>-0.19395000000000001</v>
      </c>
      <c r="AB35">
        <v>-5.9240000000000001E-2</v>
      </c>
      <c r="AC35">
        <v>1.377</v>
      </c>
      <c r="AD35">
        <v>-4.8500000000000001E-3</v>
      </c>
      <c r="AE35">
        <v>0</v>
      </c>
      <c r="AF35">
        <v>0</v>
      </c>
      <c r="AG35">
        <v>0</v>
      </c>
      <c r="AH35">
        <v>0</v>
      </c>
      <c r="AI35">
        <v>-5.9240000000000001E-2</v>
      </c>
      <c r="AJ35">
        <v>0</v>
      </c>
      <c r="AK35">
        <v>1.2204331683168316E-2</v>
      </c>
      <c r="AL35">
        <v>-2.2872586872586874E-4</v>
      </c>
      <c r="AM35">
        <v>7.8469140066305138E-3</v>
      </c>
      <c r="AN35">
        <v>7.8502468082524996E-3</v>
      </c>
    </row>
    <row r="36" spans="11:40" x14ac:dyDescent="0.25">
      <c r="K36" t="s">
        <v>2439</v>
      </c>
      <c r="M36">
        <v>116</v>
      </c>
      <c r="N36">
        <v>1</v>
      </c>
      <c r="O36">
        <v>-7.1558999999999999</v>
      </c>
      <c r="P36">
        <v>8.8599999999999998E-3</v>
      </c>
      <c r="Q36">
        <v>0</v>
      </c>
      <c r="R36">
        <v>1.3729</v>
      </c>
      <c r="S36">
        <v>0</v>
      </c>
      <c r="T36">
        <v>-0.22319</v>
      </c>
      <c r="W36">
        <v>0</v>
      </c>
      <c r="X36">
        <v>4.1035290634326586E-2</v>
      </c>
      <c r="Y36" t="s">
        <v>2439</v>
      </c>
      <c r="Z36">
        <v>116</v>
      </c>
      <c r="AA36">
        <v>-0.22319</v>
      </c>
      <c r="AB36">
        <v>-7.1558999999999999</v>
      </c>
      <c r="AC36">
        <v>1.3729</v>
      </c>
      <c r="AD36">
        <v>8.8599999999999998E-3</v>
      </c>
      <c r="AE36">
        <v>0</v>
      </c>
      <c r="AF36">
        <v>0</v>
      </c>
      <c r="AG36">
        <v>0</v>
      </c>
      <c r="AH36">
        <v>0</v>
      </c>
      <c r="AI36">
        <v>-7.1558999999999999</v>
      </c>
      <c r="AJ36">
        <v>0</v>
      </c>
      <c r="AK36">
        <v>1.2996256875687569E-2</v>
      </c>
      <c r="AL36">
        <v>-2.762895752895753E-2</v>
      </c>
      <c r="AM36">
        <v>9.3061109264767732E-3</v>
      </c>
      <c r="AN36">
        <v>2.9154124831879784E-2</v>
      </c>
    </row>
    <row r="37" spans="11:40" x14ac:dyDescent="0.25">
      <c r="K37" t="s">
        <v>2438</v>
      </c>
      <c r="M37">
        <v>116</v>
      </c>
      <c r="N37">
        <v>1</v>
      </c>
      <c r="O37">
        <v>-6.0545</v>
      </c>
      <c r="P37">
        <v>3.6729999999999999E-2</v>
      </c>
      <c r="Q37">
        <v>0</v>
      </c>
      <c r="R37">
        <v>1.3783000000000001</v>
      </c>
      <c r="S37">
        <v>0</v>
      </c>
      <c r="T37">
        <v>-0.18539</v>
      </c>
      <c r="W37">
        <v>0</v>
      </c>
      <c r="X37">
        <v>3.5792166848263772E-2</v>
      </c>
      <c r="Y37" t="s">
        <v>2438</v>
      </c>
      <c r="Z37">
        <v>116</v>
      </c>
      <c r="AA37">
        <v>-0.18539</v>
      </c>
      <c r="AB37">
        <v>-6.0545</v>
      </c>
      <c r="AC37">
        <v>1.3783000000000001</v>
      </c>
      <c r="AD37">
        <v>3.6729999999999999E-2</v>
      </c>
      <c r="AE37">
        <v>0</v>
      </c>
      <c r="AF37">
        <v>0</v>
      </c>
      <c r="AG37">
        <v>0</v>
      </c>
      <c r="AH37">
        <v>0</v>
      </c>
      <c r="AI37">
        <v>-6.0545</v>
      </c>
      <c r="AJ37">
        <v>0</v>
      </c>
      <c r="AK37">
        <v>1.1972989548954895E-2</v>
      </c>
      <c r="AL37">
        <v>-2.3376447876447878E-2</v>
      </c>
      <c r="AM37">
        <v>1.8037790591311487E-2</v>
      </c>
      <c r="AN37">
        <v>2.9526601645571908E-2</v>
      </c>
    </row>
    <row r="38" spans="11:40" x14ac:dyDescent="0.25">
      <c r="K38" t="s">
        <v>2458</v>
      </c>
      <c r="M38">
        <v>116</v>
      </c>
      <c r="N38">
        <v>1</v>
      </c>
      <c r="O38">
        <v>5.2180999999999997</v>
      </c>
      <c r="P38">
        <v>-7.62E-3</v>
      </c>
      <c r="Q38">
        <v>0</v>
      </c>
      <c r="R38">
        <v>1.3654999999999999</v>
      </c>
      <c r="S38">
        <v>0</v>
      </c>
      <c r="T38">
        <v>-0.21532999999999999</v>
      </c>
      <c r="W38">
        <v>0</v>
      </c>
      <c r="X38">
        <v>3.1726886636032021E-2</v>
      </c>
      <c r="Y38" t="s">
        <v>2458</v>
      </c>
      <c r="Z38">
        <v>116</v>
      </c>
      <c r="AA38">
        <v>-0.21532999999999999</v>
      </c>
      <c r="AB38">
        <v>5.2180999999999997</v>
      </c>
      <c r="AC38">
        <v>1.3654999999999999</v>
      </c>
      <c r="AD38">
        <v>-7.62E-3</v>
      </c>
      <c r="AE38">
        <v>0</v>
      </c>
      <c r="AF38">
        <v>0</v>
      </c>
      <c r="AG38">
        <v>0</v>
      </c>
      <c r="AH38">
        <v>5.2180999999999997</v>
      </c>
      <c r="AI38">
        <v>0</v>
      </c>
      <c r="AJ38">
        <v>0</v>
      </c>
      <c r="AK38">
        <v>1.2741289878987899E-2</v>
      </c>
      <c r="AL38">
        <v>2.0147104247104246E-2</v>
      </c>
      <c r="AM38">
        <v>8.8259623133992542E-3</v>
      </c>
      <c r="AN38">
        <v>2.1995531825832942E-2</v>
      </c>
    </row>
    <row r="39" spans="11:40" x14ac:dyDescent="0.25">
      <c r="K39" t="s">
        <v>2459</v>
      </c>
      <c r="M39">
        <v>116</v>
      </c>
      <c r="N39">
        <v>1</v>
      </c>
      <c r="O39">
        <v>-18.472999999999999</v>
      </c>
      <c r="P39">
        <v>5.348E-2</v>
      </c>
      <c r="Q39">
        <v>0</v>
      </c>
      <c r="R39">
        <v>1.3856999999999999</v>
      </c>
      <c r="S39">
        <v>0</v>
      </c>
      <c r="T39">
        <v>-0.19331999999999999</v>
      </c>
      <c r="W39">
        <v>0</v>
      </c>
      <c r="X39">
        <v>9.5247460798711436E-2</v>
      </c>
      <c r="Y39" t="s">
        <v>2459</v>
      </c>
      <c r="Z39">
        <v>116</v>
      </c>
      <c r="AA39">
        <v>-0.19331999999999999</v>
      </c>
      <c r="AB39">
        <v>-18.472999999999999</v>
      </c>
      <c r="AC39">
        <v>1.3856999999999999</v>
      </c>
      <c r="AD39">
        <v>5.348E-2</v>
      </c>
      <c r="AE39">
        <v>0</v>
      </c>
      <c r="AF39">
        <v>0</v>
      </c>
      <c r="AG39">
        <v>0</v>
      </c>
      <c r="AH39">
        <v>0</v>
      </c>
      <c r="AI39">
        <v>-18.472999999999999</v>
      </c>
      <c r="AJ39">
        <v>0</v>
      </c>
      <c r="AK39">
        <v>1.2229900990099008E-2</v>
      </c>
      <c r="AL39">
        <v>-7.1324324324324326E-2</v>
      </c>
      <c r="AM39">
        <v>2.3655831641093333E-2</v>
      </c>
      <c r="AN39">
        <v>7.5144910745526566E-2</v>
      </c>
    </row>
    <row r="40" spans="11:40" x14ac:dyDescent="0.25">
      <c r="K40" t="s">
        <v>2454</v>
      </c>
      <c r="M40">
        <v>116</v>
      </c>
      <c r="N40">
        <v>1</v>
      </c>
      <c r="O40">
        <v>-18.04</v>
      </c>
      <c r="P40">
        <v>5.3719999999999997E-2</v>
      </c>
      <c r="Q40">
        <v>0</v>
      </c>
      <c r="R40">
        <v>1.3855999999999999</v>
      </c>
      <c r="S40">
        <v>0</v>
      </c>
      <c r="T40">
        <v>-0.19378000000000001</v>
      </c>
      <c r="W40">
        <v>0</v>
      </c>
      <c r="X40">
        <v>9.3175195414278267E-2</v>
      </c>
      <c r="Y40" t="s">
        <v>2454</v>
      </c>
      <c r="Z40">
        <v>116</v>
      </c>
      <c r="AA40">
        <v>-0.19378000000000001</v>
      </c>
      <c r="AB40">
        <v>-18.04</v>
      </c>
      <c r="AC40">
        <v>1.3855999999999999</v>
      </c>
      <c r="AD40">
        <v>5.3719999999999997E-2</v>
      </c>
      <c r="AE40">
        <v>0</v>
      </c>
      <c r="AF40">
        <v>0</v>
      </c>
      <c r="AG40">
        <v>0</v>
      </c>
      <c r="AH40">
        <v>0</v>
      </c>
      <c r="AI40">
        <v>-18.04</v>
      </c>
      <c r="AJ40">
        <v>0</v>
      </c>
      <c r="AK40">
        <v>1.2242183718371838E-2</v>
      </c>
      <c r="AL40">
        <v>-6.9652509652509645E-2</v>
      </c>
      <c r="AM40">
        <v>2.3739360943390068E-2</v>
      </c>
      <c r="AN40">
        <v>7.3586883062768074E-2</v>
      </c>
    </row>
    <row r="41" spans="11:40" x14ac:dyDescent="0.25">
      <c r="K41" t="s">
        <v>2455</v>
      </c>
      <c r="M41">
        <v>116</v>
      </c>
      <c r="N41">
        <v>1</v>
      </c>
      <c r="O41">
        <v>4.7855999999999996</v>
      </c>
      <c r="P41">
        <v>-7.8700000000000003E-3</v>
      </c>
      <c r="Q41">
        <v>0</v>
      </c>
      <c r="R41">
        <v>1.3655999999999999</v>
      </c>
      <c r="S41">
        <v>0</v>
      </c>
      <c r="T41">
        <v>-0.21487000000000001</v>
      </c>
      <c r="W41">
        <v>0</v>
      </c>
      <c r="X41">
        <v>2.965800369510635E-2</v>
      </c>
      <c r="Y41" t="s">
        <v>2455</v>
      </c>
      <c r="Z41">
        <v>116</v>
      </c>
      <c r="AA41">
        <v>-0.21487000000000001</v>
      </c>
      <c r="AB41">
        <v>4.7855999999999996</v>
      </c>
      <c r="AC41">
        <v>1.3655999999999999</v>
      </c>
      <c r="AD41">
        <v>-7.8700000000000003E-3</v>
      </c>
      <c r="AE41">
        <v>0</v>
      </c>
      <c r="AF41">
        <v>0</v>
      </c>
      <c r="AG41">
        <v>0</v>
      </c>
      <c r="AH41">
        <v>4.7855999999999996</v>
      </c>
      <c r="AI41">
        <v>0</v>
      </c>
      <c r="AJ41">
        <v>0</v>
      </c>
      <c r="AK41">
        <v>1.2729007150715071E-2</v>
      </c>
      <c r="AL41">
        <v>1.8477220077220077E-2</v>
      </c>
      <c r="AM41">
        <v>8.9016825581044508E-3</v>
      </c>
      <c r="AN41">
        <v>2.0509695613228532E-2</v>
      </c>
    </row>
    <row r="42" spans="11:40" x14ac:dyDescent="0.25">
      <c r="K42" t="s">
        <v>2456</v>
      </c>
      <c r="M42">
        <v>116</v>
      </c>
      <c r="N42">
        <v>1</v>
      </c>
      <c r="O42">
        <v>-1.8785000000000001</v>
      </c>
      <c r="P42">
        <v>6.0899999999999999E-3</v>
      </c>
      <c r="Q42">
        <v>0</v>
      </c>
      <c r="R42">
        <v>1.3613999999999999</v>
      </c>
      <c r="S42">
        <v>0</v>
      </c>
      <c r="T42">
        <v>-0.24457000000000001</v>
      </c>
      <c r="W42">
        <v>0</v>
      </c>
      <c r="X42">
        <v>1.5727642237907999E-2</v>
      </c>
      <c r="Y42" t="s">
        <v>2456</v>
      </c>
      <c r="Z42">
        <v>116</v>
      </c>
      <c r="AA42">
        <v>-0.24457000000000001</v>
      </c>
      <c r="AB42">
        <v>-1.8785000000000001</v>
      </c>
      <c r="AC42">
        <v>1.3613999999999999</v>
      </c>
      <c r="AD42">
        <v>6.0899999999999999E-3</v>
      </c>
      <c r="AE42">
        <v>0</v>
      </c>
      <c r="AF42">
        <v>0</v>
      </c>
      <c r="AG42">
        <v>0</v>
      </c>
      <c r="AH42">
        <v>0</v>
      </c>
      <c r="AI42">
        <v>-1.8785000000000001</v>
      </c>
      <c r="AJ42">
        <v>0</v>
      </c>
      <c r="AK42">
        <v>1.353321507150715E-2</v>
      </c>
      <c r="AL42">
        <v>-7.2528957528957532E-3</v>
      </c>
      <c r="AM42">
        <v>8.5566977113110242E-3</v>
      </c>
      <c r="AN42">
        <v>1.121702155320781E-2</v>
      </c>
    </row>
    <row r="43" spans="11:40" x14ac:dyDescent="0.25">
      <c r="K43" t="s">
        <v>2457</v>
      </c>
      <c r="M43">
        <v>116</v>
      </c>
      <c r="N43">
        <v>1</v>
      </c>
      <c r="O43">
        <v>-11.375999999999999</v>
      </c>
      <c r="P43">
        <v>3.9759999999999997E-2</v>
      </c>
      <c r="Q43">
        <v>0</v>
      </c>
      <c r="R43">
        <v>1.3897999999999999</v>
      </c>
      <c r="S43">
        <v>0</v>
      </c>
      <c r="T43">
        <v>-0.16408</v>
      </c>
      <c r="W43">
        <v>0</v>
      </c>
      <c r="X43">
        <v>6.1310820029371355E-2</v>
      </c>
      <c r="Y43" t="s">
        <v>2457</v>
      </c>
      <c r="Z43">
        <v>116</v>
      </c>
      <c r="AA43">
        <v>-0.16408</v>
      </c>
      <c r="AB43">
        <v>-11.375999999999999</v>
      </c>
      <c r="AC43">
        <v>1.3897999999999999</v>
      </c>
      <c r="AD43">
        <v>3.9759999999999997E-2</v>
      </c>
      <c r="AE43">
        <v>0</v>
      </c>
      <c r="AF43">
        <v>0</v>
      </c>
      <c r="AG43">
        <v>0</v>
      </c>
      <c r="AH43">
        <v>0</v>
      </c>
      <c r="AI43">
        <v>-11.375999999999999</v>
      </c>
      <c r="AJ43">
        <v>0</v>
      </c>
      <c r="AK43">
        <v>1.1437975797579759E-2</v>
      </c>
      <c r="AL43">
        <v>-4.3922779922779924E-2</v>
      </c>
      <c r="AM43">
        <v>1.886840669091127E-2</v>
      </c>
      <c r="AN43">
        <v>4.7804051786418528E-2</v>
      </c>
    </row>
    <row r="44" spans="11:40" x14ac:dyDescent="0.25">
      <c r="K44" t="s">
        <v>2438</v>
      </c>
      <c r="M44">
        <v>125</v>
      </c>
      <c r="N44">
        <v>1</v>
      </c>
      <c r="O44">
        <v>3.3058000000000001</v>
      </c>
      <c r="P44">
        <v>8.1499999999999993E-3</v>
      </c>
      <c r="Q44">
        <v>0</v>
      </c>
      <c r="R44">
        <v>1.6303000000000001</v>
      </c>
      <c r="S44">
        <v>0</v>
      </c>
      <c r="T44">
        <v>-0.31439</v>
      </c>
      <c r="W44">
        <v>0</v>
      </c>
      <c r="X44">
        <v>2.3888016959590697E-2</v>
      </c>
      <c r="Y44" t="s">
        <v>2438</v>
      </c>
      <c r="Z44">
        <v>125</v>
      </c>
      <c r="AA44">
        <v>-0.31439</v>
      </c>
      <c r="AB44">
        <v>3.3058000000000001</v>
      </c>
      <c r="AC44">
        <v>1.6303000000000001</v>
      </c>
      <c r="AD44">
        <v>8.1499999999999993E-3</v>
      </c>
      <c r="AE44">
        <v>0</v>
      </c>
      <c r="AF44">
        <v>0</v>
      </c>
      <c r="AG44">
        <v>0</v>
      </c>
      <c r="AH44">
        <v>3.3058000000000001</v>
      </c>
      <c r="AI44">
        <v>0</v>
      </c>
      <c r="AJ44">
        <v>0</v>
      </c>
      <c r="AK44">
        <v>1.6803847634763478E-2</v>
      </c>
      <c r="AL44">
        <v>1.2763706563706564E-2</v>
      </c>
      <c r="AM44">
        <v>1.0695439273655849E-2</v>
      </c>
      <c r="AN44">
        <v>1.6652466078658321E-2</v>
      </c>
    </row>
    <row r="45" spans="11:40" x14ac:dyDescent="0.25">
      <c r="K45" t="s">
        <v>2439</v>
      </c>
      <c r="M45">
        <v>125</v>
      </c>
      <c r="N45">
        <v>1</v>
      </c>
      <c r="O45">
        <v>-2.4278</v>
      </c>
      <c r="P45">
        <v>1.0319999999999999E-2</v>
      </c>
      <c r="Q45">
        <v>0</v>
      </c>
      <c r="R45">
        <v>1.6533</v>
      </c>
      <c r="S45">
        <v>0</v>
      </c>
      <c r="T45">
        <v>-0.16747999999999999</v>
      </c>
      <c r="W45">
        <v>0</v>
      </c>
      <c r="X45">
        <v>1.9800921407930265E-2</v>
      </c>
      <c r="Y45" t="s">
        <v>2439</v>
      </c>
      <c r="Z45">
        <v>125</v>
      </c>
      <c r="AA45">
        <v>-0.16747999999999999</v>
      </c>
      <c r="AB45">
        <v>-2.4278</v>
      </c>
      <c r="AC45">
        <v>1.6533</v>
      </c>
      <c r="AD45">
        <v>1.0319999999999999E-2</v>
      </c>
      <c r="AE45">
        <v>0</v>
      </c>
      <c r="AF45">
        <v>0</v>
      </c>
      <c r="AG45">
        <v>0</v>
      </c>
      <c r="AH45">
        <v>0</v>
      </c>
      <c r="AI45">
        <v>-2.4278</v>
      </c>
      <c r="AJ45">
        <v>0</v>
      </c>
      <c r="AK45">
        <v>1.2836875687568756E-2</v>
      </c>
      <c r="AL45">
        <v>-9.3737451737451738E-3</v>
      </c>
      <c r="AM45">
        <v>1.0353032843504422E-2</v>
      </c>
      <c r="AN45">
        <v>1.3966115696248267E-2</v>
      </c>
    </row>
    <row r="46" spans="11:40" x14ac:dyDescent="0.25">
      <c r="K46" t="s">
        <v>2449</v>
      </c>
      <c r="M46">
        <v>125</v>
      </c>
      <c r="N46">
        <v>1</v>
      </c>
      <c r="O46">
        <v>-2.3342999999999998</v>
      </c>
      <c r="P46">
        <v>1.261E-2</v>
      </c>
      <c r="Q46">
        <v>0</v>
      </c>
      <c r="R46">
        <v>1.6533</v>
      </c>
      <c r="S46">
        <v>0</v>
      </c>
      <c r="T46">
        <v>-0.16839999999999999</v>
      </c>
      <c r="W46">
        <v>0</v>
      </c>
      <c r="X46">
        <v>1.9353552986877631E-2</v>
      </c>
      <c r="Y46" t="s">
        <v>2449</v>
      </c>
      <c r="Z46">
        <v>125</v>
      </c>
      <c r="AA46">
        <v>-0.16839999999999999</v>
      </c>
      <c r="AB46">
        <v>-2.3342999999999998</v>
      </c>
      <c r="AC46">
        <v>1.6533</v>
      </c>
      <c r="AD46">
        <v>1.261E-2</v>
      </c>
      <c r="AE46">
        <v>0</v>
      </c>
      <c r="AF46">
        <v>0</v>
      </c>
      <c r="AG46">
        <v>0</v>
      </c>
      <c r="AH46">
        <v>0</v>
      </c>
      <c r="AI46">
        <v>-2.3342999999999998</v>
      </c>
      <c r="AJ46">
        <v>0</v>
      </c>
      <c r="AK46">
        <v>1.2862431243124311E-2</v>
      </c>
      <c r="AL46">
        <v>-9.0127413127413115E-3</v>
      </c>
      <c r="AM46">
        <v>1.1061394742388018E-2</v>
      </c>
      <c r="AN46">
        <v>1.4268285097282129E-2</v>
      </c>
    </row>
    <row r="47" spans="11:40" x14ac:dyDescent="0.25">
      <c r="K47" t="s">
        <v>2448</v>
      </c>
      <c r="M47">
        <v>125</v>
      </c>
      <c r="N47">
        <v>1</v>
      </c>
      <c r="O47">
        <v>3.2122999999999999</v>
      </c>
      <c r="P47">
        <v>5.8500000000000002E-3</v>
      </c>
      <c r="Q47">
        <v>0</v>
      </c>
      <c r="R47">
        <v>1.6304000000000001</v>
      </c>
      <c r="S47">
        <v>0</v>
      </c>
      <c r="T47">
        <v>-0.31347000000000003</v>
      </c>
      <c r="W47">
        <v>0</v>
      </c>
      <c r="X47">
        <v>2.3441143588043015E-2</v>
      </c>
      <c r="Y47" t="s">
        <v>2448</v>
      </c>
      <c r="Z47">
        <v>125</v>
      </c>
      <c r="AA47">
        <v>-0.31347000000000003</v>
      </c>
      <c r="AB47">
        <v>3.2122999999999999</v>
      </c>
      <c r="AC47">
        <v>1.6304000000000001</v>
      </c>
      <c r="AD47">
        <v>5.8500000000000002E-3</v>
      </c>
      <c r="AE47">
        <v>0</v>
      </c>
      <c r="AF47">
        <v>0</v>
      </c>
      <c r="AG47">
        <v>0</v>
      </c>
      <c r="AH47">
        <v>3.2122999999999999</v>
      </c>
      <c r="AI47">
        <v>0</v>
      </c>
      <c r="AJ47">
        <v>0</v>
      </c>
      <c r="AK47">
        <v>1.677878712871287E-2</v>
      </c>
      <c r="AL47">
        <v>1.2402702702702703E-2</v>
      </c>
      <c r="AM47">
        <v>9.9530010719359463E-3</v>
      </c>
      <c r="AN47">
        <v>1.5902492404324141E-2</v>
      </c>
    </row>
    <row r="48" spans="11:40" x14ac:dyDescent="0.25">
      <c r="K48" t="s">
        <v>2453</v>
      </c>
      <c r="M48">
        <v>125</v>
      </c>
      <c r="N48">
        <v>1</v>
      </c>
      <c r="O48">
        <v>2.1707999999999998</v>
      </c>
      <c r="P48">
        <v>9.6699999999999998E-3</v>
      </c>
      <c r="Q48">
        <v>0</v>
      </c>
      <c r="R48">
        <v>1.6276999999999999</v>
      </c>
      <c r="S48">
        <v>0</v>
      </c>
      <c r="T48">
        <v>-0.30382999999999999</v>
      </c>
      <c r="W48">
        <v>0</v>
      </c>
      <c r="X48">
        <v>1.8444523662892606E-2</v>
      </c>
      <c r="Y48" t="s">
        <v>2453</v>
      </c>
      <c r="Z48">
        <v>125</v>
      </c>
      <c r="AA48">
        <v>-0.30382999999999999</v>
      </c>
      <c r="AB48">
        <v>2.1707999999999998</v>
      </c>
      <c r="AC48">
        <v>1.6276999999999999</v>
      </c>
      <c r="AD48">
        <v>9.6699999999999998E-3</v>
      </c>
      <c r="AE48">
        <v>0</v>
      </c>
      <c r="AF48">
        <v>0</v>
      </c>
      <c r="AG48">
        <v>0</v>
      </c>
      <c r="AH48">
        <v>2.1707999999999998</v>
      </c>
      <c r="AI48">
        <v>0</v>
      </c>
      <c r="AJ48">
        <v>0</v>
      </c>
      <c r="AK48">
        <v>1.6497643014301427E-2</v>
      </c>
      <c r="AL48">
        <v>8.3814671814671816E-3</v>
      </c>
      <c r="AM48">
        <v>1.1086538745982505E-2</v>
      </c>
      <c r="AN48">
        <v>1.3898213319710659E-2</v>
      </c>
    </row>
    <row r="49" spans="11:40" x14ac:dyDescent="0.25">
      <c r="K49" t="s">
        <v>2452</v>
      </c>
      <c r="M49">
        <v>125</v>
      </c>
      <c r="N49">
        <v>1</v>
      </c>
      <c r="O49">
        <v>-1.2927999999999999</v>
      </c>
      <c r="P49">
        <v>8.7899999999999992E-3</v>
      </c>
      <c r="Q49">
        <v>0</v>
      </c>
      <c r="R49">
        <v>1.6558999999999999</v>
      </c>
      <c r="S49">
        <v>0</v>
      </c>
      <c r="T49">
        <v>-0.17804</v>
      </c>
      <c r="W49">
        <v>0</v>
      </c>
      <c r="X49">
        <v>1.43831706854896E-2</v>
      </c>
      <c r="Y49" t="s">
        <v>2452</v>
      </c>
      <c r="Z49">
        <v>125</v>
      </c>
      <c r="AA49">
        <v>-0.17804</v>
      </c>
      <c r="AB49">
        <v>-1.2927999999999999</v>
      </c>
      <c r="AC49">
        <v>1.6558999999999999</v>
      </c>
      <c r="AD49">
        <v>8.7899999999999992E-3</v>
      </c>
      <c r="AE49">
        <v>0</v>
      </c>
      <c r="AF49">
        <v>0</v>
      </c>
      <c r="AG49">
        <v>0</v>
      </c>
      <c r="AH49">
        <v>0</v>
      </c>
      <c r="AI49">
        <v>-1.2927999999999999</v>
      </c>
      <c r="AJ49">
        <v>0</v>
      </c>
      <c r="AK49">
        <v>1.3143080308030802E-2</v>
      </c>
      <c r="AL49">
        <v>-4.9915057915057917E-3</v>
      </c>
      <c r="AM49">
        <v>9.9674367104111601E-3</v>
      </c>
      <c r="AN49">
        <v>1.1147417846420215E-2</v>
      </c>
    </row>
    <row r="50" spans="11:40" x14ac:dyDescent="0.25">
      <c r="K50" t="s">
        <v>2440</v>
      </c>
      <c r="M50">
        <v>125</v>
      </c>
      <c r="N50">
        <v>1</v>
      </c>
      <c r="O50">
        <v>6.9880000000000004</v>
      </c>
      <c r="P50">
        <v>1.3999999999999999E-4</v>
      </c>
      <c r="Q50">
        <v>0</v>
      </c>
      <c r="R50">
        <v>1.6221000000000001</v>
      </c>
      <c r="S50">
        <v>0</v>
      </c>
      <c r="T50">
        <v>-0.36606</v>
      </c>
      <c r="W50">
        <v>0</v>
      </c>
      <c r="X50">
        <v>4.1465604718366578E-2</v>
      </c>
      <c r="Y50" t="s">
        <v>2440</v>
      </c>
      <c r="Z50">
        <v>125</v>
      </c>
      <c r="AA50">
        <v>-0.36606</v>
      </c>
      <c r="AB50">
        <v>6.9880000000000004</v>
      </c>
      <c r="AC50">
        <v>1.6221000000000001</v>
      </c>
      <c r="AD50">
        <v>1.3999999999999999E-4</v>
      </c>
      <c r="AE50">
        <v>0</v>
      </c>
      <c r="AF50">
        <v>0</v>
      </c>
      <c r="AG50">
        <v>0</v>
      </c>
      <c r="AH50">
        <v>6.9880000000000004</v>
      </c>
      <c r="AI50">
        <v>0</v>
      </c>
      <c r="AJ50">
        <v>0</v>
      </c>
      <c r="AK50">
        <v>1.8198531353135313E-2</v>
      </c>
      <c r="AL50">
        <v>2.6980694980694983E-2</v>
      </c>
      <c r="AM50">
        <v>8.5293485755060447E-3</v>
      </c>
      <c r="AN50">
        <v>2.8296778770096544E-2</v>
      </c>
    </row>
    <row r="51" spans="11:40" x14ac:dyDescent="0.25">
      <c r="K51" t="s">
        <v>2447</v>
      </c>
      <c r="M51">
        <v>125</v>
      </c>
      <c r="N51">
        <v>1</v>
      </c>
      <c r="O51">
        <v>-6.1045999999999996</v>
      </c>
      <c r="P51">
        <v>1.805E-2</v>
      </c>
      <c r="Q51">
        <v>0</v>
      </c>
      <c r="R51">
        <v>1.6616</v>
      </c>
      <c r="S51">
        <v>0</v>
      </c>
      <c r="T51">
        <v>-0.11559999999999999</v>
      </c>
      <c r="W51">
        <v>0</v>
      </c>
      <c r="X51">
        <v>3.7434355014448813E-2</v>
      </c>
      <c r="Y51" t="s">
        <v>2447</v>
      </c>
      <c r="Z51">
        <v>125</v>
      </c>
      <c r="AA51">
        <v>-0.11559999999999999</v>
      </c>
      <c r="AB51">
        <v>-6.1045999999999996</v>
      </c>
      <c r="AC51">
        <v>1.6616</v>
      </c>
      <c r="AD51">
        <v>1.805E-2</v>
      </c>
      <c r="AE51">
        <v>0</v>
      </c>
      <c r="AF51">
        <v>0</v>
      </c>
      <c r="AG51">
        <v>0</v>
      </c>
      <c r="AH51">
        <v>0</v>
      </c>
      <c r="AI51">
        <v>-6.1045999999999996</v>
      </c>
      <c r="AJ51">
        <v>0</v>
      </c>
      <c r="AK51">
        <v>1.1436853685368537E-2</v>
      </c>
      <c r="AL51">
        <v>-2.3569884169884169E-2</v>
      </c>
      <c r="AM51">
        <v>1.2398599878573297E-2</v>
      </c>
      <c r="AN51">
        <v>2.6632024307789937E-2</v>
      </c>
    </row>
    <row r="52" spans="11:40" x14ac:dyDescent="0.25">
      <c r="K52" t="s">
        <v>2450</v>
      </c>
      <c r="M52">
        <v>125</v>
      </c>
      <c r="N52">
        <v>1</v>
      </c>
      <c r="O52">
        <v>-6.0111999999999997</v>
      </c>
      <c r="P52">
        <v>2.034E-2</v>
      </c>
      <c r="Q52">
        <v>0</v>
      </c>
      <c r="R52">
        <v>1.6615</v>
      </c>
      <c r="S52">
        <v>0</v>
      </c>
      <c r="T52">
        <v>-0.11651</v>
      </c>
      <c r="W52">
        <v>0</v>
      </c>
      <c r="X52">
        <v>3.6986970012790749E-2</v>
      </c>
      <c r="Y52" t="s">
        <v>2450</v>
      </c>
      <c r="Z52">
        <v>125</v>
      </c>
      <c r="AA52">
        <v>-0.11651</v>
      </c>
      <c r="AB52">
        <v>-6.0111999999999997</v>
      </c>
      <c r="AC52">
        <v>1.6615</v>
      </c>
      <c r="AD52">
        <v>2.034E-2</v>
      </c>
      <c r="AE52">
        <v>0</v>
      </c>
      <c r="AF52">
        <v>0</v>
      </c>
      <c r="AG52">
        <v>0</v>
      </c>
      <c r="AH52">
        <v>0</v>
      </c>
      <c r="AI52">
        <v>-6.0111999999999997</v>
      </c>
      <c r="AJ52">
        <v>0</v>
      </c>
      <c r="AK52">
        <v>1.1461636413641365E-2</v>
      </c>
      <c r="AL52">
        <v>-2.3209266409266408E-2</v>
      </c>
      <c r="AM52">
        <v>1.3115449745980171E-2</v>
      </c>
      <c r="AN52">
        <v>2.6658677185780119E-2</v>
      </c>
    </row>
    <row r="53" spans="11:40" x14ac:dyDescent="0.25">
      <c r="K53" t="s">
        <v>2451</v>
      </c>
      <c r="M53">
        <v>125</v>
      </c>
      <c r="N53">
        <v>1</v>
      </c>
      <c r="O53">
        <v>6.8944999999999999</v>
      </c>
      <c r="P53">
        <v>-2.14E-3</v>
      </c>
      <c r="Q53">
        <v>0</v>
      </c>
      <c r="R53">
        <v>1.6222000000000001</v>
      </c>
      <c r="S53">
        <v>0</v>
      </c>
      <c r="T53">
        <v>-0.36514999999999997</v>
      </c>
      <c r="W53">
        <v>0</v>
      </c>
      <c r="X53">
        <v>4.1018731346818896E-2</v>
      </c>
      <c r="Y53" t="s">
        <v>2451</v>
      </c>
      <c r="Z53">
        <v>125</v>
      </c>
      <c r="AA53">
        <v>-0.36514999999999997</v>
      </c>
      <c r="AB53">
        <v>6.8944999999999999</v>
      </c>
      <c r="AC53">
        <v>1.6222000000000001</v>
      </c>
      <c r="AD53">
        <v>-2.14E-3</v>
      </c>
      <c r="AE53">
        <v>0</v>
      </c>
      <c r="AF53">
        <v>0</v>
      </c>
      <c r="AG53">
        <v>0</v>
      </c>
      <c r="AH53">
        <v>6.8944999999999999</v>
      </c>
      <c r="AI53">
        <v>0</v>
      </c>
      <c r="AJ53">
        <v>0</v>
      </c>
      <c r="AK53">
        <v>1.8173748624862485E-2</v>
      </c>
      <c r="AL53">
        <v>2.6619691119691119E-2</v>
      </c>
      <c r="AM53">
        <v>9.1623012474985385E-3</v>
      </c>
      <c r="AN53">
        <v>2.8152366143144619E-2</v>
      </c>
    </row>
    <row r="54" spans="11:40" x14ac:dyDescent="0.25">
      <c r="K54" t="s">
        <v>2460</v>
      </c>
      <c r="M54">
        <v>125</v>
      </c>
      <c r="N54">
        <v>1</v>
      </c>
      <c r="O54">
        <v>-1.5059</v>
      </c>
      <c r="P54">
        <v>1.7399999999999999E-2</v>
      </c>
      <c r="Q54">
        <v>0</v>
      </c>
      <c r="R54">
        <v>1.6358999999999999</v>
      </c>
      <c r="S54">
        <v>0</v>
      </c>
      <c r="T54">
        <v>-0.25195000000000001</v>
      </c>
      <c r="W54">
        <v>0</v>
      </c>
      <c r="X54">
        <v>1.5303778009379885E-2</v>
      </c>
      <c r="Y54" t="s">
        <v>2460</v>
      </c>
      <c r="Z54">
        <v>125</v>
      </c>
      <c r="AA54">
        <v>-0.25195000000000001</v>
      </c>
      <c r="AB54">
        <v>-1.5059</v>
      </c>
      <c r="AC54">
        <v>1.6358999999999999</v>
      </c>
      <c r="AD54">
        <v>1.7399999999999999E-2</v>
      </c>
      <c r="AE54">
        <v>0</v>
      </c>
      <c r="AF54">
        <v>0</v>
      </c>
      <c r="AG54">
        <v>0</v>
      </c>
      <c r="AH54">
        <v>0</v>
      </c>
      <c r="AI54">
        <v>-1.5059</v>
      </c>
      <c r="AJ54">
        <v>0</v>
      </c>
      <c r="AK54">
        <v>1.5097125962596259E-2</v>
      </c>
      <c r="AL54">
        <v>-5.8142857142857145E-3</v>
      </c>
      <c r="AM54">
        <v>1.3163101064389839E-2</v>
      </c>
      <c r="AN54">
        <v>1.4390036414084846E-2</v>
      </c>
    </row>
    <row r="55" spans="11:40" x14ac:dyDescent="0.25">
      <c r="K55" t="s">
        <v>2455</v>
      </c>
      <c r="M55">
        <v>125</v>
      </c>
      <c r="N55">
        <v>1</v>
      </c>
      <c r="O55">
        <v>5.8529999999999998</v>
      </c>
      <c r="P55">
        <v>1.66E-3</v>
      </c>
      <c r="Q55">
        <v>0</v>
      </c>
      <c r="R55">
        <v>1.6195999999999999</v>
      </c>
      <c r="S55">
        <v>0</v>
      </c>
      <c r="T55">
        <v>-0.35550999999999999</v>
      </c>
      <c r="W55">
        <v>0</v>
      </c>
      <c r="X55">
        <v>3.6022606471173432E-2</v>
      </c>
      <c r="Y55" t="s">
        <v>2455</v>
      </c>
      <c r="Z55">
        <v>125</v>
      </c>
      <c r="AA55">
        <v>-0.35550999999999999</v>
      </c>
      <c r="AB55">
        <v>5.8529999999999998</v>
      </c>
      <c r="AC55">
        <v>1.6195999999999999</v>
      </c>
      <c r="AD55">
        <v>1.66E-3</v>
      </c>
      <c r="AE55">
        <v>0</v>
      </c>
      <c r="AF55">
        <v>0</v>
      </c>
      <c r="AG55">
        <v>0</v>
      </c>
      <c r="AH55">
        <v>5.8529999999999998</v>
      </c>
      <c r="AI55">
        <v>0</v>
      </c>
      <c r="AJ55">
        <v>0</v>
      </c>
      <c r="AK55">
        <v>1.7893099559955994E-2</v>
      </c>
      <c r="AL55">
        <v>2.2598455598455598E-2</v>
      </c>
      <c r="AM55">
        <v>8.9203405631017862E-3</v>
      </c>
      <c r="AN55">
        <v>2.4295322002333867E-2</v>
      </c>
    </row>
    <row r="56" spans="11:40" x14ac:dyDescent="0.25">
      <c r="K56" t="s">
        <v>2454</v>
      </c>
      <c r="M56">
        <v>125</v>
      </c>
      <c r="N56">
        <v>1</v>
      </c>
      <c r="O56">
        <v>-4.9695999999999998</v>
      </c>
      <c r="P56">
        <v>1.653E-2</v>
      </c>
      <c r="Q56">
        <v>0</v>
      </c>
      <c r="R56">
        <v>1.6641999999999999</v>
      </c>
      <c r="S56">
        <v>0</v>
      </c>
      <c r="T56">
        <v>-0.12615000000000001</v>
      </c>
      <c r="W56">
        <v>0</v>
      </c>
      <c r="X56">
        <v>3.2016604292008144E-2</v>
      </c>
      <c r="Y56" t="s">
        <v>2454</v>
      </c>
      <c r="Z56">
        <v>125</v>
      </c>
      <c r="AA56">
        <v>-0.12615000000000001</v>
      </c>
      <c r="AB56">
        <v>-4.9695999999999998</v>
      </c>
      <c r="AC56">
        <v>1.6641999999999999</v>
      </c>
      <c r="AD56">
        <v>1.653E-2</v>
      </c>
      <c r="AE56">
        <v>0</v>
      </c>
      <c r="AF56">
        <v>0</v>
      </c>
      <c r="AG56">
        <v>0</v>
      </c>
      <c r="AH56">
        <v>0</v>
      </c>
      <c r="AI56">
        <v>-4.9695999999999998</v>
      </c>
      <c r="AJ56">
        <v>0</v>
      </c>
      <c r="AK56">
        <v>1.1742780528052806E-2</v>
      </c>
      <c r="AL56">
        <v>-1.9187644787644786E-2</v>
      </c>
      <c r="AM56">
        <v>1.2013237219089831E-2</v>
      </c>
      <c r="AN56">
        <v>2.2638100206928965E-2</v>
      </c>
    </row>
    <row r="57" spans="11:40" x14ac:dyDescent="0.25">
      <c r="K57" t="s">
        <v>2442</v>
      </c>
      <c r="M57">
        <v>133</v>
      </c>
      <c r="N57">
        <v>1</v>
      </c>
      <c r="O57">
        <v>6.7773000000000003</v>
      </c>
      <c r="P57">
        <v>9.58E-3</v>
      </c>
      <c r="Q57">
        <v>0</v>
      </c>
      <c r="R57">
        <v>0.56425999999999998</v>
      </c>
      <c r="S57">
        <v>0</v>
      </c>
      <c r="T57">
        <v>0</v>
      </c>
      <c r="W57">
        <v>0</v>
      </c>
      <c r="X57">
        <v>3.5220639063906392E-2</v>
      </c>
      <c r="Y57" t="s">
        <v>2442</v>
      </c>
      <c r="Z57">
        <v>133</v>
      </c>
      <c r="AA57">
        <v>0</v>
      </c>
      <c r="AB57">
        <v>6.7773000000000003</v>
      </c>
      <c r="AC57">
        <v>0.56425999999999998</v>
      </c>
      <c r="AD57">
        <v>9.58E-3</v>
      </c>
      <c r="AE57">
        <v>0</v>
      </c>
      <c r="AF57">
        <v>0</v>
      </c>
      <c r="AG57">
        <v>0</v>
      </c>
      <c r="AH57">
        <v>6.7773000000000003</v>
      </c>
      <c r="AI57">
        <v>0</v>
      </c>
      <c r="AJ57">
        <v>0</v>
      </c>
      <c r="AK57">
        <v>2.7933663366336635E-3</v>
      </c>
      <c r="AL57">
        <v>2.6167181467181468E-2</v>
      </c>
      <c r="AM57">
        <v>4.9989187953822329E-3</v>
      </c>
      <c r="AN57">
        <v>2.6640393673127864E-2</v>
      </c>
    </row>
    <row r="58" spans="11:40" x14ac:dyDescent="0.25">
      <c r="K58" t="s">
        <v>2441</v>
      </c>
      <c r="M58">
        <v>133</v>
      </c>
      <c r="N58">
        <v>1</v>
      </c>
      <c r="O58">
        <v>-2.2837000000000001</v>
      </c>
      <c r="P58">
        <v>7.1809999999999999E-2</v>
      </c>
      <c r="Q58">
        <v>0</v>
      </c>
      <c r="R58">
        <v>0.56425999999999998</v>
      </c>
      <c r="S58">
        <v>0</v>
      </c>
      <c r="T58">
        <v>0</v>
      </c>
      <c r="W58">
        <v>0</v>
      </c>
      <c r="X58">
        <v>1.3720160595006871E-2</v>
      </c>
      <c r="Y58" t="s">
        <v>2441</v>
      </c>
      <c r="Z58">
        <v>133</v>
      </c>
      <c r="AA58">
        <v>0</v>
      </c>
      <c r="AB58">
        <v>-2.2837000000000001</v>
      </c>
      <c r="AC58">
        <v>0.56425999999999998</v>
      </c>
      <c r="AD58">
        <v>7.1809999999999999E-2</v>
      </c>
      <c r="AE58">
        <v>0</v>
      </c>
      <c r="AF58">
        <v>0</v>
      </c>
      <c r="AG58">
        <v>0</v>
      </c>
      <c r="AH58">
        <v>0</v>
      </c>
      <c r="AI58">
        <v>-2.2837000000000001</v>
      </c>
      <c r="AJ58">
        <v>0</v>
      </c>
      <c r="AK58">
        <v>2.7933663366336635E-3</v>
      </c>
      <c r="AL58">
        <v>-8.8173745173745176E-3</v>
      </c>
      <c r="AM58">
        <v>2.5436583661398636E-2</v>
      </c>
      <c r="AN58">
        <v>2.6921476217751834E-2</v>
      </c>
    </row>
    <row r="59" spans="11:40" x14ac:dyDescent="0.25">
      <c r="K59" t="s">
        <v>2438</v>
      </c>
      <c r="M59">
        <v>133</v>
      </c>
      <c r="N59">
        <v>1</v>
      </c>
      <c r="O59">
        <v>6.6795</v>
      </c>
      <c r="P59">
        <v>7.646E-2</v>
      </c>
      <c r="Q59">
        <v>0</v>
      </c>
      <c r="R59">
        <v>0.56425999999999998</v>
      </c>
      <c r="S59">
        <v>0</v>
      </c>
      <c r="T59">
        <v>0</v>
      </c>
      <c r="W59">
        <v>0</v>
      </c>
      <c r="X59">
        <v>3.475269648017433E-2</v>
      </c>
      <c r="Y59" t="s">
        <v>2438</v>
      </c>
      <c r="Z59">
        <v>133</v>
      </c>
      <c r="AA59">
        <v>0</v>
      </c>
      <c r="AB59">
        <v>6.6795</v>
      </c>
      <c r="AC59">
        <v>0.56425999999999998</v>
      </c>
      <c r="AD59">
        <v>7.646E-2</v>
      </c>
      <c r="AE59">
        <v>0</v>
      </c>
      <c r="AF59">
        <v>0</v>
      </c>
      <c r="AG59">
        <v>0</v>
      </c>
      <c r="AH59">
        <v>6.6795</v>
      </c>
      <c r="AI59">
        <v>0</v>
      </c>
      <c r="AJ59">
        <v>0</v>
      </c>
      <c r="AK59">
        <v>2.7933663366336635E-3</v>
      </c>
      <c r="AL59">
        <v>2.5789575289575289E-2</v>
      </c>
      <c r="AM59">
        <v>2.6982481810431228E-2</v>
      </c>
      <c r="AN59">
        <v>3.7325011966065393E-2</v>
      </c>
    </row>
    <row r="60" spans="11:40" x14ac:dyDescent="0.25">
      <c r="K60" t="s">
        <v>2439</v>
      </c>
      <c r="M60">
        <v>133</v>
      </c>
      <c r="N60">
        <v>1</v>
      </c>
      <c r="O60">
        <v>-2.1859000000000002</v>
      </c>
      <c r="P60">
        <v>4.9300000000000004E-3</v>
      </c>
      <c r="Q60">
        <v>0</v>
      </c>
      <c r="R60">
        <v>0.56425999999999998</v>
      </c>
      <c r="S60">
        <v>0</v>
      </c>
      <c r="T60">
        <v>0</v>
      </c>
      <c r="W60">
        <v>0</v>
      </c>
      <c r="X60">
        <v>1.3252218011274812E-2</v>
      </c>
      <c r="Y60" t="s">
        <v>2439</v>
      </c>
      <c r="Z60">
        <v>133</v>
      </c>
      <c r="AA60">
        <v>0</v>
      </c>
      <c r="AB60">
        <v>-2.1859000000000002</v>
      </c>
      <c r="AC60">
        <v>0.56425999999999998</v>
      </c>
      <c r="AD60">
        <v>4.9300000000000004E-3</v>
      </c>
      <c r="AE60">
        <v>0</v>
      </c>
      <c r="AF60">
        <v>0</v>
      </c>
      <c r="AG60">
        <v>0</v>
      </c>
      <c r="AH60">
        <v>0</v>
      </c>
      <c r="AI60">
        <v>-2.1859000000000002</v>
      </c>
      <c r="AJ60">
        <v>0</v>
      </c>
      <c r="AK60">
        <v>2.7933663366336635E-3</v>
      </c>
      <c r="AL60">
        <v>-8.4397683397683405E-3</v>
      </c>
      <c r="AM60">
        <v>3.6144136688042862E-3</v>
      </c>
      <c r="AN60">
        <v>9.1811587394073149E-3</v>
      </c>
    </row>
    <row r="61" spans="11:40" x14ac:dyDescent="0.25">
      <c r="K61" t="s">
        <v>2462</v>
      </c>
      <c r="M61">
        <v>133</v>
      </c>
      <c r="N61">
        <v>1</v>
      </c>
      <c r="O61">
        <v>10.968999999999999</v>
      </c>
      <c r="P61">
        <v>7.1399999999999996E-3</v>
      </c>
      <c r="Q61">
        <v>0</v>
      </c>
      <c r="R61">
        <v>0.56462000000000001</v>
      </c>
      <c r="S61">
        <v>0</v>
      </c>
      <c r="T61">
        <v>2.6839999999999999E-2</v>
      </c>
      <c r="W61">
        <v>0</v>
      </c>
      <c r="X61">
        <v>5.5278402103368228E-2</v>
      </c>
      <c r="Y61" t="s">
        <v>2462</v>
      </c>
      <c r="Z61">
        <v>133</v>
      </c>
      <c r="AA61">
        <v>2.6839999999999999E-2</v>
      </c>
      <c r="AB61">
        <v>10.968999999999999</v>
      </c>
      <c r="AC61">
        <v>0.56462000000000001</v>
      </c>
      <c r="AD61">
        <v>7.1399999999999996E-3</v>
      </c>
      <c r="AE61">
        <v>0</v>
      </c>
      <c r="AF61">
        <v>0</v>
      </c>
      <c r="AG61">
        <v>0</v>
      </c>
      <c r="AH61">
        <v>10.968999999999999</v>
      </c>
      <c r="AI61">
        <v>0</v>
      </c>
      <c r="AJ61">
        <v>0</v>
      </c>
      <c r="AK61">
        <v>3.5407040704070409E-3</v>
      </c>
      <c r="AL61">
        <v>4.2351351351351346E-2</v>
      </c>
      <c r="AM61">
        <v>4.436141948274964E-3</v>
      </c>
      <c r="AN61">
        <v>4.2583051988682709E-2</v>
      </c>
    </row>
    <row r="62" spans="11:40" x14ac:dyDescent="0.25">
      <c r="K62" t="s">
        <v>2463</v>
      </c>
      <c r="M62">
        <v>133</v>
      </c>
      <c r="N62">
        <v>1</v>
      </c>
      <c r="O62">
        <v>-6.4730999999999996</v>
      </c>
      <c r="P62">
        <v>7.5009999999999993E-2</v>
      </c>
      <c r="Q62">
        <v>0</v>
      </c>
      <c r="R62">
        <v>0.56389999999999996</v>
      </c>
      <c r="S62">
        <v>0</v>
      </c>
      <c r="T62">
        <v>2.683E-2</v>
      </c>
      <c r="W62">
        <v>0</v>
      </c>
      <c r="X62">
        <v>3.3763354493344069E-2</v>
      </c>
      <c r="Y62" t="s">
        <v>2463</v>
      </c>
      <c r="Z62">
        <v>133</v>
      </c>
      <c r="AA62">
        <v>2.683E-2</v>
      </c>
      <c r="AB62">
        <v>-6.4730999999999996</v>
      </c>
      <c r="AC62">
        <v>0.56389999999999996</v>
      </c>
      <c r="AD62">
        <v>7.5009999999999993E-2</v>
      </c>
      <c r="AE62">
        <v>0</v>
      </c>
      <c r="AF62">
        <v>0</v>
      </c>
      <c r="AG62">
        <v>0</v>
      </c>
      <c r="AH62">
        <v>0</v>
      </c>
      <c r="AI62">
        <v>-6.4730999999999996</v>
      </c>
      <c r="AJ62">
        <v>0</v>
      </c>
      <c r="AK62">
        <v>3.5368619361936192E-3</v>
      </c>
      <c r="AL62">
        <v>-2.4992664092664093E-2</v>
      </c>
      <c r="AM62">
        <v>2.6777892753809519E-2</v>
      </c>
      <c r="AN62">
        <v>3.6629070405666389E-2</v>
      </c>
    </row>
    <row r="63" spans="11:40" x14ac:dyDescent="0.25">
      <c r="K63" t="s">
        <v>2440</v>
      </c>
      <c r="M63">
        <v>133</v>
      </c>
      <c r="N63">
        <v>1</v>
      </c>
      <c r="O63">
        <v>2.4901</v>
      </c>
      <c r="P63">
        <v>7.9659999999999995E-2</v>
      </c>
      <c r="Q63">
        <v>0</v>
      </c>
      <c r="R63">
        <v>0.56389999999999996</v>
      </c>
      <c r="S63">
        <v>0</v>
      </c>
      <c r="T63">
        <v>2.683E-2</v>
      </c>
      <c r="W63">
        <v>0</v>
      </c>
      <c r="X63">
        <v>1.4705938225401487E-2</v>
      </c>
      <c r="Y63" t="s">
        <v>2440</v>
      </c>
      <c r="Z63">
        <v>133</v>
      </c>
      <c r="AA63">
        <v>2.683E-2</v>
      </c>
      <c r="AB63">
        <v>2.4901</v>
      </c>
      <c r="AC63">
        <v>0.56389999999999996</v>
      </c>
      <c r="AD63">
        <v>7.9659999999999995E-2</v>
      </c>
      <c r="AE63">
        <v>0</v>
      </c>
      <c r="AF63">
        <v>0</v>
      </c>
      <c r="AG63">
        <v>0</v>
      </c>
      <c r="AH63">
        <v>2.4901</v>
      </c>
      <c r="AI63">
        <v>0</v>
      </c>
      <c r="AJ63">
        <v>0</v>
      </c>
      <c r="AK63">
        <v>3.5368619361936192E-3</v>
      </c>
      <c r="AL63">
        <v>9.6142857142857141E-3</v>
      </c>
      <c r="AM63">
        <v>2.8324996079490673E-2</v>
      </c>
      <c r="AN63">
        <v>2.991220307331241E-2</v>
      </c>
    </row>
    <row r="64" spans="11:40" x14ac:dyDescent="0.25">
      <c r="K64" t="s">
        <v>2447</v>
      </c>
      <c r="M64">
        <v>133</v>
      </c>
      <c r="N64">
        <v>1</v>
      </c>
      <c r="O64">
        <v>2.0059</v>
      </c>
      <c r="P64">
        <v>2.49E-3</v>
      </c>
      <c r="Q64">
        <v>0</v>
      </c>
      <c r="R64">
        <v>0.56462000000000001</v>
      </c>
      <c r="S64">
        <v>0</v>
      </c>
      <c r="T64">
        <v>2.6839999999999999E-2</v>
      </c>
      <c r="W64">
        <v>0</v>
      </c>
      <c r="X64">
        <v>1.2392756170353878E-2</v>
      </c>
      <c r="Y64" t="s">
        <v>2447</v>
      </c>
      <c r="Z64">
        <v>133</v>
      </c>
      <c r="AA64">
        <v>2.6839999999999999E-2</v>
      </c>
      <c r="AB64">
        <v>2.0059</v>
      </c>
      <c r="AC64">
        <v>0.56462000000000001</v>
      </c>
      <c r="AD64">
        <v>2.49E-3</v>
      </c>
      <c r="AE64">
        <v>0</v>
      </c>
      <c r="AF64">
        <v>0</v>
      </c>
      <c r="AG64">
        <v>0</v>
      </c>
      <c r="AH64">
        <v>2.0059</v>
      </c>
      <c r="AI64">
        <v>0</v>
      </c>
      <c r="AJ64">
        <v>0</v>
      </c>
      <c r="AK64">
        <v>3.5407040704070409E-3</v>
      </c>
      <c r="AL64">
        <v>7.7447876447876447E-3</v>
      </c>
      <c r="AM64">
        <v>3.0595482985240957E-3</v>
      </c>
      <c r="AN64">
        <v>8.3272187105814053E-3</v>
      </c>
    </row>
    <row r="65" spans="11:40" x14ac:dyDescent="0.25">
      <c r="K65" t="s">
        <v>2456</v>
      </c>
      <c r="M65">
        <v>133</v>
      </c>
      <c r="N65">
        <v>1</v>
      </c>
      <c r="O65">
        <v>-6.3753000000000002</v>
      </c>
      <c r="P65">
        <v>8.1300000000000001E-3</v>
      </c>
      <c r="Q65">
        <v>0</v>
      </c>
      <c r="R65">
        <v>0.56389999999999996</v>
      </c>
      <c r="S65">
        <v>0</v>
      </c>
      <c r="T65">
        <v>2.683E-2</v>
      </c>
      <c r="W65">
        <v>0</v>
      </c>
      <c r="X65">
        <v>3.3295411909612015E-2</v>
      </c>
      <c r="Y65" t="s">
        <v>2456</v>
      </c>
      <c r="Z65">
        <v>133</v>
      </c>
      <c r="AA65">
        <v>2.683E-2</v>
      </c>
      <c r="AB65">
        <v>-6.3753000000000002</v>
      </c>
      <c r="AC65">
        <v>0.56389999999999996</v>
      </c>
      <c r="AD65">
        <v>8.1300000000000001E-3</v>
      </c>
      <c r="AE65">
        <v>0</v>
      </c>
      <c r="AF65">
        <v>0</v>
      </c>
      <c r="AG65">
        <v>0</v>
      </c>
      <c r="AH65">
        <v>0</v>
      </c>
      <c r="AI65">
        <v>-6.3753000000000002</v>
      </c>
      <c r="AJ65">
        <v>0</v>
      </c>
      <c r="AK65">
        <v>3.5368619361936192E-3</v>
      </c>
      <c r="AL65">
        <v>-2.4615057915057914E-2</v>
      </c>
      <c r="AM65">
        <v>4.7404178535416187E-3</v>
      </c>
      <c r="AN65">
        <v>2.50673619989785E-2</v>
      </c>
    </row>
    <row r="66" spans="11:40" x14ac:dyDescent="0.25">
      <c r="K66" t="s">
        <v>2442</v>
      </c>
      <c r="M66">
        <v>142</v>
      </c>
      <c r="N66">
        <v>1</v>
      </c>
      <c r="O66">
        <v>12.87</v>
      </c>
      <c r="P66">
        <v>-1.7989999999999999E-2</v>
      </c>
      <c r="Q66">
        <v>0</v>
      </c>
      <c r="R66">
        <v>0.47022000000000003</v>
      </c>
      <c r="S66">
        <v>0</v>
      </c>
      <c r="T66">
        <v>0</v>
      </c>
      <c r="W66">
        <v>0</v>
      </c>
      <c r="X66">
        <v>6.3906769150599257E-2</v>
      </c>
      <c r="Y66" t="s">
        <v>2442</v>
      </c>
      <c r="Z66">
        <v>142</v>
      </c>
      <c r="AA66">
        <v>0</v>
      </c>
      <c r="AB66">
        <v>12.87</v>
      </c>
      <c r="AC66">
        <v>0.47022000000000003</v>
      </c>
      <c r="AD66">
        <v>-1.7989999999999999E-2</v>
      </c>
      <c r="AE66">
        <v>0</v>
      </c>
      <c r="AF66">
        <v>0</v>
      </c>
      <c r="AG66">
        <v>0</v>
      </c>
      <c r="AH66">
        <v>12.87</v>
      </c>
      <c r="AI66">
        <v>0</v>
      </c>
      <c r="AJ66">
        <v>0</v>
      </c>
      <c r="AK66">
        <v>2.3278217821782179E-3</v>
      </c>
      <c r="AL66">
        <v>4.9691119691119688E-2</v>
      </c>
      <c r="AM66">
        <v>7.3602782813897462E-3</v>
      </c>
      <c r="AN66">
        <v>5.0233266592335804E-2</v>
      </c>
    </row>
    <row r="67" spans="11:40" x14ac:dyDescent="0.25">
      <c r="K67" t="s">
        <v>2441</v>
      </c>
      <c r="M67">
        <v>142</v>
      </c>
      <c r="N67">
        <v>1</v>
      </c>
      <c r="O67">
        <v>-10.978</v>
      </c>
      <c r="P67">
        <v>-5.6699999999999997E-3</v>
      </c>
      <c r="Q67">
        <v>0</v>
      </c>
      <c r="R67">
        <v>0.47022000000000003</v>
      </c>
      <c r="S67">
        <v>0</v>
      </c>
      <c r="T67">
        <v>0</v>
      </c>
      <c r="W67">
        <v>0</v>
      </c>
      <c r="X67">
        <v>5.4854137571651904E-2</v>
      </c>
      <c r="Y67" t="s">
        <v>2441</v>
      </c>
      <c r="Z67">
        <v>142</v>
      </c>
      <c r="AA67">
        <v>0</v>
      </c>
      <c r="AB67">
        <v>-10.978</v>
      </c>
      <c r="AC67">
        <v>0.47022000000000003</v>
      </c>
      <c r="AD67">
        <v>-5.6699999999999997E-3</v>
      </c>
      <c r="AE67">
        <v>0</v>
      </c>
      <c r="AF67">
        <v>0</v>
      </c>
      <c r="AG67">
        <v>0</v>
      </c>
      <c r="AH67">
        <v>0</v>
      </c>
      <c r="AI67">
        <v>-10.978</v>
      </c>
      <c r="AJ67">
        <v>0</v>
      </c>
      <c r="AK67">
        <v>2.3278217821782179E-3</v>
      </c>
      <c r="AL67">
        <v>-4.2386100386100384E-2</v>
      </c>
      <c r="AM67">
        <v>3.4653114938485883E-3</v>
      </c>
      <c r="AN67">
        <v>4.2527519204510138E-2</v>
      </c>
    </row>
    <row r="68" spans="11:40" x14ac:dyDescent="0.25">
      <c r="K68" t="s">
        <v>2438</v>
      </c>
      <c r="M68">
        <v>142</v>
      </c>
      <c r="N68">
        <v>1</v>
      </c>
      <c r="O68">
        <v>7.5622999999999996</v>
      </c>
      <c r="P68">
        <v>-2.0820000000000002E-2</v>
      </c>
      <c r="Q68">
        <v>0</v>
      </c>
      <c r="R68">
        <v>0.47022000000000003</v>
      </c>
      <c r="S68">
        <v>0</v>
      </c>
      <c r="T68">
        <v>0</v>
      </c>
      <c r="W68">
        <v>0</v>
      </c>
      <c r="X68">
        <v>3.8511075370694967E-2</v>
      </c>
      <c r="Y68" t="s">
        <v>2438</v>
      </c>
      <c r="Z68">
        <v>142</v>
      </c>
      <c r="AA68">
        <v>0</v>
      </c>
      <c r="AB68">
        <v>7.5622999999999996</v>
      </c>
      <c r="AC68">
        <v>0.47022000000000003</v>
      </c>
      <c r="AD68">
        <v>-2.0820000000000002E-2</v>
      </c>
      <c r="AE68">
        <v>0</v>
      </c>
      <c r="AF68">
        <v>0</v>
      </c>
      <c r="AG68">
        <v>0</v>
      </c>
      <c r="AH68">
        <v>7.5622999999999996</v>
      </c>
      <c r="AI68">
        <v>0</v>
      </c>
      <c r="AJ68">
        <v>0</v>
      </c>
      <c r="AK68">
        <v>2.3278217821782179E-3</v>
      </c>
      <c r="AL68">
        <v>2.9198069498069495E-2</v>
      </c>
      <c r="AM68">
        <v>8.2839139653211151E-3</v>
      </c>
      <c r="AN68">
        <v>3.0350461166165802E-2</v>
      </c>
    </row>
    <row r="69" spans="11:40" x14ac:dyDescent="0.25">
      <c r="K69" t="s">
        <v>2439</v>
      </c>
      <c r="M69">
        <v>142</v>
      </c>
      <c r="N69">
        <v>1</v>
      </c>
      <c r="O69">
        <v>-5.6696999999999997</v>
      </c>
      <c r="P69">
        <v>-2.8400000000000001E-3</v>
      </c>
      <c r="Q69">
        <v>0</v>
      </c>
      <c r="R69">
        <v>0.47022000000000003</v>
      </c>
      <c r="S69">
        <v>0</v>
      </c>
      <c r="T69">
        <v>0</v>
      </c>
      <c r="W69">
        <v>0</v>
      </c>
      <c r="X69">
        <v>2.9455572978350466E-2</v>
      </c>
      <c r="Y69" t="s">
        <v>2439</v>
      </c>
      <c r="Z69">
        <v>142</v>
      </c>
      <c r="AA69">
        <v>0</v>
      </c>
      <c r="AB69">
        <v>-5.6696999999999997</v>
      </c>
      <c r="AC69">
        <v>0.47022000000000003</v>
      </c>
      <c r="AD69">
        <v>-2.8400000000000001E-3</v>
      </c>
      <c r="AE69">
        <v>0</v>
      </c>
      <c r="AF69">
        <v>0</v>
      </c>
      <c r="AG69">
        <v>0</v>
      </c>
      <c r="AH69">
        <v>0</v>
      </c>
      <c r="AI69">
        <v>-5.6696999999999997</v>
      </c>
      <c r="AJ69">
        <v>0</v>
      </c>
      <c r="AK69">
        <v>2.3278217821782179E-3</v>
      </c>
      <c r="AL69">
        <v>-2.189073359073359E-2</v>
      </c>
      <c r="AM69">
        <v>2.6620511284949464E-3</v>
      </c>
      <c r="AN69">
        <v>2.205200066549956E-2</v>
      </c>
    </row>
    <row r="70" spans="11:40" x14ac:dyDescent="0.25">
      <c r="K70" t="s">
        <v>2462</v>
      </c>
      <c r="M70">
        <v>142</v>
      </c>
      <c r="N70">
        <v>1</v>
      </c>
      <c r="O70">
        <v>19.52</v>
      </c>
      <c r="P70">
        <v>-2.5520000000000001E-2</v>
      </c>
      <c r="Q70">
        <v>0</v>
      </c>
      <c r="R70">
        <v>0.46994999999999998</v>
      </c>
      <c r="S70">
        <v>0</v>
      </c>
      <c r="T70">
        <v>-2.2360000000000001E-2</v>
      </c>
      <c r="W70">
        <v>0</v>
      </c>
      <c r="X70">
        <v>9.5723614335117724E-2</v>
      </c>
      <c r="Y70" t="s">
        <v>2462</v>
      </c>
      <c r="Z70">
        <v>142</v>
      </c>
      <c r="AA70">
        <v>-2.2360000000000001E-2</v>
      </c>
      <c r="AB70">
        <v>19.52</v>
      </c>
      <c r="AC70">
        <v>0.46994999999999998</v>
      </c>
      <c r="AD70">
        <v>-2.5520000000000001E-2</v>
      </c>
      <c r="AE70">
        <v>0</v>
      </c>
      <c r="AF70">
        <v>0</v>
      </c>
      <c r="AG70">
        <v>0</v>
      </c>
      <c r="AH70">
        <v>19.52</v>
      </c>
      <c r="AI70">
        <v>0</v>
      </c>
      <c r="AJ70">
        <v>0</v>
      </c>
      <c r="AK70">
        <v>2.9475962596259625E-3</v>
      </c>
      <c r="AL70">
        <v>7.5366795366795358E-2</v>
      </c>
      <c r="AM70">
        <v>1.0039903447519169E-2</v>
      </c>
      <c r="AN70">
        <v>7.6032581865249804E-2</v>
      </c>
    </row>
    <row r="71" spans="11:40" x14ac:dyDescent="0.25">
      <c r="K71" t="s">
        <v>2463</v>
      </c>
      <c r="M71">
        <v>142</v>
      </c>
      <c r="N71">
        <v>1</v>
      </c>
      <c r="O71">
        <v>-17.663</v>
      </c>
      <c r="P71">
        <v>2.0699999999999998E-3</v>
      </c>
      <c r="Q71">
        <v>0</v>
      </c>
      <c r="R71">
        <v>0.47049000000000002</v>
      </c>
      <c r="S71">
        <v>0</v>
      </c>
      <c r="T71">
        <v>-2.2360000000000001E-2</v>
      </c>
      <c r="W71">
        <v>0</v>
      </c>
      <c r="X71">
        <v>8.6841120138329619E-2</v>
      </c>
      <c r="Y71" t="s">
        <v>2463</v>
      </c>
      <c r="Z71">
        <v>142</v>
      </c>
      <c r="AA71">
        <v>-2.2360000000000001E-2</v>
      </c>
      <c r="AB71">
        <v>-17.663</v>
      </c>
      <c r="AC71">
        <v>0.47049000000000002</v>
      </c>
      <c r="AD71">
        <v>2.0699999999999998E-3</v>
      </c>
      <c r="AE71">
        <v>0</v>
      </c>
      <c r="AF71">
        <v>0</v>
      </c>
      <c r="AG71">
        <v>0</v>
      </c>
      <c r="AH71">
        <v>0</v>
      </c>
      <c r="AI71">
        <v>-17.663</v>
      </c>
      <c r="AJ71">
        <v>0</v>
      </c>
      <c r="AK71">
        <v>2.9502695269526952E-3</v>
      </c>
      <c r="AL71">
        <v>-6.8196911196911195E-2</v>
      </c>
      <c r="AM71">
        <v>2.5480960127551842E-3</v>
      </c>
      <c r="AN71">
        <v>6.8244497874111507E-2</v>
      </c>
    </row>
    <row r="72" spans="11:40" x14ac:dyDescent="0.25">
      <c r="K72" t="s">
        <v>2456</v>
      </c>
      <c r="M72">
        <v>142</v>
      </c>
      <c r="N72">
        <v>1</v>
      </c>
      <c r="O72">
        <v>-12.353999999999999</v>
      </c>
      <c r="P72">
        <v>4.8999999999999998E-3</v>
      </c>
      <c r="Q72">
        <v>0</v>
      </c>
      <c r="R72">
        <v>0.47049000000000002</v>
      </c>
      <c r="S72">
        <v>0</v>
      </c>
      <c r="T72">
        <v>-2.2360000000000001E-2</v>
      </c>
      <c r="W72">
        <v>0</v>
      </c>
      <c r="X72">
        <v>6.1439206262731527E-2</v>
      </c>
      <c r="Y72" t="s">
        <v>2456</v>
      </c>
      <c r="Z72">
        <v>142</v>
      </c>
      <c r="AA72">
        <v>-2.2360000000000001E-2</v>
      </c>
      <c r="AB72">
        <v>-12.353999999999999</v>
      </c>
      <c r="AC72">
        <v>0.47049000000000002</v>
      </c>
      <c r="AD72">
        <v>4.8999999999999998E-3</v>
      </c>
      <c r="AE72">
        <v>0</v>
      </c>
      <c r="AF72">
        <v>0</v>
      </c>
      <c r="AG72">
        <v>0</v>
      </c>
      <c r="AH72">
        <v>0</v>
      </c>
      <c r="AI72">
        <v>-12.353999999999999</v>
      </c>
      <c r="AJ72">
        <v>0</v>
      </c>
      <c r="AK72">
        <v>2.9502695269526952E-3</v>
      </c>
      <c r="AL72">
        <v>-4.7698841698841699E-2</v>
      </c>
      <c r="AM72">
        <v>3.3755024621951344E-3</v>
      </c>
      <c r="AN72">
        <v>4.7818129577425393E-2</v>
      </c>
    </row>
    <row r="73" spans="11:40" x14ac:dyDescent="0.25">
      <c r="K73" t="s">
        <v>2457</v>
      </c>
      <c r="M73">
        <v>142</v>
      </c>
      <c r="N73">
        <v>1</v>
      </c>
      <c r="O73">
        <v>14.211</v>
      </c>
      <c r="P73">
        <v>-2.835E-2</v>
      </c>
      <c r="Q73">
        <v>0</v>
      </c>
      <c r="R73">
        <v>0.46994999999999998</v>
      </c>
      <c r="S73">
        <v>0</v>
      </c>
      <c r="T73">
        <v>-2.2360000000000001E-2</v>
      </c>
      <c r="W73">
        <v>0</v>
      </c>
      <c r="X73">
        <v>7.0321700459519645E-2</v>
      </c>
      <c r="Y73" t="s">
        <v>2457</v>
      </c>
      <c r="Z73">
        <v>142</v>
      </c>
      <c r="AA73">
        <v>-2.2360000000000001E-2</v>
      </c>
      <c r="AB73">
        <v>14.211</v>
      </c>
      <c r="AC73">
        <v>0.46994999999999998</v>
      </c>
      <c r="AD73">
        <v>-2.835E-2</v>
      </c>
      <c r="AE73">
        <v>0</v>
      </c>
      <c r="AF73">
        <v>0</v>
      </c>
      <c r="AG73">
        <v>0</v>
      </c>
      <c r="AH73">
        <v>14.211</v>
      </c>
      <c r="AI73">
        <v>0</v>
      </c>
      <c r="AJ73">
        <v>0</v>
      </c>
      <c r="AK73">
        <v>2.9475962596259625E-3</v>
      </c>
      <c r="AL73">
        <v>5.4868725868725869E-2</v>
      </c>
      <c r="AM73">
        <v>1.0974777903060815E-2</v>
      </c>
      <c r="AN73">
        <v>5.5955543322166922E-2</v>
      </c>
    </row>
    <row r="74" spans="11:40" x14ac:dyDescent="0.25">
      <c r="K74" t="s">
        <v>2447</v>
      </c>
      <c r="M74">
        <v>142</v>
      </c>
      <c r="N74">
        <v>1</v>
      </c>
      <c r="O74">
        <v>0.97965000000000002</v>
      </c>
      <c r="P74">
        <v>-1.0370000000000001E-2</v>
      </c>
      <c r="Q74">
        <v>0</v>
      </c>
      <c r="R74">
        <v>0.46994999999999998</v>
      </c>
      <c r="S74">
        <v>0</v>
      </c>
      <c r="T74">
        <v>-2.2360000000000001E-2</v>
      </c>
      <c r="W74">
        <v>0</v>
      </c>
      <c r="X74">
        <v>7.0138057226775304E-3</v>
      </c>
      <c r="Y74" t="s">
        <v>2447</v>
      </c>
      <c r="Z74">
        <v>142</v>
      </c>
      <c r="AA74">
        <v>-2.2360000000000001E-2</v>
      </c>
      <c r="AB74">
        <v>0.97965000000000002</v>
      </c>
      <c r="AC74">
        <v>0.46994999999999998</v>
      </c>
      <c r="AD74">
        <v>-1.0370000000000001E-2</v>
      </c>
      <c r="AE74">
        <v>0</v>
      </c>
      <c r="AF74">
        <v>0</v>
      </c>
      <c r="AG74">
        <v>0</v>
      </c>
      <c r="AH74">
        <v>0.97965000000000002</v>
      </c>
      <c r="AI74">
        <v>0</v>
      </c>
      <c r="AJ74">
        <v>0</v>
      </c>
      <c r="AK74">
        <v>2.9475962596259625E-3</v>
      </c>
      <c r="AL74">
        <v>3.7824324324324324E-3</v>
      </c>
      <c r="AM74">
        <v>5.0885626453553764E-3</v>
      </c>
      <c r="AN74">
        <v>6.3403678837763685E-3</v>
      </c>
    </row>
    <row r="75" spans="11:40" x14ac:dyDescent="0.25">
      <c r="K75" t="s">
        <v>2442</v>
      </c>
      <c r="M75">
        <v>143</v>
      </c>
      <c r="N75">
        <v>1</v>
      </c>
      <c r="O75">
        <v>6.22</v>
      </c>
      <c r="P75">
        <v>-2.044E-2</v>
      </c>
      <c r="Q75">
        <v>0</v>
      </c>
      <c r="R75">
        <v>0.56425999999999998</v>
      </c>
      <c r="S75">
        <v>0</v>
      </c>
      <c r="T75">
        <v>0</v>
      </c>
      <c r="W75">
        <v>0</v>
      </c>
      <c r="X75">
        <v>3.2554131886872895E-2</v>
      </c>
      <c r="Y75" t="s">
        <v>2442</v>
      </c>
      <c r="Z75">
        <v>143</v>
      </c>
      <c r="AA75">
        <v>0</v>
      </c>
      <c r="AB75">
        <v>6.22</v>
      </c>
      <c r="AC75">
        <v>0.56425999999999998</v>
      </c>
      <c r="AD75">
        <v>-2.044E-2</v>
      </c>
      <c r="AE75">
        <v>0</v>
      </c>
      <c r="AF75">
        <v>0</v>
      </c>
      <c r="AG75">
        <v>0</v>
      </c>
      <c r="AH75">
        <v>6.22</v>
      </c>
      <c r="AI75">
        <v>0</v>
      </c>
      <c r="AJ75">
        <v>0</v>
      </c>
      <c r="AK75">
        <v>2.7933663366336635E-3</v>
      </c>
      <c r="AL75">
        <v>2.4015444015444014E-2</v>
      </c>
      <c r="AM75">
        <v>8.4590607208450703E-3</v>
      </c>
      <c r="AN75">
        <v>2.5461682182013615E-2</v>
      </c>
    </row>
    <row r="76" spans="11:40" x14ac:dyDescent="0.25">
      <c r="K76" t="s">
        <v>2441</v>
      </c>
      <c r="M76">
        <v>143</v>
      </c>
      <c r="N76">
        <v>1</v>
      </c>
      <c r="O76">
        <v>-2.5731000000000002</v>
      </c>
      <c r="P76">
        <v>-7.3669999999999999E-2</v>
      </c>
      <c r="Q76">
        <v>0</v>
      </c>
      <c r="R76">
        <v>0.56425999999999998</v>
      </c>
      <c r="S76">
        <v>0</v>
      </c>
      <c r="T76">
        <v>0</v>
      </c>
      <c r="W76">
        <v>0</v>
      </c>
      <c r="X76">
        <v>1.5104849590222182E-2</v>
      </c>
      <c r="Y76" t="s">
        <v>2441</v>
      </c>
      <c r="Z76">
        <v>143</v>
      </c>
      <c r="AA76">
        <v>0</v>
      </c>
      <c r="AB76">
        <v>-2.5731000000000002</v>
      </c>
      <c r="AC76">
        <v>0.56425999999999998</v>
      </c>
      <c r="AD76">
        <v>-7.3669999999999999E-2</v>
      </c>
      <c r="AE76">
        <v>0</v>
      </c>
      <c r="AF76">
        <v>0</v>
      </c>
      <c r="AG76">
        <v>0</v>
      </c>
      <c r="AH76">
        <v>0</v>
      </c>
      <c r="AI76">
        <v>-2.5731000000000002</v>
      </c>
      <c r="AJ76">
        <v>0</v>
      </c>
      <c r="AK76">
        <v>2.7933663366336635E-3</v>
      </c>
      <c r="AL76">
        <v>-9.9347490347490349E-3</v>
      </c>
      <c r="AM76">
        <v>2.6054884434172799E-2</v>
      </c>
      <c r="AN76">
        <v>2.7884695466537678E-2</v>
      </c>
    </row>
    <row r="77" spans="11:40" x14ac:dyDescent="0.25">
      <c r="K77" t="s">
        <v>2438</v>
      </c>
      <c r="M77">
        <v>143</v>
      </c>
      <c r="N77">
        <v>1</v>
      </c>
      <c r="O77">
        <v>5.9786000000000001</v>
      </c>
      <c r="P77">
        <v>-8.7760000000000005E-2</v>
      </c>
      <c r="Q77">
        <v>0</v>
      </c>
      <c r="R77">
        <v>0.56425999999999998</v>
      </c>
      <c r="S77">
        <v>0</v>
      </c>
      <c r="T77">
        <v>0</v>
      </c>
      <c r="W77">
        <v>0</v>
      </c>
      <c r="X77">
        <v>3.1399107963427923E-2</v>
      </c>
      <c r="Y77" t="s">
        <v>2438</v>
      </c>
      <c r="Z77">
        <v>143</v>
      </c>
      <c r="AA77">
        <v>0</v>
      </c>
      <c r="AB77">
        <v>5.9786000000000001</v>
      </c>
      <c r="AC77">
        <v>0.56425999999999998</v>
      </c>
      <c r="AD77">
        <v>-8.7760000000000005E-2</v>
      </c>
      <c r="AE77">
        <v>0</v>
      </c>
      <c r="AF77">
        <v>0</v>
      </c>
      <c r="AG77">
        <v>0</v>
      </c>
      <c r="AH77">
        <v>5.9786000000000001</v>
      </c>
      <c r="AI77">
        <v>0</v>
      </c>
      <c r="AJ77">
        <v>0</v>
      </c>
      <c r="AK77">
        <v>2.7933663366336635E-3</v>
      </c>
      <c r="AL77">
        <v>2.3083397683397684E-2</v>
      </c>
      <c r="AM77">
        <v>3.0740902269282486E-2</v>
      </c>
      <c r="AN77">
        <v>3.8442766822114491E-2</v>
      </c>
    </row>
    <row r="78" spans="11:40" x14ac:dyDescent="0.25">
      <c r="K78" t="s">
        <v>2439</v>
      </c>
      <c r="M78">
        <v>143</v>
      </c>
      <c r="N78">
        <v>1</v>
      </c>
      <c r="O78">
        <v>-2.3317000000000001</v>
      </c>
      <c r="P78">
        <v>-6.3400000000000001E-3</v>
      </c>
      <c r="Q78">
        <v>0</v>
      </c>
      <c r="R78">
        <v>0.56425999999999998</v>
      </c>
      <c r="S78">
        <v>0</v>
      </c>
      <c r="T78">
        <v>0</v>
      </c>
      <c r="W78">
        <v>0</v>
      </c>
      <c r="X78">
        <v>1.3949825666777205E-2</v>
      </c>
      <c r="Y78" t="s">
        <v>2439</v>
      </c>
      <c r="Z78">
        <v>143</v>
      </c>
      <c r="AA78">
        <v>0</v>
      </c>
      <c r="AB78">
        <v>-2.3317000000000001</v>
      </c>
      <c r="AC78">
        <v>0.56425999999999998</v>
      </c>
      <c r="AD78">
        <v>-6.3400000000000001E-3</v>
      </c>
      <c r="AE78">
        <v>0</v>
      </c>
      <c r="AF78">
        <v>0</v>
      </c>
      <c r="AG78">
        <v>0</v>
      </c>
      <c r="AH78">
        <v>0</v>
      </c>
      <c r="AI78">
        <v>-2.3317000000000001</v>
      </c>
      <c r="AJ78">
        <v>0</v>
      </c>
      <c r="AK78">
        <v>2.7933663366336635E-3</v>
      </c>
      <c r="AL78">
        <v>-9.0027027027027029E-3</v>
      </c>
      <c r="AM78">
        <v>4.0214941815125979E-3</v>
      </c>
      <c r="AN78">
        <v>9.8600746145853391E-3</v>
      </c>
    </row>
    <row r="79" spans="11:40" x14ac:dyDescent="0.25">
      <c r="K79" t="s">
        <v>2462</v>
      </c>
      <c r="M79">
        <v>143</v>
      </c>
      <c r="N79">
        <v>1</v>
      </c>
      <c r="O79">
        <v>10.316000000000001</v>
      </c>
      <c r="P79">
        <v>-1.9599999999999999E-2</v>
      </c>
      <c r="Q79">
        <v>0</v>
      </c>
      <c r="R79">
        <v>0.56459999999999999</v>
      </c>
      <c r="S79">
        <v>0</v>
      </c>
      <c r="T79">
        <v>2.6870000000000002E-2</v>
      </c>
      <c r="W79">
        <v>0</v>
      </c>
      <c r="X79">
        <v>5.2153901179591643E-2</v>
      </c>
      <c r="Y79" t="s">
        <v>2462</v>
      </c>
      <c r="Z79">
        <v>143</v>
      </c>
      <c r="AA79">
        <v>2.6870000000000002E-2</v>
      </c>
      <c r="AB79">
        <v>10.316000000000001</v>
      </c>
      <c r="AC79">
        <v>0.56459999999999999</v>
      </c>
      <c r="AD79">
        <v>-1.9599999999999999E-2</v>
      </c>
      <c r="AE79">
        <v>0</v>
      </c>
      <c r="AF79">
        <v>0</v>
      </c>
      <c r="AG79">
        <v>0</v>
      </c>
      <c r="AH79">
        <v>10.316000000000001</v>
      </c>
      <c r="AI79">
        <v>0</v>
      </c>
      <c r="AJ79">
        <v>0</v>
      </c>
      <c r="AK79">
        <v>3.5414383938393839E-3</v>
      </c>
      <c r="AL79">
        <v>3.983011583011583E-2</v>
      </c>
      <c r="AM79">
        <v>8.4273322493737413E-3</v>
      </c>
      <c r="AN79">
        <v>4.0711890841396425E-2</v>
      </c>
    </row>
    <row r="80" spans="11:40" x14ac:dyDescent="0.25">
      <c r="K80" t="s">
        <v>2463</v>
      </c>
      <c r="M80">
        <v>143</v>
      </c>
      <c r="N80">
        <v>1</v>
      </c>
      <c r="O80">
        <v>-6.6616999999999997</v>
      </c>
      <c r="P80">
        <v>-7.5200000000000003E-2</v>
      </c>
      <c r="Q80">
        <v>0</v>
      </c>
      <c r="R80">
        <v>0.56391999999999998</v>
      </c>
      <c r="S80">
        <v>0</v>
      </c>
      <c r="T80">
        <v>-2.6870000000000002E-2</v>
      </c>
      <c r="W80">
        <v>0</v>
      </c>
      <c r="X80">
        <v>3.4665845847742661E-2</v>
      </c>
      <c r="Y80" t="s">
        <v>2463</v>
      </c>
      <c r="Z80">
        <v>143</v>
      </c>
      <c r="AA80">
        <v>-2.6870000000000002E-2</v>
      </c>
      <c r="AB80">
        <v>-6.6616999999999997</v>
      </c>
      <c r="AC80">
        <v>0.56391999999999998</v>
      </c>
      <c r="AD80">
        <v>-7.5200000000000003E-2</v>
      </c>
      <c r="AE80">
        <v>0</v>
      </c>
      <c r="AF80">
        <v>0</v>
      </c>
      <c r="AG80">
        <v>0</v>
      </c>
      <c r="AH80">
        <v>0</v>
      </c>
      <c r="AI80">
        <v>-6.6616999999999997</v>
      </c>
      <c r="AJ80">
        <v>0</v>
      </c>
      <c r="AK80">
        <v>3.5380720572057204E-3</v>
      </c>
      <c r="AL80">
        <v>-2.5720849420849418E-2</v>
      </c>
      <c r="AM80">
        <v>2.6841572826635983E-2</v>
      </c>
      <c r="AN80">
        <v>3.7175692686722238E-2</v>
      </c>
    </row>
    <row r="81" spans="11:40" x14ac:dyDescent="0.25">
      <c r="K81" t="s">
        <v>2440</v>
      </c>
      <c r="M81">
        <v>143</v>
      </c>
      <c r="N81">
        <v>1</v>
      </c>
      <c r="O81">
        <v>1.89</v>
      </c>
      <c r="P81">
        <v>-8.9300000000000004E-2</v>
      </c>
      <c r="Q81">
        <v>0</v>
      </c>
      <c r="R81">
        <v>0.56391999999999998</v>
      </c>
      <c r="S81">
        <v>0</v>
      </c>
      <c r="T81">
        <v>-2.6870000000000002E-2</v>
      </c>
      <c r="W81">
        <v>0</v>
      </c>
      <c r="X81">
        <v>1.1834745369273768E-2</v>
      </c>
      <c r="Y81" t="s">
        <v>2440</v>
      </c>
      <c r="Z81">
        <v>143</v>
      </c>
      <c r="AA81">
        <v>-2.6870000000000002E-2</v>
      </c>
      <c r="AB81">
        <v>1.89</v>
      </c>
      <c r="AC81">
        <v>0.56391999999999998</v>
      </c>
      <c r="AD81">
        <v>-8.9300000000000004E-2</v>
      </c>
      <c r="AE81">
        <v>0</v>
      </c>
      <c r="AF81">
        <v>0</v>
      </c>
      <c r="AG81">
        <v>0</v>
      </c>
      <c r="AH81">
        <v>1.89</v>
      </c>
      <c r="AI81">
        <v>0</v>
      </c>
      <c r="AJ81">
        <v>0</v>
      </c>
      <c r="AK81">
        <v>3.5380720572057204E-3</v>
      </c>
      <c r="AL81">
        <v>7.2972972972972965E-3</v>
      </c>
      <c r="AM81">
        <v>3.1533704903022292E-2</v>
      </c>
      <c r="AN81">
        <v>3.2367037132799696E-2</v>
      </c>
    </row>
    <row r="82" spans="11:40" x14ac:dyDescent="0.25">
      <c r="K82" t="s">
        <v>2457</v>
      </c>
      <c r="M82">
        <v>143</v>
      </c>
      <c r="N82">
        <v>1</v>
      </c>
      <c r="O82">
        <v>10.074</v>
      </c>
      <c r="P82">
        <v>-8.6919999999999997E-2</v>
      </c>
      <c r="Q82">
        <v>0</v>
      </c>
      <c r="R82">
        <v>0.56459999999999999</v>
      </c>
      <c r="S82">
        <v>0</v>
      </c>
      <c r="T82">
        <v>2.6870000000000002E-2</v>
      </c>
      <c r="W82">
        <v>0</v>
      </c>
      <c r="X82">
        <v>5.0996006442749535E-2</v>
      </c>
      <c r="Y82" t="s">
        <v>2457</v>
      </c>
      <c r="Z82">
        <v>143</v>
      </c>
      <c r="AA82">
        <v>2.6870000000000002E-2</v>
      </c>
      <c r="AB82">
        <v>10.074</v>
      </c>
      <c r="AC82">
        <v>0.56459999999999999</v>
      </c>
      <c r="AD82">
        <v>-8.6919999999999997E-2</v>
      </c>
      <c r="AE82">
        <v>0</v>
      </c>
      <c r="AF82">
        <v>0</v>
      </c>
      <c r="AG82">
        <v>0</v>
      </c>
      <c r="AH82">
        <v>10.074</v>
      </c>
      <c r="AI82">
        <v>0</v>
      </c>
      <c r="AJ82">
        <v>0</v>
      </c>
      <c r="AK82">
        <v>3.5414383938393839E-3</v>
      </c>
      <c r="AL82">
        <v>3.8895752895752894E-2</v>
      </c>
      <c r="AM82">
        <v>3.074337565707029E-2</v>
      </c>
      <c r="AN82">
        <v>4.9578571380377752E-2</v>
      </c>
    </row>
    <row r="83" spans="11:40" x14ac:dyDescent="0.25">
      <c r="K83" t="s">
        <v>2447</v>
      </c>
      <c r="M83">
        <v>143</v>
      </c>
      <c r="N83">
        <v>1</v>
      </c>
      <c r="O83">
        <v>1.7643</v>
      </c>
      <c r="P83">
        <v>-5.4999999999999997E-3</v>
      </c>
      <c r="Q83">
        <v>0</v>
      </c>
      <c r="R83">
        <v>0.56459999999999999</v>
      </c>
      <c r="S83">
        <v>0</v>
      </c>
      <c r="T83">
        <v>2.6870000000000002E-2</v>
      </c>
      <c r="W83">
        <v>0</v>
      </c>
      <c r="X83">
        <v>1.1236676299208869E-2</v>
      </c>
      <c r="Y83" t="s">
        <v>2447</v>
      </c>
      <c r="Z83">
        <v>143</v>
      </c>
      <c r="AA83">
        <v>2.6870000000000002E-2</v>
      </c>
      <c r="AB83">
        <v>1.7643</v>
      </c>
      <c r="AC83">
        <v>0.56459999999999999</v>
      </c>
      <c r="AD83">
        <v>-5.4999999999999997E-3</v>
      </c>
      <c r="AE83">
        <v>0</v>
      </c>
      <c r="AF83">
        <v>0</v>
      </c>
      <c r="AG83">
        <v>0</v>
      </c>
      <c r="AH83">
        <v>1.7643</v>
      </c>
      <c r="AI83">
        <v>0</v>
      </c>
      <c r="AJ83">
        <v>0</v>
      </c>
      <c r="AK83">
        <v>3.5414383938393839E-3</v>
      </c>
      <c r="AL83">
        <v>6.8119691119691121E-3</v>
      </c>
      <c r="AM83">
        <v>3.936059805554051E-3</v>
      </c>
      <c r="AN83">
        <v>7.8673686817969483E-3</v>
      </c>
    </row>
    <row r="84" spans="11:40" x14ac:dyDescent="0.25">
      <c r="K84" t="s">
        <v>2456</v>
      </c>
      <c r="M84">
        <v>143</v>
      </c>
      <c r="N84">
        <v>1</v>
      </c>
      <c r="O84">
        <v>-6.4203000000000001</v>
      </c>
      <c r="P84">
        <v>-7.8799999999999999E-3</v>
      </c>
      <c r="Q84">
        <v>0</v>
      </c>
      <c r="R84">
        <v>0.56391999999999998</v>
      </c>
      <c r="S84">
        <v>0</v>
      </c>
      <c r="T84">
        <v>-2.6870000000000002E-2</v>
      </c>
      <c r="W84">
        <v>0</v>
      </c>
      <c r="X84">
        <v>3.351082192429769E-2</v>
      </c>
      <c r="Y84" t="s">
        <v>2456</v>
      </c>
      <c r="Z84">
        <v>143</v>
      </c>
      <c r="AA84">
        <v>-2.6870000000000002E-2</v>
      </c>
      <c r="AB84">
        <v>-6.4203000000000001</v>
      </c>
      <c r="AC84">
        <v>0.56391999999999998</v>
      </c>
      <c r="AD84">
        <v>-7.8799999999999999E-3</v>
      </c>
      <c r="AE84">
        <v>0</v>
      </c>
      <c r="AF84">
        <v>0</v>
      </c>
      <c r="AG84">
        <v>0</v>
      </c>
      <c r="AH84">
        <v>0</v>
      </c>
      <c r="AI84">
        <v>-6.4203000000000001</v>
      </c>
      <c r="AJ84">
        <v>0</v>
      </c>
      <c r="AK84">
        <v>3.5380720572057204E-3</v>
      </c>
      <c r="AL84">
        <v>-2.4788803088803088E-2</v>
      </c>
      <c r="AM84">
        <v>4.6629685426075396E-3</v>
      </c>
      <c r="AN84">
        <v>2.5223561092851284E-2</v>
      </c>
    </row>
    <row r="85" spans="11:40" x14ac:dyDescent="0.25">
      <c r="K85" t="s">
        <v>2443</v>
      </c>
      <c r="L85">
        <v>10</v>
      </c>
      <c r="M85">
        <v>105</v>
      </c>
      <c r="N85">
        <v>1</v>
      </c>
      <c r="O85">
        <v>0.86621400000000004</v>
      </c>
      <c r="P85">
        <v>9.103E-3</v>
      </c>
      <c r="Q85">
        <v>0</v>
      </c>
      <c r="R85">
        <v>1.3064</v>
      </c>
      <c r="S85">
        <v>0</v>
      </c>
      <c r="T85">
        <v>-0.121855</v>
      </c>
      <c r="Z85"/>
    </row>
    <row r="86" spans="11:40" x14ac:dyDescent="0.25">
      <c r="K86" t="s">
        <v>2443</v>
      </c>
      <c r="L86">
        <v>10</v>
      </c>
      <c r="M86">
        <v>116</v>
      </c>
      <c r="N86">
        <v>1</v>
      </c>
      <c r="O86">
        <v>-0.81599100000000002</v>
      </c>
      <c r="P86">
        <v>1.1739999999999999E-3</v>
      </c>
      <c r="Q86">
        <v>0</v>
      </c>
      <c r="R86">
        <v>1.0795600000000001</v>
      </c>
      <c r="S86">
        <v>0</v>
      </c>
      <c r="T86">
        <v>-0.18210999999999999</v>
      </c>
      <c r="Z86"/>
    </row>
    <row r="87" spans="11:40" x14ac:dyDescent="0.25">
      <c r="K87" t="s">
        <v>2444</v>
      </c>
      <c r="L87">
        <v>10</v>
      </c>
      <c r="M87">
        <v>105</v>
      </c>
      <c r="N87">
        <v>1</v>
      </c>
      <c r="O87">
        <v>-3.8471000000000002</v>
      </c>
      <c r="P87">
        <v>-9.0340000000000004E-3</v>
      </c>
      <c r="Q87">
        <v>0</v>
      </c>
      <c r="R87">
        <v>1.31982</v>
      </c>
      <c r="S87">
        <v>0</v>
      </c>
      <c r="T87">
        <v>-5.0514000000000003E-2</v>
      </c>
      <c r="Z87"/>
    </row>
    <row r="88" spans="11:40" x14ac:dyDescent="0.25">
      <c r="K88" t="s">
        <v>2444</v>
      </c>
      <c r="L88">
        <v>10</v>
      </c>
      <c r="M88">
        <v>116</v>
      </c>
      <c r="N88">
        <v>1</v>
      </c>
      <c r="O88">
        <v>-7.6958799999999998</v>
      </c>
      <c r="P88">
        <v>4.9370000000000004E-3</v>
      </c>
      <c r="Q88">
        <v>0</v>
      </c>
      <c r="R88">
        <v>1.09449</v>
      </c>
      <c r="S88">
        <v>0</v>
      </c>
      <c r="T88">
        <v>-0.154392</v>
      </c>
      <c r="Z88"/>
    </row>
    <row r="89" spans="11:40" x14ac:dyDescent="0.25">
      <c r="K89" t="s">
        <v>2445</v>
      </c>
      <c r="L89">
        <v>10</v>
      </c>
      <c r="M89">
        <v>105</v>
      </c>
      <c r="N89">
        <v>1</v>
      </c>
      <c r="O89">
        <v>1.26674</v>
      </c>
      <c r="P89">
        <v>4.1090000000000002E-2</v>
      </c>
      <c r="Q89">
        <v>0</v>
      </c>
      <c r="R89">
        <v>1.3049900000000001</v>
      </c>
      <c r="S89">
        <v>0</v>
      </c>
      <c r="T89">
        <v>-0.118533</v>
      </c>
      <c r="Z89"/>
    </row>
    <row r="90" spans="11:40" x14ac:dyDescent="0.25">
      <c r="K90" t="s">
        <v>2445</v>
      </c>
      <c r="L90">
        <v>10</v>
      </c>
      <c r="M90">
        <v>116</v>
      </c>
      <c r="N90">
        <v>1</v>
      </c>
      <c r="O90">
        <v>-3.3445499999999999</v>
      </c>
      <c r="P90">
        <v>2.0191000000000001E-2</v>
      </c>
      <c r="Q90">
        <v>0</v>
      </c>
      <c r="R90">
        <v>1.08012</v>
      </c>
      <c r="S90">
        <v>0</v>
      </c>
      <c r="T90">
        <v>-0.17843200000000001</v>
      </c>
      <c r="Z90"/>
    </row>
    <row r="91" spans="11:40" x14ac:dyDescent="0.25">
      <c r="K91" t="s">
        <v>2446</v>
      </c>
      <c r="L91">
        <v>10</v>
      </c>
      <c r="M91">
        <v>105</v>
      </c>
      <c r="N91">
        <v>1</v>
      </c>
      <c r="O91">
        <v>-3.4465699999999999</v>
      </c>
      <c r="P91">
        <v>2.2953000000000001E-2</v>
      </c>
      <c r="Q91">
        <v>0</v>
      </c>
      <c r="R91">
        <v>1.3184199999999999</v>
      </c>
      <c r="S91">
        <v>0</v>
      </c>
      <c r="T91">
        <v>-4.7192999999999999E-2</v>
      </c>
      <c r="Z91"/>
    </row>
    <row r="92" spans="11:40" x14ac:dyDescent="0.25">
      <c r="K92" t="s">
        <v>2446</v>
      </c>
      <c r="L92">
        <v>10</v>
      </c>
      <c r="M92">
        <v>116</v>
      </c>
      <c r="N92">
        <v>1</v>
      </c>
      <c r="O92">
        <v>-10.224399999999999</v>
      </c>
      <c r="P92">
        <v>2.3954E-2</v>
      </c>
      <c r="Q92">
        <v>0</v>
      </c>
      <c r="R92">
        <v>1.0950599999999999</v>
      </c>
      <c r="S92">
        <v>0</v>
      </c>
      <c r="T92">
        <v>-0.15071499999999999</v>
      </c>
      <c r="Z92"/>
    </row>
    <row r="93" spans="11:40" x14ac:dyDescent="0.25">
      <c r="K93" t="s">
        <v>2443</v>
      </c>
      <c r="L93">
        <v>10</v>
      </c>
      <c r="M93">
        <v>125</v>
      </c>
      <c r="N93">
        <v>1</v>
      </c>
      <c r="O93">
        <v>1.74474</v>
      </c>
      <c r="P93">
        <v>4.2399999999999998E-3</v>
      </c>
      <c r="Q93">
        <v>0</v>
      </c>
      <c r="R93">
        <v>1.29535</v>
      </c>
      <c r="S93">
        <v>0</v>
      </c>
      <c r="T93">
        <v>-0.20388100000000001</v>
      </c>
      <c r="Z93"/>
    </row>
    <row r="94" spans="11:40" x14ac:dyDescent="0.25">
      <c r="K94" t="s">
        <v>2443</v>
      </c>
      <c r="L94">
        <v>10</v>
      </c>
      <c r="M94">
        <v>133</v>
      </c>
      <c r="N94">
        <v>1</v>
      </c>
      <c r="O94">
        <v>-2.0969199999999999</v>
      </c>
      <c r="P94">
        <v>7.8549999999999991E-3</v>
      </c>
      <c r="Q94">
        <v>0</v>
      </c>
      <c r="R94">
        <v>0.44605099999999998</v>
      </c>
      <c r="S94">
        <v>0</v>
      </c>
      <c r="T94">
        <v>1.7420000000000001E-2</v>
      </c>
      <c r="Z94"/>
    </row>
    <row r="95" spans="11:40" x14ac:dyDescent="0.25">
      <c r="K95" t="s">
        <v>2444</v>
      </c>
      <c r="L95">
        <v>10</v>
      </c>
      <c r="M95">
        <v>125</v>
      </c>
      <c r="N95">
        <v>1</v>
      </c>
      <c r="O95">
        <v>-3.03193</v>
      </c>
      <c r="P95">
        <v>1.4455000000000001E-2</v>
      </c>
      <c r="Q95">
        <v>0</v>
      </c>
      <c r="R95">
        <v>1.30599</v>
      </c>
      <c r="S95">
        <v>0</v>
      </c>
      <c r="T95">
        <v>-0.13666400000000001</v>
      </c>
      <c r="Z95"/>
    </row>
    <row r="96" spans="11:40" x14ac:dyDescent="0.25">
      <c r="K96" t="s">
        <v>2444</v>
      </c>
      <c r="L96">
        <v>10</v>
      </c>
      <c r="M96">
        <v>133</v>
      </c>
      <c r="N96">
        <v>1</v>
      </c>
      <c r="O96">
        <v>3.3433099999999998</v>
      </c>
      <c r="P96">
        <v>4.1939999999999998E-3</v>
      </c>
      <c r="Q96">
        <v>0</v>
      </c>
      <c r="R96">
        <v>0.44651600000000002</v>
      </c>
      <c r="S96">
        <v>0</v>
      </c>
      <c r="T96">
        <v>1.7422E-2</v>
      </c>
      <c r="Z96"/>
    </row>
    <row r="97" spans="11:20" customFormat="1" x14ac:dyDescent="0.25">
      <c r="K97" t="s">
        <v>2445</v>
      </c>
      <c r="L97">
        <v>10</v>
      </c>
      <c r="M97">
        <v>125</v>
      </c>
      <c r="N97">
        <v>1</v>
      </c>
      <c r="O97">
        <v>2.26064</v>
      </c>
      <c r="P97">
        <v>3.5479999999999999E-3</v>
      </c>
      <c r="Q97">
        <v>0</v>
      </c>
      <c r="R97">
        <v>1.2965199999999999</v>
      </c>
      <c r="S97">
        <v>0</v>
      </c>
      <c r="T97">
        <v>-0.208677</v>
      </c>
    </row>
    <row r="98" spans="11:20" customFormat="1" x14ac:dyDescent="0.25">
      <c r="K98" t="s">
        <v>2445</v>
      </c>
      <c r="L98">
        <v>10</v>
      </c>
      <c r="M98">
        <v>133</v>
      </c>
      <c r="N98">
        <v>1</v>
      </c>
      <c r="O98">
        <v>-2.1155499999999998</v>
      </c>
      <c r="P98">
        <v>3.7947000000000002E-2</v>
      </c>
      <c r="Q98">
        <v>0</v>
      </c>
      <c r="R98">
        <v>0.44605099999999998</v>
      </c>
      <c r="S98">
        <v>0</v>
      </c>
      <c r="T98">
        <v>1.7420000000000001E-2</v>
      </c>
    </row>
    <row r="99" spans="11:20" customFormat="1" x14ac:dyDescent="0.25">
      <c r="K99" t="s">
        <v>2446</v>
      </c>
      <c r="L99">
        <v>10</v>
      </c>
      <c r="M99">
        <v>125</v>
      </c>
      <c r="N99">
        <v>1</v>
      </c>
      <c r="O99">
        <v>-2.5160399999999998</v>
      </c>
      <c r="P99">
        <v>1.3764E-2</v>
      </c>
      <c r="Q99">
        <v>0</v>
      </c>
      <c r="R99">
        <v>1.3071600000000001</v>
      </c>
      <c r="S99">
        <v>0</v>
      </c>
      <c r="T99">
        <v>-0.14146</v>
      </c>
    </row>
    <row r="100" spans="11:20" customFormat="1" x14ac:dyDescent="0.25">
      <c r="K100" t="s">
        <v>2446</v>
      </c>
      <c r="L100">
        <v>10</v>
      </c>
      <c r="M100">
        <v>133</v>
      </c>
      <c r="N100">
        <v>1</v>
      </c>
      <c r="O100">
        <v>3.3246799999999999</v>
      </c>
      <c r="P100">
        <v>3.4285999999999997E-2</v>
      </c>
      <c r="Q100">
        <v>0</v>
      </c>
      <c r="R100">
        <v>0.44651600000000002</v>
      </c>
      <c r="S100">
        <v>0</v>
      </c>
      <c r="T100">
        <v>1.7422E-2</v>
      </c>
    </row>
    <row r="101" spans="11:20" customFormat="1" x14ac:dyDescent="0.25">
      <c r="K101" t="s">
        <v>2443</v>
      </c>
      <c r="L101">
        <v>10</v>
      </c>
      <c r="M101">
        <v>142</v>
      </c>
      <c r="N101">
        <v>1</v>
      </c>
      <c r="O101">
        <v>-4.1718299999999999</v>
      </c>
      <c r="P101">
        <v>-1.6299999999999999E-3</v>
      </c>
      <c r="Q101">
        <v>0</v>
      </c>
      <c r="R101">
        <v>0.37207699999999999</v>
      </c>
      <c r="S101">
        <v>0</v>
      </c>
      <c r="T101">
        <v>-1.4514000000000001E-2</v>
      </c>
    </row>
    <row r="102" spans="11:20" customFormat="1" x14ac:dyDescent="0.25">
      <c r="K102" t="s">
        <v>2444</v>
      </c>
      <c r="L102">
        <v>10</v>
      </c>
      <c r="M102">
        <v>142</v>
      </c>
      <c r="N102">
        <v>1</v>
      </c>
      <c r="O102">
        <v>4.4835399999999996</v>
      </c>
      <c r="P102">
        <v>-1.1546000000000001E-2</v>
      </c>
      <c r="Q102">
        <v>0</v>
      </c>
      <c r="R102">
        <v>0.37172899999999998</v>
      </c>
      <c r="S102">
        <v>0</v>
      </c>
      <c r="T102">
        <v>-1.4515999999999999E-2</v>
      </c>
    </row>
    <row r="103" spans="11:20" customFormat="1" x14ac:dyDescent="0.25">
      <c r="K103" t="s">
        <v>2445</v>
      </c>
      <c r="L103">
        <v>10</v>
      </c>
      <c r="M103">
        <v>142</v>
      </c>
      <c r="N103">
        <v>1</v>
      </c>
      <c r="O103">
        <v>-6.4416500000000001</v>
      </c>
      <c r="P103">
        <v>-2.8029999999999999E-3</v>
      </c>
      <c r="Q103">
        <v>0</v>
      </c>
      <c r="R103">
        <v>0.37207699999999999</v>
      </c>
      <c r="S103">
        <v>0</v>
      </c>
      <c r="T103">
        <v>-1.4514000000000001E-2</v>
      </c>
    </row>
    <row r="104" spans="11:20" customFormat="1" x14ac:dyDescent="0.25">
      <c r="K104" t="s">
        <v>2446</v>
      </c>
      <c r="L104">
        <v>10</v>
      </c>
      <c r="M104">
        <v>142</v>
      </c>
      <c r="N104">
        <v>1</v>
      </c>
      <c r="O104">
        <v>2.21373</v>
      </c>
      <c r="P104">
        <v>-1.272E-2</v>
      </c>
      <c r="Q104">
        <v>0</v>
      </c>
      <c r="R104">
        <v>0.37172899999999998</v>
      </c>
      <c r="S104">
        <v>0</v>
      </c>
      <c r="T104">
        <v>-1.4515999999999999E-2</v>
      </c>
    </row>
    <row r="105" spans="11:20" customFormat="1" x14ac:dyDescent="0.25">
      <c r="K105" t="s">
        <v>2443</v>
      </c>
      <c r="L105">
        <v>10</v>
      </c>
      <c r="M105">
        <v>143</v>
      </c>
      <c r="N105">
        <v>1</v>
      </c>
      <c r="O105">
        <v>-2.27651</v>
      </c>
      <c r="P105">
        <v>-1.0529999999999999E-2</v>
      </c>
      <c r="Q105">
        <v>0</v>
      </c>
      <c r="R105">
        <v>0.44606299999999999</v>
      </c>
      <c r="S105">
        <v>0</v>
      </c>
      <c r="T105">
        <v>-1.7441999999999999E-2</v>
      </c>
    </row>
    <row r="106" spans="11:20" customFormat="1" x14ac:dyDescent="0.25">
      <c r="K106" t="s">
        <v>2444</v>
      </c>
      <c r="L106">
        <v>10</v>
      </c>
      <c r="M106">
        <v>143</v>
      </c>
      <c r="N106">
        <v>1</v>
      </c>
      <c r="O106">
        <v>3.0360900000000002</v>
      </c>
      <c r="P106">
        <v>-8.9870000000000002E-3</v>
      </c>
      <c r="Q106">
        <v>0</v>
      </c>
      <c r="R106">
        <v>0.44650299999999998</v>
      </c>
      <c r="S106">
        <v>0</v>
      </c>
      <c r="T106">
        <v>1.7444000000000001E-2</v>
      </c>
    </row>
    <row r="107" spans="11:20" customFormat="1" x14ac:dyDescent="0.25">
      <c r="K107" t="s">
        <v>2445</v>
      </c>
      <c r="L107">
        <v>10</v>
      </c>
      <c r="M107">
        <v>143</v>
      </c>
      <c r="N107">
        <v>1</v>
      </c>
      <c r="O107">
        <v>-2.3543500000000002</v>
      </c>
      <c r="P107">
        <v>-4.0804E-2</v>
      </c>
      <c r="Q107">
        <v>0</v>
      </c>
      <c r="R107">
        <v>0.44606299999999999</v>
      </c>
      <c r="S107">
        <v>0</v>
      </c>
      <c r="T107">
        <v>-1.7441999999999999E-2</v>
      </c>
    </row>
    <row r="108" spans="11:20" customFormat="1" x14ac:dyDescent="0.25">
      <c r="K108" t="s">
        <v>2446</v>
      </c>
      <c r="L108">
        <v>10</v>
      </c>
      <c r="M108">
        <v>143</v>
      </c>
      <c r="N108">
        <v>1</v>
      </c>
      <c r="O108">
        <v>2.9582600000000001</v>
      </c>
      <c r="P108">
        <v>-3.9260999999999997E-2</v>
      </c>
      <c r="Q108">
        <v>0</v>
      </c>
      <c r="R108">
        <v>0.44650299999999998</v>
      </c>
      <c r="S108">
        <v>0</v>
      </c>
      <c r="T108">
        <v>1.7444000000000001E-2</v>
      </c>
    </row>
    <row r="109" spans="11:20" customFormat="1" x14ac:dyDescent="0.25"/>
    <row r="110" spans="11:20" customFormat="1" x14ac:dyDescent="0.25"/>
    <row r="111" spans="11:20" customFormat="1" x14ac:dyDescent="0.25"/>
    <row r="112" spans="11:20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spans="26:41" x14ac:dyDescent="0.25">
      <c r="Z4993"/>
    </row>
    <row r="4994" spans="26:41" x14ac:dyDescent="0.25">
      <c r="Z4994"/>
    </row>
    <row r="4995" spans="26:41" x14ac:dyDescent="0.25">
      <c r="Z4995"/>
    </row>
    <row r="4996" spans="26:41" x14ac:dyDescent="0.25">
      <c r="Z4996"/>
    </row>
    <row r="4997" spans="26:41" x14ac:dyDescent="0.25">
      <c r="Z4997"/>
    </row>
    <row r="4998" spans="26:41" x14ac:dyDescent="0.25">
      <c r="Z4998"/>
    </row>
    <row r="4999" spans="26:41" x14ac:dyDescent="0.25">
      <c r="Z4999"/>
    </row>
    <row r="5000" spans="26:41" x14ac:dyDescent="0.25">
      <c r="Z5000"/>
    </row>
    <row r="5001" spans="26:41" x14ac:dyDescent="0.25">
      <c r="Z5001"/>
    </row>
    <row r="5002" spans="26:41" x14ac:dyDescent="0.25">
      <c r="Z5002"/>
    </row>
    <row r="5003" spans="26:41" x14ac:dyDescent="0.25">
      <c r="Z5003"/>
    </row>
    <row r="5004" spans="26:41" x14ac:dyDescent="0.25">
      <c r="Z5004"/>
    </row>
    <row r="5005" spans="26:41" x14ac:dyDescent="0.25">
      <c r="Z5005"/>
    </row>
    <row r="5006" spans="26:41" x14ac:dyDescent="0.25">
      <c r="Z5006"/>
    </row>
    <row r="5007" spans="26:41" x14ac:dyDescent="0.25">
      <c r="Z5007"/>
    </row>
    <row r="5008" spans="26:41" x14ac:dyDescent="0.25">
      <c r="Z5008"/>
      <c r="AO5008" s="6"/>
    </row>
    <row r="5009" spans="26:41" x14ac:dyDescent="0.25">
      <c r="Z5009"/>
      <c r="AO5009" s="6"/>
    </row>
    <row r="5010" spans="26:41" x14ac:dyDescent="0.25">
      <c r="Z5010"/>
      <c r="AO5010" s="6"/>
    </row>
    <row r="5011" spans="26:41" x14ac:dyDescent="0.25">
      <c r="Z5011"/>
      <c r="AO5011" s="6"/>
    </row>
    <row r="5012" spans="26:41" x14ac:dyDescent="0.25">
      <c r="Z5012"/>
      <c r="AO5012" s="6"/>
    </row>
    <row r="5013" spans="26:41" x14ac:dyDescent="0.25">
      <c r="Z5013"/>
      <c r="AO5013" s="6"/>
    </row>
    <row r="5014" spans="26:41" x14ac:dyDescent="0.25">
      <c r="Z5014"/>
      <c r="AO5014" s="6"/>
    </row>
    <row r="5015" spans="26:41" x14ac:dyDescent="0.25">
      <c r="Z5015"/>
      <c r="AO5015" s="6"/>
    </row>
    <row r="5016" spans="26:41" x14ac:dyDescent="0.25">
      <c r="Z5016"/>
      <c r="AO5016" s="6"/>
    </row>
    <row r="5017" spans="26:41" x14ac:dyDescent="0.25">
      <c r="Z5017"/>
      <c r="AO5017" s="6"/>
    </row>
    <row r="5018" spans="26:41" x14ac:dyDescent="0.25">
      <c r="Z5018"/>
      <c r="AO5018" s="6"/>
    </row>
    <row r="5019" spans="26:41" x14ac:dyDescent="0.25">
      <c r="Z5019"/>
      <c r="AO5019" s="6"/>
    </row>
    <row r="5020" spans="26:41" x14ac:dyDescent="0.25">
      <c r="Z5020"/>
      <c r="AO5020" s="6"/>
    </row>
    <row r="5021" spans="26:41" x14ac:dyDescent="0.25">
      <c r="Z5021"/>
      <c r="AO5021" s="6"/>
    </row>
    <row r="5022" spans="26:41" x14ac:dyDescent="0.25">
      <c r="Z5022"/>
      <c r="AO5022" s="6"/>
    </row>
    <row r="5023" spans="26:41" x14ac:dyDescent="0.25">
      <c r="Z5023"/>
      <c r="AO5023" s="6"/>
    </row>
    <row r="5024" spans="26:41" x14ac:dyDescent="0.25">
      <c r="Z5024"/>
      <c r="AO5024" s="6"/>
    </row>
    <row r="5025" spans="26:41" x14ac:dyDescent="0.25">
      <c r="Z5025"/>
      <c r="AO5025" s="6"/>
    </row>
    <row r="5026" spans="26:41" x14ac:dyDescent="0.25">
      <c r="Z5026"/>
      <c r="AO5026" s="6"/>
    </row>
    <row r="5027" spans="26:41" x14ac:dyDescent="0.25">
      <c r="Z5027"/>
      <c r="AO5027" s="6"/>
    </row>
    <row r="5028" spans="26:41" x14ac:dyDescent="0.25">
      <c r="Z5028"/>
      <c r="AO5028" s="6"/>
    </row>
    <row r="5029" spans="26:41" x14ac:dyDescent="0.25">
      <c r="Z5029"/>
      <c r="AO5029" s="6"/>
    </row>
    <row r="5030" spans="26:41" x14ac:dyDescent="0.25">
      <c r="Z5030"/>
      <c r="AO5030" s="6"/>
    </row>
    <row r="5031" spans="26:41" x14ac:dyDescent="0.25">
      <c r="Z5031"/>
      <c r="AO5031" s="6"/>
    </row>
    <row r="5032" spans="26:41" x14ac:dyDescent="0.25">
      <c r="Z5032"/>
      <c r="AO5032" s="6"/>
    </row>
    <row r="5033" spans="26:41" x14ac:dyDescent="0.25">
      <c r="Z5033"/>
      <c r="AO5033" s="6"/>
    </row>
    <row r="5034" spans="26:41" x14ac:dyDescent="0.25">
      <c r="Z5034"/>
      <c r="AO5034" s="6"/>
    </row>
    <row r="5035" spans="26:41" x14ac:dyDescent="0.25">
      <c r="Z5035"/>
      <c r="AO5035" s="6"/>
    </row>
    <row r="5036" spans="26:41" x14ac:dyDescent="0.25">
      <c r="Z5036"/>
      <c r="AO5036" s="6"/>
    </row>
    <row r="5037" spans="26:41" x14ac:dyDescent="0.25">
      <c r="Z5037"/>
      <c r="AO5037" s="6"/>
    </row>
    <row r="5038" spans="26:41" x14ac:dyDescent="0.25">
      <c r="Z5038"/>
      <c r="AO5038" s="6"/>
    </row>
    <row r="5039" spans="26:41" x14ac:dyDescent="0.25">
      <c r="Z5039"/>
      <c r="AO5039" s="6"/>
    </row>
    <row r="5040" spans="26:41" x14ac:dyDescent="0.25">
      <c r="Z5040"/>
      <c r="AO5040" s="6"/>
    </row>
    <row r="5041" spans="26:41" x14ac:dyDescent="0.25">
      <c r="Z5041"/>
      <c r="AO5041" s="6"/>
    </row>
    <row r="5042" spans="26:41" x14ac:dyDescent="0.25">
      <c r="Z5042"/>
      <c r="AO5042" s="6"/>
    </row>
    <row r="5043" spans="26:41" x14ac:dyDescent="0.25">
      <c r="Z5043"/>
      <c r="AO5043" s="6"/>
    </row>
    <row r="5044" spans="26:41" x14ac:dyDescent="0.25">
      <c r="Z5044"/>
      <c r="AO5044" s="6"/>
    </row>
    <row r="5045" spans="26:41" x14ac:dyDescent="0.25">
      <c r="Z5045"/>
      <c r="AO5045" s="6"/>
    </row>
    <row r="5046" spans="26:41" x14ac:dyDescent="0.25">
      <c r="Z5046"/>
      <c r="AO5046" s="6"/>
    </row>
    <row r="5047" spans="26:41" x14ac:dyDescent="0.25">
      <c r="Z5047"/>
      <c r="AO5047" s="6"/>
    </row>
    <row r="5048" spans="26:41" x14ac:dyDescent="0.25">
      <c r="Z5048"/>
      <c r="AO5048" s="6"/>
    </row>
    <row r="5049" spans="26:41" x14ac:dyDescent="0.25">
      <c r="Z5049"/>
      <c r="AO5049" s="6"/>
    </row>
    <row r="5050" spans="26:41" x14ac:dyDescent="0.25">
      <c r="Z5050"/>
      <c r="AO5050" s="6"/>
    </row>
    <row r="5051" spans="26:41" x14ac:dyDescent="0.25">
      <c r="Z5051"/>
      <c r="AO5051" s="6"/>
    </row>
    <row r="5052" spans="26:41" x14ac:dyDescent="0.25">
      <c r="Z5052"/>
      <c r="AO5052" s="6"/>
    </row>
    <row r="5053" spans="26:41" x14ac:dyDescent="0.25">
      <c r="Z5053"/>
      <c r="AO5053" s="6"/>
    </row>
    <row r="5054" spans="26:41" x14ac:dyDescent="0.25">
      <c r="Z5054"/>
      <c r="AO5054" s="6"/>
    </row>
    <row r="5055" spans="26:41" x14ac:dyDescent="0.25">
      <c r="Z5055"/>
      <c r="AO5055" s="6"/>
    </row>
    <row r="5056" spans="26:41" x14ac:dyDescent="0.25">
      <c r="Z5056"/>
      <c r="AO5056" s="6"/>
    </row>
    <row r="5057" spans="26:41" x14ac:dyDescent="0.25">
      <c r="Z5057"/>
      <c r="AO5057" s="6"/>
    </row>
    <row r="5058" spans="26:41" x14ac:dyDescent="0.25">
      <c r="Z5058"/>
      <c r="AO5058" s="6"/>
    </row>
    <row r="5059" spans="26:41" x14ac:dyDescent="0.25">
      <c r="Z5059"/>
      <c r="AO5059" s="6"/>
    </row>
    <row r="5060" spans="26:41" x14ac:dyDescent="0.25">
      <c r="Z5060"/>
      <c r="AO5060" s="6"/>
    </row>
    <row r="5061" spans="26:41" x14ac:dyDescent="0.25">
      <c r="Z5061"/>
      <c r="AO5061" s="6"/>
    </row>
    <row r="5062" spans="26:41" x14ac:dyDescent="0.25">
      <c r="Z5062"/>
      <c r="AO5062" s="6"/>
    </row>
    <row r="5063" spans="26:41" x14ac:dyDescent="0.25">
      <c r="Z5063"/>
      <c r="AO5063" s="6"/>
    </row>
    <row r="5064" spans="26:41" x14ac:dyDescent="0.25">
      <c r="Z5064"/>
      <c r="AO5064" s="6"/>
    </row>
    <row r="5065" spans="26:41" x14ac:dyDescent="0.25">
      <c r="Z5065"/>
      <c r="AO5065" s="6"/>
    </row>
    <row r="5066" spans="26:41" x14ac:dyDescent="0.25">
      <c r="Z5066"/>
      <c r="AO5066" s="6"/>
    </row>
    <row r="5067" spans="26:41" x14ac:dyDescent="0.25">
      <c r="Z5067"/>
      <c r="AO5067" s="6"/>
    </row>
    <row r="5068" spans="26:41" x14ac:dyDescent="0.25">
      <c r="Z5068"/>
      <c r="AO5068" s="6"/>
    </row>
    <row r="5069" spans="26:41" x14ac:dyDescent="0.25">
      <c r="Z5069"/>
      <c r="AO5069" s="6"/>
    </row>
    <row r="5070" spans="26:41" x14ac:dyDescent="0.25">
      <c r="Z5070"/>
      <c r="AO5070" s="6"/>
    </row>
    <row r="5071" spans="26:41" x14ac:dyDescent="0.25">
      <c r="Z5071"/>
      <c r="AO5071" s="6"/>
    </row>
    <row r="5072" spans="26:41" x14ac:dyDescent="0.25">
      <c r="Z5072"/>
      <c r="AO5072" s="6"/>
    </row>
    <row r="5073" spans="26:41" x14ac:dyDescent="0.25">
      <c r="Z5073"/>
      <c r="AO5073" s="6"/>
    </row>
    <row r="5074" spans="26:41" x14ac:dyDescent="0.25">
      <c r="Z5074"/>
      <c r="AO5074" s="6"/>
    </row>
    <row r="5075" spans="26:41" x14ac:dyDescent="0.25">
      <c r="Z5075"/>
      <c r="AO5075" s="6"/>
    </row>
    <row r="5076" spans="26:41" x14ac:dyDescent="0.25">
      <c r="Z5076"/>
      <c r="AO5076" s="6"/>
    </row>
    <row r="5077" spans="26:41" x14ac:dyDescent="0.25">
      <c r="Z5077"/>
      <c r="AO5077" s="6"/>
    </row>
    <row r="5078" spans="26:41" x14ac:dyDescent="0.25">
      <c r="Z5078"/>
      <c r="AO5078" s="6"/>
    </row>
    <row r="5079" spans="26:41" x14ac:dyDescent="0.25">
      <c r="Z5079"/>
      <c r="AO5079" s="6"/>
    </row>
    <row r="5080" spans="26:41" x14ac:dyDescent="0.25">
      <c r="Z5080"/>
      <c r="AO5080" s="6"/>
    </row>
    <row r="5081" spans="26:41" x14ac:dyDescent="0.25">
      <c r="Z5081"/>
      <c r="AO5081" s="6"/>
    </row>
    <row r="5082" spans="26:41" x14ac:dyDescent="0.25">
      <c r="Z5082"/>
      <c r="AO5082" s="6"/>
    </row>
    <row r="5083" spans="26:41" x14ac:dyDescent="0.25">
      <c r="Z5083"/>
      <c r="AO5083" s="6"/>
    </row>
    <row r="5084" spans="26:41" x14ac:dyDescent="0.25">
      <c r="Z5084"/>
      <c r="AO5084" s="6"/>
    </row>
    <row r="5085" spans="26:41" x14ac:dyDescent="0.25">
      <c r="Z5085"/>
      <c r="AO5085" s="6"/>
    </row>
    <row r="5086" spans="26:41" x14ac:dyDescent="0.25">
      <c r="Z5086"/>
      <c r="AO5086" s="6"/>
    </row>
    <row r="5087" spans="26:41" x14ac:dyDescent="0.25">
      <c r="Z5087"/>
      <c r="AO5087" s="6"/>
    </row>
    <row r="5088" spans="26:41" x14ac:dyDescent="0.25">
      <c r="Z5088"/>
      <c r="AO5088" s="6"/>
    </row>
    <row r="5089" spans="26:41" x14ac:dyDescent="0.25">
      <c r="Z5089"/>
      <c r="AO5089" s="6"/>
    </row>
    <row r="5090" spans="26:41" x14ac:dyDescent="0.25">
      <c r="Z5090"/>
      <c r="AO5090" s="6"/>
    </row>
    <row r="5091" spans="26:41" x14ac:dyDescent="0.25">
      <c r="Z5091"/>
      <c r="AO5091" s="6"/>
    </row>
    <row r="5092" spans="26:41" x14ac:dyDescent="0.25">
      <c r="Z5092"/>
      <c r="AO5092" s="6"/>
    </row>
    <row r="5093" spans="26:41" x14ac:dyDescent="0.25">
      <c r="Z5093"/>
      <c r="AO5093" s="6"/>
    </row>
    <row r="5094" spans="26:41" x14ac:dyDescent="0.25">
      <c r="Z5094"/>
      <c r="AO5094" s="6"/>
    </row>
    <row r="5095" spans="26:41" x14ac:dyDescent="0.25">
      <c r="Z5095"/>
      <c r="AO5095" s="6"/>
    </row>
    <row r="5096" spans="26:41" x14ac:dyDescent="0.25">
      <c r="Z5096"/>
      <c r="AO5096" s="6"/>
    </row>
    <row r="5097" spans="26:41" x14ac:dyDescent="0.25">
      <c r="Z5097"/>
      <c r="AO5097" s="6"/>
    </row>
    <row r="5098" spans="26:41" x14ac:dyDescent="0.25">
      <c r="Z5098"/>
      <c r="AO5098" s="6"/>
    </row>
    <row r="5099" spans="26:41" x14ac:dyDescent="0.25">
      <c r="Z5099"/>
      <c r="AO5099" s="6"/>
    </row>
    <row r="5100" spans="26:41" x14ac:dyDescent="0.25">
      <c r="Z5100"/>
      <c r="AO5100" s="6"/>
    </row>
    <row r="5101" spans="26:41" x14ac:dyDescent="0.25">
      <c r="Z5101"/>
      <c r="AO5101" s="6"/>
    </row>
    <row r="5102" spans="26:41" x14ac:dyDescent="0.25">
      <c r="Z5102"/>
      <c r="AO5102" s="6"/>
    </row>
    <row r="5103" spans="26:41" x14ac:dyDescent="0.25">
      <c r="Z5103"/>
      <c r="AO5103" s="6"/>
    </row>
    <row r="5104" spans="26:41" x14ac:dyDescent="0.25">
      <c r="Z5104"/>
      <c r="AO5104" s="6"/>
    </row>
    <row r="5105" spans="26:41" x14ac:dyDescent="0.25">
      <c r="Z5105"/>
      <c r="AO5105" s="6"/>
    </row>
    <row r="5106" spans="26:41" x14ac:dyDescent="0.25">
      <c r="Z5106"/>
      <c r="AO5106" s="6"/>
    </row>
    <row r="5107" spans="26:41" x14ac:dyDescent="0.25">
      <c r="Z5107"/>
      <c r="AO5107" s="6"/>
    </row>
    <row r="5108" spans="26:41" x14ac:dyDescent="0.25">
      <c r="Z5108"/>
      <c r="AO5108" s="6"/>
    </row>
    <row r="5109" spans="26:41" x14ac:dyDescent="0.25">
      <c r="Z5109"/>
      <c r="AO5109" s="6"/>
    </row>
    <row r="5110" spans="26:41" x14ac:dyDescent="0.25">
      <c r="Z5110"/>
      <c r="AO5110" s="6"/>
    </row>
    <row r="5111" spans="26:41" x14ac:dyDescent="0.25">
      <c r="Z5111"/>
      <c r="AO5111" s="6"/>
    </row>
    <row r="5112" spans="26:41" x14ac:dyDescent="0.25">
      <c r="Z5112"/>
      <c r="AO5112" s="6"/>
    </row>
    <row r="5113" spans="26:41" x14ac:dyDescent="0.25">
      <c r="Z5113"/>
      <c r="AO5113" s="6"/>
    </row>
    <row r="5114" spans="26:41" x14ac:dyDescent="0.25">
      <c r="Z5114"/>
      <c r="AO5114" s="6"/>
    </row>
    <row r="5115" spans="26:41" x14ac:dyDescent="0.25">
      <c r="Z5115"/>
      <c r="AO5115" s="6"/>
    </row>
    <row r="5116" spans="26:41" x14ac:dyDescent="0.25">
      <c r="Z5116"/>
      <c r="AO5116" s="6"/>
    </row>
    <row r="5117" spans="26:41" x14ac:dyDescent="0.25">
      <c r="Z5117"/>
      <c r="AO5117" s="6"/>
    </row>
    <row r="5118" spans="26:41" x14ac:dyDescent="0.25">
      <c r="Z5118"/>
      <c r="AO5118" s="6"/>
    </row>
    <row r="5119" spans="26:41" x14ac:dyDescent="0.25">
      <c r="Z5119"/>
      <c r="AO5119" s="6"/>
    </row>
    <row r="5120" spans="26:41" x14ac:dyDescent="0.25">
      <c r="Z5120"/>
      <c r="AO5120" s="6"/>
    </row>
    <row r="5121" spans="26:41" x14ac:dyDescent="0.25">
      <c r="Z5121"/>
      <c r="AO5121" s="6"/>
    </row>
    <row r="5122" spans="26:41" x14ac:dyDescent="0.25">
      <c r="Z5122"/>
      <c r="AO5122" s="6"/>
    </row>
    <row r="5123" spans="26:41" x14ac:dyDescent="0.25">
      <c r="Z5123"/>
      <c r="AO5123" s="6"/>
    </row>
    <row r="5124" spans="26:41" x14ac:dyDescent="0.25">
      <c r="Z5124"/>
      <c r="AO5124" s="6"/>
    </row>
    <row r="5125" spans="26:41" x14ac:dyDescent="0.25">
      <c r="Z5125"/>
      <c r="AO5125" s="6"/>
    </row>
    <row r="5126" spans="26:41" x14ac:dyDescent="0.25">
      <c r="Z5126"/>
      <c r="AO5126" s="6"/>
    </row>
    <row r="5127" spans="26:41" x14ac:dyDescent="0.25">
      <c r="Z5127"/>
      <c r="AO5127" s="6"/>
    </row>
    <row r="5128" spans="26:41" x14ac:dyDescent="0.25">
      <c r="Z5128"/>
      <c r="AO5128" s="6"/>
    </row>
    <row r="5129" spans="26:41" x14ac:dyDescent="0.25">
      <c r="Z5129"/>
      <c r="AO5129" s="6"/>
    </row>
    <row r="5130" spans="26:41" x14ac:dyDescent="0.25">
      <c r="Z5130"/>
      <c r="AO5130" s="6"/>
    </row>
    <row r="5131" spans="26:41" x14ac:dyDescent="0.25">
      <c r="Z5131"/>
      <c r="AO5131" s="6"/>
    </row>
    <row r="5132" spans="26:41" x14ac:dyDescent="0.25">
      <c r="Z5132"/>
      <c r="AO5132" s="6"/>
    </row>
    <row r="5133" spans="26:41" x14ac:dyDescent="0.25">
      <c r="Z5133"/>
      <c r="AO5133" s="6"/>
    </row>
    <row r="5134" spans="26:41" x14ac:dyDescent="0.25">
      <c r="Z5134"/>
      <c r="AO5134" s="6"/>
    </row>
    <row r="5135" spans="26:41" x14ac:dyDescent="0.25">
      <c r="Z5135"/>
      <c r="AO5135" s="6"/>
    </row>
    <row r="5136" spans="26:41" x14ac:dyDescent="0.25">
      <c r="Z5136"/>
      <c r="AO5136" s="6"/>
    </row>
    <row r="5137" spans="26:41" x14ac:dyDescent="0.25">
      <c r="Z5137"/>
      <c r="AO5137" s="6"/>
    </row>
    <row r="5138" spans="26:41" x14ac:dyDescent="0.25">
      <c r="Z5138"/>
      <c r="AO5138" s="6"/>
    </row>
    <row r="5139" spans="26:41" x14ac:dyDescent="0.25">
      <c r="Z5139"/>
      <c r="AO5139" s="6"/>
    </row>
    <row r="5140" spans="26:41" x14ac:dyDescent="0.25">
      <c r="Z5140"/>
      <c r="AO5140" s="6"/>
    </row>
    <row r="5141" spans="26:41" x14ac:dyDescent="0.25">
      <c r="Z5141"/>
      <c r="AO5141" s="6"/>
    </row>
    <row r="5142" spans="26:41" x14ac:dyDescent="0.25">
      <c r="Z5142"/>
      <c r="AO5142" s="6"/>
    </row>
    <row r="5143" spans="26:41" x14ac:dyDescent="0.25">
      <c r="Z5143"/>
      <c r="AO5143" s="6"/>
    </row>
    <row r="5144" spans="26:41" x14ac:dyDescent="0.25">
      <c r="Z5144"/>
      <c r="AO5144" s="6"/>
    </row>
    <row r="5145" spans="26:41" x14ac:dyDescent="0.25">
      <c r="Z5145"/>
      <c r="AO5145" s="6"/>
    </row>
    <row r="5146" spans="26:41" x14ac:dyDescent="0.25">
      <c r="Z5146"/>
      <c r="AO5146" s="6"/>
    </row>
    <row r="5147" spans="26:41" x14ac:dyDescent="0.25">
      <c r="Z5147"/>
      <c r="AO5147" s="6"/>
    </row>
    <row r="5148" spans="26:41" x14ac:dyDescent="0.25">
      <c r="Z5148"/>
      <c r="AO5148" s="6"/>
    </row>
    <row r="5149" spans="26:41" x14ac:dyDescent="0.25">
      <c r="Z5149"/>
      <c r="AO5149" s="6"/>
    </row>
    <row r="5150" spans="26:41" x14ac:dyDescent="0.25">
      <c r="Z5150"/>
      <c r="AO5150" s="6"/>
    </row>
    <row r="5151" spans="26:41" x14ac:dyDescent="0.25">
      <c r="Z5151"/>
      <c r="AO5151" s="6"/>
    </row>
    <row r="5152" spans="26:41" x14ac:dyDescent="0.25">
      <c r="Z5152"/>
      <c r="AO5152" s="6"/>
    </row>
    <row r="5153" spans="26:41" x14ac:dyDescent="0.25">
      <c r="Z5153"/>
      <c r="AO5153" s="6"/>
    </row>
    <row r="5154" spans="26:41" x14ac:dyDescent="0.25">
      <c r="Z5154"/>
      <c r="AO5154" s="6"/>
    </row>
    <row r="5155" spans="26:41" x14ac:dyDescent="0.25">
      <c r="Z5155"/>
      <c r="AO5155" s="6"/>
    </row>
    <row r="5156" spans="26:41" x14ac:dyDescent="0.25">
      <c r="Z5156"/>
      <c r="AO5156" s="6"/>
    </row>
    <row r="5157" spans="26:41" x14ac:dyDescent="0.25">
      <c r="Z5157"/>
      <c r="AO5157" s="6"/>
    </row>
    <row r="5158" spans="26:41" x14ac:dyDescent="0.25">
      <c r="Z5158"/>
      <c r="AO5158" s="6"/>
    </row>
    <row r="5159" spans="26:41" x14ac:dyDescent="0.25">
      <c r="Z5159"/>
      <c r="AO5159" s="6"/>
    </row>
    <row r="5160" spans="26:41" x14ac:dyDescent="0.25">
      <c r="Z5160"/>
      <c r="AO5160" s="6"/>
    </row>
    <row r="5161" spans="26:41" x14ac:dyDescent="0.25">
      <c r="Z5161"/>
      <c r="AO5161" s="6"/>
    </row>
    <row r="5162" spans="26:41" x14ac:dyDescent="0.25">
      <c r="Z5162"/>
      <c r="AO5162" s="6"/>
    </row>
    <row r="5163" spans="26:41" x14ac:dyDescent="0.25">
      <c r="Z5163"/>
      <c r="AO5163" s="6"/>
    </row>
    <row r="5164" spans="26:41" x14ac:dyDescent="0.25">
      <c r="Z5164"/>
      <c r="AO5164" s="6"/>
    </row>
    <row r="5165" spans="26:41" x14ac:dyDescent="0.25">
      <c r="Z5165"/>
      <c r="AO5165" s="6"/>
    </row>
    <row r="5166" spans="26:41" x14ac:dyDescent="0.25">
      <c r="Z5166"/>
      <c r="AO5166" s="6"/>
    </row>
    <row r="5167" spans="26:41" x14ac:dyDescent="0.25">
      <c r="Z5167"/>
      <c r="AO5167" s="6"/>
    </row>
    <row r="5168" spans="26:41" x14ac:dyDescent="0.25">
      <c r="Z5168"/>
      <c r="AO5168" s="6"/>
    </row>
    <row r="5169" spans="26:41" x14ac:dyDescent="0.25">
      <c r="Z5169"/>
      <c r="AO5169" s="6"/>
    </row>
    <row r="5170" spans="26:41" x14ac:dyDescent="0.25">
      <c r="Z5170"/>
      <c r="AO5170" s="6"/>
    </row>
    <row r="5171" spans="26:41" x14ac:dyDescent="0.25">
      <c r="Z5171"/>
      <c r="AO5171" s="6"/>
    </row>
    <row r="5172" spans="26:41" x14ac:dyDescent="0.25">
      <c r="Z5172"/>
      <c r="AO5172" s="6"/>
    </row>
    <row r="5173" spans="26:41" x14ac:dyDescent="0.25">
      <c r="Z5173"/>
      <c r="AO5173" s="6"/>
    </row>
    <row r="5174" spans="26:41" x14ac:dyDescent="0.25">
      <c r="Z5174"/>
      <c r="AO5174" s="6"/>
    </row>
    <row r="5175" spans="26:41" x14ac:dyDescent="0.25">
      <c r="Z5175"/>
      <c r="AO5175" s="6"/>
    </row>
    <row r="5176" spans="26:41" x14ac:dyDescent="0.25">
      <c r="Z5176"/>
      <c r="AO5176" s="6"/>
    </row>
    <row r="5177" spans="26:41" x14ac:dyDescent="0.25">
      <c r="Z5177"/>
      <c r="AO5177" s="6"/>
    </row>
    <row r="5178" spans="26:41" x14ac:dyDescent="0.25">
      <c r="Z5178"/>
      <c r="AO5178" s="6"/>
    </row>
    <row r="5179" spans="26:41" x14ac:dyDescent="0.25">
      <c r="Z5179"/>
      <c r="AO5179" s="6"/>
    </row>
    <row r="5180" spans="26:41" x14ac:dyDescent="0.25">
      <c r="Z5180"/>
      <c r="AO5180" s="6"/>
    </row>
    <row r="5181" spans="26:41" x14ac:dyDescent="0.25">
      <c r="Z5181"/>
      <c r="AO5181" s="6"/>
    </row>
    <row r="5182" spans="26:41" x14ac:dyDescent="0.25">
      <c r="Z5182"/>
      <c r="AO5182" s="6"/>
    </row>
    <row r="5183" spans="26:41" x14ac:dyDescent="0.25">
      <c r="Z5183"/>
      <c r="AO5183" s="6"/>
    </row>
    <row r="5184" spans="26:41" x14ac:dyDescent="0.25">
      <c r="Z5184"/>
      <c r="AO5184" s="6"/>
    </row>
    <row r="5185" spans="26:41" x14ac:dyDescent="0.25">
      <c r="Z5185"/>
      <c r="AO5185" s="6"/>
    </row>
    <row r="5186" spans="26:41" x14ac:dyDescent="0.25">
      <c r="Z5186"/>
      <c r="AO5186" s="6"/>
    </row>
    <row r="5187" spans="26:41" x14ac:dyDescent="0.25">
      <c r="Z5187"/>
      <c r="AO5187" s="6"/>
    </row>
    <row r="5188" spans="26:41" x14ac:dyDescent="0.25">
      <c r="Z5188"/>
      <c r="AO5188" s="6"/>
    </row>
    <row r="5189" spans="26:41" x14ac:dyDescent="0.25">
      <c r="Z5189"/>
      <c r="AO5189" s="6"/>
    </row>
    <row r="5190" spans="26:41" x14ac:dyDescent="0.25">
      <c r="Z5190"/>
      <c r="AO5190" s="6"/>
    </row>
    <row r="5191" spans="26:41" x14ac:dyDescent="0.25">
      <c r="Z5191"/>
      <c r="AO5191" s="6"/>
    </row>
    <row r="5192" spans="26:41" x14ac:dyDescent="0.25">
      <c r="Z5192"/>
      <c r="AO5192" s="6"/>
    </row>
    <row r="5193" spans="26:41" x14ac:dyDescent="0.25">
      <c r="Z5193"/>
      <c r="AO5193" s="6"/>
    </row>
    <row r="5194" spans="26:41" x14ac:dyDescent="0.25">
      <c r="Z5194"/>
      <c r="AO5194" s="6"/>
    </row>
    <row r="5195" spans="26:41" x14ac:dyDescent="0.25">
      <c r="Z5195"/>
      <c r="AO5195" s="6"/>
    </row>
    <row r="5196" spans="26:41" x14ac:dyDescent="0.25">
      <c r="Z5196"/>
      <c r="AO5196" s="6"/>
    </row>
    <row r="5197" spans="26:41" x14ac:dyDescent="0.25">
      <c r="Z5197"/>
      <c r="AO5197" s="6"/>
    </row>
    <row r="5198" spans="26:41" x14ac:dyDescent="0.25">
      <c r="Z5198"/>
      <c r="AO5198" s="6"/>
    </row>
    <row r="5199" spans="26:41" x14ac:dyDescent="0.25">
      <c r="Z5199"/>
      <c r="AO5199" s="6"/>
    </row>
    <row r="5200" spans="26:41" x14ac:dyDescent="0.25">
      <c r="Z5200"/>
      <c r="AO5200" s="6"/>
    </row>
    <row r="5201" spans="26:41" x14ac:dyDescent="0.25">
      <c r="Z5201"/>
      <c r="AO5201" s="6"/>
    </row>
    <row r="5202" spans="26:41" x14ac:dyDescent="0.25">
      <c r="Z5202"/>
      <c r="AO5202" s="6"/>
    </row>
    <row r="5203" spans="26:41" x14ac:dyDescent="0.25">
      <c r="Z5203"/>
      <c r="AO5203" s="6"/>
    </row>
    <row r="5204" spans="26:41" x14ac:dyDescent="0.25">
      <c r="Z5204"/>
      <c r="AO5204" s="6"/>
    </row>
    <row r="5205" spans="26:41" x14ac:dyDescent="0.25">
      <c r="Z5205"/>
      <c r="AO5205" s="6"/>
    </row>
    <row r="5206" spans="26:41" x14ac:dyDescent="0.25">
      <c r="Z5206"/>
      <c r="AO5206" s="6"/>
    </row>
    <row r="5207" spans="26:41" x14ac:dyDescent="0.25">
      <c r="Z5207"/>
      <c r="AO5207" s="6"/>
    </row>
    <row r="5208" spans="26:41" x14ac:dyDescent="0.25">
      <c r="Z5208"/>
      <c r="AO5208" s="6"/>
    </row>
    <row r="5209" spans="26:41" x14ac:dyDescent="0.25">
      <c r="Z5209"/>
      <c r="AO5209" s="6"/>
    </row>
    <row r="5210" spans="26:41" x14ac:dyDescent="0.25">
      <c r="Z5210"/>
      <c r="AO5210" s="6"/>
    </row>
    <row r="5211" spans="26:41" x14ac:dyDescent="0.25">
      <c r="Z5211"/>
      <c r="AO5211" s="6"/>
    </row>
    <row r="5212" spans="26:41" x14ac:dyDescent="0.25">
      <c r="Z5212"/>
      <c r="AO5212" s="6"/>
    </row>
    <row r="5213" spans="26:41" x14ac:dyDescent="0.25">
      <c r="Z5213"/>
      <c r="AO5213" s="6"/>
    </row>
    <row r="5214" spans="26:41" x14ac:dyDescent="0.25">
      <c r="Z5214"/>
      <c r="AO5214" s="6"/>
    </row>
    <row r="5215" spans="26:41" x14ac:dyDescent="0.25">
      <c r="Z5215"/>
      <c r="AO5215" s="6"/>
    </row>
    <row r="5216" spans="26:41" x14ac:dyDescent="0.25">
      <c r="Z5216"/>
      <c r="AO5216" s="6"/>
    </row>
    <row r="5217" spans="26:41" x14ac:dyDescent="0.25">
      <c r="Z5217"/>
      <c r="AO5217" s="6"/>
    </row>
    <row r="5218" spans="26:41" x14ac:dyDescent="0.25">
      <c r="Z5218"/>
      <c r="AO5218" s="6"/>
    </row>
    <row r="5219" spans="26:41" x14ac:dyDescent="0.25">
      <c r="Z5219"/>
      <c r="AO5219" s="6"/>
    </row>
    <row r="5220" spans="26:41" x14ac:dyDescent="0.25">
      <c r="Z5220"/>
      <c r="AO5220" s="6"/>
    </row>
    <row r="5221" spans="26:41" x14ac:dyDescent="0.25">
      <c r="Z5221"/>
      <c r="AO5221" s="6"/>
    </row>
    <row r="5222" spans="26:41" x14ac:dyDescent="0.25">
      <c r="Z5222"/>
      <c r="AO5222" s="6"/>
    </row>
    <row r="5223" spans="26:41" x14ac:dyDescent="0.25">
      <c r="Z5223"/>
      <c r="AO5223" s="6"/>
    </row>
    <row r="5224" spans="26:41" x14ac:dyDescent="0.25">
      <c r="Z5224"/>
      <c r="AO5224" s="6"/>
    </row>
    <row r="5225" spans="26:41" x14ac:dyDescent="0.25">
      <c r="Z5225"/>
      <c r="AO5225" s="6"/>
    </row>
    <row r="5226" spans="26:41" x14ac:dyDescent="0.25">
      <c r="Z5226"/>
      <c r="AO5226" s="6"/>
    </row>
    <row r="5227" spans="26:41" x14ac:dyDescent="0.25">
      <c r="Z5227"/>
      <c r="AO5227" s="6"/>
    </row>
    <row r="5228" spans="26:41" x14ac:dyDescent="0.25">
      <c r="Z5228"/>
      <c r="AO5228" s="6"/>
    </row>
    <row r="5229" spans="26:41" x14ac:dyDescent="0.25">
      <c r="Z5229"/>
      <c r="AO5229" s="6"/>
    </row>
    <row r="5230" spans="26:41" x14ac:dyDescent="0.25">
      <c r="Z5230"/>
      <c r="AO5230" s="6"/>
    </row>
    <row r="5231" spans="26:41" x14ac:dyDescent="0.25">
      <c r="Z5231"/>
      <c r="AO5231" s="6"/>
    </row>
    <row r="5232" spans="26:41" x14ac:dyDescent="0.25">
      <c r="Z5232"/>
      <c r="AO5232" s="6"/>
    </row>
    <row r="5233" spans="26:41" x14ac:dyDescent="0.25">
      <c r="Z5233"/>
      <c r="AO5233" s="6"/>
    </row>
    <row r="5234" spans="26:41" x14ac:dyDescent="0.25">
      <c r="Z5234"/>
      <c r="AO5234" s="6"/>
    </row>
    <row r="5235" spans="26:41" x14ac:dyDescent="0.25">
      <c r="Z5235"/>
      <c r="AO5235" s="6"/>
    </row>
    <row r="5236" spans="26:41" x14ac:dyDescent="0.25">
      <c r="Z5236"/>
      <c r="AO5236" s="6"/>
    </row>
    <row r="5237" spans="26:41" x14ac:dyDescent="0.25">
      <c r="Z5237"/>
      <c r="AO5237" s="6"/>
    </row>
    <row r="5238" spans="26:41" x14ac:dyDescent="0.25">
      <c r="Z5238"/>
      <c r="AO5238" s="6"/>
    </row>
    <row r="5239" spans="26:41" x14ac:dyDescent="0.25">
      <c r="Z5239"/>
      <c r="AO5239" s="6"/>
    </row>
    <row r="5240" spans="26:41" x14ac:dyDescent="0.25">
      <c r="Z5240"/>
      <c r="AO5240" s="6"/>
    </row>
    <row r="5241" spans="26:41" x14ac:dyDescent="0.25">
      <c r="Z5241"/>
      <c r="AO5241" s="6"/>
    </row>
    <row r="5242" spans="26:41" x14ac:dyDescent="0.25">
      <c r="Z5242"/>
      <c r="AO5242" s="6"/>
    </row>
    <row r="5243" spans="26:41" x14ac:dyDescent="0.25">
      <c r="Z5243"/>
      <c r="AO5243" s="6"/>
    </row>
    <row r="5244" spans="26:41" x14ac:dyDescent="0.25">
      <c r="Z5244"/>
      <c r="AO5244" s="6"/>
    </row>
    <row r="5245" spans="26:41" x14ac:dyDescent="0.25">
      <c r="Z5245"/>
      <c r="AO5245" s="6"/>
    </row>
    <row r="5246" spans="26:41" x14ac:dyDescent="0.25">
      <c r="Z5246"/>
      <c r="AO5246" s="6"/>
    </row>
    <row r="5247" spans="26:41" x14ac:dyDescent="0.25">
      <c r="Z5247"/>
      <c r="AO5247" s="6"/>
    </row>
    <row r="5248" spans="26:41" x14ac:dyDescent="0.25">
      <c r="Z5248"/>
      <c r="AO5248" s="6"/>
    </row>
    <row r="5249" spans="26:41" x14ac:dyDescent="0.25">
      <c r="Z5249"/>
      <c r="AO5249" s="6"/>
    </row>
    <row r="5250" spans="26:41" x14ac:dyDescent="0.25">
      <c r="Z5250"/>
      <c r="AO5250" s="6"/>
    </row>
    <row r="5251" spans="26:41" x14ac:dyDescent="0.25">
      <c r="Z5251"/>
      <c r="AO5251" s="6"/>
    </row>
    <row r="5252" spans="26:41" x14ac:dyDescent="0.25">
      <c r="Z5252"/>
      <c r="AO5252" s="6"/>
    </row>
    <row r="5253" spans="26:41" x14ac:dyDescent="0.25">
      <c r="Z5253"/>
      <c r="AO5253" s="6"/>
    </row>
    <row r="5254" spans="26:41" x14ac:dyDescent="0.25">
      <c r="Z5254"/>
      <c r="AO5254" s="6"/>
    </row>
    <row r="5255" spans="26:41" x14ac:dyDescent="0.25">
      <c r="Z5255"/>
      <c r="AO5255" s="6"/>
    </row>
    <row r="5256" spans="26:41" x14ac:dyDescent="0.25">
      <c r="Z5256"/>
      <c r="AO5256" s="6"/>
    </row>
    <row r="5257" spans="26:41" x14ac:dyDescent="0.25">
      <c r="Z5257"/>
      <c r="AO5257" s="6"/>
    </row>
    <row r="5258" spans="26:41" x14ac:dyDescent="0.25">
      <c r="Z5258"/>
      <c r="AO5258" s="6"/>
    </row>
    <row r="5259" spans="26:41" x14ac:dyDescent="0.25">
      <c r="Z5259"/>
      <c r="AO5259" s="6"/>
    </row>
    <row r="5260" spans="26:41" x14ac:dyDescent="0.25">
      <c r="Z5260"/>
      <c r="AO5260" s="6"/>
    </row>
    <row r="5261" spans="26:41" x14ac:dyDescent="0.25">
      <c r="Z5261"/>
      <c r="AO5261" s="6"/>
    </row>
    <row r="5262" spans="26:41" x14ac:dyDescent="0.25">
      <c r="Z5262"/>
      <c r="AO5262" s="6"/>
    </row>
    <row r="5263" spans="26:41" x14ac:dyDescent="0.25">
      <c r="Z5263"/>
      <c r="AO5263" s="6"/>
    </row>
    <row r="5264" spans="26:41" x14ac:dyDescent="0.25">
      <c r="Z5264"/>
      <c r="AO5264" s="6"/>
    </row>
    <row r="5265" spans="26:41" x14ac:dyDescent="0.25">
      <c r="Z5265"/>
      <c r="AO5265" s="6"/>
    </row>
    <row r="5266" spans="26:41" x14ac:dyDescent="0.25">
      <c r="Z5266"/>
      <c r="AO5266" s="6"/>
    </row>
    <row r="5267" spans="26:41" x14ac:dyDescent="0.25">
      <c r="Z5267"/>
      <c r="AO5267" s="6"/>
    </row>
    <row r="5268" spans="26:41" x14ac:dyDescent="0.25">
      <c r="Z5268"/>
      <c r="AO5268" s="6"/>
    </row>
    <row r="5269" spans="26:41" x14ac:dyDescent="0.25">
      <c r="Z5269"/>
      <c r="AO5269" s="6"/>
    </row>
    <row r="5270" spans="26:41" x14ac:dyDescent="0.25">
      <c r="Z5270"/>
      <c r="AO5270" s="6"/>
    </row>
    <row r="5271" spans="26:41" x14ac:dyDescent="0.25">
      <c r="Z5271"/>
      <c r="AO5271" s="6"/>
    </row>
    <row r="5272" spans="26:41" x14ac:dyDescent="0.25">
      <c r="Z5272"/>
      <c r="AO5272" s="6"/>
    </row>
    <row r="5273" spans="26:41" x14ac:dyDescent="0.25">
      <c r="Z5273"/>
      <c r="AO5273" s="6"/>
    </row>
    <row r="5274" spans="26:41" x14ac:dyDescent="0.25">
      <c r="Z5274"/>
      <c r="AO5274" s="6"/>
    </row>
    <row r="5275" spans="26:41" x14ac:dyDescent="0.25">
      <c r="Z5275"/>
      <c r="AO5275" s="6"/>
    </row>
    <row r="5276" spans="26:41" x14ac:dyDescent="0.25">
      <c r="Z5276"/>
      <c r="AO5276" s="6"/>
    </row>
    <row r="5277" spans="26:41" x14ac:dyDescent="0.25">
      <c r="Z5277"/>
      <c r="AO5277" s="6"/>
    </row>
    <row r="5278" spans="26:41" x14ac:dyDescent="0.25">
      <c r="Z5278"/>
      <c r="AO5278" s="6"/>
    </row>
    <row r="5279" spans="26:41" x14ac:dyDescent="0.25">
      <c r="Z5279"/>
      <c r="AO5279" s="6"/>
    </row>
    <row r="5280" spans="26:41" x14ac:dyDescent="0.25">
      <c r="Z5280"/>
      <c r="AO5280" s="6"/>
    </row>
    <row r="5281" spans="26:41" x14ac:dyDescent="0.25">
      <c r="Z5281"/>
      <c r="AO5281" s="6"/>
    </row>
    <row r="5282" spans="26:41" x14ac:dyDescent="0.25">
      <c r="Z5282"/>
      <c r="AO5282" s="6"/>
    </row>
    <row r="5283" spans="26:41" x14ac:dyDescent="0.25">
      <c r="Z5283"/>
      <c r="AO5283" s="6"/>
    </row>
    <row r="5284" spans="26:41" x14ac:dyDescent="0.25">
      <c r="Z5284"/>
      <c r="AO5284" s="6"/>
    </row>
    <row r="5285" spans="26:41" x14ac:dyDescent="0.25">
      <c r="Z5285"/>
      <c r="AO5285" s="6"/>
    </row>
    <row r="5286" spans="26:41" x14ac:dyDescent="0.25">
      <c r="Z5286"/>
      <c r="AO5286" s="6"/>
    </row>
    <row r="5287" spans="26:41" x14ac:dyDescent="0.25">
      <c r="Z5287"/>
      <c r="AO5287" s="6"/>
    </row>
    <row r="5288" spans="26:41" x14ac:dyDescent="0.25">
      <c r="Z5288"/>
      <c r="AO5288" s="6"/>
    </row>
    <row r="5289" spans="26:41" x14ac:dyDescent="0.25">
      <c r="Z5289"/>
      <c r="AO5289" s="6"/>
    </row>
    <row r="5290" spans="26:41" x14ac:dyDescent="0.25">
      <c r="Z5290"/>
      <c r="AO5290" s="6"/>
    </row>
    <row r="5291" spans="26:41" x14ac:dyDescent="0.25">
      <c r="Z5291"/>
      <c r="AO5291" s="6"/>
    </row>
    <row r="5292" spans="26:41" x14ac:dyDescent="0.25">
      <c r="Z5292"/>
      <c r="AO5292" s="6"/>
    </row>
    <row r="5293" spans="26:41" x14ac:dyDescent="0.25">
      <c r="Z5293"/>
      <c r="AO5293" s="6"/>
    </row>
    <row r="5294" spans="26:41" x14ac:dyDescent="0.25">
      <c r="Z5294"/>
      <c r="AO5294" s="6"/>
    </row>
    <row r="5295" spans="26:41" x14ac:dyDescent="0.25">
      <c r="Z5295"/>
      <c r="AO5295" s="6"/>
    </row>
    <row r="5296" spans="26:41" x14ac:dyDescent="0.25">
      <c r="Z5296"/>
      <c r="AO5296" s="6"/>
    </row>
    <row r="5297" spans="26:41" x14ac:dyDescent="0.25">
      <c r="Z5297"/>
      <c r="AO5297" s="6"/>
    </row>
    <row r="5298" spans="26:41" x14ac:dyDescent="0.25">
      <c r="Z5298"/>
      <c r="AO5298" s="6"/>
    </row>
    <row r="5299" spans="26:41" x14ac:dyDescent="0.25">
      <c r="Z5299"/>
      <c r="AO5299" s="6"/>
    </row>
    <row r="5300" spans="26:41" x14ac:dyDescent="0.25">
      <c r="Z5300"/>
      <c r="AO5300" s="6"/>
    </row>
    <row r="5301" spans="26:41" x14ac:dyDescent="0.25">
      <c r="Z5301"/>
      <c r="AO5301" s="6"/>
    </row>
    <row r="5302" spans="26:41" x14ac:dyDescent="0.25">
      <c r="Z5302"/>
      <c r="AO5302" s="6"/>
    </row>
    <row r="5303" spans="26:41" x14ac:dyDescent="0.25">
      <c r="Z5303"/>
      <c r="AO5303" s="6"/>
    </row>
    <row r="5304" spans="26:41" x14ac:dyDescent="0.25">
      <c r="Z5304"/>
      <c r="AO5304" s="6"/>
    </row>
    <row r="5305" spans="26:41" x14ac:dyDescent="0.25">
      <c r="Z5305"/>
      <c r="AO5305" s="6"/>
    </row>
    <row r="5306" spans="26:41" x14ac:dyDescent="0.25">
      <c r="Z5306"/>
      <c r="AO5306" s="6"/>
    </row>
    <row r="5307" spans="26:41" x14ac:dyDescent="0.25">
      <c r="Z5307"/>
      <c r="AO5307" s="6"/>
    </row>
    <row r="5308" spans="26:41" x14ac:dyDescent="0.25">
      <c r="Z5308"/>
      <c r="AO5308" s="6"/>
    </row>
    <row r="5309" spans="26:41" x14ac:dyDescent="0.25">
      <c r="Z5309"/>
      <c r="AO5309" s="6"/>
    </row>
    <row r="5310" spans="26:41" x14ac:dyDescent="0.25">
      <c r="Z5310"/>
      <c r="AO5310" s="6"/>
    </row>
    <row r="5311" spans="26:41" x14ac:dyDescent="0.25">
      <c r="Z5311"/>
      <c r="AO5311" s="6"/>
    </row>
    <row r="5312" spans="26:41" x14ac:dyDescent="0.25">
      <c r="Z5312"/>
      <c r="AO5312" s="6"/>
    </row>
    <row r="5313" spans="26:41" x14ac:dyDescent="0.25">
      <c r="Z5313"/>
      <c r="AO5313" s="6"/>
    </row>
    <row r="5314" spans="26:41" x14ac:dyDescent="0.25">
      <c r="Z5314"/>
      <c r="AO5314" s="6"/>
    </row>
    <row r="5315" spans="26:41" x14ac:dyDescent="0.25">
      <c r="Z5315"/>
      <c r="AO5315" s="6"/>
    </row>
    <row r="5316" spans="26:41" x14ac:dyDescent="0.25">
      <c r="Z5316"/>
      <c r="AO5316" s="6"/>
    </row>
    <row r="5317" spans="26:41" x14ac:dyDescent="0.25">
      <c r="Z5317"/>
      <c r="AO5317" s="6"/>
    </row>
    <row r="5318" spans="26:41" x14ac:dyDescent="0.25">
      <c r="Z5318"/>
      <c r="AO5318" s="6"/>
    </row>
    <row r="5319" spans="26:41" x14ac:dyDescent="0.25">
      <c r="Z5319"/>
      <c r="AO5319" s="6"/>
    </row>
    <row r="5320" spans="26:41" x14ac:dyDescent="0.25">
      <c r="Z5320"/>
      <c r="AO5320" s="6"/>
    </row>
    <row r="5321" spans="26:41" x14ac:dyDescent="0.25">
      <c r="Z5321"/>
      <c r="AO5321" s="6"/>
    </row>
    <row r="5322" spans="26:41" x14ac:dyDescent="0.25">
      <c r="Z5322"/>
      <c r="AO5322" s="6"/>
    </row>
    <row r="5323" spans="26:41" x14ac:dyDescent="0.25">
      <c r="Z5323"/>
      <c r="AO5323" s="6"/>
    </row>
    <row r="5324" spans="26:41" x14ac:dyDescent="0.25">
      <c r="Z5324"/>
      <c r="AO5324" s="6"/>
    </row>
    <row r="5325" spans="26:41" x14ac:dyDescent="0.25">
      <c r="Z5325"/>
      <c r="AO5325" s="6"/>
    </row>
    <row r="5326" spans="26:41" x14ac:dyDescent="0.25">
      <c r="Z5326"/>
      <c r="AO5326" s="6"/>
    </row>
    <row r="5327" spans="26:41" x14ac:dyDescent="0.25">
      <c r="Z5327"/>
      <c r="AO5327" s="6"/>
    </row>
    <row r="5328" spans="26:41" x14ac:dyDescent="0.25">
      <c r="Z5328"/>
      <c r="AO5328" s="6"/>
    </row>
    <row r="5329" spans="26:41" x14ac:dyDescent="0.25">
      <c r="Z5329"/>
      <c r="AO5329" s="6"/>
    </row>
    <row r="5330" spans="26:41" x14ac:dyDescent="0.25">
      <c r="Z5330"/>
      <c r="AO5330" s="6"/>
    </row>
    <row r="5331" spans="26:41" x14ac:dyDescent="0.25">
      <c r="Z5331"/>
      <c r="AO5331" s="6"/>
    </row>
    <row r="5332" spans="26:41" x14ac:dyDescent="0.25">
      <c r="Z5332"/>
      <c r="AO5332" s="6"/>
    </row>
    <row r="5333" spans="26:41" x14ac:dyDescent="0.25">
      <c r="Z5333"/>
      <c r="AO5333" s="6"/>
    </row>
    <row r="5334" spans="26:41" x14ac:dyDescent="0.25">
      <c r="Z5334"/>
      <c r="AO5334" s="6"/>
    </row>
    <row r="5335" spans="26:41" x14ac:dyDescent="0.25">
      <c r="Z5335"/>
      <c r="AO5335" s="6"/>
    </row>
    <row r="5336" spans="26:41" x14ac:dyDescent="0.25">
      <c r="Z5336"/>
      <c r="AO5336" s="6"/>
    </row>
    <row r="5337" spans="26:41" x14ac:dyDescent="0.25">
      <c r="Z5337"/>
      <c r="AO5337" s="6"/>
    </row>
    <row r="5338" spans="26:41" x14ac:dyDescent="0.25">
      <c r="Z5338"/>
      <c r="AO5338" s="6"/>
    </row>
    <row r="5339" spans="26:41" x14ac:dyDescent="0.25">
      <c r="Z5339"/>
      <c r="AO5339" s="6"/>
    </row>
    <row r="5340" spans="26:41" x14ac:dyDescent="0.25">
      <c r="Z5340"/>
      <c r="AO5340" s="6"/>
    </row>
    <row r="5341" spans="26:41" x14ac:dyDescent="0.25">
      <c r="Z5341"/>
      <c r="AO5341" s="6"/>
    </row>
    <row r="5342" spans="26:41" x14ac:dyDescent="0.25">
      <c r="Z5342"/>
      <c r="AO5342" s="6"/>
    </row>
    <row r="5343" spans="26:41" x14ac:dyDescent="0.25">
      <c r="Z5343"/>
      <c r="AO5343" s="6"/>
    </row>
    <row r="5344" spans="26:41" x14ac:dyDescent="0.25">
      <c r="Z5344"/>
      <c r="AO5344" s="6"/>
    </row>
    <row r="5345" spans="26:41" x14ac:dyDescent="0.25">
      <c r="Z5345"/>
      <c r="AO5345" s="6"/>
    </row>
    <row r="5346" spans="26:41" x14ac:dyDescent="0.25">
      <c r="Z5346"/>
      <c r="AO5346" s="6"/>
    </row>
    <row r="5347" spans="26:41" x14ac:dyDescent="0.25">
      <c r="Z5347"/>
      <c r="AO5347" s="6"/>
    </row>
    <row r="5348" spans="26:41" x14ac:dyDescent="0.25">
      <c r="Z5348"/>
      <c r="AO5348" s="6"/>
    </row>
    <row r="5349" spans="26:41" x14ac:dyDescent="0.25">
      <c r="Z5349"/>
      <c r="AO5349" s="6"/>
    </row>
    <row r="5350" spans="26:41" x14ac:dyDescent="0.25">
      <c r="Z5350"/>
      <c r="AO5350" s="6"/>
    </row>
    <row r="5351" spans="26:41" x14ac:dyDescent="0.25">
      <c r="Z5351"/>
      <c r="AO5351" s="6"/>
    </row>
    <row r="5352" spans="26:41" x14ac:dyDescent="0.25">
      <c r="Z5352"/>
      <c r="AO5352" s="6"/>
    </row>
    <row r="5353" spans="26:41" x14ac:dyDescent="0.25">
      <c r="Z5353"/>
      <c r="AO5353" s="6"/>
    </row>
    <row r="5354" spans="26:41" x14ac:dyDescent="0.25">
      <c r="Z5354"/>
      <c r="AO5354" s="6"/>
    </row>
    <row r="5355" spans="26:41" x14ac:dyDescent="0.25">
      <c r="Z5355"/>
      <c r="AO5355" s="6"/>
    </row>
    <row r="5356" spans="26:41" x14ac:dyDescent="0.25">
      <c r="Z5356"/>
      <c r="AO5356" s="6"/>
    </row>
    <row r="5357" spans="26:41" x14ac:dyDescent="0.25">
      <c r="Z5357"/>
      <c r="AO5357" s="6"/>
    </row>
    <row r="5358" spans="26:41" x14ac:dyDescent="0.25">
      <c r="Z5358"/>
      <c r="AO5358" s="6"/>
    </row>
    <row r="5359" spans="26:41" x14ac:dyDescent="0.25">
      <c r="Z5359"/>
      <c r="AO5359" s="6"/>
    </row>
    <row r="5360" spans="26:41" x14ac:dyDescent="0.25">
      <c r="Z5360"/>
      <c r="AO5360" s="6"/>
    </row>
    <row r="5361" spans="26:41" x14ac:dyDescent="0.25">
      <c r="Z5361"/>
      <c r="AO5361" s="6"/>
    </row>
    <row r="5362" spans="26:41" x14ac:dyDescent="0.25">
      <c r="Z5362"/>
      <c r="AO5362" s="6"/>
    </row>
    <row r="5363" spans="26:41" x14ac:dyDescent="0.25">
      <c r="Z5363"/>
      <c r="AO5363" s="6"/>
    </row>
    <row r="5364" spans="26:41" x14ac:dyDescent="0.25">
      <c r="Z5364"/>
      <c r="AO5364" s="6"/>
    </row>
    <row r="5365" spans="26:41" x14ac:dyDescent="0.25">
      <c r="Z5365"/>
      <c r="AO5365" s="6"/>
    </row>
    <row r="5366" spans="26:41" x14ac:dyDescent="0.25">
      <c r="Z5366"/>
      <c r="AO5366" s="6"/>
    </row>
    <row r="5367" spans="26:41" x14ac:dyDescent="0.25">
      <c r="Z5367"/>
      <c r="AO5367" s="6"/>
    </row>
    <row r="5368" spans="26:41" x14ac:dyDescent="0.25">
      <c r="Z5368"/>
      <c r="AO5368" s="6"/>
    </row>
    <row r="5369" spans="26:41" x14ac:dyDescent="0.25">
      <c r="Z5369"/>
      <c r="AO5369" s="6"/>
    </row>
    <row r="5370" spans="26:41" x14ac:dyDescent="0.25">
      <c r="Z5370"/>
      <c r="AO5370" s="6"/>
    </row>
    <row r="5371" spans="26:41" x14ac:dyDescent="0.25">
      <c r="Z5371"/>
      <c r="AO5371" s="6"/>
    </row>
    <row r="5372" spans="26:41" x14ac:dyDescent="0.25">
      <c r="Z5372"/>
      <c r="AO5372" s="6"/>
    </row>
    <row r="5373" spans="26:41" x14ac:dyDescent="0.25">
      <c r="Z5373"/>
      <c r="AO5373" s="6"/>
    </row>
    <row r="5374" spans="26:41" x14ac:dyDescent="0.25">
      <c r="Z5374"/>
      <c r="AO5374" s="6"/>
    </row>
    <row r="5375" spans="26:41" x14ac:dyDescent="0.25">
      <c r="Z5375"/>
      <c r="AO5375" s="6"/>
    </row>
    <row r="5376" spans="26:41" x14ac:dyDescent="0.25">
      <c r="Z5376"/>
      <c r="AO5376" s="6"/>
    </row>
    <row r="5377" spans="26:41" x14ac:dyDescent="0.25">
      <c r="Z5377"/>
      <c r="AO5377" s="6"/>
    </row>
    <row r="5378" spans="26:41" x14ac:dyDescent="0.25">
      <c r="Z5378"/>
      <c r="AO5378" s="6"/>
    </row>
    <row r="5379" spans="26:41" x14ac:dyDescent="0.25">
      <c r="Z5379"/>
      <c r="AO5379" s="6"/>
    </row>
    <row r="5380" spans="26:41" x14ac:dyDescent="0.25">
      <c r="Z5380"/>
      <c r="AO5380" s="6"/>
    </row>
    <row r="5381" spans="26:41" x14ac:dyDescent="0.25">
      <c r="Z5381"/>
      <c r="AO5381" s="6"/>
    </row>
    <row r="5382" spans="26:41" x14ac:dyDescent="0.25">
      <c r="Z5382"/>
      <c r="AO5382" s="6"/>
    </row>
    <row r="5383" spans="26:41" x14ac:dyDescent="0.25">
      <c r="Z5383"/>
      <c r="AO5383" s="6"/>
    </row>
    <row r="5384" spans="26:41" x14ac:dyDescent="0.25">
      <c r="Z5384"/>
      <c r="AO5384" s="6"/>
    </row>
    <row r="5385" spans="26:41" x14ac:dyDescent="0.25">
      <c r="Z5385"/>
      <c r="AO5385" s="6"/>
    </row>
    <row r="5386" spans="26:41" x14ac:dyDescent="0.25">
      <c r="Z5386"/>
      <c r="AO5386" s="6"/>
    </row>
    <row r="5387" spans="26:41" x14ac:dyDescent="0.25">
      <c r="Z5387"/>
      <c r="AO5387" s="6"/>
    </row>
    <row r="5388" spans="26:41" x14ac:dyDescent="0.25">
      <c r="Z5388"/>
      <c r="AO5388" s="6"/>
    </row>
    <row r="5389" spans="26:41" x14ac:dyDescent="0.25">
      <c r="Z5389"/>
      <c r="AO5389" s="6"/>
    </row>
    <row r="5390" spans="26:41" x14ac:dyDescent="0.25">
      <c r="Z5390"/>
      <c r="AO5390" s="6"/>
    </row>
    <row r="5391" spans="26:41" x14ac:dyDescent="0.25">
      <c r="Z5391"/>
      <c r="AO5391" s="6"/>
    </row>
    <row r="5392" spans="26:41" x14ac:dyDescent="0.25">
      <c r="Z5392"/>
      <c r="AO5392" s="6"/>
    </row>
    <row r="5393" spans="26:41" x14ac:dyDescent="0.25">
      <c r="Z5393"/>
      <c r="AO5393" s="6"/>
    </row>
    <row r="5394" spans="26:41" x14ac:dyDescent="0.25">
      <c r="Z5394"/>
      <c r="AO5394" s="6"/>
    </row>
    <row r="5395" spans="26:41" x14ac:dyDescent="0.25">
      <c r="Z5395"/>
      <c r="AO5395" s="6"/>
    </row>
    <row r="5396" spans="26:41" x14ac:dyDescent="0.25">
      <c r="Z5396"/>
      <c r="AO5396" s="6"/>
    </row>
    <row r="5397" spans="26:41" x14ac:dyDescent="0.25">
      <c r="Z5397"/>
      <c r="AO5397" s="6"/>
    </row>
    <row r="5398" spans="26:41" x14ac:dyDescent="0.25">
      <c r="Z5398"/>
      <c r="AO5398" s="6"/>
    </row>
    <row r="5399" spans="26:41" x14ac:dyDescent="0.25">
      <c r="Z5399"/>
      <c r="AO5399" s="6"/>
    </row>
    <row r="5400" spans="26:41" x14ac:dyDescent="0.25">
      <c r="Z5400"/>
      <c r="AO5400" s="6"/>
    </row>
    <row r="5401" spans="26:41" x14ac:dyDescent="0.25">
      <c r="Z5401"/>
      <c r="AO5401" s="6"/>
    </row>
    <row r="5402" spans="26:41" x14ac:dyDescent="0.25">
      <c r="Z5402"/>
      <c r="AO5402" s="6"/>
    </row>
    <row r="5403" spans="26:41" x14ac:dyDescent="0.25">
      <c r="Z5403"/>
      <c r="AO5403" s="6"/>
    </row>
    <row r="5404" spans="26:41" x14ac:dyDescent="0.25">
      <c r="Z5404"/>
      <c r="AO5404" s="6"/>
    </row>
    <row r="5405" spans="26:41" x14ac:dyDescent="0.25">
      <c r="Z5405"/>
      <c r="AO5405" s="6"/>
    </row>
    <row r="5406" spans="26:41" x14ac:dyDescent="0.25">
      <c r="Z5406"/>
      <c r="AO5406" s="6"/>
    </row>
    <row r="5407" spans="26:41" x14ac:dyDescent="0.25">
      <c r="Z5407"/>
      <c r="AO5407" s="6"/>
    </row>
    <row r="5408" spans="26:41" x14ac:dyDescent="0.25">
      <c r="Z5408"/>
      <c r="AO5408" s="6"/>
    </row>
    <row r="5409" spans="26:41" x14ac:dyDescent="0.25">
      <c r="Z5409"/>
      <c r="AO5409" s="6"/>
    </row>
    <row r="5410" spans="26:41" x14ac:dyDescent="0.25">
      <c r="Z5410"/>
      <c r="AO5410" s="6"/>
    </row>
    <row r="5411" spans="26:41" x14ac:dyDescent="0.25">
      <c r="Z5411"/>
      <c r="AO5411" s="6"/>
    </row>
    <row r="5412" spans="26:41" x14ac:dyDescent="0.25">
      <c r="Z5412"/>
      <c r="AO5412" s="6"/>
    </row>
    <row r="5413" spans="26:41" x14ac:dyDescent="0.25">
      <c r="Z5413"/>
      <c r="AO5413" s="6"/>
    </row>
    <row r="5414" spans="26:41" x14ac:dyDescent="0.25">
      <c r="Z5414"/>
      <c r="AO5414" s="6"/>
    </row>
    <row r="5415" spans="26:41" x14ac:dyDescent="0.25">
      <c r="Z5415"/>
      <c r="AO5415" s="6"/>
    </row>
    <row r="5416" spans="26:41" x14ac:dyDescent="0.25">
      <c r="Z5416"/>
      <c r="AO5416" s="6"/>
    </row>
    <row r="5417" spans="26:41" x14ac:dyDescent="0.25">
      <c r="Z5417"/>
      <c r="AO5417" s="6"/>
    </row>
    <row r="5418" spans="26:41" x14ac:dyDescent="0.25">
      <c r="Z5418"/>
      <c r="AO5418" s="6"/>
    </row>
    <row r="5419" spans="26:41" x14ac:dyDescent="0.25">
      <c r="Z5419"/>
      <c r="AO5419" s="6"/>
    </row>
    <row r="5420" spans="26:41" x14ac:dyDescent="0.25">
      <c r="Z5420"/>
      <c r="AO5420" s="6"/>
    </row>
    <row r="5421" spans="26:41" x14ac:dyDescent="0.25">
      <c r="Z5421"/>
      <c r="AO5421" s="6"/>
    </row>
    <row r="5422" spans="26:41" x14ac:dyDescent="0.25">
      <c r="Z5422"/>
      <c r="AO5422" s="6"/>
    </row>
    <row r="5423" spans="26:41" x14ac:dyDescent="0.25">
      <c r="Z5423"/>
      <c r="AO5423" s="6"/>
    </row>
    <row r="5424" spans="26:41" x14ac:dyDescent="0.25">
      <c r="Z5424"/>
      <c r="AO5424" s="6"/>
    </row>
    <row r="5425" spans="26:41" x14ac:dyDescent="0.25">
      <c r="Z5425"/>
      <c r="AO5425" s="6"/>
    </row>
    <row r="5426" spans="26:41" x14ac:dyDescent="0.25">
      <c r="Z5426"/>
      <c r="AO5426" s="6"/>
    </row>
    <row r="5427" spans="26:41" x14ac:dyDescent="0.25">
      <c r="Z5427"/>
      <c r="AO5427" s="6"/>
    </row>
    <row r="5428" spans="26:41" x14ac:dyDescent="0.25">
      <c r="Z5428"/>
      <c r="AO5428" s="6"/>
    </row>
    <row r="5429" spans="26:41" x14ac:dyDescent="0.25">
      <c r="Z5429"/>
      <c r="AO5429" s="6"/>
    </row>
    <row r="5430" spans="26:41" x14ac:dyDescent="0.25">
      <c r="Z5430"/>
      <c r="AO5430" s="6"/>
    </row>
    <row r="5431" spans="26:41" x14ac:dyDescent="0.25">
      <c r="Z5431"/>
      <c r="AO5431" s="6"/>
    </row>
    <row r="5432" spans="26:41" x14ac:dyDescent="0.25">
      <c r="Z5432"/>
      <c r="AO5432" s="6"/>
    </row>
    <row r="5433" spans="26:41" x14ac:dyDescent="0.25">
      <c r="Z5433"/>
      <c r="AO5433" s="6"/>
    </row>
    <row r="5434" spans="26:41" x14ac:dyDescent="0.25">
      <c r="Z5434"/>
      <c r="AO5434" s="6"/>
    </row>
    <row r="5435" spans="26:41" x14ac:dyDescent="0.25">
      <c r="Z5435"/>
      <c r="AO5435" s="6"/>
    </row>
    <row r="5436" spans="26:41" x14ac:dyDescent="0.25">
      <c r="Z5436"/>
      <c r="AO5436" s="6"/>
    </row>
    <row r="5437" spans="26:41" x14ac:dyDescent="0.25">
      <c r="Z5437"/>
      <c r="AO5437" s="6"/>
    </row>
    <row r="5438" spans="26:41" x14ac:dyDescent="0.25">
      <c r="Z5438"/>
      <c r="AO5438" s="6"/>
    </row>
    <row r="5439" spans="26:41" x14ac:dyDescent="0.25">
      <c r="Z5439"/>
      <c r="AO5439" s="6"/>
    </row>
    <row r="5440" spans="26:41" x14ac:dyDescent="0.25">
      <c r="Z5440"/>
      <c r="AO5440" s="6"/>
    </row>
    <row r="5441" spans="26:41" x14ac:dyDescent="0.25">
      <c r="Z5441"/>
      <c r="AO5441" s="6"/>
    </row>
    <row r="5442" spans="26:41" x14ac:dyDescent="0.25">
      <c r="Z5442"/>
      <c r="AO5442" s="6"/>
    </row>
    <row r="5443" spans="26:41" x14ac:dyDescent="0.25">
      <c r="Z5443"/>
      <c r="AO5443" s="6"/>
    </row>
    <row r="5444" spans="26:41" x14ac:dyDescent="0.25">
      <c r="Z5444"/>
      <c r="AO5444" s="6"/>
    </row>
    <row r="5445" spans="26:41" x14ac:dyDescent="0.25">
      <c r="Z5445"/>
      <c r="AO5445" s="6"/>
    </row>
    <row r="5446" spans="26:41" x14ac:dyDescent="0.25">
      <c r="Z5446"/>
      <c r="AO5446" s="6"/>
    </row>
    <row r="5447" spans="26:41" x14ac:dyDescent="0.25">
      <c r="Z5447"/>
      <c r="AO5447" s="6"/>
    </row>
    <row r="5448" spans="26:41" x14ac:dyDescent="0.25">
      <c r="Z5448"/>
      <c r="AO5448" s="6"/>
    </row>
    <row r="5449" spans="26:41" x14ac:dyDescent="0.25">
      <c r="Z5449"/>
      <c r="AO5449" s="6"/>
    </row>
    <row r="5450" spans="26:41" x14ac:dyDescent="0.25">
      <c r="Z5450"/>
      <c r="AO5450" s="6"/>
    </row>
    <row r="5451" spans="26:41" x14ac:dyDescent="0.25">
      <c r="Z5451"/>
      <c r="AO5451" s="6"/>
    </row>
    <row r="5452" spans="26:41" x14ac:dyDescent="0.25">
      <c r="Z5452"/>
      <c r="AO5452" s="6"/>
    </row>
    <row r="5453" spans="26:41" x14ac:dyDescent="0.25">
      <c r="Z5453"/>
      <c r="AO5453" s="6"/>
    </row>
    <row r="5454" spans="26:41" x14ac:dyDescent="0.25">
      <c r="Z5454"/>
      <c r="AO5454" s="6"/>
    </row>
    <row r="5455" spans="26:41" x14ac:dyDescent="0.25">
      <c r="Z5455"/>
      <c r="AO5455" s="6"/>
    </row>
    <row r="5456" spans="26:41" x14ac:dyDescent="0.25">
      <c r="Z5456"/>
      <c r="AO5456" s="6"/>
    </row>
    <row r="5457" spans="26:41" x14ac:dyDescent="0.25">
      <c r="Z5457"/>
      <c r="AO5457" s="6"/>
    </row>
    <row r="5458" spans="26:41" x14ac:dyDescent="0.25">
      <c r="Z5458"/>
      <c r="AO5458" s="6"/>
    </row>
    <row r="5459" spans="26:41" x14ac:dyDescent="0.25">
      <c r="Z5459"/>
      <c r="AO5459" s="6"/>
    </row>
    <row r="5460" spans="26:41" x14ac:dyDescent="0.25">
      <c r="Z5460"/>
      <c r="AO5460" s="6"/>
    </row>
    <row r="5461" spans="26:41" x14ac:dyDescent="0.25">
      <c r="Z5461"/>
      <c r="AO5461" s="6"/>
    </row>
    <row r="5462" spans="26:41" x14ac:dyDescent="0.25">
      <c r="Z5462"/>
      <c r="AO5462" s="6"/>
    </row>
    <row r="5463" spans="26:41" x14ac:dyDescent="0.25">
      <c r="Z5463"/>
      <c r="AO5463" s="6"/>
    </row>
    <row r="5464" spans="26:41" x14ac:dyDescent="0.25">
      <c r="Z5464"/>
      <c r="AO5464" s="6"/>
    </row>
    <row r="5465" spans="26:41" x14ac:dyDescent="0.25">
      <c r="Z5465"/>
      <c r="AO5465" s="6"/>
    </row>
    <row r="5466" spans="26:41" x14ac:dyDescent="0.25">
      <c r="Z5466"/>
      <c r="AO5466" s="6"/>
    </row>
    <row r="5467" spans="26:41" x14ac:dyDescent="0.25">
      <c r="Z5467"/>
      <c r="AO5467" s="6"/>
    </row>
    <row r="5468" spans="26:41" x14ac:dyDescent="0.25">
      <c r="Z5468"/>
      <c r="AO5468" s="6"/>
    </row>
    <row r="5469" spans="26:41" x14ac:dyDescent="0.25">
      <c r="Z5469"/>
      <c r="AO5469" s="6"/>
    </row>
    <row r="5470" spans="26:41" x14ac:dyDescent="0.25">
      <c r="Z5470"/>
      <c r="AO5470" s="6"/>
    </row>
    <row r="5471" spans="26:41" x14ac:dyDescent="0.25">
      <c r="Z5471"/>
      <c r="AO5471" s="6"/>
    </row>
    <row r="5472" spans="26:41" x14ac:dyDescent="0.25">
      <c r="Z5472"/>
      <c r="AO5472" s="6"/>
    </row>
    <row r="5473" spans="26:41" x14ac:dyDescent="0.25">
      <c r="Z5473"/>
      <c r="AO5473" s="6"/>
    </row>
    <row r="5474" spans="26:41" x14ac:dyDescent="0.25">
      <c r="Z5474"/>
      <c r="AO5474" s="6"/>
    </row>
    <row r="5475" spans="26:41" x14ac:dyDescent="0.25">
      <c r="Z5475"/>
      <c r="AO5475" s="6"/>
    </row>
    <row r="5476" spans="26:41" x14ac:dyDescent="0.25">
      <c r="Z5476"/>
      <c r="AO5476" s="6"/>
    </row>
    <row r="5477" spans="26:41" x14ac:dyDescent="0.25">
      <c r="Z5477"/>
      <c r="AO5477" s="6"/>
    </row>
    <row r="5478" spans="26:41" x14ac:dyDescent="0.25">
      <c r="Z5478"/>
      <c r="AO5478" s="6"/>
    </row>
    <row r="5479" spans="26:41" x14ac:dyDescent="0.25">
      <c r="Z5479"/>
      <c r="AO5479" s="6"/>
    </row>
    <row r="5480" spans="26:41" x14ac:dyDescent="0.25">
      <c r="Z5480"/>
      <c r="AO5480" s="6"/>
    </row>
    <row r="5481" spans="26:41" x14ac:dyDescent="0.25">
      <c r="Z5481"/>
      <c r="AO5481" s="6"/>
    </row>
    <row r="5482" spans="26:41" x14ac:dyDescent="0.25">
      <c r="Z5482"/>
      <c r="AO5482" s="6"/>
    </row>
    <row r="5483" spans="26:41" x14ac:dyDescent="0.25">
      <c r="Z5483"/>
      <c r="AO5483" s="6"/>
    </row>
    <row r="5484" spans="26:41" x14ac:dyDescent="0.25">
      <c r="Z5484"/>
      <c r="AO5484" s="6"/>
    </row>
    <row r="5485" spans="26:41" x14ac:dyDescent="0.25">
      <c r="Z5485"/>
      <c r="AO5485" s="6"/>
    </row>
    <row r="5486" spans="26:41" x14ac:dyDescent="0.25">
      <c r="Z5486"/>
      <c r="AO5486" s="6"/>
    </row>
    <row r="5487" spans="26:41" x14ac:dyDescent="0.25">
      <c r="Z5487"/>
      <c r="AO5487" s="6"/>
    </row>
    <row r="5488" spans="26:41" x14ac:dyDescent="0.25">
      <c r="Z5488"/>
      <c r="AO5488" s="6"/>
    </row>
    <row r="5489" spans="26:41" x14ac:dyDescent="0.25">
      <c r="Z5489"/>
      <c r="AO5489" s="6"/>
    </row>
    <row r="5490" spans="26:41" x14ac:dyDescent="0.25">
      <c r="Z5490"/>
      <c r="AO5490" s="6"/>
    </row>
    <row r="5491" spans="26:41" x14ac:dyDescent="0.25">
      <c r="Z5491"/>
      <c r="AO5491" s="6"/>
    </row>
    <row r="5492" spans="26:41" x14ac:dyDescent="0.25">
      <c r="Z5492"/>
      <c r="AO5492" s="6"/>
    </row>
    <row r="5493" spans="26:41" x14ac:dyDescent="0.25">
      <c r="Z5493"/>
      <c r="AO5493" s="6"/>
    </row>
    <row r="5494" spans="26:41" x14ac:dyDescent="0.25">
      <c r="Z5494"/>
      <c r="AO5494" s="6"/>
    </row>
    <row r="5495" spans="26:41" x14ac:dyDescent="0.25">
      <c r="Z5495"/>
      <c r="AO5495" s="6"/>
    </row>
    <row r="5496" spans="26:41" x14ac:dyDescent="0.25">
      <c r="Z5496"/>
      <c r="AO5496" s="6"/>
    </row>
    <row r="5497" spans="26:41" x14ac:dyDescent="0.25">
      <c r="Z5497"/>
      <c r="AO5497" s="6"/>
    </row>
    <row r="5498" spans="26:41" x14ac:dyDescent="0.25">
      <c r="Z5498"/>
      <c r="AO5498" s="6"/>
    </row>
    <row r="5499" spans="26:41" x14ac:dyDescent="0.25">
      <c r="Z5499"/>
      <c r="AO5499" s="6"/>
    </row>
    <row r="5500" spans="26:41" x14ac:dyDescent="0.25">
      <c r="Z5500"/>
      <c r="AO5500" s="6"/>
    </row>
    <row r="5501" spans="26:41" x14ac:dyDescent="0.25">
      <c r="Z5501"/>
      <c r="AO5501" s="6"/>
    </row>
    <row r="5502" spans="26:41" x14ac:dyDescent="0.25">
      <c r="Z5502"/>
      <c r="AO5502" s="6"/>
    </row>
    <row r="5503" spans="26:41" x14ac:dyDescent="0.25">
      <c r="Z5503"/>
      <c r="AO5503" s="6"/>
    </row>
    <row r="5504" spans="26:41" x14ac:dyDescent="0.25">
      <c r="Z5504"/>
      <c r="AO5504" s="6"/>
    </row>
    <row r="5505" spans="26:41" x14ac:dyDescent="0.25">
      <c r="Z5505"/>
      <c r="AO5505" s="6"/>
    </row>
    <row r="5506" spans="26:41" x14ac:dyDescent="0.25">
      <c r="Z5506"/>
      <c r="AO5506" s="6"/>
    </row>
    <row r="5507" spans="26:41" x14ac:dyDescent="0.25">
      <c r="Z5507"/>
      <c r="AO5507" s="6"/>
    </row>
    <row r="5508" spans="26:41" x14ac:dyDescent="0.25">
      <c r="Z5508"/>
      <c r="AO5508" s="6"/>
    </row>
    <row r="5509" spans="26:41" x14ac:dyDescent="0.25">
      <c r="Z5509"/>
      <c r="AO5509" s="6"/>
    </row>
    <row r="5510" spans="26:41" x14ac:dyDescent="0.25">
      <c r="Z5510"/>
      <c r="AO5510" s="6"/>
    </row>
    <row r="5511" spans="26:41" x14ac:dyDescent="0.25">
      <c r="Z5511"/>
      <c r="AO5511" s="6"/>
    </row>
    <row r="5512" spans="26:41" x14ac:dyDescent="0.25">
      <c r="Z5512"/>
      <c r="AO5512" s="6"/>
    </row>
    <row r="5513" spans="26:41" x14ac:dyDescent="0.25">
      <c r="Z5513"/>
      <c r="AO5513" s="6"/>
    </row>
    <row r="5514" spans="26:41" x14ac:dyDescent="0.25">
      <c r="Z5514"/>
      <c r="AO5514" s="6"/>
    </row>
    <row r="5515" spans="26:41" x14ac:dyDescent="0.25">
      <c r="Z5515"/>
      <c r="AO5515" s="6"/>
    </row>
    <row r="5516" spans="26:41" x14ac:dyDescent="0.25">
      <c r="Z5516"/>
      <c r="AO5516" s="6"/>
    </row>
    <row r="5517" spans="26:41" x14ac:dyDescent="0.25">
      <c r="Z5517"/>
      <c r="AO5517" s="6"/>
    </row>
    <row r="5518" spans="26:41" x14ac:dyDescent="0.25">
      <c r="Z5518"/>
      <c r="AO5518" s="6"/>
    </row>
    <row r="5519" spans="26:41" x14ac:dyDescent="0.25">
      <c r="Z5519"/>
      <c r="AO5519" s="6"/>
    </row>
    <row r="5520" spans="26:41" x14ac:dyDescent="0.25">
      <c r="Z5520"/>
      <c r="AO5520" s="6"/>
    </row>
    <row r="5521" spans="26:41" x14ac:dyDescent="0.25">
      <c r="Z5521"/>
      <c r="AO5521" s="6"/>
    </row>
    <row r="5522" spans="26:41" x14ac:dyDescent="0.25">
      <c r="Z5522"/>
      <c r="AO5522" s="6"/>
    </row>
    <row r="5523" spans="26:41" x14ac:dyDescent="0.25">
      <c r="Z5523"/>
      <c r="AO5523" s="6"/>
    </row>
    <row r="5524" spans="26:41" x14ac:dyDescent="0.25">
      <c r="Z5524"/>
      <c r="AO5524" s="6"/>
    </row>
    <row r="5525" spans="26:41" x14ac:dyDescent="0.25">
      <c r="Z5525"/>
      <c r="AO5525" s="6"/>
    </row>
    <row r="5526" spans="26:41" x14ac:dyDescent="0.25">
      <c r="Z5526"/>
      <c r="AO5526" s="6"/>
    </row>
    <row r="5527" spans="26:41" x14ac:dyDescent="0.25">
      <c r="Z5527"/>
      <c r="AO5527" s="6"/>
    </row>
    <row r="5528" spans="26:41" x14ac:dyDescent="0.25">
      <c r="Z5528"/>
      <c r="AO5528" s="6"/>
    </row>
    <row r="5529" spans="26:41" x14ac:dyDescent="0.25">
      <c r="Z5529"/>
      <c r="AO5529" s="6"/>
    </row>
    <row r="5530" spans="26:41" x14ac:dyDescent="0.25">
      <c r="Z5530"/>
      <c r="AO5530" s="6"/>
    </row>
    <row r="5531" spans="26:41" x14ac:dyDescent="0.25">
      <c r="Z5531"/>
      <c r="AO5531" s="6"/>
    </row>
    <row r="5532" spans="26:41" x14ac:dyDescent="0.25">
      <c r="Z5532"/>
      <c r="AO5532" s="6"/>
    </row>
    <row r="5533" spans="26:41" x14ac:dyDescent="0.25">
      <c r="Z5533"/>
      <c r="AO5533" s="6"/>
    </row>
    <row r="5534" spans="26:41" x14ac:dyDescent="0.25">
      <c r="Z5534"/>
      <c r="AO5534" s="6"/>
    </row>
    <row r="5535" spans="26:41" x14ac:dyDescent="0.25">
      <c r="Z5535"/>
      <c r="AO5535" s="6"/>
    </row>
    <row r="5536" spans="26:41" x14ac:dyDescent="0.25">
      <c r="Z5536"/>
      <c r="AO5536" s="6"/>
    </row>
    <row r="5537" spans="26:41" x14ac:dyDescent="0.25">
      <c r="Z5537"/>
      <c r="AO5537" s="6"/>
    </row>
    <row r="5538" spans="26:41" x14ac:dyDescent="0.25">
      <c r="Z5538"/>
      <c r="AO5538" s="6"/>
    </row>
    <row r="5539" spans="26:41" x14ac:dyDescent="0.25">
      <c r="Z5539"/>
      <c r="AO5539" s="6"/>
    </row>
    <row r="5540" spans="26:41" x14ac:dyDescent="0.25">
      <c r="Z5540"/>
      <c r="AO5540" s="6"/>
    </row>
    <row r="5541" spans="26:41" x14ac:dyDescent="0.25">
      <c r="Z5541"/>
      <c r="AO5541" s="6"/>
    </row>
    <row r="5542" spans="26:41" x14ac:dyDescent="0.25">
      <c r="Z5542"/>
      <c r="AO5542" s="6"/>
    </row>
    <row r="5543" spans="26:41" x14ac:dyDescent="0.25">
      <c r="Z5543"/>
      <c r="AO5543" s="6"/>
    </row>
    <row r="5544" spans="26:41" x14ac:dyDescent="0.25">
      <c r="Z5544"/>
      <c r="AO5544" s="6"/>
    </row>
    <row r="5545" spans="26:41" x14ac:dyDescent="0.25">
      <c r="Z5545"/>
      <c r="AO5545" s="6"/>
    </row>
    <row r="5546" spans="26:41" x14ac:dyDescent="0.25">
      <c r="Z5546"/>
      <c r="AO5546" s="6"/>
    </row>
    <row r="5547" spans="26:41" x14ac:dyDescent="0.25">
      <c r="Z5547"/>
      <c r="AO5547" s="6"/>
    </row>
    <row r="5548" spans="26:41" x14ac:dyDescent="0.25">
      <c r="Z5548"/>
      <c r="AO5548" s="6"/>
    </row>
    <row r="5549" spans="26:41" x14ac:dyDescent="0.25">
      <c r="Z5549"/>
      <c r="AO5549" s="6"/>
    </row>
    <row r="5550" spans="26:41" x14ac:dyDescent="0.25">
      <c r="Z5550"/>
      <c r="AO5550" s="6"/>
    </row>
    <row r="5551" spans="26:41" x14ac:dyDescent="0.25">
      <c r="Z5551"/>
      <c r="AO5551" s="6"/>
    </row>
    <row r="5552" spans="26:41" x14ac:dyDescent="0.25">
      <c r="Z5552"/>
      <c r="AO5552" s="6"/>
    </row>
    <row r="5553" spans="26:41" x14ac:dyDescent="0.25">
      <c r="Z5553"/>
      <c r="AO5553" s="6"/>
    </row>
    <row r="5554" spans="26:41" x14ac:dyDescent="0.25">
      <c r="Z5554"/>
      <c r="AO5554" s="6"/>
    </row>
    <row r="5555" spans="26:41" x14ac:dyDescent="0.25">
      <c r="Z5555"/>
      <c r="AO5555" s="6"/>
    </row>
    <row r="5556" spans="26:41" x14ac:dyDescent="0.25">
      <c r="Z5556"/>
      <c r="AO5556" s="6"/>
    </row>
    <row r="5557" spans="26:41" x14ac:dyDescent="0.25">
      <c r="Z5557"/>
      <c r="AO5557" s="6"/>
    </row>
    <row r="5558" spans="26:41" x14ac:dyDescent="0.25">
      <c r="Z5558"/>
      <c r="AO5558" s="6"/>
    </row>
    <row r="5559" spans="26:41" x14ac:dyDescent="0.25">
      <c r="Z5559"/>
      <c r="AO5559" s="6"/>
    </row>
    <row r="5560" spans="26:41" x14ac:dyDescent="0.25">
      <c r="Z5560"/>
      <c r="AO5560" s="6"/>
    </row>
    <row r="5561" spans="26:41" x14ac:dyDescent="0.25">
      <c r="Z5561"/>
      <c r="AO5561" s="6"/>
    </row>
    <row r="5562" spans="26:41" x14ac:dyDescent="0.25">
      <c r="Z5562"/>
      <c r="AO5562" s="6"/>
    </row>
    <row r="5563" spans="26:41" x14ac:dyDescent="0.25">
      <c r="Z5563"/>
      <c r="AO5563" s="6"/>
    </row>
    <row r="5564" spans="26:41" x14ac:dyDescent="0.25">
      <c r="Z5564"/>
      <c r="AO5564" s="6"/>
    </row>
    <row r="5565" spans="26:41" x14ac:dyDescent="0.25">
      <c r="Z5565"/>
      <c r="AO5565" s="6"/>
    </row>
    <row r="5566" spans="26:41" x14ac:dyDescent="0.25">
      <c r="Z5566"/>
      <c r="AO5566" s="6"/>
    </row>
    <row r="5567" spans="26:41" x14ac:dyDescent="0.25">
      <c r="Z5567"/>
      <c r="AO5567" s="6"/>
    </row>
    <row r="5568" spans="26:41" x14ac:dyDescent="0.25">
      <c r="Z5568"/>
      <c r="AO5568" s="6"/>
    </row>
    <row r="5569" spans="26:41" x14ac:dyDescent="0.25">
      <c r="Z5569"/>
      <c r="AO5569" s="6"/>
    </row>
    <row r="5570" spans="26:41" x14ac:dyDescent="0.25">
      <c r="Z5570"/>
      <c r="AO5570" s="6"/>
    </row>
    <row r="5571" spans="26:41" x14ac:dyDescent="0.25">
      <c r="Z5571"/>
      <c r="AO5571" s="6"/>
    </row>
    <row r="5572" spans="26:41" x14ac:dyDescent="0.25">
      <c r="Z5572"/>
      <c r="AO5572" s="6"/>
    </row>
    <row r="5573" spans="26:41" x14ac:dyDescent="0.25">
      <c r="Z5573"/>
      <c r="AO5573" s="6"/>
    </row>
    <row r="5574" spans="26:41" x14ac:dyDescent="0.25">
      <c r="Z5574"/>
      <c r="AO5574" s="6"/>
    </row>
    <row r="5575" spans="26:41" x14ac:dyDescent="0.25">
      <c r="Z5575"/>
      <c r="AO5575" s="6"/>
    </row>
    <row r="5576" spans="26:41" x14ac:dyDescent="0.25">
      <c r="Z5576"/>
      <c r="AO5576" s="6"/>
    </row>
    <row r="5577" spans="26:41" x14ac:dyDescent="0.25">
      <c r="Z5577"/>
      <c r="AO5577" s="6"/>
    </row>
    <row r="5578" spans="26:41" x14ac:dyDescent="0.25">
      <c r="Z5578"/>
      <c r="AO5578" s="6"/>
    </row>
    <row r="5579" spans="26:41" x14ac:dyDescent="0.25">
      <c r="Z5579"/>
      <c r="AO5579" s="6"/>
    </row>
    <row r="5580" spans="26:41" x14ac:dyDescent="0.25">
      <c r="Z5580"/>
      <c r="AO5580" s="6"/>
    </row>
    <row r="5581" spans="26:41" x14ac:dyDescent="0.25">
      <c r="Z5581"/>
      <c r="AO5581" s="6"/>
    </row>
    <row r="5582" spans="26:41" x14ac:dyDescent="0.25">
      <c r="Z5582"/>
      <c r="AO5582" s="6"/>
    </row>
    <row r="5583" spans="26:41" x14ac:dyDescent="0.25">
      <c r="Z5583"/>
      <c r="AO5583" s="6"/>
    </row>
    <row r="5584" spans="26:41" x14ac:dyDescent="0.25">
      <c r="Z5584"/>
      <c r="AO5584" s="6"/>
    </row>
    <row r="5585" spans="26:41" x14ac:dyDescent="0.25">
      <c r="Z5585"/>
      <c r="AO5585" s="6"/>
    </row>
    <row r="5586" spans="26:41" x14ac:dyDescent="0.25">
      <c r="Z5586"/>
      <c r="AO5586" s="6"/>
    </row>
    <row r="5587" spans="26:41" x14ac:dyDescent="0.25">
      <c r="Z5587"/>
      <c r="AO5587" s="6"/>
    </row>
    <row r="5588" spans="26:41" x14ac:dyDescent="0.25">
      <c r="Z5588"/>
      <c r="AO5588" s="6"/>
    </row>
    <row r="5589" spans="26:41" x14ac:dyDescent="0.25">
      <c r="Z5589"/>
      <c r="AO5589" s="6"/>
    </row>
    <row r="5590" spans="26:41" x14ac:dyDescent="0.25">
      <c r="Z5590"/>
      <c r="AO5590" s="6"/>
    </row>
    <row r="5591" spans="26:41" x14ac:dyDescent="0.25">
      <c r="Z5591"/>
      <c r="AO5591" s="6"/>
    </row>
    <row r="5592" spans="26:41" x14ac:dyDescent="0.25">
      <c r="Z5592"/>
      <c r="AO5592" s="6"/>
    </row>
    <row r="5593" spans="26:41" x14ac:dyDescent="0.25">
      <c r="Z5593"/>
      <c r="AO5593" s="6"/>
    </row>
    <row r="5594" spans="26:41" x14ac:dyDescent="0.25">
      <c r="Z5594"/>
      <c r="AO5594" s="6"/>
    </row>
    <row r="5595" spans="26:41" x14ac:dyDescent="0.25">
      <c r="Z5595"/>
      <c r="AO5595" s="6"/>
    </row>
    <row r="5596" spans="26:41" x14ac:dyDescent="0.25">
      <c r="Z5596"/>
      <c r="AO5596" s="6"/>
    </row>
    <row r="5597" spans="26:41" x14ac:dyDescent="0.25">
      <c r="Z5597"/>
      <c r="AO5597" s="6"/>
    </row>
    <row r="5598" spans="26:41" x14ac:dyDescent="0.25">
      <c r="Z5598"/>
      <c r="AO5598" s="6"/>
    </row>
    <row r="5599" spans="26:41" x14ac:dyDescent="0.25">
      <c r="Z5599"/>
      <c r="AO5599" s="6"/>
    </row>
    <row r="5600" spans="26:41" x14ac:dyDescent="0.25">
      <c r="Z5600"/>
      <c r="AO5600" s="6"/>
    </row>
    <row r="5601" spans="26:41" x14ac:dyDescent="0.25">
      <c r="Z5601"/>
      <c r="AO5601" s="6"/>
    </row>
    <row r="5602" spans="26:41" x14ac:dyDescent="0.25">
      <c r="Z5602"/>
      <c r="AO5602" s="6"/>
    </row>
    <row r="5603" spans="26:41" x14ac:dyDescent="0.25">
      <c r="Z5603"/>
      <c r="AO5603" s="6"/>
    </row>
    <row r="5604" spans="26:41" x14ac:dyDescent="0.25">
      <c r="Z5604"/>
      <c r="AO5604" s="6"/>
    </row>
    <row r="5605" spans="26:41" x14ac:dyDescent="0.25">
      <c r="Z5605"/>
      <c r="AO5605" s="6"/>
    </row>
    <row r="5606" spans="26:41" x14ac:dyDescent="0.25">
      <c r="Z5606"/>
      <c r="AO5606" s="6"/>
    </row>
    <row r="5607" spans="26:41" x14ac:dyDescent="0.25">
      <c r="Z5607"/>
      <c r="AO5607" s="6"/>
    </row>
    <row r="5608" spans="26:41" x14ac:dyDescent="0.25">
      <c r="Z5608"/>
      <c r="AO5608" s="6"/>
    </row>
    <row r="5609" spans="26:41" x14ac:dyDescent="0.25">
      <c r="Z5609"/>
      <c r="AO5609" s="6"/>
    </row>
    <row r="5610" spans="26:41" x14ac:dyDescent="0.25">
      <c r="Z5610"/>
      <c r="AO5610" s="6"/>
    </row>
    <row r="5611" spans="26:41" x14ac:dyDescent="0.25">
      <c r="Z5611"/>
      <c r="AO5611" s="6"/>
    </row>
    <row r="5612" spans="26:41" x14ac:dyDescent="0.25">
      <c r="Z5612"/>
      <c r="AO5612" s="6"/>
    </row>
    <row r="5613" spans="26:41" x14ac:dyDescent="0.25">
      <c r="Z5613"/>
      <c r="AO5613" s="6"/>
    </row>
    <row r="5614" spans="26:41" x14ac:dyDescent="0.25">
      <c r="Z5614"/>
      <c r="AO5614" s="6"/>
    </row>
    <row r="5615" spans="26:41" x14ac:dyDescent="0.25">
      <c r="Z5615"/>
      <c r="AO5615" s="6"/>
    </row>
    <row r="5616" spans="26:41" x14ac:dyDescent="0.25">
      <c r="Z5616"/>
      <c r="AO5616" s="6"/>
    </row>
    <row r="5617" spans="26:41" x14ac:dyDescent="0.25">
      <c r="Z5617"/>
      <c r="AO5617" s="6"/>
    </row>
    <row r="5618" spans="26:41" x14ac:dyDescent="0.25">
      <c r="Z5618"/>
      <c r="AO5618" s="6"/>
    </row>
    <row r="5619" spans="26:41" x14ac:dyDescent="0.25">
      <c r="Z5619"/>
      <c r="AO5619" s="6"/>
    </row>
    <row r="5620" spans="26:41" x14ac:dyDescent="0.25">
      <c r="Z5620"/>
      <c r="AO5620" s="6"/>
    </row>
    <row r="5621" spans="26:41" x14ac:dyDescent="0.25">
      <c r="Z5621"/>
      <c r="AO5621" s="6"/>
    </row>
    <row r="5622" spans="26:41" x14ac:dyDescent="0.25">
      <c r="Z5622"/>
      <c r="AO5622" s="6"/>
    </row>
    <row r="5623" spans="26:41" x14ac:dyDescent="0.25">
      <c r="Z5623"/>
      <c r="AO5623" s="6"/>
    </row>
    <row r="5624" spans="26:41" x14ac:dyDescent="0.25">
      <c r="Z5624"/>
      <c r="AO5624" s="6"/>
    </row>
    <row r="5625" spans="26:41" x14ac:dyDescent="0.25">
      <c r="Z5625"/>
      <c r="AO5625" s="6"/>
    </row>
    <row r="5626" spans="26:41" x14ac:dyDescent="0.25">
      <c r="Z5626"/>
      <c r="AO5626" s="6"/>
    </row>
    <row r="5627" spans="26:41" x14ac:dyDescent="0.25">
      <c r="Z5627"/>
      <c r="AO5627" s="6"/>
    </row>
    <row r="5628" spans="26:41" x14ac:dyDescent="0.25">
      <c r="Z5628"/>
      <c r="AO5628" s="6"/>
    </row>
    <row r="5629" spans="26:41" x14ac:dyDescent="0.25">
      <c r="Z5629"/>
      <c r="AO5629" s="6"/>
    </row>
    <row r="5630" spans="26:41" x14ac:dyDescent="0.25">
      <c r="Z5630"/>
      <c r="AO5630" s="6"/>
    </row>
    <row r="5631" spans="26:41" x14ac:dyDescent="0.25">
      <c r="Z5631"/>
      <c r="AO5631" s="6"/>
    </row>
    <row r="5632" spans="26:41" x14ac:dyDescent="0.25">
      <c r="Z5632"/>
      <c r="AO5632" s="6"/>
    </row>
    <row r="5633" spans="26:41" x14ac:dyDescent="0.25">
      <c r="Z5633"/>
      <c r="AO5633" s="6"/>
    </row>
    <row r="5634" spans="26:41" x14ac:dyDescent="0.25">
      <c r="Z5634"/>
      <c r="AO5634" s="6"/>
    </row>
    <row r="5635" spans="26:41" x14ac:dyDescent="0.25">
      <c r="Z5635"/>
      <c r="AO5635" s="6"/>
    </row>
    <row r="5636" spans="26:41" x14ac:dyDescent="0.25">
      <c r="Z5636"/>
      <c r="AO5636" s="6"/>
    </row>
    <row r="5637" spans="26:41" x14ac:dyDescent="0.25">
      <c r="Z5637"/>
      <c r="AO5637" s="6"/>
    </row>
    <row r="5638" spans="26:41" x14ac:dyDescent="0.25">
      <c r="Z5638"/>
      <c r="AO5638" s="6"/>
    </row>
    <row r="5639" spans="26:41" x14ac:dyDescent="0.25">
      <c r="Z5639"/>
      <c r="AO5639" s="6"/>
    </row>
    <row r="5640" spans="26:41" x14ac:dyDescent="0.25">
      <c r="Z5640"/>
      <c r="AO5640" s="6"/>
    </row>
    <row r="5641" spans="26:41" x14ac:dyDescent="0.25">
      <c r="Z5641"/>
      <c r="AO5641" s="6"/>
    </row>
    <row r="5642" spans="26:41" x14ac:dyDescent="0.25">
      <c r="Z5642"/>
      <c r="AO5642" s="6"/>
    </row>
    <row r="5643" spans="26:41" x14ac:dyDescent="0.25">
      <c r="Z5643"/>
      <c r="AO5643" s="6"/>
    </row>
    <row r="5644" spans="26:41" x14ac:dyDescent="0.25">
      <c r="Z5644"/>
      <c r="AO5644" s="6"/>
    </row>
    <row r="5645" spans="26:41" x14ac:dyDescent="0.25">
      <c r="Z5645"/>
      <c r="AO5645" s="6"/>
    </row>
    <row r="5646" spans="26:41" x14ac:dyDescent="0.25">
      <c r="Z5646"/>
      <c r="AO5646" s="6"/>
    </row>
    <row r="5647" spans="26:41" x14ac:dyDescent="0.25">
      <c r="Z5647"/>
      <c r="AO5647" s="6"/>
    </row>
    <row r="5648" spans="26:41" x14ac:dyDescent="0.25">
      <c r="Z5648"/>
      <c r="AO5648" s="6"/>
    </row>
    <row r="5649" spans="26:41" x14ac:dyDescent="0.25">
      <c r="Z5649"/>
      <c r="AO5649" s="6"/>
    </row>
    <row r="5650" spans="26:41" x14ac:dyDescent="0.25">
      <c r="Z5650"/>
      <c r="AO5650" s="6"/>
    </row>
    <row r="5651" spans="26:41" x14ac:dyDescent="0.25">
      <c r="Z5651"/>
      <c r="AO5651" s="6"/>
    </row>
    <row r="5652" spans="26:41" x14ac:dyDescent="0.25">
      <c r="Z5652"/>
      <c r="AO5652" s="6"/>
    </row>
    <row r="5653" spans="26:41" x14ac:dyDescent="0.25">
      <c r="Z5653"/>
      <c r="AO5653" s="6"/>
    </row>
    <row r="5654" spans="26:41" x14ac:dyDescent="0.25">
      <c r="Z5654"/>
      <c r="AO5654" s="6"/>
    </row>
    <row r="5655" spans="26:41" x14ac:dyDescent="0.25">
      <c r="Z5655"/>
      <c r="AO5655" s="6"/>
    </row>
    <row r="5656" spans="26:41" x14ac:dyDescent="0.25">
      <c r="Z5656"/>
      <c r="AO5656" s="6"/>
    </row>
    <row r="5657" spans="26:41" x14ac:dyDescent="0.25">
      <c r="Z5657"/>
      <c r="AO5657" s="6"/>
    </row>
    <row r="5658" spans="26:41" x14ac:dyDescent="0.25">
      <c r="Z5658"/>
      <c r="AO5658" s="6"/>
    </row>
    <row r="5659" spans="26:41" x14ac:dyDescent="0.25">
      <c r="Z5659"/>
      <c r="AO5659" s="6"/>
    </row>
    <row r="5660" spans="26:41" x14ac:dyDescent="0.25">
      <c r="Z5660"/>
      <c r="AO5660" s="6"/>
    </row>
    <row r="5661" spans="26:41" x14ac:dyDescent="0.25">
      <c r="Z5661"/>
      <c r="AO5661" s="6"/>
    </row>
    <row r="5662" spans="26:41" x14ac:dyDescent="0.25">
      <c r="Z5662"/>
      <c r="AO5662" s="6"/>
    </row>
    <row r="5663" spans="26:41" x14ac:dyDescent="0.25">
      <c r="Z5663"/>
      <c r="AO5663" s="6"/>
    </row>
    <row r="5664" spans="26:41" x14ac:dyDescent="0.25">
      <c r="Z5664"/>
      <c r="AO5664" s="6"/>
    </row>
    <row r="5665" spans="26:41" x14ac:dyDescent="0.25">
      <c r="Z5665"/>
      <c r="AO5665" s="6"/>
    </row>
    <row r="5666" spans="26:41" x14ac:dyDescent="0.25">
      <c r="Z5666"/>
      <c r="AO5666" s="6"/>
    </row>
    <row r="5667" spans="26:41" x14ac:dyDescent="0.25">
      <c r="Z5667"/>
      <c r="AO5667" s="6"/>
    </row>
    <row r="5668" spans="26:41" x14ac:dyDescent="0.25">
      <c r="Z5668"/>
      <c r="AO5668" s="6"/>
    </row>
    <row r="5669" spans="26:41" x14ac:dyDescent="0.25">
      <c r="Z5669"/>
      <c r="AO5669" s="6"/>
    </row>
    <row r="5670" spans="26:41" x14ac:dyDescent="0.25">
      <c r="Z5670"/>
      <c r="AO5670" s="6"/>
    </row>
    <row r="5671" spans="26:41" x14ac:dyDescent="0.25">
      <c r="Z5671"/>
      <c r="AO5671" s="6"/>
    </row>
    <row r="5672" spans="26:41" x14ac:dyDescent="0.25">
      <c r="Z5672"/>
      <c r="AO5672" s="6"/>
    </row>
    <row r="5673" spans="26:41" x14ac:dyDescent="0.25">
      <c r="Z5673"/>
      <c r="AO5673" s="6"/>
    </row>
    <row r="5674" spans="26:41" x14ac:dyDescent="0.25">
      <c r="Z5674"/>
      <c r="AO5674" s="6"/>
    </row>
    <row r="5675" spans="26:41" x14ac:dyDescent="0.25">
      <c r="Z5675"/>
      <c r="AO5675" s="6"/>
    </row>
    <row r="5676" spans="26:41" x14ac:dyDescent="0.25">
      <c r="Z5676"/>
      <c r="AO5676" s="6"/>
    </row>
    <row r="5677" spans="26:41" x14ac:dyDescent="0.25">
      <c r="Z5677"/>
      <c r="AO5677" s="6"/>
    </row>
    <row r="5678" spans="26:41" x14ac:dyDescent="0.25">
      <c r="Z5678"/>
      <c r="AO5678" s="6"/>
    </row>
    <row r="5679" spans="26:41" x14ac:dyDescent="0.25">
      <c r="Z5679"/>
      <c r="AO5679" s="6"/>
    </row>
    <row r="5680" spans="26:41" x14ac:dyDescent="0.25">
      <c r="Z5680"/>
      <c r="AO5680" s="6"/>
    </row>
    <row r="5681" spans="26:41" x14ac:dyDescent="0.25">
      <c r="Z5681"/>
      <c r="AO5681" s="6"/>
    </row>
    <row r="5682" spans="26:41" x14ac:dyDescent="0.25">
      <c r="Z5682"/>
      <c r="AO5682" s="6"/>
    </row>
    <row r="5683" spans="26:41" x14ac:dyDescent="0.25">
      <c r="Z5683"/>
      <c r="AO5683" s="6"/>
    </row>
    <row r="5684" spans="26:41" x14ac:dyDescent="0.25">
      <c r="Z5684"/>
      <c r="AO5684" s="6"/>
    </row>
    <row r="5685" spans="26:41" x14ac:dyDescent="0.25">
      <c r="Z5685"/>
      <c r="AO5685" s="6"/>
    </row>
    <row r="5686" spans="26:41" x14ac:dyDescent="0.25">
      <c r="Z5686"/>
      <c r="AO5686" s="6"/>
    </row>
    <row r="5687" spans="26:41" x14ac:dyDescent="0.25">
      <c r="Z5687"/>
      <c r="AO5687" s="6"/>
    </row>
    <row r="5688" spans="26:41" x14ac:dyDescent="0.25">
      <c r="Z5688"/>
      <c r="AO5688" s="6"/>
    </row>
    <row r="5689" spans="26:41" x14ac:dyDescent="0.25">
      <c r="Z5689"/>
      <c r="AO5689" s="6"/>
    </row>
    <row r="5690" spans="26:41" x14ac:dyDescent="0.25">
      <c r="Z5690"/>
      <c r="AO5690" s="6"/>
    </row>
    <row r="5691" spans="26:41" x14ac:dyDescent="0.25">
      <c r="Z5691"/>
      <c r="AO5691" s="6"/>
    </row>
    <row r="5692" spans="26:41" x14ac:dyDescent="0.25">
      <c r="Z5692"/>
      <c r="AO5692" s="6"/>
    </row>
    <row r="5693" spans="26:41" x14ac:dyDescent="0.25">
      <c r="Z5693"/>
      <c r="AO5693" s="6"/>
    </row>
    <row r="5694" spans="26:41" x14ac:dyDescent="0.25">
      <c r="Z5694"/>
      <c r="AO5694" s="6"/>
    </row>
    <row r="5695" spans="26:41" x14ac:dyDescent="0.25">
      <c r="Z5695"/>
      <c r="AO5695" s="6"/>
    </row>
    <row r="5696" spans="26:41" x14ac:dyDescent="0.25">
      <c r="Z5696"/>
      <c r="AO5696" s="6"/>
    </row>
    <row r="5697" spans="26:41" x14ac:dyDescent="0.25">
      <c r="Z5697"/>
      <c r="AO5697" s="6"/>
    </row>
    <row r="5698" spans="26:41" x14ac:dyDescent="0.25">
      <c r="Z5698"/>
      <c r="AO5698" s="6"/>
    </row>
    <row r="5699" spans="26:41" x14ac:dyDescent="0.25">
      <c r="Z5699"/>
      <c r="AO5699" s="6"/>
    </row>
    <row r="5700" spans="26:41" x14ac:dyDescent="0.25">
      <c r="Z5700"/>
      <c r="AO5700" s="6"/>
    </row>
    <row r="5701" spans="26:41" x14ac:dyDescent="0.25">
      <c r="Z5701"/>
      <c r="AO5701" s="6"/>
    </row>
    <row r="5702" spans="26:41" x14ac:dyDescent="0.25">
      <c r="Z5702"/>
      <c r="AO5702" s="6"/>
    </row>
    <row r="5703" spans="26:41" x14ac:dyDescent="0.25">
      <c r="Z5703"/>
      <c r="AO5703" s="6"/>
    </row>
    <row r="5704" spans="26:41" x14ac:dyDescent="0.25">
      <c r="Z5704"/>
      <c r="AO5704" s="6"/>
    </row>
    <row r="5705" spans="26:41" x14ac:dyDescent="0.25">
      <c r="Z5705"/>
      <c r="AO5705" s="6"/>
    </row>
    <row r="5706" spans="26:41" x14ac:dyDescent="0.25">
      <c r="Z5706"/>
      <c r="AO5706" s="6"/>
    </row>
    <row r="5707" spans="26:41" x14ac:dyDescent="0.25">
      <c r="Z5707"/>
      <c r="AO5707" s="6"/>
    </row>
    <row r="5708" spans="26:41" x14ac:dyDescent="0.25">
      <c r="Z5708"/>
      <c r="AO5708" s="6"/>
    </row>
    <row r="5709" spans="26:41" x14ac:dyDescent="0.25">
      <c r="Z5709"/>
      <c r="AO5709" s="6"/>
    </row>
    <row r="5710" spans="26:41" x14ac:dyDescent="0.25">
      <c r="Z5710"/>
      <c r="AO5710" s="6"/>
    </row>
    <row r="5711" spans="26:41" x14ac:dyDescent="0.25">
      <c r="Z5711"/>
      <c r="AO5711" s="6"/>
    </row>
    <row r="5712" spans="26:41" x14ac:dyDescent="0.25">
      <c r="Z5712"/>
      <c r="AO5712" s="6"/>
    </row>
    <row r="5713" spans="26:41" x14ac:dyDescent="0.25">
      <c r="Z5713"/>
      <c r="AO5713" s="6"/>
    </row>
    <row r="5714" spans="26:41" x14ac:dyDescent="0.25">
      <c r="Z5714"/>
      <c r="AO5714" s="6"/>
    </row>
    <row r="5715" spans="26:41" x14ac:dyDescent="0.25">
      <c r="Z5715"/>
      <c r="AO5715" s="6"/>
    </row>
    <row r="5716" spans="26:41" x14ac:dyDescent="0.25">
      <c r="Z5716"/>
      <c r="AO5716" s="6"/>
    </row>
    <row r="5717" spans="26:41" x14ac:dyDescent="0.25">
      <c r="Z5717"/>
      <c r="AO5717" s="6"/>
    </row>
    <row r="5718" spans="26:41" x14ac:dyDescent="0.25">
      <c r="Z5718"/>
      <c r="AO5718" s="6"/>
    </row>
    <row r="5719" spans="26:41" x14ac:dyDescent="0.25">
      <c r="Z5719"/>
      <c r="AO5719" s="6"/>
    </row>
    <row r="5720" spans="26:41" x14ac:dyDescent="0.25">
      <c r="Z5720"/>
      <c r="AO5720" s="6"/>
    </row>
    <row r="5721" spans="26:41" x14ac:dyDescent="0.25">
      <c r="Z5721"/>
      <c r="AO5721" s="6"/>
    </row>
    <row r="5722" spans="26:41" x14ac:dyDescent="0.25">
      <c r="Z5722"/>
      <c r="AO5722" s="6"/>
    </row>
    <row r="5723" spans="26:41" x14ac:dyDescent="0.25">
      <c r="Z5723"/>
      <c r="AO5723" s="6"/>
    </row>
    <row r="5724" spans="26:41" x14ac:dyDescent="0.25">
      <c r="Z5724"/>
      <c r="AO5724" s="6"/>
    </row>
    <row r="5725" spans="26:41" x14ac:dyDescent="0.25">
      <c r="Z5725"/>
      <c r="AO5725" s="6"/>
    </row>
    <row r="5726" spans="26:41" x14ac:dyDescent="0.25">
      <c r="Z5726"/>
      <c r="AO5726" s="6"/>
    </row>
    <row r="5727" spans="26:41" x14ac:dyDescent="0.25">
      <c r="Z5727"/>
      <c r="AO5727" s="6"/>
    </row>
    <row r="5728" spans="26:41" x14ac:dyDescent="0.25">
      <c r="Z5728"/>
      <c r="AO5728" s="6"/>
    </row>
    <row r="5729" spans="26:41" x14ac:dyDescent="0.25">
      <c r="Z5729"/>
      <c r="AO5729" s="6"/>
    </row>
    <row r="5730" spans="26:41" x14ac:dyDescent="0.25">
      <c r="Z5730"/>
      <c r="AO5730" s="6"/>
    </row>
    <row r="5731" spans="26:41" x14ac:dyDescent="0.25">
      <c r="Z5731"/>
      <c r="AO5731" s="6"/>
    </row>
    <row r="5732" spans="26:41" x14ac:dyDescent="0.25">
      <c r="Z5732"/>
      <c r="AO5732" s="6"/>
    </row>
    <row r="5733" spans="26:41" x14ac:dyDescent="0.25">
      <c r="Z5733"/>
      <c r="AO5733" s="6"/>
    </row>
    <row r="5734" spans="26:41" x14ac:dyDescent="0.25">
      <c r="Z5734"/>
      <c r="AO5734" s="6"/>
    </row>
    <row r="5735" spans="26:41" x14ac:dyDescent="0.25">
      <c r="Z5735"/>
      <c r="AO5735" s="6"/>
    </row>
    <row r="5736" spans="26:41" x14ac:dyDescent="0.25">
      <c r="Z5736"/>
      <c r="AO5736" s="6"/>
    </row>
    <row r="5737" spans="26:41" x14ac:dyDescent="0.25">
      <c r="Z5737"/>
      <c r="AO5737" s="6"/>
    </row>
    <row r="5738" spans="26:41" x14ac:dyDescent="0.25">
      <c r="Z5738"/>
      <c r="AO5738" s="6"/>
    </row>
    <row r="5739" spans="26:41" x14ac:dyDescent="0.25">
      <c r="Z5739"/>
      <c r="AO5739" s="6"/>
    </row>
    <row r="5740" spans="26:41" x14ac:dyDescent="0.25">
      <c r="Z5740"/>
      <c r="AO5740" s="6"/>
    </row>
    <row r="5741" spans="26:41" x14ac:dyDescent="0.25">
      <c r="Z5741"/>
      <c r="AO5741" s="6"/>
    </row>
    <row r="5742" spans="26:41" x14ac:dyDescent="0.25">
      <c r="Z5742"/>
      <c r="AO5742" s="6"/>
    </row>
    <row r="5743" spans="26:41" x14ac:dyDescent="0.25">
      <c r="Z5743"/>
      <c r="AO5743" s="6"/>
    </row>
    <row r="5744" spans="26:41" x14ac:dyDescent="0.25">
      <c r="Z5744"/>
      <c r="AO5744" s="6"/>
    </row>
    <row r="5745" spans="26:41" x14ac:dyDescent="0.25">
      <c r="Z5745"/>
      <c r="AO5745" s="6"/>
    </row>
    <row r="5746" spans="26:41" x14ac:dyDescent="0.25">
      <c r="Z5746"/>
      <c r="AO5746" s="6"/>
    </row>
    <row r="5747" spans="26:41" x14ac:dyDescent="0.25">
      <c r="Z5747"/>
      <c r="AO5747" s="6"/>
    </row>
    <row r="5748" spans="26:41" x14ac:dyDescent="0.25">
      <c r="Z5748"/>
      <c r="AO5748" s="6"/>
    </row>
    <row r="5749" spans="26:41" x14ac:dyDescent="0.25">
      <c r="Z5749"/>
      <c r="AO5749" s="6"/>
    </row>
    <row r="5750" spans="26:41" x14ac:dyDescent="0.25">
      <c r="Z5750"/>
      <c r="AO5750" s="6"/>
    </row>
    <row r="5751" spans="26:41" x14ac:dyDescent="0.25">
      <c r="Z5751"/>
      <c r="AO5751" s="6"/>
    </row>
    <row r="5752" spans="26:41" x14ac:dyDescent="0.25">
      <c r="Z5752"/>
      <c r="AO5752" s="6"/>
    </row>
    <row r="5753" spans="26:41" x14ac:dyDescent="0.25">
      <c r="Z5753"/>
      <c r="AO5753" s="6"/>
    </row>
    <row r="5754" spans="26:41" x14ac:dyDescent="0.25">
      <c r="Z5754"/>
      <c r="AO5754" s="6"/>
    </row>
    <row r="5755" spans="26:41" x14ac:dyDescent="0.25">
      <c r="Z5755"/>
      <c r="AO5755" s="6"/>
    </row>
    <row r="5756" spans="26:41" x14ac:dyDescent="0.25">
      <c r="Z5756"/>
      <c r="AO5756" s="6"/>
    </row>
    <row r="5757" spans="26:41" x14ac:dyDescent="0.25">
      <c r="Z5757"/>
      <c r="AO5757" s="6"/>
    </row>
    <row r="5758" spans="26:41" x14ac:dyDescent="0.25">
      <c r="Z5758"/>
      <c r="AO5758" s="6"/>
    </row>
    <row r="5759" spans="26:41" x14ac:dyDescent="0.25">
      <c r="Z5759"/>
      <c r="AO5759" s="6"/>
    </row>
    <row r="5760" spans="26:41" x14ac:dyDescent="0.25">
      <c r="Z5760"/>
      <c r="AO5760" s="6"/>
    </row>
    <row r="5761" spans="26:41" x14ac:dyDescent="0.25">
      <c r="Z5761"/>
      <c r="AO5761" s="6"/>
    </row>
    <row r="5762" spans="26:41" x14ac:dyDescent="0.25">
      <c r="Z5762"/>
      <c r="AO5762" s="6"/>
    </row>
    <row r="5763" spans="26:41" x14ac:dyDescent="0.25">
      <c r="Z5763"/>
      <c r="AO5763" s="6"/>
    </row>
    <row r="5764" spans="26:41" x14ac:dyDescent="0.25">
      <c r="Z5764"/>
      <c r="AO5764" s="6"/>
    </row>
    <row r="5765" spans="26:41" x14ac:dyDescent="0.25">
      <c r="Z5765"/>
      <c r="AO5765" s="6"/>
    </row>
    <row r="5766" spans="26:41" x14ac:dyDescent="0.25">
      <c r="Z5766"/>
      <c r="AO5766" s="6"/>
    </row>
    <row r="5767" spans="26:41" x14ac:dyDescent="0.25">
      <c r="Z5767"/>
      <c r="AO5767" s="6"/>
    </row>
    <row r="5768" spans="26:41" x14ac:dyDescent="0.25">
      <c r="Z5768"/>
      <c r="AO5768" s="6"/>
    </row>
    <row r="5769" spans="26:41" x14ac:dyDescent="0.25">
      <c r="Z5769"/>
      <c r="AO5769" s="6"/>
    </row>
    <row r="5770" spans="26:41" x14ac:dyDescent="0.25">
      <c r="Z5770"/>
      <c r="AO5770" s="6"/>
    </row>
    <row r="5771" spans="26:41" x14ac:dyDescent="0.25">
      <c r="Z5771"/>
      <c r="AO5771" s="6"/>
    </row>
    <row r="5772" spans="26:41" x14ac:dyDescent="0.25">
      <c r="Z5772"/>
      <c r="AO5772" s="6"/>
    </row>
    <row r="5773" spans="26:41" x14ac:dyDescent="0.25">
      <c r="Z5773"/>
      <c r="AO5773" s="6"/>
    </row>
    <row r="5774" spans="26:41" x14ac:dyDescent="0.25">
      <c r="Z5774"/>
      <c r="AO5774" s="6"/>
    </row>
    <row r="5775" spans="26:41" x14ac:dyDescent="0.25">
      <c r="Z5775"/>
      <c r="AO5775" s="6"/>
    </row>
    <row r="5776" spans="26:41" x14ac:dyDescent="0.25">
      <c r="Z5776"/>
      <c r="AO5776" s="6"/>
    </row>
    <row r="5777" spans="26:41" x14ac:dyDescent="0.25">
      <c r="Z5777"/>
      <c r="AO5777" s="6"/>
    </row>
    <row r="5778" spans="26:41" x14ac:dyDescent="0.25">
      <c r="Z5778"/>
      <c r="AO5778" s="6"/>
    </row>
    <row r="5779" spans="26:41" x14ac:dyDescent="0.25">
      <c r="Z5779"/>
      <c r="AO5779" s="6"/>
    </row>
    <row r="5780" spans="26:41" x14ac:dyDescent="0.25">
      <c r="Z5780"/>
      <c r="AO5780" s="6"/>
    </row>
    <row r="5781" spans="26:41" x14ac:dyDescent="0.25">
      <c r="Z5781"/>
      <c r="AO5781" s="6"/>
    </row>
    <row r="5782" spans="26:41" x14ac:dyDescent="0.25">
      <c r="Z5782"/>
      <c r="AO5782" s="6"/>
    </row>
    <row r="5783" spans="26:41" x14ac:dyDescent="0.25">
      <c r="Z5783"/>
      <c r="AO5783" s="6"/>
    </row>
    <row r="5784" spans="26:41" x14ac:dyDescent="0.25">
      <c r="Z5784"/>
      <c r="AO5784" s="6"/>
    </row>
    <row r="5785" spans="26:41" x14ac:dyDescent="0.25">
      <c r="Z5785"/>
      <c r="AO5785" s="6"/>
    </row>
    <row r="5786" spans="26:41" x14ac:dyDescent="0.25">
      <c r="Z5786"/>
      <c r="AO5786" s="6"/>
    </row>
    <row r="5787" spans="26:41" x14ac:dyDescent="0.25">
      <c r="Z5787"/>
      <c r="AO5787" s="6"/>
    </row>
    <row r="5788" spans="26:41" x14ac:dyDescent="0.25">
      <c r="Z5788"/>
      <c r="AO5788" s="6"/>
    </row>
    <row r="5789" spans="26:41" x14ac:dyDescent="0.25">
      <c r="Z5789"/>
      <c r="AO5789" s="6"/>
    </row>
    <row r="5790" spans="26:41" x14ac:dyDescent="0.25">
      <c r="Z5790"/>
      <c r="AO5790" s="6"/>
    </row>
    <row r="5791" spans="26:41" x14ac:dyDescent="0.25">
      <c r="Z5791"/>
      <c r="AO5791" s="6"/>
    </row>
    <row r="5792" spans="26:41" x14ac:dyDescent="0.25">
      <c r="Z5792"/>
      <c r="AO5792" s="6"/>
    </row>
    <row r="5793" spans="26:41" x14ac:dyDescent="0.25">
      <c r="Z5793"/>
      <c r="AO5793" s="6"/>
    </row>
    <row r="5794" spans="26:41" x14ac:dyDescent="0.25">
      <c r="Z5794"/>
      <c r="AO5794" s="6"/>
    </row>
    <row r="5795" spans="26:41" x14ac:dyDescent="0.25">
      <c r="Z5795"/>
      <c r="AO5795" s="6"/>
    </row>
    <row r="5796" spans="26:41" x14ac:dyDescent="0.25">
      <c r="Z5796"/>
      <c r="AO5796" s="6"/>
    </row>
    <row r="5797" spans="26:41" x14ac:dyDescent="0.25">
      <c r="Z5797"/>
      <c r="AO5797" s="6"/>
    </row>
    <row r="5798" spans="26:41" x14ac:dyDescent="0.25">
      <c r="Z5798"/>
      <c r="AO5798" s="6"/>
    </row>
    <row r="5799" spans="26:41" x14ac:dyDescent="0.25">
      <c r="Z5799"/>
      <c r="AO5799" s="6"/>
    </row>
    <row r="5800" spans="26:41" x14ac:dyDescent="0.25">
      <c r="Z5800"/>
      <c r="AO5800" s="6"/>
    </row>
    <row r="5801" spans="26:41" x14ac:dyDescent="0.25">
      <c r="Z5801"/>
      <c r="AO5801" s="6"/>
    </row>
    <row r="5802" spans="26:41" x14ac:dyDescent="0.25">
      <c r="Z5802"/>
      <c r="AO5802" s="6"/>
    </row>
    <row r="5803" spans="26:41" x14ac:dyDescent="0.25">
      <c r="Z5803"/>
      <c r="AO5803" s="6"/>
    </row>
    <row r="5804" spans="26:41" x14ac:dyDescent="0.25">
      <c r="Z5804"/>
      <c r="AO5804" s="6"/>
    </row>
    <row r="5805" spans="26:41" x14ac:dyDescent="0.25">
      <c r="Z5805"/>
      <c r="AO5805" s="6"/>
    </row>
    <row r="5806" spans="26:41" x14ac:dyDescent="0.25">
      <c r="Z5806"/>
      <c r="AO5806" s="6"/>
    </row>
    <row r="5807" spans="26:41" x14ac:dyDescent="0.25">
      <c r="Z5807"/>
      <c r="AO5807" s="6"/>
    </row>
    <row r="5808" spans="26:41" x14ac:dyDescent="0.25">
      <c r="Z5808"/>
      <c r="AO5808" s="6"/>
    </row>
    <row r="5809" spans="26:41" x14ac:dyDescent="0.25">
      <c r="Z5809"/>
      <c r="AO5809" s="6"/>
    </row>
    <row r="5810" spans="26:41" x14ac:dyDescent="0.25">
      <c r="Z5810"/>
      <c r="AO5810" s="6"/>
    </row>
    <row r="5811" spans="26:41" x14ac:dyDescent="0.25">
      <c r="Z5811"/>
      <c r="AO5811" s="6"/>
    </row>
    <row r="5812" spans="26:41" x14ac:dyDescent="0.25">
      <c r="Z5812"/>
      <c r="AO5812" s="6"/>
    </row>
    <row r="5813" spans="26:41" x14ac:dyDescent="0.25">
      <c r="Z5813"/>
      <c r="AO5813" s="6"/>
    </row>
    <row r="5814" spans="26:41" x14ac:dyDescent="0.25">
      <c r="Z5814"/>
      <c r="AO5814" s="6"/>
    </row>
    <row r="5815" spans="26:41" x14ac:dyDescent="0.25">
      <c r="Z5815"/>
      <c r="AO5815" s="6"/>
    </row>
    <row r="5816" spans="26:41" x14ac:dyDescent="0.25">
      <c r="Z5816"/>
      <c r="AO5816" s="6"/>
    </row>
    <row r="5817" spans="26:41" x14ac:dyDescent="0.25">
      <c r="Z5817"/>
      <c r="AO5817" s="6"/>
    </row>
    <row r="5818" spans="26:41" x14ac:dyDescent="0.25">
      <c r="Z5818"/>
      <c r="AO5818" s="6"/>
    </row>
    <row r="5819" spans="26:41" x14ac:dyDescent="0.25">
      <c r="Z5819"/>
      <c r="AO5819" s="6"/>
    </row>
    <row r="5820" spans="26:41" x14ac:dyDescent="0.25">
      <c r="Z5820"/>
      <c r="AO5820" s="6"/>
    </row>
    <row r="5821" spans="26:41" x14ac:dyDescent="0.25">
      <c r="Z5821"/>
      <c r="AO5821" s="6"/>
    </row>
    <row r="5822" spans="26:41" x14ac:dyDescent="0.25">
      <c r="Z5822"/>
      <c r="AO5822" s="6"/>
    </row>
    <row r="5823" spans="26:41" x14ac:dyDescent="0.25">
      <c r="Z5823"/>
      <c r="AO5823" s="6"/>
    </row>
    <row r="5824" spans="26:41" x14ac:dyDescent="0.25">
      <c r="Z5824"/>
      <c r="AO5824" s="6"/>
    </row>
    <row r="5825" spans="26:41" x14ac:dyDescent="0.25">
      <c r="Z5825"/>
      <c r="AO5825" s="6"/>
    </row>
    <row r="5826" spans="26:41" x14ac:dyDescent="0.25">
      <c r="Z5826"/>
      <c r="AO5826" s="6"/>
    </row>
    <row r="5827" spans="26:41" x14ac:dyDescent="0.25">
      <c r="Z5827"/>
      <c r="AO5827" s="6"/>
    </row>
    <row r="5828" spans="26:41" x14ac:dyDescent="0.25">
      <c r="Z5828"/>
      <c r="AO5828" s="6"/>
    </row>
    <row r="5829" spans="26:41" x14ac:dyDescent="0.25">
      <c r="Z5829"/>
      <c r="AO5829" s="6"/>
    </row>
    <row r="5830" spans="26:41" x14ac:dyDescent="0.25">
      <c r="Z5830"/>
      <c r="AO5830" s="6"/>
    </row>
    <row r="5831" spans="26:41" x14ac:dyDescent="0.25">
      <c r="Z5831"/>
      <c r="AO5831" s="6"/>
    </row>
    <row r="5832" spans="26:41" x14ac:dyDescent="0.25">
      <c r="Z5832"/>
      <c r="AO5832" s="6"/>
    </row>
    <row r="5833" spans="26:41" x14ac:dyDescent="0.25">
      <c r="Z5833"/>
      <c r="AO5833" s="6"/>
    </row>
    <row r="5834" spans="26:41" x14ac:dyDescent="0.25">
      <c r="Z5834"/>
      <c r="AO5834" s="6"/>
    </row>
    <row r="5835" spans="26:41" x14ac:dyDescent="0.25">
      <c r="Z5835"/>
      <c r="AO5835" s="6"/>
    </row>
    <row r="5836" spans="26:41" x14ac:dyDescent="0.25">
      <c r="Z5836"/>
      <c r="AO5836" s="6"/>
    </row>
    <row r="5837" spans="26:41" x14ac:dyDescent="0.25">
      <c r="Z5837"/>
      <c r="AO5837" s="6"/>
    </row>
    <row r="5838" spans="26:41" x14ac:dyDescent="0.25">
      <c r="Z5838"/>
      <c r="AO5838" s="6"/>
    </row>
    <row r="5839" spans="26:41" x14ac:dyDescent="0.25">
      <c r="Z5839"/>
      <c r="AO5839" s="6"/>
    </row>
    <row r="5840" spans="26:41" x14ac:dyDescent="0.25">
      <c r="Z5840"/>
      <c r="AO5840" s="6"/>
    </row>
    <row r="5841" spans="26:41" x14ac:dyDescent="0.25">
      <c r="Z5841"/>
      <c r="AO5841" s="6"/>
    </row>
    <row r="5842" spans="26:41" x14ac:dyDescent="0.25">
      <c r="Z5842"/>
      <c r="AO5842" s="6"/>
    </row>
    <row r="5843" spans="26:41" x14ac:dyDescent="0.25">
      <c r="Z5843"/>
      <c r="AO5843" s="6"/>
    </row>
    <row r="5844" spans="26:41" x14ac:dyDescent="0.25">
      <c r="Z5844"/>
      <c r="AO5844" s="6"/>
    </row>
    <row r="5845" spans="26:41" x14ac:dyDescent="0.25">
      <c r="Z5845"/>
      <c r="AO5845" s="6"/>
    </row>
    <row r="5846" spans="26:41" x14ac:dyDescent="0.25">
      <c r="Z5846"/>
      <c r="AO5846" s="6"/>
    </row>
    <row r="5847" spans="26:41" x14ac:dyDescent="0.25">
      <c r="Z5847"/>
      <c r="AO5847" s="6"/>
    </row>
    <row r="5848" spans="26:41" x14ac:dyDescent="0.25">
      <c r="Z5848"/>
      <c r="AO5848" s="6"/>
    </row>
    <row r="5849" spans="26:41" x14ac:dyDescent="0.25">
      <c r="Z5849"/>
      <c r="AO5849" s="6"/>
    </row>
    <row r="5850" spans="26:41" x14ac:dyDescent="0.25">
      <c r="Z5850"/>
      <c r="AO5850" s="6"/>
    </row>
    <row r="5851" spans="26:41" x14ac:dyDescent="0.25">
      <c r="Z5851"/>
      <c r="AO5851" s="6"/>
    </row>
    <row r="5852" spans="26:41" x14ac:dyDescent="0.25">
      <c r="Z5852"/>
      <c r="AO5852" s="6"/>
    </row>
    <row r="5853" spans="26:41" x14ac:dyDescent="0.25">
      <c r="Z5853"/>
      <c r="AO5853" s="6"/>
    </row>
    <row r="5854" spans="26:41" x14ac:dyDescent="0.25">
      <c r="Z5854"/>
      <c r="AO5854" s="6"/>
    </row>
    <row r="5855" spans="26:41" x14ac:dyDescent="0.25">
      <c r="Z5855"/>
      <c r="AO5855" s="6"/>
    </row>
    <row r="5856" spans="26:41" x14ac:dyDescent="0.25">
      <c r="Z5856"/>
      <c r="AO5856" s="6"/>
    </row>
    <row r="5857" spans="26:41" x14ac:dyDescent="0.25">
      <c r="Z5857"/>
      <c r="AO5857" s="6"/>
    </row>
    <row r="5858" spans="26:41" x14ac:dyDescent="0.25">
      <c r="Z5858"/>
      <c r="AO5858" s="6"/>
    </row>
    <row r="5859" spans="26:41" x14ac:dyDescent="0.25">
      <c r="Z5859"/>
      <c r="AO5859" s="6"/>
    </row>
    <row r="5860" spans="26:41" x14ac:dyDescent="0.25">
      <c r="Z5860"/>
      <c r="AO5860" s="6"/>
    </row>
    <row r="5861" spans="26:41" x14ac:dyDescent="0.25">
      <c r="Z5861"/>
      <c r="AO5861" s="6"/>
    </row>
    <row r="5862" spans="26:41" x14ac:dyDescent="0.25">
      <c r="Z5862"/>
      <c r="AO5862" s="6"/>
    </row>
    <row r="5863" spans="26:41" x14ac:dyDescent="0.25">
      <c r="Z5863"/>
      <c r="AO5863" s="6"/>
    </row>
    <row r="5864" spans="26:41" x14ac:dyDescent="0.25">
      <c r="Z5864"/>
      <c r="AO5864" s="6"/>
    </row>
    <row r="5865" spans="26:41" x14ac:dyDescent="0.25">
      <c r="Z5865"/>
      <c r="AO5865" s="6"/>
    </row>
    <row r="5866" spans="26:41" x14ac:dyDescent="0.25">
      <c r="Z5866"/>
      <c r="AO5866" s="6"/>
    </row>
    <row r="5867" spans="26:41" x14ac:dyDescent="0.25">
      <c r="Z5867"/>
      <c r="AO5867" s="6"/>
    </row>
    <row r="5868" spans="26:41" x14ac:dyDescent="0.25">
      <c r="Z5868"/>
      <c r="AO5868" s="6"/>
    </row>
    <row r="5869" spans="26:41" x14ac:dyDescent="0.25">
      <c r="Z5869"/>
      <c r="AO5869" s="6"/>
    </row>
    <row r="5870" spans="26:41" x14ac:dyDescent="0.25">
      <c r="Z5870"/>
      <c r="AO5870" s="6"/>
    </row>
    <row r="5871" spans="26:41" x14ac:dyDescent="0.25">
      <c r="Z5871"/>
      <c r="AO5871" s="6"/>
    </row>
    <row r="5872" spans="26:41" x14ac:dyDescent="0.25">
      <c r="Z5872"/>
      <c r="AO5872" s="6"/>
    </row>
    <row r="5873" spans="26:41" x14ac:dyDescent="0.25">
      <c r="Z5873"/>
      <c r="AO5873" s="6"/>
    </row>
    <row r="5874" spans="26:41" x14ac:dyDescent="0.25">
      <c r="Z5874"/>
      <c r="AO5874" s="6"/>
    </row>
    <row r="5875" spans="26:41" x14ac:dyDescent="0.25">
      <c r="Z5875"/>
      <c r="AO5875" s="6"/>
    </row>
    <row r="5876" spans="26:41" x14ac:dyDescent="0.25">
      <c r="Z5876"/>
      <c r="AO5876" s="6"/>
    </row>
    <row r="5877" spans="26:41" x14ac:dyDescent="0.25">
      <c r="Z5877"/>
      <c r="AO5877" s="6"/>
    </row>
    <row r="5878" spans="26:41" x14ac:dyDescent="0.25">
      <c r="Z5878"/>
      <c r="AO5878" s="6"/>
    </row>
    <row r="5879" spans="26:41" x14ac:dyDescent="0.25">
      <c r="Z5879"/>
      <c r="AO5879" s="6"/>
    </row>
    <row r="5880" spans="26:41" x14ac:dyDescent="0.25">
      <c r="Z5880"/>
      <c r="AO5880" s="6"/>
    </row>
    <row r="5881" spans="26:41" x14ac:dyDescent="0.25">
      <c r="Z5881"/>
      <c r="AO5881" s="6"/>
    </row>
    <row r="5882" spans="26:41" x14ac:dyDescent="0.25">
      <c r="Z5882"/>
      <c r="AO5882" s="6"/>
    </row>
    <row r="5883" spans="26:41" x14ac:dyDescent="0.25">
      <c r="Z5883"/>
      <c r="AO5883" s="6"/>
    </row>
    <row r="5884" spans="26:41" x14ac:dyDescent="0.25">
      <c r="Z5884"/>
      <c r="AO5884" s="6"/>
    </row>
    <row r="5885" spans="26:41" x14ac:dyDescent="0.25">
      <c r="Z5885"/>
      <c r="AO5885" s="6"/>
    </row>
    <row r="5886" spans="26:41" x14ac:dyDescent="0.25">
      <c r="Z5886"/>
      <c r="AO5886" s="6"/>
    </row>
    <row r="5887" spans="26:41" x14ac:dyDescent="0.25">
      <c r="Z5887"/>
      <c r="AO5887" s="6"/>
    </row>
    <row r="5888" spans="26:41" x14ac:dyDescent="0.25">
      <c r="Z5888"/>
      <c r="AO5888" s="6"/>
    </row>
    <row r="5889" spans="26:41" x14ac:dyDescent="0.25">
      <c r="Z5889"/>
      <c r="AO5889" s="6"/>
    </row>
    <row r="5890" spans="26:41" x14ac:dyDescent="0.25">
      <c r="Z5890"/>
      <c r="AO5890" s="6"/>
    </row>
    <row r="5891" spans="26:41" x14ac:dyDescent="0.25">
      <c r="Z5891"/>
      <c r="AO5891" s="6"/>
    </row>
    <row r="5892" spans="26:41" x14ac:dyDescent="0.25">
      <c r="Z5892"/>
      <c r="AO5892" s="6"/>
    </row>
    <row r="5893" spans="26:41" x14ac:dyDescent="0.25">
      <c r="Z5893"/>
      <c r="AO5893" s="6"/>
    </row>
    <row r="5894" spans="26:41" x14ac:dyDescent="0.25">
      <c r="Z5894"/>
      <c r="AO5894" s="6"/>
    </row>
    <row r="5895" spans="26:41" x14ac:dyDescent="0.25">
      <c r="Z5895"/>
      <c r="AO5895" s="6"/>
    </row>
    <row r="5896" spans="26:41" x14ac:dyDescent="0.25">
      <c r="Z5896"/>
      <c r="AO5896" s="6"/>
    </row>
    <row r="5897" spans="26:41" x14ac:dyDescent="0.25">
      <c r="Z5897"/>
      <c r="AO5897" s="6"/>
    </row>
    <row r="5898" spans="26:41" x14ac:dyDescent="0.25">
      <c r="Z5898"/>
      <c r="AO5898" s="6"/>
    </row>
    <row r="5899" spans="26:41" x14ac:dyDescent="0.25">
      <c r="Z5899"/>
      <c r="AO5899" s="6"/>
    </row>
    <row r="5900" spans="26:41" x14ac:dyDescent="0.25">
      <c r="Z5900"/>
      <c r="AO5900" s="6"/>
    </row>
    <row r="5901" spans="26:41" x14ac:dyDescent="0.25">
      <c r="Z5901"/>
      <c r="AO5901" s="6"/>
    </row>
    <row r="5902" spans="26:41" x14ac:dyDescent="0.25">
      <c r="Z5902"/>
      <c r="AO5902" s="6"/>
    </row>
    <row r="5903" spans="26:41" x14ac:dyDescent="0.25">
      <c r="Z5903"/>
      <c r="AO5903" s="6"/>
    </row>
    <row r="5904" spans="26:41" x14ac:dyDescent="0.25">
      <c r="Z5904"/>
      <c r="AO5904" s="6"/>
    </row>
    <row r="5905" spans="26:41" x14ac:dyDescent="0.25">
      <c r="Z5905"/>
      <c r="AO5905" s="6"/>
    </row>
    <row r="5906" spans="26:41" x14ac:dyDescent="0.25">
      <c r="Z5906"/>
      <c r="AO5906" s="6"/>
    </row>
    <row r="5907" spans="26:41" x14ac:dyDescent="0.25">
      <c r="Z5907"/>
      <c r="AO5907" s="6"/>
    </row>
    <row r="5908" spans="26:41" x14ac:dyDescent="0.25">
      <c r="Z5908"/>
      <c r="AO5908" s="6"/>
    </row>
    <row r="5909" spans="26:41" x14ac:dyDescent="0.25">
      <c r="Z5909"/>
      <c r="AO5909" s="6"/>
    </row>
    <row r="5910" spans="26:41" x14ac:dyDescent="0.25">
      <c r="Z5910"/>
      <c r="AO5910" s="6"/>
    </row>
    <row r="5911" spans="26:41" x14ac:dyDescent="0.25">
      <c r="Z5911"/>
      <c r="AO5911" s="6"/>
    </row>
    <row r="5912" spans="26:41" x14ac:dyDescent="0.25">
      <c r="Z5912"/>
      <c r="AO5912" s="6"/>
    </row>
    <row r="5913" spans="26:41" x14ac:dyDescent="0.25">
      <c r="Z5913"/>
      <c r="AO5913" s="6"/>
    </row>
    <row r="5914" spans="26:41" x14ac:dyDescent="0.25">
      <c r="Z5914"/>
      <c r="AO5914" s="6"/>
    </row>
    <row r="5915" spans="26:41" x14ac:dyDescent="0.25">
      <c r="Z5915"/>
      <c r="AO5915" s="6"/>
    </row>
    <row r="5916" spans="26:41" x14ac:dyDescent="0.25">
      <c r="Z5916"/>
      <c r="AO5916" s="6"/>
    </row>
    <row r="5917" spans="26:41" x14ac:dyDescent="0.25">
      <c r="Z5917"/>
      <c r="AO5917" s="6"/>
    </row>
    <row r="5918" spans="26:41" x14ac:dyDescent="0.25">
      <c r="Z5918"/>
      <c r="AO5918" s="6"/>
    </row>
    <row r="5919" spans="26:41" x14ac:dyDescent="0.25">
      <c r="Z5919"/>
      <c r="AO5919" s="6"/>
    </row>
    <row r="5920" spans="26:41" x14ac:dyDescent="0.25">
      <c r="Z5920"/>
      <c r="AO5920" s="6"/>
    </row>
    <row r="5921" spans="26:41" x14ac:dyDescent="0.25">
      <c r="Z5921"/>
      <c r="AO5921" s="6"/>
    </row>
    <row r="5922" spans="26:41" x14ac:dyDescent="0.25">
      <c r="Z5922"/>
      <c r="AO5922" s="6"/>
    </row>
    <row r="5923" spans="26:41" x14ac:dyDescent="0.25">
      <c r="Z5923"/>
      <c r="AO5923" s="6"/>
    </row>
    <row r="5924" spans="26:41" x14ac:dyDescent="0.25">
      <c r="Z5924"/>
      <c r="AO5924" s="6"/>
    </row>
    <row r="5925" spans="26:41" x14ac:dyDescent="0.25">
      <c r="Z5925"/>
      <c r="AO5925" s="6"/>
    </row>
    <row r="5926" spans="26:41" x14ac:dyDescent="0.25">
      <c r="Z5926"/>
      <c r="AO5926" s="6"/>
    </row>
    <row r="5927" spans="26:41" x14ac:dyDescent="0.25">
      <c r="Z5927"/>
      <c r="AO5927" s="6"/>
    </row>
    <row r="5928" spans="26:41" x14ac:dyDescent="0.25">
      <c r="Z5928"/>
      <c r="AO5928" s="6"/>
    </row>
    <row r="5929" spans="26:41" x14ac:dyDescent="0.25">
      <c r="Z5929"/>
      <c r="AO5929" s="6"/>
    </row>
    <row r="5930" spans="26:41" x14ac:dyDescent="0.25">
      <c r="Z5930"/>
      <c r="AO5930" s="6"/>
    </row>
    <row r="5931" spans="26:41" x14ac:dyDescent="0.25">
      <c r="Z5931"/>
      <c r="AO5931" s="6"/>
    </row>
    <row r="5932" spans="26:41" x14ac:dyDescent="0.25">
      <c r="Z5932"/>
      <c r="AO5932" s="6"/>
    </row>
    <row r="5933" spans="26:41" x14ac:dyDescent="0.25">
      <c r="Z5933"/>
      <c r="AO5933" s="6"/>
    </row>
    <row r="5934" spans="26:41" x14ac:dyDescent="0.25">
      <c r="Z5934"/>
      <c r="AO5934" s="6"/>
    </row>
    <row r="5935" spans="26:41" x14ac:dyDescent="0.25">
      <c r="Z5935"/>
      <c r="AO5935" s="6"/>
    </row>
    <row r="5936" spans="26:41" x14ac:dyDescent="0.25">
      <c r="Z5936"/>
      <c r="AO5936" s="6"/>
    </row>
    <row r="5937" spans="26:41" x14ac:dyDescent="0.25">
      <c r="Z5937"/>
      <c r="AO5937" s="6"/>
    </row>
    <row r="5938" spans="26:41" x14ac:dyDescent="0.25">
      <c r="Z5938"/>
      <c r="AO5938" s="6"/>
    </row>
    <row r="5939" spans="26:41" x14ac:dyDescent="0.25">
      <c r="Z5939"/>
      <c r="AO5939" s="6"/>
    </row>
    <row r="5940" spans="26:41" x14ac:dyDescent="0.25">
      <c r="Z5940"/>
      <c r="AO5940" s="6"/>
    </row>
    <row r="5941" spans="26:41" x14ac:dyDescent="0.25">
      <c r="Z5941"/>
      <c r="AO5941" s="6"/>
    </row>
    <row r="5942" spans="26:41" x14ac:dyDescent="0.25">
      <c r="Z5942"/>
      <c r="AO5942" s="6"/>
    </row>
    <row r="5943" spans="26:41" x14ac:dyDescent="0.25">
      <c r="Z5943"/>
      <c r="AO5943" s="6"/>
    </row>
    <row r="5944" spans="26:41" x14ac:dyDescent="0.25">
      <c r="Z5944"/>
      <c r="AO5944" s="6"/>
    </row>
    <row r="5945" spans="26:41" x14ac:dyDescent="0.25">
      <c r="Z5945"/>
      <c r="AO5945" s="6"/>
    </row>
    <row r="5946" spans="26:41" x14ac:dyDescent="0.25">
      <c r="Z5946"/>
      <c r="AO5946" s="6"/>
    </row>
    <row r="5947" spans="26:41" x14ac:dyDescent="0.25">
      <c r="Z5947"/>
      <c r="AO5947" s="6"/>
    </row>
    <row r="5948" spans="26:41" x14ac:dyDescent="0.25">
      <c r="Z5948"/>
      <c r="AO5948" s="6"/>
    </row>
    <row r="5949" spans="26:41" x14ac:dyDescent="0.25">
      <c r="Z5949"/>
      <c r="AO5949" s="6"/>
    </row>
    <row r="5950" spans="26:41" x14ac:dyDescent="0.25">
      <c r="Z5950"/>
      <c r="AO5950" s="6"/>
    </row>
    <row r="5951" spans="26:41" x14ac:dyDescent="0.25">
      <c r="Z5951"/>
      <c r="AO5951" s="6"/>
    </row>
    <row r="5952" spans="26:41" x14ac:dyDescent="0.25">
      <c r="Z5952"/>
      <c r="AO5952" s="6"/>
    </row>
    <row r="5953" spans="26:41" x14ac:dyDescent="0.25">
      <c r="Z5953"/>
      <c r="AO5953" s="6"/>
    </row>
    <row r="5954" spans="26:41" x14ac:dyDescent="0.25">
      <c r="Z5954"/>
      <c r="AO5954" s="6"/>
    </row>
    <row r="5955" spans="26:41" x14ac:dyDescent="0.25">
      <c r="Z5955"/>
      <c r="AO5955" s="6"/>
    </row>
    <row r="5956" spans="26:41" x14ac:dyDescent="0.25">
      <c r="Z5956"/>
      <c r="AO5956" s="6"/>
    </row>
    <row r="5957" spans="26:41" x14ac:dyDescent="0.25">
      <c r="Z5957"/>
      <c r="AO5957" s="6"/>
    </row>
    <row r="5958" spans="26:41" x14ac:dyDescent="0.25">
      <c r="Z5958"/>
      <c r="AO5958" s="6"/>
    </row>
    <row r="5959" spans="26:41" x14ac:dyDescent="0.25">
      <c r="Z5959"/>
      <c r="AO5959" s="6"/>
    </row>
    <row r="5960" spans="26:41" x14ac:dyDescent="0.25">
      <c r="Z5960"/>
      <c r="AO5960" s="6"/>
    </row>
    <row r="5961" spans="26:41" x14ac:dyDescent="0.25">
      <c r="Z5961"/>
      <c r="AO5961" s="6"/>
    </row>
    <row r="5962" spans="26:41" x14ac:dyDescent="0.25">
      <c r="Z5962"/>
      <c r="AO5962" s="6"/>
    </row>
    <row r="5963" spans="26:41" x14ac:dyDescent="0.25">
      <c r="Z5963"/>
      <c r="AO5963" s="6"/>
    </row>
    <row r="5964" spans="26:41" x14ac:dyDescent="0.25">
      <c r="Z5964"/>
      <c r="AO5964" s="6"/>
    </row>
    <row r="5965" spans="26:41" x14ac:dyDescent="0.25">
      <c r="Z5965"/>
      <c r="AO5965" s="6"/>
    </row>
    <row r="5966" spans="26:41" x14ac:dyDescent="0.25">
      <c r="Z5966"/>
      <c r="AO5966" s="6"/>
    </row>
    <row r="5967" spans="26:41" x14ac:dyDescent="0.25">
      <c r="Z5967"/>
      <c r="AO5967" s="6"/>
    </row>
    <row r="5968" spans="26:41" x14ac:dyDescent="0.25">
      <c r="Z5968"/>
      <c r="AO5968" s="6"/>
    </row>
    <row r="5969" spans="26:41" x14ac:dyDescent="0.25">
      <c r="Z5969"/>
      <c r="AO5969" s="6"/>
    </row>
    <row r="5970" spans="26:41" x14ac:dyDescent="0.25">
      <c r="Z5970"/>
      <c r="AO5970" s="6"/>
    </row>
    <row r="5971" spans="26:41" x14ac:dyDescent="0.25">
      <c r="Z5971"/>
      <c r="AO5971" s="6"/>
    </row>
    <row r="5972" spans="26:41" x14ac:dyDescent="0.25">
      <c r="Z5972"/>
      <c r="AO5972" s="6"/>
    </row>
    <row r="5973" spans="26:41" x14ac:dyDescent="0.25">
      <c r="Z5973"/>
      <c r="AO5973" s="6"/>
    </row>
    <row r="5974" spans="26:41" x14ac:dyDescent="0.25">
      <c r="Z5974"/>
      <c r="AO5974" s="6"/>
    </row>
    <row r="5975" spans="26:41" x14ac:dyDescent="0.25">
      <c r="Z5975"/>
      <c r="AO5975" s="6"/>
    </row>
    <row r="5976" spans="26:41" x14ac:dyDescent="0.25">
      <c r="Z5976"/>
      <c r="AO5976" s="6"/>
    </row>
    <row r="5977" spans="26:41" x14ac:dyDescent="0.25">
      <c r="Z5977"/>
      <c r="AO5977" s="6"/>
    </row>
    <row r="5978" spans="26:41" x14ac:dyDescent="0.25">
      <c r="Z5978"/>
      <c r="AO5978" s="6"/>
    </row>
    <row r="5979" spans="26:41" x14ac:dyDescent="0.25">
      <c r="Z5979"/>
      <c r="AO5979" s="6"/>
    </row>
    <row r="5980" spans="26:41" x14ac:dyDescent="0.25">
      <c r="Z5980"/>
      <c r="AO5980" s="6"/>
    </row>
    <row r="5981" spans="26:41" x14ac:dyDescent="0.25">
      <c r="Z5981"/>
      <c r="AO5981" s="6"/>
    </row>
    <row r="5982" spans="26:41" x14ac:dyDescent="0.25">
      <c r="Z5982"/>
      <c r="AO5982" s="6"/>
    </row>
    <row r="5983" spans="26:41" x14ac:dyDescent="0.25">
      <c r="Z5983"/>
      <c r="AO5983" s="6"/>
    </row>
    <row r="5984" spans="26:41" x14ac:dyDescent="0.25">
      <c r="Z5984"/>
      <c r="AO5984" s="6"/>
    </row>
    <row r="5985" spans="26:41" x14ac:dyDescent="0.25">
      <c r="Z5985"/>
      <c r="AO5985" s="6"/>
    </row>
    <row r="5986" spans="26:41" x14ac:dyDescent="0.25">
      <c r="Z5986"/>
      <c r="AO5986" s="6"/>
    </row>
    <row r="5987" spans="26:41" x14ac:dyDescent="0.25">
      <c r="Z5987"/>
      <c r="AO5987" s="6"/>
    </row>
    <row r="5988" spans="26:41" x14ac:dyDescent="0.25">
      <c r="Z5988"/>
      <c r="AO5988" s="6"/>
    </row>
    <row r="5989" spans="26:41" x14ac:dyDescent="0.25">
      <c r="Z5989"/>
      <c r="AO5989" s="6"/>
    </row>
    <row r="5990" spans="26:41" x14ac:dyDescent="0.25">
      <c r="Z5990"/>
      <c r="AO5990" s="6"/>
    </row>
    <row r="5991" spans="26:41" x14ac:dyDescent="0.25">
      <c r="Z5991"/>
      <c r="AO5991" s="6"/>
    </row>
    <row r="5992" spans="26:41" x14ac:dyDescent="0.25">
      <c r="Z5992"/>
      <c r="AO5992" s="6"/>
    </row>
    <row r="5993" spans="26:41" x14ac:dyDescent="0.25">
      <c r="Z5993"/>
      <c r="AO5993" s="6"/>
    </row>
    <row r="5994" spans="26:41" x14ac:dyDescent="0.25">
      <c r="Z5994"/>
      <c r="AO5994" s="6"/>
    </row>
    <row r="5995" spans="26:41" x14ac:dyDescent="0.25">
      <c r="Z5995"/>
      <c r="AO5995" s="6"/>
    </row>
    <row r="5996" spans="26:41" x14ac:dyDescent="0.25">
      <c r="Z5996"/>
      <c r="AO5996" s="6"/>
    </row>
    <row r="5997" spans="26:41" x14ac:dyDescent="0.25">
      <c r="Z5997"/>
      <c r="AO5997" s="6"/>
    </row>
    <row r="5998" spans="26:41" x14ac:dyDescent="0.25">
      <c r="Z5998"/>
      <c r="AO5998" s="6"/>
    </row>
    <row r="5999" spans="26:41" x14ac:dyDescent="0.25">
      <c r="Z5999"/>
      <c r="AO5999" s="6"/>
    </row>
    <row r="6000" spans="26:41" x14ac:dyDescent="0.25">
      <c r="Z6000"/>
      <c r="AO6000" s="6"/>
    </row>
    <row r="6001" spans="26:41" x14ac:dyDescent="0.25">
      <c r="Z6001"/>
      <c r="AO6001" s="6"/>
    </row>
    <row r="6002" spans="26:41" x14ac:dyDescent="0.25">
      <c r="Z6002"/>
      <c r="AO6002" s="6"/>
    </row>
    <row r="6003" spans="26:41" x14ac:dyDescent="0.25">
      <c r="Z6003"/>
      <c r="AO6003" s="6"/>
    </row>
    <row r="6004" spans="26:41" x14ac:dyDescent="0.25">
      <c r="Z6004"/>
      <c r="AO6004" s="6"/>
    </row>
    <row r="6005" spans="26:41" x14ac:dyDescent="0.25">
      <c r="Z6005"/>
      <c r="AO6005" s="6"/>
    </row>
    <row r="6006" spans="26:41" x14ac:dyDescent="0.25">
      <c r="Z6006"/>
      <c r="AO6006" s="6"/>
    </row>
    <row r="6007" spans="26:41" x14ac:dyDescent="0.25">
      <c r="Z6007"/>
      <c r="AO6007" s="6"/>
    </row>
    <row r="6008" spans="26:41" x14ac:dyDescent="0.25">
      <c r="Z6008"/>
      <c r="AO6008" s="6"/>
    </row>
    <row r="6009" spans="26:41" x14ac:dyDescent="0.25">
      <c r="Z6009"/>
      <c r="AO6009" s="6"/>
    </row>
    <row r="6010" spans="26:41" x14ac:dyDescent="0.25">
      <c r="Z6010"/>
      <c r="AO6010" s="6"/>
    </row>
    <row r="6011" spans="26:41" x14ac:dyDescent="0.25">
      <c r="Z6011"/>
      <c r="AO6011" s="6"/>
    </row>
    <row r="6012" spans="26:41" x14ac:dyDescent="0.25">
      <c r="Z6012"/>
      <c r="AO6012" s="6"/>
    </row>
    <row r="6013" spans="26:41" x14ac:dyDescent="0.25">
      <c r="Z6013"/>
      <c r="AO6013" s="6"/>
    </row>
    <row r="6014" spans="26:41" x14ac:dyDescent="0.25">
      <c r="Z6014"/>
      <c r="AO6014" s="6"/>
    </row>
    <row r="6015" spans="26:41" x14ac:dyDescent="0.25">
      <c r="Z6015"/>
      <c r="AO6015" s="6"/>
    </row>
    <row r="6016" spans="26:41" x14ac:dyDescent="0.25">
      <c r="Z6016"/>
      <c r="AO6016" s="6"/>
    </row>
    <row r="6017" spans="26:41" x14ac:dyDescent="0.25">
      <c r="Z6017"/>
      <c r="AO6017" s="6"/>
    </row>
    <row r="6018" spans="26:41" x14ac:dyDescent="0.25">
      <c r="Z6018"/>
      <c r="AO6018" s="6"/>
    </row>
    <row r="6019" spans="26:41" x14ac:dyDescent="0.25">
      <c r="Z6019"/>
      <c r="AO6019" s="6"/>
    </row>
    <row r="6020" spans="26:41" x14ac:dyDescent="0.25">
      <c r="Z6020"/>
      <c r="AO6020" s="6"/>
    </row>
    <row r="6021" spans="26:41" x14ac:dyDescent="0.25">
      <c r="Z6021"/>
      <c r="AO6021" s="6"/>
    </row>
    <row r="6022" spans="26:41" x14ac:dyDescent="0.25">
      <c r="Z6022"/>
      <c r="AO6022" s="6"/>
    </row>
    <row r="6023" spans="26:41" x14ac:dyDescent="0.25">
      <c r="Z6023"/>
      <c r="AO6023" s="6"/>
    </row>
    <row r="6024" spans="26:41" x14ac:dyDescent="0.25">
      <c r="Z6024"/>
      <c r="AO6024" s="6"/>
    </row>
    <row r="6025" spans="26:41" x14ac:dyDescent="0.25">
      <c r="Z6025"/>
      <c r="AO6025" s="6"/>
    </row>
    <row r="6026" spans="26:41" x14ac:dyDescent="0.25">
      <c r="Z6026"/>
      <c r="AO6026" s="6"/>
    </row>
    <row r="6027" spans="26:41" x14ac:dyDescent="0.25">
      <c r="Z6027"/>
      <c r="AO6027" s="6"/>
    </row>
    <row r="6028" spans="26:41" x14ac:dyDescent="0.25">
      <c r="Z6028"/>
      <c r="AO6028" s="6"/>
    </row>
    <row r="6029" spans="26:41" x14ac:dyDescent="0.25">
      <c r="Z6029"/>
      <c r="AO6029" s="6"/>
    </row>
    <row r="6030" spans="26:41" x14ac:dyDescent="0.25">
      <c r="Z6030"/>
      <c r="AO6030" s="6"/>
    </row>
    <row r="6031" spans="26:41" x14ac:dyDescent="0.25">
      <c r="Z6031"/>
      <c r="AO6031" s="6"/>
    </row>
    <row r="6032" spans="26:41" x14ac:dyDescent="0.25">
      <c r="Z6032"/>
      <c r="AO6032" s="6"/>
    </row>
    <row r="6033" spans="26:41" x14ac:dyDescent="0.25">
      <c r="Z6033"/>
      <c r="AO6033" s="6"/>
    </row>
    <row r="6034" spans="26:41" x14ac:dyDescent="0.25">
      <c r="Z6034"/>
      <c r="AO6034" s="6"/>
    </row>
    <row r="6035" spans="26:41" x14ac:dyDescent="0.25">
      <c r="Z6035"/>
      <c r="AO6035" s="6"/>
    </row>
    <row r="6036" spans="26:41" x14ac:dyDescent="0.25">
      <c r="Z6036"/>
      <c r="AO6036" s="6"/>
    </row>
    <row r="6037" spans="26:41" x14ac:dyDescent="0.25">
      <c r="Z6037"/>
      <c r="AO6037" s="6"/>
    </row>
    <row r="6038" spans="26:41" x14ac:dyDescent="0.25">
      <c r="Z6038"/>
      <c r="AO6038" s="6"/>
    </row>
    <row r="6039" spans="26:41" x14ac:dyDescent="0.25">
      <c r="Z6039"/>
      <c r="AO6039" s="6"/>
    </row>
    <row r="6040" spans="26:41" x14ac:dyDescent="0.25">
      <c r="Z6040"/>
      <c r="AO6040" s="6"/>
    </row>
    <row r="6041" spans="26:41" x14ac:dyDescent="0.25">
      <c r="Z6041"/>
      <c r="AO6041" s="6"/>
    </row>
    <row r="6042" spans="26:41" x14ac:dyDescent="0.25">
      <c r="Z6042"/>
      <c r="AO6042" s="6"/>
    </row>
    <row r="6043" spans="26:41" x14ac:dyDescent="0.25">
      <c r="Z6043"/>
      <c r="AO6043" s="6"/>
    </row>
    <row r="6044" spans="26:41" x14ac:dyDescent="0.25">
      <c r="Z6044"/>
      <c r="AO6044" s="6"/>
    </row>
    <row r="6045" spans="26:41" x14ac:dyDescent="0.25">
      <c r="Z6045"/>
      <c r="AO6045" s="6"/>
    </row>
    <row r="6046" spans="26:41" x14ac:dyDescent="0.25">
      <c r="Z6046"/>
      <c r="AO6046" s="6"/>
    </row>
    <row r="6047" spans="26:41" x14ac:dyDescent="0.25">
      <c r="Z6047"/>
      <c r="AO6047" s="6"/>
    </row>
    <row r="6048" spans="26:41" x14ac:dyDescent="0.25">
      <c r="Z6048"/>
      <c r="AO6048" s="6"/>
    </row>
    <row r="6049" spans="26:41" x14ac:dyDescent="0.25">
      <c r="Z6049"/>
      <c r="AO6049" s="6"/>
    </row>
    <row r="6050" spans="26:41" x14ac:dyDescent="0.25">
      <c r="Z6050"/>
      <c r="AO6050" s="6"/>
    </row>
    <row r="6051" spans="26:41" x14ac:dyDescent="0.25">
      <c r="Z6051"/>
      <c r="AO6051" s="6"/>
    </row>
    <row r="6052" spans="26:41" x14ac:dyDescent="0.25">
      <c r="Z6052"/>
      <c r="AO6052" s="6"/>
    </row>
    <row r="6053" spans="26:41" x14ac:dyDescent="0.25">
      <c r="Z6053"/>
      <c r="AO6053" s="6"/>
    </row>
    <row r="6054" spans="26:41" x14ac:dyDescent="0.25">
      <c r="Z6054"/>
      <c r="AO6054" s="6"/>
    </row>
    <row r="6055" spans="26:41" x14ac:dyDescent="0.25">
      <c r="Z6055"/>
      <c r="AO6055" s="6"/>
    </row>
    <row r="6056" spans="26:41" x14ac:dyDescent="0.25">
      <c r="Z6056"/>
      <c r="AO6056" s="6"/>
    </row>
    <row r="6057" spans="26:41" x14ac:dyDescent="0.25">
      <c r="Z6057"/>
      <c r="AO6057" s="6"/>
    </row>
    <row r="6058" spans="26:41" x14ac:dyDescent="0.25">
      <c r="Z6058"/>
      <c r="AO6058" s="6"/>
    </row>
    <row r="6059" spans="26:41" x14ac:dyDescent="0.25">
      <c r="Z6059"/>
      <c r="AO6059" s="6"/>
    </row>
    <row r="6060" spans="26:41" x14ac:dyDescent="0.25">
      <c r="Z6060"/>
      <c r="AO6060" s="6"/>
    </row>
    <row r="6061" spans="26:41" x14ac:dyDescent="0.25">
      <c r="Z6061"/>
      <c r="AO6061" s="6"/>
    </row>
    <row r="6062" spans="26:41" x14ac:dyDescent="0.25">
      <c r="Z6062"/>
      <c r="AO6062" s="6"/>
    </row>
    <row r="6063" spans="26:41" x14ac:dyDescent="0.25">
      <c r="Z6063"/>
      <c r="AO6063" s="6"/>
    </row>
    <row r="6064" spans="26:41" x14ac:dyDescent="0.25">
      <c r="Z6064"/>
      <c r="AO6064" s="6"/>
    </row>
    <row r="6065" spans="26:41" x14ac:dyDescent="0.25">
      <c r="Z6065"/>
      <c r="AO6065" s="6"/>
    </row>
    <row r="6066" spans="26:41" x14ac:dyDescent="0.25">
      <c r="Z6066"/>
      <c r="AO6066" s="6"/>
    </row>
    <row r="6067" spans="26:41" x14ac:dyDescent="0.25">
      <c r="Z6067"/>
      <c r="AO6067" s="6"/>
    </row>
    <row r="6068" spans="26:41" x14ac:dyDescent="0.25">
      <c r="Z6068"/>
      <c r="AO6068" s="6"/>
    </row>
    <row r="6069" spans="26:41" x14ac:dyDescent="0.25">
      <c r="Z6069"/>
      <c r="AO6069" s="6"/>
    </row>
    <row r="6070" spans="26:41" x14ac:dyDescent="0.25">
      <c r="Z6070"/>
      <c r="AO6070" s="6"/>
    </row>
    <row r="6071" spans="26:41" x14ac:dyDescent="0.25">
      <c r="Z6071"/>
      <c r="AO6071" s="6"/>
    </row>
    <row r="6072" spans="26:41" x14ac:dyDescent="0.25">
      <c r="Z6072"/>
      <c r="AO6072" s="6"/>
    </row>
    <row r="6073" spans="26:41" x14ac:dyDescent="0.25">
      <c r="Z6073"/>
      <c r="AO6073" s="6"/>
    </row>
    <row r="6074" spans="26:41" x14ac:dyDescent="0.25">
      <c r="Z6074"/>
      <c r="AO6074" s="6"/>
    </row>
    <row r="6075" spans="26:41" x14ac:dyDescent="0.25">
      <c r="Z6075"/>
      <c r="AO6075" s="6"/>
    </row>
    <row r="6076" spans="26:41" x14ac:dyDescent="0.25">
      <c r="Z6076"/>
      <c r="AO6076" s="6"/>
    </row>
    <row r="6077" spans="26:41" x14ac:dyDescent="0.25">
      <c r="Z6077"/>
      <c r="AO6077" s="6"/>
    </row>
    <row r="6078" spans="26:41" x14ac:dyDescent="0.25">
      <c r="Z6078"/>
      <c r="AO6078" s="6"/>
    </row>
    <row r="6079" spans="26:41" x14ac:dyDescent="0.25">
      <c r="Z6079"/>
      <c r="AO6079" s="6"/>
    </row>
    <row r="6080" spans="26:41" x14ac:dyDescent="0.25">
      <c r="Z6080"/>
      <c r="AO6080" s="6"/>
    </row>
    <row r="6081" spans="26:41" x14ac:dyDescent="0.25">
      <c r="Z6081"/>
      <c r="AO6081" s="6"/>
    </row>
    <row r="6082" spans="26:41" x14ac:dyDescent="0.25">
      <c r="Z6082"/>
      <c r="AO6082" s="6"/>
    </row>
    <row r="6083" spans="26:41" x14ac:dyDescent="0.25">
      <c r="Z6083"/>
      <c r="AO6083" s="6"/>
    </row>
    <row r="6084" spans="26:41" x14ac:dyDescent="0.25">
      <c r="Z6084"/>
      <c r="AO6084" s="6"/>
    </row>
    <row r="6085" spans="26:41" x14ac:dyDescent="0.25">
      <c r="Z6085"/>
      <c r="AO6085" s="6"/>
    </row>
    <row r="6086" spans="26:41" x14ac:dyDescent="0.25">
      <c r="Z6086"/>
      <c r="AO6086" s="6"/>
    </row>
    <row r="6087" spans="26:41" x14ac:dyDescent="0.25">
      <c r="Z6087"/>
      <c r="AO6087" s="6"/>
    </row>
    <row r="6088" spans="26:41" x14ac:dyDescent="0.25">
      <c r="Z6088"/>
      <c r="AO6088" s="6"/>
    </row>
    <row r="6089" spans="26:41" x14ac:dyDescent="0.25">
      <c r="Z6089"/>
      <c r="AO6089" s="6"/>
    </row>
    <row r="6090" spans="26:41" x14ac:dyDescent="0.25">
      <c r="Z6090"/>
      <c r="AO6090" s="6"/>
    </row>
    <row r="6091" spans="26:41" x14ac:dyDescent="0.25">
      <c r="Z6091"/>
      <c r="AO6091" s="6"/>
    </row>
    <row r="6092" spans="26:41" x14ac:dyDescent="0.25">
      <c r="Z6092"/>
      <c r="AO6092" s="6"/>
    </row>
    <row r="6093" spans="26:41" x14ac:dyDescent="0.25">
      <c r="Z6093"/>
      <c r="AO6093" s="6"/>
    </row>
    <row r="6094" spans="26:41" x14ac:dyDescent="0.25">
      <c r="Z6094"/>
      <c r="AO6094" s="6"/>
    </row>
    <row r="6095" spans="26:41" x14ac:dyDescent="0.25">
      <c r="Z6095"/>
      <c r="AO6095" s="6"/>
    </row>
    <row r="6096" spans="26:41" x14ac:dyDescent="0.25">
      <c r="Z6096"/>
      <c r="AO6096" s="6"/>
    </row>
    <row r="6097" spans="26:41" x14ac:dyDescent="0.25">
      <c r="Z6097"/>
      <c r="AO6097" s="6"/>
    </row>
    <row r="6098" spans="26:41" x14ac:dyDescent="0.25">
      <c r="Z6098"/>
      <c r="AO6098" s="6"/>
    </row>
    <row r="6099" spans="26:41" x14ac:dyDescent="0.25">
      <c r="Z6099"/>
      <c r="AO6099" s="6"/>
    </row>
    <row r="6100" spans="26:41" x14ac:dyDescent="0.25">
      <c r="Z6100"/>
      <c r="AO6100" s="6"/>
    </row>
    <row r="6101" spans="26:41" x14ac:dyDescent="0.25">
      <c r="Z6101"/>
      <c r="AO6101" s="6"/>
    </row>
    <row r="6102" spans="26:41" x14ac:dyDescent="0.25">
      <c r="Z6102"/>
      <c r="AO6102" s="6"/>
    </row>
    <row r="6103" spans="26:41" x14ac:dyDescent="0.25">
      <c r="Z6103"/>
      <c r="AO6103" s="6"/>
    </row>
    <row r="6104" spans="26:41" x14ac:dyDescent="0.25">
      <c r="Z6104"/>
      <c r="AO6104" s="6"/>
    </row>
    <row r="6105" spans="26:41" x14ac:dyDescent="0.25">
      <c r="Z6105"/>
      <c r="AO6105" s="6"/>
    </row>
    <row r="6106" spans="26:41" x14ac:dyDescent="0.25">
      <c r="Z6106"/>
      <c r="AO6106" s="6"/>
    </row>
    <row r="6107" spans="26:41" x14ac:dyDescent="0.25">
      <c r="Z6107"/>
      <c r="AO6107" s="6"/>
    </row>
    <row r="6108" spans="26:41" x14ac:dyDescent="0.25">
      <c r="Z6108"/>
      <c r="AO6108" s="6"/>
    </row>
    <row r="6109" spans="26:41" x14ac:dyDescent="0.25">
      <c r="Z6109"/>
      <c r="AO6109" s="6"/>
    </row>
    <row r="6110" spans="26:41" x14ac:dyDescent="0.25">
      <c r="Z6110"/>
      <c r="AO6110" s="6"/>
    </row>
    <row r="6111" spans="26:41" x14ac:dyDescent="0.25">
      <c r="Z6111"/>
      <c r="AO6111" s="6"/>
    </row>
    <row r="6112" spans="26:41" x14ac:dyDescent="0.25">
      <c r="Z6112"/>
      <c r="AO6112" s="6"/>
    </row>
    <row r="6113" spans="26:41" x14ac:dyDescent="0.25">
      <c r="Z6113"/>
      <c r="AO6113" s="6"/>
    </row>
    <row r="6114" spans="26:41" x14ac:dyDescent="0.25">
      <c r="Z6114"/>
      <c r="AO6114" s="6"/>
    </row>
    <row r="6115" spans="26:41" x14ac:dyDescent="0.25">
      <c r="Z6115"/>
      <c r="AO6115" s="6"/>
    </row>
    <row r="6116" spans="26:41" x14ac:dyDescent="0.25">
      <c r="Z6116"/>
      <c r="AO6116" s="6"/>
    </row>
    <row r="6117" spans="26:41" x14ac:dyDescent="0.25">
      <c r="Z6117"/>
      <c r="AO6117" s="6"/>
    </row>
    <row r="6118" spans="26:41" x14ac:dyDescent="0.25">
      <c r="Z6118"/>
      <c r="AO6118" s="6"/>
    </row>
    <row r="6119" spans="26:41" x14ac:dyDescent="0.25">
      <c r="Z6119"/>
      <c r="AO6119" s="6"/>
    </row>
    <row r="6120" spans="26:41" x14ac:dyDescent="0.25">
      <c r="Z6120"/>
      <c r="AO6120" s="6"/>
    </row>
    <row r="6121" spans="26:41" x14ac:dyDescent="0.25">
      <c r="Z6121"/>
      <c r="AO6121" s="6"/>
    </row>
    <row r="6122" spans="26:41" x14ac:dyDescent="0.25">
      <c r="Z6122"/>
      <c r="AO6122" s="6"/>
    </row>
    <row r="6123" spans="26:41" x14ac:dyDescent="0.25">
      <c r="Z6123"/>
      <c r="AO6123" s="6"/>
    </row>
    <row r="6124" spans="26:41" x14ac:dyDescent="0.25">
      <c r="Z6124"/>
      <c r="AO6124" s="6"/>
    </row>
    <row r="6125" spans="26:41" x14ac:dyDescent="0.25">
      <c r="Z6125"/>
      <c r="AO6125" s="6"/>
    </row>
    <row r="6126" spans="26:41" x14ac:dyDescent="0.25">
      <c r="Z6126"/>
      <c r="AO6126" s="6"/>
    </row>
    <row r="6127" spans="26:41" x14ac:dyDescent="0.25">
      <c r="Z6127"/>
      <c r="AO6127" s="6"/>
    </row>
    <row r="6128" spans="26:41" x14ac:dyDescent="0.25">
      <c r="Z6128"/>
      <c r="AO6128" s="6"/>
    </row>
    <row r="6129" spans="26:41" x14ac:dyDescent="0.25">
      <c r="Z6129"/>
      <c r="AO6129" s="6"/>
    </row>
    <row r="6130" spans="26:41" x14ac:dyDescent="0.25">
      <c r="Z6130"/>
      <c r="AO6130" s="6"/>
    </row>
    <row r="6131" spans="26:41" x14ac:dyDescent="0.25">
      <c r="Z6131"/>
      <c r="AO6131" s="6"/>
    </row>
    <row r="6132" spans="26:41" x14ac:dyDescent="0.25">
      <c r="Z6132"/>
      <c r="AO6132" s="6"/>
    </row>
    <row r="6133" spans="26:41" x14ac:dyDescent="0.25">
      <c r="Z6133"/>
      <c r="AO6133" s="6"/>
    </row>
    <row r="6134" spans="26:41" x14ac:dyDescent="0.25">
      <c r="Z6134"/>
      <c r="AO6134" s="6"/>
    </row>
    <row r="6135" spans="26:41" x14ac:dyDescent="0.25">
      <c r="Z6135"/>
      <c r="AO6135" s="6"/>
    </row>
    <row r="6136" spans="26:41" x14ac:dyDescent="0.25">
      <c r="Z6136"/>
      <c r="AO6136" s="6"/>
    </row>
    <row r="6137" spans="26:41" x14ac:dyDescent="0.25">
      <c r="Z6137"/>
      <c r="AO6137" s="6"/>
    </row>
    <row r="6138" spans="26:41" x14ac:dyDescent="0.25">
      <c r="Z6138"/>
      <c r="AO6138" s="6"/>
    </row>
    <row r="6139" spans="26:41" x14ac:dyDescent="0.25">
      <c r="Z6139"/>
      <c r="AO6139" s="6"/>
    </row>
    <row r="6140" spans="26:41" x14ac:dyDescent="0.25">
      <c r="Z6140"/>
      <c r="AO6140" s="6"/>
    </row>
    <row r="6141" spans="26:41" x14ac:dyDescent="0.25">
      <c r="Z6141"/>
      <c r="AO6141" s="6"/>
    </row>
    <row r="6142" spans="26:41" x14ac:dyDescent="0.25">
      <c r="Z6142"/>
      <c r="AO6142" s="6"/>
    </row>
    <row r="6143" spans="26:41" x14ac:dyDescent="0.25">
      <c r="Z6143"/>
      <c r="AO6143" s="6"/>
    </row>
    <row r="6144" spans="26:41" x14ac:dyDescent="0.25">
      <c r="Z6144"/>
      <c r="AO6144" s="6"/>
    </row>
    <row r="6145" spans="26:41" x14ac:dyDescent="0.25">
      <c r="Z6145"/>
      <c r="AO6145" s="6"/>
    </row>
    <row r="6146" spans="26:41" x14ac:dyDescent="0.25">
      <c r="Z6146"/>
      <c r="AO6146" s="6"/>
    </row>
    <row r="6147" spans="26:41" x14ac:dyDescent="0.25">
      <c r="Z6147"/>
      <c r="AO6147" s="6"/>
    </row>
    <row r="6148" spans="26:41" x14ac:dyDescent="0.25">
      <c r="Z6148"/>
      <c r="AO6148" s="6"/>
    </row>
    <row r="6149" spans="26:41" x14ac:dyDescent="0.25">
      <c r="Z6149"/>
      <c r="AO6149" s="6"/>
    </row>
    <row r="6150" spans="26:41" x14ac:dyDescent="0.25">
      <c r="Z6150"/>
      <c r="AO6150" s="6"/>
    </row>
    <row r="6151" spans="26:41" x14ac:dyDescent="0.25">
      <c r="Z6151"/>
      <c r="AO6151" s="6"/>
    </row>
    <row r="6152" spans="26:41" x14ac:dyDescent="0.25">
      <c r="Z6152"/>
      <c r="AO6152" s="6"/>
    </row>
    <row r="6153" spans="26:41" x14ac:dyDescent="0.25">
      <c r="Z6153"/>
      <c r="AO6153" s="6"/>
    </row>
    <row r="6154" spans="26:41" x14ac:dyDescent="0.25">
      <c r="Z6154"/>
      <c r="AO6154" s="6"/>
    </row>
    <row r="6155" spans="26:41" x14ac:dyDescent="0.25">
      <c r="Z6155"/>
      <c r="AO6155" s="6"/>
    </row>
    <row r="6156" spans="26:41" x14ac:dyDescent="0.25">
      <c r="Z6156"/>
      <c r="AO6156" s="6"/>
    </row>
    <row r="6157" spans="26:41" x14ac:dyDescent="0.25">
      <c r="Z6157"/>
      <c r="AO6157" s="6"/>
    </row>
    <row r="6158" spans="26:41" x14ac:dyDescent="0.25">
      <c r="Z6158"/>
      <c r="AO6158" s="6"/>
    </row>
    <row r="6159" spans="26:41" x14ac:dyDescent="0.25">
      <c r="Z6159"/>
      <c r="AO6159" s="6"/>
    </row>
    <row r="6160" spans="26:41" x14ac:dyDescent="0.25">
      <c r="Z6160"/>
      <c r="AO6160" s="6"/>
    </row>
    <row r="6161" spans="26:41" x14ac:dyDescent="0.25">
      <c r="Z6161"/>
      <c r="AO6161" s="6"/>
    </row>
    <row r="6162" spans="26:41" x14ac:dyDescent="0.25">
      <c r="Z6162"/>
      <c r="AO6162" s="6"/>
    </row>
    <row r="6163" spans="26:41" x14ac:dyDescent="0.25">
      <c r="Z6163"/>
      <c r="AO6163" s="6"/>
    </row>
    <row r="6164" spans="26:41" x14ac:dyDescent="0.25">
      <c r="Z6164"/>
      <c r="AO6164" s="6"/>
    </row>
    <row r="6165" spans="26:41" x14ac:dyDescent="0.25">
      <c r="Z6165"/>
      <c r="AO6165" s="6"/>
    </row>
    <row r="6166" spans="26:41" x14ac:dyDescent="0.25">
      <c r="Z6166"/>
      <c r="AO6166" s="6"/>
    </row>
    <row r="6167" spans="26:41" x14ac:dyDescent="0.25">
      <c r="Z6167"/>
      <c r="AO6167" s="6"/>
    </row>
    <row r="6168" spans="26:41" x14ac:dyDescent="0.25">
      <c r="Z6168"/>
      <c r="AO6168" s="6"/>
    </row>
    <row r="6169" spans="26:41" x14ac:dyDescent="0.25">
      <c r="Z6169"/>
      <c r="AO6169" s="6"/>
    </row>
    <row r="6170" spans="26:41" x14ac:dyDescent="0.25">
      <c r="Z6170"/>
      <c r="AO6170" s="6"/>
    </row>
    <row r="6171" spans="26:41" x14ac:dyDescent="0.25">
      <c r="Z6171"/>
      <c r="AO6171" s="6"/>
    </row>
    <row r="6172" spans="26:41" x14ac:dyDescent="0.25">
      <c r="Z6172"/>
      <c r="AO6172" s="6"/>
    </row>
    <row r="6173" spans="26:41" x14ac:dyDescent="0.25">
      <c r="Z6173"/>
      <c r="AO6173" s="6"/>
    </row>
    <row r="6174" spans="26:41" x14ac:dyDescent="0.25">
      <c r="Z6174"/>
      <c r="AO6174" s="6"/>
    </row>
    <row r="6175" spans="26:41" x14ac:dyDescent="0.25">
      <c r="Z6175"/>
      <c r="AO6175" s="6"/>
    </row>
    <row r="6176" spans="26:41" x14ac:dyDescent="0.25">
      <c r="Z6176"/>
      <c r="AO6176" s="6"/>
    </row>
    <row r="6177" spans="26:41" x14ac:dyDescent="0.25">
      <c r="Z6177"/>
      <c r="AO6177" s="6"/>
    </row>
    <row r="6178" spans="26:41" x14ac:dyDescent="0.25">
      <c r="Z6178"/>
      <c r="AO6178" s="6"/>
    </row>
    <row r="6179" spans="26:41" x14ac:dyDescent="0.25">
      <c r="Z6179"/>
      <c r="AO6179" s="6"/>
    </row>
    <row r="6180" spans="26:41" x14ac:dyDescent="0.25">
      <c r="Z6180"/>
      <c r="AO6180" s="6"/>
    </row>
    <row r="6181" spans="26:41" x14ac:dyDescent="0.25">
      <c r="Z6181"/>
      <c r="AO6181" s="6"/>
    </row>
    <row r="6182" spans="26:41" x14ac:dyDescent="0.25">
      <c r="Z6182"/>
      <c r="AO6182" s="6"/>
    </row>
    <row r="6183" spans="26:41" x14ac:dyDescent="0.25">
      <c r="Z6183"/>
      <c r="AO6183" s="6"/>
    </row>
    <row r="6184" spans="26:41" x14ac:dyDescent="0.25">
      <c r="Z6184"/>
      <c r="AO6184" s="6"/>
    </row>
    <row r="6185" spans="26:41" x14ac:dyDescent="0.25">
      <c r="Z6185"/>
      <c r="AO6185" s="6"/>
    </row>
    <row r="6186" spans="26:41" x14ac:dyDescent="0.25">
      <c r="Z6186"/>
      <c r="AO6186" s="6"/>
    </row>
    <row r="6187" spans="26:41" x14ac:dyDescent="0.25">
      <c r="Z6187"/>
      <c r="AO6187" s="6"/>
    </row>
    <row r="6188" spans="26:41" x14ac:dyDescent="0.25">
      <c r="Z6188"/>
      <c r="AO6188" s="6"/>
    </row>
    <row r="6189" spans="26:41" x14ac:dyDescent="0.25">
      <c r="Z6189"/>
      <c r="AO6189" s="6"/>
    </row>
    <row r="6190" spans="26:41" x14ac:dyDescent="0.25">
      <c r="Z6190"/>
      <c r="AO6190" s="6"/>
    </row>
    <row r="6191" spans="26:41" x14ac:dyDescent="0.25">
      <c r="Z6191"/>
      <c r="AO6191" s="6"/>
    </row>
    <row r="6192" spans="26:41" x14ac:dyDescent="0.25">
      <c r="Z6192"/>
      <c r="AO6192" s="6"/>
    </row>
    <row r="6193" spans="26:41" x14ac:dyDescent="0.25">
      <c r="Z6193"/>
      <c r="AO6193" s="6"/>
    </row>
    <row r="6194" spans="26:41" x14ac:dyDescent="0.25">
      <c r="Z6194"/>
      <c r="AO6194" s="6"/>
    </row>
    <row r="6195" spans="26:41" x14ac:dyDescent="0.25">
      <c r="Z6195"/>
      <c r="AO6195" s="6"/>
    </row>
    <row r="6196" spans="26:41" x14ac:dyDescent="0.25">
      <c r="Z6196"/>
      <c r="AO6196" s="6"/>
    </row>
    <row r="6197" spans="26:41" x14ac:dyDescent="0.25">
      <c r="Z6197"/>
      <c r="AO6197" s="6"/>
    </row>
    <row r="6198" spans="26:41" x14ac:dyDescent="0.25">
      <c r="Z6198"/>
      <c r="AO6198" s="6"/>
    </row>
    <row r="6199" spans="26:41" x14ac:dyDescent="0.25">
      <c r="Z6199"/>
      <c r="AO6199" s="6"/>
    </row>
    <row r="6200" spans="26:41" x14ac:dyDescent="0.25">
      <c r="Z6200"/>
      <c r="AO6200" s="6"/>
    </row>
    <row r="6201" spans="26:41" x14ac:dyDescent="0.25">
      <c r="Z6201"/>
      <c r="AO6201" s="6"/>
    </row>
    <row r="6202" spans="26:41" x14ac:dyDescent="0.25">
      <c r="Z6202"/>
      <c r="AO6202" s="6"/>
    </row>
    <row r="6203" spans="26:41" x14ac:dyDescent="0.25">
      <c r="Z6203"/>
      <c r="AO6203" s="6"/>
    </row>
    <row r="6204" spans="26:41" x14ac:dyDescent="0.25">
      <c r="Z6204"/>
      <c r="AO6204" s="6"/>
    </row>
    <row r="6205" spans="26:41" x14ac:dyDescent="0.25">
      <c r="Z6205"/>
      <c r="AO6205" s="6"/>
    </row>
    <row r="6206" spans="26:41" x14ac:dyDescent="0.25">
      <c r="Z6206"/>
      <c r="AO6206" s="6"/>
    </row>
    <row r="6207" spans="26:41" x14ac:dyDescent="0.25">
      <c r="Z6207"/>
      <c r="AO6207" s="6"/>
    </row>
    <row r="6208" spans="26:41" x14ac:dyDescent="0.25">
      <c r="Z6208"/>
      <c r="AO6208" s="6"/>
    </row>
    <row r="6209" spans="26:41" x14ac:dyDescent="0.25">
      <c r="Z6209"/>
      <c r="AO6209" s="6"/>
    </row>
    <row r="6210" spans="26:41" x14ac:dyDescent="0.25">
      <c r="Z6210"/>
      <c r="AO6210" s="6"/>
    </row>
    <row r="6211" spans="26:41" x14ac:dyDescent="0.25">
      <c r="Z6211"/>
      <c r="AO6211" s="6"/>
    </row>
    <row r="6212" spans="26:41" x14ac:dyDescent="0.25">
      <c r="Z6212"/>
      <c r="AO6212" s="6"/>
    </row>
    <row r="6213" spans="26:41" x14ac:dyDescent="0.25">
      <c r="Z6213"/>
      <c r="AO6213" s="6"/>
    </row>
    <row r="6214" spans="26:41" x14ac:dyDescent="0.25">
      <c r="Z6214"/>
      <c r="AO6214" s="6"/>
    </row>
    <row r="6215" spans="26:41" x14ac:dyDescent="0.25">
      <c r="Z6215"/>
      <c r="AO6215" s="6"/>
    </row>
    <row r="6216" spans="26:41" x14ac:dyDescent="0.25">
      <c r="Z6216"/>
      <c r="AO6216" s="6"/>
    </row>
    <row r="6217" spans="26:41" x14ac:dyDescent="0.25">
      <c r="Z6217"/>
      <c r="AO6217" s="6"/>
    </row>
    <row r="6218" spans="26:41" x14ac:dyDescent="0.25">
      <c r="Z6218"/>
      <c r="AO6218" s="6"/>
    </row>
    <row r="6219" spans="26:41" x14ac:dyDescent="0.25">
      <c r="Z6219"/>
      <c r="AO6219" s="6"/>
    </row>
    <row r="6220" spans="26:41" x14ac:dyDescent="0.25">
      <c r="Z6220"/>
      <c r="AO6220" s="6"/>
    </row>
    <row r="6221" spans="26:41" x14ac:dyDescent="0.25">
      <c r="Z6221"/>
      <c r="AO6221" s="6"/>
    </row>
    <row r="6222" spans="26:41" x14ac:dyDescent="0.25">
      <c r="Z6222"/>
      <c r="AO6222" s="6"/>
    </row>
    <row r="6223" spans="26:41" x14ac:dyDescent="0.25">
      <c r="Z6223"/>
      <c r="AO6223" s="6"/>
    </row>
    <row r="6224" spans="26:41" x14ac:dyDescent="0.25">
      <c r="Z6224"/>
      <c r="AO6224" s="6"/>
    </row>
    <row r="6225" spans="26:41" x14ac:dyDescent="0.25">
      <c r="Z6225"/>
      <c r="AO6225" s="6"/>
    </row>
    <row r="6226" spans="26:41" x14ac:dyDescent="0.25">
      <c r="Z6226"/>
      <c r="AO6226" s="6"/>
    </row>
    <row r="6227" spans="26:41" x14ac:dyDescent="0.25">
      <c r="Z6227"/>
      <c r="AO6227" s="6"/>
    </row>
    <row r="6228" spans="26:41" x14ac:dyDescent="0.25">
      <c r="Z6228"/>
      <c r="AO6228" s="6"/>
    </row>
    <row r="6229" spans="26:41" x14ac:dyDescent="0.25">
      <c r="Z6229"/>
      <c r="AO6229" s="6"/>
    </row>
    <row r="6230" spans="26:41" x14ac:dyDescent="0.25">
      <c r="Z6230"/>
      <c r="AO6230" s="6"/>
    </row>
    <row r="6231" spans="26:41" x14ac:dyDescent="0.25">
      <c r="Z6231"/>
      <c r="AO6231" s="6"/>
    </row>
    <row r="6232" spans="26:41" x14ac:dyDescent="0.25">
      <c r="Z6232"/>
      <c r="AO6232" s="6"/>
    </row>
    <row r="6233" spans="26:41" x14ac:dyDescent="0.25">
      <c r="Z6233"/>
      <c r="AO6233" s="6"/>
    </row>
    <row r="6234" spans="26:41" x14ac:dyDescent="0.25">
      <c r="Z6234"/>
      <c r="AO6234" s="6"/>
    </row>
    <row r="6235" spans="26:41" x14ac:dyDescent="0.25">
      <c r="Z6235"/>
      <c r="AO6235" s="6"/>
    </row>
    <row r="6236" spans="26:41" x14ac:dyDescent="0.25">
      <c r="Z6236"/>
      <c r="AO6236" s="6"/>
    </row>
    <row r="6237" spans="26:41" x14ac:dyDescent="0.25">
      <c r="Z6237"/>
      <c r="AO6237" s="6"/>
    </row>
    <row r="6238" spans="26:41" x14ac:dyDescent="0.25">
      <c r="Z6238"/>
      <c r="AO6238" s="6"/>
    </row>
    <row r="6239" spans="26:41" x14ac:dyDescent="0.25">
      <c r="Z6239"/>
      <c r="AO6239" s="6"/>
    </row>
    <row r="6240" spans="26:41" x14ac:dyDescent="0.25">
      <c r="Z6240"/>
      <c r="AO6240" s="6"/>
    </row>
    <row r="6241" spans="26:41" x14ac:dyDescent="0.25">
      <c r="Z6241"/>
      <c r="AO6241" s="6"/>
    </row>
    <row r="6242" spans="26:41" x14ac:dyDescent="0.25">
      <c r="Z6242"/>
      <c r="AO6242" s="6"/>
    </row>
    <row r="6243" spans="26:41" x14ac:dyDescent="0.25">
      <c r="Z6243"/>
      <c r="AO6243" s="6"/>
    </row>
    <row r="6244" spans="26:41" x14ac:dyDescent="0.25">
      <c r="Z6244"/>
      <c r="AO6244" s="6"/>
    </row>
    <row r="6245" spans="26:41" x14ac:dyDescent="0.25">
      <c r="Z6245"/>
      <c r="AO6245" s="6"/>
    </row>
    <row r="6246" spans="26:41" x14ac:dyDescent="0.25">
      <c r="Z6246"/>
      <c r="AO6246" s="6"/>
    </row>
    <row r="6247" spans="26:41" x14ac:dyDescent="0.25">
      <c r="Z6247"/>
      <c r="AO6247" s="6"/>
    </row>
    <row r="6248" spans="26:41" x14ac:dyDescent="0.25">
      <c r="Z6248"/>
      <c r="AO6248" s="6"/>
    </row>
    <row r="6249" spans="26:41" x14ac:dyDescent="0.25">
      <c r="Z6249"/>
      <c r="AO6249" s="6"/>
    </row>
    <row r="6250" spans="26:41" x14ac:dyDescent="0.25">
      <c r="Z6250"/>
      <c r="AO6250" s="6"/>
    </row>
    <row r="6251" spans="26:41" x14ac:dyDescent="0.25">
      <c r="Z6251"/>
      <c r="AO6251" s="6"/>
    </row>
    <row r="6252" spans="26:41" x14ac:dyDescent="0.25">
      <c r="Z6252"/>
      <c r="AO6252" s="6"/>
    </row>
    <row r="6253" spans="26:41" x14ac:dyDescent="0.25">
      <c r="Z6253"/>
      <c r="AO6253" s="6"/>
    </row>
    <row r="6254" spans="26:41" x14ac:dyDescent="0.25">
      <c r="Z6254"/>
      <c r="AO6254" s="6"/>
    </row>
    <row r="6255" spans="26:41" x14ac:dyDescent="0.25">
      <c r="Z6255"/>
      <c r="AO6255" s="6"/>
    </row>
    <row r="6256" spans="26:41" x14ac:dyDescent="0.25">
      <c r="Z6256"/>
      <c r="AO6256" s="6"/>
    </row>
    <row r="6257" spans="26:41" x14ac:dyDescent="0.25">
      <c r="Z6257"/>
      <c r="AO6257" s="6"/>
    </row>
    <row r="6258" spans="26:41" x14ac:dyDescent="0.25">
      <c r="Z6258"/>
      <c r="AO6258" s="6"/>
    </row>
    <row r="6259" spans="26:41" x14ac:dyDescent="0.25">
      <c r="Z6259"/>
      <c r="AO6259" s="6"/>
    </row>
    <row r="6260" spans="26:41" x14ac:dyDescent="0.25">
      <c r="Z6260"/>
      <c r="AO6260" s="6"/>
    </row>
    <row r="6261" spans="26:41" x14ac:dyDescent="0.25">
      <c r="Z6261"/>
      <c r="AO6261" s="6"/>
    </row>
    <row r="6262" spans="26:41" x14ac:dyDescent="0.25">
      <c r="Z6262"/>
      <c r="AO6262" s="6"/>
    </row>
    <row r="6263" spans="26:41" x14ac:dyDescent="0.25">
      <c r="Z6263"/>
      <c r="AO6263" s="6"/>
    </row>
    <row r="6264" spans="26:41" x14ac:dyDescent="0.25">
      <c r="Z6264"/>
      <c r="AO6264" s="6"/>
    </row>
    <row r="6265" spans="26:41" x14ac:dyDescent="0.25">
      <c r="Z6265"/>
      <c r="AO6265" s="6"/>
    </row>
    <row r="6266" spans="26:41" x14ac:dyDescent="0.25">
      <c r="Z6266"/>
      <c r="AO6266" s="6"/>
    </row>
    <row r="6267" spans="26:41" x14ac:dyDescent="0.25">
      <c r="Z6267"/>
      <c r="AO6267" s="6"/>
    </row>
    <row r="6268" spans="26:41" x14ac:dyDescent="0.25">
      <c r="Z6268"/>
      <c r="AO6268" s="6"/>
    </row>
    <row r="6269" spans="26:41" x14ac:dyDescent="0.25">
      <c r="Z6269"/>
      <c r="AO6269" s="6"/>
    </row>
    <row r="6270" spans="26:41" x14ac:dyDescent="0.25">
      <c r="Z6270"/>
      <c r="AO6270" s="6"/>
    </row>
    <row r="6271" spans="26:41" x14ac:dyDescent="0.25">
      <c r="Z6271"/>
      <c r="AO6271" s="6"/>
    </row>
    <row r="6272" spans="26:41" x14ac:dyDescent="0.25">
      <c r="Z6272"/>
      <c r="AO6272" s="6"/>
    </row>
    <row r="6273" spans="26:41" x14ac:dyDescent="0.25">
      <c r="Z6273"/>
      <c r="AO6273" s="6"/>
    </row>
    <row r="6274" spans="26:41" x14ac:dyDescent="0.25">
      <c r="Z6274"/>
      <c r="AO6274" s="6"/>
    </row>
    <row r="6275" spans="26:41" x14ac:dyDescent="0.25">
      <c r="Z6275"/>
      <c r="AO6275" s="6"/>
    </row>
    <row r="6276" spans="26:41" x14ac:dyDescent="0.25">
      <c r="Z6276"/>
      <c r="AO6276" s="6"/>
    </row>
    <row r="6277" spans="26:41" x14ac:dyDescent="0.25">
      <c r="Z6277"/>
      <c r="AO6277" s="6"/>
    </row>
    <row r="6278" spans="26:41" x14ac:dyDescent="0.25">
      <c r="Z6278"/>
      <c r="AO6278" s="6"/>
    </row>
    <row r="6279" spans="26:41" x14ac:dyDescent="0.25">
      <c r="Z6279"/>
      <c r="AO6279" s="6"/>
    </row>
    <row r="6280" spans="26:41" x14ac:dyDescent="0.25">
      <c r="Z6280"/>
      <c r="AO6280" s="6"/>
    </row>
    <row r="6281" spans="26:41" x14ac:dyDescent="0.25">
      <c r="Z6281"/>
      <c r="AO6281" s="6"/>
    </row>
    <row r="6282" spans="26:41" x14ac:dyDescent="0.25">
      <c r="Z6282"/>
      <c r="AO6282" s="6"/>
    </row>
    <row r="6283" spans="26:41" x14ac:dyDescent="0.25">
      <c r="Z6283"/>
      <c r="AO6283" s="6"/>
    </row>
    <row r="6284" spans="26:41" x14ac:dyDescent="0.25">
      <c r="Z6284"/>
      <c r="AO6284" s="6"/>
    </row>
    <row r="6285" spans="26:41" x14ac:dyDescent="0.25">
      <c r="Z6285"/>
      <c r="AO6285" s="6"/>
    </row>
    <row r="6286" spans="26:41" x14ac:dyDescent="0.25">
      <c r="Z6286"/>
      <c r="AO6286" s="6"/>
    </row>
    <row r="6287" spans="26:41" x14ac:dyDescent="0.25">
      <c r="Z6287"/>
      <c r="AO6287" s="6"/>
    </row>
    <row r="6288" spans="26:41" x14ac:dyDescent="0.25">
      <c r="Z6288"/>
      <c r="AO6288" s="6"/>
    </row>
    <row r="6289" spans="26:41" x14ac:dyDescent="0.25">
      <c r="Z6289"/>
      <c r="AO6289" s="6"/>
    </row>
    <row r="6290" spans="26:41" x14ac:dyDescent="0.25">
      <c r="Z6290"/>
      <c r="AO6290" s="6"/>
    </row>
    <row r="6291" spans="26:41" x14ac:dyDescent="0.25">
      <c r="Z6291"/>
      <c r="AO6291" s="6"/>
    </row>
    <row r="6292" spans="26:41" x14ac:dyDescent="0.25">
      <c r="Z6292"/>
      <c r="AO6292" s="6"/>
    </row>
    <row r="6293" spans="26:41" x14ac:dyDescent="0.25">
      <c r="Z6293"/>
      <c r="AO6293" s="6"/>
    </row>
    <row r="6294" spans="26:41" x14ac:dyDescent="0.25">
      <c r="Z6294"/>
      <c r="AO6294" s="6"/>
    </row>
    <row r="6295" spans="26:41" x14ac:dyDescent="0.25">
      <c r="Z6295"/>
      <c r="AO6295" s="6"/>
    </row>
    <row r="6296" spans="26:41" x14ac:dyDescent="0.25">
      <c r="Z6296"/>
      <c r="AO6296" s="6"/>
    </row>
    <row r="6297" spans="26:41" x14ac:dyDescent="0.25">
      <c r="Z6297"/>
      <c r="AO6297" s="6"/>
    </row>
    <row r="6298" spans="26:41" x14ac:dyDescent="0.25">
      <c r="Z6298"/>
      <c r="AO6298" s="6"/>
    </row>
    <row r="6299" spans="26:41" x14ac:dyDescent="0.25">
      <c r="Z6299"/>
      <c r="AO6299" s="6"/>
    </row>
    <row r="6300" spans="26:41" x14ac:dyDescent="0.25">
      <c r="Z6300"/>
      <c r="AO6300" s="6"/>
    </row>
    <row r="6301" spans="26:41" x14ac:dyDescent="0.25">
      <c r="Z6301"/>
      <c r="AO6301" s="6"/>
    </row>
    <row r="6302" spans="26:41" x14ac:dyDescent="0.25">
      <c r="Z6302"/>
      <c r="AO6302" s="6"/>
    </row>
    <row r="6303" spans="26:41" x14ac:dyDescent="0.25">
      <c r="Z6303"/>
      <c r="AO6303" s="6"/>
    </row>
    <row r="6304" spans="26:41" x14ac:dyDescent="0.25">
      <c r="Z6304"/>
      <c r="AO6304" s="6"/>
    </row>
    <row r="6305" spans="26:41" x14ac:dyDescent="0.25">
      <c r="Z6305"/>
      <c r="AO6305" s="6"/>
    </row>
    <row r="6306" spans="26:41" x14ac:dyDescent="0.25">
      <c r="Z6306"/>
      <c r="AO6306" s="6"/>
    </row>
    <row r="6307" spans="26:41" x14ac:dyDescent="0.25">
      <c r="Z6307"/>
      <c r="AO6307" s="6"/>
    </row>
    <row r="6308" spans="26:41" x14ac:dyDescent="0.25">
      <c r="Z6308"/>
      <c r="AO6308" s="6"/>
    </row>
    <row r="6309" spans="26:41" x14ac:dyDescent="0.25">
      <c r="Z6309"/>
      <c r="AO6309" s="6"/>
    </row>
    <row r="6310" spans="26:41" x14ac:dyDescent="0.25">
      <c r="Z6310"/>
      <c r="AO6310" s="6"/>
    </row>
    <row r="6311" spans="26:41" x14ac:dyDescent="0.25">
      <c r="Z6311"/>
      <c r="AO6311" s="6"/>
    </row>
    <row r="6312" spans="26:41" x14ac:dyDescent="0.25">
      <c r="Z6312"/>
      <c r="AO6312" s="6"/>
    </row>
    <row r="6313" spans="26:41" x14ac:dyDescent="0.25">
      <c r="Z6313"/>
      <c r="AO6313" s="6"/>
    </row>
    <row r="6314" spans="26:41" x14ac:dyDescent="0.25">
      <c r="Z6314"/>
      <c r="AO6314" s="6"/>
    </row>
    <row r="6315" spans="26:41" x14ac:dyDescent="0.25">
      <c r="Z6315"/>
      <c r="AO6315" s="6"/>
    </row>
    <row r="6316" spans="26:41" x14ac:dyDescent="0.25">
      <c r="Z6316"/>
      <c r="AO6316" s="6"/>
    </row>
    <row r="6317" spans="26:41" x14ac:dyDescent="0.25">
      <c r="Z6317"/>
      <c r="AO6317" s="6"/>
    </row>
    <row r="6318" spans="26:41" x14ac:dyDescent="0.25">
      <c r="Z6318"/>
      <c r="AO6318" s="6"/>
    </row>
    <row r="6319" spans="26:41" x14ac:dyDescent="0.25">
      <c r="Z6319"/>
      <c r="AO6319" s="6"/>
    </row>
    <row r="6320" spans="26:41" x14ac:dyDescent="0.25">
      <c r="Z6320"/>
      <c r="AO6320" s="6"/>
    </row>
    <row r="6321" spans="26:41" x14ac:dyDescent="0.25">
      <c r="Z6321"/>
      <c r="AO6321" s="6"/>
    </row>
    <row r="6322" spans="26:41" x14ac:dyDescent="0.25">
      <c r="Z6322"/>
      <c r="AO6322" s="6"/>
    </row>
    <row r="6323" spans="26:41" x14ac:dyDescent="0.25">
      <c r="Z6323"/>
      <c r="AO6323" s="6"/>
    </row>
    <row r="6324" spans="26:41" x14ac:dyDescent="0.25">
      <c r="Z6324"/>
      <c r="AO6324" s="6"/>
    </row>
    <row r="6325" spans="26:41" x14ac:dyDescent="0.25">
      <c r="Z6325"/>
      <c r="AO6325" s="6"/>
    </row>
    <row r="6326" spans="26:41" x14ac:dyDescent="0.25">
      <c r="Z6326"/>
      <c r="AO6326" s="6"/>
    </row>
    <row r="6327" spans="26:41" x14ac:dyDescent="0.25">
      <c r="Z6327"/>
      <c r="AO6327" s="6"/>
    </row>
    <row r="6328" spans="26:41" x14ac:dyDescent="0.25">
      <c r="Z6328"/>
      <c r="AO6328" s="6"/>
    </row>
    <row r="6329" spans="26:41" x14ac:dyDescent="0.25">
      <c r="Z6329"/>
      <c r="AO6329" s="6"/>
    </row>
    <row r="6330" spans="26:41" x14ac:dyDescent="0.25">
      <c r="Z6330"/>
      <c r="AO6330" s="6"/>
    </row>
    <row r="6331" spans="26:41" x14ac:dyDescent="0.25">
      <c r="Z6331"/>
      <c r="AO6331" s="6"/>
    </row>
    <row r="6332" spans="26:41" x14ac:dyDescent="0.25">
      <c r="Z6332"/>
      <c r="AO6332" s="6"/>
    </row>
    <row r="6333" spans="26:41" x14ac:dyDescent="0.25">
      <c r="Z6333"/>
      <c r="AO6333" s="6"/>
    </row>
    <row r="6334" spans="26:41" x14ac:dyDescent="0.25">
      <c r="Z6334"/>
      <c r="AO6334" s="6"/>
    </row>
    <row r="6335" spans="26:41" x14ac:dyDescent="0.25">
      <c r="Z6335"/>
      <c r="AO6335" s="6"/>
    </row>
    <row r="6336" spans="26:41" x14ac:dyDescent="0.25">
      <c r="Z6336"/>
      <c r="AO6336" s="6"/>
    </row>
    <row r="6337" spans="26:41" x14ac:dyDescent="0.25">
      <c r="Z6337"/>
      <c r="AO6337" s="6"/>
    </row>
    <row r="6338" spans="26:41" x14ac:dyDescent="0.25">
      <c r="Z6338"/>
      <c r="AO6338" s="6"/>
    </row>
    <row r="6339" spans="26:41" x14ac:dyDescent="0.25">
      <c r="Z6339"/>
      <c r="AO6339" s="6"/>
    </row>
    <row r="6340" spans="26:41" x14ac:dyDescent="0.25">
      <c r="Z6340"/>
      <c r="AO6340" s="6"/>
    </row>
    <row r="6341" spans="26:41" x14ac:dyDescent="0.25">
      <c r="Z6341"/>
      <c r="AO6341" s="6"/>
    </row>
    <row r="6342" spans="26:41" x14ac:dyDescent="0.25">
      <c r="Z6342"/>
      <c r="AO6342" s="6"/>
    </row>
    <row r="6343" spans="26:41" x14ac:dyDescent="0.25">
      <c r="Z6343"/>
      <c r="AO6343" s="6"/>
    </row>
    <row r="6344" spans="26:41" x14ac:dyDescent="0.25">
      <c r="Z6344"/>
      <c r="AO6344" s="6"/>
    </row>
    <row r="6345" spans="26:41" x14ac:dyDescent="0.25">
      <c r="Z6345"/>
      <c r="AO6345" s="6"/>
    </row>
    <row r="6346" spans="26:41" x14ac:dyDescent="0.25">
      <c r="Z6346"/>
      <c r="AO6346" s="6"/>
    </row>
    <row r="6347" spans="26:41" x14ac:dyDescent="0.25">
      <c r="Z6347"/>
      <c r="AO6347" s="6"/>
    </row>
    <row r="6348" spans="26:41" x14ac:dyDescent="0.25">
      <c r="Z6348"/>
      <c r="AO6348" s="6"/>
    </row>
    <row r="6349" spans="26:41" x14ac:dyDescent="0.25">
      <c r="Z6349"/>
      <c r="AO6349" s="6"/>
    </row>
    <row r="6350" spans="26:41" x14ac:dyDescent="0.25">
      <c r="Z6350"/>
      <c r="AO6350" s="6"/>
    </row>
    <row r="6351" spans="26:41" x14ac:dyDescent="0.25">
      <c r="Z6351"/>
      <c r="AO6351" s="6"/>
    </row>
    <row r="6352" spans="26:41" x14ac:dyDescent="0.25">
      <c r="Z6352"/>
      <c r="AO6352" s="6"/>
    </row>
    <row r="6353" spans="26:41" x14ac:dyDescent="0.25">
      <c r="Z6353"/>
      <c r="AO6353" s="6"/>
    </row>
    <row r="6354" spans="26:41" x14ac:dyDescent="0.25">
      <c r="Z6354"/>
      <c r="AO6354" s="6"/>
    </row>
    <row r="6355" spans="26:41" x14ac:dyDescent="0.25">
      <c r="Z6355"/>
      <c r="AO6355" s="6"/>
    </row>
    <row r="6356" spans="26:41" x14ac:dyDescent="0.25">
      <c r="Z6356"/>
      <c r="AO6356" s="6"/>
    </row>
    <row r="6357" spans="26:41" x14ac:dyDescent="0.25">
      <c r="Z6357"/>
      <c r="AO6357" s="6"/>
    </row>
    <row r="6358" spans="26:41" x14ac:dyDescent="0.25">
      <c r="Z6358"/>
      <c r="AO6358" s="6"/>
    </row>
    <row r="6359" spans="26:41" x14ac:dyDescent="0.25">
      <c r="Z6359"/>
      <c r="AO6359" s="6"/>
    </row>
    <row r="6360" spans="26:41" x14ac:dyDescent="0.25">
      <c r="Z6360"/>
      <c r="AO6360" s="6"/>
    </row>
    <row r="6361" spans="26:41" x14ac:dyDescent="0.25">
      <c r="Z6361"/>
      <c r="AO6361" s="6"/>
    </row>
    <row r="6362" spans="26:41" x14ac:dyDescent="0.25">
      <c r="Z6362"/>
      <c r="AO6362" s="6"/>
    </row>
    <row r="6363" spans="26:41" x14ac:dyDescent="0.25">
      <c r="Z6363"/>
      <c r="AO6363" s="6"/>
    </row>
    <row r="6364" spans="26:41" x14ac:dyDescent="0.25">
      <c r="Z6364"/>
      <c r="AO6364" s="6"/>
    </row>
    <row r="6365" spans="26:41" x14ac:dyDescent="0.25">
      <c r="Z6365"/>
      <c r="AO6365" s="6"/>
    </row>
    <row r="6366" spans="26:41" x14ac:dyDescent="0.25">
      <c r="Z6366"/>
      <c r="AO6366" s="6"/>
    </row>
    <row r="6367" spans="26:41" x14ac:dyDescent="0.25">
      <c r="Z6367"/>
      <c r="AO6367" s="6"/>
    </row>
    <row r="6368" spans="26:41" x14ac:dyDescent="0.25">
      <c r="Z6368"/>
      <c r="AO6368" s="6"/>
    </row>
    <row r="6369" spans="26:41" x14ac:dyDescent="0.25">
      <c r="Z6369"/>
      <c r="AO6369" s="6"/>
    </row>
    <row r="6370" spans="26:41" x14ac:dyDescent="0.25">
      <c r="Z6370"/>
      <c r="AO6370" s="6"/>
    </row>
    <row r="6371" spans="26:41" x14ac:dyDescent="0.25">
      <c r="Z6371"/>
      <c r="AO6371" s="6"/>
    </row>
    <row r="6372" spans="26:41" x14ac:dyDescent="0.25">
      <c r="Z6372"/>
      <c r="AO6372" s="6"/>
    </row>
    <row r="6373" spans="26:41" x14ac:dyDescent="0.25">
      <c r="Z6373"/>
      <c r="AO6373" s="6"/>
    </row>
    <row r="6374" spans="26:41" x14ac:dyDescent="0.25">
      <c r="Z6374"/>
      <c r="AO6374" s="6"/>
    </row>
    <row r="6375" spans="26:41" x14ac:dyDescent="0.25">
      <c r="Z6375"/>
      <c r="AO6375" s="6"/>
    </row>
    <row r="6376" spans="26:41" x14ac:dyDescent="0.25">
      <c r="Z6376"/>
      <c r="AO6376" s="6"/>
    </row>
    <row r="6377" spans="26:41" x14ac:dyDescent="0.25">
      <c r="Z6377"/>
      <c r="AO6377" s="6"/>
    </row>
    <row r="6378" spans="26:41" x14ac:dyDescent="0.25">
      <c r="Z6378"/>
      <c r="AO6378" s="6"/>
    </row>
    <row r="6379" spans="26:41" x14ac:dyDescent="0.25">
      <c r="Z6379"/>
      <c r="AO6379" s="6"/>
    </row>
    <row r="6380" spans="26:41" x14ac:dyDescent="0.25">
      <c r="Z6380"/>
      <c r="AO6380" s="6"/>
    </row>
    <row r="6381" spans="26:41" x14ac:dyDescent="0.25">
      <c r="Z6381"/>
      <c r="AO6381" s="6"/>
    </row>
    <row r="6382" spans="26:41" x14ac:dyDescent="0.25">
      <c r="Z6382"/>
      <c r="AO6382" s="6"/>
    </row>
    <row r="6383" spans="26:41" x14ac:dyDescent="0.25">
      <c r="Z6383"/>
      <c r="AO6383" s="6"/>
    </row>
    <row r="6384" spans="26:41" x14ac:dyDescent="0.25">
      <c r="Z6384"/>
      <c r="AO6384" s="6"/>
    </row>
    <row r="6385" spans="26:41" x14ac:dyDescent="0.25">
      <c r="Z6385"/>
      <c r="AO6385" s="6"/>
    </row>
    <row r="6386" spans="26:41" x14ac:dyDescent="0.25">
      <c r="Z6386"/>
      <c r="AO6386" s="6"/>
    </row>
    <row r="6387" spans="26:41" x14ac:dyDescent="0.25">
      <c r="Z6387"/>
      <c r="AO6387" s="6"/>
    </row>
    <row r="6388" spans="26:41" x14ac:dyDescent="0.25">
      <c r="Z6388"/>
      <c r="AO6388" s="6"/>
    </row>
    <row r="6389" spans="26:41" x14ac:dyDescent="0.25">
      <c r="Z6389"/>
      <c r="AO6389" s="6"/>
    </row>
    <row r="6390" spans="26:41" x14ac:dyDescent="0.25">
      <c r="Z6390"/>
      <c r="AO6390" s="6"/>
    </row>
    <row r="6391" spans="26:41" x14ac:dyDescent="0.25">
      <c r="Z6391"/>
      <c r="AO6391" s="6"/>
    </row>
    <row r="6392" spans="26:41" x14ac:dyDescent="0.25">
      <c r="Z6392"/>
      <c r="AO6392" s="6"/>
    </row>
    <row r="6393" spans="26:41" x14ac:dyDescent="0.25">
      <c r="Z6393"/>
      <c r="AO6393" s="6"/>
    </row>
    <row r="6394" spans="26:41" x14ac:dyDescent="0.25">
      <c r="Z6394"/>
      <c r="AO6394" s="6"/>
    </row>
    <row r="6395" spans="26:41" x14ac:dyDescent="0.25">
      <c r="Z6395"/>
      <c r="AO6395" s="6"/>
    </row>
    <row r="6396" spans="26:41" x14ac:dyDescent="0.25">
      <c r="Z6396"/>
      <c r="AO6396" s="6"/>
    </row>
    <row r="6397" spans="26:41" x14ac:dyDescent="0.25">
      <c r="Z6397"/>
      <c r="AO6397" s="6"/>
    </row>
    <row r="6398" spans="26:41" x14ac:dyDescent="0.25">
      <c r="Z6398"/>
      <c r="AO6398" s="6"/>
    </row>
    <row r="6399" spans="26:41" x14ac:dyDescent="0.25">
      <c r="Z6399"/>
      <c r="AO6399" s="6"/>
    </row>
    <row r="6400" spans="26:41" x14ac:dyDescent="0.25">
      <c r="Z6400"/>
      <c r="AO6400" s="6"/>
    </row>
    <row r="6401" spans="26:41" x14ac:dyDescent="0.25">
      <c r="Z6401"/>
      <c r="AO6401" s="6"/>
    </row>
    <row r="6402" spans="26:41" x14ac:dyDescent="0.25">
      <c r="Z6402"/>
      <c r="AO6402" s="6"/>
    </row>
    <row r="6403" spans="26:41" x14ac:dyDescent="0.25">
      <c r="Z6403"/>
      <c r="AO6403" s="6"/>
    </row>
    <row r="6404" spans="26:41" x14ac:dyDescent="0.25">
      <c r="Z6404"/>
      <c r="AO6404" s="6"/>
    </row>
    <row r="6405" spans="26:41" x14ac:dyDescent="0.25">
      <c r="Z6405"/>
      <c r="AO6405" s="6"/>
    </row>
    <row r="6406" spans="26:41" x14ac:dyDescent="0.25">
      <c r="Z6406"/>
      <c r="AO6406" s="6"/>
    </row>
    <row r="6407" spans="26:41" x14ac:dyDescent="0.25">
      <c r="Z6407"/>
      <c r="AO6407" s="6"/>
    </row>
    <row r="6408" spans="26:41" x14ac:dyDescent="0.25">
      <c r="Z6408"/>
      <c r="AO6408" s="6"/>
    </row>
    <row r="6409" spans="26:41" x14ac:dyDescent="0.25">
      <c r="Z6409"/>
      <c r="AO6409" s="6"/>
    </row>
    <row r="6410" spans="26:41" x14ac:dyDescent="0.25">
      <c r="Z6410"/>
      <c r="AO6410" s="6"/>
    </row>
    <row r="6411" spans="26:41" x14ac:dyDescent="0.25">
      <c r="Z6411"/>
      <c r="AO6411" s="6"/>
    </row>
    <row r="6412" spans="26:41" x14ac:dyDescent="0.25">
      <c r="Z6412"/>
      <c r="AO6412" s="6"/>
    </row>
    <row r="6413" spans="26:41" x14ac:dyDescent="0.25">
      <c r="Z6413"/>
      <c r="AO6413" s="6"/>
    </row>
    <row r="6414" spans="26:41" x14ac:dyDescent="0.25">
      <c r="Z6414"/>
      <c r="AO6414" s="6"/>
    </row>
    <row r="6415" spans="26:41" x14ac:dyDescent="0.25">
      <c r="Z6415"/>
      <c r="AO6415" s="6"/>
    </row>
    <row r="6416" spans="26:41" x14ac:dyDescent="0.25">
      <c r="Z6416"/>
      <c r="AO6416" s="6"/>
    </row>
    <row r="6417" spans="26:41" x14ac:dyDescent="0.25">
      <c r="Z6417"/>
      <c r="AO6417" s="6"/>
    </row>
    <row r="6418" spans="26:41" x14ac:dyDescent="0.25">
      <c r="Z6418"/>
      <c r="AO6418" s="6"/>
    </row>
    <row r="6419" spans="26:41" x14ac:dyDescent="0.25">
      <c r="Z6419"/>
      <c r="AO6419" s="6"/>
    </row>
    <row r="6420" spans="26:41" x14ac:dyDescent="0.25">
      <c r="Z6420"/>
      <c r="AO6420" s="6"/>
    </row>
    <row r="6421" spans="26:41" x14ac:dyDescent="0.25">
      <c r="Z6421"/>
      <c r="AO6421" s="6"/>
    </row>
    <row r="6422" spans="26:41" x14ac:dyDescent="0.25">
      <c r="Z6422"/>
      <c r="AO6422" s="6"/>
    </row>
    <row r="6423" spans="26:41" x14ac:dyDescent="0.25">
      <c r="Z6423"/>
      <c r="AO6423" s="6"/>
    </row>
    <row r="6424" spans="26:41" x14ac:dyDescent="0.25">
      <c r="Z6424"/>
      <c r="AO6424" s="6"/>
    </row>
    <row r="6425" spans="26:41" x14ac:dyDescent="0.25">
      <c r="Z6425"/>
      <c r="AO6425" s="6"/>
    </row>
    <row r="6426" spans="26:41" x14ac:dyDescent="0.25">
      <c r="Z6426"/>
      <c r="AO6426" s="6"/>
    </row>
    <row r="6427" spans="26:41" x14ac:dyDescent="0.25">
      <c r="Z6427"/>
      <c r="AO6427" s="6"/>
    </row>
    <row r="6428" spans="26:41" x14ac:dyDescent="0.25">
      <c r="Z6428"/>
      <c r="AO6428" s="6"/>
    </row>
    <row r="6429" spans="26:41" x14ac:dyDescent="0.25">
      <c r="Z6429"/>
      <c r="AO6429" s="6"/>
    </row>
    <row r="6430" spans="26:41" x14ac:dyDescent="0.25">
      <c r="Z6430"/>
      <c r="AO6430" s="6"/>
    </row>
    <row r="6431" spans="26:41" x14ac:dyDescent="0.25">
      <c r="Z6431"/>
      <c r="AO6431" s="6"/>
    </row>
    <row r="6432" spans="26:41" x14ac:dyDescent="0.25">
      <c r="Z6432"/>
      <c r="AO6432" s="6"/>
    </row>
    <row r="6433" spans="26:41" x14ac:dyDescent="0.25">
      <c r="Z6433"/>
      <c r="AO6433" s="6"/>
    </row>
    <row r="6434" spans="26:41" x14ac:dyDescent="0.25">
      <c r="Z6434"/>
      <c r="AO6434" s="6"/>
    </row>
    <row r="6435" spans="26:41" x14ac:dyDescent="0.25">
      <c r="Z6435"/>
      <c r="AO6435" s="6"/>
    </row>
    <row r="6436" spans="26:41" x14ac:dyDescent="0.25">
      <c r="Z6436"/>
      <c r="AO6436" s="6"/>
    </row>
    <row r="6437" spans="26:41" x14ac:dyDescent="0.25">
      <c r="Z6437"/>
      <c r="AO6437" s="6"/>
    </row>
    <row r="6438" spans="26:41" x14ac:dyDescent="0.25">
      <c r="Z6438"/>
      <c r="AO6438" s="6"/>
    </row>
    <row r="6439" spans="26:41" x14ac:dyDescent="0.25">
      <c r="Z6439"/>
      <c r="AO6439" s="6"/>
    </row>
    <row r="6440" spans="26:41" x14ac:dyDescent="0.25">
      <c r="Z6440"/>
      <c r="AO6440" s="6"/>
    </row>
    <row r="6441" spans="26:41" x14ac:dyDescent="0.25">
      <c r="Z6441"/>
      <c r="AO6441" s="6"/>
    </row>
    <row r="6442" spans="26:41" x14ac:dyDescent="0.25">
      <c r="Z6442"/>
      <c r="AO6442" s="6"/>
    </row>
    <row r="6443" spans="26:41" x14ac:dyDescent="0.25">
      <c r="Z6443"/>
      <c r="AO6443" s="6"/>
    </row>
    <row r="6444" spans="26:41" x14ac:dyDescent="0.25">
      <c r="Z6444"/>
      <c r="AO6444" s="6"/>
    </row>
    <row r="6445" spans="26:41" x14ac:dyDescent="0.25">
      <c r="Z6445"/>
      <c r="AO6445" s="6"/>
    </row>
    <row r="6446" spans="26:41" x14ac:dyDescent="0.25">
      <c r="Z6446"/>
      <c r="AO6446" s="6"/>
    </row>
    <row r="6447" spans="26:41" x14ac:dyDescent="0.25">
      <c r="Z6447"/>
      <c r="AO6447" s="6"/>
    </row>
    <row r="6448" spans="26:41" x14ac:dyDescent="0.25">
      <c r="Z6448"/>
      <c r="AO6448" s="6"/>
    </row>
    <row r="6449" spans="26:41" x14ac:dyDescent="0.25">
      <c r="Z6449"/>
      <c r="AO6449" s="6"/>
    </row>
    <row r="6450" spans="26:41" x14ac:dyDescent="0.25">
      <c r="Z6450"/>
      <c r="AO6450" s="6"/>
    </row>
    <row r="6451" spans="26:41" x14ac:dyDescent="0.25">
      <c r="Z6451"/>
      <c r="AO6451" s="6"/>
    </row>
    <row r="6452" spans="26:41" x14ac:dyDescent="0.25">
      <c r="Z6452"/>
      <c r="AO6452" s="6"/>
    </row>
    <row r="6453" spans="26:41" x14ac:dyDescent="0.25">
      <c r="Z6453"/>
      <c r="AO6453" s="6"/>
    </row>
    <row r="6454" spans="26:41" x14ac:dyDescent="0.25">
      <c r="Z6454"/>
      <c r="AO6454" s="6"/>
    </row>
    <row r="6455" spans="26:41" x14ac:dyDescent="0.25">
      <c r="Z6455"/>
      <c r="AO6455" s="6"/>
    </row>
    <row r="6456" spans="26:41" x14ac:dyDescent="0.25">
      <c r="Z6456"/>
      <c r="AO6456" s="6"/>
    </row>
    <row r="6457" spans="26:41" x14ac:dyDescent="0.25">
      <c r="Z6457"/>
      <c r="AO6457" s="6"/>
    </row>
    <row r="6458" spans="26:41" x14ac:dyDescent="0.25">
      <c r="Z6458"/>
      <c r="AO6458" s="6"/>
    </row>
    <row r="6459" spans="26:41" x14ac:dyDescent="0.25">
      <c r="Z6459"/>
      <c r="AO6459" s="6"/>
    </row>
    <row r="6460" spans="26:41" x14ac:dyDescent="0.25">
      <c r="Z6460"/>
      <c r="AO6460" s="6"/>
    </row>
    <row r="6461" spans="26:41" x14ac:dyDescent="0.25">
      <c r="Z6461"/>
      <c r="AO6461" s="6"/>
    </row>
    <row r="6462" spans="26:41" x14ac:dyDescent="0.25">
      <c r="Z6462"/>
      <c r="AO6462" s="6"/>
    </row>
    <row r="6463" spans="26:41" x14ac:dyDescent="0.25">
      <c r="Z6463"/>
      <c r="AO6463" s="6"/>
    </row>
    <row r="6464" spans="26:41" x14ac:dyDescent="0.25">
      <c r="Z6464"/>
      <c r="AO6464" s="6"/>
    </row>
    <row r="6465" spans="26:41" x14ac:dyDescent="0.25">
      <c r="Z6465"/>
      <c r="AO6465" s="6"/>
    </row>
    <row r="6466" spans="26:41" x14ac:dyDescent="0.25">
      <c r="Z6466"/>
      <c r="AO6466" s="6"/>
    </row>
    <row r="6467" spans="26:41" x14ac:dyDescent="0.25">
      <c r="Z6467"/>
      <c r="AO6467" s="6"/>
    </row>
    <row r="6468" spans="26:41" x14ac:dyDescent="0.25">
      <c r="Z6468"/>
      <c r="AO6468" s="6"/>
    </row>
    <row r="6469" spans="26:41" x14ac:dyDescent="0.25">
      <c r="Z6469"/>
      <c r="AO6469" s="6"/>
    </row>
    <row r="6470" spans="26:41" x14ac:dyDescent="0.25">
      <c r="Z6470"/>
      <c r="AO6470" s="6"/>
    </row>
    <row r="6471" spans="26:41" x14ac:dyDescent="0.25">
      <c r="Z6471"/>
      <c r="AO6471" s="6"/>
    </row>
    <row r="6472" spans="26:41" x14ac:dyDescent="0.25">
      <c r="Z6472"/>
      <c r="AO6472" s="6"/>
    </row>
    <row r="6473" spans="26:41" x14ac:dyDescent="0.25">
      <c r="Z6473"/>
      <c r="AO6473" s="6"/>
    </row>
    <row r="6474" spans="26:41" x14ac:dyDescent="0.25">
      <c r="Z6474"/>
      <c r="AO6474" s="6"/>
    </row>
    <row r="6475" spans="26:41" x14ac:dyDescent="0.25">
      <c r="Z6475"/>
      <c r="AO6475" s="6"/>
    </row>
    <row r="6476" spans="26:41" x14ac:dyDescent="0.25">
      <c r="Z6476"/>
      <c r="AO6476" s="6"/>
    </row>
    <row r="6477" spans="26:41" x14ac:dyDescent="0.25">
      <c r="Z6477"/>
      <c r="AO6477" s="6"/>
    </row>
    <row r="6478" spans="26:41" x14ac:dyDescent="0.25">
      <c r="Z6478"/>
      <c r="AO6478" s="6"/>
    </row>
    <row r="6479" spans="26:41" x14ac:dyDescent="0.25">
      <c r="Z6479"/>
      <c r="AO6479" s="6"/>
    </row>
    <row r="6480" spans="26:41" x14ac:dyDescent="0.25">
      <c r="Z6480"/>
      <c r="AO6480" s="6"/>
    </row>
    <row r="6481" spans="26:41" x14ac:dyDescent="0.25">
      <c r="Z6481"/>
      <c r="AO6481" s="6"/>
    </row>
    <row r="6482" spans="26:41" x14ac:dyDescent="0.25">
      <c r="Z6482"/>
      <c r="AO6482" s="6"/>
    </row>
    <row r="6483" spans="26:41" x14ac:dyDescent="0.25">
      <c r="Z6483"/>
      <c r="AO6483" s="6"/>
    </row>
    <row r="6484" spans="26:41" x14ac:dyDescent="0.25">
      <c r="Z6484"/>
      <c r="AO6484" s="6"/>
    </row>
    <row r="6485" spans="26:41" x14ac:dyDescent="0.25">
      <c r="Z6485"/>
      <c r="AO6485" s="6"/>
    </row>
    <row r="6486" spans="26:41" x14ac:dyDescent="0.25">
      <c r="Z6486"/>
      <c r="AO6486" s="6"/>
    </row>
    <row r="6487" spans="26:41" x14ac:dyDescent="0.25">
      <c r="Z6487"/>
      <c r="AO6487" s="6"/>
    </row>
    <row r="6488" spans="26:41" x14ac:dyDescent="0.25">
      <c r="Z6488"/>
      <c r="AO6488" s="6"/>
    </row>
    <row r="6489" spans="26:41" x14ac:dyDescent="0.25">
      <c r="Z6489"/>
      <c r="AO6489" s="6"/>
    </row>
    <row r="6490" spans="26:41" x14ac:dyDescent="0.25">
      <c r="Z6490"/>
      <c r="AO6490" s="6"/>
    </row>
    <row r="6491" spans="26:41" x14ac:dyDescent="0.25">
      <c r="Z6491"/>
      <c r="AO6491" s="6"/>
    </row>
    <row r="6492" spans="26:41" x14ac:dyDescent="0.25">
      <c r="Z6492"/>
      <c r="AO6492" s="6"/>
    </row>
    <row r="6493" spans="26:41" x14ac:dyDescent="0.25">
      <c r="Z6493"/>
      <c r="AO6493" s="6"/>
    </row>
    <row r="6494" spans="26:41" x14ac:dyDescent="0.25">
      <c r="Z6494"/>
      <c r="AO6494" s="6"/>
    </row>
    <row r="6495" spans="26:41" x14ac:dyDescent="0.25">
      <c r="Z6495"/>
      <c r="AO6495" s="6"/>
    </row>
    <row r="6496" spans="26:41" x14ac:dyDescent="0.25">
      <c r="Z6496"/>
      <c r="AO6496" s="6"/>
    </row>
    <row r="6497" spans="26:41" x14ac:dyDescent="0.25">
      <c r="Z6497"/>
      <c r="AO6497" s="6"/>
    </row>
    <row r="6498" spans="26:41" x14ac:dyDescent="0.25">
      <c r="Z6498"/>
      <c r="AO6498" s="6"/>
    </row>
    <row r="6499" spans="26:41" x14ac:dyDescent="0.25">
      <c r="Z6499"/>
      <c r="AO6499" s="6"/>
    </row>
    <row r="6500" spans="26:41" x14ac:dyDescent="0.25">
      <c r="Z6500"/>
      <c r="AO6500" s="6"/>
    </row>
    <row r="6501" spans="26:41" x14ac:dyDescent="0.25">
      <c r="Z6501"/>
      <c r="AO6501" s="6"/>
    </row>
    <row r="6502" spans="26:41" x14ac:dyDescent="0.25">
      <c r="Z6502"/>
      <c r="AO6502" s="6"/>
    </row>
    <row r="6503" spans="26:41" x14ac:dyDescent="0.25">
      <c r="Z6503"/>
      <c r="AO6503" s="6"/>
    </row>
    <row r="6504" spans="26:41" x14ac:dyDescent="0.25">
      <c r="Z6504"/>
      <c r="AO6504" s="6"/>
    </row>
    <row r="6505" spans="26:41" x14ac:dyDescent="0.25">
      <c r="Z6505"/>
      <c r="AO6505" s="6"/>
    </row>
    <row r="6506" spans="26:41" x14ac:dyDescent="0.25">
      <c r="Z6506"/>
      <c r="AO6506" s="6"/>
    </row>
    <row r="6507" spans="26:41" x14ac:dyDescent="0.25">
      <c r="Z6507"/>
      <c r="AO6507" s="6"/>
    </row>
    <row r="6508" spans="26:41" x14ac:dyDescent="0.25">
      <c r="Z6508"/>
      <c r="AO6508" s="6"/>
    </row>
    <row r="6509" spans="26:41" x14ac:dyDescent="0.25">
      <c r="Z6509"/>
      <c r="AO6509" s="6"/>
    </row>
    <row r="6510" spans="26:41" x14ac:dyDescent="0.25">
      <c r="Z6510"/>
      <c r="AO6510" s="6"/>
    </row>
    <row r="6511" spans="26:41" x14ac:dyDescent="0.25">
      <c r="Z6511"/>
      <c r="AO6511" s="6"/>
    </row>
    <row r="6512" spans="26:41" x14ac:dyDescent="0.25">
      <c r="Z6512"/>
      <c r="AO6512" s="6"/>
    </row>
    <row r="6513" spans="26:41" x14ac:dyDescent="0.25">
      <c r="Z6513"/>
      <c r="AO6513" s="6"/>
    </row>
    <row r="6514" spans="26:41" x14ac:dyDescent="0.25">
      <c r="Z6514"/>
      <c r="AO6514" s="6"/>
    </row>
    <row r="6515" spans="26:41" x14ac:dyDescent="0.25">
      <c r="Z6515"/>
      <c r="AO6515" s="6"/>
    </row>
    <row r="6516" spans="26:41" x14ac:dyDescent="0.25">
      <c r="Z6516"/>
      <c r="AO6516" s="6"/>
    </row>
    <row r="6517" spans="26:41" x14ac:dyDescent="0.25">
      <c r="Z6517"/>
      <c r="AO6517" s="6"/>
    </row>
    <row r="6518" spans="26:41" x14ac:dyDescent="0.25">
      <c r="Z6518"/>
      <c r="AO6518" s="6"/>
    </row>
    <row r="6519" spans="26:41" x14ac:dyDescent="0.25">
      <c r="Z6519"/>
      <c r="AO6519" s="6"/>
    </row>
    <row r="6520" spans="26:41" x14ac:dyDescent="0.25">
      <c r="Z6520"/>
      <c r="AO6520" s="6"/>
    </row>
    <row r="6521" spans="26:41" x14ac:dyDescent="0.25">
      <c r="Z6521"/>
      <c r="AO6521" s="6"/>
    </row>
    <row r="6522" spans="26:41" x14ac:dyDescent="0.25">
      <c r="Z6522"/>
      <c r="AO6522" s="6"/>
    </row>
    <row r="6523" spans="26:41" x14ac:dyDescent="0.25">
      <c r="Z6523"/>
      <c r="AO6523" s="6"/>
    </row>
    <row r="6524" spans="26:41" x14ac:dyDescent="0.25">
      <c r="Z6524"/>
      <c r="AO6524" s="6"/>
    </row>
    <row r="6525" spans="26:41" x14ac:dyDescent="0.25">
      <c r="Z6525"/>
      <c r="AO6525" s="6"/>
    </row>
    <row r="6526" spans="26:41" x14ac:dyDescent="0.25">
      <c r="Z6526"/>
      <c r="AO6526" s="6"/>
    </row>
    <row r="6527" spans="26:41" x14ac:dyDescent="0.25">
      <c r="Z6527"/>
      <c r="AO6527" s="6"/>
    </row>
    <row r="6528" spans="26:41" x14ac:dyDescent="0.25">
      <c r="Z6528"/>
      <c r="AO6528" s="6"/>
    </row>
    <row r="6529" spans="26:41" x14ac:dyDescent="0.25">
      <c r="Z6529"/>
      <c r="AO6529" s="6"/>
    </row>
    <row r="6530" spans="26:41" x14ac:dyDescent="0.25">
      <c r="Z6530"/>
      <c r="AO6530" s="6"/>
    </row>
    <row r="6531" spans="26:41" x14ac:dyDescent="0.25">
      <c r="Z6531"/>
      <c r="AO6531" s="6"/>
    </row>
    <row r="6532" spans="26:41" x14ac:dyDescent="0.25">
      <c r="Z6532"/>
      <c r="AO6532" s="6"/>
    </row>
    <row r="6533" spans="26:41" x14ac:dyDescent="0.25">
      <c r="Z6533"/>
      <c r="AO6533" s="6"/>
    </row>
    <row r="6534" spans="26:41" x14ac:dyDescent="0.25">
      <c r="Z6534"/>
      <c r="AO6534" s="6"/>
    </row>
    <row r="6535" spans="26:41" x14ac:dyDescent="0.25">
      <c r="Z6535"/>
      <c r="AO6535" s="6"/>
    </row>
    <row r="6536" spans="26:41" x14ac:dyDescent="0.25">
      <c r="Z6536"/>
      <c r="AO6536" s="6"/>
    </row>
    <row r="6537" spans="26:41" x14ac:dyDescent="0.25">
      <c r="Z6537"/>
      <c r="AO6537" s="6"/>
    </row>
    <row r="6538" spans="26:41" x14ac:dyDescent="0.25">
      <c r="Z6538"/>
      <c r="AO6538" s="6"/>
    </row>
    <row r="6539" spans="26:41" x14ac:dyDescent="0.25">
      <c r="Z6539"/>
      <c r="AO6539" s="6"/>
    </row>
    <row r="6540" spans="26:41" x14ac:dyDescent="0.25">
      <c r="Z6540"/>
      <c r="AO6540" s="6"/>
    </row>
    <row r="6541" spans="26:41" x14ac:dyDescent="0.25">
      <c r="Z6541"/>
      <c r="AO6541" s="6"/>
    </row>
    <row r="6542" spans="26:41" x14ac:dyDescent="0.25">
      <c r="Z6542"/>
      <c r="AO6542" s="6"/>
    </row>
    <row r="6543" spans="26:41" x14ac:dyDescent="0.25">
      <c r="Z6543"/>
      <c r="AO6543" s="6"/>
    </row>
    <row r="6544" spans="26:41" x14ac:dyDescent="0.25">
      <c r="Z6544"/>
      <c r="AO6544" s="6"/>
    </row>
    <row r="6545" spans="26:41" x14ac:dyDescent="0.25">
      <c r="Z6545"/>
      <c r="AO6545" s="6"/>
    </row>
    <row r="6546" spans="26:41" x14ac:dyDescent="0.25">
      <c r="Z6546"/>
      <c r="AO6546" s="6"/>
    </row>
    <row r="6547" spans="26:41" x14ac:dyDescent="0.25">
      <c r="Z6547"/>
      <c r="AO6547" s="6"/>
    </row>
    <row r="6548" spans="26:41" x14ac:dyDescent="0.25">
      <c r="Z6548"/>
      <c r="AO6548" s="6"/>
    </row>
    <row r="6549" spans="26:41" x14ac:dyDescent="0.25">
      <c r="Z6549"/>
      <c r="AO6549" s="6"/>
    </row>
    <row r="6550" spans="26:41" x14ac:dyDescent="0.25">
      <c r="Z6550"/>
      <c r="AO6550" s="6"/>
    </row>
    <row r="6551" spans="26:41" x14ac:dyDescent="0.25">
      <c r="Z6551"/>
      <c r="AO6551" s="6"/>
    </row>
    <row r="6552" spans="26:41" x14ac:dyDescent="0.25">
      <c r="Z6552"/>
      <c r="AO6552" s="6"/>
    </row>
    <row r="6553" spans="26:41" x14ac:dyDescent="0.25">
      <c r="Z6553"/>
      <c r="AO6553" s="6"/>
    </row>
    <row r="6554" spans="26:41" x14ac:dyDescent="0.25">
      <c r="Z6554"/>
      <c r="AO6554" s="6"/>
    </row>
    <row r="6555" spans="26:41" x14ac:dyDescent="0.25">
      <c r="Z6555"/>
      <c r="AO6555" s="6"/>
    </row>
    <row r="6556" spans="26:41" x14ac:dyDescent="0.25">
      <c r="Z6556"/>
      <c r="AO6556" s="6"/>
    </row>
    <row r="6557" spans="26:41" x14ac:dyDescent="0.25">
      <c r="Z6557"/>
      <c r="AO6557" s="6"/>
    </row>
    <row r="6558" spans="26:41" x14ac:dyDescent="0.25">
      <c r="Z6558"/>
      <c r="AO6558" s="6"/>
    </row>
    <row r="6559" spans="26:41" x14ac:dyDescent="0.25">
      <c r="Z6559"/>
      <c r="AO6559" s="6"/>
    </row>
    <row r="6560" spans="26:41" x14ac:dyDescent="0.25">
      <c r="Z6560"/>
      <c r="AO6560" s="6"/>
    </row>
    <row r="6561" spans="26:41" x14ac:dyDescent="0.25">
      <c r="Z6561"/>
      <c r="AO6561" s="6"/>
    </row>
    <row r="6562" spans="26:41" x14ac:dyDescent="0.25">
      <c r="Z6562"/>
      <c r="AO6562" s="6"/>
    </row>
    <row r="6563" spans="26:41" x14ac:dyDescent="0.25">
      <c r="Z6563"/>
      <c r="AO6563" s="6"/>
    </row>
    <row r="6564" spans="26:41" x14ac:dyDescent="0.25">
      <c r="Z6564"/>
      <c r="AO6564" s="6"/>
    </row>
    <row r="6565" spans="26:41" x14ac:dyDescent="0.25">
      <c r="Z6565"/>
      <c r="AO6565" s="6"/>
    </row>
    <row r="6566" spans="26:41" x14ac:dyDescent="0.25">
      <c r="Z6566"/>
      <c r="AO6566" s="6"/>
    </row>
    <row r="6567" spans="26:41" x14ac:dyDescent="0.25">
      <c r="Z6567"/>
      <c r="AO6567" s="6"/>
    </row>
    <row r="6568" spans="26:41" x14ac:dyDescent="0.25">
      <c r="Z6568"/>
      <c r="AO6568" s="6"/>
    </row>
    <row r="6569" spans="26:41" x14ac:dyDescent="0.25">
      <c r="Z6569"/>
      <c r="AO6569" s="6"/>
    </row>
    <row r="6570" spans="26:41" x14ac:dyDescent="0.25">
      <c r="Z6570"/>
      <c r="AO6570" s="6"/>
    </row>
    <row r="6571" spans="26:41" x14ac:dyDescent="0.25">
      <c r="Z6571"/>
      <c r="AO6571" s="6"/>
    </row>
    <row r="6572" spans="26:41" x14ac:dyDescent="0.25">
      <c r="Z6572"/>
      <c r="AO6572" s="6"/>
    </row>
    <row r="6573" spans="26:41" x14ac:dyDescent="0.25">
      <c r="Z6573"/>
      <c r="AO6573" s="6"/>
    </row>
    <row r="6574" spans="26:41" x14ac:dyDescent="0.25">
      <c r="Z6574"/>
      <c r="AO6574" s="6"/>
    </row>
    <row r="6575" spans="26:41" x14ac:dyDescent="0.25">
      <c r="Z6575"/>
      <c r="AO6575" s="6"/>
    </row>
    <row r="6576" spans="26:41" x14ac:dyDescent="0.25">
      <c r="Z6576"/>
      <c r="AO6576" s="6"/>
    </row>
    <row r="6577" spans="26:41" x14ac:dyDescent="0.25">
      <c r="Z6577"/>
      <c r="AO6577" s="6"/>
    </row>
    <row r="6578" spans="26:41" x14ac:dyDescent="0.25">
      <c r="Z6578"/>
      <c r="AO6578" s="6"/>
    </row>
    <row r="6579" spans="26:41" x14ac:dyDescent="0.25">
      <c r="Z6579"/>
      <c r="AO6579" s="6"/>
    </row>
    <row r="6580" spans="26:41" x14ac:dyDescent="0.25">
      <c r="Z6580"/>
      <c r="AO6580" s="6"/>
    </row>
    <row r="6581" spans="26:41" x14ac:dyDescent="0.25">
      <c r="Z6581"/>
      <c r="AO6581" s="6"/>
    </row>
    <row r="6582" spans="26:41" x14ac:dyDescent="0.25">
      <c r="Z6582"/>
      <c r="AO6582" s="6"/>
    </row>
    <row r="6583" spans="26:41" x14ac:dyDescent="0.25">
      <c r="Z6583"/>
      <c r="AO6583" s="6"/>
    </row>
    <row r="6584" spans="26:41" x14ac:dyDescent="0.25">
      <c r="Z6584"/>
      <c r="AO6584" s="6"/>
    </row>
    <row r="6585" spans="26:41" x14ac:dyDescent="0.25">
      <c r="Z6585"/>
      <c r="AO6585" s="6"/>
    </row>
    <row r="6586" spans="26:41" x14ac:dyDescent="0.25">
      <c r="Z6586"/>
      <c r="AO6586" s="6"/>
    </row>
    <row r="6587" spans="26:41" x14ac:dyDescent="0.25">
      <c r="Z6587"/>
      <c r="AO6587" s="6"/>
    </row>
    <row r="6588" spans="26:41" x14ac:dyDescent="0.25">
      <c r="Z6588"/>
      <c r="AO6588" s="6"/>
    </row>
    <row r="6589" spans="26:41" x14ac:dyDescent="0.25">
      <c r="Z6589"/>
      <c r="AO6589" s="6"/>
    </row>
    <row r="6590" spans="26:41" x14ac:dyDescent="0.25">
      <c r="Z6590"/>
      <c r="AO6590" s="6"/>
    </row>
    <row r="6591" spans="26:41" x14ac:dyDescent="0.25">
      <c r="Z6591"/>
      <c r="AO6591" s="6"/>
    </row>
    <row r="6592" spans="26:41" x14ac:dyDescent="0.25">
      <c r="Z6592"/>
      <c r="AO6592" s="6"/>
    </row>
    <row r="6593" spans="26:41" x14ac:dyDescent="0.25">
      <c r="Z6593"/>
      <c r="AO6593" s="6"/>
    </row>
    <row r="6594" spans="26:41" x14ac:dyDescent="0.25">
      <c r="Z6594"/>
      <c r="AO6594" s="6"/>
    </row>
    <row r="6595" spans="26:41" x14ac:dyDescent="0.25">
      <c r="Z6595"/>
      <c r="AO6595" s="6"/>
    </row>
    <row r="6596" spans="26:41" x14ac:dyDescent="0.25">
      <c r="Z6596"/>
      <c r="AO6596" s="6"/>
    </row>
    <row r="6597" spans="26:41" x14ac:dyDescent="0.25">
      <c r="Z6597"/>
      <c r="AO6597" s="6"/>
    </row>
    <row r="6598" spans="26:41" x14ac:dyDescent="0.25">
      <c r="Z6598"/>
      <c r="AO6598" s="6"/>
    </row>
    <row r="6599" spans="26:41" x14ac:dyDescent="0.25">
      <c r="Z6599"/>
      <c r="AO6599" s="6"/>
    </row>
    <row r="6600" spans="26:41" x14ac:dyDescent="0.25">
      <c r="Z6600"/>
      <c r="AO6600" s="6"/>
    </row>
    <row r="6601" spans="26:41" x14ac:dyDescent="0.25">
      <c r="Z6601"/>
      <c r="AO6601" s="6"/>
    </row>
    <row r="6602" spans="26:41" x14ac:dyDescent="0.25">
      <c r="Z6602"/>
      <c r="AO6602" s="6"/>
    </row>
    <row r="6603" spans="26:41" x14ac:dyDescent="0.25">
      <c r="Z6603"/>
      <c r="AO6603" s="6"/>
    </row>
    <row r="6604" spans="26:41" x14ac:dyDescent="0.25">
      <c r="Z6604"/>
      <c r="AO6604" s="6"/>
    </row>
    <row r="6605" spans="26:41" x14ac:dyDescent="0.25">
      <c r="Z6605"/>
      <c r="AO6605" s="6"/>
    </row>
    <row r="6606" spans="26:41" x14ac:dyDescent="0.25">
      <c r="Z6606"/>
      <c r="AO6606" s="6"/>
    </row>
    <row r="6607" spans="26:41" x14ac:dyDescent="0.25">
      <c r="Z6607"/>
      <c r="AO6607" s="6"/>
    </row>
    <row r="6608" spans="26:41" x14ac:dyDescent="0.25">
      <c r="Z6608"/>
      <c r="AO6608" s="6"/>
    </row>
    <row r="6609" spans="26:41" x14ac:dyDescent="0.25">
      <c r="Z6609"/>
      <c r="AO6609" s="6"/>
    </row>
    <row r="6610" spans="26:41" x14ac:dyDescent="0.25">
      <c r="Z6610"/>
      <c r="AO6610" s="6"/>
    </row>
    <row r="6611" spans="26:41" x14ac:dyDescent="0.25">
      <c r="Z6611"/>
      <c r="AO6611" s="6"/>
    </row>
    <row r="6612" spans="26:41" x14ac:dyDescent="0.25">
      <c r="Z6612"/>
      <c r="AO6612" s="6"/>
    </row>
    <row r="6613" spans="26:41" x14ac:dyDescent="0.25">
      <c r="Z6613"/>
      <c r="AO6613" s="6"/>
    </row>
    <row r="6614" spans="26:41" x14ac:dyDescent="0.25">
      <c r="Z6614"/>
      <c r="AO6614" s="6"/>
    </row>
    <row r="6615" spans="26:41" x14ac:dyDescent="0.25">
      <c r="Z6615"/>
      <c r="AO6615" s="6"/>
    </row>
    <row r="6616" spans="26:41" x14ac:dyDescent="0.25">
      <c r="Z6616"/>
      <c r="AO6616" s="6"/>
    </row>
    <row r="6617" spans="26:41" x14ac:dyDescent="0.25">
      <c r="Z6617"/>
      <c r="AO6617" s="6"/>
    </row>
    <row r="6618" spans="26:41" x14ac:dyDescent="0.25">
      <c r="Z6618"/>
      <c r="AO6618" s="6"/>
    </row>
    <row r="6619" spans="26:41" x14ac:dyDescent="0.25">
      <c r="Z6619"/>
      <c r="AO6619" s="6"/>
    </row>
    <row r="6620" spans="26:41" x14ac:dyDescent="0.25">
      <c r="Z6620"/>
      <c r="AO6620" s="6"/>
    </row>
    <row r="6621" spans="26:41" x14ac:dyDescent="0.25">
      <c r="Z6621"/>
      <c r="AO6621" s="6"/>
    </row>
    <row r="6622" spans="26:41" x14ac:dyDescent="0.25">
      <c r="Z6622"/>
      <c r="AO6622" s="6"/>
    </row>
    <row r="6623" spans="26:41" x14ac:dyDescent="0.25">
      <c r="Z6623"/>
      <c r="AO6623" s="6"/>
    </row>
    <row r="6624" spans="26:41" x14ac:dyDescent="0.25">
      <c r="Z6624"/>
      <c r="AO6624" s="6"/>
    </row>
    <row r="6625" spans="26:41" x14ac:dyDescent="0.25">
      <c r="Z6625"/>
      <c r="AO6625" s="6"/>
    </row>
    <row r="6626" spans="26:41" x14ac:dyDescent="0.25">
      <c r="Z6626"/>
      <c r="AO6626" s="6"/>
    </row>
    <row r="6627" spans="26:41" x14ac:dyDescent="0.25">
      <c r="Z6627"/>
      <c r="AO6627" s="6"/>
    </row>
    <row r="6628" spans="26:41" x14ac:dyDescent="0.25">
      <c r="Z6628"/>
      <c r="AO6628" s="6"/>
    </row>
    <row r="6629" spans="26:41" x14ac:dyDescent="0.25">
      <c r="Z6629"/>
      <c r="AO6629" s="6"/>
    </row>
    <row r="6630" spans="26:41" x14ac:dyDescent="0.25">
      <c r="Z6630"/>
      <c r="AO6630" s="6"/>
    </row>
    <row r="6631" spans="26:41" x14ac:dyDescent="0.25">
      <c r="Z6631"/>
      <c r="AO6631" s="6"/>
    </row>
    <row r="6632" spans="26:41" x14ac:dyDescent="0.25">
      <c r="Z6632"/>
      <c r="AO6632" s="6"/>
    </row>
    <row r="6633" spans="26:41" x14ac:dyDescent="0.25">
      <c r="Z6633"/>
      <c r="AO6633" s="6"/>
    </row>
    <row r="6634" spans="26:41" x14ac:dyDescent="0.25">
      <c r="Z6634"/>
      <c r="AO6634" s="6"/>
    </row>
    <row r="6635" spans="26:41" x14ac:dyDescent="0.25">
      <c r="Z6635"/>
      <c r="AO6635" s="6"/>
    </row>
    <row r="6636" spans="26:41" x14ac:dyDescent="0.25">
      <c r="Z6636"/>
      <c r="AO6636" s="6"/>
    </row>
    <row r="6637" spans="26:41" x14ac:dyDescent="0.25">
      <c r="Z6637"/>
      <c r="AO6637" s="6"/>
    </row>
    <row r="6638" spans="26:41" x14ac:dyDescent="0.25">
      <c r="Z6638"/>
      <c r="AO6638" s="6"/>
    </row>
    <row r="6639" spans="26:41" x14ac:dyDescent="0.25">
      <c r="Z6639"/>
      <c r="AO6639" s="6"/>
    </row>
    <row r="6640" spans="26:41" x14ac:dyDescent="0.25">
      <c r="Z6640"/>
      <c r="AO6640" s="6"/>
    </row>
    <row r="6641" spans="26:41" x14ac:dyDescent="0.25">
      <c r="Z6641"/>
      <c r="AO6641" s="6"/>
    </row>
    <row r="6642" spans="26:41" x14ac:dyDescent="0.25">
      <c r="Z6642"/>
      <c r="AO6642" s="6"/>
    </row>
    <row r="6643" spans="26:41" x14ac:dyDescent="0.25">
      <c r="Z6643"/>
      <c r="AO6643" s="6"/>
    </row>
    <row r="6644" spans="26:41" x14ac:dyDescent="0.25">
      <c r="Z6644"/>
      <c r="AO6644" s="6"/>
    </row>
    <row r="6645" spans="26:41" x14ac:dyDescent="0.25">
      <c r="Z6645"/>
      <c r="AO6645" s="6"/>
    </row>
    <row r="6646" spans="26:41" x14ac:dyDescent="0.25">
      <c r="Z6646"/>
      <c r="AO6646" s="6"/>
    </row>
    <row r="6647" spans="26:41" x14ac:dyDescent="0.25">
      <c r="Z6647"/>
      <c r="AO6647" s="6"/>
    </row>
    <row r="6648" spans="26:41" x14ac:dyDescent="0.25">
      <c r="Z6648"/>
      <c r="AO6648" s="6"/>
    </row>
    <row r="6649" spans="26:41" x14ac:dyDescent="0.25">
      <c r="Z6649"/>
      <c r="AO6649" s="6"/>
    </row>
    <row r="6650" spans="26:41" x14ac:dyDescent="0.25">
      <c r="Z6650"/>
      <c r="AO6650" s="6"/>
    </row>
    <row r="6651" spans="26:41" x14ac:dyDescent="0.25">
      <c r="Z6651"/>
      <c r="AO6651" s="6"/>
    </row>
    <row r="6652" spans="26:41" x14ac:dyDescent="0.25">
      <c r="Z6652"/>
      <c r="AO6652" s="6"/>
    </row>
    <row r="6653" spans="26:41" x14ac:dyDescent="0.25">
      <c r="Z6653"/>
      <c r="AO6653" s="6"/>
    </row>
    <row r="6654" spans="26:41" x14ac:dyDescent="0.25">
      <c r="Z6654"/>
      <c r="AO6654" s="6"/>
    </row>
    <row r="6655" spans="26:41" x14ac:dyDescent="0.25">
      <c r="Z6655"/>
      <c r="AO6655" s="6"/>
    </row>
    <row r="6656" spans="26:41" x14ac:dyDescent="0.25">
      <c r="Z6656"/>
      <c r="AO6656" s="6"/>
    </row>
    <row r="6657" spans="26:41" x14ac:dyDescent="0.25">
      <c r="Z6657"/>
      <c r="AO6657" s="6"/>
    </row>
    <row r="6658" spans="26:41" x14ac:dyDescent="0.25">
      <c r="Z6658"/>
      <c r="AO6658" s="6"/>
    </row>
    <row r="6659" spans="26:41" x14ac:dyDescent="0.25">
      <c r="Z6659"/>
      <c r="AO6659" s="6"/>
    </row>
    <row r="6660" spans="26:41" x14ac:dyDescent="0.25">
      <c r="Z6660"/>
      <c r="AO6660" s="6"/>
    </row>
    <row r="6661" spans="26:41" x14ac:dyDescent="0.25">
      <c r="Z6661"/>
      <c r="AO6661" s="6"/>
    </row>
    <row r="6662" spans="26:41" x14ac:dyDescent="0.25">
      <c r="Z6662"/>
      <c r="AO6662" s="6"/>
    </row>
    <row r="6663" spans="26:41" x14ac:dyDescent="0.25">
      <c r="Z6663"/>
      <c r="AO6663" s="6"/>
    </row>
    <row r="6664" spans="26:41" x14ac:dyDescent="0.25">
      <c r="Z6664"/>
      <c r="AO6664" s="6"/>
    </row>
    <row r="6665" spans="26:41" x14ac:dyDescent="0.25">
      <c r="Z6665"/>
      <c r="AO6665" s="6"/>
    </row>
    <row r="6666" spans="26:41" x14ac:dyDescent="0.25">
      <c r="Z6666"/>
      <c r="AO6666" s="6"/>
    </row>
    <row r="6667" spans="26:41" x14ac:dyDescent="0.25">
      <c r="Z6667"/>
      <c r="AO6667" s="6"/>
    </row>
    <row r="6668" spans="26:41" x14ac:dyDescent="0.25">
      <c r="Z6668"/>
      <c r="AO6668" s="6"/>
    </row>
    <row r="6669" spans="26:41" x14ac:dyDescent="0.25">
      <c r="Z6669"/>
      <c r="AO6669" s="6"/>
    </row>
    <row r="6670" spans="26:41" x14ac:dyDescent="0.25">
      <c r="Z6670"/>
      <c r="AO6670" s="6"/>
    </row>
    <row r="6671" spans="26:41" x14ac:dyDescent="0.25">
      <c r="Z6671"/>
      <c r="AO6671" s="6"/>
    </row>
    <row r="6672" spans="26:41" x14ac:dyDescent="0.25">
      <c r="Z6672"/>
      <c r="AO6672" s="6"/>
    </row>
    <row r="6673" spans="26:41" x14ac:dyDescent="0.25">
      <c r="Z6673"/>
      <c r="AO6673" s="6"/>
    </row>
    <row r="6674" spans="26:41" x14ac:dyDescent="0.25">
      <c r="Z6674"/>
      <c r="AO6674" s="6"/>
    </row>
    <row r="6675" spans="26:41" x14ac:dyDescent="0.25">
      <c r="Z6675"/>
      <c r="AO6675" s="6"/>
    </row>
    <row r="6676" spans="26:41" x14ac:dyDescent="0.25">
      <c r="Z6676"/>
      <c r="AO6676" s="6"/>
    </row>
    <row r="6677" spans="26:41" x14ac:dyDescent="0.25">
      <c r="Z6677"/>
      <c r="AO6677" s="6"/>
    </row>
    <row r="6678" spans="26:41" x14ac:dyDescent="0.25">
      <c r="Z6678"/>
      <c r="AO6678" s="6"/>
    </row>
    <row r="6679" spans="26:41" x14ac:dyDescent="0.25">
      <c r="Z6679"/>
      <c r="AO6679" s="6"/>
    </row>
    <row r="6680" spans="26:41" x14ac:dyDescent="0.25">
      <c r="Z6680"/>
      <c r="AO6680" s="6"/>
    </row>
    <row r="6681" spans="26:41" x14ac:dyDescent="0.25">
      <c r="Z6681"/>
      <c r="AO6681" s="6"/>
    </row>
    <row r="6682" spans="26:41" x14ac:dyDescent="0.25">
      <c r="Z6682"/>
      <c r="AO6682" s="6"/>
    </row>
    <row r="6683" spans="26:41" x14ac:dyDescent="0.25">
      <c r="Z6683"/>
      <c r="AO6683" s="6"/>
    </row>
    <row r="6684" spans="26:41" x14ac:dyDescent="0.25">
      <c r="Z6684"/>
      <c r="AO6684" s="6"/>
    </row>
    <row r="6685" spans="26:41" x14ac:dyDescent="0.25">
      <c r="Z6685"/>
      <c r="AO6685" s="6"/>
    </row>
    <row r="6686" spans="26:41" x14ac:dyDescent="0.25">
      <c r="Z6686"/>
      <c r="AO6686" s="6"/>
    </row>
    <row r="6687" spans="26:41" x14ac:dyDescent="0.25">
      <c r="Z6687"/>
      <c r="AO6687" s="6"/>
    </row>
    <row r="6688" spans="26:41" x14ac:dyDescent="0.25">
      <c r="Z6688"/>
      <c r="AO6688" s="6"/>
    </row>
    <row r="6689" spans="26:41" x14ac:dyDescent="0.25">
      <c r="Z6689"/>
      <c r="AO6689" s="6"/>
    </row>
    <row r="6690" spans="26:41" x14ac:dyDescent="0.25">
      <c r="Z6690"/>
      <c r="AO6690" s="6"/>
    </row>
    <row r="6691" spans="26:41" x14ac:dyDescent="0.25">
      <c r="Z6691"/>
      <c r="AO6691" s="6"/>
    </row>
    <row r="6692" spans="26:41" x14ac:dyDescent="0.25">
      <c r="Z6692"/>
      <c r="AO6692" s="6"/>
    </row>
    <row r="6693" spans="26:41" x14ac:dyDescent="0.25">
      <c r="Z6693"/>
      <c r="AO6693" s="6"/>
    </row>
    <row r="6694" spans="26:41" x14ac:dyDescent="0.25">
      <c r="Z6694"/>
      <c r="AO6694" s="6"/>
    </row>
    <row r="6695" spans="26:41" x14ac:dyDescent="0.25">
      <c r="Z6695"/>
      <c r="AO6695" s="6"/>
    </row>
    <row r="6696" spans="26:41" x14ac:dyDescent="0.25">
      <c r="Z6696"/>
      <c r="AO6696" s="6"/>
    </row>
    <row r="6697" spans="26:41" x14ac:dyDescent="0.25">
      <c r="Z6697"/>
      <c r="AO6697" s="6"/>
    </row>
    <row r="6698" spans="26:41" x14ac:dyDescent="0.25">
      <c r="Z6698"/>
      <c r="AO6698" s="6"/>
    </row>
    <row r="6699" spans="26:41" x14ac:dyDescent="0.25">
      <c r="Z6699"/>
      <c r="AO6699" s="6"/>
    </row>
    <row r="6700" spans="26:41" x14ac:dyDescent="0.25">
      <c r="Z6700"/>
      <c r="AO6700" s="6"/>
    </row>
    <row r="6701" spans="26:41" x14ac:dyDescent="0.25">
      <c r="Z6701"/>
      <c r="AO6701" s="6"/>
    </row>
    <row r="6702" spans="26:41" x14ac:dyDescent="0.25">
      <c r="Z6702"/>
      <c r="AO6702" s="6"/>
    </row>
    <row r="6703" spans="26:41" x14ac:dyDescent="0.25">
      <c r="Z6703"/>
      <c r="AO6703" s="6"/>
    </row>
    <row r="6704" spans="26:41" x14ac:dyDescent="0.25">
      <c r="Z6704"/>
      <c r="AO6704" s="6"/>
    </row>
    <row r="6705" spans="26:41" x14ac:dyDescent="0.25">
      <c r="Z6705"/>
      <c r="AO6705" s="6"/>
    </row>
    <row r="6706" spans="26:41" x14ac:dyDescent="0.25">
      <c r="Z6706"/>
      <c r="AO6706" s="6"/>
    </row>
    <row r="6707" spans="26:41" x14ac:dyDescent="0.25">
      <c r="Z6707"/>
      <c r="AO6707" s="6"/>
    </row>
    <row r="6708" spans="26:41" x14ac:dyDescent="0.25">
      <c r="Z6708"/>
      <c r="AO6708" s="6"/>
    </row>
    <row r="6709" spans="26:41" x14ac:dyDescent="0.25">
      <c r="Z6709"/>
      <c r="AO6709" s="6"/>
    </row>
    <row r="6710" spans="26:41" x14ac:dyDescent="0.25">
      <c r="Z6710"/>
      <c r="AO6710" s="6"/>
    </row>
    <row r="6711" spans="26:41" x14ac:dyDescent="0.25">
      <c r="Z6711"/>
      <c r="AO6711" s="6"/>
    </row>
    <row r="6712" spans="26:41" x14ac:dyDescent="0.25">
      <c r="Z6712"/>
      <c r="AO6712" s="6"/>
    </row>
    <row r="6713" spans="26:41" x14ac:dyDescent="0.25">
      <c r="Z6713"/>
      <c r="AO6713" s="6"/>
    </row>
    <row r="6714" spans="26:41" x14ac:dyDescent="0.25">
      <c r="Z6714"/>
      <c r="AO6714" s="6"/>
    </row>
    <row r="6715" spans="26:41" x14ac:dyDescent="0.25">
      <c r="Z6715"/>
      <c r="AO6715" s="6"/>
    </row>
    <row r="6716" spans="26:41" x14ac:dyDescent="0.25">
      <c r="Z6716"/>
      <c r="AO6716" s="6"/>
    </row>
    <row r="6717" spans="26:41" x14ac:dyDescent="0.25">
      <c r="Z6717"/>
      <c r="AO6717" s="6"/>
    </row>
    <row r="6718" spans="26:41" x14ac:dyDescent="0.25">
      <c r="Z6718"/>
      <c r="AO6718" s="6"/>
    </row>
    <row r="6719" spans="26:41" x14ac:dyDescent="0.25">
      <c r="Z6719"/>
      <c r="AO6719" s="6"/>
    </row>
    <row r="6720" spans="26:41" x14ac:dyDescent="0.25">
      <c r="Z6720"/>
      <c r="AO6720" s="6"/>
    </row>
    <row r="6721" spans="26:41" x14ac:dyDescent="0.25">
      <c r="Z6721"/>
      <c r="AO6721" s="6"/>
    </row>
    <row r="6722" spans="26:41" x14ac:dyDescent="0.25">
      <c r="Z6722"/>
      <c r="AO6722" s="6"/>
    </row>
    <row r="6723" spans="26:41" x14ac:dyDescent="0.25">
      <c r="Z6723"/>
      <c r="AO6723" s="6"/>
    </row>
    <row r="6724" spans="26:41" x14ac:dyDescent="0.25">
      <c r="Z6724"/>
      <c r="AO6724" s="6"/>
    </row>
    <row r="6725" spans="26:41" x14ac:dyDescent="0.25">
      <c r="Z6725"/>
      <c r="AO6725" s="6"/>
    </row>
    <row r="6726" spans="26:41" x14ac:dyDescent="0.25">
      <c r="Z6726"/>
      <c r="AO6726" s="6"/>
    </row>
    <row r="6727" spans="26:41" x14ac:dyDescent="0.25">
      <c r="Z6727"/>
      <c r="AO6727" s="6"/>
    </row>
    <row r="6728" spans="26:41" x14ac:dyDescent="0.25">
      <c r="Z6728"/>
      <c r="AO6728" s="6"/>
    </row>
    <row r="6729" spans="26:41" x14ac:dyDescent="0.25">
      <c r="Z6729"/>
      <c r="AO6729" s="6"/>
    </row>
    <row r="6730" spans="26:41" x14ac:dyDescent="0.25">
      <c r="Z6730"/>
      <c r="AO6730" s="6"/>
    </row>
    <row r="6731" spans="26:41" x14ac:dyDescent="0.25">
      <c r="Z6731"/>
      <c r="AO6731" s="6"/>
    </row>
    <row r="6732" spans="26:41" x14ac:dyDescent="0.25">
      <c r="Z6732"/>
      <c r="AO6732" s="6"/>
    </row>
    <row r="6733" spans="26:41" x14ac:dyDescent="0.25">
      <c r="Z6733"/>
      <c r="AO6733" s="6"/>
    </row>
    <row r="6734" spans="26:41" x14ac:dyDescent="0.25">
      <c r="Z6734"/>
      <c r="AO6734" s="6"/>
    </row>
    <row r="6735" spans="26:41" x14ac:dyDescent="0.25">
      <c r="Z6735"/>
      <c r="AO6735" s="6"/>
    </row>
    <row r="6736" spans="26:41" x14ac:dyDescent="0.25">
      <c r="Z6736"/>
      <c r="AO6736" s="6"/>
    </row>
    <row r="6737" spans="26:41" x14ac:dyDescent="0.25">
      <c r="Z6737"/>
      <c r="AO6737" s="6"/>
    </row>
    <row r="6738" spans="26:41" x14ac:dyDescent="0.25">
      <c r="Z6738"/>
      <c r="AO6738" s="6"/>
    </row>
    <row r="6739" spans="26:41" x14ac:dyDescent="0.25">
      <c r="Z6739"/>
      <c r="AO6739" s="6"/>
    </row>
    <row r="6740" spans="26:41" x14ac:dyDescent="0.25">
      <c r="Z6740"/>
      <c r="AO6740" s="6"/>
    </row>
    <row r="6741" spans="26:41" x14ac:dyDescent="0.25">
      <c r="Z6741"/>
      <c r="AO6741" s="6"/>
    </row>
    <row r="6742" spans="26:41" x14ac:dyDescent="0.25">
      <c r="Z6742"/>
      <c r="AO6742" s="6"/>
    </row>
    <row r="6743" spans="26:41" x14ac:dyDescent="0.25">
      <c r="Z6743"/>
      <c r="AO6743" s="6"/>
    </row>
    <row r="6744" spans="26:41" x14ac:dyDescent="0.25">
      <c r="Z6744"/>
      <c r="AO6744" s="6"/>
    </row>
    <row r="6745" spans="26:41" x14ac:dyDescent="0.25">
      <c r="Z6745"/>
      <c r="AO6745" s="6"/>
    </row>
    <row r="6746" spans="26:41" x14ac:dyDescent="0.25">
      <c r="Z6746"/>
      <c r="AO6746" s="6"/>
    </row>
    <row r="6747" spans="26:41" x14ac:dyDescent="0.25">
      <c r="Z6747"/>
      <c r="AO6747" s="6"/>
    </row>
    <row r="6748" spans="26:41" x14ac:dyDescent="0.25">
      <c r="Z6748"/>
      <c r="AO6748" s="6"/>
    </row>
    <row r="6749" spans="26:41" x14ac:dyDescent="0.25">
      <c r="Z6749"/>
      <c r="AO6749" s="6"/>
    </row>
    <row r="6750" spans="26:41" x14ac:dyDescent="0.25">
      <c r="Z6750"/>
      <c r="AO6750" s="6"/>
    </row>
    <row r="6751" spans="26:41" x14ac:dyDescent="0.25">
      <c r="Z6751"/>
      <c r="AO6751" s="6"/>
    </row>
    <row r="6752" spans="26:41" x14ac:dyDescent="0.25">
      <c r="Z6752"/>
      <c r="AO6752" s="6"/>
    </row>
    <row r="6753" spans="26:41" x14ac:dyDescent="0.25">
      <c r="Z6753"/>
      <c r="AO6753" s="6"/>
    </row>
    <row r="6754" spans="26:41" x14ac:dyDescent="0.25">
      <c r="Z6754"/>
      <c r="AO6754" s="6"/>
    </row>
    <row r="6755" spans="26:41" x14ac:dyDescent="0.25">
      <c r="Z6755"/>
      <c r="AO6755" s="6"/>
    </row>
    <row r="6756" spans="26:41" x14ac:dyDescent="0.25">
      <c r="Z6756"/>
      <c r="AO6756" s="6"/>
    </row>
    <row r="6757" spans="26:41" x14ac:dyDescent="0.25">
      <c r="Z6757"/>
      <c r="AO6757" s="6"/>
    </row>
    <row r="6758" spans="26:41" x14ac:dyDescent="0.25">
      <c r="Z6758"/>
      <c r="AO6758" s="6"/>
    </row>
    <row r="6759" spans="26:41" x14ac:dyDescent="0.25">
      <c r="Z6759"/>
      <c r="AO6759" s="6"/>
    </row>
    <row r="6760" spans="26:41" x14ac:dyDescent="0.25">
      <c r="Z6760"/>
      <c r="AO6760" s="6"/>
    </row>
    <row r="6761" spans="26:41" x14ac:dyDescent="0.25">
      <c r="Z6761"/>
      <c r="AO6761" s="6"/>
    </row>
    <row r="6762" spans="26:41" x14ac:dyDescent="0.25">
      <c r="Z6762"/>
      <c r="AO6762" s="6"/>
    </row>
    <row r="6763" spans="26:41" x14ac:dyDescent="0.25">
      <c r="Z6763"/>
      <c r="AO6763" s="6"/>
    </row>
    <row r="6764" spans="26:41" x14ac:dyDescent="0.25">
      <c r="Z6764"/>
      <c r="AO6764" s="6"/>
    </row>
    <row r="6765" spans="26:41" x14ac:dyDescent="0.25">
      <c r="Z6765"/>
      <c r="AO6765" s="6"/>
    </row>
    <row r="6766" spans="26:41" x14ac:dyDescent="0.25">
      <c r="Z6766"/>
      <c r="AO6766" s="6"/>
    </row>
    <row r="6767" spans="26:41" x14ac:dyDescent="0.25">
      <c r="Z6767"/>
      <c r="AO6767" s="6"/>
    </row>
    <row r="6768" spans="26:41" x14ac:dyDescent="0.25">
      <c r="Z6768"/>
      <c r="AO6768" s="6"/>
    </row>
    <row r="6769" spans="26:41" x14ac:dyDescent="0.25">
      <c r="Z6769"/>
      <c r="AO6769" s="6"/>
    </row>
    <row r="6770" spans="26:41" x14ac:dyDescent="0.25">
      <c r="Z6770"/>
      <c r="AO6770" s="6"/>
    </row>
    <row r="6771" spans="26:41" x14ac:dyDescent="0.25">
      <c r="Z6771"/>
      <c r="AO6771" s="6"/>
    </row>
    <row r="6772" spans="26:41" x14ac:dyDescent="0.25">
      <c r="Z6772"/>
      <c r="AO6772" s="6"/>
    </row>
    <row r="6773" spans="26:41" x14ac:dyDescent="0.25">
      <c r="Z6773"/>
      <c r="AO6773" s="6"/>
    </row>
    <row r="6774" spans="26:41" x14ac:dyDescent="0.25">
      <c r="Z6774"/>
      <c r="AO6774" s="6"/>
    </row>
    <row r="6775" spans="26:41" x14ac:dyDescent="0.25">
      <c r="Z6775"/>
      <c r="AO6775" s="6"/>
    </row>
    <row r="6776" spans="26:41" x14ac:dyDescent="0.25">
      <c r="Z6776"/>
      <c r="AO6776" s="6"/>
    </row>
    <row r="6777" spans="26:41" x14ac:dyDescent="0.25">
      <c r="Z6777"/>
      <c r="AO6777" s="6"/>
    </row>
    <row r="6778" spans="26:41" x14ac:dyDescent="0.25">
      <c r="Z6778"/>
      <c r="AO6778" s="6"/>
    </row>
    <row r="6779" spans="26:41" x14ac:dyDescent="0.25">
      <c r="Z6779"/>
      <c r="AO6779" s="6"/>
    </row>
    <row r="6780" spans="26:41" x14ac:dyDescent="0.25">
      <c r="Z6780"/>
      <c r="AO6780" s="6"/>
    </row>
    <row r="6781" spans="26:41" x14ac:dyDescent="0.25">
      <c r="Z6781"/>
      <c r="AO6781" s="6"/>
    </row>
    <row r="6782" spans="26:41" x14ac:dyDescent="0.25">
      <c r="Z6782"/>
      <c r="AO6782" s="6"/>
    </row>
    <row r="6783" spans="26:41" x14ac:dyDescent="0.25">
      <c r="Z6783"/>
      <c r="AO6783" s="6"/>
    </row>
    <row r="6784" spans="26:41" x14ac:dyDescent="0.25">
      <c r="Z6784"/>
      <c r="AO6784" s="6"/>
    </row>
    <row r="6785" spans="26:41" x14ac:dyDescent="0.25">
      <c r="Z6785"/>
      <c r="AO6785" s="6"/>
    </row>
    <row r="6786" spans="26:41" x14ac:dyDescent="0.25">
      <c r="Z6786"/>
      <c r="AO6786" s="6"/>
    </row>
    <row r="6787" spans="26:41" x14ac:dyDescent="0.25">
      <c r="Z6787"/>
      <c r="AO6787" s="6"/>
    </row>
    <row r="6788" spans="26:41" x14ac:dyDescent="0.25">
      <c r="Z6788"/>
      <c r="AO6788" s="6"/>
    </row>
    <row r="6789" spans="26:41" x14ac:dyDescent="0.25">
      <c r="Z6789"/>
      <c r="AO6789" s="6"/>
    </row>
    <row r="6790" spans="26:41" x14ac:dyDescent="0.25">
      <c r="Z6790"/>
      <c r="AO6790" s="6"/>
    </row>
    <row r="6791" spans="26:41" x14ac:dyDescent="0.25">
      <c r="Z6791"/>
      <c r="AO6791" s="6"/>
    </row>
    <row r="6792" spans="26:41" x14ac:dyDescent="0.25">
      <c r="Z6792"/>
      <c r="AO6792" s="6"/>
    </row>
    <row r="6793" spans="26:41" x14ac:dyDescent="0.25">
      <c r="Z6793"/>
      <c r="AO6793" s="6"/>
    </row>
    <row r="6794" spans="26:41" x14ac:dyDescent="0.25">
      <c r="Z6794"/>
      <c r="AO6794" s="6"/>
    </row>
    <row r="6795" spans="26:41" x14ac:dyDescent="0.25">
      <c r="Z6795"/>
      <c r="AO6795" s="6"/>
    </row>
    <row r="6796" spans="26:41" x14ac:dyDescent="0.25">
      <c r="Z6796"/>
      <c r="AO6796" s="6"/>
    </row>
    <row r="6797" spans="26:41" x14ac:dyDescent="0.25">
      <c r="Z6797"/>
      <c r="AO6797" s="6"/>
    </row>
    <row r="6798" spans="26:41" x14ac:dyDescent="0.25">
      <c r="Z6798"/>
      <c r="AO6798" s="6"/>
    </row>
    <row r="6799" spans="26:41" x14ac:dyDescent="0.25">
      <c r="Z6799"/>
      <c r="AO6799" s="6"/>
    </row>
    <row r="6800" spans="26:41" x14ac:dyDescent="0.25">
      <c r="Z6800"/>
      <c r="AO6800" s="6"/>
    </row>
    <row r="6801" spans="26:41" x14ac:dyDescent="0.25">
      <c r="Z6801"/>
      <c r="AO6801" s="6"/>
    </row>
    <row r="6802" spans="26:41" x14ac:dyDescent="0.25">
      <c r="Z6802"/>
      <c r="AO6802" s="6"/>
    </row>
    <row r="6803" spans="26:41" x14ac:dyDescent="0.25">
      <c r="Z6803"/>
      <c r="AO6803" s="6"/>
    </row>
    <row r="6804" spans="26:41" x14ac:dyDescent="0.25">
      <c r="Z6804"/>
      <c r="AO6804" s="6"/>
    </row>
    <row r="6805" spans="26:41" x14ac:dyDescent="0.25">
      <c r="Z6805"/>
      <c r="AO6805" s="6"/>
    </row>
    <row r="6806" spans="26:41" x14ac:dyDescent="0.25">
      <c r="Z6806"/>
      <c r="AO6806" s="6"/>
    </row>
    <row r="6807" spans="26:41" x14ac:dyDescent="0.25">
      <c r="Z6807"/>
      <c r="AO6807" s="6"/>
    </row>
    <row r="6808" spans="26:41" x14ac:dyDescent="0.25">
      <c r="Z6808"/>
      <c r="AO6808" s="6"/>
    </row>
    <row r="6809" spans="26:41" x14ac:dyDescent="0.25">
      <c r="Z6809"/>
      <c r="AO6809" s="6"/>
    </row>
    <row r="6810" spans="26:41" x14ac:dyDescent="0.25">
      <c r="Z6810"/>
      <c r="AO6810" s="6"/>
    </row>
    <row r="6811" spans="26:41" x14ac:dyDescent="0.25">
      <c r="Z6811"/>
      <c r="AO6811" s="6"/>
    </row>
    <row r="6812" spans="26:41" x14ac:dyDescent="0.25">
      <c r="Z6812"/>
      <c r="AO6812" s="6"/>
    </row>
    <row r="6813" spans="26:41" x14ac:dyDescent="0.25">
      <c r="Z6813"/>
      <c r="AO6813" s="6"/>
    </row>
    <row r="6814" spans="26:41" x14ac:dyDescent="0.25">
      <c r="Z6814"/>
      <c r="AO6814" s="6"/>
    </row>
    <row r="6815" spans="26:41" x14ac:dyDescent="0.25">
      <c r="Z6815"/>
      <c r="AO6815" s="6"/>
    </row>
    <row r="6816" spans="26:41" x14ac:dyDescent="0.25">
      <c r="Z6816"/>
      <c r="AO6816" s="6"/>
    </row>
    <row r="6817" spans="26:41" x14ac:dyDescent="0.25">
      <c r="Z6817"/>
      <c r="AO6817" s="6"/>
    </row>
    <row r="6818" spans="26:41" x14ac:dyDescent="0.25">
      <c r="Z6818"/>
      <c r="AO6818" s="6"/>
    </row>
    <row r="6819" spans="26:41" x14ac:dyDescent="0.25">
      <c r="Z6819"/>
      <c r="AO6819" s="6"/>
    </row>
    <row r="6820" spans="26:41" x14ac:dyDescent="0.25">
      <c r="Z6820"/>
      <c r="AO6820" s="6"/>
    </row>
    <row r="6821" spans="26:41" x14ac:dyDescent="0.25">
      <c r="Z6821"/>
      <c r="AO6821" s="6"/>
    </row>
    <row r="6822" spans="26:41" x14ac:dyDescent="0.25">
      <c r="Z6822"/>
      <c r="AO6822" s="6"/>
    </row>
    <row r="6823" spans="26:41" x14ac:dyDescent="0.25">
      <c r="Z6823"/>
      <c r="AO6823" s="6"/>
    </row>
    <row r="6824" spans="26:41" x14ac:dyDescent="0.25">
      <c r="Z6824"/>
      <c r="AO6824" s="6"/>
    </row>
    <row r="6825" spans="26:41" x14ac:dyDescent="0.25">
      <c r="Z6825"/>
      <c r="AO6825" s="6"/>
    </row>
    <row r="6826" spans="26:41" x14ac:dyDescent="0.25">
      <c r="Z6826"/>
      <c r="AO6826" s="6"/>
    </row>
    <row r="6827" spans="26:41" x14ac:dyDescent="0.25">
      <c r="Z6827"/>
      <c r="AO6827" s="6"/>
    </row>
    <row r="6828" spans="26:41" x14ac:dyDescent="0.25">
      <c r="Z6828"/>
      <c r="AO6828" s="6"/>
    </row>
    <row r="6829" spans="26:41" x14ac:dyDescent="0.25">
      <c r="Z6829"/>
      <c r="AO6829" s="6"/>
    </row>
    <row r="6830" spans="26:41" x14ac:dyDescent="0.25">
      <c r="Z6830"/>
      <c r="AO6830" s="6"/>
    </row>
    <row r="6831" spans="26:41" x14ac:dyDescent="0.25">
      <c r="Z6831"/>
      <c r="AO6831" s="6"/>
    </row>
    <row r="6832" spans="26:41" x14ac:dyDescent="0.25">
      <c r="Z6832"/>
      <c r="AO6832" s="6"/>
    </row>
    <row r="6833" spans="26:41" x14ac:dyDescent="0.25">
      <c r="Z6833"/>
      <c r="AO6833" s="6"/>
    </row>
    <row r="6834" spans="26:41" x14ac:dyDescent="0.25">
      <c r="Z6834"/>
      <c r="AO6834" s="6"/>
    </row>
    <row r="6835" spans="26:41" x14ac:dyDescent="0.25">
      <c r="Z6835"/>
      <c r="AO6835" s="6"/>
    </row>
    <row r="6836" spans="26:41" x14ac:dyDescent="0.25">
      <c r="Z6836"/>
      <c r="AO6836" s="6"/>
    </row>
    <row r="6837" spans="26:41" x14ac:dyDescent="0.25">
      <c r="Z6837"/>
      <c r="AO6837" s="6"/>
    </row>
    <row r="6838" spans="26:41" x14ac:dyDescent="0.25">
      <c r="Z6838"/>
      <c r="AO6838" s="6"/>
    </row>
    <row r="6839" spans="26:41" x14ac:dyDescent="0.25">
      <c r="Z6839"/>
      <c r="AO6839" s="6"/>
    </row>
    <row r="6840" spans="26:41" x14ac:dyDescent="0.25">
      <c r="Z6840"/>
      <c r="AO6840" s="6"/>
    </row>
    <row r="6841" spans="26:41" x14ac:dyDescent="0.25">
      <c r="Z6841"/>
      <c r="AO6841" s="6"/>
    </row>
    <row r="6842" spans="26:41" x14ac:dyDescent="0.25">
      <c r="Z6842"/>
      <c r="AO6842" s="6"/>
    </row>
    <row r="6843" spans="26:41" x14ac:dyDescent="0.25">
      <c r="Z6843"/>
      <c r="AO6843" s="6"/>
    </row>
    <row r="6844" spans="26:41" x14ac:dyDescent="0.25">
      <c r="Z6844"/>
      <c r="AO6844" s="6"/>
    </row>
    <row r="6845" spans="26:41" x14ac:dyDescent="0.25">
      <c r="Z6845"/>
      <c r="AO6845" s="6"/>
    </row>
    <row r="6846" spans="26:41" x14ac:dyDescent="0.25">
      <c r="Z6846"/>
      <c r="AO6846" s="6"/>
    </row>
    <row r="6847" spans="26:41" x14ac:dyDescent="0.25">
      <c r="Z6847"/>
      <c r="AO6847" s="6"/>
    </row>
    <row r="6848" spans="26:41" x14ac:dyDescent="0.25">
      <c r="Z6848"/>
      <c r="AO6848" s="6"/>
    </row>
    <row r="6849" spans="26:41" x14ac:dyDescent="0.25">
      <c r="Z6849"/>
      <c r="AO6849" s="6"/>
    </row>
    <row r="6850" spans="26:41" x14ac:dyDescent="0.25">
      <c r="Z6850"/>
      <c r="AO6850" s="6"/>
    </row>
    <row r="6851" spans="26:41" x14ac:dyDescent="0.25">
      <c r="Z6851"/>
      <c r="AO6851" s="6"/>
    </row>
    <row r="6852" spans="26:41" x14ac:dyDescent="0.25">
      <c r="Z6852"/>
      <c r="AO6852" s="6"/>
    </row>
    <row r="6853" spans="26:41" x14ac:dyDescent="0.25">
      <c r="Z6853"/>
      <c r="AO6853" s="6"/>
    </row>
    <row r="6854" spans="26:41" x14ac:dyDescent="0.25">
      <c r="Z6854"/>
      <c r="AO6854" s="6"/>
    </row>
    <row r="6855" spans="26:41" x14ac:dyDescent="0.25">
      <c r="Z6855"/>
      <c r="AO6855" s="6"/>
    </row>
    <row r="6856" spans="26:41" x14ac:dyDescent="0.25">
      <c r="Z6856"/>
      <c r="AO6856" s="6"/>
    </row>
    <row r="6857" spans="26:41" x14ac:dyDescent="0.25">
      <c r="Z6857"/>
      <c r="AO6857" s="6"/>
    </row>
    <row r="6858" spans="26:41" x14ac:dyDescent="0.25">
      <c r="Z6858"/>
      <c r="AO6858" s="6"/>
    </row>
    <row r="6859" spans="26:41" x14ac:dyDescent="0.25">
      <c r="Z6859"/>
      <c r="AO6859" s="6"/>
    </row>
    <row r="6860" spans="26:41" x14ac:dyDescent="0.25">
      <c r="Z6860"/>
      <c r="AO6860" s="6"/>
    </row>
    <row r="6861" spans="26:41" x14ac:dyDescent="0.25">
      <c r="Z6861"/>
      <c r="AO6861" s="6"/>
    </row>
    <row r="6862" spans="26:41" x14ac:dyDescent="0.25">
      <c r="Z6862"/>
      <c r="AO6862" s="6"/>
    </row>
    <row r="6863" spans="26:41" x14ac:dyDescent="0.25">
      <c r="Z6863"/>
      <c r="AO6863" s="6"/>
    </row>
    <row r="6864" spans="26:41" x14ac:dyDescent="0.25">
      <c r="Z6864"/>
      <c r="AO6864" s="6"/>
    </row>
    <row r="6865" spans="26:41" x14ac:dyDescent="0.25">
      <c r="Z6865"/>
      <c r="AO6865" s="6"/>
    </row>
    <row r="6866" spans="26:41" x14ac:dyDescent="0.25">
      <c r="Z6866"/>
      <c r="AO6866" s="6"/>
    </row>
    <row r="6867" spans="26:41" x14ac:dyDescent="0.25">
      <c r="Z6867"/>
      <c r="AO6867" s="6"/>
    </row>
    <row r="6868" spans="26:41" x14ac:dyDescent="0.25">
      <c r="Z6868"/>
      <c r="AO6868" s="6"/>
    </row>
    <row r="6869" spans="26:41" x14ac:dyDescent="0.25">
      <c r="Z6869"/>
      <c r="AO6869" s="6"/>
    </row>
    <row r="6870" spans="26:41" x14ac:dyDescent="0.25">
      <c r="Z6870"/>
      <c r="AO6870" s="6"/>
    </row>
    <row r="6871" spans="26:41" x14ac:dyDescent="0.25">
      <c r="Z6871"/>
      <c r="AO6871" s="6"/>
    </row>
    <row r="6872" spans="26:41" x14ac:dyDescent="0.25">
      <c r="Z6872"/>
      <c r="AO6872" s="6"/>
    </row>
    <row r="6873" spans="26:41" x14ac:dyDescent="0.25">
      <c r="Z6873"/>
      <c r="AO6873" s="6"/>
    </row>
    <row r="6874" spans="26:41" x14ac:dyDescent="0.25">
      <c r="Z6874"/>
      <c r="AO6874" s="6"/>
    </row>
    <row r="6875" spans="26:41" x14ac:dyDescent="0.25">
      <c r="Z6875"/>
      <c r="AO6875" s="6"/>
    </row>
    <row r="6876" spans="26:41" x14ac:dyDescent="0.25">
      <c r="Z6876"/>
      <c r="AO6876" s="6"/>
    </row>
    <row r="6877" spans="26:41" x14ac:dyDescent="0.25">
      <c r="Z6877"/>
      <c r="AO6877" s="6"/>
    </row>
    <row r="6878" spans="26:41" x14ac:dyDescent="0.25">
      <c r="Z6878"/>
      <c r="AO6878" s="6"/>
    </row>
    <row r="6879" spans="26:41" x14ac:dyDescent="0.25">
      <c r="Z6879"/>
      <c r="AO6879" s="6"/>
    </row>
    <row r="6880" spans="26:41" x14ac:dyDescent="0.25">
      <c r="Z6880"/>
      <c r="AO6880" s="6"/>
    </row>
    <row r="6881" spans="26:41" x14ac:dyDescent="0.25">
      <c r="Z6881"/>
      <c r="AO6881" s="6"/>
    </row>
    <row r="6882" spans="26:41" x14ac:dyDescent="0.25">
      <c r="Z6882"/>
      <c r="AO6882" s="6"/>
    </row>
    <row r="6883" spans="26:41" x14ac:dyDescent="0.25">
      <c r="Z6883"/>
      <c r="AO6883" s="6"/>
    </row>
    <row r="6884" spans="26:41" x14ac:dyDescent="0.25">
      <c r="Z6884"/>
      <c r="AO6884" s="6"/>
    </row>
    <row r="6885" spans="26:41" x14ac:dyDescent="0.25">
      <c r="Z6885"/>
      <c r="AO6885" s="6"/>
    </row>
    <row r="6886" spans="26:41" x14ac:dyDescent="0.25">
      <c r="Z6886"/>
      <c r="AO6886" s="6"/>
    </row>
    <row r="6887" spans="26:41" x14ac:dyDescent="0.25">
      <c r="Z6887"/>
      <c r="AO6887" s="6"/>
    </row>
    <row r="6888" spans="26:41" x14ac:dyDescent="0.25">
      <c r="Z6888"/>
      <c r="AO6888" s="6"/>
    </row>
    <row r="6889" spans="26:41" x14ac:dyDescent="0.25">
      <c r="Z6889"/>
      <c r="AO6889" s="6"/>
    </row>
    <row r="6890" spans="26:41" x14ac:dyDescent="0.25">
      <c r="Z6890"/>
      <c r="AO6890" s="6"/>
    </row>
    <row r="6891" spans="26:41" x14ac:dyDescent="0.25">
      <c r="Z6891"/>
      <c r="AO6891" s="6"/>
    </row>
    <row r="6892" spans="26:41" x14ac:dyDescent="0.25">
      <c r="Z6892"/>
      <c r="AO6892" s="6"/>
    </row>
    <row r="6893" spans="26:41" x14ac:dyDescent="0.25">
      <c r="Z6893"/>
      <c r="AO6893" s="6"/>
    </row>
    <row r="6894" spans="26:41" x14ac:dyDescent="0.25">
      <c r="Z6894"/>
      <c r="AO6894" s="6"/>
    </row>
    <row r="6895" spans="26:41" x14ac:dyDescent="0.25">
      <c r="Z6895"/>
      <c r="AO6895" s="6"/>
    </row>
    <row r="6896" spans="26:41" x14ac:dyDescent="0.25">
      <c r="Z6896"/>
      <c r="AO6896" s="6"/>
    </row>
    <row r="6897" spans="26:41" x14ac:dyDescent="0.25">
      <c r="Z6897"/>
      <c r="AO6897" s="6"/>
    </row>
    <row r="6898" spans="26:41" x14ac:dyDescent="0.25">
      <c r="Z6898"/>
      <c r="AO6898" s="6"/>
    </row>
    <row r="6899" spans="26:41" x14ac:dyDescent="0.25">
      <c r="Z6899"/>
      <c r="AO6899" s="6"/>
    </row>
    <row r="6900" spans="26:41" x14ac:dyDescent="0.25">
      <c r="Z6900"/>
      <c r="AO6900" s="6"/>
    </row>
    <row r="6901" spans="26:41" x14ac:dyDescent="0.25">
      <c r="Z6901"/>
      <c r="AO6901" s="6"/>
    </row>
    <row r="6902" spans="26:41" x14ac:dyDescent="0.25">
      <c r="Z6902"/>
      <c r="AO6902" s="6"/>
    </row>
    <row r="6903" spans="26:41" x14ac:dyDescent="0.25">
      <c r="Z6903"/>
      <c r="AO6903" s="6"/>
    </row>
    <row r="6904" spans="26:41" x14ac:dyDescent="0.25">
      <c r="Z6904"/>
      <c r="AO6904" s="6"/>
    </row>
    <row r="6905" spans="26:41" x14ac:dyDescent="0.25">
      <c r="Z6905"/>
      <c r="AO6905" s="6"/>
    </row>
    <row r="6906" spans="26:41" x14ac:dyDescent="0.25">
      <c r="Z6906"/>
      <c r="AO6906" s="6"/>
    </row>
    <row r="6907" spans="26:41" x14ac:dyDescent="0.25">
      <c r="Z6907"/>
      <c r="AO6907" s="6"/>
    </row>
    <row r="6908" spans="26:41" x14ac:dyDescent="0.25">
      <c r="Z6908"/>
      <c r="AO6908" s="6"/>
    </row>
    <row r="6909" spans="26:41" x14ac:dyDescent="0.25">
      <c r="Z6909"/>
      <c r="AO6909" s="6"/>
    </row>
    <row r="6910" spans="26:41" x14ac:dyDescent="0.25">
      <c r="Z6910"/>
      <c r="AO6910" s="6"/>
    </row>
    <row r="6911" spans="26:41" x14ac:dyDescent="0.25">
      <c r="Z6911"/>
      <c r="AO6911" s="6"/>
    </row>
    <row r="6912" spans="26:41" x14ac:dyDescent="0.25">
      <c r="Z6912"/>
      <c r="AO6912" s="6"/>
    </row>
    <row r="6913" spans="26:41" x14ac:dyDescent="0.25">
      <c r="Z6913"/>
      <c r="AO6913" s="6"/>
    </row>
    <row r="6914" spans="26:41" x14ac:dyDescent="0.25">
      <c r="Z6914"/>
      <c r="AO6914" s="6"/>
    </row>
    <row r="6915" spans="26:41" x14ac:dyDescent="0.25">
      <c r="Z6915"/>
      <c r="AO6915" s="6"/>
    </row>
    <row r="6916" spans="26:41" x14ac:dyDescent="0.25">
      <c r="Z6916"/>
      <c r="AO6916" s="6"/>
    </row>
    <row r="6917" spans="26:41" x14ac:dyDescent="0.25">
      <c r="Z6917"/>
      <c r="AO6917" s="6"/>
    </row>
    <row r="6918" spans="26:41" x14ac:dyDescent="0.25">
      <c r="Z6918"/>
      <c r="AO6918" s="6"/>
    </row>
    <row r="6919" spans="26:41" x14ac:dyDescent="0.25">
      <c r="Z6919"/>
      <c r="AO6919" s="6"/>
    </row>
    <row r="6920" spans="26:41" x14ac:dyDescent="0.25">
      <c r="Z6920"/>
      <c r="AO6920" s="6"/>
    </row>
    <row r="6921" spans="26:41" x14ac:dyDescent="0.25">
      <c r="Z6921"/>
      <c r="AO6921" s="6"/>
    </row>
    <row r="6922" spans="26:41" x14ac:dyDescent="0.25">
      <c r="Z6922"/>
      <c r="AO6922" s="6"/>
    </row>
    <row r="6923" spans="26:41" x14ac:dyDescent="0.25">
      <c r="Z6923"/>
      <c r="AO6923" s="6"/>
    </row>
    <row r="6924" spans="26:41" x14ac:dyDescent="0.25">
      <c r="Z6924"/>
      <c r="AO6924" s="6"/>
    </row>
    <row r="6925" spans="26:41" x14ac:dyDescent="0.25">
      <c r="Z6925"/>
      <c r="AO6925" s="6"/>
    </row>
    <row r="6926" spans="26:41" x14ac:dyDescent="0.25">
      <c r="Z6926"/>
      <c r="AO6926" s="6"/>
    </row>
    <row r="6927" spans="26:41" x14ac:dyDescent="0.25">
      <c r="Z6927"/>
      <c r="AO6927" s="6"/>
    </row>
    <row r="6928" spans="26:41" x14ac:dyDescent="0.25">
      <c r="Z6928"/>
      <c r="AO6928" s="6"/>
    </row>
    <row r="6929" spans="26:41" x14ac:dyDescent="0.25">
      <c r="Z6929"/>
      <c r="AO6929" s="6"/>
    </row>
    <row r="6930" spans="26:41" x14ac:dyDescent="0.25">
      <c r="Z6930"/>
      <c r="AO6930" s="6"/>
    </row>
    <row r="6931" spans="26:41" x14ac:dyDescent="0.25">
      <c r="Z6931"/>
      <c r="AO6931" s="6"/>
    </row>
    <row r="6932" spans="26:41" x14ac:dyDescent="0.25">
      <c r="Z6932"/>
      <c r="AO6932" s="6"/>
    </row>
    <row r="6933" spans="26:41" x14ac:dyDescent="0.25">
      <c r="Z6933"/>
      <c r="AO6933" s="6"/>
    </row>
    <row r="6934" spans="26:41" x14ac:dyDescent="0.25">
      <c r="Z6934"/>
      <c r="AO6934" s="6"/>
    </row>
    <row r="6935" spans="26:41" x14ac:dyDescent="0.25">
      <c r="Z6935"/>
      <c r="AO6935" s="6"/>
    </row>
    <row r="6936" spans="26:41" x14ac:dyDescent="0.25">
      <c r="Z6936"/>
      <c r="AO6936" s="6"/>
    </row>
    <row r="6937" spans="26:41" x14ac:dyDescent="0.25">
      <c r="Z6937"/>
      <c r="AO6937" s="6"/>
    </row>
    <row r="6938" spans="26:41" x14ac:dyDescent="0.25">
      <c r="Z6938"/>
      <c r="AO6938" s="6"/>
    </row>
    <row r="6939" spans="26:41" x14ac:dyDescent="0.25">
      <c r="Z6939"/>
      <c r="AO6939" s="6"/>
    </row>
    <row r="6940" spans="26:41" x14ac:dyDescent="0.25">
      <c r="Z6940"/>
      <c r="AO6940" s="6"/>
    </row>
    <row r="6941" spans="26:41" x14ac:dyDescent="0.25">
      <c r="Z6941"/>
      <c r="AO6941" s="6"/>
    </row>
    <row r="6942" spans="26:41" x14ac:dyDescent="0.25">
      <c r="Z6942"/>
      <c r="AO6942" s="6"/>
    </row>
    <row r="6943" spans="26:41" x14ac:dyDescent="0.25">
      <c r="Z6943"/>
      <c r="AO6943" s="6"/>
    </row>
    <row r="6944" spans="26:41" x14ac:dyDescent="0.25">
      <c r="Z6944"/>
      <c r="AO6944" s="6"/>
    </row>
    <row r="6945" spans="26:41" x14ac:dyDescent="0.25">
      <c r="Z6945"/>
      <c r="AO6945" s="6"/>
    </row>
    <row r="6946" spans="26:41" x14ac:dyDescent="0.25">
      <c r="Z6946"/>
      <c r="AO6946" s="6"/>
    </row>
    <row r="6947" spans="26:41" x14ac:dyDescent="0.25">
      <c r="Z6947"/>
      <c r="AO6947" s="6"/>
    </row>
    <row r="6948" spans="26:41" x14ac:dyDescent="0.25">
      <c r="Z6948"/>
      <c r="AO6948" s="6"/>
    </row>
    <row r="6949" spans="26:41" x14ac:dyDescent="0.25">
      <c r="Z6949"/>
      <c r="AO6949" s="6"/>
    </row>
    <row r="6950" spans="26:41" x14ac:dyDescent="0.25">
      <c r="Z6950"/>
      <c r="AO6950" s="6"/>
    </row>
    <row r="6951" spans="26:41" x14ac:dyDescent="0.25">
      <c r="Z6951"/>
      <c r="AO6951" s="6"/>
    </row>
    <row r="6952" spans="26:41" x14ac:dyDescent="0.25">
      <c r="Z6952"/>
      <c r="AO6952" s="6"/>
    </row>
    <row r="6953" spans="26:41" x14ac:dyDescent="0.25">
      <c r="Z6953"/>
      <c r="AO6953" s="6"/>
    </row>
    <row r="6954" spans="26:41" x14ac:dyDescent="0.25">
      <c r="Z6954"/>
      <c r="AO6954" s="6"/>
    </row>
    <row r="6955" spans="26:41" x14ac:dyDescent="0.25">
      <c r="Z6955"/>
      <c r="AO6955" s="6"/>
    </row>
    <row r="6956" spans="26:41" x14ac:dyDescent="0.25">
      <c r="Z6956"/>
      <c r="AO6956" s="6"/>
    </row>
    <row r="6957" spans="26:41" x14ac:dyDescent="0.25">
      <c r="Z6957"/>
      <c r="AO6957" s="6"/>
    </row>
    <row r="6958" spans="26:41" x14ac:dyDescent="0.25">
      <c r="Z6958"/>
      <c r="AO6958" s="6"/>
    </row>
    <row r="6959" spans="26:41" x14ac:dyDescent="0.25">
      <c r="Z6959"/>
      <c r="AO6959" s="6"/>
    </row>
    <row r="6960" spans="26:41" x14ac:dyDescent="0.25">
      <c r="Z6960"/>
      <c r="AO6960" s="6"/>
    </row>
    <row r="6961" spans="26:41" x14ac:dyDescent="0.25">
      <c r="Z6961"/>
      <c r="AO6961" s="6"/>
    </row>
    <row r="6962" spans="26:41" x14ac:dyDescent="0.25">
      <c r="Z6962"/>
      <c r="AO6962" s="6"/>
    </row>
    <row r="6963" spans="26:41" x14ac:dyDescent="0.25">
      <c r="Z6963"/>
      <c r="AO6963" s="6"/>
    </row>
    <row r="6964" spans="26:41" x14ac:dyDescent="0.25">
      <c r="Z6964"/>
      <c r="AO6964" s="6"/>
    </row>
    <row r="6965" spans="26:41" x14ac:dyDescent="0.25">
      <c r="Z6965"/>
      <c r="AO6965" s="6"/>
    </row>
    <row r="6966" spans="26:41" x14ac:dyDescent="0.25">
      <c r="Z6966"/>
      <c r="AO6966" s="6"/>
    </row>
    <row r="6967" spans="26:41" x14ac:dyDescent="0.25">
      <c r="Z6967"/>
      <c r="AO6967" s="6"/>
    </row>
    <row r="6968" spans="26:41" x14ac:dyDescent="0.25">
      <c r="Z6968"/>
      <c r="AO6968" s="6"/>
    </row>
    <row r="6969" spans="26:41" x14ac:dyDescent="0.25">
      <c r="Z6969"/>
      <c r="AO6969" s="6"/>
    </row>
    <row r="6970" spans="26:41" x14ac:dyDescent="0.25">
      <c r="Z6970"/>
      <c r="AO6970" s="6"/>
    </row>
    <row r="6971" spans="26:41" x14ac:dyDescent="0.25">
      <c r="Z6971"/>
      <c r="AO6971" s="6"/>
    </row>
    <row r="6972" spans="26:41" x14ac:dyDescent="0.25">
      <c r="Z6972"/>
      <c r="AO6972" s="6"/>
    </row>
    <row r="6973" spans="26:41" x14ac:dyDescent="0.25">
      <c r="Z6973"/>
      <c r="AO6973" s="6"/>
    </row>
    <row r="6974" spans="26:41" x14ac:dyDescent="0.25">
      <c r="Z6974"/>
      <c r="AO6974" s="6"/>
    </row>
    <row r="6975" spans="26:41" x14ac:dyDescent="0.25">
      <c r="Z6975"/>
      <c r="AO6975" s="6"/>
    </row>
    <row r="6976" spans="26:41" x14ac:dyDescent="0.25">
      <c r="Z6976"/>
      <c r="AO6976" s="6"/>
    </row>
    <row r="6977" spans="26:41" x14ac:dyDescent="0.25">
      <c r="Z6977"/>
      <c r="AO6977" s="6"/>
    </row>
    <row r="6978" spans="26:41" x14ac:dyDescent="0.25">
      <c r="Z6978"/>
      <c r="AO6978" s="6"/>
    </row>
    <row r="6979" spans="26:41" x14ac:dyDescent="0.25">
      <c r="Z6979"/>
      <c r="AO6979" s="6"/>
    </row>
    <row r="6980" spans="26:41" x14ac:dyDescent="0.25">
      <c r="Z6980"/>
      <c r="AO6980" s="6"/>
    </row>
    <row r="6981" spans="26:41" x14ac:dyDescent="0.25">
      <c r="Z6981"/>
      <c r="AO6981" s="6"/>
    </row>
    <row r="6982" spans="26:41" x14ac:dyDescent="0.25">
      <c r="Z6982"/>
      <c r="AO6982" s="6"/>
    </row>
    <row r="6983" spans="26:41" x14ac:dyDescent="0.25">
      <c r="Z6983"/>
      <c r="AO6983" s="6"/>
    </row>
    <row r="6984" spans="26:41" x14ac:dyDescent="0.25">
      <c r="Z6984"/>
      <c r="AO6984" s="6"/>
    </row>
    <row r="6985" spans="26:41" x14ac:dyDescent="0.25">
      <c r="Z6985"/>
      <c r="AO6985" s="6"/>
    </row>
    <row r="6986" spans="26:41" x14ac:dyDescent="0.25">
      <c r="Z6986"/>
      <c r="AO6986" s="6"/>
    </row>
    <row r="6987" spans="26:41" x14ac:dyDescent="0.25">
      <c r="Z6987"/>
      <c r="AO6987" s="6"/>
    </row>
    <row r="6988" spans="26:41" x14ac:dyDescent="0.25">
      <c r="Z6988"/>
      <c r="AO6988" s="6"/>
    </row>
    <row r="6989" spans="26:41" x14ac:dyDescent="0.25">
      <c r="Z6989"/>
      <c r="AO6989" s="6"/>
    </row>
    <row r="6990" spans="26:41" x14ac:dyDescent="0.25">
      <c r="Z6990"/>
      <c r="AO6990" s="6"/>
    </row>
    <row r="6991" spans="26:41" x14ac:dyDescent="0.25">
      <c r="Z6991"/>
      <c r="AO6991" s="6"/>
    </row>
    <row r="6992" spans="26:41" x14ac:dyDescent="0.25">
      <c r="Z6992"/>
      <c r="AO6992" s="6"/>
    </row>
    <row r="6993" spans="26:41" x14ac:dyDescent="0.25">
      <c r="Z6993"/>
      <c r="AO6993" s="6"/>
    </row>
    <row r="6994" spans="26:41" x14ac:dyDescent="0.25">
      <c r="Z6994"/>
      <c r="AO6994" s="6"/>
    </row>
    <row r="6995" spans="26:41" x14ac:dyDescent="0.25">
      <c r="Z6995"/>
      <c r="AO6995" s="6"/>
    </row>
    <row r="6996" spans="26:41" x14ac:dyDescent="0.25">
      <c r="Z6996"/>
      <c r="AO6996" s="6"/>
    </row>
    <row r="6997" spans="26:41" x14ac:dyDescent="0.25">
      <c r="Z6997"/>
      <c r="AO6997" s="6"/>
    </row>
    <row r="6998" spans="26:41" x14ac:dyDescent="0.25">
      <c r="Z6998"/>
      <c r="AO6998" s="6"/>
    </row>
    <row r="6999" spans="26:41" x14ac:dyDescent="0.25">
      <c r="Z6999"/>
      <c r="AO6999" s="6"/>
    </row>
    <row r="7000" spans="26:41" x14ac:dyDescent="0.25">
      <c r="Z7000"/>
      <c r="AO7000" s="6"/>
    </row>
    <row r="7001" spans="26:41" x14ac:dyDescent="0.25">
      <c r="Z7001"/>
      <c r="AO7001" s="6"/>
    </row>
    <row r="7002" spans="26:41" x14ac:dyDescent="0.25">
      <c r="Z7002"/>
      <c r="AO7002" s="6"/>
    </row>
    <row r="7003" spans="26:41" x14ac:dyDescent="0.25">
      <c r="Z7003"/>
      <c r="AO7003" s="6"/>
    </row>
    <row r="7004" spans="26:41" x14ac:dyDescent="0.25">
      <c r="Z7004"/>
      <c r="AO7004" s="6"/>
    </row>
    <row r="7005" spans="26:41" x14ac:dyDescent="0.25">
      <c r="Z7005"/>
      <c r="AO7005" s="6"/>
    </row>
    <row r="7006" spans="26:41" x14ac:dyDescent="0.25">
      <c r="Z7006"/>
      <c r="AO7006" s="6"/>
    </row>
    <row r="7007" spans="26:41" x14ac:dyDescent="0.25">
      <c r="Z7007"/>
      <c r="AO7007" s="6"/>
    </row>
    <row r="7008" spans="26:41" x14ac:dyDescent="0.25">
      <c r="Z7008"/>
      <c r="AO7008" s="6"/>
    </row>
    <row r="7009" spans="26:41" x14ac:dyDescent="0.25">
      <c r="Z7009"/>
      <c r="AO7009" s="6"/>
    </row>
    <row r="7010" spans="26:41" x14ac:dyDescent="0.25">
      <c r="Z7010"/>
      <c r="AO7010" s="6"/>
    </row>
    <row r="7011" spans="26:41" x14ac:dyDescent="0.25">
      <c r="Z7011"/>
      <c r="AO7011" s="6"/>
    </row>
    <row r="7012" spans="26:41" x14ac:dyDescent="0.25">
      <c r="Z7012"/>
      <c r="AO7012" s="6"/>
    </row>
    <row r="7013" spans="26:41" x14ac:dyDescent="0.25">
      <c r="Z7013"/>
      <c r="AO7013" s="6"/>
    </row>
    <row r="7014" spans="26:41" x14ac:dyDescent="0.25">
      <c r="Z7014"/>
      <c r="AO7014" s="6"/>
    </row>
    <row r="7015" spans="26:41" x14ac:dyDescent="0.25">
      <c r="Z7015"/>
      <c r="AO7015" s="6"/>
    </row>
    <row r="7016" spans="26:41" x14ac:dyDescent="0.25">
      <c r="Z7016"/>
      <c r="AO7016" s="6"/>
    </row>
    <row r="7017" spans="26:41" x14ac:dyDescent="0.25">
      <c r="Z7017"/>
      <c r="AO7017" s="6"/>
    </row>
    <row r="7018" spans="26:41" x14ac:dyDescent="0.25">
      <c r="Z7018"/>
      <c r="AO7018" s="6"/>
    </row>
    <row r="7019" spans="26:41" x14ac:dyDescent="0.25">
      <c r="Z7019"/>
      <c r="AO7019" s="6"/>
    </row>
    <row r="7020" spans="26:41" x14ac:dyDescent="0.25">
      <c r="Z7020"/>
      <c r="AO7020" s="6"/>
    </row>
    <row r="7021" spans="26:41" x14ac:dyDescent="0.25">
      <c r="Z7021"/>
      <c r="AO7021" s="6"/>
    </row>
    <row r="7022" spans="26:41" x14ac:dyDescent="0.25">
      <c r="Z7022"/>
      <c r="AO7022" s="6"/>
    </row>
    <row r="7023" spans="26:41" x14ac:dyDescent="0.25">
      <c r="Z7023"/>
      <c r="AO7023" s="6"/>
    </row>
    <row r="7024" spans="26:41" x14ac:dyDescent="0.25">
      <c r="Z7024"/>
      <c r="AO7024" s="6"/>
    </row>
    <row r="7025" spans="26:41" x14ac:dyDescent="0.25">
      <c r="Z7025"/>
      <c r="AO7025" s="6"/>
    </row>
    <row r="7026" spans="26:41" x14ac:dyDescent="0.25">
      <c r="Z7026"/>
      <c r="AO7026" s="6"/>
    </row>
    <row r="7027" spans="26:41" x14ac:dyDescent="0.25">
      <c r="Z7027"/>
      <c r="AO7027" s="6"/>
    </row>
    <row r="7028" spans="26:41" x14ac:dyDescent="0.25">
      <c r="Z7028"/>
      <c r="AO7028" s="6"/>
    </row>
    <row r="7029" spans="26:41" x14ac:dyDescent="0.25">
      <c r="Z7029"/>
      <c r="AO7029" s="6"/>
    </row>
    <row r="7030" spans="26:41" x14ac:dyDescent="0.25">
      <c r="Z7030"/>
      <c r="AO7030" s="6"/>
    </row>
    <row r="7031" spans="26:41" x14ac:dyDescent="0.25">
      <c r="Z7031"/>
      <c r="AO7031" s="6"/>
    </row>
    <row r="7032" spans="26:41" x14ac:dyDescent="0.25">
      <c r="Z7032"/>
      <c r="AO7032" s="6"/>
    </row>
    <row r="7033" spans="26:41" x14ac:dyDescent="0.25">
      <c r="Z7033"/>
      <c r="AO7033" s="6"/>
    </row>
    <row r="7034" spans="26:41" x14ac:dyDescent="0.25">
      <c r="Z7034"/>
      <c r="AO7034" s="6"/>
    </row>
    <row r="7035" spans="26:41" x14ac:dyDescent="0.25">
      <c r="Z7035"/>
      <c r="AO7035" s="6"/>
    </row>
    <row r="7036" spans="26:41" x14ac:dyDescent="0.25">
      <c r="Z7036"/>
      <c r="AO7036" s="6"/>
    </row>
    <row r="7037" spans="26:41" x14ac:dyDescent="0.25">
      <c r="Z7037"/>
      <c r="AO7037" s="6"/>
    </row>
    <row r="7038" spans="26:41" x14ac:dyDescent="0.25">
      <c r="Z7038"/>
      <c r="AO7038" s="6"/>
    </row>
    <row r="7039" spans="26:41" x14ac:dyDescent="0.25">
      <c r="Z7039"/>
      <c r="AO7039" s="6"/>
    </row>
    <row r="7040" spans="26:41" x14ac:dyDescent="0.25">
      <c r="Z7040"/>
      <c r="AO7040" s="6"/>
    </row>
    <row r="7041" spans="26:41" x14ac:dyDescent="0.25">
      <c r="Z7041"/>
      <c r="AO7041" s="6"/>
    </row>
    <row r="7042" spans="26:41" x14ac:dyDescent="0.25">
      <c r="Z7042"/>
      <c r="AO7042" s="6"/>
    </row>
    <row r="7043" spans="26:41" x14ac:dyDescent="0.25">
      <c r="Z7043"/>
      <c r="AO7043" s="6"/>
    </row>
    <row r="7044" spans="26:41" x14ac:dyDescent="0.25">
      <c r="Z7044"/>
      <c r="AO7044" s="6"/>
    </row>
    <row r="7045" spans="26:41" x14ac:dyDescent="0.25">
      <c r="Z7045"/>
      <c r="AO7045" s="6"/>
    </row>
    <row r="7046" spans="26:41" x14ac:dyDescent="0.25">
      <c r="Z7046"/>
      <c r="AO7046" s="6"/>
    </row>
    <row r="7047" spans="26:41" x14ac:dyDescent="0.25">
      <c r="Z7047"/>
      <c r="AO7047" s="6"/>
    </row>
    <row r="7048" spans="26:41" x14ac:dyDescent="0.25">
      <c r="Z7048"/>
      <c r="AO7048" s="6"/>
    </row>
    <row r="7049" spans="26:41" x14ac:dyDescent="0.25">
      <c r="Z7049"/>
      <c r="AO7049" s="6"/>
    </row>
    <row r="7050" spans="26:41" x14ac:dyDescent="0.25">
      <c r="Z7050"/>
      <c r="AO7050" s="6"/>
    </row>
    <row r="7051" spans="26:41" x14ac:dyDescent="0.25">
      <c r="Z7051"/>
      <c r="AO7051" s="6"/>
    </row>
    <row r="7052" spans="26:41" x14ac:dyDescent="0.25">
      <c r="Z7052"/>
      <c r="AO7052" s="6"/>
    </row>
    <row r="7053" spans="26:41" x14ac:dyDescent="0.25">
      <c r="Z7053"/>
      <c r="AO7053" s="6"/>
    </row>
    <row r="7054" spans="26:41" x14ac:dyDescent="0.25">
      <c r="Z7054"/>
      <c r="AO7054" s="6"/>
    </row>
    <row r="7055" spans="26:41" x14ac:dyDescent="0.25">
      <c r="Z7055"/>
      <c r="AO7055" s="6"/>
    </row>
    <row r="7056" spans="26:41" x14ac:dyDescent="0.25">
      <c r="Z7056"/>
      <c r="AO7056" s="6"/>
    </row>
    <row r="7057" spans="26:41" x14ac:dyDescent="0.25">
      <c r="Z7057"/>
      <c r="AO7057" s="6"/>
    </row>
    <row r="7058" spans="26:41" x14ac:dyDescent="0.25">
      <c r="Z7058"/>
      <c r="AO7058" s="6"/>
    </row>
    <row r="7059" spans="26:41" x14ac:dyDescent="0.25">
      <c r="Z7059"/>
      <c r="AO7059" s="6"/>
    </row>
    <row r="7060" spans="26:41" x14ac:dyDescent="0.25">
      <c r="Z7060"/>
      <c r="AO7060" s="6"/>
    </row>
    <row r="7061" spans="26:41" x14ac:dyDescent="0.25">
      <c r="Z7061"/>
      <c r="AO7061" s="6"/>
    </row>
    <row r="7062" spans="26:41" x14ac:dyDescent="0.25">
      <c r="Z7062"/>
      <c r="AO7062" s="6"/>
    </row>
    <row r="7063" spans="26:41" x14ac:dyDescent="0.25">
      <c r="Z7063"/>
      <c r="AO7063" s="6"/>
    </row>
    <row r="7064" spans="26:41" x14ac:dyDescent="0.25">
      <c r="Z7064"/>
      <c r="AO7064" s="6"/>
    </row>
    <row r="7065" spans="26:41" x14ac:dyDescent="0.25">
      <c r="Z7065"/>
      <c r="AO7065" s="6"/>
    </row>
    <row r="7066" spans="26:41" x14ac:dyDescent="0.25">
      <c r="Z7066"/>
      <c r="AO7066" s="6"/>
    </row>
    <row r="7067" spans="26:41" x14ac:dyDescent="0.25">
      <c r="Z7067"/>
      <c r="AO7067" s="6"/>
    </row>
    <row r="7068" spans="26:41" x14ac:dyDescent="0.25">
      <c r="Z7068"/>
      <c r="AO7068" s="6"/>
    </row>
    <row r="7069" spans="26:41" x14ac:dyDescent="0.25">
      <c r="Z7069"/>
      <c r="AO7069" s="6"/>
    </row>
    <row r="7070" spans="26:41" x14ac:dyDescent="0.25">
      <c r="Z7070"/>
      <c r="AO7070" s="6"/>
    </row>
    <row r="7071" spans="26:41" x14ac:dyDescent="0.25">
      <c r="Z7071"/>
      <c r="AO7071" s="6"/>
    </row>
    <row r="7072" spans="26:41" x14ac:dyDescent="0.25">
      <c r="Z7072"/>
      <c r="AO7072" s="6"/>
    </row>
    <row r="7073" spans="26:41" x14ac:dyDescent="0.25">
      <c r="Z7073"/>
      <c r="AO7073" s="6"/>
    </row>
    <row r="7074" spans="26:41" x14ac:dyDescent="0.25">
      <c r="Z7074"/>
      <c r="AO7074" s="6"/>
    </row>
    <row r="7075" spans="26:41" x14ac:dyDescent="0.25">
      <c r="Z7075"/>
      <c r="AO7075" s="6"/>
    </row>
    <row r="7076" spans="26:41" x14ac:dyDescent="0.25">
      <c r="Z7076"/>
      <c r="AO7076" s="6"/>
    </row>
    <row r="7077" spans="26:41" x14ac:dyDescent="0.25">
      <c r="Z7077"/>
      <c r="AO7077" s="6"/>
    </row>
    <row r="7078" spans="26:41" x14ac:dyDescent="0.25">
      <c r="Z7078"/>
      <c r="AO7078" s="6"/>
    </row>
    <row r="7079" spans="26:41" x14ac:dyDescent="0.25">
      <c r="Z7079"/>
      <c r="AO7079" s="6"/>
    </row>
    <row r="7080" spans="26:41" x14ac:dyDescent="0.25">
      <c r="Z7080"/>
      <c r="AO7080" s="6"/>
    </row>
    <row r="7081" spans="26:41" x14ac:dyDescent="0.25">
      <c r="Z7081"/>
      <c r="AO7081" s="6"/>
    </row>
    <row r="7082" spans="26:41" x14ac:dyDescent="0.25">
      <c r="Z7082"/>
      <c r="AO7082" s="6"/>
    </row>
    <row r="7083" spans="26:41" x14ac:dyDescent="0.25">
      <c r="Z7083"/>
      <c r="AO7083" s="6"/>
    </row>
    <row r="7084" spans="26:41" x14ac:dyDescent="0.25">
      <c r="Z7084"/>
      <c r="AO7084" s="6"/>
    </row>
    <row r="7085" spans="26:41" x14ac:dyDescent="0.25">
      <c r="Z7085"/>
      <c r="AO7085" s="6"/>
    </row>
    <row r="7086" spans="26:41" x14ac:dyDescent="0.25">
      <c r="Z7086"/>
      <c r="AO7086" s="6"/>
    </row>
    <row r="7087" spans="26:41" x14ac:dyDescent="0.25">
      <c r="Z7087"/>
      <c r="AO7087" s="6"/>
    </row>
    <row r="7088" spans="26:41" x14ac:dyDescent="0.25">
      <c r="Z7088"/>
      <c r="AO7088" s="6"/>
    </row>
    <row r="7089" spans="26:41" x14ac:dyDescent="0.25">
      <c r="Z7089"/>
      <c r="AO7089" s="6"/>
    </row>
    <row r="7090" spans="26:41" x14ac:dyDescent="0.25">
      <c r="Z7090"/>
      <c r="AO7090" s="6"/>
    </row>
    <row r="7091" spans="26:41" x14ac:dyDescent="0.25">
      <c r="Z7091"/>
      <c r="AO7091" s="6"/>
    </row>
    <row r="7092" spans="26:41" x14ac:dyDescent="0.25">
      <c r="Z7092"/>
      <c r="AO7092" s="6"/>
    </row>
    <row r="7093" spans="26:41" x14ac:dyDescent="0.25">
      <c r="Z7093"/>
      <c r="AO7093" s="6"/>
    </row>
    <row r="7094" spans="26:41" x14ac:dyDescent="0.25">
      <c r="Z7094"/>
      <c r="AO7094" s="6"/>
    </row>
    <row r="7095" spans="26:41" x14ac:dyDescent="0.25">
      <c r="Z7095"/>
      <c r="AO7095" s="6"/>
    </row>
    <row r="7096" spans="26:41" x14ac:dyDescent="0.25">
      <c r="Z7096"/>
      <c r="AO7096" s="6"/>
    </row>
    <row r="7097" spans="26:41" x14ac:dyDescent="0.25">
      <c r="Z7097"/>
      <c r="AO7097" s="6"/>
    </row>
    <row r="7098" spans="26:41" x14ac:dyDescent="0.25">
      <c r="Z7098"/>
      <c r="AO7098" s="6"/>
    </row>
    <row r="7099" spans="26:41" x14ac:dyDescent="0.25">
      <c r="Z7099"/>
      <c r="AO7099" s="6"/>
    </row>
    <row r="7100" spans="26:41" x14ac:dyDescent="0.25">
      <c r="Z7100"/>
      <c r="AO7100" s="6"/>
    </row>
    <row r="7101" spans="26:41" x14ac:dyDescent="0.25">
      <c r="Z7101"/>
      <c r="AO7101" s="6"/>
    </row>
    <row r="7102" spans="26:41" x14ac:dyDescent="0.25">
      <c r="Z7102"/>
      <c r="AO7102" s="6"/>
    </row>
    <row r="7103" spans="26:41" x14ac:dyDescent="0.25">
      <c r="Z7103"/>
      <c r="AO7103" s="6"/>
    </row>
    <row r="7104" spans="26:41" x14ac:dyDescent="0.25">
      <c r="Z7104"/>
      <c r="AO7104" s="6"/>
    </row>
    <row r="7105" spans="26:41" x14ac:dyDescent="0.25">
      <c r="Z7105"/>
      <c r="AO7105" s="6"/>
    </row>
    <row r="7106" spans="26:41" x14ac:dyDescent="0.25">
      <c r="Z7106"/>
      <c r="AO7106" s="6"/>
    </row>
    <row r="7107" spans="26:41" x14ac:dyDescent="0.25">
      <c r="Z7107"/>
      <c r="AO7107" s="6"/>
    </row>
    <row r="7108" spans="26:41" x14ac:dyDescent="0.25">
      <c r="Z7108"/>
      <c r="AO7108" s="6"/>
    </row>
    <row r="7109" spans="26:41" x14ac:dyDescent="0.25">
      <c r="Z7109"/>
      <c r="AO7109" s="6"/>
    </row>
    <row r="7110" spans="26:41" x14ac:dyDescent="0.25">
      <c r="Z7110"/>
      <c r="AO7110" s="6"/>
    </row>
    <row r="7111" spans="26:41" x14ac:dyDescent="0.25">
      <c r="Z7111"/>
      <c r="AO7111" s="6"/>
    </row>
    <row r="7112" spans="26:41" x14ac:dyDescent="0.25">
      <c r="Z7112"/>
      <c r="AO7112" s="6"/>
    </row>
    <row r="7113" spans="26:41" x14ac:dyDescent="0.25">
      <c r="Z7113"/>
      <c r="AO7113" s="6"/>
    </row>
    <row r="7114" spans="26:41" x14ac:dyDescent="0.25">
      <c r="Z7114"/>
      <c r="AO7114" s="6"/>
    </row>
    <row r="7115" spans="26:41" x14ac:dyDescent="0.25">
      <c r="Z7115"/>
      <c r="AO7115" s="6"/>
    </row>
    <row r="7116" spans="26:41" x14ac:dyDescent="0.25">
      <c r="Z7116"/>
      <c r="AO7116" s="6"/>
    </row>
    <row r="7117" spans="26:41" x14ac:dyDescent="0.25">
      <c r="Z7117"/>
      <c r="AO7117" s="6"/>
    </row>
    <row r="7118" spans="26:41" x14ac:dyDescent="0.25">
      <c r="Z7118"/>
      <c r="AO7118" s="6"/>
    </row>
    <row r="7119" spans="26:41" x14ac:dyDescent="0.25">
      <c r="Z7119"/>
      <c r="AO7119" s="6"/>
    </row>
    <row r="7120" spans="26:41" x14ac:dyDescent="0.25">
      <c r="Z7120"/>
      <c r="AO7120" s="6"/>
    </row>
    <row r="7121" spans="26:41" x14ac:dyDescent="0.25">
      <c r="Z7121"/>
      <c r="AO7121" s="6"/>
    </row>
    <row r="7122" spans="26:41" x14ac:dyDescent="0.25">
      <c r="Z7122"/>
      <c r="AO7122" s="6"/>
    </row>
    <row r="7123" spans="26:41" x14ac:dyDescent="0.25">
      <c r="Z7123"/>
      <c r="AO7123" s="6"/>
    </row>
    <row r="7124" spans="26:41" x14ac:dyDescent="0.25">
      <c r="Z7124"/>
      <c r="AO7124" s="6"/>
    </row>
    <row r="7125" spans="26:41" x14ac:dyDescent="0.25">
      <c r="Z7125"/>
      <c r="AO7125" s="6"/>
    </row>
    <row r="7126" spans="26:41" x14ac:dyDescent="0.25">
      <c r="Z7126"/>
      <c r="AO7126" s="6"/>
    </row>
    <row r="7127" spans="26:41" x14ac:dyDescent="0.25">
      <c r="Z7127"/>
      <c r="AO7127" s="6"/>
    </row>
    <row r="7128" spans="26:41" x14ac:dyDescent="0.25">
      <c r="Z7128"/>
      <c r="AO7128" s="6"/>
    </row>
    <row r="7129" spans="26:41" x14ac:dyDescent="0.25">
      <c r="Z7129"/>
      <c r="AO7129" s="6"/>
    </row>
    <row r="7130" spans="26:41" x14ac:dyDescent="0.25">
      <c r="Z7130"/>
      <c r="AO7130" s="6"/>
    </row>
    <row r="7131" spans="26:41" x14ac:dyDescent="0.25">
      <c r="Z7131"/>
      <c r="AO7131" s="6"/>
    </row>
    <row r="7132" spans="26:41" x14ac:dyDescent="0.25">
      <c r="Z7132"/>
      <c r="AO7132" s="6"/>
    </row>
    <row r="7133" spans="26:41" x14ac:dyDescent="0.25">
      <c r="Z7133"/>
      <c r="AO7133" s="6"/>
    </row>
    <row r="7134" spans="26:41" x14ac:dyDescent="0.25">
      <c r="Z7134"/>
      <c r="AO7134" s="6"/>
    </row>
    <row r="7135" spans="26:41" x14ac:dyDescent="0.25">
      <c r="Z7135"/>
      <c r="AO7135" s="6"/>
    </row>
    <row r="7136" spans="26:41" x14ac:dyDescent="0.25">
      <c r="Z7136"/>
      <c r="AO7136" s="6"/>
    </row>
    <row r="7137" spans="26:41" x14ac:dyDescent="0.25">
      <c r="Z7137"/>
      <c r="AO7137" s="6"/>
    </row>
    <row r="7138" spans="26:41" x14ac:dyDescent="0.25">
      <c r="Z7138"/>
      <c r="AO7138" s="6"/>
    </row>
    <row r="7139" spans="26:41" x14ac:dyDescent="0.25">
      <c r="Z7139"/>
      <c r="AO7139" s="6"/>
    </row>
    <row r="7140" spans="26:41" x14ac:dyDescent="0.25">
      <c r="Z7140"/>
      <c r="AO7140" s="6"/>
    </row>
    <row r="7141" spans="26:41" x14ac:dyDescent="0.25">
      <c r="Z7141"/>
      <c r="AO7141" s="6"/>
    </row>
    <row r="7142" spans="26:41" x14ac:dyDescent="0.25">
      <c r="Z7142"/>
      <c r="AO7142" s="6"/>
    </row>
    <row r="7143" spans="26:41" x14ac:dyDescent="0.25">
      <c r="Z7143"/>
      <c r="AO7143" s="6"/>
    </row>
    <row r="7144" spans="26:41" x14ac:dyDescent="0.25">
      <c r="Z7144"/>
      <c r="AO7144" s="6"/>
    </row>
    <row r="7145" spans="26:41" x14ac:dyDescent="0.25">
      <c r="Z7145"/>
      <c r="AO7145" s="6"/>
    </row>
    <row r="7146" spans="26:41" x14ac:dyDescent="0.25">
      <c r="Z7146"/>
      <c r="AO7146" s="6"/>
    </row>
    <row r="7147" spans="26:41" x14ac:dyDescent="0.25">
      <c r="Z7147"/>
      <c r="AO7147" s="6"/>
    </row>
    <row r="7148" spans="26:41" x14ac:dyDescent="0.25">
      <c r="Z7148"/>
      <c r="AO7148" s="6"/>
    </row>
    <row r="7149" spans="26:41" x14ac:dyDescent="0.25">
      <c r="Z7149"/>
      <c r="AO7149" s="6"/>
    </row>
    <row r="7150" spans="26:41" x14ac:dyDescent="0.25">
      <c r="Z7150"/>
      <c r="AO7150" s="6"/>
    </row>
    <row r="7151" spans="26:41" x14ac:dyDescent="0.25">
      <c r="Z7151"/>
      <c r="AO7151" s="6"/>
    </row>
    <row r="7152" spans="26:41" x14ac:dyDescent="0.25">
      <c r="Z7152"/>
      <c r="AO7152" s="6"/>
    </row>
    <row r="7153" spans="26:41" x14ac:dyDescent="0.25">
      <c r="Z7153"/>
      <c r="AO7153" s="6"/>
    </row>
    <row r="7154" spans="26:41" x14ac:dyDescent="0.25">
      <c r="Z7154"/>
      <c r="AO7154" s="6"/>
    </row>
    <row r="7155" spans="26:41" x14ac:dyDescent="0.25">
      <c r="Z7155"/>
      <c r="AO7155" s="6"/>
    </row>
    <row r="7156" spans="26:41" x14ac:dyDescent="0.25">
      <c r="Z7156"/>
      <c r="AO7156" s="6"/>
    </row>
    <row r="7157" spans="26:41" x14ac:dyDescent="0.25">
      <c r="Z7157"/>
      <c r="AO7157" s="6"/>
    </row>
    <row r="7158" spans="26:41" x14ac:dyDescent="0.25">
      <c r="Z7158"/>
      <c r="AO7158" s="6"/>
    </row>
    <row r="7159" spans="26:41" x14ac:dyDescent="0.25">
      <c r="Z7159"/>
      <c r="AO7159" s="6"/>
    </row>
    <row r="7160" spans="26:41" x14ac:dyDescent="0.25">
      <c r="Z7160"/>
      <c r="AO7160" s="6"/>
    </row>
    <row r="7161" spans="26:41" x14ac:dyDescent="0.25">
      <c r="Z7161"/>
      <c r="AO7161" s="6"/>
    </row>
    <row r="7162" spans="26:41" x14ac:dyDescent="0.25">
      <c r="Z7162"/>
      <c r="AO7162" s="6"/>
    </row>
    <row r="7163" spans="26:41" x14ac:dyDescent="0.25">
      <c r="Z7163"/>
      <c r="AO7163" s="6"/>
    </row>
    <row r="7164" spans="26:41" x14ac:dyDescent="0.25">
      <c r="Z7164"/>
      <c r="AO7164" s="6"/>
    </row>
    <row r="7165" spans="26:41" x14ac:dyDescent="0.25">
      <c r="Z7165"/>
      <c r="AO7165" s="6"/>
    </row>
    <row r="7166" spans="26:41" x14ac:dyDescent="0.25">
      <c r="Z7166"/>
      <c r="AO7166" s="6"/>
    </row>
    <row r="7167" spans="26:41" x14ac:dyDescent="0.25">
      <c r="Z7167"/>
      <c r="AO7167" s="6"/>
    </row>
    <row r="7168" spans="26:41" x14ac:dyDescent="0.25">
      <c r="Z7168"/>
      <c r="AO7168" s="6"/>
    </row>
    <row r="7169" spans="26:41" x14ac:dyDescent="0.25">
      <c r="Z7169"/>
      <c r="AO7169" s="6"/>
    </row>
    <row r="7170" spans="26:41" x14ac:dyDescent="0.25">
      <c r="Z7170"/>
      <c r="AO7170" s="6"/>
    </row>
    <row r="7171" spans="26:41" x14ac:dyDescent="0.25">
      <c r="Z7171"/>
      <c r="AO7171" s="6"/>
    </row>
    <row r="7172" spans="26:41" x14ac:dyDescent="0.25">
      <c r="Z7172"/>
      <c r="AO7172" s="6"/>
    </row>
    <row r="7173" spans="26:41" x14ac:dyDescent="0.25">
      <c r="Z7173"/>
      <c r="AO7173" s="6"/>
    </row>
    <row r="7174" spans="26:41" x14ac:dyDescent="0.25">
      <c r="Z7174"/>
      <c r="AO7174" s="6"/>
    </row>
    <row r="7175" spans="26:41" x14ac:dyDescent="0.25">
      <c r="Z7175"/>
      <c r="AO7175" s="6"/>
    </row>
    <row r="7176" spans="26:41" x14ac:dyDescent="0.25">
      <c r="Z7176"/>
      <c r="AO7176" s="6"/>
    </row>
    <row r="7177" spans="26:41" x14ac:dyDescent="0.25">
      <c r="Z7177"/>
      <c r="AO7177" s="6"/>
    </row>
    <row r="7178" spans="26:41" x14ac:dyDescent="0.25">
      <c r="Z7178"/>
      <c r="AO7178" s="6"/>
    </row>
    <row r="7179" spans="26:41" x14ac:dyDescent="0.25">
      <c r="Z7179"/>
      <c r="AO7179" s="6"/>
    </row>
    <row r="7180" spans="26:41" x14ac:dyDescent="0.25">
      <c r="Z7180"/>
      <c r="AO7180" s="6"/>
    </row>
    <row r="7181" spans="26:41" x14ac:dyDescent="0.25">
      <c r="Z7181"/>
      <c r="AO7181" s="6"/>
    </row>
    <row r="7182" spans="26:41" x14ac:dyDescent="0.25">
      <c r="Z7182"/>
      <c r="AO7182" s="6"/>
    </row>
    <row r="7183" spans="26:41" x14ac:dyDescent="0.25">
      <c r="Z7183"/>
      <c r="AO7183" s="6"/>
    </row>
    <row r="7184" spans="26:41" x14ac:dyDescent="0.25">
      <c r="Z7184"/>
      <c r="AO7184" s="6"/>
    </row>
    <row r="7185" spans="26:41" x14ac:dyDescent="0.25">
      <c r="Z7185"/>
      <c r="AO7185" s="6"/>
    </row>
    <row r="7186" spans="26:41" x14ac:dyDescent="0.25">
      <c r="Z7186"/>
      <c r="AO7186" s="6"/>
    </row>
    <row r="7187" spans="26:41" x14ac:dyDescent="0.25">
      <c r="Z7187"/>
      <c r="AO7187" s="6"/>
    </row>
    <row r="7188" spans="26:41" x14ac:dyDescent="0.25">
      <c r="Z7188"/>
      <c r="AO7188" s="6"/>
    </row>
    <row r="7189" spans="26:41" x14ac:dyDescent="0.25">
      <c r="Z7189"/>
      <c r="AO7189" s="6"/>
    </row>
    <row r="7190" spans="26:41" x14ac:dyDescent="0.25">
      <c r="Z7190"/>
      <c r="AO7190" s="6"/>
    </row>
    <row r="7191" spans="26:41" x14ac:dyDescent="0.25">
      <c r="Z7191"/>
      <c r="AO7191" s="6"/>
    </row>
    <row r="7192" spans="26:41" x14ac:dyDescent="0.25">
      <c r="Z7192"/>
      <c r="AO7192" s="6"/>
    </row>
    <row r="7193" spans="26:41" x14ac:dyDescent="0.25">
      <c r="Z7193"/>
      <c r="AO7193" s="6"/>
    </row>
    <row r="7194" spans="26:41" x14ac:dyDescent="0.25">
      <c r="Z7194"/>
      <c r="AO7194" s="6"/>
    </row>
    <row r="7195" spans="26:41" x14ac:dyDescent="0.25">
      <c r="Z7195"/>
      <c r="AO7195" s="6"/>
    </row>
    <row r="7196" spans="26:41" x14ac:dyDescent="0.25">
      <c r="Z7196"/>
      <c r="AO7196" s="6"/>
    </row>
    <row r="7197" spans="26:41" x14ac:dyDescent="0.25">
      <c r="Z7197"/>
      <c r="AO7197" s="6"/>
    </row>
    <row r="7198" spans="26:41" x14ac:dyDescent="0.25">
      <c r="Z7198"/>
      <c r="AO7198" s="6"/>
    </row>
    <row r="7199" spans="26:41" x14ac:dyDescent="0.25">
      <c r="Z7199"/>
      <c r="AO7199" s="6"/>
    </row>
    <row r="7200" spans="26:41" x14ac:dyDescent="0.25">
      <c r="Z7200"/>
      <c r="AO7200" s="6"/>
    </row>
    <row r="7201" spans="26:41" x14ac:dyDescent="0.25">
      <c r="Z7201"/>
      <c r="AO7201" s="6"/>
    </row>
    <row r="7202" spans="26:41" x14ac:dyDescent="0.25">
      <c r="Z7202"/>
      <c r="AO7202" s="6"/>
    </row>
    <row r="7203" spans="26:41" x14ac:dyDescent="0.25">
      <c r="Z7203"/>
      <c r="AO7203" s="6"/>
    </row>
    <row r="7204" spans="26:41" x14ac:dyDescent="0.25">
      <c r="Z7204"/>
      <c r="AO7204" s="6"/>
    </row>
    <row r="7205" spans="26:41" x14ac:dyDescent="0.25">
      <c r="Z7205"/>
      <c r="AO7205" s="6"/>
    </row>
    <row r="7206" spans="26:41" x14ac:dyDescent="0.25">
      <c r="Z7206"/>
      <c r="AO7206" s="6"/>
    </row>
    <row r="7207" spans="26:41" x14ac:dyDescent="0.25">
      <c r="Z7207"/>
      <c r="AO7207" s="6"/>
    </row>
    <row r="7208" spans="26:41" x14ac:dyDescent="0.25">
      <c r="Z7208"/>
      <c r="AO7208" s="6"/>
    </row>
    <row r="7209" spans="26:41" x14ac:dyDescent="0.25">
      <c r="Z7209"/>
      <c r="AO7209" s="6"/>
    </row>
    <row r="7210" spans="26:41" x14ac:dyDescent="0.25">
      <c r="Z7210"/>
      <c r="AO7210" s="6"/>
    </row>
    <row r="7211" spans="26:41" x14ac:dyDescent="0.25">
      <c r="Z7211"/>
      <c r="AO7211" s="6"/>
    </row>
    <row r="7212" spans="26:41" x14ac:dyDescent="0.25">
      <c r="Z7212"/>
      <c r="AO7212" s="6"/>
    </row>
    <row r="7213" spans="26:41" x14ac:dyDescent="0.25">
      <c r="Z7213"/>
      <c r="AO7213" s="6"/>
    </row>
    <row r="7214" spans="26:41" x14ac:dyDescent="0.25">
      <c r="Z7214"/>
      <c r="AO7214" s="6"/>
    </row>
    <row r="7215" spans="26:41" x14ac:dyDescent="0.25">
      <c r="Z7215"/>
      <c r="AO7215" s="6"/>
    </row>
    <row r="7216" spans="26:41" x14ac:dyDescent="0.25">
      <c r="Z7216"/>
      <c r="AO7216" s="6"/>
    </row>
    <row r="7217" spans="26:41" x14ac:dyDescent="0.25">
      <c r="Z7217"/>
      <c r="AO7217" s="6"/>
    </row>
    <row r="7218" spans="26:41" x14ac:dyDescent="0.25">
      <c r="Z7218"/>
      <c r="AO7218" s="6"/>
    </row>
    <row r="7219" spans="26:41" x14ac:dyDescent="0.25">
      <c r="Z7219"/>
      <c r="AO7219" s="6"/>
    </row>
    <row r="7220" spans="26:41" x14ac:dyDescent="0.25">
      <c r="Z7220"/>
      <c r="AO7220" s="6"/>
    </row>
    <row r="7221" spans="26:41" x14ac:dyDescent="0.25">
      <c r="Z7221"/>
      <c r="AO7221" s="6"/>
    </row>
    <row r="7222" spans="26:41" x14ac:dyDescent="0.25">
      <c r="Z7222"/>
      <c r="AO7222" s="6"/>
    </row>
    <row r="7223" spans="26:41" x14ac:dyDescent="0.25">
      <c r="Z7223"/>
      <c r="AO7223" s="6"/>
    </row>
    <row r="7224" spans="26:41" x14ac:dyDescent="0.25">
      <c r="Z7224"/>
      <c r="AO7224" s="6"/>
    </row>
    <row r="7225" spans="26:41" x14ac:dyDescent="0.25">
      <c r="Z7225"/>
      <c r="AO7225" s="6"/>
    </row>
    <row r="7226" spans="26:41" x14ac:dyDescent="0.25">
      <c r="Z7226"/>
      <c r="AO7226" s="6"/>
    </row>
    <row r="7227" spans="26:41" x14ac:dyDescent="0.25">
      <c r="Z7227"/>
      <c r="AO7227" s="6"/>
    </row>
    <row r="7228" spans="26:41" x14ac:dyDescent="0.25">
      <c r="Z7228"/>
      <c r="AO7228" s="6"/>
    </row>
    <row r="7229" spans="26:41" x14ac:dyDescent="0.25">
      <c r="Z7229"/>
      <c r="AO7229" s="6"/>
    </row>
    <row r="7230" spans="26:41" x14ac:dyDescent="0.25">
      <c r="Z7230"/>
      <c r="AO7230" s="6"/>
    </row>
    <row r="7231" spans="26:41" x14ac:dyDescent="0.25">
      <c r="Z7231"/>
      <c r="AO7231" s="6"/>
    </row>
    <row r="7232" spans="26:41" x14ac:dyDescent="0.25">
      <c r="Z7232"/>
      <c r="AO7232" s="6"/>
    </row>
    <row r="7233" spans="26:41" x14ac:dyDescent="0.25">
      <c r="Z7233"/>
      <c r="AO7233" s="6"/>
    </row>
    <row r="7234" spans="26:41" x14ac:dyDescent="0.25">
      <c r="Z7234"/>
      <c r="AO7234" s="6"/>
    </row>
    <row r="7235" spans="26:41" x14ac:dyDescent="0.25">
      <c r="Z7235"/>
      <c r="AO7235" s="6"/>
    </row>
    <row r="7236" spans="26:41" x14ac:dyDescent="0.25">
      <c r="Z7236"/>
      <c r="AO7236" s="6"/>
    </row>
    <row r="7237" spans="26:41" x14ac:dyDescent="0.25">
      <c r="Z7237"/>
      <c r="AO7237" s="6"/>
    </row>
    <row r="7238" spans="26:41" x14ac:dyDescent="0.25">
      <c r="Z7238"/>
      <c r="AO7238" s="6"/>
    </row>
    <row r="7239" spans="26:41" x14ac:dyDescent="0.25">
      <c r="Z7239"/>
      <c r="AO7239" s="6"/>
    </row>
    <row r="7240" spans="26:41" x14ac:dyDescent="0.25">
      <c r="Z7240"/>
      <c r="AO7240" s="6"/>
    </row>
    <row r="7241" spans="26:41" x14ac:dyDescent="0.25">
      <c r="Z7241"/>
      <c r="AO7241" s="6"/>
    </row>
    <row r="7242" spans="26:41" x14ac:dyDescent="0.25">
      <c r="Z7242"/>
      <c r="AO7242" s="6"/>
    </row>
    <row r="7243" spans="26:41" x14ac:dyDescent="0.25">
      <c r="Z7243"/>
      <c r="AO7243" s="6"/>
    </row>
    <row r="7244" spans="26:41" x14ac:dyDescent="0.25">
      <c r="Z7244"/>
      <c r="AO7244" s="6"/>
    </row>
    <row r="7245" spans="26:41" x14ac:dyDescent="0.25">
      <c r="Z7245"/>
      <c r="AO7245" s="6"/>
    </row>
    <row r="7246" spans="26:41" x14ac:dyDescent="0.25">
      <c r="Z7246"/>
      <c r="AO7246" s="6"/>
    </row>
    <row r="7247" spans="26:41" x14ac:dyDescent="0.25">
      <c r="Z7247"/>
      <c r="AO7247" s="6"/>
    </row>
    <row r="7248" spans="26:41" x14ac:dyDescent="0.25">
      <c r="Z7248"/>
      <c r="AO7248" s="6"/>
    </row>
    <row r="7249" spans="26:41" x14ac:dyDescent="0.25">
      <c r="Z7249"/>
      <c r="AO7249" s="6"/>
    </row>
    <row r="7250" spans="26:41" x14ac:dyDescent="0.25">
      <c r="Z7250"/>
      <c r="AO7250" s="6"/>
    </row>
    <row r="7251" spans="26:41" x14ac:dyDescent="0.25">
      <c r="Z7251"/>
      <c r="AO7251" s="6"/>
    </row>
    <row r="7252" spans="26:41" x14ac:dyDescent="0.25">
      <c r="Z7252"/>
      <c r="AO7252" s="6"/>
    </row>
    <row r="7253" spans="26:41" x14ac:dyDescent="0.25">
      <c r="Z7253"/>
      <c r="AO7253" s="6"/>
    </row>
    <row r="7254" spans="26:41" x14ac:dyDescent="0.25">
      <c r="Z7254"/>
      <c r="AO7254" s="6"/>
    </row>
    <row r="7255" spans="26:41" x14ac:dyDescent="0.25">
      <c r="Z7255"/>
      <c r="AO7255" s="6"/>
    </row>
    <row r="7256" spans="26:41" x14ac:dyDescent="0.25">
      <c r="Z7256"/>
      <c r="AO7256" s="6"/>
    </row>
    <row r="7257" spans="26:41" x14ac:dyDescent="0.25">
      <c r="Z7257"/>
      <c r="AO7257" s="6"/>
    </row>
    <row r="7258" spans="26:41" x14ac:dyDescent="0.25">
      <c r="Z7258"/>
      <c r="AO7258" s="6"/>
    </row>
    <row r="7259" spans="26:41" x14ac:dyDescent="0.25">
      <c r="Z7259"/>
      <c r="AO7259" s="6"/>
    </row>
    <row r="7260" spans="26:41" x14ac:dyDescent="0.25">
      <c r="Z7260"/>
      <c r="AO7260" s="6"/>
    </row>
    <row r="7261" spans="26:41" x14ac:dyDescent="0.25">
      <c r="Z7261"/>
      <c r="AO7261" s="6"/>
    </row>
    <row r="7262" spans="26:41" x14ac:dyDescent="0.25">
      <c r="Z7262"/>
      <c r="AO7262" s="6"/>
    </row>
    <row r="7263" spans="26:41" x14ac:dyDescent="0.25">
      <c r="Z7263"/>
      <c r="AO7263" s="6"/>
    </row>
    <row r="7264" spans="26:41" x14ac:dyDescent="0.25">
      <c r="Z7264"/>
      <c r="AO7264" s="6"/>
    </row>
    <row r="7265" spans="26:41" x14ac:dyDescent="0.25">
      <c r="Z7265"/>
      <c r="AO7265" s="6"/>
    </row>
    <row r="7266" spans="26:41" x14ac:dyDescent="0.25">
      <c r="Z7266"/>
      <c r="AO7266" s="6"/>
    </row>
    <row r="7267" spans="26:41" x14ac:dyDescent="0.25">
      <c r="Z7267"/>
      <c r="AO7267" s="6"/>
    </row>
    <row r="7268" spans="26:41" x14ac:dyDescent="0.25">
      <c r="Z7268"/>
      <c r="AO7268" s="6"/>
    </row>
    <row r="7269" spans="26:41" x14ac:dyDescent="0.25">
      <c r="Z7269"/>
      <c r="AO7269" s="6"/>
    </row>
    <row r="7270" spans="26:41" x14ac:dyDescent="0.25">
      <c r="Z7270"/>
      <c r="AO7270" s="6"/>
    </row>
    <row r="7271" spans="26:41" x14ac:dyDescent="0.25">
      <c r="Z7271"/>
      <c r="AO7271" s="6"/>
    </row>
    <row r="7272" spans="26:41" x14ac:dyDescent="0.25">
      <c r="Z7272"/>
      <c r="AO7272" s="6"/>
    </row>
    <row r="7273" spans="26:41" x14ac:dyDescent="0.25">
      <c r="Z7273"/>
      <c r="AO7273" s="6"/>
    </row>
    <row r="7274" spans="26:41" x14ac:dyDescent="0.25">
      <c r="Z7274"/>
      <c r="AO7274" s="6"/>
    </row>
    <row r="7275" spans="26:41" x14ac:dyDescent="0.25">
      <c r="Z7275"/>
      <c r="AO7275" s="6"/>
    </row>
    <row r="7276" spans="26:41" x14ac:dyDescent="0.25">
      <c r="Z7276"/>
      <c r="AO7276" s="6"/>
    </row>
    <row r="7277" spans="26:41" x14ac:dyDescent="0.25">
      <c r="Z7277"/>
      <c r="AO7277" s="6"/>
    </row>
    <row r="7278" spans="26:41" x14ac:dyDescent="0.25">
      <c r="Z7278"/>
      <c r="AO7278" s="6"/>
    </row>
    <row r="7279" spans="26:41" x14ac:dyDescent="0.25">
      <c r="Z7279"/>
      <c r="AO7279" s="6"/>
    </row>
    <row r="7280" spans="26:41" x14ac:dyDescent="0.25">
      <c r="Z7280"/>
      <c r="AO7280" s="6"/>
    </row>
    <row r="7281" spans="26:41" x14ac:dyDescent="0.25">
      <c r="Z7281"/>
      <c r="AO7281" s="6"/>
    </row>
    <row r="7282" spans="26:41" x14ac:dyDescent="0.25">
      <c r="Z7282"/>
      <c r="AO7282" s="6"/>
    </row>
    <row r="7283" spans="26:41" x14ac:dyDescent="0.25">
      <c r="Z7283"/>
      <c r="AO7283" s="6"/>
    </row>
    <row r="7284" spans="26:41" x14ac:dyDescent="0.25">
      <c r="Z7284"/>
      <c r="AO7284" s="6"/>
    </row>
    <row r="7285" spans="26:41" x14ac:dyDescent="0.25">
      <c r="Z7285"/>
      <c r="AO7285" s="6"/>
    </row>
    <row r="7286" spans="26:41" x14ac:dyDescent="0.25">
      <c r="Z7286"/>
      <c r="AO7286" s="6"/>
    </row>
    <row r="7287" spans="26:41" x14ac:dyDescent="0.25">
      <c r="Z7287"/>
      <c r="AO7287" s="6"/>
    </row>
    <row r="7288" spans="26:41" x14ac:dyDescent="0.25">
      <c r="Z7288"/>
      <c r="AO7288" s="6"/>
    </row>
    <row r="7289" spans="26:41" x14ac:dyDescent="0.25">
      <c r="Z7289"/>
      <c r="AO7289" s="6"/>
    </row>
    <row r="7290" spans="26:41" x14ac:dyDescent="0.25">
      <c r="Z7290"/>
      <c r="AO7290" s="6"/>
    </row>
    <row r="7291" spans="26:41" x14ac:dyDescent="0.25">
      <c r="Z7291"/>
      <c r="AO7291" s="6"/>
    </row>
    <row r="7292" spans="26:41" x14ac:dyDescent="0.25">
      <c r="Z7292"/>
      <c r="AO7292" s="6"/>
    </row>
    <row r="7293" spans="26:41" x14ac:dyDescent="0.25">
      <c r="Z7293"/>
      <c r="AO7293" s="6"/>
    </row>
    <row r="7294" spans="26:41" x14ac:dyDescent="0.25">
      <c r="Z7294"/>
      <c r="AO7294" s="6"/>
    </row>
    <row r="7295" spans="26:41" x14ac:dyDescent="0.25">
      <c r="Z7295"/>
      <c r="AO7295" s="6"/>
    </row>
    <row r="7296" spans="26:41" x14ac:dyDescent="0.25">
      <c r="Z7296"/>
      <c r="AO7296" s="6"/>
    </row>
    <row r="7297" spans="26:41" x14ac:dyDescent="0.25">
      <c r="Z7297"/>
      <c r="AO7297" s="6"/>
    </row>
    <row r="7298" spans="26:41" x14ac:dyDescent="0.25">
      <c r="Z7298"/>
      <c r="AO7298" s="6"/>
    </row>
    <row r="7299" spans="26:41" x14ac:dyDescent="0.25">
      <c r="Z7299"/>
      <c r="AO7299" s="6"/>
    </row>
    <row r="7300" spans="26:41" x14ac:dyDescent="0.25">
      <c r="Z7300"/>
      <c r="AO7300" s="6"/>
    </row>
    <row r="7301" spans="26:41" x14ac:dyDescent="0.25">
      <c r="Z7301"/>
      <c r="AO7301" s="6"/>
    </row>
    <row r="7302" spans="26:41" x14ac:dyDescent="0.25">
      <c r="Z7302"/>
      <c r="AO7302" s="6"/>
    </row>
    <row r="7303" spans="26:41" x14ac:dyDescent="0.25">
      <c r="Z7303"/>
      <c r="AO7303" s="6"/>
    </row>
    <row r="7304" spans="26:41" x14ac:dyDescent="0.25">
      <c r="Z7304"/>
      <c r="AO7304" s="6"/>
    </row>
    <row r="7305" spans="26:41" x14ac:dyDescent="0.25">
      <c r="Z7305"/>
      <c r="AO7305" s="6"/>
    </row>
    <row r="7306" spans="26:41" x14ac:dyDescent="0.25">
      <c r="Z7306"/>
      <c r="AO7306" s="6"/>
    </row>
    <row r="7307" spans="26:41" x14ac:dyDescent="0.25">
      <c r="Z7307"/>
      <c r="AO7307" s="6"/>
    </row>
    <row r="7308" spans="26:41" x14ac:dyDescent="0.25">
      <c r="Z7308"/>
      <c r="AO7308" s="6"/>
    </row>
    <row r="7309" spans="26:41" x14ac:dyDescent="0.25">
      <c r="Z7309"/>
      <c r="AO7309" s="6"/>
    </row>
    <row r="7310" spans="26:41" x14ac:dyDescent="0.25">
      <c r="Z7310"/>
      <c r="AO7310" s="6"/>
    </row>
    <row r="7311" spans="26:41" x14ac:dyDescent="0.25">
      <c r="Z7311"/>
      <c r="AO7311" s="6"/>
    </row>
    <row r="7312" spans="26:41" x14ac:dyDescent="0.25">
      <c r="Z7312"/>
      <c r="AO7312" s="6"/>
    </row>
    <row r="7313" spans="26:41" x14ac:dyDescent="0.25">
      <c r="Z7313"/>
      <c r="AO7313" s="6"/>
    </row>
    <row r="7314" spans="26:41" x14ac:dyDescent="0.25">
      <c r="Z7314"/>
      <c r="AO7314" s="6"/>
    </row>
    <row r="7315" spans="26:41" x14ac:dyDescent="0.25">
      <c r="Z7315"/>
      <c r="AO7315" s="6"/>
    </row>
    <row r="7316" spans="26:41" x14ac:dyDescent="0.25">
      <c r="Z7316"/>
      <c r="AO7316" s="6"/>
    </row>
    <row r="7317" spans="26:41" x14ac:dyDescent="0.25">
      <c r="Z7317"/>
      <c r="AO7317" s="6"/>
    </row>
    <row r="7318" spans="26:41" x14ac:dyDescent="0.25">
      <c r="Z7318"/>
      <c r="AO7318" s="6"/>
    </row>
    <row r="7319" spans="26:41" x14ac:dyDescent="0.25">
      <c r="Z7319"/>
      <c r="AO7319" s="6"/>
    </row>
    <row r="7320" spans="26:41" x14ac:dyDescent="0.25">
      <c r="Z7320"/>
      <c r="AO7320" s="6"/>
    </row>
    <row r="7321" spans="26:41" x14ac:dyDescent="0.25">
      <c r="Z7321"/>
      <c r="AO7321" s="6"/>
    </row>
    <row r="7322" spans="26:41" x14ac:dyDescent="0.25">
      <c r="Z7322"/>
      <c r="AO7322" s="6"/>
    </row>
    <row r="7323" spans="26:41" x14ac:dyDescent="0.25">
      <c r="Z7323"/>
      <c r="AO7323" s="6"/>
    </row>
    <row r="7324" spans="26:41" x14ac:dyDescent="0.25">
      <c r="Z7324"/>
      <c r="AO7324" s="6"/>
    </row>
    <row r="7325" spans="26:41" x14ac:dyDescent="0.25">
      <c r="Z7325"/>
      <c r="AO7325" s="6"/>
    </row>
    <row r="7326" spans="26:41" x14ac:dyDescent="0.25">
      <c r="Z7326"/>
      <c r="AO7326" s="6"/>
    </row>
    <row r="7327" spans="26:41" x14ac:dyDescent="0.25">
      <c r="Z7327"/>
      <c r="AO7327" s="6"/>
    </row>
    <row r="7328" spans="26:41" x14ac:dyDescent="0.25">
      <c r="Z7328"/>
      <c r="AO7328" s="6"/>
    </row>
    <row r="7329" spans="26:41" x14ac:dyDescent="0.25">
      <c r="Z7329"/>
      <c r="AO7329" s="6"/>
    </row>
    <row r="7330" spans="26:41" x14ac:dyDescent="0.25">
      <c r="Z7330"/>
      <c r="AO7330" s="6"/>
    </row>
    <row r="7331" spans="26:41" x14ac:dyDescent="0.25">
      <c r="Z7331"/>
      <c r="AO7331" s="6"/>
    </row>
    <row r="7332" spans="26:41" x14ac:dyDescent="0.25">
      <c r="Z7332"/>
      <c r="AO7332" s="6"/>
    </row>
    <row r="7333" spans="26:41" x14ac:dyDescent="0.25">
      <c r="Z7333"/>
      <c r="AO7333" s="6"/>
    </row>
    <row r="7334" spans="26:41" x14ac:dyDescent="0.25">
      <c r="Z7334"/>
      <c r="AO7334" s="6"/>
    </row>
    <row r="7335" spans="26:41" x14ac:dyDescent="0.25">
      <c r="Z7335"/>
      <c r="AO7335" s="6"/>
    </row>
    <row r="7336" spans="26:41" x14ac:dyDescent="0.25">
      <c r="Z7336"/>
      <c r="AO7336" s="6"/>
    </row>
    <row r="7337" spans="26:41" x14ac:dyDescent="0.25">
      <c r="Z7337"/>
      <c r="AO7337" s="6"/>
    </row>
    <row r="7338" spans="26:41" x14ac:dyDescent="0.25">
      <c r="Z7338"/>
      <c r="AO7338" s="6"/>
    </row>
    <row r="7339" spans="26:41" x14ac:dyDescent="0.25">
      <c r="Z7339"/>
      <c r="AO7339" s="6"/>
    </row>
    <row r="7340" spans="26:41" x14ac:dyDescent="0.25">
      <c r="Z7340"/>
      <c r="AO7340" s="6"/>
    </row>
    <row r="7341" spans="26:41" x14ac:dyDescent="0.25">
      <c r="Z7341"/>
      <c r="AO7341" s="6"/>
    </row>
    <row r="7342" spans="26:41" x14ac:dyDescent="0.25">
      <c r="Z7342"/>
      <c r="AO7342" s="6"/>
    </row>
    <row r="7343" spans="26:41" x14ac:dyDescent="0.25">
      <c r="Z7343"/>
      <c r="AO7343" s="6"/>
    </row>
    <row r="7344" spans="26:41" x14ac:dyDescent="0.25">
      <c r="Z7344"/>
      <c r="AO7344" s="6"/>
    </row>
    <row r="7345" spans="26:41" x14ac:dyDescent="0.25">
      <c r="Z7345"/>
      <c r="AO7345" s="6"/>
    </row>
    <row r="7346" spans="26:41" x14ac:dyDescent="0.25">
      <c r="Z7346"/>
      <c r="AO7346" s="6"/>
    </row>
    <row r="7347" spans="26:41" x14ac:dyDescent="0.25">
      <c r="Z7347"/>
      <c r="AO7347" s="6"/>
    </row>
    <row r="7348" spans="26:41" x14ac:dyDescent="0.25">
      <c r="Z7348"/>
      <c r="AO7348" s="6"/>
    </row>
    <row r="7349" spans="26:41" x14ac:dyDescent="0.25">
      <c r="Z7349"/>
      <c r="AO7349" s="6"/>
    </row>
    <row r="7350" spans="26:41" x14ac:dyDescent="0.25">
      <c r="Z7350"/>
      <c r="AO7350" s="6"/>
    </row>
    <row r="7351" spans="26:41" x14ac:dyDescent="0.25">
      <c r="Z7351"/>
      <c r="AO7351" s="6"/>
    </row>
    <row r="7352" spans="26:41" x14ac:dyDescent="0.25">
      <c r="Z7352"/>
      <c r="AO7352" s="6"/>
    </row>
    <row r="7353" spans="26:41" x14ac:dyDescent="0.25">
      <c r="Z7353"/>
      <c r="AO7353" s="6"/>
    </row>
    <row r="7354" spans="26:41" x14ac:dyDescent="0.25">
      <c r="Z7354"/>
      <c r="AO7354" s="6"/>
    </row>
    <row r="7355" spans="26:41" x14ac:dyDescent="0.25">
      <c r="Z7355"/>
      <c r="AO7355" s="6"/>
    </row>
    <row r="7356" spans="26:41" x14ac:dyDescent="0.25">
      <c r="Z7356"/>
      <c r="AO7356" s="6"/>
    </row>
    <row r="7357" spans="26:41" x14ac:dyDescent="0.25">
      <c r="Z7357"/>
      <c r="AO7357" s="6"/>
    </row>
    <row r="7358" spans="26:41" x14ac:dyDescent="0.25">
      <c r="Z7358"/>
      <c r="AO7358" s="6"/>
    </row>
    <row r="7359" spans="26:41" x14ac:dyDescent="0.25">
      <c r="Z7359"/>
      <c r="AO7359" s="6"/>
    </row>
    <row r="7360" spans="26:41" x14ac:dyDescent="0.25">
      <c r="Z7360"/>
      <c r="AO7360" s="6"/>
    </row>
    <row r="7361" spans="26:41" x14ac:dyDescent="0.25">
      <c r="Z7361"/>
      <c r="AO7361" s="6"/>
    </row>
    <row r="7362" spans="26:41" x14ac:dyDescent="0.25">
      <c r="Z7362"/>
      <c r="AO7362" s="6"/>
    </row>
    <row r="7363" spans="26:41" x14ac:dyDescent="0.25">
      <c r="Z7363"/>
      <c r="AO7363" s="6"/>
    </row>
    <row r="7364" spans="26:41" x14ac:dyDescent="0.25">
      <c r="Z7364"/>
      <c r="AO7364" s="6"/>
    </row>
    <row r="7365" spans="26:41" x14ac:dyDescent="0.25">
      <c r="Z7365"/>
      <c r="AO7365" s="6"/>
    </row>
    <row r="7366" spans="26:41" x14ac:dyDescent="0.25">
      <c r="Z7366"/>
      <c r="AO7366" s="6"/>
    </row>
    <row r="7367" spans="26:41" x14ac:dyDescent="0.25">
      <c r="Z7367"/>
      <c r="AO7367" s="6"/>
    </row>
    <row r="7368" spans="26:41" x14ac:dyDescent="0.25">
      <c r="Z7368"/>
      <c r="AO7368" s="6"/>
    </row>
    <row r="7369" spans="26:41" x14ac:dyDescent="0.25">
      <c r="Z7369"/>
      <c r="AO7369" s="6"/>
    </row>
    <row r="7370" spans="26:41" x14ac:dyDescent="0.25">
      <c r="Z7370"/>
      <c r="AO7370" s="6"/>
    </row>
    <row r="7371" spans="26:41" x14ac:dyDescent="0.25">
      <c r="Z7371"/>
      <c r="AO7371" s="6"/>
    </row>
    <row r="7372" spans="26:41" x14ac:dyDescent="0.25">
      <c r="Z7372"/>
      <c r="AO7372" s="6"/>
    </row>
    <row r="7373" spans="26:41" x14ac:dyDescent="0.25">
      <c r="Z7373"/>
      <c r="AO7373" s="6"/>
    </row>
    <row r="7374" spans="26:41" x14ac:dyDescent="0.25">
      <c r="Z7374"/>
      <c r="AO7374" s="6"/>
    </row>
    <row r="7375" spans="26:41" x14ac:dyDescent="0.25">
      <c r="Z7375"/>
      <c r="AO7375" s="6"/>
    </row>
    <row r="7376" spans="26:41" x14ac:dyDescent="0.25">
      <c r="Z7376"/>
      <c r="AO7376" s="6"/>
    </row>
    <row r="7377" spans="26:41" x14ac:dyDescent="0.25">
      <c r="Z7377"/>
      <c r="AO7377" s="6"/>
    </row>
    <row r="7378" spans="26:41" x14ac:dyDescent="0.25">
      <c r="Z7378"/>
      <c r="AO7378" s="6"/>
    </row>
    <row r="7379" spans="26:41" x14ac:dyDescent="0.25">
      <c r="Z7379"/>
      <c r="AO7379" s="6"/>
    </row>
    <row r="7380" spans="26:41" x14ac:dyDescent="0.25">
      <c r="Z7380"/>
      <c r="AO7380" s="6"/>
    </row>
    <row r="7381" spans="26:41" x14ac:dyDescent="0.25">
      <c r="Z7381"/>
      <c r="AO7381" s="6"/>
    </row>
    <row r="7382" spans="26:41" x14ac:dyDescent="0.25">
      <c r="Z7382"/>
      <c r="AO7382" s="6"/>
    </row>
    <row r="7383" spans="26:41" x14ac:dyDescent="0.25">
      <c r="Z7383"/>
      <c r="AO7383" s="6"/>
    </row>
    <row r="7384" spans="26:41" x14ac:dyDescent="0.25">
      <c r="Z7384"/>
      <c r="AO7384" s="6"/>
    </row>
    <row r="7385" spans="26:41" x14ac:dyDescent="0.25">
      <c r="Z7385"/>
      <c r="AO7385" s="6"/>
    </row>
    <row r="7386" spans="26:41" x14ac:dyDescent="0.25">
      <c r="Z7386"/>
      <c r="AO7386" s="6"/>
    </row>
    <row r="7387" spans="26:41" x14ac:dyDescent="0.25">
      <c r="Z7387"/>
      <c r="AO7387" s="6"/>
    </row>
    <row r="7388" spans="26:41" x14ac:dyDescent="0.25">
      <c r="Z7388"/>
      <c r="AO7388" s="6"/>
    </row>
    <row r="7389" spans="26:41" x14ac:dyDescent="0.25">
      <c r="Z7389"/>
      <c r="AO7389" s="6"/>
    </row>
    <row r="7390" spans="26:41" x14ac:dyDescent="0.25">
      <c r="Z7390"/>
      <c r="AO7390" s="6"/>
    </row>
    <row r="7391" spans="26:41" x14ac:dyDescent="0.25">
      <c r="Z7391"/>
      <c r="AO7391" s="6"/>
    </row>
    <row r="7392" spans="26:41" x14ac:dyDescent="0.25">
      <c r="Z7392"/>
      <c r="AO7392" s="6"/>
    </row>
    <row r="7393" spans="26:41" x14ac:dyDescent="0.25">
      <c r="Z7393"/>
      <c r="AO7393" s="6"/>
    </row>
    <row r="7394" spans="26:41" x14ac:dyDescent="0.25">
      <c r="Z7394"/>
      <c r="AO7394" s="6"/>
    </row>
    <row r="7395" spans="26:41" x14ac:dyDescent="0.25">
      <c r="Z7395"/>
      <c r="AO7395" s="6"/>
    </row>
    <row r="7396" spans="26:41" x14ac:dyDescent="0.25">
      <c r="Z7396"/>
      <c r="AO7396" s="6"/>
    </row>
    <row r="7397" spans="26:41" x14ac:dyDescent="0.25">
      <c r="Z7397"/>
      <c r="AO7397" s="6"/>
    </row>
    <row r="7398" spans="26:41" x14ac:dyDescent="0.25">
      <c r="Z7398"/>
      <c r="AO7398" s="6"/>
    </row>
    <row r="7399" spans="26:41" x14ac:dyDescent="0.25">
      <c r="Z7399"/>
      <c r="AO7399" s="6"/>
    </row>
    <row r="7400" spans="26:41" x14ac:dyDescent="0.25">
      <c r="Z7400"/>
      <c r="AO7400" s="6"/>
    </row>
    <row r="7401" spans="26:41" x14ac:dyDescent="0.25">
      <c r="Z7401"/>
      <c r="AO7401" s="6"/>
    </row>
    <row r="7402" spans="26:41" x14ac:dyDescent="0.25">
      <c r="Z7402"/>
      <c r="AO7402" s="6"/>
    </row>
    <row r="7403" spans="26:41" x14ac:dyDescent="0.25">
      <c r="Z7403"/>
      <c r="AO7403" s="6"/>
    </row>
    <row r="7404" spans="26:41" x14ac:dyDescent="0.25">
      <c r="Z7404"/>
      <c r="AO7404" s="6"/>
    </row>
    <row r="7405" spans="26:41" x14ac:dyDescent="0.25">
      <c r="Z7405"/>
      <c r="AO7405" s="6"/>
    </row>
    <row r="7406" spans="26:41" x14ac:dyDescent="0.25">
      <c r="Z7406"/>
      <c r="AO7406" s="6"/>
    </row>
    <row r="7407" spans="26:41" x14ac:dyDescent="0.25">
      <c r="Z7407"/>
      <c r="AO7407" s="6"/>
    </row>
    <row r="7408" spans="26:41" x14ac:dyDescent="0.25">
      <c r="Z7408"/>
      <c r="AO7408" s="6"/>
    </row>
    <row r="7409" spans="26:41" x14ac:dyDescent="0.25">
      <c r="Z7409"/>
      <c r="AO7409" s="6"/>
    </row>
    <row r="7410" spans="26:41" x14ac:dyDescent="0.25">
      <c r="Z7410"/>
      <c r="AO7410" s="6"/>
    </row>
    <row r="7411" spans="26:41" x14ac:dyDescent="0.25">
      <c r="Z7411"/>
      <c r="AO7411" s="6"/>
    </row>
    <row r="7412" spans="26:41" x14ac:dyDescent="0.25">
      <c r="Z7412"/>
      <c r="AO7412" s="6"/>
    </row>
    <row r="7413" spans="26:41" x14ac:dyDescent="0.25">
      <c r="Z7413"/>
      <c r="AO7413" s="6"/>
    </row>
    <row r="7414" spans="26:41" x14ac:dyDescent="0.25">
      <c r="Z7414"/>
      <c r="AO7414" s="6"/>
    </row>
    <row r="7415" spans="26:41" x14ac:dyDescent="0.25">
      <c r="Z7415"/>
      <c r="AO7415" s="6"/>
    </row>
    <row r="7416" spans="26:41" x14ac:dyDescent="0.25">
      <c r="Z7416"/>
      <c r="AO7416" s="6"/>
    </row>
    <row r="7417" spans="26:41" x14ac:dyDescent="0.25">
      <c r="Z7417"/>
      <c r="AO7417" s="6"/>
    </row>
    <row r="7418" spans="26:41" x14ac:dyDescent="0.25">
      <c r="Z7418"/>
      <c r="AO7418" s="6"/>
    </row>
    <row r="7419" spans="26:41" x14ac:dyDescent="0.25">
      <c r="Z7419"/>
      <c r="AO7419" s="6"/>
    </row>
    <row r="7420" spans="26:41" x14ac:dyDescent="0.25">
      <c r="Z7420"/>
      <c r="AO7420" s="6"/>
    </row>
    <row r="7421" spans="26:41" x14ac:dyDescent="0.25">
      <c r="Z7421"/>
      <c r="AO7421" s="6"/>
    </row>
    <row r="7422" spans="26:41" x14ac:dyDescent="0.25">
      <c r="Z7422"/>
      <c r="AO7422" s="6"/>
    </row>
    <row r="7423" spans="26:41" x14ac:dyDescent="0.25">
      <c r="Z7423"/>
      <c r="AO7423" s="6"/>
    </row>
    <row r="7424" spans="26:41" x14ac:dyDescent="0.25">
      <c r="Z7424"/>
      <c r="AO7424" s="6"/>
    </row>
    <row r="7425" spans="26:41" x14ac:dyDescent="0.25">
      <c r="Z7425"/>
      <c r="AO7425" s="6"/>
    </row>
    <row r="7426" spans="26:41" x14ac:dyDescent="0.25">
      <c r="Z7426"/>
      <c r="AO7426" s="6"/>
    </row>
    <row r="7427" spans="26:41" x14ac:dyDescent="0.25">
      <c r="Z7427"/>
      <c r="AO7427" s="6"/>
    </row>
    <row r="7428" spans="26:41" x14ac:dyDescent="0.25">
      <c r="Z7428"/>
      <c r="AO7428" s="6"/>
    </row>
    <row r="7429" spans="26:41" x14ac:dyDescent="0.25">
      <c r="Z7429"/>
      <c r="AO7429" s="6"/>
    </row>
    <row r="7430" spans="26:41" x14ac:dyDescent="0.25">
      <c r="Z7430"/>
      <c r="AO7430" s="6"/>
    </row>
    <row r="7431" spans="26:41" x14ac:dyDescent="0.25">
      <c r="Z7431"/>
      <c r="AO7431" s="6"/>
    </row>
    <row r="7432" spans="26:41" x14ac:dyDescent="0.25">
      <c r="Z7432"/>
      <c r="AO7432" s="6"/>
    </row>
    <row r="7433" spans="26:41" x14ac:dyDescent="0.25">
      <c r="Z7433"/>
      <c r="AO7433" s="6"/>
    </row>
    <row r="7434" spans="26:41" x14ac:dyDescent="0.25">
      <c r="Z7434"/>
      <c r="AO7434" s="6"/>
    </row>
    <row r="7435" spans="26:41" x14ac:dyDescent="0.25">
      <c r="Z7435"/>
      <c r="AO7435" s="6"/>
    </row>
    <row r="7436" spans="26:41" x14ac:dyDescent="0.25">
      <c r="Z7436"/>
      <c r="AO7436" s="6"/>
    </row>
    <row r="7437" spans="26:41" x14ac:dyDescent="0.25">
      <c r="Z7437"/>
      <c r="AO7437" s="6"/>
    </row>
    <row r="7438" spans="26:41" x14ac:dyDescent="0.25">
      <c r="Z7438"/>
      <c r="AO7438" s="6"/>
    </row>
    <row r="7439" spans="26:41" x14ac:dyDescent="0.25">
      <c r="Z7439"/>
      <c r="AO7439" s="6"/>
    </row>
    <row r="7440" spans="26:41" x14ac:dyDescent="0.25">
      <c r="Z7440"/>
      <c r="AO7440" s="6"/>
    </row>
    <row r="7441" spans="26:41" x14ac:dyDescent="0.25">
      <c r="Z7441"/>
      <c r="AO7441" s="6"/>
    </row>
    <row r="7442" spans="26:41" x14ac:dyDescent="0.25">
      <c r="Z7442"/>
      <c r="AO7442" s="6"/>
    </row>
    <row r="7443" spans="26:41" x14ac:dyDescent="0.25">
      <c r="Z7443"/>
      <c r="AO7443" s="6"/>
    </row>
    <row r="7444" spans="26:41" x14ac:dyDescent="0.25">
      <c r="Z7444"/>
      <c r="AO7444" s="6"/>
    </row>
    <row r="7445" spans="26:41" x14ac:dyDescent="0.25">
      <c r="Z7445"/>
      <c r="AO7445" s="6"/>
    </row>
    <row r="7446" spans="26:41" x14ac:dyDescent="0.25">
      <c r="Z7446"/>
      <c r="AO7446" s="6"/>
    </row>
    <row r="7447" spans="26:41" x14ac:dyDescent="0.25">
      <c r="Z7447"/>
      <c r="AO7447" s="6"/>
    </row>
    <row r="7448" spans="26:41" x14ac:dyDescent="0.25">
      <c r="Z7448"/>
      <c r="AO7448" s="6"/>
    </row>
    <row r="7449" spans="26:41" x14ac:dyDescent="0.25">
      <c r="Z7449"/>
      <c r="AO7449" s="6"/>
    </row>
    <row r="7450" spans="26:41" x14ac:dyDescent="0.25">
      <c r="Z7450"/>
      <c r="AO7450" s="6"/>
    </row>
    <row r="7451" spans="26:41" x14ac:dyDescent="0.25">
      <c r="Z7451"/>
      <c r="AO7451" s="6"/>
    </row>
    <row r="7452" spans="26:41" x14ac:dyDescent="0.25">
      <c r="Z7452"/>
      <c r="AO7452" s="6"/>
    </row>
    <row r="7453" spans="26:41" x14ac:dyDescent="0.25">
      <c r="Z7453"/>
      <c r="AO7453" s="6"/>
    </row>
    <row r="7454" spans="26:41" x14ac:dyDescent="0.25">
      <c r="Z7454"/>
      <c r="AO7454" s="6"/>
    </row>
    <row r="7455" spans="26:41" x14ac:dyDescent="0.25">
      <c r="Z7455"/>
      <c r="AO7455" s="6"/>
    </row>
    <row r="7456" spans="26:41" x14ac:dyDescent="0.25">
      <c r="Z7456"/>
      <c r="AO7456" s="6"/>
    </row>
    <row r="7457" spans="26:41" x14ac:dyDescent="0.25">
      <c r="Z7457"/>
      <c r="AO7457" s="6"/>
    </row>
    <row r="7458" spans="26:41" x14ac:dyDescent="0.25">
      <c r="Z7458"/>
      <c r="AO7458" s="6"/>
    </row>
    <row r="7459" spans="26:41" x14ac:dyDescent="0.25">
      <c r="Z7459"/>
      <c r="AO7459" s="6"/>
    </row>
    <row r="7460" spans="26:41" x14ac:dyDescent="0.25">
      <c r="Z7460"/>
      <c r="AO7460" s="6"/>
    </row>
    <row r="7461" spans="26:41" x14ac:dyDescent="0.25">
      <c r="Z7461"/>
      <c r="AO7461" s="6"/>
    </row>
    <row r="7462" spans="26:41" x14ac:dyDescent="0.25">
      <c r="Z7462"/>
      <c r="AO7462" s="6"/>
    </row>
    <row r="7463" spans="26:41" x14ac:dyDescent="0.25">
      <c r="Z7463"/>
      <c r="AO7463" s="6"/>
    </row>
    <row r="7464" spans="26:41" x14ac:dyDescent="0.25">
      <c r="Z7464"/>
      <c r="AO7464" s="6"/>
    </row>
    <row r="7465" spans="26:41" x14ac:dyDescent="0.25">
      <c r="Z7465"/>
      <c r="AO7465" s="6"/>
    </row>
    <row r="7466" spans="26:41" x14ac:dyDescent="0.25">
      <c r="Z7466"/>
      <c r="AO7466" s="6"/>
    </row>
    <row r="7467" spans="26:41" x14ac:dyDescent="0.25">
      <c r="Z7467"/>
      <c r="AO7467" s="6"/>
    </row>
    <row r="7468" spans="26:41" x14ac:dyDescent="0.25">
      <c r="Z7468"/>
      <c r="AO7468" s="6"/>
    </row>
    <row r="7469" spans="26:41" x14ac:dyDescent="0.25">
      <c r="Z7469"/>
      <c r="AO7469" s="6"/>
    </row>
    <row r="7470" spans="26:41" x14ac:dyDescent="0.25">
      <c r="Z7470"/>
      <c r="AO7470" s="6"/>
    </row>
    <row r="7471" spans="26:41" x14ac:dyDescent="0.25">
      <c r="Z7471"/>
      <c r="AO7471" s="6"/>
    </row>
    <row r="7472" spans="26:41" x14ac:dyDescent="0.25">
      <c r="Z7472"/>
      <c r="AO7472" s="6"/>
    </row>
    <row r="7473" spans="26:41" x14ac:dyDescent="0.25">
      <c r="Z7473"/>
      <c r="AO7473" s="6"/>
    </row>
    <row r="7474" spans="26:41" x14ac:dyDescent="0.25">
      <c r="Z7474"/>
      <c r="AO7474" s="6"/>
    </row>
    <row r="7475" spans="26:41" x14ac:dyDescent="0.25">
      <c r="Z7475"/>
      <c r="AO7475" s="6"/>
    </row>
    <row r="7476" spans="26:41" x14ac:dyDescent="0.25">
      <c r="Z7476"/>
      <c r="AO7476" s="6"/>
    </row>
    <row r="7477" spans="26:41" x14ac:dyDescent="0.25">
      <c r="Z7477"/>
      <c r="AO7477" s="6"/>
    </row>
    <row r="7478" spans="26:41" x14ac:dyDescent="0.25">
      <c r="Z7478"/>
      <c r="AO7478" s="6"/>
    </row>
    <row r="7479" spans="26:41" x14ac:dyDescent="0.25">
      <c r="Z7479"/>
      <c r="AO7479" s="6"/>
    </row>
    <row r="7480" spans="26:41" x14ac:dyDescent="0.25">
      <c r="Z7480"/>
      <c r="AO7480" s="6"/>
    </row>
    <row r="7481" spans="26:41" x14ac:dyDescent="0.25">
      <c r="Z7481"/>
      <c r="AO7481" s="6"/>
    </row>
    <row r="7482" spans="26:41" x14ac:dyDescent="0.25">
      <c r="Z7482"/>
      <c r="AO7482" s="6"/>
    </row>
    <row r="7483" spans="26:41" x14ac:dyDescent="0.25">
      <c r="Z7483"/>
      <c r="AO7483" s="6"/>
    </row>
    <row r="7484" spans="26:41" x14ac:dyDescent="0.25">
      <c r="Z7484"/>
      <c r="AO7484" s="6"/>
    </row>
    <row r="7485" spans="26:41" x14ac:dyDescent="0.25">
      <c r="Z7485"/>
      <c r="AO7485" s="6"/>
    </row>
    <row r="7486" spans="26:41" x14ac:dyDescent="0.25">
      <c r="Z7486"/>
      <c r="AO7486" s="6"/>
    </row>
    <row r="7487" spans="26:41" x14ac:dyDescent="0.25">
      <c r="Z7487"/>
      <c r="AO7487" s="6"/>
    </row>
    <row r="7488" spans="26:41" x14ac:dyDescent="0.25">
      <c r="Z7488"/>
      <c r="AO7488" s="6"/>
    </row>
    <row r="7489" spans="26:41" x14ac:dyDescent="0.25">
      <c r="Z7489"/>
      <c r="AO7489" s="6"/>
    </row>
    <row r="7490" spans="26:41" x14ac:dyDescent="0.25">
      <c r="Z7490"/>
      <c r="AO7490" s="6"/>
    </row>
    <row r="7491" spans="26:41" x14ac:dyDescent="0.25">
      <c r="Z7491"/>
      <c r="AO7491" s="6"/>
    </row>
    <row r="7492" spans="26:41" x14ac:dyDescent="0.25">
      <c r="Z7492"/>
      <c r="AO7492" s="6"/>
    </row>
    <row r="7493" spans="26:41" x14ac:dyDescent="0.25">
      <c r="Z7493"/>
      <c r="AO7493" s="6"/>
    </row>
    <row r="7494" spans="26:41" x14ac:dyDescent="0.25">
      <c r="Z7494"/>
      <c r="AO7494" s="6"/>
    </row>
    <row r="7495" spans="26:41" x14ac:dyDescent="0.25">
      <c r="Z7495"/>
      <c r="AO7495" s="6"/>
    </row>
    <row r="7496" spans="26:41" x14ac:dyDescent="0.25">
      <c r="Z7496"/>
      <c r="AO7496" s="6"/>
    </row>
    <row r="7497" spans="26:41" x14ac:dyDescent="0.25">
      <c r="Z7497"/>
      <c r="AO7497" s="6"/>
    </row>
    <row r="7498" spans="26:41" x14ac:dyDescent="0.25">
      <c r="Z7498"/>
      <c r="AO7498" s="6"/>
    </row>
    <row r="7499" spans="26:41" x14ac:dyDescent="0.25">
      <c r="Z7499"/>
      <c r="AO7499" s="6"/>
    </row>
    <row r="7500" spans="26:41" x14ac:dyDescent="0.25">
      <c r="Z7500"/>
      <c r="AO7500" s="6"/>
    </row>
    <row r="7501" spans="26:41" x14ac:dyDescent="0.25">
      <c r="Z7501"/>
      <c r="AO7501" s="6"/>
    </row>
    <row r="7502" spans="26:41" x14ac:dyDescent="0.25">
      <c r="Z7502"/>
      <c r="AO7502" s="6"/>
    </row>
    <row r="7503" spans="26:41" x14ac:dyDescent="0.25">
      <c r="Z7503"/>
      <c r="AO7503" s="6"/>
    </row>
    <row r="7504" spans="26:41" x14ac:dyDescent="0.25">
      <c r="Z7504"/>
      <c r="AO7504" s="6"/>
    </row>
    <row r="7505" spans="26:41" x14ac:dyDescent="0.25">
      <c r="Z7505"/>
      <c r="AO7505" s="6"/>
    </row>
    <row r="7506" spans="26:41" x14ac:dyDescent="0.25">
      <c r="Z7506"/>
      <c r="AO7506" s="6"/>
    </row>
    <row r="7507" spans="26:41" x14ac:dyDescent="0.25">
      <c r="Z7507"/>
      <c r="AO7507" s="6"/>
    </row>
    <row r="7508" spans="26:41" x14ac:dyDescent="0.25">
      <c r="Z7508"/>
      <c r="AO7508" s="6"/>
    </row>
    <row r="7509" spans="26:41" x14ac:dyDescent="0.25">
      <c r="Z7509"/>
      <c r="AO7509" s="6"/>
    </row>
    <row r="7510" spans="26:41" x14ac:dyDescent="0.25">
      <c r="Z7510"/>
      <c r="AO7510" s="6"/>
    </row>
    <row r="7511" spans="26:41" x14ac:dyDescent="0.25">
      <c r="Z7511"/>
      <c r="AO7511" s="6"/>
    </row>
    <row r="7512" spans="26:41" x14ac:dyDescent="0.25">
      <c r="Z7512"/>
      <c r="AO7512" s="6"/>
    </row>
    <row r="7513" spans="26:41" x14ac:dyDescent="0.25">
      <c r="Z7513"/>
      <c r="AO7513" s="6"/>
    </row>
    <row r="7514" spans="26:41" x14ac:dyDescent="0.25">
      <c r="Z7514"/>
      <c r="AO7514" s="6"/>
    </row>
    <row r="7515" spans="26:41" x14ac:dyDescent="0.25">
      <c r="Z7515"/>
      <c r="AO7515" s="6"/>
    </row>
    <row r="7516" spans="26:41" x14ac:dyDescent="0.25">
      <c r="Z7516"/>
      <c r="AO7516" s="6"/>
    </row>
    <row r="7517" spans="26:41" x14ac:dyDescent="0.25">
      <c r="Z7517"/>
      <c r="AO7517" s="6"/>
    </row>
    <row r="7518" spans="26:41" x14ac:dyDescent="0.25">
      <c r="Z7518"/>
      <c r="AO7518" s="6"/>
    </row>
    <row r="7519" spans="26:41" x14ac:dyDescent="0.25">
      <c r="Z7519"/>
      <c r="AO7519" s="6"/>
    </row>
    <row r="7520" spans="26:41" x14ac:dyDescent="0.25">
      <c r="Z7520"/>
      <c r="AO7520" s="6"/>
    </row>
    <row r="7521" spans="26:41" x14ac:dyDescent="0.25">
      <c r="Z7521"/>
      <c r="AO7521" s="6"/>
    </row>
    <row r="7522" spans="26:41" x14ac:dyDescent="0.25">
      <c r="Z7522"/>
      <c r="AO7522" s="6"/>
    </row>
    <row r="7523" spans="26:41" x14ac:dyDescent="0.25">
      <c r="Z7523"/>
      <c r="AO7523" s="6"/>
    </row>
    <row r="7524" spans="26:41" x14ac:dyDescent="0.25">
      <c r="Z7524"/>
      <c r="AO7524" s="6"/>
    </row>
    <row r="7525" spans="26:41" x14ac:dyDescent="0.25">
      <c r="Z7525"/>
      <c r="AO7525" s="6"/>
    </row>
    <row r="7526" spans="26:41" x14ac:dyDescent="0.25">
      <c r="Z7526"/>
      <c r="AO7526" s="6"/>
    </row>
    <row r="7527" spans="26:41" x14ac:dyDescent="0.25">
      <c r="Z7527"/>
      <c r="AO7527" s="6"/>
    </row>
    <row r="7528" spans="26:41" x14ac:dyDescent="0.25">
      <c r="Z7528"/>
      <c r="AO7528" s="6"/>
    </row>
    <row r="7529" spans="26:41" x14ac:dyDescent="0.25">
      <c r="Z7529"/>
      <c r="AO7529" s="6"/>
    </row>
    <row r="7530" spans="26:41" x14ac:dyDescent="0.25">
      <c r="Z7530"/>
      <c r="AO7530" s="6"/>
    </row>
    <row r="7531" spans="26:41" x14ac:dyDescent="0.25">
      <c r="Z7531"/>
      <c r="AO7531" s="6"/>
    </row>
    <row r="7532" spans="26:41" x14ac:dyDescent="0.25">
      <c r="Z7532"/>
      <c r="AO7532" s="6"/>
    </row>
    <row r="7533" spans="26:41" x14ac:dyDescent="0.25">
      <c r="Z7533"/>
      <c r="AO7533" s="6"/>
    </row>
    <row r="7534" spans="26:41" x14ac:dyDescent="0.25">
      <c r="Z7534"/>
      <c r="AO7534" s="6"/>
    </row>
    <row r="7535" spans="26:41" x14ac:dyDescent="0.25">
      <c r="Z7535"/>
      <c r="AO7535" s="6"/>
    </row>
    <row r="7536" spans="26:41" x14ac:dyDescent="0.25">
      <c r="Z7536"/>
      <c r="AO7536" s="6"/>
    </row>
    <row r="7537" spans="26:41" x14ac:dyDescent="0.25">
      <c r="Z7537"/>
      <c r="AO7537" s="6"/>
    </row>
    <row r="7538" spans="26:41" x14ac:dyDescent="0.25">
      <c r="Z7538"/>
      <c r="AO7538" s="6"/>
    </row>
    <row r="7539" spans="26:41" x14ac:dyDescent="0.25">
      <c r="Z7539"/>
      <c r="AO7539" s="6"/>
    </row>
    <row r="7540" spans="26:41" x14ac:dyDescent="0.25">
      <c r="Z7540"/>
      <c r="AO7540" s="6"/>
    </row>
    <row r="7541" spans="26:41" x14ac:dyDescent="0.25">
      <c r="Z7541"/>
      <c r="AO7541" s="6"/>
    </row>
    <row r="7542" spans="26:41" x14ac:dyDescent="0.25">
      <c r="Z7542"/>
      <c r="AO7542" s="6"/>
    </row>
    <row r="7543" spans="26:41" x14ac:dyDescent="0.25">
      <c r="Z7543"/>
      <c r="AO7543" s="6"/>
    </row>
    <row r="7544" spans="26:41" x14ac:dyDescent="0.25">
      <c r="Z7544"/>
      <c r="AO7544" s="6"/>
    </row>
    <row r="7545" spans="26:41" x14ac:dyDescent="0.25">
      <c r="Z7545"/>
      <c r="AO7545" s="6"/>
    </row>
    <row r="7546" spans="26:41" x14ac:dyDescent="0.25">
      <c r="Z7546"/>
      <c r="AO7546" s="6"/>
    </row>
    <row r="7547" spans="26:41" x14ac:dyDescent="0.25">
      <c r="Z7547"/>
      <c r="AO7547" s="6"/>
    </row>
    <row r="7548" spans="26:41" x14ac:dyDescent="0.25">
      <c r="Z7548"/>
      <c r="AO7548" s="6"/>
    </row>
    <row r="7549" spans="26:41" x14ac:dyDescent="0.25">
      <c r="Z7549"/>
      <c r="AO7549" s="6"/>
    </row>
    <row r="7550" spans="26:41" x14ac:dyDescent="0.25">
      <c r="Z7550"/>
      <c r="AO7550" s="6"/>
    </row>
    <row r="7551" spans="26:41" x14ac:dyDescent="0.25">
      <c r="Z7551"/>
      <c r="AO7551" s="6"/>
    </row>
    <row r="7552" spans="26:41" x14ac:dyDescent="0.25">
      <c r="Z7552"/>
      <c r="AO7552" s="6"/>
    </row>
    <row r="7553" spans="26:41" x14ac:dyDescent="0.25">
      <c r="Z7553"/>
      <c r="AO7553" s="6"/>
    </row>
    <row r="7554" spans="26:41" x14ac:dyDescent="0.25">
      <c r="Z7554"/>
      <c r="AO7554" s="6"/>
    </row>
    <row r="7555" spans="26:41" x14ac:dyDescent="0.25">
      <c r="Z7555"/>
      <c r="AO7555" s="6"/>
    </row>
    <row r="7556" spans="26:41" x14ac:dyDescent="0.25">
      <c r="Z7556"/>
      <c r="AO7556" s="6"/>
    </row>
    <row r="7557" spans="26:41" x14ac:dyDescent="0.25">
      <c r="Z7557"/>
      <c r="AO7557" s="6"/>
    </row>
    <row r="7558" spans="26:41" x14ac:dyDescent="0.25">
      <c r="Z7558"/>
      <c r="AO7558" s="6"/>
    </row>
    <row r="7559" spans="26:41" x14ac:dyDescent="0.25">
      <c r="Z7559"/>
      <c r="AO7559" s="6"/>
    </row>
    <row r="7560" spans="26:41" x14ac:dyDescent="0.25">
      <c r="Z7560"/>
      <c r="AO7560" s="6"/>
    </row>
    <row r="7561" spans="26:41" x14ac:dyDescent="0.25">
      <c r="Z7561"/>
      <c r="AO7561" s="6"/>
    </row>
    <row r="7562" spans="26:41" x14ac:dyDescent="0.25">
      <c r="Z7562"/>
      <c r="AO7562" s="6"/>
    </row>
    <row r="7563" spans="26:41" x14ac:dyDescent="0.25">
      <c r="Z7563"/>
      <c r="AO7563" s="6"/>
    </row>
    <row r="7564" spans="26:41" x14ac:dyDescent="0.25">
      <c r="Z7564"/>
      <c r="AO7564" s="6"/>
    </row>
    <row r="7565" spans="26:41" x14ac:dyDescent="0.25">
      <c r="Z7565"/>
      <c r="AO7565" s="6"/>
    </row>
    <row r="7566" spans="26:41" x14ac:dyDescent="0.25">
      <c r="Z7566"/>
      <c r="AO7566" s="6"/>
    </row>
    <row r="7567" spans="26:41" x14ac:dyDescent="0.25">
      <c r="Z7567"/>
      <c r="AO7567" s="6"/>
    </row>
    <row r="7568" spans="26:41" x14ac:dyDescent="0.25">
      <c r="Z7568"/>
      <c r="AO7568" s="6"/>
    </row>
    <row r="7569" spans="26:41" x14ac:dyDescent="0.25">
      <c r="Z7569"/>
      <c r="AO7569" s="6"/>
    </row>
    <row r="7570" spans="26:41" x14ac:dyDescent="0.25">
      <c r="Z7570"/>
      <c r="AO7570" s="6"/>
    </row>
    <row r="7571" spans="26:41" x14ac:dyDescent="0.25">
      <c r="Z7571"/>
      <c r="AO7571" s="6"/>
    </row>
    <row r="7572" spans="26:41" x14ac:dyDescent="0.25">
      <c r="Z7572"/>
      <c r="AO7572" s="6"/>
    </row>
    <row r="7573" spans="26:41" x14ac:dyDescent="0.25">
      <c r="Z7573"/>
      <c r="AO7573" s="6"/>
    </row>
    <row r="7574" spans="26:41" x14ac:dyDescent="0.25">
      <c r="Z7574"/>
      <c r="AO7574" s="6"/>
    </row>
    <row r="7575" spans="26:41" x14ac:dyDescent="0.25">
      <c r="Z7575"/>
      <c r="AO7575" s="6"/>
    </row>
    <row r="7576" spans="26:41" x14ac:dyDescent="0.25">
      <c r="Z7576"/>
      <c r="AO7576" s="6"/>
    </row>
    <row r="7577" spans="26:41" x14ac:dyDescent="0.25">
      <c r="Z7577"/>
      <c r="AO7577" s="6"/>
    </row>
    <row r="7578" spans="26:41" x14ac:dyDescent="0.25">
      <c r="Z7578"/>
      <c r="AO7578" s="6"/>
    </row>
    <row r="7579" spans="26:41" x14ac:dyDescent="0.25">
      <c r="Z7579"/>
      <c r="AO7579" s="6"/>
    </row>
    <row r="7580" spans="26:41" x14ac:dyDescent="0.25">
      <c r="Z7580"/>
      <c r="AO7580" s="6"/>
    </row>
    <row r="7581" spans="26:41" x14ac:dyDescent="0.25">
      <c r="Z7581"/>
      <c r="AO7581" s="6"/>
    </row>
    <row r="7582" spans="26:41" x14ac:dyDescent="0.25">
      <c r="Z7582"/>
      <c r="AO7582" s="6"/>
    </row>
    <row r="7583" spans="26:41" x14ac:dyDescent="0.25">
      <c r="Z7583"/>
      <c r="AO7583" s="6"/>
    </row>
    <row r="7584" spans="26:41" x14ac:dyDescent="0.25">
      <c r="Z7584"/>
      <c r="AO7584" s="6"/>
    </row>
    <row r="7585" spans="26:41" x14ac:dyDescent="0.25">
      <c r="Z7585"/>
      <c r="AO7585" s="6"/>
    </row>
    <row r="7586" spans="26:41" x14ac:dyDescent="0.25">
      <c r="Z7586"/>
      <c r="AO7586" s="6"/>
    </row>
    <row r="7587" spans="26:41" x14ac:dyDescent="0.25">
      <c r="Z7587"/>
      <c r="AO7587" s="6"/>
    </row>
    <row r="7588" spans="26:41" x14ac:dyDescent="0.25">
      <c r="Z7588"/>
      <c r="AO7588" s="6"/>
    </row>
    <row r="7589" spans="26:41" x14ac:dyDescent="0.25">
      <c r="Z7589"/>
      <c r="AO7589" s="6"/>
    </row>
    <row r="7590" spans="26:41" x14ac:dyDescent="0.25">
      <c r="Z7590"/>
      <c r="AO7590" s="6"/>
    </row>
    <row r="7591" spans="26:41" x14ac:dyDescent="0.25">
      <c r="Z7591"/>
      <c r="AO7591" s="6"/>
    </row>
    <row r="7592" spans="26:41" x14ac:dyDescent="0.25">
      <c r="Z7592"/>
      <c r="AO7592" s="6"/>
    </row>
    <row r="7593" spans="26:41" x14ac:dyDescent="0.25">
      <c r="Z7593"/>
      <c r="AO7593" s="6"/>
    </row>
    <row r="7594" spans="26:41" x14ac:dyDescent="0.25">
      <c r="Z7594"/>
      <c r="AO7594" s="6"/>
    </row>
    <row r="7595" spans="26:41" x14ac:dyDescent="0.25">
      <c r="Z7595"/>
      <c r="AO7595" s="6"/>
    </row>
    <row r="7596" spans="26:41" x14ac:dyDescent="0.25">
      <c r="Z7596"/>
      <c r="AO7596" s="6"/>
    </row>
    <row r="7597" spans="26:41" x14ac:dyDescent="0.25">
      <c r="Z7597"/>
      <c r="AO7597" s="6"/>
    </row>
    <row r="7598" spans="26:41" x14ac:dyDescent="0.25">
      <c r="Z7598"/>
      <c r="AO7598" s="6"/>
    </row>
    <row r="7599" spans="26:41" x14ac:dyDescent="0.25">
      <c r="Z7599"/>
      <c r="AO7599" s="6"/>
    </row>
    <row r="7600" spans="26:41" x14ac:dyDescent="0.25">
      <c r="Z7600"/>
      <c r="AO7600" s="6"/>
    </row>
    <row r="7601" spans="26:41" x14ac:dyDescent="0.25">
      <c r="Z7601"/>
      <c r="AO7601" s="6"/>
    </row>
    <row r="7602" spans="26:41" x14ac:dyDescent="0.25">
      <c r="Z7602"/>
      <c r="AO7602" s="6"/>
    </row>
    <row r="7603" spans="26:41" x14ac:dyDescent="0.25">
      <c r="Z7603"/>
      <c r="AO7603" s="6"/>
    </row>
    <row r="7604" spans="26:41" x14ac:dyDescent="0.25">
      <c r="Z7604"/>
      <c r="AO7604" s="6"/>
    </row>
    <row r="7605" spans="26:41" x14ac:dyDescent="0.25">
      <c r="Z7605"/>
      <c r="AO7605" s="6"/>
    </row>
    <row r="7606" spans="26:41" x14ac:dyDescent="0.25">
      <c r="Z7606"/>
      <c r="AO7606" s="6"/>
    </row>
    <row r="7607" spans="26:41" x14ac:dyDescent="0.25">
      <c r="Z7607"/>
      <c r="AO7607" s="6"/>
    </row>
    <row r="7608" spans="26:41" x14ac:dyDescent="0.25">
      <c r="Z7608"/>
      <c r="AO7608" s="6"/>
    </row>
    <row r="7609" spans="26:41" x14ac:dyDescent="0.25">
      <c r="Z7609"/>
      <c r="AO7609" s="6"/>
    </row>
    <row r="7610" spans="26:41" x14ac:dyDescent="0.25">
      <c r="Z7610"/>
      <c r="AO7610" s="6"/>
    </row>
    <row r="7611" spans="26:41" x14ac:dyDescent="0.25">
      <c r="Z7611"/>
      <c r="AO7611" s="6"/>
    </row>
    <row r="7612" spans="26:41" x14ac:dyDescent="0.25">
      <c r="Z7612"/>
      <c r="AO7612" s="6"/>
    </row>
    <row r="7613" spans="26:41" x14ac:dyDescent="0.25">
      <c r="Z7613"/>
      <c r="AO7613" s="6"/>
    </row>
    <row r="7614" spans="26:41" x14ac:dyDescent="0.25">
      <c r="Z7614"/>
      <c r="AO7614" s="6"/>
    </row>
    <row r="7615" spans="26:41" x14ac:dyDescent="0.25">
      <c r="Z7615"/>
      <c r="AO7615" s="6"/>
    </row>
    <row r="7616" spans="26:41" x14ac:dyDescent="0.25">
      <c r="Z7616"/>
      <c r="AO7616" s="6"/>
    </row>
    <row r="7617" spans="26:41" x14ac:dyDescent="0.25">
      <c r="Z7617"/>
      <c r="AO7617" s="6"/>
    </row>
    <row r="7618" spans="26:41" x14ac:dyDescent="0.25">
      <c r="Z7618"/>
      <c r="AO7618" s="6"/>
    </row>
    <row r="7619" spans="26:41" x14ac:dyDescent="0.25">
      <c r="Z7619"/>
      <c r="AO7619" s="6"/>
    </row>
    <row r="7620" spans="26:41" x14ac:dyDescent="0.25">
      <c r="Z7620"/>
      <c r="AO7620" s="6"/>
    </row>
    <row r="7621" spans="26:41" x14ac:dyDescent="0.25">
      <c r="Z7621"/>
      <c r="AO7621" s="6"/>
    </row>
    <row r="7622" spans="26:41" x14ac:dyDescent="0.25">
      <c r="Z7622"/>
      <c r="AO7622" s="6"/>
    </row>
    <row r="7623" spans="26:41" x14ac:dyDescent="0.25">
      <c r="Z7623"/>
      <c r="AO7623" s="6"/>
    </row>
    <row r="7624" spans="26:41" x14ac:dyDescent="0.25">
      <c r="Z7624"/>
      <c r="AO7624" s="6"/>
    </row>
    <row r="7625" spans="26:41" x14ac:dyDescent="0.25">
      <c r="Z7625"/>
      <c r="AO7625" s="6"/>
    </row>
    <row r="7626" spans="26:41" x14ac:dyDescent="0.25">
      <c r="Z7626"/>
      <c r="AO7626" s="6"/>
    </row>
    <row r="7627" spans="26:41" x14ac:dyDescent="0.25">
      <c r="Z7627"/>
      <c r="AO7627" s="6"/>
    </row>
    <row r="7628" spans="26:41" x14ac:dyDescent="0.25">
      <c r="Z7628"/>
      <c r="AO7628" s="6"/>
    </row>
    <row r="7629" spans="26:41" x14ac:dyDescent="0.25">
      <c r="Z7629"/>
      <c r="AO7629" s="6"/>
    </row>
    <row r="7630" spans="26:41" x14ac:dyDescent="0.25">
      <c r="Z7630"/>
      <c r="AO7630" s="6"/>
    </row>
    <row r="7631" spans="26:41" x14ac:dyDescent="0.25">
      <c r="Z7631"/>
      <c r="AO7631" s="6"/>
    </row>
    <row r="7632" spans="26:41" x14ac:dyDescent="0.25">
      <c r="Z7632"/>
      <c r="AO7632" s="6"/>
    </row>
    <row r="7633" spans="26:41" x14ac:dyDescent="0.25">
      <c r="Z7633"/>
      <c r="AO7633" s="6"/>
    </row>
    <row r="7634" spans="26:41" x14ac:dyDescent="0.25">
      <c r="Z7634"/>
      <c r="AO7634" s="6"/>
    </row>
    <row r="7635" spans="26:41" x14ac:dyDescent="0.25">
      <c r="Z7635"/>
      <c r="AO7635" s="6"/>
    </row>
    <row r="7636" spans="26:41" x14ac:dyDescent="0.25">
      <c r="Z7636"/>
      <c r="AO7636" s="6"/>
    </row>
    <row r="7637" spans="26:41" x14ac:dyDescent="0.25">
      <c r="Z7637"/>
      <c r="AO7637" s="6"/>
    </row>
    <row r="7638" spans="26:41" x14ac:dyDescent="0.25">
      <c r="Z7638"/>
      <c r="AO7638" s="6"/>
    </row>
    <row r="7639" spans="26:41" x14ac:dyDescent="0.25">
      <c r="Z7639"/>
      <c r="AO7639" s="6"/>
    </row>
    <row r="7640" spans="26:41" x14ac:dyDescent="0.25">
      <c r="Z7640"/>
      <c r="AO7640" s="6"/>
    </row>
    <row r="7641" spans="26:41" x14ac:dyDescent="0.25">
      <c r="Z7641"/>
      <c r="AO7641" s="6"/>
    </row>
    <row r="7642" spans="26:41" x14ac:dyDescent="0.25">
      <c r="Z7642"/>
      <c r="AO7642" s="6"/>
    </row>
    <row r="7643" spans="26:41" x14ac:dyDescent="0.25">
      <c r="Z7643"/>
      <c r="AO7643" s="6"/>
    </row>
    <row r="7644" spans="26:41" x14ac:dyDescent="0.25">
      <c r="Z7644"/>
      <c r="AO7644" s="6"/>
    </row>
    <row r="7645" spans="26:41" x14ac:dyDescent="0.25">
      <c r="Z7645"/>
      <c r="AO7645" s="6"/>
    </row>
    <row r="7646" spans="26:41" x14ac:dyDescent="0.25">
      <c r="Z7646"/>
      <c r="AO7646" s="6"/>
    </row>
    <row r="7647" spans="26:41" x14ac:dyDescent="0.25">
      <c r="Z7647"/>
      <c r="AO7647" s="6"/>
    </row>
    <row r="7648" spans="26:41" x14ac:dyDescent="0.25">
      <c r="Z7648"/>
      <c r="AO7648" s="6"/>
    </row>
    <row r="7649" spans="26:41" x14ac:dyDescent="0.25">
      <c r="Z7649"/>
      <c r="AO7649" s="6"/>
    </row>
    <row r="7650" spans="26:41" x14ac:dyDescent="0.25">
      <c r="Z7650"/>
      <c r="AO7650" s="6"/>
    </row>
    <row r="7651" spans="26:41" x14ac:dyDescent="0.25">
      <c r="Z7651"/>
      <c r="AO7651" s="6"/>
    </row>
    <row r="7652" spans="26:41" x14ac:dyDescent="0.25">
      <c r="Z7652"/>
      <c r="AO7652" s="6"/>
    </row>
    <row r="7653" spans="26:41" x14ac:dyDescent="0.25">
      <c r="Z7653"/>
      <c r="AO7653" s="6"/>
    </row>
    <row r="7654" spans="26:41" x14ac:dyDescent="0.25">
      <c r="Z7654"/>
      <c r="AO7654" s="6"/>
    </row>
    <row r="7655" spans="26:41" x14ac:dyDescent="0.25">
      <c r="Z7655"/>
      <c r="AO7655" s="6"/>
    </row>
    <row r="7656" spans="26:41" x14ac:dyDescent="0.25">
      <c r="Z7656"/>
      <c r="AO7656" s="6"/>
    </row>
    <row r="7657" spans="26:41" x14ac:dyDescent="0.25">
      <c r="Z7657"/>
      <c r="AO7657" s="6"/>
    </row>
    <row r="7658" spans="26:41" x14ac:dyDescent="0.25">
      <c r="Z7658"/>
      <c r="AO7658" s="6"/>
    </row>
    <row r="7659" spans="26:41" x14ac:dyDescent="0.25">
      <c r="Z7659"/>
      <c r="AO7659" s="6"/>
    </row>
    <row r="7660" spans="26:41" x14ac:dyDescent="0.25">
      <c r="Z7660"/>
      <c r="AO7660" s="6"/>
    </row>
    <row r="7661" spans="26:41" x14ac:dyDescent="0.25">
      <c r="Z7661"/>
      <c r="AO7661" s="6"/>
    </row>
    <row r="7662" spans="26:41" x14ac:dyDescent="0.25">
      <c r="Z7662"/>
      <c r="AO7662" s="6"/>
    </row>
    <row r="7663" spans="26:41" x14ac:dyDescent="0.25">
      <c r="Z7663"/>
      <c r="AO7663" s="6"/>
    </row>
    <row r="7664" spans="26:41" x14ac:dyDescent="0.25">
      <c r="Z7664"/>
      <c r="AO7664" s="6"/>
    </row>
    <row r="7665" spans="26:41" x14ac:dyDescent="0.25">
      <c r="Z7665"/>
      <c r="AO7665" s="6"/>
    </row>
    <row r="7666" spans="26:41" x14ac:dyDescent="0.25">
      <c r="Z7666"/>
      <c r="AO7666" s="6"/>
    </row>
    <row r="7667" spans="26:41" x14ac:dyDescent="0.25">
      <c r="Z7667"/>
      <c r="AO7667" s="6"/>
    </row>
    <row r="7668" spans="26:41" x14ac:dyDescent="0.25">
      <c r="Z7668"/>
      <c r="AO7668" s="6"/>
    </row>
    <row r="7669" spans="26:41" x14ac:dyDescent="0.25">
      <c r="Z7669"/>
      <c r="AO7669" s="6"/>
    </row>
    <row r="7670" spans="26:41" x14ac:dyDescent="0.25">
      <c r="Z7670"/>
      <c r="AO7670" s="6"/>
    </row>
    <row r="7671" spans="26:41" x14ac:dyDescent="0.25">
      <c r="Z7671"/>
      <c r="AO7671" s="6"/>
    </row>
    <row r="7672" spans="26:41" x14ac:dyDescent="0.25">
      <c r="Z7672"/>
      <c r="AO7672" s="6"/>
    </row>
    <row r="7673" spans="26:41" x14ac:dyDescent="0.25">
      <c r="Z7673"/>
      <c r="AO7673" s="6"/>
    </row>
    <row r="7674" spans="26:41" x14ac:dyDescent="0.25">
      <c r="Z7674"/>
      <c r="AO7674" s="6"/>
    </row>
    <row r="7675" spans="26:41" x14ac:dyDescent="0.25">
      <c r="Z7675"/>
      <c r="AO7675" s="6"/>
    </row>
    <row r="7676" spans="26:41" x14ac:dyDescent="0.25">
      <c r="Z7676"/>
      <c r="AO7676" s="6"/>
    </row>
    <row r="7677" spans="26:41" x14ac:dyDescent="0.25">
      <c r="Z7677"/>
      <c r="AO7677" s="6"/>
    </row>
    <row r="7678" spans="26:41" x14ac:dyDescent="0.25">
      <c r="Z7678"/>
      <c r="AO7678" s="6"/>
    </row>
    <row r="7679" spans="26:41" x14ac:dyDescent="0.25">
      <c r="Z7679"/>
      <c r="AO7679" s="6"/>
    </row>
    <row r="7680" spans="26:41" x14ac:dyDescent="0.25">
      <c r="Z7680"/>
      <c r="AO7680" s="6"/>
    </row>
    <row r="7681" spans="26:41" x14ac:dyDescent="0.25">
      <c r="Z7681"/>
      <c r="AO7681" s="6"/>
    </row>
    <row r="7682" spans="26:41" x14ac:dyDescent="0.25">
      <c r="Z7682"/>
      <c r="AO7682" s="6"/>
    </row>
    <row r="7683" spans="26:41" x14ac:dyDescent="0.25">
      <c r="Z7683"/>
      <c r="AO7683" s="6"/>
    </row>
    <row r="7684" spans="26:41" x14ac:dyDescent="0.25">
      <c r="Z7684"/>
      <c r="AO7684" s="6"/>
    </row>
    <row r="7685" spans="26:41" x14ac:dyDescent="0.25">
      <c r="Z7685"/>
      <c r="AO7685" s="6"/>
    </row>
    <row r="7686" spans="26:41" x14ac:dyDescent="0.25">
      <c r="Z7686"/>
      <c r="AO7686" s="6"/>
    </row>
    <row r="7687" spans="26:41" x14ac:dyDescent="0.25">
      <c r="Z7687"/>
      <c r="AO7687" s="6"/>
    </row>
    <row r="7688" spans="26:41" x14ac:dyDescent="0.25">
      <c r="Z7688"/>
      <c r="AO7688" s="6"/>
    </row>
    <row r="7689" spans="26:41" x14ac:dyDescent="0.25">
      <c r="Z7689"/>
      <c r="AO7689" s="6"/>
    </row>
    <row r="7690" spans="26:41" x14ac:dyDescent="0.25">
      <c r="Z7690"/>
      <c r="AO7690" s="6"/>
    </row>
    <row r="7691" spans="26:41" x14ac:dyDescent="0.25">
      <c r="Z7691"/>
      <c r="AO7691" s="6"/>
    </row>
    <row r="7692" spans="26:41" x14ac:dyDescent="0.25">
      <c r="Z7692"/>
      <c r="AO7692" s="6"/>
    </row>
    <row r="7693" spans="26:41" x14ac:dyDescent="0.25">
      <c r="Z7693"/>
      <c r="AO7693" s="6"/>
    </row>
    <row r="7694" spans="26:41" x14ac:dyDescent="0.25">
      <c r="Z7694"/>
      <c r="AO7694" s="6"/>
    </row>
    <row r="7695" spans="26:41" x14ac:dyDescent="0.25">
      <c r="Z7695"/>
      <c r="AO7695" s="6"/>
    </row>
    <row r="7696" spans="26:41" x14ac:dyDescent="0.25">
      <c r="Z7696"/>
      <c r="AO7696" s="6"/>
    </row>
    <row r="7697" spans="26:41" x14ac:dyDescent="0.25">
      <c r="Z7697"/>
      <c r="AO7697" s="6"/>
    </row>
    <row r="7698" spans="26:41" x14ac:dyDescent="0.25">
      <c r="Z7698"/>
      <c r="AO7698" s="6"/>
    </row>
    <row r="7699" spans="26:41" x14ac:dyDescent="0.25">
      <c r="Z7699"/>
      <c r="AO7699" s="6"/>
    </row>
    <row r="7700" spans="26:41" x14ac:dyDescent="0.25">
      <c r="Z7700"/>
      <c r="AO7700" s="6"/>
    </row>
    <row r="7701" spans="26:41" x14ac:dyDescent="0.25">
      <c r="Z7701"/>
      <c r="AO7701" s="6"/>
    </row>
    <row r="7702" spans="26:41" x14ac:dyDescent="0.25">
      <c r="Z7702"/>
      <c r="AO7702" s="6"/>
    </row>
    <row r="7703" spans="26:41" x14ac:dyDescent="0.25">
      <c r="Z7703"/>
      <c r="AO7703" s="6"/>
    </row>
    <row r="7704" spans="26:41" x14ac:dyDescent="0.25">
      <c r="Z7704"/>
      <c r="AO7704" s="6"/>
    </row>
    <row r="7705" spans="26:41" x14ac:dyDescent="0.25">
      <c r="Z7705"/>
      <c r="AO7705" s="6"/>
    </row>
    <row r="7706" spans="26:41" x14ac:dyDescent="0.25">
      <c r="Z7706"/>
      <c r="AO7706" s="6"/>
    </row>
    <row r="7707" spans="26:41" x14ac:dyDescent="0.25">
      <c r="Z7707"/>
      <c r="AO7707" s="6"/>
    </row>
    <row r="7708" spans="26:41" x14ac:dyDescent="0.25">
      <c r="Z7708"/>
      <c r="AO7708" s="6"/>
    </row>
    <row r="7709" spans="26:41" x14ac:dyDescent="0.25">
      <c r="Z7709"/>
      <c r="AO7709" s="6"/>
    </row>
    <row r="7710" spans="26:41" x14ac:dyDescent="0.25">
      <c r="Z7710"/>
      <c r="AO7710" s="6"/>
    </row>
    <row r="7711" spans="26:41" x14ac:dyDescent="0.25">
      <c r="Z7711"/>
      <c r="AO7711" s="6"/>
    </row>
    <row r="7712" spans="26:41" x14ac:dyDescent="0.25">
      <c r="Z7712"/>
      <c r="AO7712" s="6"/>
    </row>
    <row r="7713" spans="26:41" x14ac:dyDescent="0.25">
      <c r="Z7713"/>
      <c r="AO7713" s="6"/>
    </row>
    <row r="7714" spans="26:41" x14ac:dyDescent="0.25">
      <c r="Z7714"/>
      <c r="AO7714" s="6"/>
    </row>
    <row r="7715" spans="26:41" x14ac:dyDescent="0.25">
      <c r="Z7715"/>
      <c r="AO7715" s="6"/>
    </row>
    <row r="7716" spans="26:41" x14ac:dyDescent="0.25">
      <c r="Z7716"/>
      <c r="AO7716" s="6"/>
    </row>
    <row r="7717" spans="26:41" x14ac:dyDescent="0.25">
      <c r="Z7717"/>
      <c r="AO7717" s="6"/>
    </row>
    <row r="7718" spans="26:41" x14ac:dyDescent="0.25">
      <c r="Z7718"/>
      <c r="AO7718" s="6"/>
    </row>
    <row r="7719" spans="26:41" x14ac:dyDescent="0.25">
      <c r="Z7719"/>
      <c r="AO7719" s="6"/>
    </row>
    <row r="7720" spans="26:41" x14ac:dyDescent="0.25">
      <c r="Z7720"/>
      <c r="AO7720" s="6"/>
    </row>
    <row r="7721" spans="26:41" x14ac:dyDescent="0.25">
      <c r="Z7721"/>
      <c r="AO7721" s="6"/>
    </row>
    <row r="7722" spans="26:41" x14ac:dyDescent="0.25">
      <c r="Z7722"/>
      <c r="AO7722" s="6"/>
    </row>
    <row r="7723" spans="26:41" x14ac:dyDescent="0.25">
      <c r="Z7723"/>
      <c r="AO7723" s="6"/>
    </row>
    <row r="7724" spans="26:41" x14ac:dyDescent="0.25">
      <c r="Z7724"/>
      <c r="AO7724" s="6"/>
    </row>
    <row r="7725" spans="26:41" x14ac:dyDescent="0.25">
      <c r="Z7725"/>
      <c r="AO7725" s="6"/>
    </row>
    <row r="7726" spans="26:41" x14ac:dyDescent="0.25">
      <c r="Z7726"/>
      <c r="AO7726" s="6"/>
    </row>
    <row r="7727" spans="26:41" x14ac:dyDescent="0.25">
      <c r="Z7727"/>
      <c r="AO7727" s="6"/>
    </row>
    <row r="7728" spans="26:41" x14ac:dyDescent="0.25">
      <c r="Z7728"/>
      <c r="AO7728" s="6"/>
    </row>
    <row r="7729" spans="26:41" x14ac:dyDescent="0.25">
      <c r="Z7729"/>
      <c r="AO7729" s="6"/>
    </row>
    <row r="7730" spans="26:41" x14ac:dyDescent="0.25">
      <c r="Z7730"/>
      <c r="AO7730" s="6"/>
    </row>
    <row r="7731" spans="26:41" x14ac:dyDescent="0.25">
      <c r="Z7731"/>
      <c r="AO7731" s="6"/>
    </row>
    <row r="7732" spans="26:41" x14ac:dyDescent="0.25">
      <c r="Z7732"/>
      <c r="AO7732" s="6"/>
    </row>
    <row r="7733" spans="26:41" x14ac:dyDescent="0.25">
      <c r="Z7733"/>
      <c r="AO7733" s="6"/>
    </row>
    <row r="7734" spans="26:41" x14ac:dyDescent="0.25">
      <c r="Z7734"/>
      <c r="AO7734" s="6"/>
    </row>
    <row r="7735" spans="26:41" x14ac:dyDescent="0.25">
      <c r="Z7735"/>
      <c r="AO7735" s="6"/>
    </row>
    <row r="7736" spans="26:41" x14ac:dyDescent="0.25">
      <c r="Z7736"/>
      <c r="AO7736" s="6"/>
    </row>
    <row r="7737" spans="26:41" x14ac:dyDescent="0.25">
      <c r="Z7737"/>
      <c r="AO7737" s="6"/>
    </row>
    <row r="7738" spans="26:41" x14ac:dyDescent="0.25">
      <c r="Z7738"/>
      <c r="AO7738" s="6"/>
    </row>
    <row r="7739" spans="26:41" x14ac:dyDescent="0.25">
      <c r="Z7739"/>
      <c r="AO7739" s="6"/>
    </row>
    <row r="7740" spans="26:41" x14ac:dyDescent="0.25">
      <c r="Z7740"/>
      <c r="AO7740" s="6"/>
    </row>
    <row r="7741" spans="26:41" x14ac:dyDescent="0.25">
      <c r="Z7741"/>
      <c r="AO7741" s="6"/>
    </row>
    <row r="7742" spans="26:41" x14ac:dyDescent="0.25">
      <c r="Z7742"/>
      <c r="AO7742" s="6"/>
    </row>
    <row r="7743" spans="26:41" x14ac:dyDescent="0.25">
      <c r="Z7743"/>
      <c r="AO7743" s="6"/>
    </row>
    <row r="7744" spans="26:41" x14ac:dyDescent="0.25">
      <c r="Z7744"/>
      <c r="AO7744" s="6"/>
    </row>
    <row r="7745" spans="26:41" x14ac:dyDescent="0.25">
      <c r="Z7745"/>
      <c r="AO7745" s="6"/>
    </row>
    <row r="7746" spans="26:41" x14ac:dyDescent="0.25">
      <c r="Z7746"/>
      <c r="AO7746" s="6"/>
    </row>
    <row r="7747" spans="26:41" x14ac:dyDescent="0.25">
      <c r="Z7747"/>
      <c r="AO7747" s="6"/>
    </row>
    <row r="7748" spans="26:41" x14ac:dyDescent="0.25">
      <c r="Z7748"/>
      <c r="AO7748" s="6"/>
    </row>
    <row r="7749" spans="26:41" x14ac:dyDescent="0.25">
      <c r="Z7749"/>
      <c r="AO7749" s="6"/>
    </row>
    <row r="7750" spans="26:41" x14ac:dyDescent="0.25">
      <c r="Z7750"/>
      <c r="AO7750" s="6"/>
    </row>
    <row r="7751" spans="26:41" x14ac:dyDescent="0.25">
      <c r="Z7751"/>
      <c r="AO7751" s="6"/>
    </row>
    <row r="7752" spans="26:41" x14ac:dyDescent="0.25">
      <c r="Z7752"/>
      <c r="AO7752" s="6"/>
    </row>
    <row r="7753" spans="26:41" x14ac:dyDescent="0.25">
      <c r="Z7753"/>
      <c r="AO7753" s="6"/>
    </row>
    <row r="7754" spans="26:41" x14ac:dyDescent="0.25">
      <c r="Z7754"/>
      <c r="AO7754" s="6"/>
    </row>
    <row r="7755" spans="26:41" x14ac:dyDescent="0.25">
      <c r="Z7755"/>
      <c r="AO7755" s="6"/>
    </row>
    <row r="7756" spans="26:41" x14ac:dyDescent="0.25">
      <c r="Z7756"/>
      <c r="AO7756" s="6"/>
    </row>
    <row r="7757" spans="26:41" x14ac:dyDescent="0.25">
      <c r="Z7757"/>
      <c r="AO7757" s="6"/>
    </row>
    <row r="7758" spans="26:41" x14ac:dyDescent="0.25">
      <c r="Z7758"/>
      <c r="AO7758" s="6"/>
    </row>
    <row r="7759" spans="26:41" x14ac:dyDescent="0.25">
      <c r="Z7759"/>
      <c r="AO7759" s="6"/>
    </row>
    <row r="7760" spans="26:41" x14ac:dyDescent="0.25">
      <c r="Z7760"/>
      <c r="AO7760" s="6"/>
    </row>
    <row r="7761" spans="26:41" x14ac:dyDescent="0.25">
      <c r="Z7761"/>
      <c r="AO7761" s="6"/>
    </row>
    <row r="7762" spans="26:41" x14ac:dyDescent="0.25">
      <c r="Z7762"/>
      <c r="AO7762" s="6"/>
    </row>
    <row r="7763" spans="26:41" x14ac:dyDescent="0.25">
      <c r="Z7763"/>
      <c r="AO7763" s="6"/>
    </row>
    <row r="7764" spans="26:41" x14ac:dyDescent="0.25">
      <c r="Z7764"/>
      <c r="AO7764" s="6"/>
    </row>
    <row r="7765" spans="26:41" x14ac:dyDescent="0.25">
      <c r="Z7765"/>
      <c r="AO7765" s="6"/>
    </row>
    <row r="7766" spans="26:41" x14ac:dyDescent="0.25">
      <c r="Z7766"/>
      <c r="AO7766" s="6"/>
    </row>
    <row r="7767" spans="26:41" x14ac:dyDescent="0.25">
      <c r="Z7767"/>
      <c r="AO7767" s="6"/>
    </row>
    <row r="7768" spans="26:41" x14ac:dyDescent="0.25">
      <c r="Z7768"/>
      <c r="AO7768" s="6"/>
    </row>
    <row r="7769" spans="26:41" x14ac:dyDescent="0.25">
      <c r="Z7769"/>
      <c r="AO7769" s="6"/>
    </row>
    <row r="7770" spans="26:41" x14ac:dyDescent="0.25">
      <c r="Z7770"/>
      <c r="AO7770" s="6"/>
    </row>
    <row r="7771" spans="26:41" x14ac:dyDescent="0.25">
      <c r="Z7771"/>
      <c r="AO7771" s="6"/>
    </row>
    <row r="7772" spans="26:41" x14ac:dyDescent="0.25">
      <c r="Z7772"/>
      <c r="AO7772" s="6"/>
    </row>
    <row r="7773" spans="26:41" x14ac:dyDescent="0.25">
      <c r="Z7773"/>
      <c r="AO7773" s="6"/>
    </row>
    <row r="7774" spans="26:41" x14ac:dyDescent="0.25">
      <c r="Z7774"/>
      <c r="AO7774" s="6"/>
    </row>
    <row r="7775" spans="26:41" x14ac:dyDescent="0.25">
      <c r="Z7775"/>
      <c r="AO7775" s="6"/>
    </row>
    <row r="7776" spans="26:41" x14ac:dyDescent="0.25">
      <c r="Z7776"/>
      <c r="AO7776" s="6"/>
    </row>
    <row r="7777" spans="26:41" x14ac:dyDescent="0.25">
      <c r="Z7777"/>
      <c r="AO7777" s="6"/>
    </row>
    <row r="7778" spans="26:41" x14ac:dyDescent="0.25">
      <c r="Z7778"/>
      <c r="AO7778" s="6"/>
    </row>
    <row r="7779" spans="26:41" x14ac:dyDescent="0.25">
      <c r="Z7779"/>
      <c r="AO7779" s="6"/>
    </row>
    <row r="7780" spans="26:41" x14ac:dyDescent="0.25">
      <c r="Z7780"/>
      <c r="AO7780" s="6"/>
    </row>
    <row r="7781" spans="26:41" x14ac:dyDescent="0.25">
      <c r="Z7781"/>
      <c r="AO7781" s="6"/>
    </row>
    <row r="7782" spans="26:41" x14ac:dyDescent="0.25">
      <c r="Z7782"/>
      <c r="AO7782" s="6"/>
    </row>
    <row r="7783" spans="26:41" x14ac:dyDescent="0.25">
      <c r="Z7783"/>
      <c r="AO7783" s="6"/>
    </row>
    <row r="7784" spans="26:41" x14ac:dyDescent="0.25">
      <c r="Z7784"/>
      <c r="AO7784" s="6"/>
    </row>
    <row r="7785" spans="26:41" x14ac:dyDescent="0.25">
      <c r="Z7785"/>
      <c r="AO7785" s="6"/>
    </row>
    <row r="7786" spans="26:41" x14ac:dyDescent="0.25">
      <c r="Z7786"/>
      <c r="AO7786" s="6"/>
    </row>
    <row r="7787" spans="26:41" x14ac:dyDescent="0.25">
      <c r="Z7787"/>
      <c r="AO7787" s="6"/>
    </row>
    <row r="7788" spans="26:41" x14ac:dyDescent="0.25">
      <c r="Z7788"/>
      <c r="AO7788" s="6"/>
    </row>
    <row r="7789" spans="26:41" x14ac:dyDescent="0.25">
      <c r="Z7789"/>
      <c r="AO7789" s="6"/>
    </row>
    <row r="7790" spans="26:41" x14ac:dyDescent="0.25">
      <c r="Z7790"/>
      <c r="AO7790" s="6"/>
    </row>
    <row r="7791" spans="26:41" x14ac:dyDescent="0.25">
      <c r="Z7791"/>
      <c r="AO7791" s="6"/>
    </row>
    <row r="7792" spans="26:41" x14ac:dyDescent="0.25">
      <c r="Z7792"/>
      <c r="AO7792" s="6"/>
    </row>
    <row r="7793" spans="26:41" x14ac:dyDescent="0.25">
      <c r="Z7793"/>
      <c r="AO7793" s="6"/>
    </row>
    <row r="7794" spans="26:41" x14ac:dyDescent="0.25">
      <c r="Z7794"/>
      <c r="AO7794" s="6"/>
    </row>
    <row r="7795" spans="26:41" x14ac:dyDescent="0.25">
      <c r="Z7795"/>
      <c r="AO7795" s="6"/>
    </row>
    <row r="7796" spans="26:41" x14ac:dyDescent="0.25">
      <c r="Z7796"/>
      <c r="AO7796" s="6"/>
    </row>
    <row r="7797" spans="26:41" x14ac:dyDescent="0.25">
      <c r="Z7797"/>
      <c r="AO7797" s="6"/>
    </row>
    <row r="7798" spans="26:41" x14ac:dyDescent="0.25">
      <c r="Z7798"/>
      <c r="AO7798" s="6"/>
    </row>
    <row r="7799" spans="26:41" x14ac:dyDescent="0.25">
      <c r="Z7799"/>
      <c r="AO7799" s="6"/>
    </row>
    <row r="7800" spans="26:41" x14ac:dyDescent="0.25">
      <c r="Z7800"/>
      <c r="AO7800" s="6"/>
    </row>
    <row r="7801" spans="26:41" x14ac:dyDescent="0.25">
      <c r="Z7801"/>
      <c r="AO7801" s="6"/>
    </row>
    <row r="7802" spans="26:41" x14ac:dyDescent="0.25">
      <c r="Z7802"/>
      <c r="AO7802" s="6"/>
    </row>
    <row r="7803" spans="26:41" x14ac:dyDescent="0.25">
      <c r="Z7803"/>
      <c r="AO7803" s="6"/>
    </row>
    <row r="7804" spans="26:41" x14ac:dyDescent="0.25">
      <c r="Z7804"/>
      <c r="AO7804" s="6"/>
    </row>
    <row r="7805" spans="26:41" x14ac:dyDescent="0.25">
      <c r="Z7805"/>
      <c r="AO7805" s="6"/>
    </row>
    <row r="7806" spans="26:41" x14ac:dyDescent="0.25">
      <c r="Z7806"/>
      <c r="AO7806" s="6"/>
    </row>
    <row r="7807" spans="26:41" x14ac:dyDescent="0.25">
      <c r="Z7807"/>
      <c r="AO7807" s="6"/>
    </row>
    <row r="7808" spans="26:41" x14ac:dyDescent="0.25">
      <c r="Z7808"/>
      <c r="AO7808" s="6"/>
    </row>
    <row r="7809" spans="26:41" x14ac:dyDescent="0.25">
      <c r="Z7809"/>
      <c r="AO7809" s="6"/>
    </row>
    <row r="7810" spans="26:41" x14ac:dyDescent="0.25">
      <c r="Z7810"/>
      <c r="AO7810" s="6"/>
    </row>
    <row r="7811" spans="26:41" x14ac:dyDescent="0.25">
      <c r="Z7811"/>
      <c r="AO7811" s="6"/>
    </row>
    <row r="7812" spans="26:41" x14ac:dyDescent="0.25">
      <c r="Z7812"/>
      <c r="AO7812" s="6"/>
    </row>
    <row r="7813" spans="26:41" x14ac:dyDescent="0.25">
      <c r="Z7813"/>
      <c r="AO7813" s="6"/>
    </row>
    <row r="7814" spans="26:41" x14ac:dyDescent="0.25">
      <c r="Z7814"/>
      <c r="AO7814" s="6"/>
    </row>
    <row r="7815" spans="26:41" x14ac:dyDescent="0.25">
      <c r="Z7815"/>
      <c r="AO7815" s="6"/>
    </row>
    <row r="7816" spans="26:41" x14ac:dyDescent="0.25">
      <c r="Z7816"/>
      <c r="AO7816" s="6"/>
    </row>
    <row r="7817" spans="26:41" x14ac:dyDescent="0.25">
      <c r="Z7817"/>
      <c r="AO7817" s="6"/>
    </row>
    <row r="7818" spans="26:41" x14ac:dyDescent="0.25">
      <c r="Z7818"/>
      <c r="AO7818" s="6"/>
    </row>
    <row r="7819" spans="26:41" x14ac:dyDescent="0.25">
      <c r="Z7819"/>
      <c r="AO7819" s="6"/>
    </row>
    <row r="7820" spans="26:41" x14ac:dyDescent="0.25">
      <c r="Z7820"/>
      <c r="AO7820" s="6"/>
    </row>
    <row r="7821" spans="26:41" x14ac:dyDescent="0.25">
      <c r="Z7821"/>
      <c r="AO7821" s="6"/>
    </row>
    <row r="7822" spans="26:41" x14ac:dyDescent="0.25">
      <c r="Z7822"/>
      <c r="AO7822" s="6"/>
    </row>
    <row r="7823" spans="26:41" x14ac:dyDescent="0.25">
      <c r="Z7823"/>
      <c r="AO7823" s="6"/>
    </row>
    <row r="7824" spans="26:41" x14ac:dyDescent="0.25">
      <c r="Z7824"/>
      <c r="AO7824" s="6"/>
    </row>
    <row r="7825" spans="26:41" x14ac:dyDescent="0.25">
      <c r="Z7825"/>
      <c r="AO7825" s="6"/>
    </row>
    <row r="7826" spans="26:41" x14ac:dyDescent="0.25">
      <c r="Z7826"/>
      <c r="AO7826" s="6"/>
    </row>
    <row r="7827" spans="26:41" x14ac:dyDescent="0.25">
      <c r="Z7827"/>
      <c r="AO7827" s="6"/>
    </row>
    <row r="7828" spans="26:41" x14ac:dyDescent="0.25">
      <c r="Z7828"/>
      <c r="AO7828" s="6"/>
    </row>
    <row r="7829" spans="26:41" x14ac:dyDescent="0.25">
      <c r="Z7829"/>
      <c r="AO7829" s="6"/>
    </row>
    <row r="7830" spans="26:41" x14ac:dyDescent="0.25">
      <c r="Z7830"/>
      <c r="AO7830" s="6"/>
    </row>
    <row r="7831" spans="26:41" x14ac:dyDescent="0.25">
      <c r="Z7831"/>
      <c r="AO7831" s="6"/>
    </row>
    <row r="7832" spans="26:41" x14ac:dyDescent="0.25">
      <c r="Z7832"/>
      <c r="AO7832" s="6"/>
    </row>
    <row r="7833" spans="26:41" x14ac:dyDescent="0.25">
      <c r="Z7833"/>
      <c r="AO7833" s="6"/>
    </row>
    <row r="7834" spans="26:41" x14ac:dyDescent="0.25">
      <c r="Z7834"/>
      <c r="AO7834" s="6"/>
    </row>
    <row r="7835" spans="26:41" x14ac:dyDescent="0.25">
      <c r="Z7835"/>
      <c r="AO7835" s="6"/>
    </row>
    <row r="7836" spans="26:41" x14ac:dyDescent="0.25">
      <c r="Z7836"/>
      <c r="AO7836" s="6"/>
    </row>
    <row r="7837" spans="26:41" x14ac:dyDescent="0.25">
      <c r="Z7837"/>
      <c r="AO7837" s="6"/>
    </row>
    <row r="7838" spans="26:41" x14ac:dyDescent="0.25">
      <c r="Z7838"/>
      <c r="AO7838" s="6"/>
    </row>
    <row r="7839" spans="26:41" x14ac:dyDescent="0.25">
      <c r="Z7839"/>
      <c r="AO7839" s="6"/>
    </row>
    <row r="7840" spans="26:41" x14ac:dyDescent="0.25">
      <c r="Z7840"/>
      <c r="AO7840" s="6"/>
    </row>
    <row r="7841" spans="26:41" x14ac:dyDescent="0.25">
      <c r="Z7841"/>
      <c r="AO7841" s="6"/>
    </row>
    <row r="7842" spans="26:41" x14ac:dyDescent="0.25">
      <c r="Z7842"/>
      <c r="AO7842" s="6"/>
    </row>
    <row r="7843" spans="26:41" x14ac:dyDescent="0.25">
      <c r="Z7843"/>
      <c r="AO7843" s="6"/>
    </row>
    <row r="7844" spans="26:41" x14ac:dyDescent="0.25">
      <c r="Z7844"/>
      <c r="AO7844" s="6"/>
    </row>
    <row r="7845" spans="26:41" x14ac:dyDescent="0.25">
      <c r="Z7845"/>
      <c r="AO7845" s="6"/>
    </row>
    <row r="7846" spans="26:41" x14ac:dyDescent="0.25">
      <c r="Z7846"/>
      <c r="AO7846" s="6"/>
    </row>
    <row r="7847" spans="26:41" x14ac:dyDescent="0.25">
      <c r="Z7847"/>
      <c r="AO7847" s="6"/>
    </row>
    <row r="7848" spans="26:41" x14ac:dyDescent="0.25">
      <c r="Z7848"/>
      <c r="AO7848" s="6"/>
    </row>
    <row r="7849" spans="26:41" x14ac:dyDescent="0.25">
      <c r="Z7849"/>
      <c r="AO7849" s="6"/>
    </row>
    <row r="7850" spans="26:41" x14ac:dyDescent="0.25">
      <c r="Z7850"/>
      <c r="AO7850" s="6"/>
    </row>
    <row r="7851" spans="26:41" x14ac:dyDescent="0.25">
      <c r="Z7851"/>
      <c r="AO7851" s="6"/>
    </row>
    <row r="7852" spans="26:41" x14ac:dyDescent="0.25">
      <c r="Z7852"/>
      <c r="AO7852" s="6"/>
    </row>
    <row r="7853" spans="26:41" x14ac:dyDescent="0.25">
      <c r="Z7853"/>
      <c r="AO7853" s="6"/>
    </row>
    <row r="7854" spans="26:41" x14ac:dyDescent="0.25">
      <c r="Z7854"/>
      <c r="AO7854" s="6"/>
    </row>
    <row r="7855" spans="26:41" x14ac:dyDescent="0.25">
      <c r="Z7855"/>
      <c r="AO7855" s="6"/>
    </row>
    <row r="7856" spans="26:41" x14ac:dyDescent="0.25">
      <c r="Z7856"/>
      <c r="AO7856" s="6"/>
    </row>
    <row r="7857" spans="26:41" x14ac:dyDescent="0.25">
      <c r="Z7857"/>
      <c r="AO7857" s="6"/>
    </row>
    <row r="7858" spans="26:41" x14ac:dyDescent="0.25">
      <c r="Z7858"/>
      <c r="AO7858" s="6"/>
    </row>
    <row r="7859" spans="26:41" x14ac:dyDescent="0.25">
      <c r="Z7859"/>
      <c r="AO7859" s="6"/>
    </row>
    <row r="7860" spans="26:41" x14ac:dyDescent="0.25">
      <c r="Z7860"/>
      <c r="AO7860" s="6"/>
    </row>
    <row r="7861" spans="26:41" x14ac:dyDescent="0.25">
      <c r="Z7861"/>
      <c r="AO7861" s="6"/>
    </row>
    <row r="7862" spans="26:41" x14ac:dyDescent="0.25">
      <c r="Z7862"/>
      <c r="AO7862" s="6"/>
    </row>
    <row r="7863" spans="26:41" x14ac:dyDescent="0.25">
      <c r="Z7863"/>
      <c r="AO7863" s="6"/>
    </row>
    <row r="7864" spans="26:41" x14ac:dyDescent="0.25">
      <c r="Z7864"/>
      <c r="AO7864" s="6"/>
    </row>
    <row r="7865" spans="26:41" x14ac:dyDescent="0.25">
      <c r="Z7865"/>
      <c r="AO7865" s="6"/>
    </row>
    <row r="7866" spans="26:41" x14ac:dyDescent="0.25">
      <c r="Z7866"/>
      <c r="AO7866" s="6"/>
    </row>
    <row r="7867" spans="26:41" x14ac:dyDescent="0.25">
      <c r="Z7867"/>
      <c r="AO7867" s="6"/>
    </row>
    <row r="7868" spans="26:41" x14ac:dyDescent="0.25">
      <c r="Z7868"/>
      <c r="AO7868" s="6"/>
    </row>
    <row r="7869" spans="26:41" x14ac:dyDescent="0.25">
      <c r="Z7869"/>
      <c r="AO7869" s="6"/>
    </row>
    <row r="7870" spans="26:41" x14ac:dyDescent="0.25">
      <c r="Z7870"/>
      <c r="AO7870" s="6"/>
    </row>
    <row r="7871" spans="26:41" x14ac:dyDescent="0.25">
      <c r="Z7871"/>
      <c r="AO7871" s="6"/>
    </row>
    <row r="7872" spans="26:41" x14ac:dyDescent="0.25">
      <c r="Z7872"/>
      <c r="AO7872" s="6"/>
    </row>
    <row r="7873" spans="26:41" x14ac:dyDescent="0.25">
      <c r="Z7873"/>
      <c r="AO7873" s="6"/>
    </row>
    <row r="7874" spans="26:41" x14ac:dyDescent="0.25">
      <c r="Z7874"/>
      <c r="AO7874" s="6"/>
    </row>
    <row r="7875" spans="26:41" x14ac:dyDescent="0.25">
      <c r="Z7875"/>
      <c r="AO7875" s="6"/>
    </row>
    <row r="7876" spans="26:41" x14ac:dyDescent="0.25">
      <c r="Z7876"/>
      <c r="AO7876" s="6"/>
    </row>
    <row r="7877" spans="26:41" x14ac:dyDescent="0.25">
      <c r="Z7877"/>
      <c r="AO7877" s="6"/>
    </row>
    <row r="7878" spans="26:41" x14ac:dyDescent="0.25">
      <c r="Z7878"/>
      <c r="AO7878" s="6"/>
    </row>
    <row r="7879" spans="26:41" x14ac:dyDescent="0.25">
      <c r="Z7879"/>
      <c r="AO7879" s="6"/>
    </row>
    <row r="7880" spans="26:41" x14ac:dyDescent="0.25">
      <c r="Z7880"/>
      <c r="AO7880" s="6"/>
    </row>
    <row r="7881" spans="26:41" x14ac:dyDescent="0.25">
      <c r="Z7881"/>
      <c r="AO7881" s="6"/>
    </row>
    <row r="7882" spans="26:41" x14ac:dyDescent="0.25">
      <c r="Z7882"/>
      <c r="AO7882" s="6"/>
    </row>
    <row r="7883" spans="26:41" x14ac:dyDescent="0.25">
      <c r="Z7883"/>
      <c r="AO7883" s="6"/>
    </row>
    <row r="7884" spans="26:41" x14ac:dyDescent="0.25">
      <c r="Z7884"/>
      <c r="AO7884" s="6"/>
    </row>
    <row r="7885" spans="26:41" x14ac:dyDescent="0.25">
      <c r="Z7885"/>
      <c r="AO7885" s="6"/>
    </row>
    <row r="7886" spans="26:41" x14ac:dyDescent="0.25">
      <c r="Z7886"/>
      <c r="AO7886" s="6"/>
    </row>
    <row r="7887" spans="26:41" x14ac:dyDescent="0.25">
      <c r="Z7887"/>
      <c r="AO7887" s="6"/>
    </row>
    <row r="7888" spans="26:41" x14ac:dyDescent="0.25">
      <c r="Z7888"/>
      <c r="AO7888" s="6"/>
    </row>
    <row r="7889" spans="26:41" x14ac:dyDescent="0.25">
      <c r="Z7889"/>
      <c r="AO7889" s="6"/>
    </row>
    <row r="7890" spans="26:41" x14ac:dyDescent="0.25">
      <c r="Z7890"/>
      <c r="AO7890" s="6"/>
    </row>
    <row r="7891" spans="26:41" x14ac:dyDescent="0.25">
      <c r="Z7891"/>
      <c r="AO7891" s="6"/>
    </row>
    <row r="7892" spans="26:41" x14ac:dyDescent="0.25">
      <c r="Z7892"/>
      <c r="AO7892" s="6"/>
    </row>
    <row r="7893" spans="26:41" x14ac:dyDescent="0.25">
      <c r="Z7893"/>
      <c r="AO7893" s="6"/>
    </row>
    <row r="7894" spans="26:41" x14ac:dyDescent="0.25">
      <c r="Z7894"/>
      <c r="AO7894" s="6"/>
    </row>
    <row r="7895" spans="26:41" x14ac:dyDescent="0.25">
      <c r="Z7895"/>
      <c r="AO7895" s="6"/>
    </row>
    <row r="7896" spans="26:41" x14ac:dyDescent="0.25">
      <c r="Z7896"/>
      <c r="AO7896" s="6"/>
    </row>
    <row r="7897" spans="26:41" x14ac:dyDescent="0.25">
      <c r="Z7897"/>
      <c r="AO7897" s="6"/>
    </row>
    <row r="7898" spans="26:41" x14ac:dyDescent="0.25">
      <c r="Z7898"/>
      <c r="AO7898" s="6"/>
    </row>
    <row r="7899" spans="26:41" x14ac:dyDescent="0.25">
      <c r="Z7899"/>
      <c r="AO7899" s="6"/>
    </row>
    <row r="7900" spans="26:41" x14ac:dyDescent="0.25">
      <c r="Z7900"/>
      <c r="AO7900" s="6"/>
    </row>
    <row r="7901" spans="26:41" x14ac:dyDescent="0.25">
      <c r="Z7901"/>
      <c r="AO7901" s="6"/>
    </row>
    <row r="7902" spans="26:41" x14ac:dyDescent="0.25">
      <c r="Z7902"/>
      <c r="AO7902" s="6"/>
    </row>
    <row r="7903" spans="26:41" x14ac:dyDescent="0.25">
      <c r="Z7903"/>
      <c r="AO7903" s="6"/>
    </row>
    <row r="7904" spans="26:41" x14ac:dyDescent="0.25">
      <c r="Z7904"/>
      <c r="AO7904" s="6"/>
    </row>
    <row r="7905" spans="26:41" x14ac:dyDescent="0.25">
      <c r="Z7905"/>
      <c r="AO7905" s="6"/>
    </row>
    <row r="7906" spans="26:41" x14ac:dyDescent="0.25">
      <c r="Z7906"/>
      <c r="AO7906" s="6"/>
    </row>
    <row r="7907" spans="26:41" x14ac:dyDescent="0.25">
      <c r="Z7907"/>
      <c r="AO7907" s="6"/>
    </row>
    <row r="7908" spans="26:41" x14ac:dyDescent="0.25">
      <c r="Z7908"/>
      <c r="AO7908" s="6"/>
    </row>
    <row r="7909" spans="26:41" x14ac:dyDescent="0.25">
      <c r="Z7909"/>
      <c r="AO7909" s="6"/>
    </row>
    <row r="7910" spans="26:41" x14ac:dyDescent="0.25">
      <c r="Z7910"/>
      <c r="AO7910" s="6"/>
    </row>
    <row r="7911" spans="26:41" x14ac:dyDescent="0.25">
      <c r="Z7911"/>
      <c r="AO7911" s="6"/>
    </row>
    <row r="7912" spans="26:41" x14ac:dyDescent="0.25">
      <c r="Z7912"/>
      <c r="AO7912" s="6"/>
    </row>
    <row r="7913" spans="26:41" x14ac:dyDescent="0.25">
      <c r="Z7913"/>
      <c r="AO7913" s="6"/>
    </row>
    <row r="7914" spans="26:41" x14ac:dyDescent="0.25">
      <c r="Z7914"/>
      <c r="AO7914" s="6"/>
    </row>
    <row r="7915" spans="26:41" x14ac:dyDescent="0.25">
      <c r="Z7915"/>
      <c r="AO7915" s="6"/>
    </row>
    <row r="7916" spans="26:41" x14ac:dyDescent="0.25">
      <c r="Z7916"/>
      <c r="AO7916" s="6"/>
    </row>
    <row r="7917" spans="26:41" x14ac:dyDescent="0.25">
      <c r="Z7917"/>
      <c r="AO7917" s="6"/>
    </row>
    <row r="7918" spans="26:41" x14ac:dyDescent="0.25">
      <c r="Z7918"/>
      <c r="AO7918" s="6"/>
    </row>
    <row r="7919" spans="26:41" x14ac:dyDescent="0.25">
      <c r="Z7919"/>
      <c r="AO7919" s="6"/>
    </row>
    <row r="7920" spans="26:41" x14ac:dyDescent="0.25">
      <c r="Z7920"/>
      <c r="AO7920" s="6"/>
    </row>
    <row r="7921" spans="26:41" x14ac:dyDescent="0.25">
      <c r="Z7921"/>
      <c r="AO7921" s="6"/>
    </row>
    <row r="7922" spans="26:41" x14ac:dyDescent="0.25">
      <c r="Z7922"/>
      <c r="AO7922" s="6"/>
    </row>
    <row r="7923" spans="26:41" x14ac:dyDescent="0.25">
      <c r="Z7923"/>
      <c r="AO7923" s="6"/>
    </row>
    <row r="7924" spans="26:41" x14ac:dyDescent="0.25">
      <c r="Z7924"/>
      <c r="AO7924" s="6"/>
    </row>
    <row r="7925" spans="26:41" x14ac:dyDescent="0.25">
      <c r="Z7925"/>
      <c r="AO7925" s="6"/>
    </row>
    <row r="7926" spans="26:41" x14ac:dyDescent="0.25">
      <c r="Z7926"/>
      <c r="AO7926" s="6"/>
    </row>
    <row r="7927" spans="26:41" x14ac:dyDescent="0.25">
      <c r="Z7927"/>
      <c r="AO7927" s="6"/>
    </row>
    <row r="7928" spans="26:41" x14ac:dyDescent="0.25">
      <c r="Z7928"/>
      <c r="AO7928" s="6"/>
    </row>
    <row r="7929" spans="26:41" x14ac:dyDescent="0.25">
      <c r="Z7929"/>
      <c r="AO7929" s="6"/>
    </row>
    <row r="7930" spans="26:41" x14ac:dyDescent="0.25">
      <c r="Z7930"/>
      <c r="AO7930" s="6"/>
    </row>
    <row r="7931" spans="26:41" x14ac:dyDescent="0.25">
      <c r="Z7931"/>
      <c r="AO7931" s="6"/>
    </row>
    <row r="7932" spans="26:41" x14ac:dyDescent="0.25">
      <c r="Z7932"/>
      <c r="AO7932" s="6"/>
    </row>
    <row r="7933" spans="26:41" x14ac:dyDescent="0.25">
      <c r="Z7933"/>
      <c r="AO7933" s="6"/>
    </row>
    <row r="7934" spans="26:41" x14ac:dyDescent="0.25">
      <c r="Z7934"/>
      <c r="AO7934" s="6"/>
    </row>
    <row r="7935" spans="26:41" x14ac:dyDescent="0.25">
      <c r="Z7935"/>
      <c r="AO7935" s="6"/>
    </row>
    <row r="7936" spans="26:41" x14ac:dyDescent="0.25">
      <c r="Z7936"/>
      <c r="AO7936" s="6"/>
    </row>
    <row r="7937" spans="26:41" x14ac:dyDescent="0.25">
      <c r="Z7937"/>
      <c r="AO7937" s="6"/>
    </row>
    <row r="7938" spans="26:41" x14ac:dyDescent="0.25">
      <c r="Z7938"/>
      <c r="AO7938" s="6"/>
    </row>
    <row r="7939" spans="26:41" x14ac:dyDescent="0.25">
      <c r="Z7939"/>
      <c r="AO7939" s="6"/>
    </row>
    <row r="7940" spans="26:41" x14ac:dyDescent="0.25">
      <c r="Z7940"/>
      <c r="AO7940" s="6"/>
    </row>
    <row r="7941" spans="26:41" x14ac:dyDescent="0.25">
      <c r="Z7941"/>
      <c r="AO7941" s="6"/>
    </row>
    <row r="7942" spans="26:41" x14ac:dyDescent="0.25">
      <c r="Z7942"/>
      <c r="AO7942" s="6"/>
    </row>
    <row r="7943" spans="26:41" x14ac:dyDescent="0.25">
      <c r="Z7943"/>
      <c r="AO7943" s="6"/>
    </row>
    <row r="7944" spans="26:41" x14ac:dyDescent="0.25">
      <c r="Z7944"/>
      <c r="AO7944" s="6"/>
    </row>
    <row r="7945" spans="26:41" x14ac:dyDescent="0.25">
      <c r="Z7945"/>
      <c r="AO7945" s="6"/>
    </row>
    <row r="7946" spans="26:41" x14ac:dyDescent="0.25">
      <c r="Z7946"/>
      <c r="AO7946" s="6"/>
    </row>
    <row r="7947" spans="26:41" x14ac:dyDescent="0.25">
      <c r="Z7947"/>
      <c r="AO7947" s="6"/>
    </row>
    <row r="7948" spans="26:41" x14ac:dyDescent="0.25">
      <c r="Z7948"/>
      <c r="AO7948" s="6"/>
    </row>
    <row r="7949" spans="26:41" x14ac:dyDescent="0.25">
      <c r="Z7949"/>
      <c r="AO7949" s="6"/>
    </row>
    <row r="7950" spans="26:41" x14ac:dyDescent="0.25">
      <c r="Z7950"/>
      <c r="AO7950" s="6"/>
    </row>
    <row r="7951" spans="26:41" x14ac:dyDescent="0.25">
      <c r="Z7951"/>
      <c r="AO7951" s="6"/>
    </row>
    <row r="7952" spans="26:41" x14ac:dyDescent="0.25">
      <c r="Z7952"/>
      <c r="AO7952" s="6"/>
    </row>
    <row r="7953" spans="26:41" x14ac:dyDescent="0.25">
      <c r="Z7953"/>
      <c r="AO7953" s="6"/>
    </row>
    <row r="7954" spans="26:41" x14ac:dyDescent="0.25">
      <c r="Z7954"/>
      <c r="AO7954" s="6"/>
    </row>
    <row r="7955" spans="26:41" x14ac:dyDescent="0.25">
      <c r="Z7955"/>
      <c r="AO7955" s="6"/>
    </row>
    <row r="7956" spans="26:41" x14ac:dyDescent="0.25">
      <c r="Z7956"/>
      <c r="AO7956" s="6"/>
    </row>
    <row r="7957" spans="26:41" x14ac:dyDescent="0.25">
      <c r="Z7957"/>
      <c r="AO7957" s="6"/>
    </row>
    <row r="7958" spans="26:41" x14ac:dyDescent="0.25">
      <c r="Z7958"/>
      <c r="AO7958" s="6"/>
    </row>
    <row r="7959" spans="26:41" x14ac:dyDescent="0.25">
      <c r="Z7959"/>
      <c r="AO7959" s="6"/>
    </row>
    <row r="7960" spans="26:41" x14ac:dyDescent="0.25">
      <c r="Z7960"/>
      <c r="AO7960" s="6"/>
    </row>
    <row r="7961" spans="26:41" x14ac:dyDescent="0.25">
      <c r="Z7961"/>
      <c r="AO7961" s="6"/>
    </row>
    <row r="7962" spans="26:41" x14ac:dyDescent="0.25">
      <c r="Z7962"/>
      <c r="AO7962" s="6"/>
    </row>
    <row r="7963" spans="26:41" x14ac:dyDescent="0.25">
      <c r="Z7963"/>
      <c r="AO7963" s="6"/>
    </row>
    <row r="7964" spans="26:41" x14ac:dyDescent="0.25">
      <c r="Z7964"/>
      <c r="AO7964" s="6"/>
    </row>
    <row r="7965" spans="26:41" x14ac:dyDescent="0.25">
      <c r="Z7965"/>
      <c r="AO7965" s="6"/>
    </row>
    <row r="7966" spans="26:41" x14ac:dyDescent="0.25">
      <c r="Z7966"/>
      <c r="AO7966" s="6"/>
    </row>
    <row r="7967" spans="26:41" x14ac:dyDescent="0.25">
      <c r="Z7967"/>
      <c r="AO7967" s="6"/>
    </row>
    <row r="7968" spans="26:41" x14ac:dyDescent="0.25">
      <c r="Z7968"/>
      <c r="AO7968" s="6"/>
    </row>
    <row r="7969" spans="26:41" x14ac:dyDescent="0.25">
      <c r="Z7969"/>
      <c r="AO7969" s="6"/>
    </row>
    <row r="7970" spans="26:41" x14ac:dyDescent="0.25">
      <c r="Z7970"/>
      <c r="AO7970" s="6"/>
    </row>
    <row r="7971" spans="26:41" x14ac:dyDescent="0.25">
      <c r="Z7971"/>
      <c r="AO7971" s="6"/>
    </row>
    <row r="7972" spans="26:41" x14ac:dyDescent="0.25">
      <c r="Z7972"/>
      <c r="AO7972" s="6"/>
    </row>
    <row r="7973" spans="26:41" x14ac:dyDescent="0.25">
      <c r="Z7973"/>
      <c r="AO7973" s="6"/>
    </row>
    <row r="7974" spans="26:41" x14ac:dyDescent="0.25">
      <c r="Z7974"/>
      <c r="AO7974" s="6"/>
    </row>
    <row r="7975" spans="26:41" x14ac:dyDescent="0.25">
      <c r="Z7975"/>
      <c r="AO7975" s="6"/>
    </row>
    <row r="7976" spans="26:41" x14ac:dyDescent="0.25">
      <c r="Z7976"/>
      <c r="AO7976" s="6"/>
    </row>
    <row r="7977" spans="26:41" x14ac:dyDescent="0.25">
      <c r="Z7977"/>
      <c r="AO7977" s="6"/>
    </row>
    <row r="7978" spans="26:41" x14ac:dyDescent="0.25">
      <c r="Z7978"/>
      <c r="AO7978" s="6"/>
    </row>
    <row r="7979" spans="26:41" x14ac:dyDescent="0.25">
      <c r="Z7979"/>
      <c r="AO7979" s="6"/>
    </row>
    <row r="7980" spans="26:41" x14ac:dyDescent="0.25">
      <c r="Z7980"/>
      <c r="AO7980" s="6"/>
    </row>
    <row r="7981" spans="26:41" x14ac:dyDescent="0.25">
      <c r="Z7981"/>
      <c r="AO7981" s="6"/>
    </row>
    <row r="7982" spans="26:41" x14ac:dyDescent="0.25">
      <c r="Z7982"/>
      <c r="AO7982" s="6"/>
    </row>
    <row r="7983" spans="26:41" x14ac:dyDescent="0.25">
      <c r="Z7983"/>
      <c r="AO7983" s="6"/>
    </row>
    <row r="7984" spans="26:41" x14ac:dyDescent="0.25">
      <c r="Z7984"/>
      <c r="AO7984" s="6"/>
    </row>
    <row r="7985" spans="26:41" x14ac:dyDescent="0.25">
      <c r="Z7985"/>
      <c r="AO7985" s="6"/>
    </row>
    <row r="7986" spans="26:41" x14ac:dyDescent="0.25">
      <c r="Z7986"/>
      <c r="AO7986" s="6"/>
    </row>
    <row r="7987" spans="26:41" x14ac:dyDescent="0.25">
      <c r="Z7987"/>
      <c r="AO7987" s="6"/>
    </row>
    <row r="7988" spans="26:41" x14ac:dyDescent="0.25">
      <c r="Z7988"/>
      <c r="AO7988" s="6"/>
    </row>
    <row r="7989" spans="26:41" x14ac:dyDescent="0.25">
      <c r="Z7989"/>
      <c r="AO7989" s="6"/>
    </row>
    <row r="7990" spans="26:41" x14ac:dyDescent="0.25">
      <c r="Z7990"/>
      <c r="AO7990" s="6"/>
    </row>
    <row r="7991" spans="26:41" x14ac:dyDescent="0.25">
      <c r="Z7991"/>
      <c r="AO7991" s="6"/>
    </row>
    <row r="7992" spans="26:41" x14ac:dyDescent="0.25">
      <c r="Z7992"/>
      <c r="AO7992" s="6"/>
    </row>
    <row r="7993" spans="26:41" x14ac:dyDescent="0.25">
      <c r="Z7993"/>
      <c r="AO7993" s="6"/>
    </row>
    <row r="7994" spans="26:41" x14ac:dyDescent="0.25">
      <c r="Z7994"/>
      <c r="AO7994" s="6"/>
    </row>
    <row r="7995" spans="26:41" x14ac:dyDescent="0.25">
      <c r="Z7995"/>
      <c r="AO7995" s="6"/>
    </row>
    <row r="7996" spans="26:41" x14ac:dyDescent="0.25">
      <c r="Z7996"/>
      <c r="AO7996" s="6"/>
    </row>
    <row r="7997" spans="26:41" x14ac:dyDescent="0.25">
      <c r="Z7997"/>
      <c r="AO7997" s="6"/>
    </row>
    <row r="7998" spans="26:41" x14ac:dyDescent="0.25">
      <c r="Z7998"/>
      <c r="AO7998" s="6"/>
    </row>
    <row r="7999" spans="26:41" x14ac:dyDescent="0.25">
      <c r="Z7999"/>
      <c r="AO7999" s="6"/>
    </row>
    <row r="8000" spans="26:41" x14ac:dyDescent="0.25">
      <c r="Z8000"/>
      <c r="AO8000" s="6"/>
    </row>
    <row r="8001" spans="26:41" x14ac:dyDescent="0.25">
      <c r="Z8001"/>
      <c r="AO8001" s="6"/>
    </row>
    <row r="8002" spans="26:41" x14ac:dyDescent="0.25">
      <c r="Z8002"/>
      <c r="AO8002" s="6"/>
    </row>
    <row r="8003" spans="26:41" x14ac:dyDescent="0.25">
      <c r="Z8003"/>
      <c r="AO8003" s="6"/>
    </row>
    <row r="8004" spans="26:41" x14ac:dyDescent="0.25">
      <c r="Z8004"/>
      <c r="AO8004" s="6"/>
    </row>
    <row r="8005" spans="26:41" x14ac:dyDescent="0.25">
      <c r="Z8005"/>
      <c r="AO8005" s="6"/>
    </row>
    <row r="8006" spans="26:41" x14ac:dyDescent="0.25">
      <c r="Z8006"/>
      <c r="AO8006" s="6"/>
    </row>
    <row r="8007" spans="26:41" x14ac:dyDescent="0.25">
      <c r="Z8007"/>
      <c r="AO8007" s="6"/>
    </row>
    <row r="8008" spans="26:41" x14ac:dyDescent="0.25">
      <c r="Z8008"/>
      <c r="AO8008" s="6"/>
    </row>
    <row r="8009" spans="26:41" x14ac:dyDescent="0.25">
      <c r="Z8009"/>
      <c r="AO8009" s="6"/>
    </row>
    <row r="8010" spans="26:41" x14ac:dyDescent="0.25">
      <c r="Z8010"/>
      <c r="AO8010" s="6"/>
    </row>
    <row r="8011" spans="26:41" x14ac:dyDescent="0.25">
      <c r="Z8011"/>
      <c r="AO8011" s="6"/>
    </row>
    <row r="8012" spans="26:41" x14ac:dyDescent="0.25">
      <c r="Z8012"/>
      <c r="AO8012" s="6"/>
    </row>
    <row r="8013" spans="26:41" x14ac:dyDescent="0.25">
      <c r="Z8013"/>
      <c r="AO8013" s="6"/>
    </row>
    <row r="8014" spans="26:41" x14ac:dyDescent="0.25">
      <c r="Z8014"/>
      <c r="AO8014" s="6"/>
    </row>
    <row r="8015" spans="26:41" x14ac:dyDescent="0.25">
      <c r="Z8015"/>
      <c r="AO8015" s="6"/>
    </row>
    <row r="8016" spans="26:41" x14ac:dyDescent="0.25">
      <c r="Z8016"/>
      <c r="AO8016" s="6"/>
    </row>
    <row r="8017" spans="26:41" x14ac:dyDescent="0.25">
      <c r="Z8017"/>
      <c r="AO8017" s="6"/>
    </row>
    <row r="8018" spans="26:41" x14ac:dyDescent="0.25">
      <c r="Z8018"/>
      <c r="AO8018" s="6"/>
    </row>
    <row r="8019" spans="26:41" x14ac:dyDescent="0.25">
      <c r="Z8019"/>
      <c r="AO8019" s="6"/>
    </row>
    <row r="8020" spans="26:41" x14ac:dyDescent="0.25">
      <c r="Z8020"/>
      <c r="AO8020" s="6"/>
    </row>
    <row r="8021" spans="26:41" x14ac:dyDescent="0.25">
      <c r="Z8021"/>
      <c r="AO8021" s="6"/>
    </row>
    <row r="8022" spans="26:41" x14ac:dyDescent="0.25">
      <c r="Z8022"/>
      <c r="AO8022" s="6"/>
    </row>
    <row r="8023" spans="26:41" x14ac:dyDescent="0.25">
      <c r="Z8023"/>
      <c r="AO8023" s="6"/>
    </row>
    <row r="8024" spans="26:41" x14ac:dyDescent="0.25">
      <c r="Z8024"/>
      <c r="AO8024" s="6"/>
    </row>
    <row r="8025" spans="26:41" x14ac:dyDescent="0.25">
      <c r="Z8025"/>
      <c r="AO8025" s="6"/>
    </row>
    <row r="8026" spans="26:41" x14ac:dyDescent="0.25">
      <c r="Z8026"/>
      <c r="AO8026" s="6"/>
    </row>
    <row r="8027" spans="26:41" x14ac:dyDescent="0.25">
      <c r="Z8027"/>
      <c r="AO8027" s="6"/>
    </row>
    <row r="8028" spans="26:41" x14ac:dyDescent="0.25">
      <c r="Z8028"/>
      <c r="AO8028" s="6"/>
    </row>
    <row r="8029" spans="26:41" x14ac:dyDescent="0.25">
      <c r="Z8029"/>
      <c r="AO8029" s="6"/>
    </row>
    <row r="8030" spans="26:41" x14ac:dyDescent="0.25">
      <c r="Z8030"/>
      <c r="AO8030" s="6"/>
    </row>
    <row r="8031" spans="26:41" x14ac:dyDescent="0.25">
      <c r="Z8031"/>
      <c r="AO8031" s="6"/>
    </row>
    <row r="8032" spans="26:41" x14ac:dyDescent="0.25">
      <c r="Z8032"/>
      <c r="AO8032" s="6"/>
    </row>
    <row r="8033" spans="26:41" x14ac:dyDescent="0.25">
      <c r="Z8033"/>
      <c r="AO8033" s="6"/>
    </row>
    <row r="8034" spans="26:41" x14ac:dyDescent="0.25">
      <c r="Z8034"/>
      <c r="AO8034" s="6"/>
    </row>
    <row r="8035" spans="26:41" x14ac:dyDescent="0.25">
      <c r="Z8035"/>
      <c r="AO8035" s="6"/>
    </row>
    <row r="8036" spans="26:41" x14ac:dyDescent="0.25">
      <c r="Z8036"/>
      <c r="AO8036" s="6"/>
    </row>
    <row r="8037" spans="26:41" x14ac:dyDescent="0.25">
      <c r="Z8037"/>
      <c r="AO8037" s="6"/>
    </row>
    <row r="8038" spans="26:41" x14ac:dyDescent="0.25">
      <c r="Z8038"/>
      <c r="AO8038" s="6"/>
    </row>
    <row r="8039" spans="26:41" x14ac:dyDescent="0.25">
      <c r="Z8039"/>
      <c r="AO8039" s="6"/>
    </row>
    <row r="8040" spans="26:41" x14ac:dyDescent="0.25">
      <c r="Z8040"/>
      <c r="AO8040" s="6"/>
    </row>
    <row r="8041" spans="26:41" x14ac:dyDescent="0.25">
      <c r="Z8041"/>
      <c r="AO8041" s="6"/>
    </row>
    <row r="8042" spans="26:41" x14ac:dyDescent="0.25">
      <c r="Z8042"/>
      <c r="AO8042" s="6"/>
    </row>
    <row r="8043" spans="26:41" x14ac:dyDescent="0.25">
      <c r="Z8043"/>
      <c r="AO8043" s="6"/>
    </row>
    <row r="8044" spans="26:41" x14ac:dyDescent="0.25">
      <c r="Z8044"/>
      <c r="AO8044" s="6"/>
    </row>
    <row r="8045" spans="26:41" x14ac:dyDescent="0.25">
      <c r="Z8045"/>
      <c r="AO8045" s="6"/>
    </row>
    <row r="8046" spans="26:41" x14ac:dyDescent="0.25">
      <c r="Z8046"/>
      <c r="AO8046" s="6"/>
    </row>
    <row r="8047" spans="26:41" x14ac:dyDescent="0.25">
      <c r="Z8047"/>
      <c r="AO8047" s="6"/>
    </row>
    <row r="8048" spans="26:41" x14ac:dyDescent="0.25">
      <c r="Z8048"/>
      <c r="AO8048" s="6"/>
    </row>
    <row r="8049" spans="26:41" x14ac:dyDescent="0.25">
      <c r="Z8049"/>
      <c r="AO8049" s="6"/>
    </row>
    <row r="8050" spans="26:41" x14ac:dyDescent="0.25">
      <c r="Z8050"/>
      <c r="AO8050" s="6"/>
    </row>
    <row r="8051" spans="26:41" x14ac:dyDescent="0.25">
      <c r="Z8051"/>
      <c r="AO8051" s="6"/>
    </row>
    <row r="8052" spans="26:41" x14ac:dyDescent="0.25">
      <c r="Z8052"/>
      <c r="AO8052" s="6"/>
    </row>
    <row r="8053" spans="26:41" x14ac:dyDescent="0.25">
      <c r="Z8053"/>
      <c r="AO8053" s="6"/>
    </row>
    <row r="8054" spans="26:41" x14ac:dyDescent="0.25">
      <c r="Z8054"/>
      <c r="AO8054" s="6"/>
    </row>
    <row r="8055" spans="26:41" x14ac:dyDescent="0.25">
      <c r="Z8055"/>
      <c r="AO8055" s="6"/>
    </row>
    <row r="8056" spans="26:41" x14ac:dyDescent="0.25">
      <c r="Z8056"/>
      <c r="AO8056" s="6"/>
    </row>
    <row r="8057" spans="26:41" x14ac:dyDescent="0.25">
      <c r="Z8057"/>
      <c r="AO8057" s="6"/>
    </row>
    <row r="8058" spans="26:41" x14ac:dyDescent="0.25">
      <c r="Z8058"/>
      <c r="AO8058" s="6"/>
    </row>
    <row r="8059" spans="26:41" x14ac:dyDescent="0.25">
      <c r="Z8059"/>
      <c r="AO8059" s="6"/>
    </row>
    <row r="8060" spans="26:41" x14ac:dyDescent="0.25">
      <c r="Z8060"/>
      <c r="AO8060" s="6"/>
    </row>
    <row r="8061" spans="26:41" x14ac:dyDescent="0.25">
      <c r="Z8061"/>
      <c r="AO8061" s="6"/>
    </row>
    <row r="8062" spans="26:41" x14ac:dyDescent="0.25">
      <c r="Z8062"/>
      <c r="AO8062" s="6"/>
    </row>
    <row r="8063" spans="26:41" x14ac:dyDescent="0.25">
      <c r="Z8063"/>
      <c r="AO8063" s="6"/>
    </row>
    <row r="8064" spans="26:41" x14ac:dyDescent="0.25">
      <c r="Z8064"/>
      <c r="AO8064" s="6"/>
    </row>
    <row r="8065" spans="26:41" x14ac:dyDescent="0.25">
      <c r="Z8065"/>
      <c r="AO8065" s="6"/>
    </row>
    <row r="8066" spans="26:41" x14ac:dyDescent="0.25">
      <c r="Z8066"/>
      <c r="AO8066" s="6"/>
    </row>
    <row r="8067" spans="26:41" x14ac:dyDescent="0.25">
      <c r="Z8067"/>
      <c r="AO8067" s="6"/>
    </row>
    <row r="8068" spans="26:41" x14ac:dyDescent="0.25">
      <c r="Z8068"/>
      <c r="AO8068" s="6"/>
    </row>
    <row r="8069" spans="26:41" x14ac:dyDescent="0.25">
      <c r="Z8069"/>
      <c r="AO8069" s="6"/>
    </row>
    <row r="8070" spans="26:41" x14ac:dyDescent="0.25">
      <c r="Z8070"/>
      <c r="AO8070" s="6"/>
    </row>
    <row r="8071" spans="26:41" x14ac:dyDescent="0.25">
      <c r="Z8071"/>
      <c r="AO8071" s="6"/>
    </row>
    <row r="8072" spans="26:41" x14ac:dyDescent="0.25">
      <c r="Z8072"/>
      <c r="AO8072" s="6"/>
    </row>
    <row r="8073" spans="26:41" x14ac:dyDescent="0.25">
      <c r="Z8073"/>
      <c r="AO8073" s="6"/>
    </row>
    <row r="8074" spans="26:41" x14ac:dyDescent="0.25">
      <c r="Z8074"/>
      <c r="AO8074" s="6"/>
    </row>
    <row r="8075" spans="26:41" x14ac:dyDescent="0.25">
      <c r="Z8075"/>
      <c r="AO8075" s="6"/>
    </row>
    <row r="8076" spans="26:41" x14ac:dyDescent="0.25">
      <c r="Z8076"/>
      <c r="AO8076" s="6"/>
    </row>
    <row r="8077" spans="26:41" x14ac:dyDescent="0.25">
      <c r="Z8077"/>
      <c r="AO8077" s="6"/>
    </row>
    <row r="8078" spans="26:41" x14ac:dyDescent="0.25">
      <c r="Z8078"/>
      <c r="AO8078" s="6"/>
    </row>
    <row r="8079" spans="26:41" x14ac:dyDescent="0.25">
      <c r="Z8079"/>
      <c r="AO8079" s="6"/>
    </row>
    <row r="8080" spans="26:41" x14ac:dyDescent="0.25">
      <c r="Z8080"/>
      <c r="AO8080" s="6"/>
    </row>
    <row r="8081" spans="26:41" x14ac:dyDescent="0.25">
      <c r="Z8081"/>
      <c r="AO8081" s="6"/>
    </row>
    <row r="8082" spans="26:41" x14ac:dyDescent="0.25">
      <c r="Z8082"/>
      <c r="AO8082" s="6"/>
    </row>
    <row r="8083" spans="26:41" x14ac:dyDescent="0.25">
      <c r="Z8083"/>
      <c r="AO8083" s="6"/>
    </row>
    <row r="8084" spans="26:41" x14ac:dyDescent="0.25">
      <c r="Z8084"/>
      <c r="AO8084" s="6"/>
    </row>
    <row r="8085" spans="26:41" x14ac:dyDescent="0.25">
      <c r="Z8085"/>
      <c r="AO8085" s="6"/>
    </row>
    <row r="8086" spans="26:41" x14ac:dyDescent="0.25">
      <c r="Z8086"/>
      <c r="AO8086" s="6"/>
    </row>
    <row r="8087" spans="26:41" x14ac:dyDescent="0.25">
      <c r="Z8087"/>
      <c r="AO8087" s="6"/>
    </row>
    <row r="8088" spans="26:41" x14ac:dyDescent="0.25">
      <c r="Z8088"/>
      <c r="AO8088" s="6"/>
    </row>
    <row r="8089" spans="26:41" x14ac:dyDescent="0.25">
      <c r="Z8089"/>
      <c r="AO8089" s="6"/>
    </row>
    <row r="8090" spans="26:41" x14ac:dyDescent="0.25">
      <c r="Z8090"/>
      <c r="AO8090" s="6"/>
    </row>
    <row r="8091" spans="26:41" x14ac:dyDescent="0.25">
      <c r="Z8091"/>
      <c r="AO8091" s="6"/>
    </row>
    <row r="8092" spans="26:41" x14ac:dyDescent="0.25">
      <c r="Z8092"/>
      <c r="AO8092" s="6"/>
    </row>
    <row r="8093" spans="26:41" x14ac:dyDescent="0.25">
      <c r="Z8093"/>
      <c r="AO8093" s="6"/>
    </row>
    <row r="8094" spans="26:41" x14ac:dyDescent="0.25">
      <c r="Z8094"/>
      <c r="AO8094" s="6"/>
    </row>
    <row r="8095" spans="26:41" x14ac:dyDescent="0.25">
      <c r="Z8095"/>
      <c r="AO8095" s="6"/>
    </row>
    <row r="8096" spans="26:41" x14ac:dyDescent="0.25">
      <c r="Z8096"/>
      <c r="AO8096" s="6"/>
    </row>
    <row r="8097" spans="26:41" x14ac:dyDescent="0.25">
      <c r="Z8097"/>
      <c r="AO8097" s="6"/>
    </row>
    <row r="8098" spans="26:41" x14ac:dyDescent="0.25">
      <c r="Z8098"/>
      <c r="AO8098" s="6"/>
    </row>
    <row r="8099" spans="26:41" x14ac:dyDescent="0.25">
      <c r="Z8099"/>
      <c r="AO8099" s="6"/>
    </row>
    <row r="8100" spans="26:41" x14ac:dyDescent="0.25">
      <c r="Z8100"/>
      <c r="AO8100" s="6"/>
    </row>
    <row r="8101" spans="26:41" x14ac:dyDescent="0.25">
      <c r="Z8101"/>
      <c r="AO8101" s="6"/>
    </row>
    <row r="8102" spans="26:41" x14ac:dyDescent="0.25">
      <c r="Z8102"/>
      <c r="AO8102" s="6"/>
    </row>
    <row r="8103" spans="26:41" x14ac:dyDescent="0.25">
      <c r="Z8103"/>
      <c r="AO8103" s="6"/>
    </row>
    <row r="8104" spans="26:41" x14ac:dyDescent="0.25">
      <c r="Z8104"/>
      <c r="AO8104" s="6"/>
    </row>
    <row r="8105" spans="26:41" x14ac:dyDescent="0.25">
      <c r="Z8105"/>
      <c r="AO8105" s="6"/>
    </row>
    <row r="8106" spans="26:41" x14ac:dyDescent="0.25">
      <c r="Z8106"/>
      <c r="AO8106" s="6"/>
    </row>
    <row r="8107" spans="26:41" x14ac:dyDescent="0.25">
      <c r="Z8107"/>
      <c r="AO8107" s="6"/>
    </row>
    <row r="8108" spans="26:41" x14ac:dyDescent="0.25">
      <c r="Z8108"/>
      <c r="AO8108" s="6"/>
    </row>
    <row r="8109" spans="26:41" x14ac:dyDescent="0.25">
      <c r="Z8109"/>
      <c r="AO8109" s="6"/>
    </row>
    <row r="8110" spans="26:41" x14ac:dyDescent="0.25">
      <c r="Z8110"/>
      <c r="AO8110" s="6"/>
    </row>
    <row r="8111" spans="26:41" x14ac:dyDescent="0.25">
      <c r="Z8111"/>
      <c r="AO8111" s="6"/>
    </row>
    <row r="8112" spans="26:41" x14ac:dyDescent="0.25">
      <c r="Z8112"/>
      <c r="AO8112" s="6"/>
    </row>
    <row r="8113" spans="26:41" x14ac:dyDescent="0.25">
      <c r="Z8113"/>
      <c r="AO8113" s="6"/>
    </row>
    <row r="8114" spans="26:41" x14ac:dyDescent="0.25">
      <c r="Z8114"/>
      <c r="AO8114" s="6"/>
    </row>
    <row r="8115" spans="26:41" x14ac:dyDescent="0.25">
      <c r="Z8115"/>
      <c r="AO8115" s="6"/>
    </row>
    <row r="8116" spans="26:41" x14ac:dyDescent="0.25">
      <c r="Z8116"/>
      <c r="AO8116" s="6"/>
    </row>
    <row r="8117" spans="26:41" x14ac:dyDescent="0.25">
      <c r="Z8117"/>
      <c r="AO8117" s="6"/>
    </row>
    <row r="8118" spans="26:41" x14ac:dyDescent="0.25">
      <c r="Z8118"/>
      <c r="AO8118" s="6"/>
    </row>
    <row r="8119" spans="26:41" x14ac:dyDescent="0.25">
      <c r="Z8119"/>
      <c r="AO8119" s="6"/>
    </row>
    <row r="8120" spans="26:41" x14ac:dyDescent="0.25">
      <c r="Z8120"/>
      <c r="AO8120" s="6"/>
    </row>
    <row r="8121" spans="26:41" x14ac:dyDescent="0.25">
      <c r="Z8121"/>
      <c r="AO8121" s="6"/>
    </row>
    <row r="8122" spans="26:41" x14ac:dyDescent="0.25">
      <c r="Z8122"/>
      <c r="AO8122" s="6"/>
    </row>
    <row r="8123" spans="26:41" x14ac:dyDescent="0.25">
      <c r="Z8123"/>
      <c r="AO8123" s="6"/>
    </row>
    <row r="8124" spans="26:41" x14ac:dyDescent="0.25">
      <c r="Z8124"/>
      <c r="AO8124" s="6"/>
    </row>
    <row r="8125" spans="26:41" x14ac:dyDescent="0.25">
      <c r="Z8125"/>
      <c r="AO8125" s="6"/>
    </row>
    <row r="8126" spans="26:41" x14ac:dyDescent="0.25">
      <c r="Z8126"/>
      <c r="AO8126" s="6"/>
    </row>
    <row r="8127" spans="26:41" x14ac:dyDescent="0.25">
      <c r="Z8127"/>
      <c r="AO8127" s="6"/>
    </row>
    <row r="8128" spans="26:41" x14ac:dyDescent="0.25">
      <c r="Z8128"/>
      <c r="AO8128" s="6"/>
    </row>
    <row r="8129" spans="26:41" x14ac:dyDescent="0.25">
      <c r="Z8129"/>
      <c r="AO8129" s="6"/>
    </row>
    <row r="8130" spans="26:41" x14ac:dyDescent="0.25">
      <c r="Z8130"/>
      <c r="AO8130" s="6"/>
    </row>
    <row r="8131" spans="26:41" x14ac:dyDescent="0.25">
      <c r="Z8131"/>
      <c r="AO8131" s="6"/>
    </row>
    <row r="8132" spans="26:41" x14ac:dyDescent="0.25">
      <c r="Z8132"/>
      <c r="AO8132" s="6"/>
    </row>
    <row r="8133" spans="26:41" x14ac:dyDescent="0.25">
      <c r="Z8133"/>
      <c r="AO8133" s="6"/>
    </row>
    <row r="8134" spans="26:41" x14ac:dyDescent="0.25">
      <c r="Z8134"/>
      <c r="AO8134" s="6"/>
    </row>
    <row r="8135" spans="26:41" x14ac:dyDescent="0.25">
      <c r="Z8135"/>
      <c r="AO8135" s="6"/>
    </row>
    <row r="8136" spans="26:41" x14ac:dyDescent="0.25">
      <c r="Z8136"/>
      <c r="AO8136" s="6"/>
    </row>
    <row r="8137" spans="26:41" x14ac:dyDescent="0.25">
      <c r="Z8137"/>
      <c r="AO8137" s="6"/>
    </row>
    <row r="8138" spans="26:41" x14ac:dyDescent="0.25">
      <c r="Z8138"/>
      <c r="AO8138" s="6"/>
    </row>
    <row r="8139" spans="26:41" x14ac:dyDescent="0.25">
      <c r="Z8139"/>
      <c r="AO8139" s="6"/>
    </row>
    <row r="8140" spans="26:41" x14ac:dyDescent="0.25">
      <c r="Z8140"/>
      <c r="AO8140" s="6"/>
    </row>
    <row r="8141" spans="26:41" x14ac:dyDescent="0.25">
      <c r="Z8141"/>
      <c r="AO8141" s="6"/>
    </row>
    <row r="8142" spans="26:41" x14ac:dyDescent="0.25">
      <c r="Z8142"/>
      <c r="AO8142" s="6"/>
    </row>
    <row r="8143" spans="26:41" x14ac:dyDescent="0.25">
      <c r="Z8143"/>
      <c r="AO8143" s="6"/>
    </row>
    <row r="8144" spans="26:41" x14ac:dyDescent="0.25">
      <c r="Z8144"/>
      <c r="AO8144" s="6"/>
    </row>
    <row r="8145" spans="26:41" x14ac:dyDescent="0.25">
      <c r="Z8145"/>
      <c r="AO8145" s="6"/>
    </row>
    <row r="8146" spans="26:41" x14ac:dyDescent="0.25">
      <c r="Z8146"/>
      <c r="AO8146" s="6"/>
    </row>
    <row r="8147" spans="26:41" x14ac:dyDescent="0.25">
      <c r="Z8147"/>
      <c r="AO8147" s="6"/>
    </row>
    <row r="8148" spans="26:41" x14ac:dyDescent="0.25">
      <c r="Z8148"/>
      <c r="AO8148" s="6"/>
    </row>
    <row r="8149" spans="26:41" x14ac:dyDescent="0.25">
      <c r="Z8149"/>
      <c r="AO8149" s="6"/>
    </row>
    <row r="8150" spans="26:41" x14ac:dyDescent="0.25">
      <c r="Z8150"/>
      <c r="AO8150" s="6"/>
    </row>
    <row r="8151" spans="26:41" x14ac:dyDescent="0.25">
      <c r="Z8151"/>
      <c r="AO8151" s="6"/>
    </row>
    <row r="8152" spans="26:41" x14ac:dyDescent="0.25">
      <c r="Z8152"/>
      <c r="AO8152" s="6"/>
    </row>
    <row r="8153" spans="26:41" x14ac:dyDescent="0.25">
      <c r="Z8153"/>
      <c r="AO8153" s="6"/>
    </row>
    <row r="8154" spans="26:41" x14ac:dyDescent="0.25">
      <c r="Z8154"/>
      <c r="AO8154" s="6"/>
    </row>
    <row r="8155" spans="26:41" x14ac:dyDescent="0.25">
      <c r="Z8155"/>
      <c r="AO8155" s="6"/>
    </row>
    <row r="8156" spans="26:41" x14ac:dyDescent="0.25">
      <c r="Z8156"/>
      <c r="AO8156" s="6"/>
    </row>
    <row r="8157" spans="26:41" x14ac:dyDescent="0.25">
      <c r="Z8157"/>
      <c r="AO8157" s="6"/>
    </row>
    <row r="8158" spans="26:41" x14ac:dyDescent="0.25">
      <c r="Z8158"/>
      <c r="AO8158" s="6"/>
    </row>
    <row r="8159" spans="26:41" x14ac:dyDescent="0.25">
      <c r="Z8159"/>
      <c r="AO8159" s="6"/>
    </row>
    <row r="8160" spans="26:41" x14ac:dyDescent="0.25">
      <c r="Z8160"/>
      <c r="AO8160" s="6"/>
    </row>
    <row r="8161" spans="26:41" x14ac:dyDescent="0.25">
      <c r="Z8161"/>
      <c r="AO8161" s="6"/>
    </row>
    <row r="8162" spans="26:41" x14ac:dyDescent="0.25">
      <c r="Z8162"/>
      <c r="AO8162" s="6"/>
    </row>
    <row r="8163" spans="26:41" x14ac:dyDescent="0.25">
      <c r="Z8163"/>
      <c r="AO8163" s="6"/>
    </row>
    <row r="8164" spans="26:41" x14ac:dyDescent="0.25">
      <c r="Z8164"/>
      <c r="AO8164" s="6"/>
    </row>
    <row r="8165" spans="26:41" x14ac:dyDescent="0.25">
      <c r="Z8165"/>
      <c r="AO8165" s="6"/>
    </row>
    <row r="8166" spans="26:41" x14ac:dyDescent="0.25">
      <c r="Z8166"/>
      <c r="AO8166" s="6"/>
    </row>
    <row r="8167" spans="26:41" x14ac:dyDescent="0.25">
      <c r="Z8167"/>
      <c r="AO8167" s="6"/>
    </row>
    <row r="8168" spans="26:41" x14ac:dyDescent="0.25">
      <c r="Z8168"/>
      <c r="AO8168" s="6"/>
    </row>
    <row r="8169" spans="26:41" x14ac:dyDescent="0.25">
      <c r="Z8169"/>
      <c r="AO8169" s="6"/>
    </row>
    <row r="8170" spans="26:41" x14ac:dyDescent="0.25">
      <c r="Z8170"/>
      <c r="AO8170" s="6"/>
    </row>
    <row r="8171" spans="26:41" x14ac:dyDescent="0.25">
      <c r="Z8171"/>
      <c r="AO8171" s="6"/>
    </row>
    <row r="8172" spans="26:41" x14ac:dyDescent="0.25">
      <c r="Z8172"/>
      <c r="AO8172" s="6"/>
    </row>
    <row r="8173" spans="26:41" x14ac:dyDescent="0.25">
      <c r="Z8173"/>
      <c r="AO8173" s="6"/>
    </row>
    <row r="8174" spans="26:41" x14ac:dyDescent="0.25">
      <c r="Z8174"/>
      <c r="AO8174" s="6"/>
    </row>
    <row r="8175" spans="26:41" x14ac:dyDescent="0.25">
      <c r="Z8175"/>
      <c r="AO8175" s="6"/>
    </row>
    <row r="8176" spans="26:41" x14ac:dyDescent="0.25">
      <c r="Z8176"/>
      <c r="AO8176" s="6"/>
    </row>
    <row r="8177" spans="26:41" x14ac:dyDescent="0.25">
      <c r="Z8177"/>
      <c r="AO8177" s="6"/>
    </row>
    <row r="8178" spans="26:41" x14ac:dyDescent="0.25">
      <c r="Z8178"/>
      <c r="AO8178" s="6"/>
    </row>
    <row r="8179" spans="26:41" x14ac:dyDescent="0.25">
      <c r="Z8179"/>
      <c r="AO8179" s="6"/>
    </row>
    <row r="8180" spans="26:41" x14ac:dyDescent="0.25">
      <c r="Z8180"/>
      <c r="AO8180" s="6"/>
    </row>
    <row r="8181" spans="26:41" x14ac:dyDescent="0.25">
      <c r="Z8181"/>
      <c r="AO8181" s="6"/>
    </row>
    <row r="8182" spans="26:41" x14ac:dyDescent="0.25">
      <c r="Z8182"/>
      <c r="AO8182" s="6"/>
    </row>
    <row r="8183" spans="26:41" x14ac:dyDescent="0.25">
      <c r="Z8183"/>
      <c r="AO8183" s="6"/>
    </row>
    <row r="8184" spans="26:41" x14ac:dyDescent="0.25">
      <c r="Z8184"/>
      <c r="AO8184" s="6"/>
    </row>
    <row r="8185" spans="26:41" x14ac:dyDescent="0.25">
      <c r="Z8185"/>
      <c r="AO8185" s="6"/>
    </row>
    <row r="8186" spans="26:41" x14ac:dyDescent="0.25">
      <c r="Z8186"/>
      <c r="AO8186" s="6"/>
    </row>
    <row r="8187" spans="26:41" x14ac:dyDescent="0.25">
      <c r="Z8187"/>
      <c r="AO8187" s="6"/>
    </row>
    <row r="8188" spans="26:41" x14ac:dyDescent="0.25">
      <c r="Z8188"/>
      <c r="AO8188" s="6"/>
    </row>
    <row r="8189" spans="26:41" x14ac:dyDescent="0.25">
      <c r="Z8189"/>
      <c r="AO8189" s="6"/>
    </row>
    <row r="8190" spans="26:41" x14ac:dyDescent="0.25">
      <c r="Z8190"/>
      <c r="AO8190" s="6"/>
    </row>
    <row r="8191" spans="26:41" x14ac:dyDescent="0.25">
      <c r="Z8191"/>
      <c r="AO8191" s="6"/>
    </row>
    <row r="8192" spans="26:41" x14ac:dyDescent="0.25">
      <c r="Z8192"/>
      <c r="AO8192" s="6"/>
    </row>
    <row r="8193" spans="26:41" x14ac:dyDescent="0.25">
      <c r="Z8193"/>
      <c r="AO8193" s="6"/>
    </row>
    <row r="8194" spans="26:41" x14ac:dyDescent="0.25">
      <c r="Z8194"/>
      <c r="AO8194" s="6"/>
    </row>
    <row r="8195" spans="26:41" x14ac:dyDescent="0.25">
      <c r="Z8195"/>
      <c r="AO8195" s="6"/>
    </row>
    <row r="8196" spans="26:41" x14ac:dyDescent="0.25">
      <c r="Z8196"/>
      <c r="AO8196" s="6"/>
    </row>
    <row r="8197" spans="26:41" x14ac:dyDescent="0.25">
      <c r="Z8197"/>
      <c r="AO8197" s="6"/>
    </row>
    <row r="8198" spans="26:41" x14ac:dyDescent="0.25">
      <c r="Z8198"/>
      <c r="AO8198" s="6"/>
    </row>
    <row r="8199" spans="26:41" x14ac:dyDescent="0.25">
      <c r="Z8199"/>
      <c r="AO8199" s="6"/>
    </row>
    <row r="8200" spans="26:41" x14ac:dyDescent="0.25">
      <c r="Z8200"/>
      <c r="AO8200" s="6"/>
    </row>
    <row r="8201" spans="26:41" x14ac:dyDescent="0.25">
      <c r="Z8201"/>
      <c r="AO8201" s="6"/>
    </row>
    <row r="8202" spans="26:41" x14ac:dyDescent="0.25">
      <c r="Z8202"/>
      <c r="AO8202" s="6"/>
    </row>
    <row r="8203" spans="26:41" x14ac:dyDescent="0.25">
      <c r="Z8203"/>
      <c r="AO8203" s="6"/>
    </row>
    <row r="8204" spans="26:41" x14ac:dyDescent="0.25">
      <c r="Z8204"/>
      <c r="AO8204" s="6"/>
    </row>
    <row r="8205" spans="26:41" x14ac:dyDescent="0.25">
      <c r="Z8205"/>
      <c r="AO8205" s="6"/>
    </row>
    <row r="8206" spans="26:41" x14ac:dyDescent="0.25">
      <c r="Z8206"/>
      <c r="AO8206" s="6"/>
    </row>
    <row r="8207" spans="26:41" x14ac:dyDescent="0.25">
      <c r="Z8207"/>
      <c r="AO8207" s="6"/>
    </row>
    <row r="8208" spans="26:41" x14ac:dyDescent="0.25">
      <c r="Z8208"/>
      <c r="AO8208" s="6"/>
    </row>
    <row r="8209" spans="26:41" x14ac:dyDescent="0.25">
      <c r="Z8209"/>
      <c r="AO8209" s="6"/>
    </row>
    <row r="8210" spans="26:41" x14ac:dyDescent="0.25">
      <c r="Z8210"/>
      <c r="AO8210" s="6"/>
    </row>
    <row r="8211" spans="26:41" x14ac:dyDescent="0.25">
      <c r="Z8211"/>
      <c r="AO8211" s="6"/>
    </row>
    <row r="8212" spans="26:41" x14ac:dyDescent="0.25">
      <c r="Z8212"/>
      <c r="AO8212" s="6"/>
    </row>
    <row r="8213" spans="26:41" x14ac:dyDescent="0.25">
      <c r="Z8213"/>
      <c r="AO8213" s="6"/>
    </row>
    <row r="8214" spans="26:41" x14ac:dyDescent="0.25">
      <c r="Z8214"/>
      <c r="AO8214" s="6"/>
    </row>
    <row r="8215" spans="26:41" x14ac:dyDescent="0.25">
      <c r="Z8215"/>
      <c r="AO8215" s="6"/>
    </row>
    <row r="8216" spans="26:41" x14ac:dyDescent="0.25">
      <c r="Z8216"/>
      <c r="AO8216" s="6"/>
    </row>
    <row r="8217" spans="26:41" x14ac:dyDescent="0.25">
      <c r="Z8217"/>
      <c r="AO8217" s="6"/>
    </row>
    <row r="8218" spans="26:41" x14ac:dyDescent="0.25">
      <c r="Z8218"/>
      <c r="AO8218" s="6"/>
    </row>
    <row r="8219" spans="26:41" x14ac:dyDescent="0.25">
      <c r="Z8219"/>
      <c r="AO8219" s="6"/>
    </row>
    <row r="8220" spans="26:41" x14ac:dyDescent="0.25">
      <c r="Z8220"/>
      <c r="AO8220" s="6"/>
    </row>
    <row r="8221" spans="26:41" x14ac:dyDescent="0.25">
      <c r="Z8221"/>
      <c r="AO8221" s="6"/>
    </row>
    <row r="8222" spans="26:41" x14ac:dyDescent="0.25">
      <c r="Z8222"/>
      <c r="AO8222" s="6"/>
    </row>
    <row r="8223" spans="26:41" x14ac:dyDescent="0.25">
      <c r="Z8223"/>
      <c r="AO8223" s="6"/>
    </row>
    <row r="8224" spans="26:41" x14ac:dyDescent="0.25">
      <c r="Z8224"/>
      <c r="AO8224" s="6"/>
    </row>
    <row r="8225" spans="26:41" x14ac:dyDescent="0.25">
      <c r="Z8225"/>
      <c r="AO8225" s="6"/>
    </row>
    <row r="8226" spans="26:41" x14ac:dyDescent="0.25">
      <c r="Z8226"/>
      <c r="AO8226" s="6"/>
    </row>
    <row r="8227" spans="26:41" x14ac:dyDescent="0.25">
      <c r="Z8227"/>
      <c r="AO8227" s="6"/>
    </row>
    <row r="8228" spans="26:41" x14ac:dyDescent="0.25">
      <c r="Z8228"/>
      <c r="AO8228" s="6"/>
    </row>
    <row r="8229" spans="26:41" x14ac:dyDescent="0.25">
      <c r="Z8229"/>
      <c r="AO8229" s="6"/>
    </row>
    <row r="8230" spans="26:41" x14ac:dyDescent="0.25">
      <c r="Z8230"/>
      <c r="AO8230" s="6"/>
    </row>
    <row r="8231" spans="26:41" x14ac:dyDescent="0.25">
      <c r="Z8231"/>
      <c r="AO8231" s="6"/>
    </row>
    <row r="8232" spans="26:41" x14ac:dyDescent="0.25">
      <c r="Z8232"/>
      <c r="AO8232" s="6"/>
    </row>
    <row r="8233" spans="26:41" x14ac:dyDescent="0.25">
      <c r="Z8233"/>
      <c r="AO8233" s="6"/>
    </row>
    <row r="8234" spans="26:41" x14ac:dyDescent="0.25">
      <c r="Z8234"/>
      <c r="AO8234" s="6"/>
    </row>
    <row r="8235" spans="26:41" x14ac:dyDescent="0.25">
      <c r="Z8235"/>
      <c r="AO8235" s="6"/>
    </row>
    <row r="8236" spans="26:41" x14ac:dyDescent="0.25">
      <c r="Z8236"/>
      <c r="AO8236" s="6"/>
    </row>
    <row r="8237" spans="26:41" x14ac:dyDescent="0.25">
      <c r="Z8237"/>
      <c r="AO8237" s="6"/>
    </row>
    <row r="8238" spans="26:41" x14ac:dyDescent="0.25">
      <c r="Z8238"/>
      <c r="AO8238" s="6"/>
    </row>
    <row r="8239" spans="26:41" x14ac:dyDescent="0.25">
      <c r="Z8239"/>
      <c r="AO8239" s="6"/>
    </row>
    <row r="8240" spans="26:41" x14ac:dyDescent="0.25">
      <c r="Z8240"/>
      <c r="AO8240" s="6"/>
    </row>
    <row r="8241" spans="26:41" x14ac:dyDescent="0.25">
      <c r="Z8241"/>
      <c r="AO8241" s="6"/>
    </row>
    <row r="8242" spans="26:41" x14ac:dyDescent="0.25">
      <c r="Z8242"/>
      <c r="AO8242" s="6"/>
    </row>
    <row r="8243" spans="26:41" x14ac:dyDescent="0.25">
      <c r="Z8243"/>
      <c r="AO8243" s="6"/>
    </row>
    <row r="8244" spans="26:41" x14ac:dyDescent="0.25">
      <c r="Z8244"/>
      <c r="AO8244" s="6"/>
    </row>
    <row r="8245" spans="26:41" x14ac:dyDescent="0.25">
      <c r="Z8245"/>
      <c r="AO8245" s="6"/>
    </row>
    <row r="8246" spans="26:41" x14ac:dyDescent="0.25">
      <c r="Z8246"/>
      <c r="AO8246" s="6"/>
    </row>
    <row r="8247" spans="26:41" x14ac:dyDescent="0.25">
      <c r="Z8247"/>
      <c r="AO8247" s="6"/>
    </row>
    <row r="8248" spans="26:41" x14ac:dyDescent="0.25">
      <c r="Z8248"/>
      <c r="AO8248" s="6"/>
    </row>
    <row r="8249" spans="26:41" x14ac:dyDescent="0.25">
      <c r="Z8249"/>
      <c r="AO8249" s="6"/>
    </row>
    <row r="8250" spans="26:41" x14ac:dyDescent="0.25">
      <c r="Z8250"/>
      <c r="AO8250" s="6"/>
    </row>
    <row r="8251" spans="26:41" x14ac:dyDescent="0.25">
      <c r="Z8251"/>
      <c r="AO8251" s="6"/>
    </row>
    <row r="8252" spans="26:41" x14ac:dyDescent="0.25">
      <c r="Z8252"/>
      <c r="AO8252" s="6"/>
    </row>
    <row r="8253" spans="26:41" x14ac:dyDescent="0.25">
      <c r="Z8253"/>
      <c r="AO8253" s="6"/>
    </row>
    <row r="8254" spans="26:41" x14ac:dyDescent="0.25">
      <c r="Z8254"/>
      <c r="AO8254" s="6"/>
    </row>
    <row r="8255" spans="26:41" x14ac:dyDescent="0.25">
      <c r="Z8255"/>
      <c r="AO8255" s="6"/>
    </row>
    <row r="8256" spans="26:41" x14ac:dyDescent="0.25">
      <c r="Z8256"/>
      <c r="AO8256" s="6"/>
    </row>
    <row r="8257" spans="26:41" x14ac:dyDescent="0.25">
      <c r="Z8257"/>
      <c r="AO8257" s="6"/>
    </row>
    <row r="8258" spans="26:41" x14ac:dyDescent="0.25">
      <c r="Z8258"/>
      <c r="AO8258" s="6"/>
    </row>
    <row r="8259" spans="26:41" x14ac:dyDescent="0.25">
      <c r="Z8259"/>
      <c r="AO8259" s="6"/>
    </row>
    <row r="8260" spans="26:41" x14ac:dyDescent="0.25">
      <c r="Z8260"/>
      <c r="AO8260" s="6"/>
    </row>
    <row r="8261" spans="26:41" x14ac:dyDescent="0.25">
      <c r="Z8261"/>
      <c r="AO8261" s="6"/>
    </row>
    <row r="8262" spans="26:41" x14ac:dyDescent="0.25">
      <c r="Z8262"/>
      <c r="AO8262" s="6"/>
    </row>
    <row r="8263" spans="26:41" x14ac:dyDescent="0.25">
      <c r="Z8263"/>
      <c r="AO8263" s="6"/>
    </row>
    <row r="8264" spans="26:41" x14ac:dyDescent="0.25">
      <c r="Z8264"/>
      <c r="AO8264" s="6"/>
    </row>
    <row r="8265" spans="26:41" x14ac:dyDescent="0.25">
      <c r="Z8265"/>
      <c r="AO8265" s="6"/>
    </row>
    <row r="8266" spans="26:41" x14ac:dyDescent="0.25">
      <c r="Z8266"/>
      <c r="AO8266" s="6"/>
    </row>
    <row r="8267" spans="26:41" x14ac:dyDescent="0.25">
      <c r="Z8267"/>
      <c r="AO8267" s="6"/>
    </row>
    <row r="8268" spans="26:41" x14ac:dyDescent="0.25">
      <c r="Z8268"/>
      <c r="AO8268" s="6"/>
    </row>
    <row r="8269" spans="26:41" x14ac:dyDescent="0.25">
      <c r="Z8269"/>
      <c r="AO8269" s="6"/>
    </row>
    <row r="8270" spans="26:41" x14ac:dyDescent="0.25">
      <c r="Z8270"/>
      <c r="AO8270" s="6"/>
    </row>
    <row r="8271" spans="26:41" x14ac:dyDescent="0.25">
      <c r="Z8271"/>
      <c r="AO8271" s="6"/>
    </row>
    <row r="8272" spans="26:41" x14ac:dyDescent="0.25">
      <c r="Z8272"/>
      <c r="AO8272" s="6"/>
    </row>
    <row r="8273" spans="26:41" x14ac:dyDescent="0.25">
      <c r="Z8273"/>
      <c r="AO8273" s="6"/>
    </row>
    <row r="8274" spans="26:41" x14ac:dyDescent="0.25">
      <c r="Z8274"/>
      <c r="AO8274" s="6"/>
    </row>
    <row r="8275" spans="26:41" x14ac:dyDescent="0.25">
      <c r="Z8275"/>
      <c r="AO8275" s="6"/>
    </row>
    <row r="8276" spans="26:41" x14ac:dyDescent="0.25">
      <c r="Z8276"/>
      <c r="AO8276" s="6"/>
    </row>
    <row r="8277" spans="26:41" x14ac:dyDescent="0.25">
      <c r="Z8277"/>
      <c r="AO8277" s="6"/>
    </row>
    <row r="8278" spans="26:41" x14ac:dyDescent="0.25">
      <c r="Z8278"/>
      <c r="AO8278" s="6"/>
    </row>
    <row r="8279" spans="26:41" x14ac:dyDescent="0.25">
      <c r="Z8279"/>
      <c r="AO8279" s="6"/>
    </row>
    <row r="8280" spans="26:41" x14ac:dyDescent="0.25">
      <c r="Z8280"/>
      <c r="AO8280" s="6"/>
    </row>
    <row r="8281" spans="26:41" x14ac:dyDescent="0.25">
      <c r="Z8281"/>
      <c r="AO8281" s="6"/>
    </row>
    <row r="8282" spans="26:41" x14ac:dyDescent="0.25">
      <c r="Z8282"/>
      <c r="AO8282" s="6"/>
    </row>
    <row r="8283" spans="26:41" x14ac:dyDescent="0.25">
      <c r="Z8283"/>
      <c r="AO8283" s="6"/>
    </row>
    <row r="8284" spans="26:41" x14ac:dyDescent="0.25">
      <c r="Z8284"/>
      <c r="AO8284" s="6"/>
    </row>
    <row r="8285" spans="26:41" x14ac:dyDescent="0.25">
      <c r="Z8285"/>
      <c r="AO8285" s="6"/>
    </row>
    <row r="8286" spans="26:41" x14ac:dyDescent="0.25">
      <c r="Z8286"/>
      <c r="AO8286" s="6"/>
    </row>
    <row r="8287" spans="26:41" x14ac:dyDescent="0.25">
      <c r="Z8287"/>
      <c r="AO8287" s="6"/>
    </row>
    <row r="8288" spans="26:41" x14ac:dyDescent="0.25">
      <c r="Z8288"/>
      <c r="AO8288" s="6"/>
    </row>
    <row r="8289" spans="26:41" x14ac:dyDescent="0.25">
      <c r="Z8289"/>
      <c r="AO8289" s="6"/>
    </row>
    <row r="8290" spans="26:41" x14ac:dyDescent="0.25">
      <c r="Z8290"/>
      <c r="AO8290" s="6"/>
    </row>
    <row r="8291" spans="26:41" x14ac:dyDescent="0.25">
      <c r="Z8291"/>
      <c r="AO8291" s="6"/>
    </row>
    <row r="8292" spans="26:41" x14ac:dyDescent="0.25">
      <c r="Z8292"/>
      <c r="AO8292" s="6"/>
    </row>
    <row r="8293" spans="26:41" x14ac:dyDescent="0.25">
      <c r="Z8293"/>
      <c r="AO8293" s="6"/>
    </row>
    <row r="8294" spans="26:41" x14ac:dyDescent="0.25">
      <c r="Z8294"/>
      <c r="AO8294" s="6"/>
    </row>
    <row r="8295" spans="26:41" x14ac:dyDescent="0.25">
      <c r="Z8295"/>
      <c r="AO8295" s="6"/>
    </row>
    <row r="8296" spans="26:41" x14ac:dyDescent="0.25">
      <c r="Z8296"/>
      <c r="AO8296" s="6"/>
    </row>
    <row r="8297" spans="26:41" x14ac:dyDescent="0.25">
      <c r="Z8297"/>
      <c r="AO8297" s="6"/>
    </row>
    <row r="8298" spans="26:41" x14ac:dyDescent="0.25">
      <c r="Z8298"/>
      <c r="AO8298" s="6"/>
    </row>
    <row r="8299" spans="26:41" x14ac:dyDescent="0.25">
      <c r="Z8299"/>
      <c r="AO8299" s="6"/>
    </row>
    <row r="8300" spans="26:41" x14ac:dyDescent="0.25">
      <c r="Z8300"/>
      <c r="AO8300" s="6"/>
    </row>
    <row r="8301" spans="26:41" x14ac:dyDescent="0.25">
      <c r="Z8301"/>
      <c r="AO8301" s="6"/>
    </row>
    <row r="8302" spans="26:41" x14ac:dyDescent="0.25">
      <c r="Z8302"/>
      <c r="AO8302" s="6"/>
    </row>
    <row r="8303" spans="26:41" x14ac:dyDescent="0.25">
      <c r="Z8303"/>
      <c r="AO8303" s="6"/>
    </row>
    <row r="8304" spans="26:41" x14ac:dyDescent="0.25">
      <c r="Z8304"/>
      <c r="AO8304" s="6"/>
    </row>
    <row r="8305" spans="26:41" x14ac:dyDescent="0.25">
      <c r="Z8305"/>
      <c r="AO8305" s="6"/>
    </row>
    <row r="8306" spans="26:41" x14ac:dyDescent="0.25">
      <c r="Z8306"/>
      <c r="AO8306" s="6"/>
    </row>
    <row r="8307" spans="26:41" x14ac:dyDescent="0.25">
      <c r="Z8307"/>
      <c r="AO8307" s="6"/>
    </row>
    <row r="8308" spans="26:41" x14ac:dyDescent="0.25">
      <c r="Z8308"/>
      <c r="AO8308" s="6"/>
    </row>
    <row r="8309" spans="26:41" x14ac:dyDescent="0.25">
      <c r="Z8309"/>
      <c r="AO8309" s="6"/>
    </row>
    <row r="8310" spans="26:41" x14ac:dyDescent="0.25">
      <c r="Z8310"/>
      <c r="AO8310" s="6"/>
    </row>
    <row r="8311" spans="26:41" x14ac:dyDescent="0.25">
      <c r="Z8311"/>
      <c r="AO8311" s="6"/>
    </row>
    <row r="8312" spans="26:41" x14ac:dyDescent="0.25">
      <c r="Z8312"/>
      <c r="AO8312" s="6"/>
    </row>
    <row r="8313" spans="26:41" x14ac:dyDescent="0.25">
      <c r="Z8313"/>
      <c r="AO8313" s="6"/>
    </row>
    <row r="8314" spans="26:41" x14ac:dyDescent="0.25">
      <c r="Z8314"/>
      <c r="AO8314" s="6"/>
    </row>
    <row r="8315" spans="26:41" x14ac:dyDescent="0.25">
      <c r="Z8315"/>
      <c r="AO8315" s="6"/>
    </row>
    <row r="8316" spans="26:41" x14ac:dyDescent="0.25">
      <c r="Z8316"/>
      <c r="AO8316" s="6"/>
    </row>
    <row r="8317" spans="26:41" x14ac:dyDescent="0.25">
      <c r="Z8317"/>
      <c r="AO8317" s="6"/>
    </row>
    <row r="8318" spans="26:41" x14ac:dyDescent="0.25">
      <c r="Z8318"/>
      <c r="AO8318" s="6"/>
    </row>
    <row r="8319" spans="26:41" x14ac:dyDescent="0.25">
      <c r="Z8319"/>
      <c r="AO8319" s="6"/>
    </row>
    <row r="8320" spans="26:41" x14ac:dyDescent="0.25">
      <c r="Z8320"/>
      <c r="AO8320" s="6"/>
    </row>
    <row r="8321" spans="26:41" x14ac:dyDescent="0.25">
      <c r="Z8321"/>
      <c r="AO8321" s="6"/>
    </row>
    <row r="8322" spans="26:41" x14ac:dyDescent="0.25">
      <c r="Z8322"/>
      <c r="AO8322" s="6"/>
    </row>
    <row r="8323" spans="26:41" x14ac:dyDescent="0.25">
      <c r="Z8323"/>
      <c r="AO8323" s="6"/>
    </row>
    <row r="8324" spans="26:41" x14ac:dyDescent="0.25">
      <c r="Z8324"/>
      <c r="AO8324" s="6"/>
    </row>
    <row r="8325" spans="26:41" x14ac:dyDescent="0.25">
      <c r="Z8325"/>
      <c r="AO8325" s="6"/>
    </row>
    <row r="8326" spans="26:41" x14ac:dyDescent="0.25">
      <c r="Z8326"/>
      <c r="AO8326" s="6"/>
    </row>
    <row r="8327" spans="26:41" x14ac:dyDescent="0.25">
      <c r="Z8327"/>
      <c r="AO8327" s="6"/>
    </row>
    <row r="8328" spans="26:41" x14ac:dyDescent="0.25">
      <c r="Z8328"/>
      <c r="AO8328" s="6"/>
    </row>
    <row r="8329" spans="26:41" x14ac:dyDescent="0.25">
      <c r="Z8329"/>
      <c r="AO8329" s="6"/>
    </row>
    <row r="8330" spans="26:41" x14ac:dyDescent="0.25">
      <c r="Z8330"/>
      <c r="AO8330" s="6"/>
    </row>
    <row r="8331" spans="26:41" x14ac:dyDescent="0.25">
      <c r="Z8331"/>
      <c r="AO8331" s="6"/>
    </row>
    <row r="8332" spans="26:41" x14ac:dyDescent="0.25">
      <c r="Z8332"/>
      <c r="AO8332" s="6"/>
    </row>
    <row r="8333" spans="26:41" x14ac:dyDescent="0.25">
      <c r="Z8333"/>
      <c r="AO8333" s="6"/>
    </row>
    <row r="8334" spans="26:41" x14ac:dyDescent="0.25">
      <c r="Z8334"/>
      <c r="AO8334" s="6"/>
    </row>
    <row r="8335" spans="26:41" x14ac:dyDescent="0.25">
      <c r="Z8335"/>
      <c r="AO8335" s="6"/>
    </row>
    <row r="8336" spans="26:41" x14ac:dyDescent="0.25">
      <c r="Z8336"/>
      <c r="AO8336" s="6"/>
    </row>
    <row r="8337" spans="26:41" x14ac:dyDescent="0.25">
      <c r="Z8337"/>
      <c r="AO8337" s="6"/>
    </row>
    <row r="8338" spans="26:41" x14ac:dyDescent="0.25">
      <c r="Z8338"/>
      <c r="AO8338" s="6"/>
    </row>
    <row r="8339" spans="26:41" x14ac:dyDescent="0.25">
      <c r="Z8339"/>
      <c r="AO8339" s="6"/>
    </row>
    <row r="8340" spans="26:41" x14ac:dyDescent="0.25">
      <c r="Z8340"/>
      <c r="AO8340" s="6"/>
    </row>
    <row r="8341" spans="26:41" x14ac:dyDescent="0.25">
      <c r="Z8341"/>
      <c r="AO8341" s="6"/>
    </row>
    <row r="8342" spans="26:41" x14ac:dyDescent="0.25">
      <c r="Z8342"/>
      <c r="AO8342" s="6"/>
    </row>
    <row r="8343" spans="26:41" x14ac:dyDescent="0.25">
      <c r="Z8343"/>
      <c r="AO8343" s="6"/>
    </row>
    <row r="8344" spans="26:41" x14ac:dyDescent="0.25">
      <c r="Z8344"/>
      <c r="AO8344" s="6"/>
    </row>
    <row r="8345" spans="26:41" x14ac:dyDescent="0.25">
      <c r="Z8345"/>
      <c r="AO8345" s="6"/>
    </row>
    <row r="8346" spans="26:41" x14ac:dyDescent="0.25">
      <c r="Z8346"/>
      <c r="AO8346" s="6"/>
    </row>
    <row r="8347" spans="26:41" x14ac:dyDescent="0.25">
      <c r="Z8347"/>
      <c r="AO8347" s="6"/>
    </row>
    <row r="8348" spans="26:41" x14ac:dyDescent="0.25">
      <c r="Z8348"/>
      <c r="AO8348" s="6"/>
    </row>
    <row r="8349" spans="26:41" x14ac:dyDescent="0.25">
      <c r="Z8349"/>
      <c r="AO8349" s="6"/>
    </row>
    <row r="8350" spans="26:41" x14ac:dyDescent="0.25">
      <c r="Z8350"/>
      <c r="AO8350" s="6"/>
    </row>
    <row r="8351" spans="26:41" x14ac:dyDescent="0.25">
      <c r="Z8351"/>
      <c r="AO8351" s="6"/>
    </row>
    <row r="8352" spans="26:41" x14ac:dyDescent="0.25">
      <c r="Z8352"/>
      <c r="AO8352" s="6"/>
    </row>
    <row r="8353" spans="26:41" x14ac:dyDescent="0.25">
      <c r="Z8353"/>
      <c r="AO8353" s="6"/>
    </row>
    <row r="8354" spans="26:41" x14ac:dyDescent="0.25">
      <c r="Z8354"/>
      <c r="AO8354" s="6"/>
    </row>
    <row r="8355" spans="26:41" x14ac:dyDescent="0.25">
      <c r="Z8355"/>
      <c r="AO8355" s="6"/>
    </row>
    <row r="8356" spans="26:41" x14ac:dyDescent="0.25">
      <c r="Z8356"/>
      <c r="AO8356" s="6"/>
    </row>
    <row r="8357" spans="26:41" x14ac:dyDescent="0.25">
      <c r="Z8357"/>
      <c r="AO8357" s="6"/>
    </row>
    <row r="8358" spans="26:41" x14ac:dyDescent="0.25">
      <c r="Z8358"/>
      <c r="AO8358" s="6"/>
    </row>
    <row r="8359" spans="26:41" x14ac:dyDescent="0.25">
      <c r="Z8359"/>
      <c r="AO8359" s="6"/>
    </row>
    <row r="8360" spans="26:41" x14ac:dyDescent="0.25">
      <c r="Z8360"/>
      <c r="AO8360" s="6"/>
    </row>
    <row r="8361" spans="26:41" x14ac:dyDescent="0.25">
      <c r="Z8361"/>
      <c r="AO8361" s="6"/>
    </row>
    <row r="8362" spans="26:41" x14ac:dyDescent="0.25">
      <c r="Z8362"/>
      <c r="AO8362" s="6"/>
    </row>
    <row r="8363" spans="26:41" x14ac:dyDescent="0.25">
      <c r="Z8363"/>
      <c r="AO8363" s="6"/>
    </row>
    <row r="8364" spans="26:41" x14ac:dyDescent="0.25">
      <c r="Z8364"/>
      <c r="AO8364" s="6"/>
    </row>
    <row r="8365" spans="26:41" x14ac:dyDescent="0.25">
      <c r="Z8365"/>
      <c r="AO8365" s="6"/>
    </row>
    <row r="8366" spans="26:41" x14ac:dyDescent="0.25">
      <c r="Z8366"/>
      <c r="AO8366" s="6"/>
    </row>
    <row r="8367" spans="26:41" x14ac:dyDescent="0.25">
      <c r="Z8367"/>
      <c r="AO8367" s="6"/>
    </row>
    <row r="8368" spans="26:41" x14ac:dyDescent="0.25">
      <c r="Z8368"/>
      <c r="AO8368" s="6"/>
    </row>
    <row r="8369" spans="26:41" x14ac:dyDescent="0.25">
      <c r="Z8369"/>
      <c r="AO8369" s="6"/>
    </row>
    <row r="8370" spans="26:41" x14ac:dyDescent="0.25">
      <c r="Z8370"/>
      <c r="AO8370" s="6"/>
    </row>
    <row r="8371" spans="26:41" x14ac:dyDescent="0.25">
      <c r="Z8371"/>
      <c r="AO8371" s="6"/>
    </row>
    <row r="8372" spans="26:41" x14ac:dyDescent="0.25">
      <c r="Z8372"/>
      <c r="AO8372" s="6"/>
    </row>
    <row r="8373" spans="26:41" x14ac:dyDescent="0.25">
      <c r="Z8373"/>
      <c r="AO8373" s="6"/>
    </row>
    <row r="8374" spans="26:41" x14ac:dyDescent="0.25">
      <c r="Z8374"/>
      <c r="AO8374" s="6"/>
    </row>
    <row r="8375" spans="26:41" x14ac:dyDescent="0.25">
      <c r="Z8375"/>
      <c r="AO8375" s="6"/>
    </row>
    <row r="8376" spans="26:41" x14ac:dyDescent="0.25">
      <c r="Z8376"/>
      <c r="AO8376" s="6"/>
    </row>
    <row r="8377" spans="26:41" x14ac:dyDescent="0.25">
      <c r="Z8377"/>
      <c r="AO8377" s="6"/>
    </row>
    <row r="8378" spans="26:41" x14ac:dyDescent="0.25">
      <c r="Z8378"/>
      <c r="AO8378" s="6"/>
    </row>
    <row r="8379" spans="26:41" x14ac:dyDescent="0.25">
      <c r="Z8379"/>
      <c r="AO8379" s="6"/>
    </row>
    <row r="8380" spans="26:41" x14ac:dyDescent="0.25">
      <c r="Z8380"/>
      <c r="AO8380" s="6"/>
    </row>
    <row r="8381" spans="26:41" x14ac:dyDescent="0.25">
      <c r="Z8381"/>
      <c r="AO8381" s="6"/>
    </row>
    <row r="8382" spans="26:41" x14ac:dyDescent="0.25">
      <c r="Z8382"/>
      <c r="AO8382" s="6"/>
    </row>
    <row r="8383" spans="26:41" x14ac:dyDescent="0.25">
      <c r="Z8383"/>
      <c r="AO8383" s="6"/>
    </row>
    <row r="8384" spans="26:41" x14ac:dyDescent="0.25">
      <c r="Z8384"/>
      <c r="AO8384" s="6"/>
    </row>
    <row r="8385" spans="26:41" x14ac:dyDescent="0.25">
      <c r="Z8385"/>
      <c r="AO8385" s="6"/>
    </row>
    <row r="8386" spans="26:41" x14ac:dyDescent="0.25">
      <c r="Z8386"/>
      <c r="AO8386" s="6"/>
    </row>
    <row r="8387" spans="26:41" x14ac:dyDescent="0.25">
      <c r="Z8387"/>
      <c r="AO8387" s="6"/>
    </row>
    <row r="8388" spans="26:41" x14ac:dyDescent="0.25">
      <c r="Z8388"/>
      <c r="AO8388" s="6"/>
    </row>
    <row r="8389" spans="26:41" x14ac:dyDescent="0.25">
      <c r="Z8389"/>
      <c r="AO8389" s="6"/>
    </row>
    <row r="8390" spans="26:41" x14ac:dyDescent="0.25">
      <c r="Z8390"/>
      <c r="AO8390" s="6"/>
    </row>
    <row r="8391" spans="26:41" x14ac:dyDescent="0.25">
      <c r="Z8391"/>
      <c r="AO8391" s="6"/>
    </row>
    <row r="8392" spans="26:41" x14ac:dyDescent="0.25">
      <c r="Z8392"/>
      <c r="AO8392" s="6"/>
    </row>
    <row r="8393" spans="26:41" x14ac:dyDescent="0.25">
      <c r="Z8393"/>
      <c r="AO8393" s="6"/>
    </row>
    <row r="8394" spans="26:41" x14ac:dyDescent="0.25">
      <c r="Z8394"/>
      <c r="AO8394" s="6"/>
    </row>
    <row r="8395" spans="26:41" x14ac:dyDescent="0.25">
      <c r="Z8395"/>
      <c r="AO8395" s="6"/>
    </row>
    <row r="8396" spans="26:41" x14ac:dyDescent="0.25">
      <c r="Z8396"/>
      <c r="AO8396" s="6"/>
    </row>
    <row r="8397" spans="26:41" x14ac:dyDescent="0.25">
      <c r="Z8397"/>
      <c r="AO8397" s="6"/>
    </row>
    <row r="8398" spans="26:41" x14ac:dyDescent="0.25">
      <c r="Z8398"/>
      <c r="AO8398" s="6"/>
    </row>
    <row r="8399" spans="26:41" x14ac:dyDescent="0.25">
      <c r="Z8399"/>
      <c r="AO8399" s="6"/>
    </row>
    <row r="8400" spans="26:41" x14ac:dyDescent="0.25">
      <c r="Z8400"/>
      <c r="AO8400" s="6"/>
    </row>
    <row r="8401" spans="26:41" x14ac:dyDescent="0.25">
      <c r="Z8401"/>
      <c r="AO8401" s="6"/>
    </row>
    <row r="8402" spans="26:41" x14ac:dyDescent="0.25">
      <c r="Z8402"/>
      <c r="AO8402" s="6"/>
    </row>
    <row r="8403" spans="26:41" x14ac:dyDescent="0.25">
      <c r="Z8403"/>
      <c r="AO8403" s="6"/>
    </row>
    <row r="8404" spans="26:41" x14ac:dyDescent="0.25">
      <c r="Z8404"/>
      <c r="AO8404" s="6"/>
    </row>
    <row r="8405" spans="26:41" x14ac:dyDescent="0.25">
      <c r="Z8405"/>
      <c r="AO8405" s="6"/>
    </row>
    <row r="8406" spans="26:41" x14ac:dyDescent="0.25">
      <c r="Z8406"/>
      <c r="AO8406" s="6"/>
    </row>
    <row r="8407" spans="26:41" x14ac:dyDescent="0.25">
      <c r="Z8407"/>
      <c r="AO8407" s="6"/>
    </row>
    <row r="8408" spans="26:41" x14ac:dyDescent="0.25">
      <c r="Z8408"/>
      <c r="AO8408" s="6"/>
    </row>
    <row r="8409" spans="26:41" x14ac:dyDescent="0.25">
      <c r="Z8409"/>
      <c r="AO8409" s="6"/>
    </row>
    <row r="8410" spans="26:41" x14ac:dyDescent="0.25">
      <c r="Z8410"/>
      <c r="AO8410" s="6"/>
    </row>
    <row r="8411" spans="26:41" x14ac:dyDescent="0.25">
      <c r="Z8411"/>
      <c r="AO8411" s="6"/>
    </row>
    <row r="8412" spans="26:41" x14ac:dyDescent="0.25">
      <c r="Z8412"/>
      <c r="AO8412" s="6"/>
    </row>
    <row r="8413" spans="26:41" x14ac:dyDescent="0.25">
      <c r="Z8413"/>
      <c r="AO8413" s="6"/>
    </row>
    <row r="8414" spans="26:41" x14ac:dyDescent="0.25">
      <c r="Z8414"/>
      <c r="AO8414" s="6"/>
    </row>
    <row r="8415" spans="26:41" x14ac:dyDescent="0.25">
      <c r="Z8415"/>
      <c r="AO8415" s="6"/>
    </row>
    <row r="8416" spans="26:41" x14ac:dyDescent="0.25">
      <c r="Z8416"/>
      <c r="AO8416" s="6"/>
    </row>
    <row r="8417" spans="26:41" x14ac:dyDescent="0.25">
      <c r="Z8417"/>
      <c r="AO8417" s="6"/>
    </row>
    <row r="8418" spans="26:41" x14ac:dyDescent="0.25">
      <c r="Z8418"/>
      <c r="AO8418" s="6"/>
    </row>
    <row r="8419" spans="26:41" x14ac:dyDescent="0.25">
      <c r="Z8419"/>
      <c r="AO8419" s="6"/>
    </row>
    <row r="8420" spans="26:41" x14ac:dyDescent="0.25">
      <c r="Z8420"/>
      <c r="AO8420" s="6"/>
    </row>
    <row r="8421" spans="26:41" x14ac:dyDescent="0.25">
      <c r="Z8421"/>
      <c r="AO8421" s="6"/>
    </row>
    <row r="8422" spans="26:41" x14ac:dyDescent="0.25">
      <c r="Z8422"/>
      <c r="AO8422" s="6"/>
    </row>
    <row r="8423" spans="26:41" x14ac:dyDescent="0.25">
      <c r="Z8423"/>
      <c r="AO8423" s="6"/>
    </row>
    <row r="8424" spans="26:41" x14ac:dyDescent="0.25">
      <c r="Z8424"/>
      <c r="AO8424" s="6"/>
    </row>
    <row r="8425" spans="26:41" x14ac:dyDescent="0.25">
      <c r="Z8425"/>
      <c r="AO8425" s="6"/>
    </row>
    <row r="8426" spans="26:41" x14ac:dyDescent="0.25">
      <c r="Z8426"/>
      <c r="AO8426" s="6"/>
    </row>
    <row r="8427" spans="26:41" x14ac:dyDescent="0.25">
      <c r="Z8427"/>
      <c r="AO8427" s="6"/>
    </row>
    <row r="8428" spans="26:41" x14ac:dyDescent="0.25">
      <c r="Z8428"/>
      <c r="AO8428" s="6"/>
    </row>
    <row r="8429" spans="26:41" x14ac:dyDescent="0.25">
      <c r="Z8429"/>
      <c r="AO8429" s="6"/>
    </row>
    <row r="8430" spans="26:41" x14ac:dyDescent="0.25">
      <c r="Z8430"/>
      <c r="AO8430" s="6"/>
    </row>
    <row r="8431" spans="26:41" x14ac:dyDescent="0.25">
      <c r="Z8431"/>
      <c r="AO8431" s="6"/>
    </row>
    <row r="8432" spans="26:41" x14ac:dyDescent="0.25">
      <c r="Z8432"/>
      <c r="AO8432" s="6"/>
    </row>
    <row r="8433" spans="26:41" x14ac:dyDescent="0.25">
      <c r="Z8433"/>
      <c r="AO8433" s="6"/>
    </row>
    <row r="8434" spans="26:41" x14ac:dyDescent="0.25">
      <c r="Z8434"/>
      <c r="AO8434" s="6"/>
    </row>
    <row r="8435" spans="26:41" x14ac:dyDescent="0.25">
      <c r="Z8435"/>
      <c r="AO8435" s="6"/>
    </row>
    <row r="8436" spans="26:41" x14ac:dyDescent="0.25">
      <c r="Z8436"/>
      <c r="AO8436" s="6"/>
    </row>
    <row r="8437" spans="26:41" x14ac:dyDescent="0.25">
      <c r="Z8437"/>
      <c r="AO8437" s="6"/>
    </row>
    <row r="8438" spans="26:41" x14ac:dyDescent="0.25">
      <c r="Z8438"/>
      <c r="AO8438" s="6"/>
    </row>
    <row r="8439" spans="26:41" x14ac:dyDescent="0.25">
      <c r="Z8439"/>
      <c r="AO8439" s="6"/>
    </row>
    <row r="8440" spans="26:41" x14ac:dyDescent="0.25">
      <c r="Z8440"/>
      <c r="AO8440" s="6"/>
    </row>
    <row r="8441" spans="26:41" x14ac:dyDescent="0.25">
      <c r="Z8441"/>
      <c r="AO8441" s="6"/>
    </row>
    <row r="8442" spans="26:41" x14ac:dyDescent="0.25">
      <c r="Z8442"/>
      <c r="AO8442" s="6"/>
    </row>
    <row r="8443" spans="26:41" x14ac:dyDescent="0.25">
      <c r="Z8443"/>
      <c r="AO8443" s="6"/>
    </row>
    <row r="8444" spans="26:41" x14ac:dyDescent="0.25">
      <c r="Z8444"/>
      <c r="AO8444" s="6"/>
    </row>
    <row r="8445" spans="26:41" x14ac:dyDescent="0.25">
      <c r="Z8445"/>
      <c r="AO8445" s="6"/>
    </row>
    <row r="8446" spans="26:41" x14ac:dyDescent="0.25">
      <c r="Z8446"/>
      <c r="AO8446" s="6"/>
    </row>
    <row r="8447" spans="26:41" x14ac:dyDescent="0.25">
      <c r="Z8447"/>
      <c r="AO8447" s="6"/>
    </row>
    <row r="8448" spans="26:41" x14ac:dyDescent="0.25">
      <c r="Z8448"/>
      <c r="AO8448" s="6"/>
    </row>
    <row r="8449" spans="26:41" x14ac:dyDescent="0.25">
      <c r="Z8449"/>
      <c r="AO8449" s="6"/>
    </row>
    <row r="8450" spans="26:41" x14ac:dyDescent="0.25">
      <c r="Z8450"/>
      <c r="AO8450" s="6"/>
    </row>
    <row r="8451" spans="26:41" x14ac:dyDescent="0.25">
      <c r="Z8451"/>
      <c r="AO8451" s="6"/>
    </row>
    <row r="8452" spans="26:41" x14ac:dyDescent="0.25">
      <c r="Z8452"/>
      <c r="AO8452" s="6"/>
    </row>
    <row r="8453" spans="26:41" x14ac:dyDescent="0.25">
      <c r="Z8453"/>
      <c r="AO8453" s="6"/>
    </row>
    <row r="8454" spans="26:41" x14ac:dyDescent="0.25">
      <c r="Z8454"/>
      <c r="AO8454" s="6"/>
    </row>
    <row r="8455" spans="26:41" x14ac:dyDescent="0.25">
      <c r="Z8455"/>
      <c r="AO8455" s="6"/>
    </row>
    <row r="8456" spans="26:41" x14ac:dyDescent="0.25">
      <c r="Z8456"/>
      <c r="AO8456" s="6"/>
    </row>
    <row r="8457" spans="26:41" x14ac:dyDescent="0.25">
      <c r="Z8457"/>
      <c r="AO8457" s="6"/>
    </row>
    <row r="8458" spans="26:41" x14ac:dyDescent="0.25">
      <c r="Z8458"/>
      <c r="AO8458" s="6"/>
    </row>
    <row r="8459" spans="26:41" x14ac:dyDescent="0.25">
      <c r="Z8459"/>
      <c r="AO8459" s="6"/>
    </row>
    <row r="8460" spans="26:41" x14ac:dyDescent="0.25">
      <c r="Z8460"/>
      <c r="AO8460" s="6"/>
    </row>
    <row r="8461" spans="26:41" x14ac:dyDescent="0.25">
      <c r="Z8461"/>
      <c r="AO8461" s="6"/>
    </row>
    <row r="8462" spans="26:41" x14ac:dyDescent="0.25">
      <c r="Z8462"/>
      <c r="AO8462" s="6"/>
    </row>
    <row r="8463" spans="26:41" x14ac:dyDescent="0.25">
      <c r="Z8463"/>
      <c r="AO8463" s="6"/>
    </row>
    <row r="8464" spans="26:41" x14ac:dyDescent="0.25">
      <c r="Z8464"/>
      <c r="AO8464" s="6"/>
    </row>
    <row r="8465" spans="26:41" x14ac:dyDescent="0.25">
      <c r="Z8465"/>
      <c r="AO8465" s="6"/>
    </row>
    <row r="8466" spans="26:41" x14ac:dyDescent="0.25">
      <c r="Z8466"/>
      <c r="AO8466" s="6"/>
    </row>
    <row r="8467" spans="26:41" x14ac:dyDescent="0.25">
      <c r="Z8467"/>
      <c r="AO8467" s="6"/>
    </row>
    <row r="8468" spans="26:41" x14ac:dyDescent="0.25">
      <c r="Z8468"/>
      <c r="AO8468" s="6"/>
    </row>
    <row r="8469" spans="26:41" x14ac:dyDescent="0.25">
      <c r="Z8469"/>
      <c r="AO8469" s="6"/>
    </row>
    <row r="8470" spans="26:41" x14ac:dyDescent="0.25">
      <c r="Z8470"/>
      <c r="AO8470" s="6"/>
    </row>
    <row r="8471" spans="26:41" x14ac:dyDescent="0.25">
      <c r="Z8471"/>
      <c r="AO8471" s="6"/>
    </row>
    <row r="8472" spans="26:41" x14ac:dyDescent="0.25">
      <c r="Z8472"/>
      <c r="AO8472" s="6"/>
    </row>
    <row r="8473" spans="26:41" x14ac:dyDescent="0.25">
      <c r="Z8473"/>
      <c r="AO8473" s="6"/>
    </row>
    <row r="8474" spans="26:41" x14ac:dyDescent="0.25">
      <c r="Z8474"/>
      <c r="AO8474" s="6"/>
    </row>
    <row r="8475" spans="26:41" x14ac:dyDescent="0.25">
      <c r="Z8475"/>
      <c r="AO8475" s="6"/>
    </row>
    <row r="8476" spans="26:41" x14ac:dyDescent="0.25">
      <c r="Z8476"/>
      <c r="AO8476" s="6"/>
    </row>
    <row r="8477" spans="26:41" x14ac:dyDescent="0.25">
      <c r="Z8477"/>
      <c r="AO8477" s="6"/>
    </row>
    <row r="8478" spans="26:41" x14ac:dyDescent="0.25">
      <c r="Z8478"/>
      <c r="AO8478" s="6"/>
    </row>
    <row r="8479" spans="26:41" x14ac:dyDescent="0.25">
      <c r="Z8479"/>
      <c r="AO8479" s="6"/>
    </row>
    <row r="8480" spans="26:41" x14ac:dyDescent="0.25">
      <c r="Z8480"/>
      <c r="AO8480" s="6"/>
    </row>
    <row r="8481" spans="26:41" x14ac:dyDescent="0.25">
      <c r="Z8481"/>
      <c r="AO8481" s="6"/>
    </row>
    <row r="8482" spans="26:41" x14ac:dyDescent="0.25">
      <c r="Z8482"/>
      <c r="AO8482" s="6"/>
    </row>
    <row r="8483" spans="26:41" x14ac:dyDescent="0.25">
      <c r="Z8483"/>
      <c r="AO8483" s="6"/>
    </row>
    <row r="8484" spans="26:41" x14ac:dyDescent="0.25">
      <c r="Z8484"/>
      <c r="AO8484" s="6"/>
    </row>
    <row r="8485" spans="26:41" x14ac:dyDescent="0.25">
      <c r="Z8485"/>
      <c r="AO8485" s="6"/>
    </row>
    <row r="8486" spans="26:41" x14ac:dyDescent="0.25">
      <c r="Z8486"/>
      <c r="AO8486" s="6"/>
    </row>
    <row r="8487" spans="26:41" x14ac:dyDescent="0.25">
      <c r="Z8487"/>
      <c r="AO8487" s="6"/>
    </row>
    <row r="8488" spans="26:41" x14ac:dyDescent="0.25">
      <c r="Z8488"/>
      <c r="AO8488" s="6"/>
    </row>
    <row r="8489" spans="26:41" x14ac:dyDescent="0.25">
      <c r="Z8489"/>
      <c r="AO8489" s="6"/>
    </row>
    <row r="8490" spans="26:41" x14ac:dyDescent="0.25">
      <c r="Z8490"/>
      <c r="AO8490" s="6"/>
    </row>
    <row r="8491" spans="26:41" x14ac:dyDescent="0.25">
      <c r="Z8491"/>
      <c r="AO8491" s="6"/>
    </row>
    <row r="8492" spans="26:41" x14ac:dyDescent="0.25">
      <c r="Z8492"/>
      <c r="AO8492" s="6"/>
    </row>
    <row r="8493" spans="26:41" x14ac:dyDescent="0.25">
      <c r="Z8493"/>
      <c r="AO8493" s="6"/>
    </row>
    <row r="8494" spans="26:41" x14ac:dyDescent="0.25">
      <c r="Z8494"/>
      <c r="AO8494" s="6"/>
    </row>
    <row r="8495" spans="26:41" x14ac:dyDescent="0.25">
      <c r="Z8495"/>
      <c r="AO8495" s="6"/>
    </row>
    <row r="8496" spans="26:41" x14ac:dyDescent="0.25">
      <c r="Z8496"/>
      <c r="AO8496" s="6"/>
    </row>
    <row r="8497" spans="26:41" x14ac:dyDescent="0.25">
      <c r="Z8497"/>
      <c r="AO8497" s="6"/>
    </row>
    <row r="8498" spans="26:41" x14ac:dyDescent="0.25">
      <c r="Z8498"/>
      <c r="AO8498" s="6"/>
    </row>
    <row r="8499" spans="26:41" x14ac:dyDescent="0.25">
      <c r="Z8499"/>
      <c r="AO8499" s="6"/>
    </row>
    <row r="8500" spans="26:41" x14ac:dyDescent="0.25">
      <c r="Z8500"/>
      <c r="AO8500" s="6"/>
    </row>
    <row r="8501" spans="26:41" x14ac:dyDescent="0.25">
      <c r="Z8501"/>
      <c r="AO8501" s="6"/>
    </row>
    <row r="8502" spans="26:41" x14ac:dyDescent="0.25">
      <c r="Z8502"/>
      <c r="AO8502" s="6"/>
    </row>
    <row r="8503" spans="26:41" x14ac:dyDescent="0.25">
      <c r="Z8503"/>
      <c r="AO8503" s="6"/>
    </row>
    <row r="8504" spans="26:41" x14ac:dyDescent="0.25">
      <c r="Z8504"/>
      <c r="AO8504" s="6"/>
    </row>
    <row r="8505" spans="26:41" x14ac:dyDescent="0.25">
      <c r="Z8505"/>
      <c r="AO8505" s="6"/>
    </row>
    <row r="8506" spans="26:41" x14ac:dyDescent="0.25">
      <c r="Z8506"/>
      <c r="AO8506" s="6"/>
    </row>
    <row r="8507" spans="26:41" x14ac:dyDescent="0.25">
      <c r="Z8507"/>
      <c r="AO8507" s="6"/>
    </row>
    <row r="8508" spans="26:41" x14ac:dyDescent="0.25">
      <c r="Z8508"/>
      <c r="AO8508" s="6"/>
    </row>
    <row r="8509" spans="26:41" x14ac:dyDescent="0.25">
      <c r="Z8509"/>
      <c r="AO8509" s="6"/>
    </row>
    <row r="8510" spans="26:41" x14ac:dyDescent="0.25">
      <c r="Z8510"/>
      <c r="AO8510" s="6"/>
    </row>
    <row r="8511" spans="26:41" x14ac:dyDescent="0.25">
      <c r="Z8511"/>
      <c r="AO8511" s="6"/>
    </row>
    <row r="8512" spans="26:41" x14ac:dyDescent="0.25">
      <c r="Z8512"/>
      <c r="AO8512" s="6"/>
    </row>
    <row r="8513" spans="26:41" x14ac:dyDescent="0.25">
      <c r="Z8513"/>
      <c r="AO8513" s="6"/>
    </row>
    <row r="8514" spans="26:41" x14ac:dyDescent="0.25">
      <c r="Z8514"/>
      <c r="AO8514" s="6"/>
    </row>
    <row r="8515" spans="26:41" x14ac:dyDescent="0.25">
      <c r="Z8515"/>
      <c r="AO8515" s="6"/>
    </row>
    <row r="8516" spans="26:41" x14ac:dyDescent="0.25">
      <c r="Z8516"/>
      <c r="AO8516" s="6"/>
    </row>
    <row r="8517" spans="26:41" x14ac:dyDescent="0.25">
      <c r="Z8517"/>
      <c r="AO8517" s="6"/>
    </row>
    <row r="8518" spans="26:41" x14ac:dyDescent="0.25">
      <c r="Z8518"/>
      <c r="AO8518" s="6"/>
    </row>
    <row r="8519" spans="26:41" x14ac:dyDescent="0.25">
      <c r="Z8519"/>
      <c r="AO8519" s="6"/>
    </row>
    <row r="8520" spans="26:41" x14ac:dyDescent="0.25">
      <c r="Z8520"/>
      <c r="AO8520" s="6"/>
    </row>
    <row r="8521" spans="26:41" x14ac:dyDescent="0.25">
      <c r="Z8521"/>
      <c r="AO8521" s="6"/>
    </row>
    <row r="8522" spans="26:41" x14ac:dyDescent="0.25">
      <c r="Z8522"/>
      <c r="AO8522" s="6"/>
    </row>
    <row r="8523" spans="26:41" x14ac:dyDescent="0.25">
      <c r="Z8523"/>
      <c r="AO8523" s="6"/>
    </row>
    <row r="8524" spans="26:41" x14ac:dyDescent="0.25">
      <c r="Z8524"/>
      <c r="AO8524" s="6"/>
    </row>
    <row r="8525" spans="26:41" x14ac:dyDescent="0.25">
      <c r="Z8525"/>
      <c r="AO8525" s="6"/>
    </row>
    <row r="8526" spans="26:41" x14ac:dyDescent="0.25">
      <c r="Z8526"/>
      <c r="AO8526" s="6"/>
    </row>
    <row r="8527" spans="26:41" x14ac:dyDescent="0.25">
      <c r="Z8527"/>
      <c r="AO8527" s="6"/>
    </row>
    <row r="8528" spans="26:41" x14ac:dyDescent="0.25">
      <c r="Z8528"/>
      <c r="AO8528" s="6"/>
    </row>
    <row r="8529" spans="26:41" x14ac:dyDescent="0.25">
      <c r="Z8529"/>
      <c r="AO8529" s="6"/>
    </row>
    <row r="8530" spans="26:41" x14ac:dyDescent="0.25">
      <c r="Z8530"/>
      <c r="AO8530" s="6"/>
    </row>
    <row r="8531" spans="26:41" x14ac:dyDescent="0.25">
      <c r="Z8531"/>
      <c r="AO8531" s="6"/>
    </row>
    <row r="8532" spans="26:41" x14ac:dyDescent="0.25">
      <c r="Z8532"/>
      <c r="AO8532" s="6"/>
    </row>
    <row r="8533" spans="26:41" x14ac:dyDescent="0.25">
      <c r="Z8533"/>
      <c r="AO8533" s="6"/>
    </row>
    <row r="8534" spans="26:41" x14ac:dyDescent="0.25">
      <c r="Z8534"/>
      <c r="AO8534" s="6"/>
    </row>
    <row r="8535" spans="26:41" x14ac:dyDescent="0.25">
      <c r="Z8535"/>
      <c r="AO8535" s="6"/>
    </row>
    <row r="8536" spans="26:41" x14ac:dyDescent="0.25">
      <c r="Z8536"/>
      <c r="AO8536" s="6"/>
    </row>
    <row r="8537" spans="26:41" x14ac:dyDescent="0.25">
      <c r="Z8537"/>
      <c r="AO8537" s="6"/>
    </row>
    <row r="8538" spans="26:41" x14ac:dyDescent="0.25">
      <c r="Z8538"/>
      <c r="AO8538" s="6"/>
    </row>
    <row r="8539" spans="26:41" x14ac:dyDescent="0.25">
      <c r="Z8539"/>
      <c r="AO8539" s="6"/>
    </row>
    <row r="8540" spans="26:41" x14ac:dyDescent="0.25">
      <c r="Z8540"/>
      <c r="AO8540" s="6"/>
    </row>
    <row r="8541" spans="26:41" x14ac:dyDescent="0.25">
      <c r="Z8541"/>
      <c r="AO8541" s="6"/>
    </row>
    <row r="8542" spans="26:41" x14ac:dyDescent="0.25">
      <c r="Z8542"/>
      <c r="AO8542" s="6"/>
    </row>
    <row r="8543" spans="26:41" x14ac:dyDescent="0.25">
      <c r="Z8543"/>
      <c r="AO8543" s="6"/>
    </row>
    <row r="8544" spans="26:41" x14ac:dyDescent="0.25">
      <c r="Z8544"/>
      <c r="AO8544" s="6"/>
    </row>
    <row r="8545" spans="26:41" x14ac:dyDescent="0.25">
      <c r="Z8545"/>
      <c r="AO8545" s="6"/>
    </row>
    <row r="8546" spans="26:41" x14ac:dyDescent="0.25">
      <c r="Z8546"/>
      <c r="AO8546" s="6"/>
    </row>
    <row r="8547" spans="26:41" x14ac:dyDescent="0.25">
      <c r="Z8547"/>
      <c r="AO8547" s="6"/>
    </row>
    <row r="8548" spans="26:41" x14ac:dyDescent="0.25">
      <c r="Z8548"/>
      <c r="AO8548" s="6"/>
    </row>
    <row r="8549" spans="26:41" x14ac:dyDescent="0.25">
      <c r="Z8549"/>
      <c r="AO8549" s="6"/>
    </row>
    <row r="8550" spans="26:41" x14ac:dyDescent="0.25">
      <c r="Z8550"/>
      <c r="AO8550" s="6"/>
    </row>
    <row r="8551" spans="26:41" x14ac:dyDescent="0.25">
      <c r="Z8551"/>
      <c r="AO8551" s="6"/>
    </row>
    <row r="8552" spans="26:41" x14ac:dyDescent="0.25">
      <c r="Z8552"/>
      <c r="AO8552" s="6"/>
    </row>
    <row r="8553" spans="26:41" x14ac:dyDescent="0.25">
      <c r="Z8553"/>
      <c r="AO8553" s="6"/>
    </row>
    <row r="8554" spans="26:41" x14ac:dyDescent="0.25">
      <c r="Z8554"/>
      <c r="AO8554" s="6"/>
    </row>
    <row r="8555" spans="26:41" x14ac:dyDescent="0.25">
      <c r="Z8555"/>
      <c r="AO8555" s="6"/>
    </row>
    <row r="8556" spans="26:41" x14ac:dyDescent="0.25">
      <c r="Z8556"/>
      <c r="AO8556" s="6"/>
    </row>
    <row r="8557" spans="26:41" x14ac:dyDescent="0.25">
      <c r="Z8557"/>
      <c r="AO8557" s="6"/>
    </row>
    <row r="8558" spans="26:41" x14ac:dyDescent="0.25">
      <c r="Z8558"/>
      <c r="AO8558" s="6"/>
    </row>
    <row r="8559" spans="26:41" x14ac:dyDescent="0.25">
      <c r="Z8559"/>
      <c r="AO8559" s="6"/>
    </row>
    <row r="8560" spans="26:41" x14ac:dyDescent="0.25">
      <c r="Z8560"/>
      <c r="AO8560" s="6"/>
    </row>
    <row r="8561" spans="26:41" x14ac:dyDescent="0.25">
      <c r="Z8561"/>
      <c r="AO8561" s="6"/>
    </row>
    <row r="8562" spans="26:41" x14ac:dyDescent="0.25">
      <c r="Z8562"/>
      <c r="AO8562" s="6"/>
    </row>
    <row r="8563" spans="26:41" x14ac:dyDescent="0.25">
      <c r="Z8563"/>
      <c r="AO8563" s="6"/>
    </row>
    <row r="8564" spans="26:41" x14ac:dyDescent="0.25">
      <c r="Z8564"/>
      <c r="AO8564" s="6"/>
    </row>
    <row r="8565" spans="26:41" x14ac:dyDescent="0.25">
      <c r="Z8565"/>
      <c r="AO8565" s="6"/>
    </row>
    <row r="8566" spans="26:41" x14ac:dyDescent="0.25">
      <c r="Z8566"/>
      <c r="AO8566" s="6"/>
    </row>
    <row r="8567" spans="26:41" x14ac:dyDescent="0.25">
      <c r="Z8567"/>
      <c r="AO8567" s="6"/>
    </row>
    <row r="8568" spans="26:41" x14ac:dyDescent="0.25">
      <c r="Z8568"/>
      <c r="AO8568" s="6"/>
    </row>
    <row r="8569" spans="26:41" x14ac:dyDescent="0.25">
      <c r="Z8569"/>
      <c r="AO8569" s="6"/>
    </row>
    <row r="8570" spans="26:41" x14ac:dyDescent="0.25">
      <c r="Z8570"/>
      <c r="AO8570" s="6"/>
    </row>
    <row r="8571" spans="26:41" x14ac:dyDescent="0.25">
      <c r="Z8571"/>
      <c r="AO8571" s="6"/>
    </row>
    <row r="8572" spans="26:41" x14ac:dyDescent="0.25">
      <c r="Z8572"/>
      <c r="AO8572" s="6"/>
    </row>
    <row r="8573" spans="26:41" x14ac:dyDescent="0.25">
      <c r="Z8573"/>
      <c r="AO8573" s="6"/>
    </row>
    <row r="8574" spans="26:41" x14ac:dyDescent="0.25">
      <c r="Z8574"/>
      <c r="AO8574" s="6"/>
    </row>
    <row r="8575" spans="26:41" x14ac:dyDescent="0.25">
      <c r="Z8575"/>
      <c r="AO8575" s="6"/>
    </row>
    <row r="8576" spans="26:41" x14ac:dyDescent="0.25">
      <c r="Z8576"/>
      <c r="AO8576" s="6"/>
    </row>
    <row r="8577" spans="26:41" x14ac:dyDescent="0.25">
      <c r="Z8577"/>
      <c r="AO8577" s="6"/>
    </row>
    <row r="8578" spans="26:41" x14ac:dyDescent="0.25">
      <c r="Z8578"/>
      <c r="AO8578" s="6"/>
    </row>
    <row r="8579" spans="26:41" x14ac:dyDescent="0.25">
      <c r="Z8579"/>
      <c r="AO8579" s="6"/>
    </row>
    <row r="8580" spans="26:41" x14ac:dyDescent="0.25">
      <c r="Z8580"/>
      <c r="AO8580" s="6"/>
    </row>
    <row r="8581" spans="26:41" x14ac:dyDescent="0.25">
      <c r="Z8581"/>
      <c r="AO8581" s="6"/>
    </row>
    <row r="8582" spans="26:41" x14ac:dyDescent="0.25">
      <c r="Z8582"/>
      <c r="AO8582" s="6"/>
    </row>
    <row r="8583" spans="26:41" x14ac:dyDescent="0.25">
      <c r="Z8583"/>
      <c r="AO8583" s="6"/>
    </row>
    <row r="8584" spans="26:41" x14ac:dyDescent="0.25">
      <c r="Z8584"/>
      <c r="AO8584" s="6"/>
    </row>
    <row r="8585" spans="26:41" x14ac:dyDescent="0.25">
      <c r="Z8585"/>
      <c r="AO8585" s="6"/>
    </row>
    <row r="8586" spans="26:41" x14ac:dyDescent="0.25">
      <c r="Z8586"/>
      <c r="AO8586" s="6"/>
    </row>
    <row r="8587" spans="26:41" x14ac:dyDescent="0.25">
      <c r="Z8587"/>
      <c r="AO8587" s="6"/>
    </row>
    <row r="8588" spans="26:41" x14ac:dyDescent="0.25">
      <c r="Z8588"/>
      <c r="AO8588" s="6"/>
    </row>
    <row r="8589" spans="26:41" x14ac:dyDescent="0.25">
      <c r="Z8589"/>
      <c r="AO8589" s="6"/>
    </row>
    <row r="8590" spans="26:41" x14ac:dyDescent="0.25">
      <c r="Z8590"/>
      <c r="AO8590" s="6"/>
    </row>
    <row r="8591" spans="26:41" x14ac:dyDescent="0.25">
      <c r="Z8591"/>
      <c r="AO8591" s="6"/>
    </row>
    <row r="8592" spans="26:41" x14ac:dyDescent="0.25">
      <c r="Z8592"/>
      <c r="AO8592" s="6"/>
    </row>
    <row r="8593" spans="26:41" x14ac:dyDescent="0.25">
      <c r="Z8593"/>
      <c r="AO8593" s="6"/>
    </row>
    <row r="8594" spans="26:41" x14ac:dyDescent="0.25">
      <c r="Z8594"/>
      <c r="AO8594" s="6"/>
    </row>
    <row r="8595" spans="26:41" x14ac:dyDescent="0.25">
      <c r="Z8595"/>
      <c r="AO8595" s="6"/>
    </row>
    <row r="8596" spans="26:41" x14ac:dyDescent="0.25">
      <c r="Z8596"/>
      <c r="AO8596" s="6"/>
    </row>
    <row r="8597" spans="26:41" x14ac:dyDescent="0.25">
      <c r="Z8597"/>
      <c r="AO8597" s="6"/>
    </row>
    <row r="8598" spans="26:41" x14ac:dyDescent="0.25">
      <c r="Z8598"/>
      <c r="AO8598" s="6"/>
    </row>
    <row r="8599" spans="26:41" x14ac:dyDescent="0.25">
      <c r="Z8599"/>
      <c r="AO8599" s="6"/>
    </row>
    <row r="8600" spans="26:41" x14ac:dyDescent="0.25">
      <c r="Z8600"/>
      <c r="AO8600" s="6"/>
    </row>
    <row r="8601" spans="26:41" x14ac:dyDescent="0.25">
      <c r="Z8601"/>
      <c r="AO8601" s="6"/>
    </row>
    <row r="8602" spans="26:41" x14ac:dyDescent="0.25">
      <c r="Z8602"/>
      <c r="AO8602" s="6"/>
    </row>
    <row r="8603" spans="26:41" x14ac:dyDescent="0.25">
      <c r="Z8603"/>
      <c r="AO8603" s="6"/>
    </row>
    <row r="8604" spans="26:41" x14ac:dyDescent="0.25">
      <c r="Z8604"/>
      <c r="AO8604" s="6"/>
    </row>
    <row r="8605" spans="26:41" x14ac:dyDescent="0.25">
      <c r="Z8605"/>
      <c r="AO8605" s="6"/>
    </row>
    <row r="8606" spans="26:41" x14ac:dyDescent="0.25">
      <c r="Z8606"/>
      <c r="AO8606" s="6"/>
    </row>
    <row r="8607" spans="26:41" x14ac:dyDescent="0.25">
      <c r="Z8607"/>
      <c r="AO8607" s="6"/>
    </row>
    <row r="8608" spans="26:41" x14ac:dyDescent="0.25">
      <c r="Z8608"/>
      <c r="AO8608" s="6"/>
    </row>
    <row r="8609" spans="26:41" x14ac:dyDescent="0.25">
      <c r="Z8609"/>
      <c r="AO8609" s="6"/>
    </row>
    <row r="8610" spans="26:41" x14ac:dyDescent="0.25">
      <c r="Z8610"/>
      <c r="AO8610" s="6"/>
    </row>
    <row r="8611" spans="26:41" x14ac:dyDescent="0.25">
      <c r="Z8611"/>
      <c r="AO8611" s="6"/>
    </row>
    <row r="8612" spans="26:41" x14ac:dyDescent="0.25">
      <c r="Z8612"/>
      <c r="AO8612" s="6"/>
    </row>
    <row r="8613" spans="26:41" x14ac:dyDescent="0.25">
      <c r="Z8613"/>
      <c r="AO8613" s="6"/>
    </row>
    <row r="8614" spans="26:41" x14ac:dyDescent="0.25">
      <c r="Z8614"/>
      <c r="AO8614" s="6"/>
    </row>
    <row r="8615" spans="26:41" x14ac:dyDescent="0.25">
      <c r="Z8615"/>
      <c r="AO8615" s="6"/>
    </row>
    <row r="8616" spans="26:41" x14ac:dyDescent="0.25">
      <c r="Z8616"/>
      <c r="AO8616" s="6"/>
    </row>
    <row r="8617" spans="26:41" x14ac:dyDescent="0.25">
      <c r="Z8617"/>
      <c r="AO8617" s="6"/>
    </row>
    <row r="8618" spans="26:41" x14ac:dyDescent="0.25">
      <c r="Z8618"/>
      <c r="AO8618" s="6"/>
    </row>
    <row r="8619" spans="26:41" x14ac:dyDescent="0.25">
      <c r="Z8619"/>
      <c r="AO8619" s="6"/>
    </row>
    <row r="8620" spans="26:41" x14ac:dyDescent="0.25">
      <c r="Z8620"/>
      <c r="AO8620" s="6"/>
    </row>
    <row r="8621" spans="26:41" x14ac:dyDescent="0.25">
      <c r="Z8621"/>
      <c r="AO8621" s="6"/>
    </row>
    <row r="8622" spans="26:41" x14ac:dyDescent="0.25">
      <c r="Z8622"/>
      <c r="AO8622" s="6"/>
    </row>
    <row r="8623" spans="26:41" x14ac:dyDescent="0.25">
      <c r="Z8623"/>
      <c r="AO8623" s="6"/>
    </row>
    <row r="8624" spans="26:41" x14ac:dyDescent="0.25">
      <c r="Z8624"/>
      <c r="AO8624" s="6"/>
    </row>
    <row r="8625" spans="26:41" x14ac:dyDescent="0.25">
      <c r="Z8625"/>
      <c r="AO8625" s="6"/>
    </row>
    <row r="8626" spans="26:41" x14ac:dyDescent="0.25">
      <c r="Z8626"/>
      <c r="AO8626" s="6"/>
    </row>
    <row r="8627" spans="26:41" x14ac:dyDescent="0.25">
      <c r="Z8627"/>
      <c r="AO8627" s="6"/>
    </row>
    <row r="8628" spans="26:41" x14ac:dyDescent="0.25">
      <c r="Z8628"/>
      <c r="AO8628" s="6"/>
    </row>
    <row r="8629" spans="26:41" x14ac:dyDescent="0.25">
      <c r="Z8629"/>
      <c r="AO8629" s="6"/>
    </row>
    <row r="8630" spans="26:41" x14ac:dyDescent="0.25">
      <c r="Z8630"/>
      <c r="AO8630" s="6"/>
    </row>
    <row r="8631" spans="26:41" x14ac:dyDescent="0.25">
      <c r="Z8631"/>
      <c r="AO8631" s="6"/>
    </row>
    <row r="8632" spans="26:41" x14ac:dyDescent="0.25">
      <c r="Z8632"/>
      <c r="AO8632" s="6"/>
    </row>
    <row r="8633" spans="26:41" x14ac:dyDescent="0.25">
      <c r="Z8633"/>
      <c r="AO8633" s="6"/>
    </row>
    <row r="8634" spans="26:41" x14ac:dyDescent="0.25">
      <c r="Z8634"/>
      <c r="AO8634" s="6"/>
    </row>
    <row r="8635" spans="26:41" x14ac:dyDescent="0.25">
      <c r="Z8635"/>
      <c r="AO8635" s="6"/>
    </row>
    <row r="8636" spans="26:41" x14ac:dyDescent="0.25">
      <c r="Z8636"/>
      <c r="AO8636" s="6"/>
    </row>
    <row r="8637" spans="26:41" x14ac:dyDescent="0.25">
      <c r="Z8637"/>
      <c r="AO8637" s="6"/>
    </row>
    <row r="8638" spans="26:41" x14ac:dyDescent="0.25">
      <c r="Z8638"/>
      <c r="AO8638" s="6"/>
    </row>
    <row r="8639" spans="26:41" x14ac:dyDescent="0.25">
      <c r="Z8639"/>
      <c r="AO8639" s="6"/>
    </row>
    <row r="8640" spans="26:41" x14ac:dyDescent="0.25">
      <c r="Z8640"/>
      <c r="AO8640" s="6"/>
    </row>
    <row r="8641" spans="26:41" x14ac:dyDescent="0.25">
      <c r="Z8641"/>
      <c r="AO8641" s="6"/>
    </row>
    <row r="8642" spans="26:41" x14ac:dyDescent="0.25">
      <c r="Z8642"/>
      <c r="AO8642" s="6"/>
    </row>
    <row r="8643" spans="26:41" x14ac:dyDescent="0.25">
      <c r="Z8643"/>
      <c r="AO8643" s="6"/>
    </row>
    <row r="8644" spans="26:41" x14ac:dyDescent="0.25">
      <c r="Z8644"/>
      <c r="AO8644" s="6"/>
    </row>
    <row r="8645" spans="26:41" x14ac:dyDescent="0.25">
      <c r="Z8645"/>
      <c r="AO8645" s="6"/>
    </row>
    <row r="8646" spans="26:41" x14ac:dyDescent="0.25">
      <c r="Z8646"/>
      <c r="AO8646" s="6"/>
    </row>
    <row r="8647" spans="26:41" x14ac:dyDescent="0.25">
      <c r="Z8647"/>
      <c r="AO8647" s="6"/>
    </row>
    <row r="8648" spans="26:41" x14ac:dyDescent="0.25">
      <c r="Z8648"/>
      <c r="AO8648" s="6"/>
    </row>
    <row r="8649" spans="26:41" x14ac:dyDescent="0.25">
      <c r="Z8649"/>
      <c r="AO8649" s="6"/>
    </row>
    <row r="8650" spans="26:41" x14ac:dyDescent="0.25">
      <c r="Z8650"/>
      <c r="AO8650" s="6"/>
    </row>
    <row r="8651" spans="26:41" x14ac:dyDescent="0.25">
      <c r="Z8651"/>
      <c r="AO8651" s="6"/>
    </row>
    <row r="8652" spans="26:41" x14ac:dyDescent="0.25">
      <c r="Z8652"/>
      <c r="AO8652" s="6"/>
    </row>
    <row r="8653" spans="26:41" x14ac:dyDescent="0.25">
      <c r="Z8653"/>
      <c r="AO8653" s="6"/>
    </row>
    <row r="8654" spans="26:41" x14ac:dyDescent="0.25">
      <c r="Z8654"/>
      <c r="AO8654" s="6"/>
    </row>
    <row r="8655" spans="26:41" x14ac:dyDescent="0.25">
      <c r="Z8655"/>
      <c r="AO8655" s="6"/>
    </row>
    <row r="8656" spans="26:41" x14ac:dyDescent="0.25">
      <c r="Z8656"/>
      <c r="AO8656" s="6"/>
    </row>
    <row r="8657" spans="26:41" x14ac:dyDescent="0.25">
      <c r="Z8657"/>
      <c r="AO8657" s="6"/>
    </row>
    <row r="8658" spans="26:41" x14ac:dyDescent="0.25">
      <c r="Z8658"/>
      <c r="AO8658" s="6"/>
    </row>
    <row r="8659" spans="26:41" x14ac:dyDescent="0.25">
      <c r="Z8659"/>
      <c r="AO8659" s="6"/>
    </row>
    <row r="8660" spans="26:41" x14ac:dyDescent="0.25">
      <c r="Z8660"/>
      <c r="AO8660" s="6"/>
    </row>
    <row r="8661" spans="26:41" x14ac:dyDescent="0.25">
      <c r="Z8661"/>
      <c r="AO8661" s="6"/>
    </row>
    <row r="8662" spans="26:41" x14ac:dyDescent="0.25">
      <c r="Z8662"/>
      <c r="AO8662" s="6"/>
    </row>
    <row r="8663" spans="26:41" x14ac:dyDescent="0.25">
      <c r="Z8663"/>
      <c r="AO8663" s="6"/>
    </row>
    <row r="8664" spans="26:41" x14ac:dyDescent="0.25">
      <c r="Z8664"/>
      <c r="AO8664" s="6"/>
    </row>
    <row r="8665" spans="26:41" x14ac:dyDescent="0.25">
      <c r="Z8665"/>
      <c r="AO8665" s="6"/>
    </row>
    <row r="8666" spans="26:41" x14ac:dyDescent="0.25">
      <c r="Z8666"/>
      <c r="AO8666" s="6"/>
    </row>
    <row r="8667" spans="26:41" x14ac:dyDescent="0.25">
      <c r="Z8667"/>
      <c r="AO8667" s="6"/>
    </row>
    <row r="8668" spans="26:41" x14ac:dyDescent="0.25">
      <c r="Z8668"/>
      <c r="AO8668" s="6"/>
    </row>
    <row r="8669" spans="26:41" x14ac:dyDescent="0.25">
      <c r="Z8669"/>
      <c r="AO8669" s="6"/>
    </row>
    <row r="8670" spans="26:41" x14ac:dyDescent="0.25">
      <c r="Z8670"/>
      <c r="AO8670" s="6"/>
    </row>
    <row r="8671" spans="26:41" x14ac:dyDescent="0.25">
      <c r="Z8671"/>
      <c r="AO8671" s="6"/>
    </row>
    <row r="8672" spans="26:41" x14ac:dyDescent="0.25">
      <c r="Z8672"/>
      <c r="AO8672" s="6"/>
    </row>
    <row r="8673" spans="26:41" x14ac:dyDescent="0.25">
      <c r="Z8673"/>
      <c r="AO8673" s="6"/>
    </row>
    <row r="8674" spans="26:41" x14ac:dyDescent="0.25">
      <c r="Z8674"/>
      <c r="AO8674" s="6"/>
    </row>
    <row r="8675" spans="26:41" x14ac:dyDescent="0.25">
      <c r="Z8675"/>
      <c r="AO8675" s="6"/>
    </row>
    <row r="8676" spans="26:41" x14ac:dyDescent="0.25">
      <c r="Z8676"/>
      <c r="AO8676" s="6"/>
    </row>
    <row r="8677" spans="26:41" x14ac:dyDescent="0.25">
      <c r="Z8677"/>
      <c r="AO8677" s="6"/>
    </row>
    <row r="8678" spans="26:41" x14ac:dyDescent="0.25">
      <c r="Z8678"/>
      <c r="AO8678" s="6"/>
    </row>
    <row r="8679" spans="26:41" x14ac:dyDescent="0.25">
      <c r="Z8679"/>
      <c r="AO8679" s="6"/>
    </row>
    <row r="8680" spans="26:41" x14ac:dyDescent="0.25">
      <c r="Z8680"/>
      <c r="AO8680" s="6"/>
    </row>
    <row r="8681" spans="26:41" x14ac:dyDescent="0.25">
      <c r="Z8681"/>
      <c r="AO8681" s="6"/>
    </row>
    <row r="8682" spans="26:41" x14ac:dyDescent="0.25">
      <c r="Z8682"/>
      <c r="AO8682" s="6"/>
    </row>
    <row r="8683" spans="26:41" x14ac:dyDescent="0.25">
      <c r="Z8683"/>
      <c r="AO8683" s="6"/>
    </row>
    <row r="8684" spans="26:41" x14ac:dyDescent="0.25">
      <c r="Z8684"/>
      <c r="AO8684" s="6"/>
    </row>
    <row r="8685" spans="26:41" x14ac:dyDescent="0.25">
      <c r="Z8685"/>
      <c r="AO8685" s="6"/>
    </row>
    <row r="8686" spans="26:41" x14ac:dyDescent="0.25">
      <c r="Z8686"/>
      <c r="AO8686" s="6"/>
    </row>
    <row r="8687" spans="26:41" x14ac:dyDescent="0.25">
      <c r="Z8687"/>
      <c r="AO8687" s="6"/>
    </row>
    <row r="8688" spans="26:41" x14ac:dyDescent="0.25">
      <c r="Z8688"/>
      <c r="AO8688" s="6"/>
    </row>
    <row r="8689" spans="26:41" x14ac:dyDescent="0.25">
      <c r="Z8689"/>
      <c r="AO8689" s="6"/>
    </row>
    <row r="8690" spans="26:41" x14ac:dyDescent="0.25">
      <c r="Z8690"/>
      <c r="AO8690" s="6"/>
    </row>
    <row r="8691" spans="26:41" x14ac:dyDescent="0.25">
      <c r="Z8691"/>
      <c r="AO8691" s="6"/>
    </row>
    <row r="8692" spans="26:41" x14ac:dyDescent="0.25">
      <c r="Z8692"/>
      <c r="AO8692" s="6"/>
    </row>
    <row r="8693" spans="26:41" x14ac:dyDescent="0.25">
      <c r="Z8693"/>
      <c r="AO8693" s="6"/>
    </row>
    <row r="8694" spans="26:41" x14ac:dyDescent="0.25">
      <c r="Z8694"/>
      <c r="AO8694" s="6"/>
    </row>
    <row r="8695" spans="26:41" x14ac:dyDescent="0.25">
      <c r="Z8695"/>
      <c r="AO8695" s="6"/>
    </row>
    <row r="8696" spans="26:41" x14ac:dyDescent="0.25">
      <c r="Z8696"/>
      <c r="AO8696" s="6"/>
    </row>
    <row r="8697" spans="26:41" x14ac:dyDescent="0.25">
      <c r="Z8697"/>
      <c r="AO8697" s="6"/>
    </row>
    <row r="8698" spans="26:41" x14ac:dyDescent="0.25">
      <c r="Z8698"/>
      <c r="AO8698" s="6"/>
    </row>
    <row r="8699" spans="26:41" x14ac:dyDescent="0.25">
      <c r="Z8699"/>
      <c r="AO8699" s="6"/>
    </row>
    <row r="8700" spans="26:41" x14ac:dyDescent="0.25">
      <c r="Z8700"/>
      <c r="AO8700" s="6"/>
    </row>
    <row r="8701" spans="26:41" x14ac:dyDescent="0.25">
      <c r="Z8701"/>
      <c r="AO8701" s="6"/>
    </row>
    <row r="8702" spans="26:41" x14ac:dyDescent="0.25">
      <c r="Z8702"/>
      <c r="AO8702" s="6"/>
    </row>
    <row r="8703" spans="26:41" x14ac:dyDescent="0.25">
      <c r="Z8703"/>
      <c r="AO8703" s="6"/>
    </row>
    <row r="8704" spans="26:41" x14ac:dyDescent="0.25">
      <c r="Z8704"/>
      <c r="AO8704" s="6"/>
    </row>
    <row r="8705" spans="26:41" x14ac:dyDescent="0.25">
      <c r="Z8705"/>
      <c r="AO8705" s="6"/>
    </row>
    <row r="8706" spans="26:41" x14ac:dyDescent="0.25">
      <c r="Z8706"/>
      <c r="AO8706" s="6"/>
    </row>
    <row r="8707" spans="26:41" x14ac:dyDescent="0.25">
      <c r="Z8707"/>
      <c r="AO8707" s="6"/>
    </row>
    <row r="8708" spans="26:41" x14ac:dyDescent="0.25">
      <c r="Z8708"/>
      <c r="AO8708" s="6"/>
    </row>
    <row r="8709" spans="26:41" x14ac:dyDescent="0.25">
      <c r="Z8709"/>
      <c r="AO8709" s="6"/>
    </row>
    <row r="8710" spans="26:41" x14ac:dyDescent="0.25">
      <c r="Z8710"/>
      <c r="AO8710" s="6"/>
    </row>
    <row r="8711" spans="26:41" x14ac:dyDescent="0.25">
      <c r="Z8711"/>
      <c r="AO8711" s="6"/>
    </row>
    <row r="8712" spans="26:41" x14ac:dyDescent="0.25">
      <c r="Z8712"/>
      <c r="AO8712" s="6"/>
    </row>
    <row r="8713" spans="26:41" x14ac:dyDescent="0.25">
      <c r="Z8713"/>
      <c r="AO8713" s="6"/>
    </row>
    <row r="8714" spans="26:41" x14ac:dyDescent="0.25">
      <c r="Z8714"/>
      <c r="AO8714" s="6"/>
    </row>
    <row r="8715" spans="26:41" x14ac:dyDescent="0.25">
      <c r="Z8715"/>
      <c r="AO8715" s="6"/>
    </row>
    <row r="8716" spans="26:41" x14ac:dyDescent="0.25">
      <c r="Z8716"/>
      <c r="AO8716" s="6"/>
    </row>
    <row r="8717" spans="26:41" x14ac:dyDescent="0.25">
      <c r="Z8717"/>
      <c r="AO8717" s="6"/>
    </row>
    <row r="8718" spans="26:41" x14ac:dyDescent="0.25">
      <c r="Z8718"/>
      <c r="AO8718" s="6"/>
    </row>
    <row r="8719" spans="26:41" x14ac:dyDescent="0.25">
      <c r="Z8719"/>
      <c r="AO8719" s="6"/>
    </row>
    <row r="8720" spans="26:41" x14ac:dyDescent="0.25">
      <c r="Z8720"/>
      <c r="AO8720" s="6"/>
    </row>
    <row r="8721" spans="26:41" x14ac:dyDescent="0.25">
      <c r="Z8721"/>
      <c r="AO8721" s="6"/>
    </row>
    <row r="8722" spans="26:41" x14ac:dyDescent="0.25">
      <c r="Z8722"/>
      <c r="AO8722" s="6"/>
    </row>
    <row r="8723" spans="26:41" x14ac:dyDescent="0.25">
      <c r="Z8723"/>
      <c r="AO8723" s="6"/>
    </row>
    <row r="8724" spans="26:41" x14ac:dyDescent="0.25">
      <c r="Z8724"/>
      <c r="AO8724" s="6"/>
    </row>
    <row r="8725" spans="26:41" x14ac:dyDescent="0.25">
      <c r="Z8725"/>
      <c r="AO8725" s="6"/>
    </row>
    <row r="8726" spans="26:41" x14ac:dyDescent="0.25">
      <c r="Z8726"/>
      <c r="AO8726" s="6"/>
    </row>
    <row r="8727" spans="26:41" x14ac:dyDescent="0.25">
      <c r="Z8727"/>
      <c r="AO8727" s="6"/>
    </row>
    <row r="8728" spans="26:41" x14ac:dyDescent="0.25">
      <c r="Z8728"/>
      <c r="AO8728" s="6"/>
    </row>
    <row r="8729" spans="26:41" x14ac:dyDescent="0.25">
      <c r="Z8729"/>
      <c r="AO8729" s="6"/>
    </row>
    <row r="8730" spans="26:41" x14ac:dyDescent="0.25">
      <c r="Z8730"/>
      <c r="AO8730" s="6"/>
    </row>
    <row r="8731" spans="26:41" x14ac:dyDescent="0.25">
      <c r="Z8731"/>
      <c r="AO8731" s="6"/>
    </row>
    <row r="8732" spans="26:41" x14ac:dyDescent="0.25">
      <c r="Z8732"/>
      <c r="AO8732" s="6"/>
    </row>
    <row r="8733" spans="26:41" x14ac:dyDescent="0.25">
      <c r="Z8733"/>
      <c r="AO8733" s="6"/>
    </row>
    <row r="8734" spans="26:41" x14ac:dyDescent="0.25">
      <c r="Z8734"/>
      <c r="AO8734" s="6"/>
    </row>
    <row r="8735" spans="26:41" x14ac:dyDescent="0.25">
      <c r="Z8735"/>
      <c r="AO8735" s="6"/>
    </row>
    <row r="8736" spans="26:41" x14ac:dyDescent="0.25">
      <c r="Z8736"/>
      <c r="AO8736" s="6"/>
    </row>
    <row r="8737" spans="26:41" x14ac:dyDescent="0.25">
      <c r="Z8737"/>
      <c r="AO8737" s="6"/>
    </row>
    <row r="8738" spans="26:41" x14ac:dyDescent="0.25">
      <c r="Z8738"/>
      <c r="AO8738" s="6"/>
    </row>
    <row r="8739" spans="26:41" x14ac:dyDescent="0.25">
      <c r="Z8739"/>
      <c r="AO8739" s="6"/>
    </row>
    <row r="8740" spans="26:41" x14ac:dyDescent="0.25">
      <c r="Z8740"/>
      <c r="AO8740" s="6"/>
    </row>
    <row r="8741" spans="26:41" x14ac:dyDescent="0.25">
      <c r="Z8741"/>
      <c r="AO8741" s="6"/>
    </row>
    <row r="8742" spans="26:41" x14ac:dyDescent="0.25">
      <c r="Z8742"/>
      <c r="AO8742" s="6"/>
    </row>
    <row r="8743" spans="26:41" x14ac:dyDescent="0.25">
      <c r="Z8743"/>
      <c r="AO8743" s="6"/>
    </row>
    <row r="8744" spans="26:41" x14ac:dyDescent="0.25">
      <c r="Z8744"/>
      <c r="AO8744" s="6"/>
    </row>
    <row r="8745" spans="26:41" x14ac:dyDescent="0.25">
      <c r="Z8745"/>
      <c r="AO8745" s="6"/>
    </row>
    <row r="8746" spans="26:41" x14ac:dyDescent="0.25">
      <c r="Z8746"/>
      <c r="AO8746" s="6"/>
    </row>
    <row r="8747" spans="26:41" x14ac:dyDescent="0.25">
      <c r="Z8747"/>
      <c r="AO8747" s="6"/>
    </row>
    <row r="8748" spans="26:41" x14ac:dyDescent="0.25">
      <c r="Z8748"/>
      <c r="AO8748" s="6"/>
    </row>
    <row r="8749" spans="26:41" x14ac:dyDescent="0.25">
      <c r="Z8749"/>
      <c r="AO8749" s="6"/>
    </row>
    <row r="8750" spans="26:41" x14ac:dyDescent="0.25">
      <c r="Z8750"/>
      <c r="AO8750" s="6"/>
    </row>
    <row r="8751" spans="26:41" x14ac:dyDescent="0.25">
      <c r="Z8751"/>
      <c r="AO8751" s="6"/>
    </row>
    <row r="8752" spans="26:41" x14ac:dyDescent="0.25">
      <c r="Z8752"/>
      <c r="AO8752" s="6"/>
    </row>
    <row r="8753" spans="26:41" x14ac:dyDescent="0.25">
      <c r="Z8753"/>
      <c r="AO8753" s="6"/>
    </row>
    <row r="8754" spans="26:41" x14ac:dyDescent="0.25">
      <c r="Z8754"/>
      <c r="AO8754" s="6"/>
    </row>
    <row r="8755" spans="26:41" x14ac:dyDescent="0.25">
      <c r="Z8755"/>
      <c r="AO8755" s="6"/>
    </row>
    <row r="8756" spans="26:41" x14ac:dyDescent="0.25">
      <c r="Z8756"/>
      <c r="AO8756" s="6"/>
    </row>
    <row r="8757" spans="26:41" x14ac:dyDescent="0.25">
      <c r="Z8757"/>
      <c r="AO8757" s="6"/>
    </row>
    <row r="8758" spans="26:41" x14ac:dyDescent="0.25">
      <c r="Z8758"/>
      <c r="AO8758" s="6"/>
    </row>
    <row r="8759" spans="26:41" x14ac:dyDescent="0.25">
      <c r="Z8759"/>
      <c r="AO8759" s="6"/>
    </row>
    <row r="8760" spans="26:41" x14ac:dyDescent="0.25">
      <c r="Z8760"/>
      <c r="AO8760" s="6"/>
    </row>
    <row r="8761" spans="26:41" x14ac:dyDescent="0.25">
      <c r="Z8761"/>
      <c r="AO8761" s="6"/>
    </row>
    <row r="8762" spans="26:41" x14ac:dyDescent="0.25">
      <c r="Z8762"/>
      <c r="AO8762" s="6"/>
    </row>
    <row r="8763" spans="26:41" x14ac:dyDescent="0.25">
      <c r="Z8763"/>
      <c r="AO8763" s="6"/>
    </row>
    <row r="8764" spans="26:41" x14ac:dyDescent="0.25">
      <c r="Z8764"/>
      <c r="AO8764" s="6"/>
    </row>
    <row r="8765" spans="26:41" x14ac:dyDescent="0.25">
      <c r="Z8765"/>
      <c r="AO8765" s="6"/>
    </row>
    <row r="8766" spans="26:41" x14ac:dyDescent="0.25">
      <c r="Z8766"/>
      <c r="AO8766" s="6"/>
    </row>
    <row r="8767" spans="26:41" x14ac:dyDescent="0.25">
      <c r="Z8767"/>
      <c r="AO8767" s="6"/>
    </row>
    <row r="8768" spans="26:41" x14ac:dyDescent="0.25">
      <c r="Z8768"/>
      <c r="AO8768" s="6"/>
    </row>
    <row r="8769" spans="26:41" x14ac:dyDescent="0.25">
      <c r="Z8769"/>
      <c r="AO8769" s="6"/>
    </row>
    <row r="8770" spans="26:41" x14ac:dyDescent="0.25">
      <c r="Z8770"/>
      <c r="AO8770" s="6"/>
    </row>
    <row r="8771" spans="26:41" x14ac:dyDescent="0.25">
      <c r="Z8771"/>
      <c r="AO8771" s="6"/>
    </row>
    <row r="8772" spans="26:41" x14ac:dyDescent="0.25">
      <c r="Z8772"/>
      <c r="AO8772" s="6"/>
    </row>
    <row r="8773" spans="26:41" x14ac:dyDescent="0.25">
      <c r="Z8773"/>
      <c r="AO8773" s="6"/>
    </row>
    <row r="8774" spans="26:41" x14ac:dyDescent="0.25">
      <c r="Z8774"/>
      <c r="AO8774" s="6"/>
    </row>
    <row r="8775" spans="26:41" x14ac:dyDescent="0.25">
      <c r="Z8775"/>
      <c r="AO8775" s="6"/>
    </row>
    <row r="8776" spans="26:41" x14ac:dyDescent="0.25">
      <c r="Z8776"/>
      <c r="AO8776" s="6"/>
    </row>
    <row r="8777" spans="26:41" x14ac:dyDescent="0.25">
      <c r="Z8777"/>
      <c r="AO8777" s="6"/>
    </row>
    <row r="8778" spans="26:41" x14ac:dyDescent="0.25">
      <c r="Z8778"/>
      <c r="AO8778" s="6"/>
    </row>
    <row r="8779" spans="26:41" x14ac:dyDescent="0.25">
      <c r="Z8779"/>
      <c r="AO8779" s="6"/>
    </row>
    <row r="8780" spans="26:41" x14ac:dyDescent="0.25">
      <c r="Z8780"/>
      <c r="AO8780" s="6"/>
    </row>
    <row r="8781" spans="26:41" x14ac:dyDescent="0.25">
      <c r="Z8781"/>
      <c r="AO8781" s="6"/>
    </row>
    <row r="8782" spans="26:41" x14ac:dyDescent="0.25">
      <c r="Z8782"/>
      <c r="AO8782" s="6"/>
    </row>
    <row r="8783" spans="26:41" x14ac:dyDescent="0.25">
      <c r="Z8783"/>
      <c r="AO8783" s="6"/>
    </row>
    <row r="8784" spans="26:41" x14ac:dyDescent="0.25">
      <c r="Z8784"/>
      <c r="AO8784" s="6"/>
    </row>
    <row r="8785" spans="26:41" x14ac:dyDescent="0.25">
      <c r="Z8785"/>
      <c r="AO8785" s="6"/>
    </row>
    <row r="8786" spans="26:41" x14ac:dyDescent="0.25">
      <c r="Z8786"/>
      <c r="AO8786" s="6"/>
    </row>
    <row r="8787" spans="26:41" x14ac:dyDescent="0.25">
      <c r="Z8787"/>
      <c r="AO8787" s="6"/>
    </row>
    <row r="8788" spans="26:41" x14ac:dyDescent="0.25">
      <c r="Z8788"/>
      <c r="AO8788" s="6"/>
    </row>
    <row r="8789" spans="26:41" x14ac:dyDescent="0.25">
      <c r="Z8789"/>
      <c r="AO8789" s="6"/>
    </row>
    <row r="8790" spans="26:41" x14ac:dyDescent="0.25">
      <c r="Z8790"/>
      <c r="AO8790" s="6"/>
    </row>
    <row r="8791" spans="26:41" x14ac:dyDescent="0.25">
      <c r="Z8791"/>
      <c r="AO8791" s="6"/>
    </row>
    <row r="8792" spans="26:41" x14ac:dyDescent="0.25">
      <c r="Z8792"/>
      <c r="AO8792" s="6"/>
    </row>
    <row r="8793" spans="26:41" x14ac:dyDescent="0.25">
      <c r="Z8793"/>
      <c r="AO8793" s="6"/>
    </row>
    <row r="8794" spans="26:41" x14ac:dyDescent="0.25">
      <c r="Z8794"/>
      <c r="AO8794" s="6"/>
    </row>
    <row r="8795" spans="26:41" x14ac:dyDescent="0.25">
      <c r="Z8795"/>
      <c r="AO8795" s="6"/>
    </row>
    <row r="8796" spans="26:41" x14ac:dyDescent="0.25">
      <c r="Z8796"/>
      <c r="AO8796" s="6"/>
    </row>
    <row r="8797" spans="26:41" x14ac:dyDescent="0.25">
      <c r="Z8797"/>
      <c r="AO8797" s="6"/>
    </row>
    <row r="8798" spans="26:41" x14ac:dyDescent="0.25">
      <c r="Z8798"/>
      <c r="AO8798" s="6"/>
    </row>
    <row r="8799" spans="26:41" x14ac:dyDescent="0.25">
      <c r="Z8799"/>
      <c r="AO8799" s="6"/>
    </row>
    <row r="8800" spans="26:41" x14ac:dyDescent="0.25">
      <c r="Z8800"/>
      <c r="AO8800" s="6"/>
    </row>
    <row r="8801" spans="26:41" x14ac:dyDescent="0.25">
      <c r="Z8801"/>
      <c r="AO8801" s="6"/>
    </row>
    <row r="8802" spans="26:41" x14ac:dyDescent="0.25">
      <c r="Z8802"/>
      <c r="AO8802" s="6"/>
    </row>
    <row r="8803" spans="26:41" x14ac:dyDescent="0.25">
      <c r="Z8803"/>
      <c r="AO8803" s="6"/>
    </row>
    <row r="8804" spans="26:41" x14ac:dyDescent="0.25">
      <c r="Z8804"/>
      <c r="AO8804" s="6"/>
    </row>
    <row r="8805" spans="26:41" x14ac:dyDescent="0.25">
      <c r="Z8805"/>
      <c r="AO8805" s="6"/>
    </row>
    <row r="8806" spans="26:41" x14ac:dyDescent="0.25">
      <c r="Z8806"/>
      <c r="AO8806" s="6"/>
    </row>
    <row r="8807" spans="26:41" x14ac:dyDescent="0.25">
      <c r="Z8807"/>
      <c r="AO8807" s="6"/>
    </row>
    <row r="8808" spans="26:41" x14ac:dyDescent="0.25">
      <c r="Z8808"/>
      <c r="AO8808" s="6"/>
    </row>
    <row r="8809" spans="26:41" x14ac:dyDescent="0.25">
      <c r="Z8809"/>
      <c r="AO8809" s="6"/>
    </row>
    <row r="8810" spans="26:41" x14ac:dyDescent="0.25">
      <c r="Z8810"/>
      <c r="AO8810" s="6"/>
    </row>
    <row r="8811" spans="26:41" x14ac:dyDescent="0.25">
      <c r="Z8811"/>
      <c r="AO8811" s="6"/>
    </row>
    <row r="8812" spans="26:41" x14ac:dyDescent="0.25">
      <c r="Z8812"/>
      <c r="AO8812" s="6"/>
    </row>
    <row r="8813" spans="26:41" x14ac:dyDescent="0.25">
      <c r="Z8813"/>
      <c r="AO8813" s="6"/>
    </row>
    <row r="8814" spans="26:41" x14ac:dyDescent="0.25">
      <c r="Z8814"/>
      <c r="AO8814" s="6"/>
    </row>
    <row r="8815" spans="26:41" x14ac:dyDescent="0.25">
      <c r="Z8815"/>
      <c r="AO8815" s="6"/>
    </row>
    <row r="8816" spans="26:41" x14ac:dyDescent="0.25">
      <c r="Z8816"/>
      <c r="AO8816" s="6"/>
    </row>
    <row r="8817" spans="26:41" x14ac:dyDescent="0.25">
      <c r="Z8817"/>
      <c r="AO8817" s="6"/>
    </row>
    <row r="8818" spans="26:41" x14ac:dyDescent="0.25">
      <c r="Z8818"/>
      <c r="AO8818" s="6"/>
    </row>
    <row r="8819" spans="26:41" x14ac:dyDescent="0.25">
      <c r="Z8819"/>
      <c r="AO8819" s="6"/>
    </row>
    <row r="8820" spans="26:41" x14ac:dyDescent="0.25">
      <c r="Z8820"/>
      <c r="AO8820" s="6"/>
    </row>
    <row r="8821" spans="26:41" x14ac:dyDescent="0.25">
      <c r="Z8821"/>
      <c r="AO8821" s="6"/>
    </row>
    <row r="8822" spans="26:41" x14ac:dyDescent="0.25">
      <c r="Z8822"/>
      <c r="AO8822" s="6"/>
    </row>
    <row r="8823" spans="26:41" x14ac:dyDescent="0.25">
      <c r="Z8823"/>
      <c r="AO8823" s="6"/>
    </row>
    <row r="8824" spans="26:41" x14ac:dyDescent="0.25">
      <c r="Z8824"/>
      <c r="AO8824" s="6"/>
    </row>
    <row r="8825" spans="26:41" x14ac:dyDescent="0.25">
      <c r="Z8825"/>
      <c r="AO8825" s="6"/>
    </row>
    <row r="8826" spans="26:41" x14ac:dyDescent="0.25">
      <c r="Z8826"/>
      <c r="AO8826" s="6"/>
    </row>
    <row r="8827" spans="26:41" x14ac:dyDescent="0.25">
      <c r="Z8827"/>
      <c r="AO8827" s="6"/>
    </row>
    <row r="8828" spans="26:41" x14ac:dyDescent="0.25">
      <c r="Z8828"/>
      <c r="AO8828" s="6"/>
    </row>
    <row r="8829" spans="26:41" x14ac:dyDescent="0.25">
      <c r="Z8829"/>
      <c r="AO8829" s="6"/>
    </row>
    <row r="8830" spans="26:41" x14ac:dyDescent="0.25">
      <c r="Z8830"/>
      <c r="AO8830" s="6"/>
    </row>
    <row r="8831" spans="26:41" x14ac:dyDescent="0.25">
      <c r="Z8831"/>
      <c r="AO8831" s="6"/>
    </row>
    <row r="8832" spans="26:41" x14ac:dyDescent="0.25">
      <c r="Z8832"/>
      <c r="AO8832" s="6"/>
    </row>
    <row r="8833" spans="26:41" x14ac:dyDescent="0.25">
      <c r="Z8833"/>
      <c r="AO8833" s="6"/>
    </row>
    <row r="8834" spans="26:41" x14ac:dyDescent="0.25">
      <c r="Z8834"/>
      <c r="AO8834" s="6"/>
    </row>
    <row r="8835" spans="26:41" x14ac:dyDescent="0.25">
      <c r="Z8835"/>
      <c r="AO8835" s="6"/>
    </row>
    <row r="8836" spans="26:41" x14ac:dyDescent="0.25">
      <c r="Z8836"/>
      <c r="AO8836" s="6"/>
    </row>
    <row r="8837" spans="26:41" x14ac:dyDescent="0.25">
      <c r="Z8837"/>
      <c r="AO8837" s="6"/>
    </row>
    <row r="8838" spans="26:41" x14ac:dyDescent="0.25">
      <c r="Z8838"/>
      <c r="AO8838" s="6"/>
    </row>
    <row r="8839" spans="26:41" x14ac:dyDescent="0.25">
      <c r="Z8839"/>
      <c r="AO8839" s="6"/>
    </row>
    <row r="8840" spans="26:41" x14ac:dyDescent="0.25">
      <c r="Z8840"/>
      <c r="AO8840" s="6"/>
    </row>
    <row r="8841" spans="26:41" x14ac:dyDescent="0.25">
      <c r="Z8841"/>
      <c r="AO8841" s="6"/>
    </row>
    <row r="8842" spans="26:41" x14ac:dyDescent="0.25">
      <c r="Z8842"/>
      <c r="AO8842" s="6"/>
    </row>
    <row r="8843" spans="26:41" x14ac:dyDescent="0.25">
      <c r="Z8843"/>
      <c r="AO8843" s="6"/>
    </row>
    <row r="8844" spans="26:41" x14ac:dyDescent="0.25">
      <c r="Z8844"/>
      <c r="AO8844" s="6"/>
    </row>
    <row r="8845" spans="26:41" x14ac:dyDescent="0.25">
      <c r="Z8845"/>
      <c r="AO8845" s="6"/>
    </row>
    <row r="8846" spans="26:41" x14ac:dyDescent="0.25">
      <c r="Z8846"/>
      <c r="AO8846" s="6"/>
    </row>
    <row r="8847" spans="26:41" x14ac:dyDescent="0.25">
      <c r="Z8847"/>
      <c r="AO8847" s="6"/>
    </row>
    <row r="8848" spans="26:41" x14ac:dyDescent="0.25">
      <c r="Z8848"/>
      <c r="AO8848" s="6"/>
    </row>
    <row r="8849" spans="26:41" x14ac:dyDescent="0.25">
      <c r="Z8849"/>
      <c r="AO8849" s="6"/>
    </row>
    <row r="8850" spans="26:41" x14ac:dyDescent="0.25">
      <c r="Z8850"/>
      <c r="AO8850" s="6"/>
    </row>
    <row r="8851" spans="26:41" x14ac:dyDescent="0.25">
      <c r="Z8851"/>
      <c r="AO8851" s="6"/>
    </row>
    <row r="8852" spans="26:41" x14ac:dyDescent="0.25">
      <c r="Z8852"/>
      <c r="AO8852" s="6"/>
    </row>
    <row r="8853" spans="26:41" x14ac:dyDescent="0.25">
      <c r="Z8853"/>
      <c r="AO8853" s="6"/>
    </row>
    <row r="8854" spans="26:41" x14ac:dyDescent="0.25">
      <c r="Z8854"/>
      <c r="AO8854" s="6"/>
    </row>
    <row r="8855" spans="26:41" x14ac:dyDescent="0.25">
      <c r="Z8855"/>
      <c r="AO8855" s="6"/>
    </row>
    <row r="8856" spans="26:41" x14ac:dyDescent="0.25">
      <c r="Z8856"/>
      <c r="AO8856" s="6"/>
    </row>
    <row r="8857" spans="26:41" x14ac:dyDescent="0.25">
      <c r="Z8857"/>
      <c r="AO8857" s="6"/>
    </row>
    <row r="8858" spans="26:41" x14ac:dyDescent="0.25">
      <c r="Z8858"/>
      <c r="AO8858" s="6"/>
    </row>
    <row r="8859" spans="26:41" x14ac:dyDescent="0.25">
      <c r="Z8859"/>
      <c r="AO8859" s="6"/>
    </row>
    <row r="8860" spans="26:41" x14ac:dyDescent="0.25">
      <c r="Z8860"/>
      <c r="AO8860" s="6"/>
    </row>
    <row r="8861" spans="26:41" x14ac:dyDescent="0.25">
      <c r="Z8861"/>
      <c r="AO8861" s="6"/>
    </row>
    <row r="8862" spans="26:41" x14ac:dyDescent="0.25">
      <c r="Z8862"/>
      <c r="AO8862" s="6"/>
    </row>
    <row r="8863" spans="26:41" x14ac:dyDescent="0.25">
      <c r="Z8863"/>
      <c r="AO8863" s="6"/>
    </row>
    <row r="8864" spans="26:41" x14ac:dyDescent="0.25">
      <c r="Z8864"/>
      <c r="AO8864" s="6"/>
    </row>
    <row r="8865" spans="26:41" x14ac:dyDescent="0.25">
      <c r="Z8865"/>
      <c r="AO8865" s="6"/>
    </row>
    <row r="8866" spans="26:41" x14ac:dyDescent="0.25">
      <c r="Z8866"/>
      <c r="AO8866" s="6"/>
    </row>
    <row r="8867" spans="26:41" x14ac:dyDescent="0.25">
      <c r="Z8867"/>
      <c r="AO8867" s="6"/>
    </row>
    <row r="8868" spans="26:41" x14ac:dyDescent="0.25">
      <c r="Z8868"/>
      <c r="AO8868" s="6"/>
    </row>
    <row r="8869" spans="26:41" x14ac:dyDescent="0.25">
      <c r="Z8869"/>
      <c r="AO8869" s="6"/>
    </row>
    <row r="8870" spans="26:41" x14ac:dyDescent="0.25">
      <c r="Z8870"/>
      <c r="AO8870" s="6"/>
    </row>
    <row r="8871" spans="26:41" x14ac:dyDescent="0.25">
      <c r="Z8871"/>
      <c r="AO8871" s="6"/>
    </row>
    <row r="8872" spans="26:41" x14ac:dyDescent="0.25">
      <c r="Z8872"/>
      <c r="AO8872" s="6"/>
    </row>
    <row r="8873" spans="26:41" x14ac:dyDescent="0.25">
      <c r="Z8873"/>
      <c r="AO8873" s="6"/>
    </row>
    <row r="8874" spans="26:41" x14ac:dyDescent="0.25">
      <c r="Z8874"/>
      <c r="AO8874" s="6"/>
    </row>
    <row r="8875" spans="26:41" x14ac:dyDescent="0.25">
      <c r="Z8875"/>
      <c r="AO8875" s="6"/>
    </row>
    <row r="8876" spans="26:41" x14ac:dyDescent="0.25">
      <c r="Z8876"/>
      <c r="AO8876" s="6"/>
    </row>
    <row r="8877" spans="26:41" x14ac:dyDescent="0.25">
      <c r="Z8877"/>
      <c r="AO8877" s="6"/>
    </row>
    <row r="8878" spans="26:41" x14ac:dyDescent="0.25">
      <c r="Z8878"/>
      <c r="AO8878" s="6"/>
    </row>
    <row r="8879" spans="26:41" x14ac:dyDescent="0.25">
      <c r="Z8879"/>
      <c r="AO8879" s="6"/>
    </row>
    <row r="8880" spans="26:41" x14ac:dyDescent="0.25">
      <c r="Z8880"/>
      <c r="AO8880" s="6"/>
    </row>
    <row r="8881" spans="26:41" x14ac:dyDescent="0.25">
      <c r="Z8881"/>
      <c r="AO8881" s="6"/>
    </row>
    <row r="8882" spans="26:41" x14ac:dyDescent="0.25">
      <c r="Z8882"/>
      <c r="AO8882" s="6"/>
    </row>
    <row r="8883" spans="26:41" x14ac:dyDescent="0.25">
      <c r="Z8883"/>
      <c r="AO8883" s="6"/>
    </row>
    <row r="8884" spans="26:41" x14ac:dyDescent="0.25">
      <c r="Z8884"/>
      <c r="AO8884" s="6"/>
    </row>
    <row r="8885" spans="26:41" x14ac:dyDescent="0.25">
      <c r="Z8885"/>
      <c r="AO8885" s="6"/>
    </row>
    <row r="8886" spans="26:41" x14ac:dyDescent="0.25">
      <c r="Z8886"/>
      <c r="AO8886" s="6"/>
    </row>
    <row r="8887" spans="26:41" x14ac:dyDescent="0.25">
      <c r="Z8887"/>
      <c r="AO8887" s="6"/>
    </row>
    <row r="8888" spans="26:41" x14ac:dyDescent="0.25">
      <c r="Z8888"/>
      <c r="AO8888" s="6"/>
    </row>
    <row r="8889" spans="26:41" x14ac:dyDescent="0.25">
      <c r="Z8889"/>
      <c r="AO8889" s="6"/>
    </row>
    <row r="8890" spans="26:41" x14ac:dyDescent="0.25">
      <c r="Z8890"/>
      <c r="AO8890" s="6"/>
    </row>
    <row r="8891" spans="26:41" x14ac:dyDescent="0.25">
      <c r="Z8891"/>
      <c r="AO8891" s="6"/>
    </row>
    <row r="8892" spans="26:41" x14ac:dyDescent="0.25">
      <c r="Z8892"/>
      <c r="AO8892" s="6"/>
    </row>
    <row r="8893" spans="26:41" x14ac:dyDescent="0.25">
      <c r="Z8893"/>
      <c r="AO8893" s="6"/>
    </row>
    <row r="8894" spans="26:41" x14ac:dyDescent="0.25">
      <c r="Z8894"/>
      <c r="AO8894" s="6"/>
    </row>
    <row r="8895" spans="26:41" x14ac:dyDescent="0.25">
      <c r="Z8895"/>
      <c r="AO8895" s="6"/>
    </row>
    <row r="8896" spans="26:41" x14ac:dyDescent="0.25">
      <c r="Z8896"/>
      <c r="AO8896" s="6"/>
    </row>
    <row r="8897" spans="26:41" x14ac:dyDescent="0.25">
      <c r="Z8897"/>
      <c r="AO8897" s="6"/>
    </row>
    <row r="8898" spans="26:41" x14ac:dyDescent="0.25">
      <c r="Z8898"/>
      <c r="AO8898" s="6"/>
    </row>
    <row r="8899" spans="26:41" x14ac:dyDescent="0.25">
      <c r="Z8899"/>
      <c r="AO8899" s="6"/>
    </row>
    <row r="8900" spans="26:41" x14ac:dyDescent="0.25">
      <c r="Z8900"/>
      <c r="AO8900" s="6"/>
    </row>
    <row r="8901" spans="26:41" x14ac:dyDescent="0.25">
      <c r="Z8901"/>
      <c r="AO8901" s="6"/>
    </row>
    <row r="8902" spans="26:41" x14ac:dyDescent="0.25">
      <c r="Z8902"/>
      <c r="AO8902" s="6"/>
    </row>
    <row r="8903" spans="26:41" x14ac:dyDescent="0.25">
      <c r="Z8903"/>
      <c r="AO8903" s="6"/>
    </row>
    <row r="8904" spans="26:41" x14ac:dyDescent="0.25">
      <c r="Z8904"/>
      <c r="AO8904" s="6"/>
    </row>
    <row r="8905" spans="26:41" x14ac:dyDescent="0.25">
      <c r="Z8905"/>
      <c r="AO8905" s="6"/>
    </row>
    <row r="8906" spans="26:41" x14ac:dyDescent="0.25">
      <c r="Z8906"/>
      <c r="AO8906" s="6"/>
    </row>
    <row r="8907" spans="26:41" x14ac:dyDescent="0.25">
      <c r="Z8907"/>
      <c r="AO8907" s="6"/>
    </row>
    <row r="8908" spans="26:41" x14ac:dyDescent="0.25">
      <c r="Z8908"/>
      <c r="AO8908" s="6"/>
    </row>
    <row r="8909" spans="26:41" x14ac:dyDescent="0.25">
      <c r="Z8909"/>
      <c r="AO8909" s="6"/>
    </row>
    <row r="8910" spans="26:41" x14ac:dyDescent="0.25">
      <c r="Z8910"/>
      <c r="AO8910" s="6"/>
    </row>
    <row r="8911" spans="26:41" x14ac:dyDescent="0.25">
      <c r="Z8911"/>
      <c r="AO8911" s="6"/>
    </row>
    <row r="8912" spans="26:41" x14ac:dyDescent="0.25">
      <c r="Z8912"/>
      <c r="AO8912" s="6"/>
    </row>
    <row r="8913" spans="26:41" x14ac:dyDescent="0.25">
      <c r="Z8913"/>
      <c r="AO8913" s="6"/>
    </row>
    <row r="8914" spans="26:41" x14ac:dyDescent="0.25">
      <c r="Z8914"/>
      <c r="AO8914" s="6"/>
    </row>
    <row r="8915" spans="26:41" x14ac:dyDescent="0.25">
      <c r="Z8915"/>
      <c r="AO8915" s="6"/>
    </row>
    <row r="8916" spans="26:41" x14ac:dyDescent="0.25">
      <c r="Z8916"/>
      <c r="AO8916" s="6"/>
    </row>
    <row r="8917" spans="26:41" x14ac:dyDescent="0.25">
      <c r="Z8917"/>
      <c r="AO8917" s="6"/>
    </row>
    <row r="8918" spans="26:41" x14ac:dyDescent="0.25">
      <c r="Z8918"/>
      <c r="AO8918" s="6"/>
    </row>
    <row r="8919" spans="26:41" x14ac:dyDescent="0.25">
      <c r="Z8919"/>
      <c r="AO8919" s="6"/>
    </row>
    <row r="8920" spans="26:41" x14ac:dyDescent="0.25">
      <c r="Z8920"/>
      <c r="AO8920" s="6"/>
    </row>
    <row r="8921" spans="26:41" x14ac:dyDescent="0.25">
      <c r="Z8921"/>
      <c r="AO8921" s="6"/>
    </row>
    <row r="8922" spans="26:41" x14ac:dyDescent="0.25">
      <c r="Z8922"/>
      <c r="AO8922" s="6"/>
    </row>
    <row r="8923" spans="26:41" x14ac:dyDescent="0.25">
      <c r="Z8923"/>
      <c r="AO8923" s="6"/>
    </row>
    <row r="8924" spans="26:41" x14ac:dyDescent="0.25">
      <c r="Z8924"/>
      <c r="AO8924" s="6"/>
    </row>
    <row r="8925" spans="26:41" x14ac:dyDescent="0.25">
      <c r="Z8925"/>
      <c r="AO8925" s="6"/>
    </row>
    <row r="8926" spans="26:41" x14ac:dyDescent="0.25">
      <c r="Z8926"/>
      <c r="AO8926" s="6"/>
    </row>
    <row r="8927" spans="26:41" x14ac:dyDescent="0.25">
      <c r="Z8927"/>
      <c r="AO8927" s="6"/>
    </row>
    <row r="8928" spans="26:41" x14ac:dyDescent="0.25">
      <c r="Z8928"/>
      <c r="AO8928" s="6"/>
    </row>
    <row r="8929" spans="26:41" x14ac:dyDescent="0.25">
      <c r="Z8929"/>
      <c r="AO8929" s="6"/>
    </row>
    <row r="8930" spans="26:41" x14ac:dyDescent="0.25">
      <c r="Z8930"/>
      <c r="AO8930" s="6"/>
    </row>
    <row r="8931" spans="26:41" x14ac:dyDescent="0.25">
      <c r="Z8931"/>
      <c r="AO8931" s="6"/>
    </row>
    <row r="8932" spans="26:41" x14ac:dyDescent="0.25">
      <c r="Z8932"/>
      <c r="AO8932" s="6"/>
    </row>
    <row r="8933" spans="26:41" x14ac:dyDescent="0.25">
      <c r="Z8933"/>
      <c r="AO8933" s="6"/>
    </row>
    <row r="8934" spans="26:41" x14ac:dyDescent="0.25">
      <c r="Z8934"/>
      <c r="AO8934" s="6"/>
    </row>
    <row r="8935" spans="26:41" x14ac:dyDescent="0.25">
      <c r="Z8935"/>
      <c r="AO8935" s="6"/>
    </row>
    <row r="8936" spans="26:41" x14ac:dyDescent="0.25">
      <c r="Z8936"/>
      <c r="AO8936" s="6"/>
    </row>
    <row r="8937" spans="26:41" x14ac:dyDescent="0.25">
      <c r="Z8937"/>
      <c r="AO8937" s="6"/>
    </row>
    <row r="8938" spans="26:41" x14ac:dyDescent="0.25">
      <c r="Z8938"/>
      <c r="AO8938" s="6"/>
    </row>
    <row r="8939" spans="26:41" x14ac:dyDescent="0.25">
      <c r="Z8939"/>
      <c r="AO8939" s="6"/>
    </row>
    <row r="8940" spans="26:41" x14ac:dyDescent="0.25">
      <c r="Z8940"/>
      <c r="AO8940" s="6"/>
    </row>
    <row r="8941" spans="26:41" x14ac:dyDescent="0.25">
      <c r="Z8941"/>
      <c r="AO8941" s="6"/>
    </row>
    <row r="8942" spans="26:41" x14ac:dyDescent="0.25">
      <c r="Z8942"/>
      <c r="AO8942" s="6"/>
    </row>
    <row r="8943" spans="26:41" x14ac:dyDescent="0.25">
      <c r="Z8943"/>
      <c r="AO8943" s="6"/>
    </row>
    <row r="8944" spans="26:41" x14ac:dyDescent="0.25">
      <c r="Z8944"/>
      <c r="AO8944" s="6"/>
    </row>
    <row r="8945" spans="26:41" x14ac:dyDescent="0.25">
      <c r="Z8945"/>
      <c r="AO8945" s="6"/>
    </row>
    <row r="8946" spans="26:41" x14ac:dyDescent="0.25">
      <c r="Z8946"/>
      <c r="AO8946" s="6"/>
    </row>
    <row r="8947" spans="26:41" x14ac:dyDescent="0.25">
      <c r="Z8947"/>
      <c r="AO8947" s="6"/>
    </row>
    <row r="8948" spans="26:41" x14ac:dyDescent="0.25">
      <c r="Z8948"/>
      <c r="AO8948" s="6"/>
    </row>
    <row r="8949" spans="26:41" x14ac:dyDescent="0.25">
      <c r="Z8949"/>
      <c r="AO8949" s="6"/>
    </row>
    <row r="8950" spans="26:41" x14ac:dyDescent="0.25">
      <c r="Z8950"/>
      <c r="AO8950" s="6"/>
    </row>
    <row r="8951" spans="26:41" x14ac:dyDescent="0.25">
      <c r="Z8951"/>
      <c r="AO8951" s="6"/>
    </row>
    <row r="8952" spans="26:41" x14ac:dyDescent="0.25">
      <c r="Z8952"/>
      <c r="AO8952" s="6"/>
    </row>
    <row r="8953" spans="26:41" x14ac:dyDescent="0.25">
      <c r="Z8953"/>
      <c r="AO8953" s="6"/>
    </row>
    <row r="8954" spans="26:41" x14ac:dyDescent="0.25">
      <c r="Z8954"/>
      <c r="AO8954" s="6"/>
    </row>
    <row r="8955" spans="26:41" x14ac:dyDescent="0.25">
      <c r="Z8955"/>
      <c r="AO8955" s="6"/>
    </row>
    <row r="8956" spans="26:41" x14ac:dyDescent="0.25">
      <c r="Z8956"/>
      <c r="AO8956" s="6"/>
    </row>
    <row r="8957" spans="26:41" x14ac:dyDescent="0.25">
      <c r="Z8957"/>
      <c r="AO8957" s="6"/>
    </row>
    <row r="8958" spans="26:41" x14ac:dyDescent="0.25">
      <c r="Z8958"/>
      <c r="AO8958" s="6"/>
    </row>
    <row r="8959" spans="26:41" x14ac:dyDescent="0.25">
      <c r="Z8959"/>
      <c r="AO8959" s="6"/>
    </row>
    <row r="8960" spans="26:41" x14ac:dyDescent="0.25">
      <c r="Z8960"/>
      <c r="AO8960" s="6"/>
    </row>
    <row r="8961" spans="26:41" x14ac:dyDescent="0.25">
      <c r="Z8961"/>
      <c r="AO8961" s="6"/>
    </row>
    <row r="8962" spans="26:41" x14ac:dyDescent="0.25">
      <c r="Z8962"/>
      <c r="AO8962" s="6"/>
    </row>
    <row r="8963" spans="26:41" x14ac:dyDescent="0.25">
      <c r="Z8963"/>
      <c r="AO8963" s="6"/>
    </row>
    <row r="8964" spans="26:41" x14ac:dyDescent="0.25">
      <c r="Z8964"/>
      <c r="AO8964" s="6"/>
    </row>
    <row r="8965" spans="26:41" x14ac:dyDescent="0.25">
      <c r="Z8965"/>
      <c r="AO8965" s="6"/>
    </row>
    <row r="8966" spans="26:41" x14ac:dyDescent="0.25">
      <c r="Z8966"/>
      <c r="AO8966" s="6"/>
    </row>
    <row r="8967" spans="26:41" x14ac:dyDescent="0.25">
      <c r="Z8967"/>
      <c r="AO8967" s="6"/>
    </row>
    <row r="8968" spans="26:41" x14ac:dyDescent="0.25">
      <c r="Z8968"/>
      <c r="AO8968" s="6"/>
    </row>
    <row r="8969" spans="26:41" x14ac:dyDescent="0.25">
      <c r="Z8969"/>
      <c r="AO8969" s="6"/>
    </row>
    <row r="8970" spans="26:41" x14ac:dyDescent="0.25">
      <c r="Z8970"/>
      <c r="AO8970" s="6"/>
    </row>
    <row r="8971" spans="26:41" x14ac:dyDescent="0.25">
      <c r="Z8971"/>
      <c r="AO8971" s="6"/>
    </row>
    <row r="8972" spans="26:41" x14ac:dyDescent="0.25">
      <c r="Z8972"/>
      <c r="AO8972" s="6"/>
    </row>
    <row r="8973" spans="26:41" x14ac:dyDescent="0.25">
      <c r="Z8973"/>
      <c r="AO8973" s="6"/>
    </row>
    <row r="8974" spans="26:41" x14ac:dyDescent="0.25">
      <c r="Z8974"/>
      <c r="AO8974" s="6"/>
    </row>
    <row r="8975" spans="26:41" x14ac:dyDescent="0.25">
      <c r="Z8975"/>
      <c r="AO8975" s="6"/>
    </row>
    <row r="8976" spans="26:41" x14ac:dyDescent="0.25">
      <c r="Z8976"/>
      <c r="AO8976" s="6"/>
    </row>
    <row r="8977" spans="26:41" x14ac:dyDescent="0.25">
      <c r="Z8977"/>
      <c r="AO8977" s="6"/>
    </row>
    <row r="8978" spans="26:41" x14ac:dyDescent="0.25">
      <c r="Z8978"/>
      <c r="AO8978" s="6"/>
    </row>
    <row r="8979" spans="26:41" x14ac:dyDescent="0.25">
      <c r="Z8979"/>
      <c r="AO8979" s="6"/>
    </row>
    <row r="8980" spans="26:41" x14ac:dyDescent="0.25">
      <c r="Z8980"/>
      <c r="AO8980" s="6"/>
    </row>
    <row r="8981" spans="26:41" x14ac:dyDescent="0.25">
      <c r="Z8981"/>
      <c r="AO8981" s="6"/>
    </row>
    <row r="8982" spans="26:41" x14ac:dyDescent="0.25">
      <c r="Z8982"/>
      <c r="AO8982" s="6"/>
    </row>
    <row r="8983" spans="26:41" x14ac:dyDescent="0.25">
      <c r="Z8983"/>
      <c r="AO8983" s="6"/>
    </row>
    <row r="8984" spans="26:41" x14ac:dyDescent="0.25">
      <c r="Z8984"/>
      <c r="AO8984" s="6"/>
    </row>
    <row r="8985" spans="26:41" x14ac:dyDescent="0.25">
      <c r="Z8985"/>
      <c r="AO8985" s="6"/>
    </row>
    <row r="8986" spans="26:41" x14ac:dyDescent="0.25">
      <c r="Z8986"/>
      <c r="AO8986" s="6"/>
    </row>
    <row r="8987" spans="26:41" x14ac:dyDescent="0.25">
      <c r="Z8987"/>
      <c r="AO8987" s="6"/>
    </row>
    <row r="8988" spans="26:41" x14ac:dyDescent="0.25">
      <c r="Z8988"/>
      <c r="AO8988" s="6"/>
    </row>
    <row r="8989" spans="26:41" x14ac:dyDescent="0.25">
      <c r="Z8989"/>
      <c r="AO8989" s="6"/>
    </row>
    <row r="8990" spans="26:41" x14ac:dyDescent="0.25">
      <c r="Z8990"/>
      <c r="AO8990" s="6"/>
    </row>
    <row r="8991" spans="26:41" x14ac:dyDescent="0.25">
      <c r="Z8991"/>
      <c r="AO8991" s="6"/>
    </row>
    <row r="8992" spans="26:41" x14ac:dyDescent="0.25">
      <c r="Z8992"/>
      <c r="AO8992" s="6"/>
    </row>
    <row r="8993" spans="26:41" x14ac:dyDescent="0.25">
      <c r="Z8993"/>
      <c r="AO8993" s="6"/>
    </row>
    <row r="8994" spans="26:41" x14ac:dyDescent="0.25">
      <c r="Z8994"/>
      <c r="AO8994" s="6"/>
    </row>
    <row r="8995" spans="26:41" x14ac:dyDescent="0.25">
      <c r="Z8995"/>
      <c r="AO8995" s="6"/>
    </row>
    <row r="8996" spans="26:41" x14ac:dyDescent="0.25">
      <c r="Z8996"/>
      <c r="AO8996" s="6"/>
    </row>
    <row r="8997" spans="26:41" x14ac:dyDescent="0.25">
      <c r="Z8997"/>
      <c r="AO8997" s="6"/>
    </row>
    <row r="8998" spans="26:41" x14ac:dyDescent="0.25">
      <c r="Z8998"/>
      <c r="AO8998" s="6"/>
    </row>
    <row r="8999" spans="26:41" x14ac:dyDescent="0.25">
      <c r="Z8999"/>
      <c r="AO8999" s="6"/>
    </row>
    <row r="9000" spans="26:41" x14ac:dyDescent="0.25">
      <c r="Z9000"/>
      <c r="AO9000" s="6"/>
    </row>
    <row r="9001" spans="26:41" x14ac:dyDescent="0.25">
      <c r="Z9001"/>
      <c r="AO9001" s="6"/>
    </row>
    <row r="9002" spans="26:41" x14ac:dyDescent="0.25">
      <c r="Z9002"/>
      <c r="AO9002" s="6"/>
    </row>
    <row r="9003" spans="26:41" x14ac:dyDescent="0.25">
      <c r="Z9003"/>
      <c r="AO9003" s="6"/>
    </row>
    <row r="9004" spans="26:41" x14ac:dyDescent="0.25">
      <c r="Z9004"/>
      <c r="AO9004" s="6"/>
    </row>
    <row r="9005" spans="26:41" x14ac:dyDescent="0.25">
      <c r="Z9005"/>
      <c r="AO9005" s="6"/>
    </row>
    <row r="9006" spans="26:41" x14ac:dyDescent="0.25">
      <c r="Z9006"/>
      <c r="AO9006" s="6"/>
    </row>
    <row r="9007" spans="26:41" x14ac:dyDescent="0.25">
      <c r="Z9007"/>
      <c r="AO9007" s="6"/>
    </row>
    <row r="9008" spans="26:41" x14ac:dyDescent="0.25">
      <c r="Z9008"/>
      <c r="AO9008" s="6"/>
    </row>
    <row r="9009" spans="26:41" x14ac:dyDescent="0.25">
      <c r="Z9009"/>
      <c r="AO9009" s="6"/>
    </row>
    <row r="9010" spans="26:41" x14ac:dyDescent="0.25">
      <c r="Z9010"/>
      <c r="AO9010" s="6"/>
    </row>
    <row r="9011" spans="26:41" x14ac:dyDescent="0.25">
      <c r="Z9011"/>
      <c r="AO9011" s="6"/>
    </row>
    <row r="9012" spans="26:41" x14ac:dyDescent="0.25">
      <c r="Z9012"/>
      <c r="AO9012" s="6"/>
    </row>
    <row r="9013" spans="26:41" x14ac:dyDescent="0.25">
      <c r="Z9013"/>
      <c r="AO9013" s="6"/>
    </row>
    <row r="9014" spans="26:41" x14ac:dyDescent="0.25">
      <c r="Z9014"/>
      <c r="AO9014" s="6"/>
    </row>
    <row r="9015" spans="26:41" x14ac:dyDescent="0.25">
      <c r="Z9015"/>
      <c r="AO9015" s="6"/>
    </row>
    <row r="9016" spans="26:41" x14ac:dyDescent="0.25">
      <c r="Z9016"/>
      <c r="AO9016" s="6"/>
    </row>
    <row r="9017" spans="26:41" x14ac:dyDescent="0.25">
      <c r="Z9017"/>
      <c r="AO9017" s="6"/>
    </row>
    <row r="9018" spans="26:41" x14ac:dyDescent="0.25">
      <c r="Z9018"/>
      <c r="AO9018" s="6"/>
    </row>
    <row r="9019" spans="26:41" x14ac:dyDescent="0.25">
      <c r="Z9019"/>
      <c r="AO9019" s="6"/>
    </row>
    <row r="9020" spans="26:41" x14ac:dyDescent="0.25">
      <c r="Z9020"/>
      <c r="AO9020" s="6"/>
    </row>
    <row r="9021" spans="26:41" x14ac:dyDescent="0.25">
      <c r="Z9021"/>
      <c r="AO9021" s="6"/>
    </row>
    <row r="9022" spans="26:41" x14ac:dyDescent="0.25">
      <c r="Z9022"/>
      <c r="AO9022" s="6"/>
    </row>
    <row r="9023" spans="26:41" x14ac:dyDescent="0.25">
      <c r="Z9023"/>
      <c r="AO9023" s="6"/>
    </row>
    <row r="9024" spans="26:41" x14ac:dyDescent="0.25">
      <c r="Z9024"/>
      <c r="AO9024" s="6"/>
    </row>
    <row r="9025" spans="26:41" x14ac:dyDescent="0.25">
      <c r="Z9025"/>
      <c r="AO9025" s="6"/>
    </row>
    <row r="9026" spans="26:41" x14ac:dyDescent="0.25">
      <c r="Z9026"/>
      <c r="AO9026" s="6"/>
    </row>
    <row r="9027" spans="26:41" x14ac:dyDescent="0.25">
      <c r="Z9027"/>
      <c r="AO9027" s="6"/>
    </row>
    <row r="9028" spans="26:41" x14ac:dyDescent="0.25">
      <c r="Z9028"/>
      <c r="AO9028" s="6"/>
    </row>
    <row r="9029" spans="26:41" x14ac:dyDescent="0.25">
      <c r="Z9029"/>
      <c r="AO9029" s="6"/>
    </row>
    <row r="9030" spans="26:41" x14ac:dyDescent="0.25">
      <c r="Z9030"/>
      <c r="AO9030" s="6"/>
    </row>
    <row r="9031" spans="26:41" x14ac:dyDescent="0.25">
      <c r="Z9031"/>
      <c r="AO9031" s="6"/>
    </row>
    <row r="9032" spans="26:41" x14ac:dyDescent="0.25">
      <c r="Z9032"/>
      <c r="AO9032" s="6"/>
    </row>
    <row r="9033" spans="26:41" x14ac:dyDescent="0.25">
      <c r="Z9033"/>
      <c r="AO9033" s="6"/>
    </row>
    <row r="9034" spans="26:41" x14ac:dyDescent="0.25">
      <c r="Z9034"/>
      <c r="AO9034" s="6"/>
    </row>
    <row r="9035" spans="26:41" x14ac:dyDescent="0.25">
      <c r="Z9035"/>
      <c r="AO9035" s="6"/>
    </row>
    <row r="9036" spans="26:41" x14ac:dyDescent="0.25">
      <c r="Z9036"/>
      <c r="AO9036" s="6"/>
    </row>
    <row r="9037" spans="26:41" x14ac:dyDescent="0.25">
      <c r="Z9037"/>
      <c r="AO9037" s="6"/>
    </row>
    <row r="9038" spans="26:41" x14ac:dyDescent="0.25">
      <c r="Z9038"/>
      <c r="AO9038" s="6"/>
    </row>
    <row r="9039" spans="26:41" x14ac:dyDescent="0.25">
      <c r="Z9039"/>
      <c r="AO9039" s="6"/>
    </row>
    <row r="9040" spans="26:41" x14ac:dyDescent="0.25">
      <c r="Z9040"/>
      <c r="AO9040" s="6"/>
    </row>
    <row r="9041" spans="26:41" x14ac:dyDescent="0.25">
      <c r="Z9041"/>
      <c r="AO9041" s="6"/>
    </row>
    <row r="9042" spans="26:41" x14ac:dyDescent="0.25">
      <c r="Z9042"/>
      <c r="AO9042" s="6"/>
    </row>
    <row r="9043" spans="26:41" x14ac:dyDescent="0.25">
      <c r="Z9043"/>
      <c r="AO9043" s="6"/>
    </row>
    <row r="9044" spans="26:41" x14ac:dyDescent="0.25">
      <c r="Z9044"/>
      <c r="AO9044" s="6"/>
    </row>
    <row r="9045" spans="26:41" x14ac:dyDescent="0.25">
      <c r="Z9045"/>
      <c r="AO9045" s="6"/>
    </row>
    <row r="9046" spans="26:41" x14ac:dyDescent="0.25">
      <c r="Z9046"/>
      <c r="AO9046" s="6"/>
    </row>
    <row r="9047" spans="26:41" x14ac:dyDescent="0.25">
      <c r="Z9047"/>
      <c r="AO9047" s="6"/>
    </row>
    <row r="9048" spans="26:41" x14ac:dyDescent="0.25">
      <c r="Z9048"/>
      <c r="AO9048" s="6"/>
    </row>
    <row r="9049" spans="26:41" x14ac:dyDescent="0.25">
      <c r="Z9049"/>
      <c r="AO9049" s="6"/>
    </row>
    <row r="9050" spans="26:41" x14ac:dyDescent="0.25">
      <c r="Z9050"/>
      <c r="AO9050" s="6"/>
    </row>
    <row r="9051" spans="26:41" x14ac:dyDescent="0.25">
      <c r="Z9051"/>
      <c r="AO9051" s="6"/>
    </row>
    <row r="9052" spans="26:41" x14ac:dyDescent="0.25">
      <c r="Z9052"/>
      <c r="AO9052" s="6"/>
    </row>
    <row r="9053" spans="26:41" x14ac:dyDescent="0.25">
      <c r="Z9053"/>
      <c r="AO9053" s="6"/>
    </row>
    <row r="9054" spans="26:41" x14ac:dyDescent="0.25">
      <c r="Z9054"/>
      <c r="AO9054" s="6"/>
    </row>
    <row r="9055" spans="26:41" x14ac:dyDescent="0.25">
      <c r="Z9055"/>
      <c r="AO9055" s="6"/>
    </row>
    <row r="9056" spans="26:41" x14ac:dyDescent="0.25">
      <c r="Z9056"/>
      <c r="AO9056" s="6"/>
    </row>
    <row r="9057" spans="26:41" x14ac:dyDescent="0.25">
      <c r="Z9057"/>
      <c r="AO9057" s="6"/>
    </row>
    <row r="9058" spans="26:41" x14ac:dyDescent="0.25">
      <c r="Z9058"/>
      <c r="AO9058" s="6"/>
    </row>
    <row r="9059" spans="26:41" x14ac:dyDescent="0.25">
      <c r="Z9059"/>
      <c r="AO9059" s="6"/>
    </row>
    <row r="9060" spans="26:41" x14ac:dyDescent="0.25">
      <c r="Z9060"/>
      <c r="AO9060" s="6"/>
    </row>
    <row r="9061" spans="26:41" x14ac:dyDescent="0.25">
      <c r="Z9061"/>
      <c r="AO9061" s="6"/>
    </row>
    <row r="9062" spans="26:41" x14ac:dyDescent="0.25">
      <c r="Z9062"/>
      <c r="AO9062" s="6"/>
    </row>
    <row r="9063" spans="26:41" x14ac:dyDescent="0.25">
      <c r="Z9063"/>
      <c r="AO9063" s="6"/>
    </row>
    <row r="9064" spans="26:41" x14ac:dyDescent="0.25">
      <c r="Z9064"/>
      <c r="AO9064" s="6"/>
    </row>
    <row r="9065" spans="26:41" x14ac:dyDescent="0.25">
      <c r="Z9065"/>
      <c r="AO9065" s="6"/>
    </row>
    <row r="9066" spans="26:41" x14ac:dyDescent="0.25">
      <c r="Z9066"/>
      <c r="AO9066" s="6"/>
    </row>
    <row r="9067" spans="26:41" x14ac:dyDescent="0.25">
      <c r="Z9067"/>
      <c r="AO9067" s="6"/>
    </row>
    <row r="9068" spans="26:41" x14ac:dyDescent="0.25">
      <c r="Z9068"/>
      <c r="AO9068" s="6"/>
    </row>
    <row r="9069" spans="26:41" x14ac:dyDescent="0.25">
      <c r="Z9069"/>
      <c r="AO9069" s="6"/>
    </row>
    <row r="9070" spans="26:41" x14ac:dyDescent="0.25">
      <c r="Z9070"/>
      <c r="AO9070" s="6"/>
    </row>
    <row r="9071" spans="26:41" x14ac:dyDescent="0.25">
      <c r="Z9071"/>
      <c r="AO9071" s="6"/>
    </row>
    <row r="9072" spans="26:41" x14ac:dyDescent="0.25">
      <c r="Z9072"/>
      <c r="AO9072" s="6"/>
    </row>
    <row r="9073" spans="26:41" x14ac:dyDescent="0.25">
      <c r="Z9073"/>
      <c r="AO9073" s="6"/>
    </row>
    <row r="9074" spans="26:41" x14ac:dyDescent="0.25">
      <c r="Z9074"/>
      <c r="AO9074" s="6"/>
    </row>
    <row r="9075" spans="26:41" x14ac:dyDescent="0.25">
      <c r="Z9075"/>
      <c r="AO9075" s="6"/>
    </row>
    <row r="9076" spans="26:41" x14ac:dyDescent="0.25">
      <c r="Z9076"/>
      <c r="AO9076" s="6"/>
    </row>
    <row r="9077" spans="26:41" x14ac:dyDescent="0.25">
      <c r="Z9077"/>
      <c r="AO9077" s="6"/>
    </row>
    <row r="9078" spans="26:41" x14ac:dyDescent="0.25">
      <c r="Z9078"/>
      <c r="AO9078" s="6"/>
    </row>
    <row r="9079" spans="26:41" x14ac:dyDescent="0.25">
      <c r="Z9079"/>
      <c r="AO9079" s="6"/>
    </row>
    <row r="9080" spans="26:41" x14ac:dyDescent="0.25">
      <c r="Z9080"/>
      <c r="AO9080" s="6"/>
    </row>
    <row r="9081" spans="26:41" x14ac:dyDescent="0.25">
      <c r="Z9081"/>
      <c r="AO9081" s="6"/>
    </row>
    <row r="9082" spans="26:41" x14ac:dyDescent="0.25">
      <c r="Z9082"/>
      <c r="AO9082" s="6"/>
    </row>
    <row r="9083" spans="26:41" x14ac:dyDescent="0.25">
      <c r="Z9083"/>
      <c r="AO9083" s="6"/>
    </row>
    <row r="9084" spans="26:41" x14ac:dyDescent="0.25">
      <c r="Z9084"/>
      <c r="AO9084" s="6"/>
    </row>
    <row r="9085" spans="26:41" x14ac:dyDescent="0.25">
      <c r="Z9085"/>
      <c r="AO9085" s="6"/>
    </row>
    <row r="9086" spans="26:41" x14ac:dyDescent="0.25">
      <c r="Z9086"/>
      <c r="AO9086" s="6"/>
    </row>
    <row r="9087" spans="26:41" x14ac:dyDescent="0.25">
      <c r="Z9087"/>
      <c r="AO9087" s="6"/>
    </row>
    <row r="9088" spans="26:41" x14ac:dyDescent="0.25">
      <c r="Z9088"/>
      <c r="AO9088" s="6"/>
    </row>
    <row r="9089" spans="26:41" x14ac:dyDescent="0.25">
      <c r="Z9089"/>
      <c r="AO9089" s="6"/>
    </row>
    <row r="9090" spans="26:41" x14ac:dyDescent="0.25">
      <c r="Z9090"/>
      <c r="AO9090" s="6"/>
    </row>
    <row r="9091" spans="26:41" x14ac:dyDescent="0.25">
      <c r="Z9091"/>
      <c r="AO9091" s="6"/>
    </row>
    <row r="9092" spans="26:41" x14ac:dyDescent="0.25">
      <c r="Z9092"/>
      <c r="AO9092" s="6"/>
    </row>
    <row r="9093" spans="26:41" x14ac:dyDescent="0.25">
      <c r="Z9093"/>
      <c r="AO9093" s="6"/>
    </row>
    <row r="9094" spans="26:41" x14ac:dyDescent="0.25">
      <c r="Z9094"/>
      <c r="AO9094" s="6"/>
    </row>
    <row r="9095" spans="26:41" x14ac:dyDescent="0.25">
      <c r="Z9095"/>
      <c r="AO9095" s="6"/>
    </row>
    <row r="9096" spans="26:41" x14ac:dyDescent="0.25">
      <c r="Z9096"/>
      <c r="AO9096" s="6"/>
    </row>
    <row r="9097" spans="26:41" x14ac:dyDescent="0.25">
      <c r="Z9097"/>
      <c r="AO9097" s="6"/>
    </row>
    <row r="9098" spans="26:41" x14ac:dyDescent="0.25">
      <c r="Z9098"/>
      <c r="AO9098" s="6"/>
    </row>
    <row r="9099" spans="26:41" x14ac:dyDescent="0.25">
      <c r="Z9099"/>
      <c r="AO9099" s="6"/>
    </row>
    <row r="9100" spans="26:41" x14ac:dyDescent="0.25">
      <c r="Z9100"/>
      <c r="AO9100" s="6"/>
    </row>
    <row r="9101" spans="26:41" x14ac:dyDescent="0.25">
      <c r="Z9101"/>
      <c r="AO9101" s="6"/>
    </row>
    <row r="9102" spans="26:41" x14ac:dyDescent="0.25">
      <c r="Z9102"/>
      <c r="AO9102" s="6"/>
    </row>
    <row r="9103" spans="26:41" x14ac:dyDescent="0.25">
      <c r="Z9103"/>
      <c r="AO9103" s="6"/>
    </row>
    <row r="9104" spans="26:41" x14ac:dyDescent="0.25">
      <c r="Z9104"/>
      <c r="AO9104" s="6"/>
    </row>
    <row r="9105" spans="26:41" x14ac:dyDescent="0.25">
      <c r="Z9105"/>
      <c r="AO9105" s="6"/>
    </row>
    <row r="9106" spans="26:41" x14ac:dyDescent="0.25">
      <c r="Z9106"/>
      <c r="AO9106" s="6"/>
    </row>
    <row r="9107" spans="26:41" x14ac:dyDescent="0.25">
      <c r="Z9107"/>
      <c r="AO9107" s="6"/>
    </row>
    <row r="9108" spans="26:41" x14ac:dyDescent="0.25">
      <c r="Z9108"/>
      <c r="AO9108" s="6"/>
    </row>
    <row r="9109" spans="26:41" x14ac:dyDescent="0.25">
      <c r="Z9109"/>
      <c r="AO9109" s="6"/>
    </row>
    <row r="9110" spans="26:41" x14ac:dyDescent="0.25">
      <c r="Z9110"/>
      <c r="AO9110" s="6"/>
    </row>
    <row r="9111" spans="26:41" x14ac:dyDescent="0.25">
      <c r="Z9111"/>
      <c r="AO9111" s="6"/>
    </row>
    <row r="9112" spans="26:41" x14ac:dyDescent="0.25">
      <c r="Z9112"/>
      <c r="AO9112" s="6"/>
    </row>
    <row r="9113" spans="26:41" x14ac:dyDescent="0.25">
      <c r="Z9113"/>
      <c r="AO9113" s="6"/>
    </row>
    <row r="9114" spans="26:41" x14ac:dyDescent="0.25">
      <c r="Z9114"/>
      <c r="AO9114" s="6"/>
    </row>
    <row r="9115" spans="26:41" x14ac:dyDescent="0.25">
      <c r="Z9115"/>
      <c r="AO9115" s="6"/>
    </row>
    <row r="9116" spans="26:41" x14ac:dyDescent="0.25">
      <c r="Z9116"/>
      <c r="AO9116" s="6"/>
    </row>
    <row r="9117" spans="26:41" x14ac:dyDescent="0.25">
      <c r="Z9117"/>
      <c r="AO9117" s="6"/>
    </row>
    <row r="9118" spans="26:41" x14ac:dyDescent="0.25">
      <c r="Z9118"/>
      <c r="AO9118" s="6"/>
    </row>
    <row r="9119" spans="26:41" x14ac:dyDescent="0.25">
      <c r="Z9119"/>
      <c r="AO9119" s="6"/>
    </row>
    <row r="9120" spans="26:41" x14ac:dyDescent="0.25">
      <c r="Z9120"/>
      <c r="AO9120" s="6"/>
    </row>
    <row r="9121" spans="26:41" x14ac:dyDescent="0.25">
      <c r="Z9121"/>
      <c r="AO9121" s="6"/>
    </row>
    <row r="9122" spans="26:41" x14ac:dyDescent="0.25">
      <c r="Z9122"/>
      <c r="AO9122" s="6"/>
    </row>
    <row r="9123" spans="26:41" x14ac:dyDescent="0.25">
      <c r="Z9123"/>
      <c r="AO9123" s="6"/>
    </row>
    <row r="9124" spans="26:41" x14ac:dyDescent="0.25">
      <c r="Z9124"/>
      <c r="AO9124" s="6"/>
    </row>
    <row r="9125" spans="26:41" x14ac:dyDescent="0.25">
      <c r="Z9125"/>
      <c r="AO9125" s="6"/>
    </row>
    <row r="9126" spans="26:41" x14ac:dyDescent="0.25">
      <c r="Z9126"/>
      <c r="AO9126" s="6"/>
    </row>
    <row r="9127" spans="26:41" x14ac:dyDescent="0.25">
      <c r="Z9127"/>
      <c r="AO9127" s="6"/>
    </row>
    <row r="9128" spans="26:41" x14ac:dyDescent="0.25">
      <c r="Z9128"/>
      <c r="AO9128" s="6"/>
    </row>
    <row r="9129" spans="26:41" x14ac:dyDescent="0.25">
      <c r="Z9129"/>
      <c r="AO9129" s="6"/>
    </row>
    <row r="9130" spans="26:41" x14ac:dyDescent="0.25">
      <c r="Z9130"/>
      <c r="AO9130" s="6"/>
    </row>
    <row r="9131" spans="26:41" x14ac:dyDescent="0.25">
      <c r="Z9131"/>
      <c r="AO9131" s="6"/>
    </row>
    <row r="9132" spans="26:41" x14ac:dyDescent="0.25">
      <c r="Z9132"/>
      <c r="AO9132" s="6"/>
    </row>
    <row r="9133" spans="26:41" x14ac:dyDescent="0.25">
      <c r="Z9133"/>
      <c r="AO9133" s="6"/>
    </row>
    <row r="9134" spans="26:41" x14ac:dyDescent="0.25">
      <c r="Z9134"/>
      <c r="AO9134" s="6"/>
    </row>
    <row r="9135" spans="26:41" x14ac:dyDescent="0.25">
      <c r="Z9135"/>
      <c r="AO9135" s="6"/>
    </row>
    <row r="9136" spans="26:41" x14ac:dyDescent="0.25">
      <c r="Z9136"/>
      <c r="AO9136" s="6"/>
    </row>
    <row r="9137" spans="26:41" x14ac:dyDescent="0.25">
      <c r="Z9137"/>
      <c r="AO9137" s="6"/>
    </row>
    <row r="9138" spans="26:41" x14ac:dyDescent="0.25">
      <c r="Z9138"/>
      <c r="AO9138" s="6"/>
    </row>
    <row r="9139" spans="26:41" x14ac:dyDescent="0.25">
      <c r="Z9139"/>
      <c r="AO9139" s="6"/>
    </row>
    <row r="9140" spans="26:41" x14ac:dyDescent="0.25">
      <c r="Z9140"/>
      <c r="AO9140" s="6"/>
    </row>
    <row r="9141" spans="26:41" x14ac:dyDescent="0.25">
      <c r="Z9141"/>
      <c r="AO9141" s="6"/>
    </row>
    <row r="9142" spans="26:41" x14ac:dyDescent="0.25">
      <c r="Z9142"/>
      <c r="AO9142" s="6"/>
    </row>
    <row r="9143" spans="26:41" x14ac:dyDescent="0.25">
      <c r="Z9143"/>
      <c r="AO9143" s="6"/>
    </row>
    <row r="9144" spans="26:41" x14ac:dyDescent="0.25">
      <c r="Z9144"/>
      <c r="AO9144" s="6"/>
    </row>
    <row r="9145" spans="26:41" x14ac:dyDescent="0.25">
      <c r="Z9145"/>
      <c r="AO9145" s="6"/>
    </row>
    <row r="9146" spans="26:41" x14ac:dyDescent="0.25">
      <c r="Z9146"/>
      <c r="AO9146" s="6"/>
    </row>
    <row r="9147" spans="26:41" x14ac:dyDescent="0.25">
      <c r="Z9147"/>
      <c r="AO9147" s="6"/>
    </row>
    <row r="9148" spans="26:41" x14ac:dyDescent="0.25">
      <c r="Z9148"/>
      <c r="AO9148" s="6"/>
    </row>
    <row r="9149" spans="26:41" x14ac:dyDescent="0.25">
      <c r="Z9149"/>
      <c r="AO9149" s="6"/>
    </row>
    <row r="9150" spans="26:41" x14ac:dyDescent="0.25">
      <c r="Z9150"/>
      <c r="AO9150" s="6"/>
    </row>
    <row r="9151" spans="26:41" x14ac:dyDescent="0.25">
      <c r="Z9151"/>
      <c r="AO9151" s="6"/>
    </row>
    <row r="9152" spans="26:41" x14ac:dyDescent="0.25">
      <c r="Z9152"/>
      <c r="AO9152" s="6"/>
    </row>
    <row r="9153" spans="26:41" x14ac:dyDescent="0.25">
      <c r="Z9153"/>
      <c r="AO9153" s="6"/>
    </row>
    <row r="9154" spans="26:41" x14ac:dyDescent="0.25">
      <c r="Z9154"/>
      <c r="AO9154" s="6"/>
    </row>
    <row r="9155" spans="26:41" x14ac:dyDescent="0.25">
      <c r="Z9155"/>
      <c r="AO9155" s="6"/>
    </row>
    <row r="9156" spans="26:41" x14ac:dyDescent="0.25">
      <c r="Z9156"/>
      <c r="AO9156" s="6"/>
    </row>
    <row r="9157" spans="26:41" x14ac:dyDescent="0.25">
      <c r="Z9157"/>
      <c r="AO9157" s="6"/>
    </row>
    <row r="9158" spans="26:41" x14ac:dyDescent="0.25">
      <c r="Z9158"/>
      <c r="AO9158" s="6"/>
    </row>
    <row r="9159" spans="26:41" x14ac:dyDescent="0.25">
      <c r="Z9159"/>
      <c r="AO9159" s="6"/>
    </row>
    <row r="9160" spans="26:41" x14ac:dyDescent="0.25">
      <c r="Z9160"/>
      <c r="AO9160" s="6"/>
    </row>
    <row r="9161" spans="26:41" x14ac:dyDescent="0.25">
      <c r="Z9161"/>
      <c r="AO9161" s="6"/>
    </row>
    <row r="9162" spans="26:41" x14ac:dyDescent="0.25">
      <c r="Z9162"/>
      <c r="AO9162" s="6"/>
    </row>
    <row r="9163" spans="26:41" x14ac:dyDescent="0.25">
      <c r="Z9163"/>
      <c r="AO9163" s="6"/>
    </row>
    <row r="9164" spans="26:41" x14ac:dyDescent="0.25">
      <c r="Z9164"/>
      <c r="AO9164" s="6"/>
    </row>
    <row r="9165" spans="26:41" x14ac:dyDescent="0.25">
      <c r="Z9165"/>
      <c r="AO9165" s="6"/>
    </row>
    <row r="9166" spans="26:41" x14ac:dyDescent="0.25">
      <c r="Z9166"/>
      <c r="AO9166" s="6"/>
    </row>
    <row r="9167" spans="26:41" x14ac:dyDescent="0.25">
      <c r="Z9167"/>
      <c r="AO9167" s="6"/>
    </row>
    <row r="9168" spans="26:41" x14ac:dyDescent="0.25">
      <c r="Z9168"/>
      <c r="AO9168" s="6"/>
    </row>
    <row r="9169" spans="26:41" x14ac:dyDescent="0.25">
      <c r="Z9169"/>
      <c r="AO9169" s="6"/>
    </row>
    <row r="9170" spans="26:41" x14ac:dyDescent="0.25">
      <c r="Z9170"/>
      <c r="AO9170" s="6"/>
    </row>
    <row r="9171" spans="26:41" x14ac:dyDescent="0.25">
      <c r="Z9171"/>
      <c r="AO9171" s="6"/>
    </row>
    <row r="9172" spans="26:41" x14ac:dyDescent="0.25">
      <c r="Z9172"/>
      <c r="AO9172" s="6"/>
    </row>
    <row r="9173" spans="26:41" x14ac:dyDescent="0.25">
      <c r="Z9173"/>
      <c r="AO9173" s="6"/>
    </row>
    <row r="9174" spans="26:41" x14ac:dyDescent="0.25">
      <c r="Z9174"/>
      <c r="AO9174" s="6"/>
    </row>
    <row r="9175" spans="26:41" x14ac:dyDescent="0.25">
      <c r="Z9175"/>
      <c r="AO9175" s="6"/>
    </row>
    <row r="9176" spans="26:41" x14ac:dyDescent="0.25">
      <c r="Z9176"/>
      <c r="AO9176" s="6"/>
    </row>
    <row r="9177" spans="26:41" x14ac:dyDescent="0.25">
      <c r="Z9177"/>
      <c r="AO9177" s="6"/>
    </row>
    <row r="9178" spans="26:41" x14ac:dyDescent="0.25">
      <c r="Z9178"/>
      <c r="AO9178" s="6"/>
    </row>
    <row r="9179" spans="26:41" x14ac:dyDescent="0.25">
      <c r="Z9179"/>
      <c r="AO9179" s="6"/>
    </row>
    <row r="9180" spans="26:41" x14ac:dyDescent="0.25">
      <c r="Z9180"/>
      <c r="AO9180" s="6"/>
    </row>
    <row r="9181" spans="26:41" x14ac:dyDescent="0.25">
      <c r="Z9181"/>
      <c r="AO9181" s="6"/>
    </row>
    <row r="9182" spans="26:41" x14ac:dyDescent="0.25">
      <c r="Z9182"/>
      <c r="AO9182" s="6"/>
    </row>
    <row r="9183" spans="26:41" x14ac:dyDescent="0.25">
      <c r="Z9183"/>
      <c r="AO9183" s="6"/>
    </row>
    <row r="9184" spans="26:41" x14ac:dyDescent="0.25">
      <c r="Z9184"/>
      <c r="AO9184" s="6"/>
    </row>
    <row r="9185" spans="26:41" x14ac:dyDescent="0.25">
      <c r="Z9185"/>
      <c r="AO9185" s="6"/>
    </row>
    <row r="9186" spans="26:41" x14ac:dyDescent="0.25">
      <c r="Z9186"/>
      <c r="AO9186" s="6"/>
    </row>
    <row r="9187" spans="26:41" x14ac:dyDescent="0.25">
      <c r="Z9187"/>
      <c r="AO9187" s="6"/>
    </row>
    <row r="9188" spans="26:41" x14ac:dyDescent="0.25">
      <c r="Z9188"/>
      <c r="AO9188" s="6"/>
    </row>
    <row r="9189" spans="26:41" x14ac:dyDescent="0.25">
      <c r="Z9189"/>
      <c r="AO9189" s="6"/>
    </row>
    <row r="9190" spans="26:41" x14ac:dyDescent="0.25">
      <c r="Z9190"/>
      <c r="AO9190" s="6"/>
    </row>
    <row r="9191" spans="26:41" x14ac:dyDescent="0.25">
      <c r="Z9191"/>
      <c r="AO9191" s="6"/>
    </row>
    <row r="9192" spans="26:41" x14ac:dyDescent="0.25">
      <c r="Z9192"/>
      <c r="AO9192" s="6"/>
    </row>
    <row r="9193" spans="26:41" x14ac:dyDescent="0.25">
      <c r="Z9193"/>
      <c r="AO9193" s="6"/>
    </row>
    <row r="9194" spans="26:41" x14ac:dyDescent="0.25">
      <c r="Z9194"/>
      <c r="AO9194" s="6"/>
    </row>
    <row r="9195" spans="26:41" x14ac:dyDescent="0.25">
      <c r="Z9195"/>
      <c r="AO9195" s="6"/>
    </row>
    <row r="9196" spans="26:41" x14ac:dyDescent="0.25">
      <c r="Z9196"/>
      <c r="AO9196" s="6"/>
    </row>
    <row r="9197" spans="26:41" x14ac:dyDescent="0.25">
      <c r="Z9197"/>
      <c r="AO9197" s="6"/>
    </row>
    <row r="9198" spans="26:41" x14ac:dyDescent="0.25">
      <c r="Z9198"/>
      <c r="AO9198" s="6"/>
    </row>
    <row r="9199" spans="26:41" x14ac:dyDescent="0.25">
      <c r="Z9199"/>
      <c r="AO9199" s="6"/>
    </row>
    <row r="9200" spans="26:41" x14ac:dyDescent="0.25">
      <c r="Z9200"/>
      <c r="AO9200" s="6"/>
    </row>
    <row r="9201" spans="26:41" x14ac:dyDescent="0.25">
      <c r="Z9201"/>
      <c r="AO9201" s="6"/>
    </row>
    <row r="9202" spans="26:41" x14ac:dyDescent="0.25">
      <c r="Z9202"/>
      <c r="AO9202" s="6"/>
    </row>
    <row r="9203" spans="26:41" x14ac:dyDescent="0.25">
      <c r="Z9203"/>
      <c r="AO9203" s="6"/>
    </row>
    <row r="9204" spans="26:41" x14ac:dyDescent="0.25">
      <c r="Z9204"/>
      <c r="AO9204" s="6"/>
    </row>
    <row r="9205" spans="26:41" x14ac:dyDescent="0.25">
      <c r="Z9205"/>
      <c r="AO9205" s="6"/>
    </row>
    <row r="9206" spans="26:41" x14ac:dyDescent="0.25">
      <c r="Z9206"/>
      <c r="AO9206" s="6"/>
    </row>
    <row r="9207" spans="26:41" x14ac:dyDescent="0.25">
      <c r="Z9207"/>
      <c r="AO9207" s="6"/>
    </row>
    <row r="9208" spans="26:41" x14ac:dyDescent="0.25">
      <c r="Z9208"/>
      <c r="AO9208" s="6"/>
    </row>
    <row r="9209" spans="26:41" x14ac:dyDescent="0.25">
      <c r="Z9209"/>
      <c r="AO9209" s="6"/>
    </row>
    <row r="9210" spans="26:41" x14ac:dyDescent="0.25">
      <c r="Z9210"/>
      <c r="AO9210" s="6"/>
    </row>
    <row r="9211" spans="26:41" x14ac:dyDescent="0.25">
      <c r="Z9211"/>
      <c r="AO9211" s="6"/>
    </row>
    <row r="9212" spans="26:41" x14ac:dyDescent="0.25">
      <c r="Z9212"/>
      <c r="AO9212" s="6"/>
    </row>
    <row r="9213" spans="26:41" x14ac:dyDescent="0.25">
      <c r="Z9213"/>
      <c r="AO9213" s="6"/>
    </row>
    <row r="9214" spans="26:41" x14ac:dyDescent="0.25">
      <c r="Z9214"/>
      <c r="AO9214" s="6"/>
    </row>
    <row r="9215" spans="26:41" x14ac:dyDescent="0.25">
      <c r="Z9215"/>
      <c r="AO9215" s="6"/>
    </row>
    <row r="9216" spans="26:41" x14ac:dyDescent="0.25">
      <c r="Z9216"/>
      <c r="AO9216" s="6"/>
    </row>
    <row r="9217" spans="26:41" x14ac:dyDescent="0.25">
      <c r="Z9217"/>
      <c r="AO9217" s="6"/>
    </row>
    <row r="9218" spans="26:41" x14ac:dyDescent="0.25">
      <c r="Z9218"/>
      <c r="AO9218" s="6"/>
    </row>
    <row r="9219" spans="26:41" x14ac:dyDescent="0.25">
      <c r="Z9219"/>
      <c r="AO9219" s="6"/>
    </row>
    <row r="9220" spans="26:41" x14ac:dyDescent="0.25">
      <c r="Z9220"/>
      <c r="AO9220" s="6"/>
    </row>
    <row r="9221" spans="26:41" x14ac:dyDescent="0.25">
      <c r="Z9221"/>
      <c r="AO9221" s="6"/>
    </row>
    <row r="9222" spans="26:41" x14ac:dyDescent="0.25">
      <c r="Z9222"/>
      <c r="AO9222" s="6"/>
    </row>
    <row r="9223" spans="26:41" x14ac:dyDescent="0.25">
      <c r="Z9223"/>
      <c r="AO9223" s="6"/>
    </row>
    <row r="9224" spans="26:41" x14ac:dyDescent="0.25">
      <c r="Z9224"/>
      <c r="AO9224" s="6"/>
    </row>
    <row r="9225" spans="26:41" x14ac:dyDescent="0.25">
      <c r="Z9225"/>
      <c r="AO9225" s="6"/>
    </row>
    <row r="9226" spans="26:41" x14ac:dyDescent="0.25">
      <c r="Z9226"/>
      <c r="AO9226" s="6"/>
    </row>
    <row r="9227" spans="26:41" x14ac:dyDescent="0.25">
      <c r="Z9227"/>
      <c r="AO9227" s="6"/>
    </row>
    <row r="9228" spans="26:41" x14ac:dyDescent="0.25">
      <c r="Z9228"/>
      <c r="AO9228" s="6"/>
    </row>
    <row r="9229" spans="26:41" x14ac:dyDescent="0.25">
      <c r="Z9229"/>
      <c r="AO9229" s="6"/>
    </row>
    <row r="9230" spans="26:41" x14ac:dyDescent="0.25">
      <c r="Z9230"/>
      <c r="AO9230" s="6"/>
    </row>
    <row r="9231" spans="26:41" x14ac:dyDescent="0.25">
      <c r="Z9231"/>
      <c r="AO9231" s="6"/>
    </row>
    <row r="9232" spans="26:41" x14ac:dyDescent="0.25">
      <c r="Z9232"/>
      <c r="AO9232" s="6"/>
    </row>
    <row r="9233" spans="26:41" x14ac:dyDescent="0.25">
      <c r="Z9233"/>
      <c r="AO9233" s="6"/>
    </row>
    <row r="9234" spans="26:41" x14ac:dyDescent="0.25">
      <c r="Z9234"/>
      <c r="AO9234" s="6"/>
    </row>
    <row r="9235" spans="26:41" x14ac:dyDescent="0.25">
      <c r="Z9235"/>
      <c r="AO9235" s="6"/>
    </row>
    <row r="9236" spans="26:41" x14ac:dyDescent="0.25">
      <c r="Z9236"/>
      <c r="AO9236" s="6"/>
    </row>
    <row r="9237" spans="26:41" x14ac:dyDescent="0.25">
      <c r="Z9237"/>
      <c r="AO9237" s="6"/>
    </row>
    <row r="9238" spans="26:41" x14ac:dyDescent="0.25">
      <c r="Z9238"/>
      <c r="AO9238" s="6"/>
    </row>
    <row r="9239" spans="26:41" x14ac:dyDescent="0.25">
      <c r="Z9239"/>
      <c r="AO9239" s="6"/>
    </row>
    <row r="9240" spans="26:41" x14ac:dyDescent="0.25">
      <c r="Z9240"/>
      <c r="AO9240" s="6"/>
    </row>
    <row r="9241" spans="26:41" x14ac:dyDescent="0.25">
      <c r="Z9241"/>
      <c r="AO9241" s="6"/>
    </row>
    <row r="9242" spans="26:41" x14ac:dyDescent="0.25">
      <c r="Z9242"/>
      <c r="AO9242" s="6"/>
    </row>
    <row r="9243" spans="26:41" x14ac:dyDescent="0.25">
      <c r="Z9243"/>
      <c r="AO9243" s="6"/>
    </row>
    <row r="9244" spans="26:41" x14ac:dyDescent="0.25">
      <c r="Z9244"/>
      <c r="AO9244" s="6"/>
    </row>
    <row r="9245" spans="26:41" x14ac:dyDescent="0.25">
      <c r="Z9245"/>
      <c r="AO9245" s="6"/>
    </row>
    <row r="9246" spans="26:41" x14ac:dyDescent="0.25">
      <c r="Z9246"/>
      <c r="AO9246" s="6"/>
    </row>
    <row r="9247" spans="26:41" x14ac:dyDescent="0.25">
      <c r="Z9247"/>
      <c r="AO9247" s="6"/>
    </row>
    <row r="9248" spans="26:41" x14ac:dyDescent="0.25">
      <c r="Z9248"/>
      <c r="AO9248" s="6"/>
    </row>
    <row r="9249" spans="26:41" x14ac:dyDescent="0.25">
      <c r="Z9249"/>
      <c r="AO9249" s="6"/>
    </row>
    <row r="9250" spans="26:41" x14ac:dyDescent="0.25">
      <c r="Z9250"/>
      <c r="AO9250" s="6"/>
    </row>
    <row r="9251" spans="26:41" x14ac:dyDescent="0.25">
      <c r="Z9251"/>
      <c r="AO9251" s="6"/>
    </row>
    <row r="9252" spans="26:41" x14ac:dyDescent="0.25">
      <c r="Z9252"/>
      <c r="AO9252" s="6"/>
    </row>
    <row r="9253" spans="26:41" x14ac:dyDescent="0.25">
      <c r="Z9253"/>
      <c r="AO9253" s="6"/>
    </row>
    <row r="9254" spans="26:41" x14ac:dyDescent="0.25">
      <c r="Z9254"/>
      <c r="AO9254" s="6"/>
    </row>
    <row r="9255" spans="26:41" x14ac:dyDescent="0.25">
      <c r="Z9255"/>
      <c r="AO9255" s="6"/>
    </row>
    <row r="9256" spans="26:41" x14ac:dyDescent="0.25">
      <c r="Z9256"/>
      <c r="AO9256" s="6"/>
    </row>
    <row r="9257" spans="26:41" x14ac:dyDescent="0.25">
      <c r="Z9257"/>
      <c r="AO9257" s="6"/>
    </row>
    <row r="9258" spans="26:41" x14ac:dyDescent="0.25">
      <c r="Z9258"/>
      <c r="AO9258" s="6"/>
    </row>
    <row r="9259" spans="26:41" x14ac:dyDescent="0.25">
      <c r="Z9259"/>
      <c r="AO9259" s="6"/>
    </row>
    <row r="9260" spans="26:41" x14ac:dyDescent="0.25">
      <c r="Z9260"/>
      <c r="AO9260" s="6"/>
    </row>
    <row r="9261" spans="26:41" x14ac:dyDescent="0.25">
      <c r="Z9261"/>
      <c r="AO9261" s="6"/>
    </row>
    <row r="9262" spans="26:41" x14ac:dyDescent="0.25">
      <c r="Z9262"/>
      <c r="AO9262" s="6"/>
    </row>
    <row r="9263" spans="26:41" x14ac:dyDescent="0.25">
      <c r="Z9263"/>
      <c r="AO9263" s="6"/>
    </row>
    <row r="9264" spans="26:41" x14ac:dyDescent="0.25">
      <c r="Z9264"/>
      <c r="AO9264" s="6"/>
    </row>
    <row r="9265" spans="26:41" x14ac:dyDescent="0.25">
      <c r="Z9265"/>
      <c r="AO9265" s="6"/>
    </row>
    <row r="9266" spans="26:41" x14ac:dyDescent="0.25">
      <c r="Z9266"/>
      <c r="AO9266" s="6"/>
    </row>
    <row r="9267" spans="26:41" x14ac:dyDescent="0.25">
      <c r="Z9267"/>
      <c r="AO9267" s="6"/>
    </row>
    <row r="9268" spans="26:41" x14ac:dyDescent="0.25">
      <c r="Z9268"/>
      <c r="AO9268" s="6"/>
    </row>
    <row r="9269" spans="26:41" x14ac:dyDescent="0.25">
      <c r="Z9269"/>
      <c r="AO9269" s="6"/>
    </row>
    <row r="9270" spans="26:41" x14ac:dyDescent="0.25">
      <c r="Z9270"/>
      <c r="AO9270" s="6"/>
    </row>
    <row r="9271" spans="26:41" x14ac:dyDescent="0.25">
      <c r="Z9271"/>
      <c r="AO9271" s="6"/>
    </row>
    <row r="9272" spans="26:41" x14ac:dyDescent="0.25">
      <c r="Z9272"/>
      <c r="AO9272" s="6"/>
    </row>
    <row r="9273" spans="26:41" x14ac:dyDescent="0.25">
      <c r="Z9273"/>
      <c r="AO9273" s="6"/>
    </row>
    <row r="9274" spans="26:41" x14ac:dyDescent="0.25">
      <c r="Z9274"/>
      <c r="AO9274" s="6"/>
    </row>
    <row r="9275" spans="26:41" x14ac:dyDescent="0.25">
      <c r="Z9275"/>
      <c r="AO9275" s="6"/>
    </row>
    <row r="9276" spans="26:41" x14ac:dyDescent="0.25">
      <c r="Z9276"/>
      <c r="AO9276" s="6"/>
    </row>
    <row r="9277" spans="26:41" x14ac:dyDescent="0.25">
      <c r="Z9277"/>
      <c r="AO9277" s="6"/>
    </row>
    <row r="9278" spans="26:41" x14ac:dyDescent="0.25">
      <c r="Z9278"/>
      <c r="AO9278" s="6"/>
    </row>
    <row r="9279" spans="26:41" x14ac:dyDescent="0.25">
      <c r="Z9279"/>
      <c r="AO9279" s="6"/>
    </row>
    <row r="9280" spans="26:41" x14ac:dyDescent="0.25">
      <c r="Z9280"/>
      <c r="AO9280" s="6"/>
    </row>
    <row r="9281" spans="26:41" x14ac:dyDescent="0.25">
      <c r="Z9281"/>
      <c r="AO9281" s="6"/>
    </row>
    <row r="9282" spans="26:41" x14ac:dyDescent="0.25">
      <c r="Z9282"/>
      <c r="AO9282" s="6"/>
    </row>
    <row r="9283" spans="26:41" x14ac:dyDescent="0.25">
      <c r="Z9283"/>
      <c r="AO9283" s="6"/>
    </row>
    <row r="9284" spans="26:41" x14ac:dyDescent="0.25">
      <c r="Z9284"/>
      <c r="AO9284" s="6"/>
    </row>
    <row r="9285" spans="26:41" x14ac:dyDescent="0.25">
      <c r="Z9285"/>
      <c r="AO9285" s="6"/>
    </row>
    <row r="9286" spans="26:41" x14ac:dyDescent="0.25">
      <c r="Z9286"/>
      <c r="AO9286" s="6"/>
    </row>
    <row r="9287" spans="26:41" x14ac:dyDescent="0.25">
      <c r="Z9287"/>
      <c r="AO9287" s="6"/>
    </row>
    <row r="9288" spans="26:41" x14ac:dyDescent="0.25">
      <c r="Z9288"/>
      <c r="AO9288" s="6"/>
    </row>
    <row r="9289" spans="26:41" x14ac:dyDescent="0.25">
      <c r="Z9289"/>
      <c r="AO9289" s="6"/>
    </row>
    <row r="9290" spans="26:41" x14ac:dyDescent="0.25">
      <c r="Z9290"/>
      <c r="AO9290" s="6"/>
    </row>
    <row r="9291" spans="26:41" x14ac:dyDescent="0.25">
      <c r="Z9291"/>
      <c r="AO9291" s="6"/>
    </row>
    <row r="9292" spans="26:41" x14ac:dyDescent="0.25">
      <c r="Z9292"/>
      <c r="AO9292" s="6"/>
    </row>
    <row r="9293" spans="26:41" x14ac:dyDescent="0.25">
      <c r="Z9293"/>
      <c r="AO9293" s="6"/>
    </row>
    <row r="9294" spans="26:41" x14ac:dyDescent="0.25">
      <c r="Z9294"/>
      <c r="AO9294" s="6"/>
    </row>
    <row r="9295" spans="26:41" x14ac:dyDescent="0.25">
      <c r="Z9295"/>
      <c r="AO9295" s="6"/>
    </row>
    <row r="9296" spans="26:41" x14ac:dyDescent="0.25">
      <c r="Z9296"/>
      <c r="AO9296" s="6"/>
    </row>
    <row r="9297" spans="26:41" x14ac:dyDescent="0.25">
      <c r="Z9297"/>
      <c r="AO9297" s="6"/>
    </row>
    <row r="9298" spans="26:41" x14ac:dyDescent="0.25">
      <c r="Z9298"/>
      <c r="AO9298" s="6"/>
    </row>
    <row r="9299" spans="26:41" x14ac:dyDescent="0.25">
      <c r="Z9299"/>
      <c r="AO9299" s="6"/>
    </row>
    <row r="9300" spans="26:41" x14ac:dyDescent="0.25">
      <c r="Z9300"/>
      <c r="AO9300" s="6"/>
    </row>
    <row r="9301" spans="26:41" x14ac:dyDescent="0.25">
      <c r="Z9301"/>
      <c r="AO9301" s="6"/>
    </row>
    <row r="9302" spans="26:41" x14ac:dyDescent="0.25">
      <c r="Z9302"/>
      <c r="AO9302" s="6"/>
    </row>
    <row r="9303" spans="26:41" x14ac:dyDescent="0.25">
      <c r="Z9303"/>
      <c r="AO9303" s="6"/>
    </row>
    <row r="9304" spans="26:41" x14ac:dyDescent="0.25">
      <c r="Z9304"/>
      <c r="AO9304" s="6"/>
    </row>
    <row r="9305" spans="26:41" x14ac:dyDescent="0.25">
      <c r="Z9305"/>
      <c r="AO9305" s="6"/>
    </row>
    <row r="9306" spans="26:41" x14ac:dyDescent="0.25">
      <c r="Z9306"/>
      <c r="AO9306" s="6"/>
    </row>
    <row r="9307" spans="26:41" x14ac:dyDescent="0.25">
      <c r="Z9307"/>
      <c r="AO9307" s="6"/>
    </row>
    <row r="9308" spans="26:41" x14ac:dyDescent="0.25">
      <c r="Z9308"/>
      <c r="AO9308" s="6"/>
    </row>
    <row r="9309" spans="26:41" x14ac:dyDescent="0.25">
      <c r="Z9309"/>
      <c r="AO9309" s="6"/>
    </row>
    <row r="9310" spans="26:41" x14ac:dyDescent="0.25">
      <c r="Z9310"/>
      <c r="AO9310" s="6"/>
    </row>
    <row r="9311" spans="26:41" x14ac:dyDescent="0.25">
      <c r="Z9311"/>
      <c r="AO9311" s="6"/>
    </row>
    <row r="9312" spans="26:41" x14ac:dyDescent="0.25">
      <c r="Z9312"/>
      <c r="AO9312" s="6"/>
    </row>
    <row r="9313" spans="26:41" x14ac:dyDescent="0.25">
      <c r="Z9313"/>
      <c r="AO9313" s="6"/>
    </row>
    <row r="9314" spans="26:41" x14ac:dyDescent="0.25">
      <c r="Z9314"/>
      <c r="AO9314" s="6"/>
    </row>
    <row r="9315" spans="26:41" x14ac:dyDescent="0.25">
      <c r="Z9315"/>
      <c r="AO9315" s="6"/>
    </row>
    <row r="9316" spans="26:41" x14ac:dyDescent="0.25">
      <c r="Z9316"/>
      <c r="AO9316" s="6"/>
    </row>
    <row r="9317" spans="26:41" x14ac:dyDescent="0.25">
      <c r="Z9317"/>
      <c r="AO9317" s="6"/>
    </row>
    <row r="9318" spans="26:41" x14ac:dyDescent="0.25">
      <c r="Z9318"/>
      <c r="AO9318" s="6"/>
    </row>
    <row r="9319" spans="26:41" x14ac:dyDescent="0.25">
      <c r="Z9319"/>
      <c r="AO9319" s="6"/>
    </row>
    <row r="9320" spans="26:41" x14ac:dyDescent="0.25">
      <c r="Z9320"/>
      <c r="AO9320" s="6"/>
    </row>
    <row r="9321" spans="26:41" x14ac:dyDescent="0.25">
      <c r="Z9321"/>
      <c r="AO9321" s="6"/>
    </row>
    <row r="9322" spans="26:41" x14ac:dyDescent="0.25">
      <c r="Z9322"/>
      <c r="AO9322" s="6"/>
    </row>
    <row r="9323" spans="26:41" x14ac:dyDescent="0.25">
      <c r="Z9323"/>
      <c r="AO9323" s="6"/>
    </row>
    <row r="9324" spans="26:41" x14ac:dyDescent="0.25">
      <c r="Z9324"/>
      <c r="AO9324" s="6"/>
    </row>
    <row r="9325" spans="26:41" x14ac:dyDescent="0.25">
      <c r="Z9325"/>
      <c r="AO9325" s="6"/>
    </row>
    <row r="9326" spans="26:41" x14ac:dyDescent="0.25">
      <c r="Z9326"/>
      <c r="AO9326" s="6"/>
    </row>
    <row r="9327" spans="26:41" x14ac:dyDescent="0.25">
      <c r="Z9327"/>
      <c r="AO9327" s="6"/>
    </row>
    <row r="9328" spans="26:41" x14ac:dyDescent="0.25">
      <c r="Z9328"/>
      <c r="AO9328" s="6"/>
    </row>
    <row r="9329" spans="26:41" x14ac:dyDescent="0.25">
      <c r="Z9329"/>
      <c r="AO9329" s="6"/>
    </row>
    <row r="9330" spans="26:41" x14ac:dyDescent="0.25">
      <c r="Z9330"/>
      <c r="AO9330" s="6"/>
    </row>
    <row r="9331" spans="26:41" x14ac:dyDescent="0.25">
      <c r="Z9331"/>
      <c r="AO9331" s="6"/>
    </row>
    <row r="9332" spans="26:41" x14ac:dyDescent="0.25">
      <c r="Z9332"/>
      <c r="AO9332" s="6"/>
    </row>
    <row r="9333" spans="26:41" x14ac:dyDescent="0.25">
      <c r="Z9333"/>
      <c r="AO9333" s="6"/>
    </row>
    <row r="9334" spans="26:41" x14ac:dyDescent="0.25">
      <c r="Z9334"/>
      <c r="AO9334" s="6"/>
    </row>
    <row r="9335" spans="26:41" x14ac:dyDescent="0.25">
      <c r="Z9335"/>
      <c r="AO9335" s="6"/>
    </row>
    <row r="9336" spans="26:41" x14ac:dyDescent="0.25">
      <c r="Z9336"/>
      <c r="AO9336" s="6"/>
    </row>
    <row r="9337" spans="26:41" x14ac:dyDescent="0.25">
      <c r="Z9337"/>
      <c r="AO9337" s="6"/>
    </row>
    <row r="9338" spans="26:41" x14ac:dyDescent="0.25">
      <c r="Z9338"/>
      <c r="AO9338" s="6"/>
    </row>
    <row r="9339" spans="26:41" x14ac:dyDescent="0.25">
      <c r="Z9339"/>
      <c r="AO9339" s="6"/>
    </row>
    <row r="9340" spans="26:41" x14ac:dyDescent="0.25">
      <c r="Z9340"/>
      <c r="AO9340" s="6"/>
    </row>
    <row r="9341" spans="26:41" x14ac:dyDescent="0.25">
      <c r="Z9341"/>
      <c r="AO9341" s="6"/>
    </row>
    <row r="9342" spans="26:41" x14ac:dyDescent="0.25">
      <c r="Z9342"/>
      <c r="AO9342" s="6"/>
    </row>
    <row r="9343" spans="26:41" x14ac:dyDescent="0.25">
      <c r="Z9343"/>
      <c r="AO9343" s="6"/>
    </row>
    <row r="9344" spans="26:41" x14ac:dyDescent="0.25">
      <c r="Z9344"/>
      <c r="AO9344" s="6"/>
    </row>
    <row r="9345" spans="26:41" x14ac:dyDescent="0.25">
      <c r="Z9345"/>
      <c r="AO9345" s="6"/>
    </row>
    <row r="9346" spans="26:41" x14ac:dyDescent="0.25">
      <c r="Z9346"/>
      <c r="AO9346" s="6"/>
    </row>
    <row r="9347" spans="26:41" x14ac:dyDescent="0.25">
      <c r="Z9347"/>
      <c r="AO9347" s="6"/>
    </row>
    <row r="9348" spans="26:41" x14ac:dyDescent="0.25">
      <c r="Z9348"/>
      <c r="AO9348" s="6"/>
    </row>
    <row r="9349" spans="26:41" x14ac:dyDescent="0.25">
      <c r="Z9349"/>
      <c r="AO9349" s="6"/>
    </row>
    <row r="9350" spans="26:41" x14ac:dyDescent="0.25">
      <c r="Z9350"/>
      <c r="AO9350" s="6"/>
    </row>
    <row r="9351" spans="26:41" x14ac:dyDescent="0.25">
      <c r="Z9351"/>
      <c r="AO9351" s="6"/>
    </row>
    <row r="9352" spans="26:41" x14ac:dyDescent="0.25">
      <c r="Z9352"/>
      <c r="AO9352" s="6"/>
    </row>
    <row r="9353" spans="26:41" x14ac:dyDescent="0.25">
      <c r="Z9353"/>
      <c r="AO9353" s="6"/>
    </row>
    <row r="9354" spans="26:41" x14ac:dyDescent="0.25">
      <c r="Z9354"/>
      <c r="AO9354" s="6"/>
    </row>
    <row r="9355" spans="26:41" x14ac:dyDescent="0.25">
      <c r="Z9355"/>
      <c r="AO9355" s="6"/>
    </row>
    <row r="9356" spans="26:41" x14ac:dyDescent="0.25">
      <c r="Z9356"/>
      <c r="AO9356" s="6"/>
    </row>
    <row r="9357" spans="26:41" x14ac:dyDescent="0.25">
      <c r="Z9357"/>
      <c r="AO9357" s="6"/>
    </row>
    <row r="9358" spans="26:41" x14ac:dyDescent="0.25">
      <c r="Z9358"/>
      <c r="AO9358" s="6"/>
    </row>
    <row r="9359" spans="26:41" x14ac:dyDescent="0.25">
      <c r="Z9359"/>
      <c r="AO9359" s="6"/>
    </row>
    <row r="9360" spans="26:41" x14ac:dyDescent="0.25">
      <c r="Z9360"/>
      <c r="AO9360" s="6"/>
    </row>
    <row r="9361" spans="26:41" x14ac:dyDescent="0.25">
      <c r="Z9361"/>
      <c r="AO9361" s="6"/>
    </row>
    <row r="9362" spans="26:41" x14ac:dyDescent="0.25">
      <c r="Z9362"/>
      <c r="AO9362" s="6"/>
    </row>
    <row r="9363" spans="26:41" x14ac:dyDescent="0.25">
      <c r="Z9363"/>
      <c r="AO9363" s="6"/>
    </row>
    <row r="9364" spans="26:41" x14ac:dyDescent="0.25">
      <c r="Z9364"/>
      <c r="AO9364" s="6"/>
    </row>
    <row r="9365" spans="26:41" x14ac:dyDescent="0.25">
      <c r="Z9365"/>
      <c r="AO9365" s="6"/>
    </row>
    <row r="9366" spans="26:41" x14ac:dyDescent="0.25">
      <c r="Z9366"/>
      <c r="AO9366" s="6"/>
    </row>
    <row r="9367" spans="26:41" x14ac:dyDescent="0.25">
      <c r="Z9367"/>
      <c r="AO9367" s="6"/>
    </row>
    <row r="9368" spans="26:41" x14ac:dyDescent="0.25">
      <c r="Z9368"/>
      <c r="AO9368" s="6"/>
    </row>
    <row r="9369" spans="26:41" x14ac:dyDescent="0.25">
      <c r="Z9369"/>
      <c r="AO9369" s="6"/>
    </row>
    <row r="9370" spans="26:41" x14ac:dyDescent="0.25">
      <c r="Z9370"/>
      <c r="AO9370" s="6"/>
    </row>
    <row r="9371" spans="26:41" x14ac:dyDescent="0.25">
      <c r="Z9371"/>
      <c r="AO9371" s="6"/>
    </row>
    <row r="9372" spans="26:41" x14ac:dyDescent="0.25">
      <c r="Z9372"/>
      <c r="AO9372" s="6"/>
    </row>
    <row r="9373" spans="26:41" x14ac:dyDescent="0.25">
      <c r="Z9373"/>
      <c r="AO9373" s="6"/>
    </row>
    <row r="9374" spans="26:41" x14ac:dyDescent="0.25">
      <c r="Z9374"/>
      <c r="AO9374" s="6"/>
    </row>
    <row r="9375" spans="26:41" x14ac:dyDescent="0.25">
      <c r="Z9375"/>
      <c r="AO9375" s="6"/>
    </row>
    <row r="9376" spans="26:41" x14ac:dyDescent="0.25">
      <c r="Z9376"/>
      <c r="AO9376" s="6"/>
    </row>
    <row r="9377" spans="26:41" x14ac:dyDescent="0.25">
      <c r="Z9377"/>
      <c r="AO9377" s="6"/>
    </row>
    <row r="9378" spans="26:41" x14ac:dyDescent="0.25">
      <c r="Z9378"/>
      <c r="AO9378" s="6"/>
    </row>
    <row r="9379" spans="26:41" x14ac:dyDescent="0.25">
      <c r="Z9379"/>
      <c r="AO9379" s="6"/>
    </row>
    <row r="9380" spans="26:41" x14ac:dyDescent="0.25">
      <c r="Z9380"/>
      <c r="AO9380" s="6"/>
    </row>
    <row r="9381" spans="26:41" x14ac:dyDescent="0.25">
      <c r="Z9381"/>
      <c r="AO9381" s="6"/>
    </row>
    <row r="9382" spans="26:41" x14ac:dyDescent="0.25">
      <c r="Z9382"/>
      <c r="AO9382" s="6"/>
    </row>
    <row r="9383" spans="26:41" x14ac:dyDescent="0.25">
      <c r="Z9383"/>
      <c r="AO9383" s="6"/>
    </row>
    <row r="9384" spans="26:41" x14ac:dyDescent="0.25">
      <c r="Z9384"/>
      <c r="AO9384" s="6"/>
    </row>
    <row r="9385" spans="26:41" x14ac:dyDescent="0.25">
      <c r="Z9385"/>
      <c r="AO9385" s="6"/>
    </row>
    <row r="9386" spans="26:41" x14ac:dyDescent="0.25">
      <c r="Z9386"/>
      <c r="AO9386" s="6"/>
    </row>
    <row r="9387" spans="26:41" x14ac:dyDescent="0.25">
      <c r="Z9387"/>
      <c r="AO9387" s="6"/>
    </row>
    <row r="9388" spans="26:41" x14ac:dyDescent="0.25">
      <c r="Z9388"/>
      <c r="AO9388" s="6"/>
    </row>
    <row r="9389" spans="26:41" x14ac:dyDescent="0.25">
      <c r="Z9389"/>
      <c r="AO9389" s="6"/>
    </row>
    <row r="9390" spans="26:41" x14ac:dyDescent="0.25">
      <c r="Z9390"/>
      <c r="AO9390" s="6"/>
    </row>
    <row r="9391" spans="26:41" x14ac:dyDescent="0.25">
      <c r="Z9391"/>
      <c r="AO9391" s="6"/>
    </row>
    <row r="9392" spans="26:41" x14ac:dyDescent="0.25">
      <c r="Z9392"/>
      <c r="AO9392" s="6"/>
    </row>
    <row r="9393" spans="26:41" x14ac:dyDescent="0.25">
      <c r="Z9393"/>
      <c r="AO9393" s="6"/>
    </row>
    <row r="9394" spans="26:41" x14ac:dyDescent="0.25">
      <c r="Z9394"/>
      <c r="AO9394" s="6"/>
    </row>
    <row r="9395" spans="26:41" x14ac:dyDescent="0.25">
      <c r="Z9395"/>
      <c r="AO9395" s="6"/>
    </row>
    <row r="9396" spans="26:41" x14ac:dyDescent="0.25">
      <c r="Z9396"/>
      <c r="AO9396" s="6"/>
    </row>
    <row r="9397" spans="26:41" x14ac:dyDescent="0.25">
      <c r="Z9397"/>
      <c r="AO9397" s="6"/>
    </row>
    <row r="9398" spans="26:41" x14ac:dyDescent="0.25">
      <c r="Z9398"/>
      <c r="AO9398" s="6"/>
    </row>
    <row r="9399" spans="26:41" x14ac:dyDescent="0.25">
      <c r="Z9399"/>
      <c r="AO9399" s="6"/>
    </row>
    <row r="9400" spans="26:41" x14ac:dyDescent="0.25">
      <c r="Z9400"/>
      <c r="AO9400" s="6"/>
    </row>
    <row r="9401" spans="26:41" x14ac:dyDescent="0.25">
      <c r="Z9401"/>
      <c r="AO9401" s="6"/>
    </row>
    <row r="9402" spans="26:41" x14ac:dyDescent="0.25">
      <c r="Z9402"/>
      <c r="AO9402" s="6"/>
    </row>
    <row r="9403" spans="26:41" x14ac:dyDescent="0.25">
      <c r="Z9403"/>
      <c r="AO9403" s="6"/>
    </row>
    <row r="9404" spans="26:41" x14ac:dyDescent="0.25">
      <c r="Z9404"/>
      <c r="AO9404" s="6"/>
    </row>
    <row r="9405" spans="26:41" x14ac:dyDescent="0.25">
      <c r="Z9405"/>
      <c r="AO9405" s="6"/>
    </row>
    <row r="9406" spans="26:41" x14ac:dyDescent="0.25">
      <c r="Z9406"/>
      <c r="AO9406" s="6"/>
    </row>
    <row r="9407" spans="26:41" x14ac:dyDescent="0.25">
      <c r="Z9407"/>
      <c r="AO9407" s="6"/>
    </row>
    <row r="9408" spans="26:41" x14ac:dyDescent="0.25">
      <c r="Z9408"/>
      <c r="AO9408" s="6"/>
    </row>
    <row r="9409" spans="26:41" x14ac:dyDescent="0.25">
      <c r="Z9409"/>
      <c r="AO9409" s="6"/>
    </row>
    <row r="9410" spans="26:41" x14ac:dyDescent="0.25">
      <c r="Z9410"/>
      <c r="AO9410" s="6"/>
    </row>
    <row r="9411" spans="26:41" x14ac:dyDescent="0.25">
      <c r="Z9411"/>
      <c r="AO9411" s="6"/>
    </row>
    <row r="9412" spans="26:41" x14ac:dyDescent="0.25">
      <c r="Z9412"/>
      <c r="AO9412" s="6"/>
    </row>
    <row r="9413" spans="26:41" x14ac:dyDescent="0.25">
      <c r="Z9413"/>
      <c r="AO9413" s="6"/>
    </row>
    <row r="9414" spans="26:41" x14ac:dyDescent="0.25">
      <c r="Z9414"/>
      <c r="AO9414" s="6"/>
    </row>
    <row r="9415" spans="26:41" x14ac:dyDescent="0.25">
      <c r="Z9415"/>
      <c r="AO9415" s="6"/>
    </row>
    <row r="9416" spans="26:41" x14ac:dyDescent="0.25">
      <c r="Z9416"/>
      <c r="AO9416" s="6"/>
    </row>
    <row r="9417" spans="26:41" x14ac:dyDescent="0.25">
      <c r="Z9417"/>
      <c r="AO9417" s="6"/>
    </row>
    <row r="9418" spans="26:41" x14ac:dyDescent="0.25">
      <c r="Z9418"/>
      <c r="AO9418" s="6"/>
    </row>
    <row r="9419" spans="26:41" x14ac:dyDescent="0.25">
      <c r="Z9419"/>
      <c r="AO9419" s="6"/>
    </row>
    <row r="9420" spans="26:41" x14ac:dyDescent="0.25">
      <c r="Z9420"/>
      <c r="AO9420" s="6"/>
    </row>
    <row r="9421" spans="26:41" x14ac:dyDescent="0.25">
      <c r="Z9421"/>
      <c r="AO9421" s="6"/>
    </row>
    <row r="9422" spans="26:41" x14ac:dyDescent="0.25">
      <c r="Z9422"/>
      <c r="AO9422" s="6"/>
    </row>
    <row r="9423" spans="26:41" x14ac:dyDescent="0.25">
      <c r="Z9423"/>
      <c r="AO9423" s="6"/>
    </row>
    <row r="9424" spans="26:41" x14ac:dyDescent="0.25">
      <c r="Z9424"/>
      <c r="AO9424" s="6"/>
    </row>
    <row r="9425" spans="26:41" x14ac:dyDescent="0.25">
      <c r="Z9425"/>
      <c r="AO9425" s="6"/>
    </row>
    <row r="9426" spans="26:41" x14ac:dyDescent="0.25">
      <c r="Z9426"/>
      <c r="AO9426" s="6"/>
    </row>
    <row r="9427" spans="26:41" x14ac:dyDescent="0.25">
      <c r="Z9427"/>
      <c r="AO9427" s="6"/>
    </row>
    <row r="9428" spans="26:41" x14ac:dyDescent="0.25">
      <c r="Z9428"/>
      <c r="AO9428" s="6"/>
    </row>
    <row r="9429" spans="26:41" x14ac:dyDescent="0.25">
      <c r="Z9429"/>
      <c r="AO9429" s="6"/>
    </row>
    <row r="9430" spans="26:41" x14ac:dyDescent="0.25">
      <c r="Z9430"/>
      <c r="AO9430" s="6"/>
    </row>
    <row r="9431" spans="26:41" x14ac:dyDescent="0.25">
      <c r="Z9431"/>
      <c r="AO9431" s="6"/>
    </row>
    <row r="9432" spans="26:41" x14ac:dyDescent="0.25">
      <c r="Z9432"/>
      <c r="AO9432" s="6"/>
    </row>
    <row r="9433" spans="26:41" x14ac:dyDescent="0.25">
      <c r="Z9433"/>
      <c r="AO9433" s="6"/>
    </row>
    <row r="9434" spans="26:41" x14ac:dyDescent="0.25">
      <c r="Z9434"/>
      <c r="AO9434" s="6"/>
    </row>
    <row r="9435" spans="26:41" x14ac:dyDescent="0.25">
      <c r="Z9435"/>
      <c r="AO9435" s="6"/>
    </row>
    <row r="9436" spans="26:41" x14ac:dyDescent="0.25">
      <c r="Z9436"/>
      <c r="AO9436" s="6"/>
    </row>
    <row r="9437" spans="26:41" x14ac:dyDescent="0.25">
      <c r="Z9437"/>
      <c r="AO9437" s="6"/>
    </row>
    <row r="9438" spans="26:41" x14ac:dyDescent="0.25">
      <c r="Z9438"/>
      <c r="AO9438" s="6"/>
    </row>
    <row r="9439" spans="26:41" x14ac:dyDescent="0.25">
      <c r="Z9439"/>
      <c r="AO9439" s="6"/>
    </row>
    <row r="9440" spans="26:41" x14ac:dyDescent="0.25">
      <c r="Z9440"/>
      <c r="AO9440" s="6"/>
    </row>
    <row r="9441" spans="26:41" x14ac:dyDescent="0.25">
      <c r="Z9441"/>
      <c r="AO9441" s="6"/>
    </row>
    <row r="9442" spans="26:41" x14ac:dyDescent="0.25">
      <c r="Z9442"/>
      <c r="AO9442" s="6"/>
    </row>
    <row r="9443" spans="26:41" x14ac:dyDescent="0.25">
      <c r="Z9443"/>
      <c r="AO9443" s="6"/>
    </row>
    <row r="9444" spans="26:41" x14ac:dyDescent="0.25">
      <c r="Z9444"/>
      <c r="AO9444" s="6"/>
    </row>
    <row r="9445" spans="26:41" x14ac:dyDescent="0.25">
      <c r="Z9445"/>
      <c r="AO9445" s="6"/>
    </row>
    <row r="9446" spans="26:41" x14ac:dyDescent="0.25">
      <c r="Z9446"/>
      <c r="AO9446" s="6"/>
    </row>
    <row r="9447" spans="26:41" x14ac:dyDescent="0.25">
      <c r="Z9447"/>
      <c r="AO9447" s="6"/>
    </row>
    <row r="9448" spans="26:41" x14ac:dyDescent="0.25">
      <c r="Z9448"/>
      <c r="AO9448" s="6"/>
    </row>
    <row r="9449" spans="26:41" x14ac:dyDescent="0.25">
      <c r="Z9449"/>
      <c r="AO9449" s="6"/>
    </row>
    <row r="9450" spans="26:41" x14ac:dyDescent="0.25">
      <c r="Z9450"/>
      <c r="AO9450" s="6"/>
    </row>
    <row r="9451" spans="26:41" x14ac:dyDescent="0.25">
      <c r="Z9451"/>
      <c r="AO9451" s="6"/>
    </row>
    <row r="9452" spans="26:41" x14ac:dyDescent="0.25">
      <c r="Z9452"/>
      <c r="AO9452" s="6"/>
    </row>
    <row r="9453" spans="26:41" x14ac:dyDescent="0.25">
      <c r="Z9453"/>
      <c r="AO9453" s="6"/>
    </row>
    <row r="9454" spans="26:41" x14ac:dyDescent="0.25">
      <c r="Z9454"/>
      <c r="AO9454" s="6"/>
    </row>
    <row r="9455" spans="26:41" x14ac:dyDescent="0.25">
      <c r="Z9455"/>
      <c r="AO9455" s="6"/>
    </row>
    <row r="9456" spans="26:41" x14ac:dyDescent="0.25">
      <c r="Z9456"/>
      <c r="AO9456" s="6"/>
    </row>
    <row r="9457" spans="26:41" x14ac:dyDescent="0.25">
      <c r="Z9457"/>
      <c r="AO9457" s="6"/>
    </row>
    <row r="9458" spans="26:41" x14ac:dyDescent="0.25">
      <c r="Z9458"/>
      <c r="AO9458" s="6"/>
    </row>
    <row r="9459" spans="26:41" x14ac:dyDescent="0.25">
      <c r="Z9459"/>
      <c r="AO9459" s="6"/>
    </row>
    <row r="9460" spans="26:41" x14ac:dyDescent="0.25">
      <c r="Z9460"/>
      <c r="AO9460" s="6"/>
    </row>
    <row r="9461" spans="26:41" x14ac:dyDescent="0.25">
      <c r="Z9461"/>
      <c r="AO9461" s="6"/>
    </row>
    <row r="9462" spans="26:41" x14ac:dyDescent="0.25">
      <c r="Z9462"/>
      <c r="AO9462" s="6"/>
    </row>
    <row r="9463" spans="26:41" x14ac:dyDescent="0.25">
      <c r="Z9463"/>
      <c r="AO9463" s="6"/>
    </row>
    <row r="9464" spans="26:41" x14ac:dyDescent="0.25">
      <c r="Z9464"/>
      <c r="AO9464" s="6"/>
    </row>
    <row r="9465" spans="26:41" x14ac:dyDescent="0.25">
      <c r="Z9465"/>
      <c r="AO9465" s="6"/>
    </row>
    <row r="9466" spans="26:41" x14ac:dyDescent="0.25">
      <c r="Z9466"/>
      <c r="AO9466" s="6"/>
    </row>
    <row r="9467" spans="26:41" x14ac:dyDescent="0.25">
      <c r="Z9467"/>
      <c r="AO9467" s="6"/>
    </row>
    <row r="9468" spans="26:41" x14ac:dyDescent="0.25">
      <c r="Z9468"/>
      <c r="AO9468" s="6"/>
    </row>
    <row r="9469" spans="26:41" x14ac:dyDescent="0.25">
      <c r="Z9469"/>
      <c r="AO9469" s="6"/>
    </row>
    <row r="9470" spans="26:41" x14ac:dyDescent="0.25">
      <c r="Z9470"/>
      <c r="AO9470" s="6"/>
    </row>
    <row r="9471" spans="26:41" x14ac:dyDescent="0.25">
      <c r="Z9471"/>
      <c r="AO9471" s="6"/>
    </row>
    <row r="9472" spans="26:41" x14ac:dyDescent="0.25">
      <c r="Z9472"/>
      <c r="AO9472" s="6"/>
    </row>
    <row r="9473" spans="26:41" x14ac:dyDescent="0.25">
      <c r="Z9473"/>
      <c r="AO9473" s="6"/>
    </row>
    <row r="9474" spans="26:41" x14ac:dyDescent="0.25">
      <c r="Z9474"/>
      <c r="AO9474" s="6"/>
    </row>
    <row r="9475" spans="26:41" x14ac:dyDescent="0.25">
      <c r="Z9475"/>
      <c r="AO9475" s="6"/>
    </row>
    <row r="9476" spans="26:41" x14ac:dyDescent="0.25">
      <c r="Z9476"/>
      <c r="AO9476" s="6"/>
    </row>
    <row r="9477" spans="26:41" x14ac:dyDescent="0.25">
      <c r="Z9477"/>
      <c r="AO9477" s="6"/>
    </row>
    <row r="9478" spans="26:41" x14ac:dyDescent="0.25">
      <c r="Z9478"/>
      <c r="AO9478" s="6"/>
    </row>
    <row r="9479" spans="26:41" x14ac:dyDescent="0.25">
      <c r="Z9479"/>
      <c r="AO9479" s="6"/>
    </row>
    <row r="9480" spans="26:41" x14ac:dyDescent="0.25">
      <c r="Z9480"/>
      <c r="AO9480" s="6"/>
    </row>
    <row r="9481" spans="26:41" x14ac:dyDescent="0.25">
      <c r="Z9481"/>
      <c r="AO9481" s="6"/>
    </row>
    <row r="9482" spans="26:41" x14ac:dyDescent="0.25">
      <c r="Z9482"/>
      <c r="AO9482" s="6"/>
    </row>
    <row r="9483" spans="26:41" x14ac:dyDescent="0.25">
      <c r="Z9483"/>
      <c r="AO9483" s="6"/>
    </row>
    <row r="9484" spans="26:41" x14ac:dyDescent="0.25">
      <c r="Z9484"/>
      <c r="AO9484" s="6"/>
    </row>
    <row r="9485" spans="26:41" x14ac:dyDescent="0.25">
      <c r="Z9485"/>
      <c r="AO9485" s="6"/>
    </row>
    <row r="9486" spans="26:41" x14ac:dyDescent="0.25">
      <c r="Z9486"/>
      <c r="AO9486" s="6"/>
    </row>
    <row r="9487" spans="26:41" x14ac:dyDescent="0.25">
      <c r="Z9487"/>
      <c r="AO9487" s="6"/>
    </row>
    <row r="9488" spans="26:41" x14ac:dyDescent="0.25">
      <c r="Z9488"/>
      <c r="AO9488" s="6"/>
    </row>
    <row r="9489" spans="26:41" x14ac:dyDescent="0.25">
      <c r="Z9489"/>
      <c r="AO9489" s="6"/>
    </row>
    <row r="9490" spans="26:41" x14ac:dyDescent="0.25">
      <c r="Z9490"/>
      <c r="AO9490" s="6"/>
    </row>
    <row r="9491" spans="26:41" x14ac:dyDescent="0.25">
      <c r="Z9491"/>
      <c r="AO9491" s="6"/>
    </row>
    <row r="9492" spans="26:41" x14ac:dyDescent="0.25">
      <c r="Z9492"/>
      <c r="AO9492" s="6"/>
    </row>
    <row r="9493" spans="26:41" x14ac:dyDescent="0.25">
      <c r="Z9493"/>
      <c r="AO9493" s="6"/>
    </row>
    <row r="9494" spans="26:41" x14ac:dyDescent="0.25">
      <c r="Z9494"/>
      <c r="AO9494" s="6"/>
    </row>
    <row r="9495" spans="26:41" x14ac:dyDescent="0.25">
      <c r="Z9495"/>
      <c r="AO9495" s="6"/>
    </row>
    <row r="9496" spans="26:41" x14ac:dyDescent="0.25">
      <c r="Z9496"/>
      <c r="AO9496" s="6"/>
    </row>
    <row r="9497" spans="26:41" x14ac:dyDescent="0.25">
      <c r="Z9497"/>
      <c r="AO9497" s="6"/>
    </row>
    <row r="9498" spans="26:41" x14ac:dyDescent="0.25">
      <c r="Z9498"/>
      <c r="AO9498" s="6"/>
    </row>
    <row r="9499" spans="26:41" x14ac:dyDescent="0.25">
      <c r="Z9499"/>
      <c r="AO9499" s="6"/>
    </row>
    <row r="9500" spans="26:41" x14ac:dyDescent="0.25">
      <c r="Z9500"/>
      <c r="AO9500" s="6"/>
    </row>
    <row r="9501" spans="26:41" x14ac:dyDescent="0.25">
      <c r="Z9501"/>
      <c r="AO9501" s="6"/>
    </row>
    <row r="9502" spans="26:41" x14ac:dyDescent="0.25">
      <c r="Z9502"/>
      <c r="AO9502" s="6"/>
    </row>
    <row r="9503" spans="26:41" x14ac:dyDescent="0.25">
      <c r="Z9503"/>
      <c r="AO9503" s="6"/>
    </row>
    <row r="9504" spans="26:41" x14ac:dyDescent="0.25">
      <c r="Z9504"/>
      <c r="AO9504" s="6"/>
    </row>
    <row r="9505" spans="26:41" x14ac:dyDescent="0.25">
      <c r="Z9505"/>
      <c r="AO9505" s="6"/>
    </row>
    <row r="9506" spans="26:41" x14ac:dyDescent="0.25">
      <c r="Z9506"/>
      <c r="AO9506" s="6"/>
    </row>
    <row r="9507" spans="26:41" x14ac:dyDescent="0.25">
      <c r="Z9507"/>
      <c r="AO9507" s="6"/>
    </row>
    <row r="9508" spans="26:41" x14ac:dyDescent="0.25">
      <c r="Z9508"/>
      <c r="AO9508" s="6"/>
    </row>
    <row r="9509" spans="26:41" x14ac:dyDescent="0.25">
      <c r="Z9509"/>
      <c r="AO9509" s="6"/>
    </row>
    <row r="9510" spans="26:41" x14ac:dyDescent="0.25">
      <c r="Z9510"/>
      <c r="AO9510" s="6"/>
    </row>
    <row r="9511" spans="26:41" x14ac:dyDescent="0.25">
      <c r="Z9511"/>
      <c r="AO9511" s="6"/>
    </row>
    <row r="9512" spans="26:41" x14ac:dyDescent="0.25">
      <c r="Z9512"/>
      <c r="AO9512" s="6"/>
    </row>
    <row r="9513" spans="26:41" x14ac:dyDescent="0.25">
      <c r="Z9513"/>
      <c r="AO9513" s="6"/>
    </row>
    <row r="9514" spans="26:41" x14ac:dyDescent="0.25">
      <c r="Z9514"/>
      <c r="AO9514" s="6"/>
    </row>
    <row r="9515" spans="26:41" x14ac:dyDescent="0.25">
      <c r="Z9515"/>
      <c r="AO9515" s="6"/>
    </row>
    <row r="9516" spans="26:41" x14ac:dyDescent="0.25">
      <c r="Z9516"/>
      <c r="AO9516" s="6"/>
    </row>
    <row r="9517" spans="26:41" x14ac:dyDescent="0.25">
      <c r="Z9517"/>
      <c r="AO9517" s="6"/>
    </row>
    <row r="9518" spans="26:41" x14ac:dyDescent="0.25">
      <c r="Z9518"/>
      <c r="AO9518" s="6"/>
    </row>
    <row r="9519" spans="26:41" x14ac:dyDescent="0.25">
      <c r="Z9519"/>
      <c r="AO9519" s="6"/>
    </row>
    <row r="9520" spans="26:41" x14ac:dyDescent="0.25">
      <c r="Z9520"/>
      <c r="AO9520" s="6"/>
    </row>
    <row r="9521" spans="26:41" x14ac:dyDescent="0.25">
      <c r="Z9521"/>
      <c r="AO9521" s="6"/>
    </row>
    <row r="9522" spans="26:41" x14ac:dyDescent="0.25">
      <c r="Z9522"/>
      <c r="AO9522" s="6"/>
    </row>
    <row r="9523" spans="26:41" x14ac:dyDescent="0.25">
      <c r="Z9523"/>
      <c r="AO9523" s="6"/>
    </row>
    <row r="9524" spans="26:41" x14ac:dyDescent="0.25">
      <c r="Z9524"/>
      <c r="AO9524" s="6"/>
    </row>
    <row r="9525" spans="26:41" x14ac:dyDescent="0.25">
      <c r="Z9525"/>
      <c r="AO9525" s="6"/>
    </row>
    <row r="9526" spans="26:41" x14ac:dyDescent="0.25">
      <c r="Z9526"/>
      <c r="AO9526" s="6"/>
    </row>
    <row r="9527" spans="26:41" x14ac:dyDescent="0.25">
      <c r="Z9527"/>
      <c r="AO9527" s="6"/>
    </row>
    <row r="9528" spans="26:41" x14ac:dyDescent="0.25">
      <c r="Z9528"/>
      <c r="AO9528" s="6"/>
    </row>
    <row r="9529" spans="26:41" x14ac:dyDescent="0.25">
      <c r="Z9529"/>
      <c r="AO9529" s="6"/>
    </row>
    <row r="9530" spans="26:41" x14ac:dyDescent="0.25">
      <c r="Z9530"/>
      <c r="AO9530" s="6"/>
    </row>
    <row r="9531" spans="26:41" x14ac:dyDescent="0.25">
      <c r="Z9531"/>
      <c r="AO9531" s="6"/>
    </row>
    <row r="9532" spans="26:41" x14ac:dyDescent="0.25">
      <c r="Z9532"/>
      <c r="AO9532" s="6"/>
    </row>
    <row r="9533" spans="26:41" x14ac:dyDescent="0.25">
      <c r="Z9533"/>
      <c r="AO9533" s="6"/>
    </row>
    <row r="9534" spans="26:41" x14ac:dyDescent="0.25">
      <c r="Z9534"/>
      <c r="AO9534" s="6"/>
    </row>
    <row r="9535" spans="26:41" x14ac:dyDescent="0.25">
      <c r="Z9535"/>
      <c r="AO9535" s="6"/>
    </row>
    <row r="9536" spans="26:41" x14ac:dyDescent="0.25">
      <c r="Z9536"/>
      <c r="AO9536" s="6"/>
    </row>
    <row r="9537" spans="26:41" x14ac:dyDescent="0.25">
      <c r="Z9537"/>
      <c r="AO9537" s="6"/>
    </row>
    <row r="9538" spans="26:41" x14ac:dyDescent="0.25">
      <c r="Z9538"/>
      <c r="AO9538" s="6"/>
    </row>
    <row r="9539" spans="26:41" x14ac:dyDescent="0.25">
      <c r="Z9539"/>
      <c r="AO9539" s="6"/>
    </row>
    <row r="9540" spans="26:41" x14ac:dyDescent="0.25">
      <c r="Z9540"/>
      <c r="AO9540" s="6"/>
    </row>
    <row r="9541" spans="26:41" x14ac:dyDescent="0.25">
      <c r="Z9541"/>
      <c r="AO9541" s="6"/>
    </row>
    <row r="9542" spans="26:41" x14ac:dyDescent="0.25">
      <c r="Z9542"/>
      <c r="AO9542" s="6"/>
    </row>
    <row r="9543" spans="26:41" x14ac:dyDescent="0.25">
      <c r="Z9543"/>
      <c r="AO9543" s="6"/>
    </row>
    <row r="9544" spans="26:41" x14ac:dyDescent="0.25">
      <c r="Z9544"/>
      <c r="AO9544" s="6"/>
    </row>
    <row r="9545" spans="26:41" x14ac:dyDescent="0.25">
      <c r="Z9545"/>
      <c r="AO9545" s="6"/>
    </row>
    <row r="9546" spans="26:41" x14ac:dyDescent="0.25">
      <c r="Z9546"/>
      <c r="AO9546" s="6"/>
    </row>
    <row r="9547" spans="26:41" x14ac:dyDescent="0.25">
      <c r="Z9547"/>
      <c r="AO9547" s="6"/>
    </row>
    <row r="9548" spans="26:41" x14ac:dyDescent="0.25">
      <c r="Z9548"/>
      <c r="AO9548" s="6"/>
    </row>
    <row r="9549" spans="26:41" x14ac:dyDescent="0.25">
      <c r="Z9549"/>
      <c r="AO9549" s="6"/>
    </row>
    <row r="9550" spans="26:41" x14ac:dyDescent="0.25">
      <c r="Z9550"/>
      <c r="AO9550" s="6"/>
    </row>
    <row r="9551" spans="26:41" x14ac:dyDescent="0.25">
      <c r="Z9551"/>
      <c r="AO9551" s="6"/>
    </row>
    <row r="9552" spans="26:41" x14ac:dyDescent="0.25">
      <c r="Z9552"/>
      <c r="AO9552" s="6"/>
    </row>
    <row r="9553" spans="26:41" x14ac:dyDescent="0.25">
      <c r="Z9553"/>
      <c r="AO9553" s="6"/>
    </row>
    <row r="9554" spans="26:41" x14ac:dyDescent="0.25">
      <c r="Z9554"/>
      <c r="AO9554" s="6"/>
    </row>
    <row r="9555" spans="26:41" x14ac:dyDescent="0.25">
      <c r="Z9555"/>
      <c r="AO9555" s="6"/>
    </row>
    <row r="9556" spans="26:41" x14ac:dyDescent="0.25">
      <c r="Z9556"/>
      <c r="AO9556" s="6"/>
    </row>
    <row r="9557" spans="26:41" x14ac:dyDescent="0.25">
      <c r="Z9557"/>
      <c r="AO9557" s="6"/>
    </row>
    <row r="9558" spans="26:41" x14ac:dyDescent="0.25">
      <c r="Z9558"/>
      <c r="AO9558" s="6"/>
    </row>
    <row r="9559" spans="26:41" x14ac:dyDescent="0.25">
      <c r="Z9559"/>
      <c r="AO9559" s="6"/>
    </row>
    <row r="9560" spans="26:41" x14ac:dyDescent="0.25">
      <c r="Z9560"/>
      <c r="AO9560" s="6"/>
    </row>
    <row r="9561" spans="26:41" x14ac:dyDescent="0.25">
      <c r="Z9561"/>
      <c r="AO9561" s="6"/>
    </row>
    <row r="9562" spans="26:41" x14ac:dyDescent="0.25">
      <c r="Z9562"/>
      <c r="AO9562" s="6"/>
    </row>
    <row r="9563" spans="26:41" x14ac:dyDescent="0.25">
      <c r="Z9563"/>
      <c r="AO9563" s="6"/>
    </row>
    <row r="9564" spans="26:41" x14ac:dyDescent="0.25">
      <c r="Z9564"/>
      <c r="AO9564" s="6"/>
    </row>
    <row r="9565" spans="26:41" x14ac:dyDescent="0.25">
      <c r="Z9565"/>
      <c r="AO9565" s="6"/>
    </row>
    <row r="9566" spans="26:41" x14ac:dyDescent="0.25">
      <c r="Z9566"/>
      <c r="AO9566" s="6"/>
    </row>
    <row r="9567" spans="26:41" x14ac:dyDescent="0.25">
      <c r="Z9567"/>
      <c r="AO9567" s="6"/>
    </row>
    <row r="9568" spans="26:41" x14ac:dyDescent="0.25">
      <c r="Z9568"/>
      <c r="AO9568" s="6"/>
    </row>
    <row r="9569" spans="26:41" x14ac:dyDescent="0.25">
      <c r="Z9569"/>
      <c r="AO9569" s="6"/>
    </row>
    <row r="9570" spans="26:41" x14ac:dyDescent="0.25">
      <c r="Z9570"/>
      <c r="AO9570" s="6"/>
    </row>
    <row r="9571" spans="26:41" x14ac:dyDescent="0.25">
      <c r="Z9571"/>
      <c r="AO9571" s="6"/>
    </row>
    <row r="9572" spans="26:41" x14ac:dyDescent="0.25">
      <c r="Z9572"/>
      <c r="AO9572" s="6"/>
    </row>
    <row r="9573" spans="26:41" x14ac:dyDescent="0.25">
      <c r="Z9573"/>
      <c r="AO9573" s="6"/>
    </row>
    <row r="9574" spans="26:41" x14ac:dyDescent="0.25">
      <c r="Z9574"/>
      <c r="AO9574" s="6"/>
    </row>
    <row r="9575" spans="26:41" x14ac:dyDescent="0.25">
      <c r="Z9575"/>
      <c r="AO9575" s="6"/>
    </row>
    <row r="9576" spans="26:41" x14ac:dyDescent="0.25">
      <c r="Z9576"/>
      <c r="AO9576" s="6"/>
    </row>
    <row r="9577" spans="26:41" x14ac:dyDescent="0.25">
      <c r="Z9577"/>
      <c r="AO9577" s="6"/>
    </row>
    <row r="9578" spans="26:41" x14ac:dyDescent="0.25">
      <c r="Z9578"/>
      <c r="AO9578" s="6"/>
    </row>
    <row r="9579" spans="26:41" x14ac:dyDescent="0.25">
      <c r="Z9579"/>
      <c r="AO9579" s="6"/>
    </row>
    <row r="9580" spans="26:41" x14ac:dyDescent="0.25">
      <c r="Z9580"/>
      <c r="AO9580" s="6"/>
    </row>
    <row r="9581" spans="26:41" x14ac:dyDescent="0.25">
      <c r="Z9581"/>
      <c r="AO9581" s="6"/>
    </row>
    <row r="9582" spans="26:41" x14ac:dyDescent="0.25">
      <c r="Z9582"/>
      <c r="AO9582" s="6"/>
    </row>
    <row r="9583" spans="26:41" x14ac:dyDescent="0.25">
      <c r="Z9583"/>
      <c r="AO9583" s="6"/>
    </row>
    <row r="9584" spans="26:41" x14ac:dyDescent="0.25">
      <c r="Z9584"/>
      <c r="AO9584" s="6"/>
    </row>
    <row r="9585" spans="26:41" x14ac:dyDescent="0.25">
      <c r="Z9585"/>
      <c r="AO9585" s="6"/>
    </row>
    <row r="9586" spans="26:41" x14ac:dyDescent="0.25">
      <c r="Z9586"/>
      <c r="AO9586" s="6"/>
    </row>
    <row r="9587" spans="26:41" x14ac:dyDescent="0.25">
      <c r="Z9587"/>
      <c r="AO9587" s="6"/>
    </row>
    <row r="9588" spans="26:41" x14ac:dyDescent="0.25">
      <c r="Z9588"/>
      <c r="AO9588" s="6"/>
    </row>
    <row r="9589" spans="26:41" x14ac:dyDescent="0.25">
      <c r="Z9589"/>
      <c r="AO9589" s="6"/>
    </row>
    <row r="9590" spans="26:41" x14ac:dyDescent="0.25">
      <c r="Z9590"/>
      <c r="AO9590" s="6"/>
    </row>
    <row r="9591" spans="26:41" x14ac:dyDescent="0.25">
      <c r="Z9591"/>
      <c r="AO9591" s="6"/>
    </row>
    <row r="9592" spans="26:41" x14ac:dyDescent="0.25">
      <c r="Z9592"/>
      <c r="AO9592" s="6"/>
    </row>
    <row r="9593" spans="26:41" x14ac:dyDescent="0.25">
      <c r="Z9593"/>
      <c r="AO9593" s="6"/>
    </row>
    <row r="9594" spans="26:41" x14ac:dyDescent="0.25">
      <c r="Z9594"/>
      <c r="AO9594" s="6"/>
    </row>
    <row r="9595" spans="26:41" x14ac:dyDescent="0.25">
      <c r="Z9595"/>
      <c r="AO9595" s="6"/>
    </row>
    <row r="9596" spans="26:41" x14ac:dyDescent="0.25">
      <c r="Z9596"/>
      <c r="AO9596" s="6"/>
    </row>
    <row r="9597" spans="26:41" x14ac:dyDescent="0.25">
      <c r="Z9597"/>
      <c r="AO9597" s="6"/>
    </row>
    <row r="9598" spans="26:41" x14ac:dyDescent="0.25">
      <c r="Z9598"/>
      <c r="AO9598" s="6"/>
    </row>
    <row r="9599" spans="26:41" x14ac:dyDescent="0.25">
      <c r="Z9599"/>
      <c r="AO9599" s="6"/>
    </row>
    <row r="9600" spans="26:41" x14ac:dyDescent="0.25">
      <c r="Z9600"/>
      <c r="AO9600" s="6"/>
    </row>
    <row r="9601" spans="26:41" x14ac:dyDescent="0.25">
      <c r="Z9601"/>
      <c r="AO9601" s="6"/>
    </row>
    <row r="9602" spans="26:41" x14ac:dyDescent="0.25">
      <c r="Z9602"/>
      <c r="AO9602" s="6"/>
    </row>
    <row r="9603" spans="26:41" x14ac:dyDescent="0.25">
      <c r="Z9603"/>
      <c r="AO9603" s="6"/>
    </row>
    <row r="9604" spans="26:41" x14ac:dyDescent="0.25">
      <c r="Z9604"/>
      <c r="AO9604" s="6"/>
    </row>
    <row r="9605" spans="26:41" x14ac:dyDescent="0.25">
      <c r="Z9605"/>
      <c r="AO9605" s="6"/>
    </row>
    <row r="9606" spans="26:41" x14ac:dyDescent="0.25">
      <c r="Z9606"/>
      <c r="AO9606" s="6"/>
    </row>
    <row r="9607" spans="26:41" x14ac:dyDescent="0.25">
      <c r="Z9607"/>
      <c r="AO9607" s="6"/>
    </row>
    <row r="9608" spans="26:41" x14ac:dyDescent="0.25">
      <c r="Z9608"/>
      <c r="AO9608" s="6"/>
    </row>
    <row r="9609" spans="26:41" x14ac:dyDescent="0.25">
      <c r="Z9609"/>
      <c r="AO9609" s="6"/>
    </row>
    <row r="9610" spans="26:41" x14ac:dyDescent="0.25">
      <c r="Z9610"/>
      <c r="AO9610" s="6"/>
    </row>
    <row r="9611" spans="26:41" x14ac:dyDescent="0.25">
      <c r="Z9611"/>
      <c r="AO9611" s="6"/>
    </row>
    <row r="9612" spans="26:41" x14ac:dyDescent="0.25">
      <c r="Z9612"/>
      <c r="AO9612" s="6"/>
    </row>
    <row r="9613" spans="26:41" x14ac:dyDescent="0.25">
      <c r="Z9613"/>
      <c r="AO9613" s="6"/>
    </row>
    <row r="9614" spans="26:41" x14ac:dyDescent="0.25">
      <c r="Z9614"/>
      <c r="AO9614" s="6"/>
    </row>
    <row r="9615" spans="26:41" x14ac:dyDescent="0.25">
      <c r="Z9615"/>
      <c r="AO9615" s="6"/>
    </row>
    <row r="9616" spans="26:41" x14ac:dyDescent="0.25">
      <c r="Z9616"/>
      <c r="AO9616" s="6"/>
    </row>
    <row r="9617" spans="26:41" x14ac:dyDescent="0.25">
      <c r="Z9617"/>
      <c r="AO9617" s="6"/>
    </row>
    <row r="9618" spans="26:41" x14ac:dyDescent="0.25">
      <c r="Z9618"/>
      <c r="AO9618" s="6"/>
    </row>
    <row r="9619" spans="26:41" x14ac:dyDescent="0.25">
      <c r="Z9619"/>
      <c r="AO9619" s="6"/>
    </row>
    <row r="9620" spans="26:41" x14ac:dyDescent="0.25">
      <c r="Z9620"/>
      <c r="AO9620" s="6"/>
    </row>
    <row r="9621" spans="26:41" x14ac:dyDescent="0.25">
      <c r="Z9621"/>
      <c r="AO9621" s="6"/>
    </row>
    <row r="9622" spans="26:41" x14ac:dyDescent="0.25">
      <c r="Z9622"/>
      <c r="AO9622" s="6"/>
    </row>
    <row r="9623" spans="26:41" x14ac:dyDescent="0.25">
      <c r="Z9623"/>
      <c r="AO9623" s="6"/>
    </row>
    <row r="9624" spans="26:41" x14ac:dyDescent="0.25">
      <c r="Z9624"/>
      <c r="AO9624" s="6"/>
    </row>
    <row r="9625" spans="26:41" x14ac:dyDescent="0.25">
      <c r="Z9625"/>
      <c r="AO9625" s="6"/>
    </row>
    <row r="9626" spans="26:41" x14ac:dyDescent="0.25">
      <c r="Z9626"/>
      <c r="AO9626" s="6"/>
    </row>
    <row r="9627" spans="26:41" x14ac:dyDescent="0.25">
      <c r="Z9627"/>
      <c r="AO9627" s="6"/>
    </row>
    <row r="9628" spans="26:41" x14ac:dyDescent="0.25">
      <c r="Z9628"/>
      <c r="AO9628" s="6"/>
    </row>
    <row r="9629" spans="26:41" x14ac:dyDescent="0.25">
      <c r="Z9629"/>
      <c r="AO9629" s="6"/>
    </row>
    <row r="9630" spans="26:41" x14ac:dyDescent="0.25">
      <c r="Z9630"/>
      <c r="AO9630" s="6"/>
    </row>
    <row r="9631" spans="26:41" x14ac:dyDescent="0.25">
      <c r="Z9631"/>
      <c r="AO9631" s="6"/>
    </row>
    <row r="9632" spans="26:41" x14ac:dyDescent="0.25">
      <c r="Z9632"/>
      <c r="AO9632" s="6"/>
    </row>
    <row r="9633" spans="26:41" x14ac:dyDescent="0.25">
      <c r="Z9633"/>
      <c r="AO9633" s="6"/>
    </row>
    <row r="9634" spans="26:41" x14ac:dyDescent="0.25">
      <c r="Z9634"/>
      <c r="AO9634" s="6"/>
    </row>
    <row r="9635" spans="26:41" x14ac:dyDescent="0.25">
      <c r="Z9635"/>
      <c r="AO9635" s="6"/>
    </row>
    <row r="9636" spans="26:41" x14ac:dyDescent="0.25">
      <c r="Z9636"/>
      <c r="AO9636" s="6"/>
    </row>
    <row r="9637" spans="26:41" x14ac:dyDescent="0.25">
      <c r="Z9637"/>
      <c r="AO9637" s="6"/>
    </row>
    <row r="9638" spans="26:41" x14ac:dyDescent="0.25">
      <c r="Z9638"/>
      <c r="AO9638" s="6"/>
    </row>
    <row r="9639" spans="26:41" x14ac:dyDescent="0.25">
      <c r="Z9639"/>
      <c r="AO9639" s="6"/>
    </row>
    <row r="9640" spans="26:41" x14ac:dyDescent="0.25">
      <c r="Z9640"/>
      <c r="AO9640" s="6"/>
    </row>
    <row r="9641" spans="26:41" x14ac:dyDescent="0.25">
      <c r="Z9641"/>
      <c r="AO9641" s="6"/>
    </row>
    <row r="9642" spans="26:41" x14ac:dyDescent="0.25">
      <c r="Z9642"/>
      <c r="AO9642" s="6"/>
    </row>
    <row r="9643" spans="26:41" x14ac:dyDescent="0.25">
      <c r="Z9643"/>
      <c r="AO9643" s="6"/>
    </row>
    <row r="9644" spans="26:41" x14ac:dyDescent="0.25">
      <c r="Z9644"/>
      <c r="AO9644" s="6"/>
    </row>
    <row r="9645" spans="26:41" x14ac:dyDescent="0.25">
      <c r="Z9645"/>
      <c r="AO9645" s="6"/>
    </row>
    <row r="9646" spans="26:41" x14ac:dyDescent="0.25">
      <c r="Z9646"/>
      <c r="AO9646" s="6"/>
    </row>
    <row r="9647" spans="26:41" x14ac:dyDescent="0.25">
      <c r="Z9647"/>
      <c r="AO9647" s="6"/>
    </row>
    <row r="9648" spans="26:41" x14ac:dyDescent="0.25">
      <c r="Z9648"/>
      <c r="AO9648" s="6"/>
    </row>
    <row r="9649" spans="26:41" x14ac:dyDescent="0.25">
      <c r="Z9649"/>
      <c r="AO9649" s="6"/>
    </row>
    <row r="9650" spans="26:41" x14ac:dyDescent="0.25">
      <c r="Z9650"/>
      <c r="AO9650" s="6"/>
    </row>
    <row r="9651" spans="26:41" x14ac:dyDescent="0.25">
      <c r="Z9651"/>
      <c r="AO9651" s="6"/>
    </row>
    <row r="9652" spans="26:41" x14ac:dyDescent="0.25">
      <c r="Z9652"/>
      <c r="AO9652" s="6"/>
    </row>
    <row r="9653" spans="26:41" x14ac:dyDescent="0.25">
      <c r="Z9653"/>
      <c r="AO9653" s="6"/>
    </row>
    <row r="9654" spans="26:41" x14ac:dyDescent="0.25">
      <c r="Z9654"/>
      <c r="AO9654" s="6"/>
    </row>
    <row r="9655" spans="26:41" x14ac:dyDescent="0.25">
      <c r="Z9655"/>
      <c r="AO9655" s="6"/>
    </row>
    <row r="9656" spans="26:41" x14ac:dyDescent="0.25">
      <c r="Z9656"/>
      <c r="AO9656" s="6"/>
    </row>
    <row r="9657" spans="26:41" x14ac:dyDescent="0.25">
      <c r="Z9657"/>
      <c r="AO9657" s="6"/>
    </row>
    <row r="9658" spans="26:41" x14ac:dyDescent="0.25">
      <c r="Z9658"/>
      <c r="AO9658" s="6"/>
    </row>
    <row r="9659" spans="26:41" x14ac:dyDescent="0.25">
      <c r="Z9659"/>
      <c r="AO9659" s="6"/>
    </row>
    <row r="9660" spans="26:41" x14ac:dyDescent="0.25">
      <c r="Z9660"/>
      <c r="AO9660" s="6"/>
    </row>
    <row r="9661" spans="26:41" x14ac:dyDescent="0.25">
      <c r="Z9661"/>
      <c r="AO9661" s="6"/>
    </row>
    <row r="9662" spans="26:41" x14ac:dyDescent="0.25">
      <c r="Z9662"/>
      <c r="AO9662" s="6"/>
    </row>
    <row r="9663" spans="26:41" x14ac:dyDescent="0.25">
      <c r="Z9663"/>
      <c r="AO9663" s="6"/>
    </row>
    <row r="9664" spans="26:41" x14ac:dyDescent="0.25">
      <c r="Z9664"/>
      <c r="AO9664" s="6"/>
    </row>
    <row r="9665" spans="26:41" x14ac:dyDescent="0.25">
      <c r="Z9665"/>
      <c r="AO9665" s="6"/>
    </row>
    <row r="9666" spans="26:41" x14ac:dyDescent="0.25">
      <c r="Z9666"/>
      <c r="AO9666" s="6"/>
    </row>
    <row r="9667" spans="26:41" x14ac:dyDescent="0.25">
      <c r="Z9667"/>
      <c r="AO9667" s="6"/>
    </row>
    <row r="9668" spans="26:41" x14ac:dyDescent="0.25">
      <c r="Z9668"/>
      <c r="AO9668" s="6"/>
    </row>
    <row r="9669" spans="26:41" x14ac:dyDescent="0.25">
      <c r="Z9669"/>
      <c r="AO9669" s="6"/>
    </row>
    <row r="9670" spans="26:41" x14ac:dyDescent="0.25">
      <c r="Z9670"/>
      <c r="AO9670" s="6"/>
    </row>
    <row r="9671" spans="26:41" x14ac:dyDescent="0.25">
      <c r="Z9671"/>
      <c r="AO9671" s="6"/>
    </row>
    <row r="9672" spans="26:41" x14ac:dyDescent="0.25">
      <c r="Z9672"/>
      <c r="AO9672" s="6"/>
    </row>
    <row r="9673" spans="26:41" x14ac:dyDescent="0.25">
      <c r="Z9673"/>
      <c r="AO9673" s="6"/>
    </row>
    <row r="9674" spans="26:41" x14ac:dyDescent="0.25">
      <c r="Z9674"/>
      <c r="AO9674" s="6"/>
    </row>
    <row r="9675" spans="26:41" x14ac:dyDescent="0.25">
      <c r="Z9675"/>
      <c r="AO9675" s="6"/>
    </row>
    <row r="9676" spans="26:41" x14ac:dyDescent="0.25">
      <c r="Z9676"/>
      <c r="AO9676" s="6"/>
    </row>
    <row r="9677" spans="26:41" x14ac:dyDescent="0.25">
      <c r="Z9677"/>
      <c r="AO9677" s="6"/>
    </row>
    <row r="9678" spans="26:41" x14ac:dyDescent="0.25">
      <c r="Z9678"/>
      <c r="AO9678" s="6"/>
    </row>
    <row r="9679" spans="26:41" x14ac:dyDescent="0.25">
      <c r="Z9679"/>
      <c r="AO9679" s="6"/>
    </row>
    <row r="9680" spans="26:41" x14ac:dyDescent="0.25">
      <c r="Z9680"/>
      <c r="AO9680" s="6"/>
    </row>
    <row r="9681" spans="26:41" x14ac:dyDescent="0.25">
      <c r="Z9681"/>
      <c r="AO9681" s="6"/>
    </row>
    <row r="9682" spans="26:41" x14ac:dyDescent="0.25">
      <c r="Z9682"/>
      <c r="AO9682" s="6"/>
    </row>
    <row r="9683" spans="26:41" x14ac:dyDescent="0.25">
      <c r="Z9683"/>
      <c r="AO9683" s="6"/>
    </row>
    <row r="9684" spans="26:41" x14ac:dyDescent="0.25">
      <c r="Z9684"/>
      <c r="AO9684" s="6"/>
    </row>
    <row r="9685" spans="26:41" x14ac:dyDescent="0.25">
      <c r="Z9685"/>
      <c r="AO9685" s="6"/>
    </row>
    <row r="9686" spans="26:41" x14ac:dyDescent="0.25">
      <c r="Z9686"/>
      <c r="AO9686" s="6"/>
    </row>
    <row r="9687" spans="26:41" x14ac:dyDescent="0.25">
      <c r="Z9687"/>
      <c r="AO9687" s="6"/>
    </row>
    <row r="9688" spans="26:41" x14ac:dyDescent="0.25">
      <c r="Z9688"/>
      <c r="AO9688" s="6"/>
    </row>
    <row r="9689" spans="26:41" x14ac:dyDescent="0.25">
      <c r="Z9689"/>
      <c r="AO9689" s="6"/>
    </row>
    <row r="9690" spans="26:41" x14ac:dyDescent="0.25">
      <c r="Z9690"/>
      <c r="AO9690" s="6"/>
    </row>
    <row r="9691" spans="26:41" x14ac:dyDescent="0.25">
      <c r="Z9691"/>
      <c r="AO9691" s="6"/>
    </row>
    <row r="9692" spans="26:41" x14ac:dyDescent="0.25">
      <c r="Z9692"/>
      <c r="AO9692" s="6"/>
    </row>
    <row r="9693" spans="26:41" x14ac:dyDescent="0.25">
      <c r="Z9693"/>
      <c r="AO9693" s="6"/>
    </row>
    <row r="9694" spans="26:41" x14ac:dyDescent="0.25">
      <c r="Z9694"/>
      <c r="AO9694" s="6"/>
    </row>
    <row r="9695" spans="26:41" x14ac:dyDescent="0.25">
      <c r="Z9695"/>
      <c r="AO9695" s="6"/>
    </row>
    <row r="9696" spans="26:41" x14ac:dyDescent="0.25">
      <c r="Z9696"/>
      <c r="AO9696" s="6"/>
    </row>
    <row r="9697" spans="26:41" x14ac:dyDescent="0.25">
      <c r="Z9697"/>
      <c r="AO9697" s="6"/>
    </row>
    <row r="9698" spans="26:41" x14ac:dyDescent="0.25">
      <c r="Z9698"/>
      <c r="AO9698" s="6"/>
    </row>
    <row r="9699" spans="26:41" x14ac:dyDescent="0.25">
      <c r="Z9699"/>
      <c r="AO9699" s="6"/>
    </row>
    <row r="9700" spans="26:41" x14ac:dyDescent="0.25">
      <c r="Z9700"/>
      <c r="AO9700" s="6"/>
    </row>
    <row r="9701" spans="26:41" x14ac:dyDescent="0.25">
      <c r="Z9701"/>
      <c r="AO9701" s="6"/>
    </row>
    <row r="9702" spans="26:41" x14ac:dyDescent="0.25">
      <c r="Z9702"/>
      <c r="AO9702" s="6"/>
    </row>
    <row r="9703" spans="26:41" x14ac:dyDescent="0.25">
      <c r="Z9703"/>
      <c r="AO9703" s="6"/>
    </row>
    <row r="9704" spans="26:41" x14ac:dyDescent="0.25">
      <c r="Z9704"/>
      <c r="AO9704" s="6"/>
    </row>
    <row r="9705" spans="26:41" x14ac:dyDescent="0.25">
      <c r="Z9705"/>
      <c r="AO9705" s="6"/>
    </row>
    <row r="9706" spans="26:41" x14ac:dyDescent="0.25">
      <c r="Z9706"/>
      <c r="AO9706" s="6"/>
    </row>
    <row r="9707" spans="26:41" x14ac:dyDescent="0.25">
      <c r="Z9707"/>
      <c r="AO9707" s="6"/>
    </row>
    <row r="9708" spans="26:41" x14ac:dyDescent="0.25">
      <c r="Z9708"/>
      <c r="AO9708" s="6"/>
    </row>
    <row r="9709" spans="26:41" x14ac:dyDescent="0.25">
      <c r="Z9709"/>
      <c r="AO9709" s="6"/>
    </row>
    <row r="9710" spans="26:41" x14ac:dyDescent="0.25">
      <c r="Z9710"/>
      <c r="AO9710" s="6"/>
    </row>
    <row r="9711" spans="26:41" x14ac:dyDescent="0.25">
      <c r="Z9711"/>
      <c r="AO9711" s="6"/>
    </row>
    <row r="9712" spans="26:41" x14ac:dyDescent="0.25">
      <c r="Z9712"/>
      <c r="AO9712" s="6"/>
    </row>
    <row r="9713" spans="26:41" x14ac:dyDescent="0.25">
      <c r="Z9713"/>
      <c r="AO9713" s="6"/>
    </row>
    <row r="9714" spans="26:41" x14ac:dyDescent="0.25">
      <c r="Z9714"/>
      <c r="AO9714" s="6"/>
    </row>
    <row r="9715" spans="26:41" x14ac:dyDescent="0.25">
      <c r="Z9715"/>
      <c r="AO9715" s="6"/>
    </row>
    <row r="9716" spans="26:41" x14ac:dyDescent="0.25">
      <c r="Z9716"/>
      <c r="AO9716" s="6"/>
    </row>
    <row r="9717" spans="26:41" x14ac:dyDescent="0.25">
      <c r="Z9717"/>
      <c r="AO9717" s="6"/>
    </row>
    <row r="9718" spans="26:41" x14ac:dyDescent="0.25">
      <c r="Z9718"/>
      <c r="AO9718" s="6"/>
    </row>
    <row r="9719" spans="26:41" x14ac:dyDescent="0.25">
      <c r="Z9719"/>
      <c r="AO9719" s="6"/>
    </row>
    <row r="9720" spans="26:41" x14ac:dyDescent="0.25">
      <c r="Z9720"/>
      <c r="AO9720" s="6"/>
    </row>
    <row r="9721" spans="26:41" x14ac:dyDescent="0.25">
      <c r="Z9721"/>
      <c r="AO9721" s="6"/>
    </row>
    <row r="9722" spans="26:41" x14ac:dyDescent="0.25">
      <c r="Z9722"/>
      <c r="AO9722" s="6"/>
    </row>
    <row r="9723" spans="26:41" x14ac:dyDescent="0.25">
      <c r="Z9723"/>
      <c r="AO9723" s="6"/>
    </row>
    <row r="9724" spans="26:41" x14ac:dyDescent="0.25">
      <c r="Z9724"/>
      <c r="AO9724" s="6"/>
    </row>
    <row r="9725" spans="26:41" x14ac:dyDescent="0.25">
      <c r="Z9725"/>
      <c r="AO9725" s="6"/>
    </row>
    <row r="9726" spans="26:41" x14ac:dyDescent="0.25">
      <c r="Z9726"/>
      <c r="AO9726" s="6"/>
    </row>
    <row r="9727" spans="26:41" x14ac:dyDescent="0.25">
      <c r="Z9727"/>
      <c r="AO9727" s="6"/>
    </row>
    <row r="9728" spans="26:41" x14ac:dyDescent="0.25">
      <c r="Z9728"/>
      <c r="AO9728" s="6"/>
    </row>
    <row r="9729" spans="26:41" x14ac:dyDescent="0.25">
      <c r="Z9729"/>
      <c r="AO9729" s="6"/>
    </row>
    <row r="9730" spans="26:41" x14ac:dyDescent="0.25">
      <c r="Z9730"/>
      <c r="AO9730" s="6"/>
    </row>
    <row r="9731" spans="26:41" x14ac:dyDescent="0.25">
      <c r="Z9731"/>
      <c r="AO9731" s="6"/>
    </row>
    <row r="9732" spans="26:41" x14ac:dyDescent="0.25">
      <c r="Z9732"/>
      <c r="AO9732" s="6"/>
    </row>
    <row r="9733" spans="26:41" x14ac:dyDescent="0.25">
      <c r="Z9733"/>
      <c r="AO9733" s="6"/>
    </row>
    <row r="9734" spans="26:41" x14ac:dyDescent="0.25">
      <c r="Z9734"/>
      <c r="AO9734" s="6"/>
    </row>
    <row r="9735" spans="26:41" x14ac:dyDescent="0.25">
      <c r="Z9735"/>
      <c r="AO9735" s="6"/>
    </row>
    <row r="9736" spans="26:41" x14ac:dyDescent="0.25">
      <c r="Z9736"/>
      <c r="AO9736" s="6"/>
    </row>
    <row r="9737" spans="26:41" x14ac:dyDescent="0.25">
      <c r="Z9737"/>
      <c r="AO9737" s="6"/>
    </row>
    <row r="9738" spans="26:41" x14ac:dyDescent="0.25">
      <c r="Z9738"/>
      <c r="AO9738" s="6"/>
    </row>
    <row r="9739" spans="26:41" x14ac:dyDescent="0.25">
      <c r="Z9739"/>
      <c r="AO9739" s="6"/>
    </row>
    <row r="9740" spans="26:41" x14ac:dyDescent="0.25">
      <c r="Z9740"/>
      <c r="AO9740" s="6"/>
    </row>
    <row r="9741" spans="26:41" x14ac:dyDescent="0.25">
      <c r="Z9741"/>
      <c r="AO9741" s="6"/>
    </row>
    <row r="9742" spans="26:41" x14ac:dyDescent="0.25">
      <c r="Z9742"/>
      <c r="AO9742" s="6"/>
    </row>
    <row r="9743" spans="26:41" x14ac:dyDescent="0.25">
      <c r="Z9743"/>
      <c r="AO9743" s="6"/>
    </row>
    <row r="9744" spans="26:41" x14ac:dyDescent="0.25">
      <c r="Z9744"/>
      <c r="AO9744" s="6"/>
    </row>
    <row r="9745" spans="26:41" x14ac:dyDescent="0.25">
      <c r="Z9745"/>
      <c r="AO9745" s="6"/>
    </row>
    <row r="9746" spans="26:41" x14ac:dyDescent="0.25">
      <c r="Z9746"/>
      <c r="AO9746" s="6"/>
    </row>
    <row r="9747" spans="26:41" x14ac:dyDescent="0.25">
      <c r="Z9747"/>
      <c r="AO9747" s="6"/>
    </row>
    <row r="9748" spans="26:41" x14ac:dyDescent="0.25">
      <c r="Z9748"/>
      <c r="AO9748" s="6"/>
    </row>
    <row r="9749" spans="26:41" x14ac:dyDescent="0.25">
      <c r="Z9749"/>
      <c r="AO9749" s="6"/>
    </row>
    <row r="9750" spans="26:41" x14ac:dyDescent="0.25">
      <c r="Z9750"/>
      <c r="AO9750" s="6"/>
    </row>
    <row r="9751" spans="26:41" x14ac:dyDescent="0.25">
      <c r="Z9751"/>
      <c r="AO9751" s="6"/>
    </row>
    <row r="9752" spans="26:41" x14ac:dyDescent="0.25">
      <c r="Z9752"/>
      <c r="AO9752" s="6"/>
    </row>
    <row r="9753" spans="26:41" x14ac:dyDescent="0.25">
      <c r="Z9753"/>
      <c r="AO9753" s="6"/>
    </row>
    <row r="9754" spans="26:41" x14ac:dyDescent="0.25">
      <c r="Z9754"/>
      <c r="AO9754" s="6"/>
    </row>
    <row r="9755" spans="26:41" x14ac:dyDescent="0.25">
      <c r="Z9755"/>
      <c r="AO9755" s="6"/>
    </row>
    <row r="9756" spans="26:41" x14ac:dyDescent="0.25">
      <c r="Z9756"/>
      <c r="AO9756" s="6"/>
    </row>
    <row r="9757" spans="26:41" x14ac:dyDescent="0.25">
      <c r="Z9757"/>
      <c r="AO9757" s="6"/>
    </row>
    <row r="9758" spans="26:41" x14ac:dyDescent="0.25">
      <c r="Z9758"/>
      <c r="AO9758" s="6"/>
    </row>
    <row r="9759" spans="26:41" x14ac:dyDescent="0.25">
      <c r="Z9759"/>
      <c r="AO9759" s="6"/>
    </row>
    <row r="9760" spans="26:41" x14ac:dyDescent="0.25">
      <c r="Z9760"/>
      <c r="AO9760" s="6"/>
    </row>
    <row r="9761" spans="26:41" x14ac:dyDescent="0.25">
      <c r="Z9761"/>
      <c r="AO9761" s="6"/>
    </row>
    <row r="9762" spans="26:41" x14ac:dyDescent="0.25">
      <c r="Z9762"/>
      <c r="AO9762" s="6"/>
    </row>
    <row r="9763" spans="26:41" x14ac:dyDescent="0.25">
      <c r="Z9763"/>
      <c r="AO9763" s="6"/>
    </row>
    <row r="9764" spans="26:41" x14ac:dyDescent="0.25">
      <c r="Z9764"/>
      <c r="AO9764" s="6"/>
    </row>
    <row r="9765" spans="26:41" x14ac:dyDescent="0.25">
      <c r="Z9765"/>
      <c r="AO9765" s="6"/>
    </row>
    <row r="9766" spans="26:41" x14ac:dyDescent="0.25">
      <c r="Z9766"/>
      <c r="AO9766" s="6"/>
    </row>
    <row r="9767" spans="26:41" x14ac:dyDescent="0.25">
      <c r="Z9767"/>
      <c r="AO9767" s="6"/>
    </row>
    <row r="9768" spans="26:41" x14ac:dyDescent="0.25">
      <c r="Z9768"/>
      <c r="AO9768" s="6"/>
    </row>
    <row r="9769" spans="26:41" x14ac:dyDescent="0.25">
      <c r="Z9769"/>
      <c r="AO9769" s="6"/>
    </row>
    <row r="9770" spans="26:41" x14ac:dyDescent="0.25">
      <c r="Z9770"/>
      <c r="AO9770" s="6"/>
    </row>
    <row r="9771" spans="26:41" x14ac:dyDescent="0.25">
      <c r="Z9771"/>
      <c r="AO9771" s="6"/>
    </row>
    <row r="9772" spans="26:41" x14ac:dyDescent="0.25">
      <c r="Z9772"/>
      <c r="AO9772" s="6"/>
    </row>
    <row r="9773" spans="26:41" x14ac:dyDescent="0.25">
      <c r="Z9773"/>
      <c r="AO9773" s="6"/>
    </row>
    <row r="9774" spans="26:41" x14ac:dyDescent="0.25">
      <c r="Z9774"/>
      <c r="AO9774" s="6"/>
    </row>
    <row r="9775" spans="26:41" x14ac:dyDescent="0.25">
      <c r="Z9775"/>
      <c r="AO9775" s="6"/>
    </row>
    <row r="9776" spans="26:41" x14ac:dyDescent="0.25">
      <c r="Z9776"/>
      <c r="AO9776" s="6"/>
    </row>
    <row r="9777" spans="26:41" x14ac:dyDescent="0.25">
      <c r="Z9777"/>
      <c r="AO9777" s="6"/>
    </row>
    <row r="9778" spans="26:41" x14ac:dyDescent="0.25">
      <c r="Z9778"/>
      <c r="AO9778" s="6"/>
    </row>
    <row r="9779" spans="26:41" x14ac:dyDescent="0.25">
      <c r="Z9779"/>
      <c r="AO9779" s="6"/>
    </row>
    <row r="9780" spans="26:41" x14ac:dyDescent="0.25">
      <c r="Z9780"/>
      <c r="AO9780" s="6"/>
    </row>
    <row r="9781" spans="26:41" x14ac:dyDescent="0.25">
      <c r="Z9781"/>
      <c r="AO9781" s="6"/>
    </row>
    <row r="9782" spans="26:41" x14ac:dyDescent="0.25">
      <c r="Z9782"/>
      <c r="AO9782" s="6"/>
    </row>
    <row r="9783" spans="26:41" x14ac:dyDescent="0.25">
      <c r="Z9783"/>
      <c r="AO9783" s="6"/>
    </row>
    <row r="9784" spans="26:41" x14ac:dyDescent="0.25">
      <c r="Z9784"/>
      <c r="AO9784" s="6"/>
    </row>
    <row r="9785" spans="26:41" x14ac:dyDescent="0.25">
      <c r="Z9785"/>
      <c r="AO9785" s="6"/>
    </row>
    <row r="9786" spans="26:41" x14ac:dyDescent="0.25">
      <c r="Z9786"/>
      <c r="AO9786" s="6"/>
    </row>
    <row r="9787" spans="26:41" x14ac:dyDescent="0.25">
      <c r="Z9787"/>
      <c r="AO9787" s="6"/>
    </row>
    <row r="9788" spans="26:41" x14ac:dyDescent="0.25">
      <c r="Z9788"/>
      <c r="AO9788" s="6"/>
    </row>
    <row r="9789" spans="26:41" x14ac:dyDescent="0.25">
      <c r="Z9789"/>
      <c r="AO9789" s="6"/>
    </row>
    <row r="9790" spans="26:41" x14ac:dyDescent="0.25">
      <c r="Z9790"/>
      <c r="AO9790" s="6"/>
    </row>
    <row r="9791" spans="26:41" x14ac:dyDescent="0.25">
      <c r="Z9791"/>
      <c r="AO9791" s="6"/>
    </row>
    <row r="9792" spans="26:41" x14ac:dyDescent="0.25">
      <c r="Z9792"/>
      <c r="AO9792" s="6"/>
    </row>
    <row r="9793" spans="26:41" x14ac:dyDescent="0.25">
      <c r="Z9793"/>
      <c r="AO9793" s="6"/>
    </row>
    <row r="9794" spans="26:41" x14ac:dyDescent="0.25">
      <c r="Z9794"/>
      <c r="AO9794" s="6"/>
    </row>
    <row r="9795" spans="26:41" x14ac:dyDescent="0.25">
      <c r="Z9795"/>
      <c r="AO9795" s="6"/>
    </row>
    <row r="9796" spans="26:41" x14ac:dyDescent="0.25">
      <c r="Z9796"/>
      <c r="AO9796" s="6"/>
    </row>
    <row r="9797" spans="26:41" x14ac:dyDescent="0.25">
      <c r="Z9797"/>
      <c r="AO9797" s="6"/>
    </row>
    <row r="9798" spans="26:41" x14ac:dyDescent="0.25">
      <c r="Z9798"/>
      <c r="AO9798" s="6"/>
    </row>
    <row r="9799" spans="26:41" x14ac:dyDescent="0.25">
      <c r="Z9799"/>
      <c r="AO9799" s="6"/>
    </row>
    <row r="9800" spans="26:41" x14ac:dyDescent="0.25">
      <c r="Z9800"/>
      <c r="AO9800" s="6"/>
    </row>
    <row r="9801" spans="26:41" x14ac:dyDescent="0.25">
      <c r="Z9801"/>
      <c r="AO9801" s="6"/>
    </row>
    <row r="9802" spans="26:41" x14ac:dyDescent="0.25">
      <c r="Z9802"/>
      <c r="AO9802" s="6"/>
    </row>
    <row r="9803" spans="26:41" x14ac:dyDescent="0.25">
      <c r="Z9803"/>
      <c r="AO9803" s="6"/>
    </row>
    <row r="9804" spans="26:41" x14ac:dyDescent="0.25">
      <c r="Z9804"/>
      <c r="AO9804" s="6"/>
    </row>
    <row r="9805" spans="26:41" x14ac:dyDescent="0.25">
      <c r="Z9805"/>
      <c r="AO9805" s="6"/>
    </row>
    <row r="9806" spans="26:41" x14ac:dyDescent="0.25">
      <c r="Z9806"/>
      <c r="AO9806" s="6"/>
    </row>
    <row r="9807" spans="26:41" x14ac:dyDescent="0.25">
      <c r="Z9807"/>
      <c r="AO9807" s="6"/>
    </row>
    <row r="9808" spans="26:41" x14ac:dyDescent="0.25">
      <c r="Z9808"/>
      <c r="AO9808" s="6"/>
    </row>
    <row r="9809" spans="26:41" x14ac:dyDescent="0.25">
      <c r="Z9809"/>
      <c r="AO9809" s="6"/>
    </row>
    <row r="9810" spans="26:41" x14ac:dyDescent="0.25">
      <c r="Z9810"/>
      <c r="AO9810" s="6"/>
    </row>
    <row r="9811" spans="26:41" x14ac:dyDescent="0.25">
      <c r="Z9811"/>
      <c r="AO9811" s="6"/>
    </row>
    <row r="9812" spans="26:41" x14ac:dyDescent="0.25">
      <c r="Z9812"/>
      <c r="AO9812" s="6"/>
    </row>
    <row r="9813" spans="26:41" x14ac:dyDescent="0.25">
      <c r="Z9813"/>
      <c r="AO9813" s="6"/>
    </row>
    <row r="9814" spans="26:41" x14ac:dyDescent="0.25">
      <c r="Z9814"/>
      <c r="AO9814" s="6"/>
    </row>
    <row r="9815" spans="26:41" x14ac:dyDescent="0.25">
      <c r="Z9815"/>
      <c r="AO9815" s="6"/>
    </row>
    <row r="9816" spans="26:41" x14ac:dyDescent="0.25">
      <c r="Z9816"/>
      <c r="AO9816" s="6"/>
    </row>
    <row r="9817" spans="26:41" x14ac:dyDescent="0.25">
      <c r="Z9817"/>
      <c r="AO9817" s="6"/>
    </row>
    <row r="9818" spans="26:41" x14ac:dyDescent="0.25">
      <c r="Z9818"/>
      <c r="AO9818" s="6"/>
    </row>
    <row r="9819" spans="26:41" x14ac:dyDescent="0.25">
      <c r="Z9819"/>
      <c r="AO9819" s="6"/>
    </row>
    <row r="9820" spans="26:41" x14ac:dyDescent="0.25">
      <c r="Z9820"/>
      <c r="AO9820" s="6"/>
    </row>
    <row r="9821" spans="26:41" x14ac:dyDescent="0.25">
      <c r="Z9821"/>
      <c r="AO9821" s="6"/>
    </row>
    <row r="9822" spans="26:41" x14ac:dyDescent="0.25">
      <c r="Z9822"/>
      <c r="AO9822" s="6"/>
    </row>
    <row r="9823" spans="26:41" x14ac:dyDescent="0.25">
      <c r="Z9823"/>
      <c r="AO9823" s="6"/>
    </row>
    <row r="9824" spans="26:41" x14ac:dyDescent="0.25">
      <c r="Z9824"/>
      <c r="AO9824" s="6"/>
    </row>
    <row r="9825" spans="26:41" x14ac:dyDescent="0.25">
      <c r="Z9825"/>
      <c r="AO9825" s="6"/>
    </row>
    <row r="9826" spans="26:41" x14ac:dyDescent="0.25">
      <c r="Z9826"/>
      <c r="AO9826" s="6"/>
    </row>
    <row r="9827" spans="26:41" x14ac:dyDescent="0.25">
      <c r="Z9827"/>
      <c r="AO9827" s="6"/>
    </row>
    <row r="9828" spans="26:41" x14ac:dyDescent="0.25">
      <c r="Z9828"/>
      <c r="AO9828" s="6"/>
    </row>
    <row r="9829" spans="26:41" x14ac:dyDescent="0.25">
      <c r="Z9829"/>
      <c r="AO9829" s="6"/>
    </row>
    <row r="9830" spans="26:41" x14ac:dyDescent="0.25">
      <c r="Z9830"/>
      <c r="AO9830" s="6"/>
    </row>
    <row r="9831" spans="26:41" x14ac:dyDescent="0.25">
      <c r="Z9831"/>
      <c r="AO9831" s="6"/>
    </row>
    <row r="9832" spans="26:41" x14ac:dyDescent="0.25">
      <c r="Z9832"/>
      <c r="AO9832" s="6"/>
    </row>
    <row r="9833" spans="26:41" x14ac:dyDescent="0.25">
      <c r="Z9833"/>
      <c r="AO9833" s="6"/>
    </row>
    <row r="9834" spans="26:41" x14ac:dyDescent="0.25">
      <c r="Z9834"/>
      <c r="AO9834" s="6"/>
    </row>
    <row r="9835" spans="26:41" x14ac:dyDescent="0.25">
      <c r="Z9835"/>
      <c r="AO9835" s="6"/>
    </row>
    <row r="9836" spans="26:41" x14ac:dyDescent="0.25">
      <c r="Z9836"/>
      <c r="AO9836" s="6"/>
    </row>
    <row r="9837" spans="26:41" x14ac:dyDescent="0.25">
      <c r="Z9837"/>
      <c r="AO9837" s="6"/>
    </row>
    <row r="9838" spans="26:41" x14ac:dyDescent="0.25">
      <c r="Z9838"/>
      <c r="AO9838" s="6"/>
    </row>
    <row r="9839" spans="26:41" x14ac:dyDescent="0.25">
      <c r="Z9839"/>
      <c r="AO9839" s="6"/>
    </row>
    <row r="9840" spans="26:41" x14ac:dyDescent="0.25">
      <c r="Z9840"/>
      <c r="AO9840" s="6"/>
    </row>
    <row r="9841" spans="26:41" x14ac:dyDescent="0.25">
      <c r="Z9841"/>
      <c r="AO9841" s="6"/>
    </row>
    <row r="9842" spans="26:41" x14ac:dyDescent="0.25">
      <c r="Z9842"/>
      <c r="AO9842" s="6"/>
    </row>
    <row r="9843" spans="26:41" x14ac:dyDescent="0.25">
      <c r="Z9843"/>
      <c r="AO9843" s="6"/>
    </row>
    <row r="9844" spans="26:41" x14ac:dyDescent="0.25">
      <c r="Z9844"/>
      <c r="AO9844" s="6"/>
    </row>
    <row r="9845" spans="26:41" x14ac:dyDescent="0.25">
      <c r="Z9845"/>
      <c r="AO9845" s="6"/>
    </row>
    <row r="9846" spans="26:41" x14ac:dyDescent="0.25">
      <c r="Z9846"/>
      <c r="AO9846" s="6"/>
    </row>
    <row r="9847" spans="26:41" x14ac:dyDescent="0.25">
      <c r="Z9847"/>
      <c r="AO9847" s="6"/>
    </row>
    <row r="9848" spans="26:41" x14ac:dyDescent="0.25">
      <c r="Z9848"/>
      <c r="AO9848" s="6"/>
    </row>
    <row r="9849" spans="26:41" x14ac:dyDescent="0.25">
      <c r="Z9849"/>
      <c r="AO9849" s="6"/>
    </row>
    <row r="9850" spans="26:41" x14ac:dyDescent="0.25">
      <c r="Z9850"/>
      <c r="AO9850" s="6"/>
    </row>
    <row r="9851" spans="26:41" x14ac:dyDescent="0.25">
      <c r="Z9851"/>
      <c r="AO9851" s="6"/>
    </row>
    <row r="9852" spans="26:41" x14ac:dyDescent="0.25">
      <c r="Z9852"/>
      <c r="AO9852" s="6"/>
    </row>
    <row r="9853" spans="26:41" x14ac:dyDescent="0.25">
      <c r="Z9853"/>
      <c r="AO9853" s="6"/>
    </row>
    <row r="9854" spans="26:41" x14ac:dyDescent="0.25">
      <c r="Z9854"/>
      <c r="AO9854" s="6"/>
    </row>
    <row r="9855" spans="26:41" x14ac:dyDescent="0.25">
      <c r="Z9855"/>
      <c r="AO9855" s="6"/>
    </row>
    <row r="9856" spans="26:41" x14ac:dyDescent="0.25">
      <c r="Z9856"/>
      <c r="AO9856" s="6"/>
    </row>
    <row r="9857" spans="26:41" x14ac:dyDescent="0.25">
      <c r="Z9857"/>
      <c r="AO9857" s="6"/>
    </row>
    <row r="9858" spans="26:41" x14ac:dyDescent="0.25">
      <c r="Z9858"/>
      <c r="AO9858" s="6"/>
    </row>
    <row r="9859" spans="26:41" x14ac:dyDescent="0.25">
      <c r="Z9859"/>
      <c r="AO9859" s="6"/>
    </row>
    <row r="9860" spans="26:41" x14ac:dyDescent="0.25">
      <c r="Z9860"/>
      <c r="AO9860" s="6"/>
    </row>
    <row r="9861" spans="26:41" x14ac:dyDescent="0.25">
      <c r="Z9861"/>
      <c r="AO9861" s="6"/>
    </row>
    <row r="9862" spans="26:41" x14ac:dyDescent="0.25">
      <c r="Z9862"/>
      <c r="AO9862" s="6"/>
    </row>
    <row r="9863" spans="26:41" x14ac:dyDescent="0.25">
      <c r="Z9863"/>
      <c r="AO9863" s="6"/>
    </row>
    <row r="9864" spans="26:41" x14ac:dyDescent="0.25">
      <c r="Z9864"/>
      <c r="AO9864" s="6"/>
    </row>
    <row r="9865" spans="26:41" x14ac:dyDescent="0.25">
      <c r="Z9865"/>
      <c r="AO9865" s="6"/>
    </row>
    <row r="9866" spans="26:41" x14ac:dyDescent="0.25">
      <c r="Z9866"/>
      <c r="AO9866" s="6"/>
    </row>
    <row r="9867" spans="26:41" x14ac:dyDescent="0.25">
      <c r="Z9867"/>
      <c r="AO9867" s="6"/>
    </row>
    <row r="9868" spans="26:41" x14ac:dyDescent="0.25">
      <c r="Z9868"/>
      <c r="AO9868" s="6"/>
    </row>
    <row r="9869" spans="26:41" x14ac:dyDescent="0.25">
      <c r="Z9869"/>
      <c r="AO9869" s="6"/>
    </row>
    <row r="9870" spans="26:41" x14ac:dyDescent="0.25">
      <c r="Z9870"/>
      <c r="AO9870" s="6"/>
    </row>
    <row r="9871" spans="26:41" x14ac:dyDescent="0.25">
      <c r="Z9871"/>
      <c r="AO9871" s="6"/>
    </row>
    <row r="9872" spans="26:41" x14ac:dyDescent="0.25">
      <c r="Z9872"/>
      <c r="AO9872" s="6"/>
    </row>
    <row r="9873" spans="26:41" x14ac:dyDescent="0.25">
      <c r="Z9873"/>
      <c r="AO9873" s="6"/>
    </row>
    <row r="9874" spans="26:41" x14ac:dyDescent="0.25">
      <c r="Z9874"/>
      <c r="AO9874" s="6"/>
    </row>
    <row r="9875" spans="26:41" x14ac:dyDescent="0.25">
      <c r="Z9875"/>
      <c r="AO9875" s="6"/>
    </row>
    <row r="9876" spans="26:41" x14ac:dyDescent="0.25">
      <c r="Z9876"/>
      <c r="AO9876" s="6"/>
    </row>
    <row r="9877" spans="26:41" x14ac:dyDescent="0.25">
      <c r="Z9877"/>
      <c r="AO9877" s="6"/>
    </row>
    <row r="9878" spans="26:41" x14ac:dyDescent="0.25">
      <c r="Z9878"/>
      <c r="AO9878" s="6"/>
    </row>
    <row r="9879" spans="26:41" x14ac:dyDescent="0.25">
      <c r="Z9879"/>
      <c r="AO9879" s="6"/>
    </row>
    <row r="9880" spans="26:41" x14ac:dyDescent="0.25">
      <c r="Z9880"/>
      <c r="AO9880" s="6"/>
    </row>
    <row r="9881" spans="26:41" x14ac:dyDescent="0.25">
      <c r="Z9881"/>
      <c r="AO9881" s="6"/>
    </row>
    <row r="9882" spans="26:41" x14ac:dyDescent="0.25">
      <c r="Z9882"/>
      <c r="AO9882" s="6"/>
    </row>
    <row r="9883" spans="26:41" x14ac:dyDescent="0.25">
      <c r="Z9883"/>
      <c r="AO9883" s="6"/>
    </row>
    <row r="9884" spans="26:41" x14ac:dyDescent="0.25">
      <c r="Z9884"/>
      <c r="AO9884" s="6"/>
    </row>
    <row r="9885" spans="26:41" x14ac:dyDescent="0.25">
      <c r="Z9885"/>
      <c r="AO9885" s="6"/>
    </row>
    <row r="9886" spans="26:41" x14ac:dyDescent="0.25">
      <c r="Z9886"/>
      <c r="AO9886" s="6"/>
    </row>
    <row r="9887" spans="26:41" x14ac:dyDescent="0.25">
      <c r="Z9887"/>
      <c r="AO9887" s="6"/>
    </row>
    <row r="9888" spans="26:41" x14ac:dyDescent="0.25">
      <c r="Z9888"/>
      <c r="AO9888" s="6"/>
    </row>
    <row r="9889" spans="26:41" x14ac:dyDescent="0.25">
      <c r="Z9889"/>
      <c r="AO9889" s="6"/>
    </row>
    <row r="9890" spans="26:41" x14ac:dyDescent="0.25">
      <c r="Z9890"/>
      <c r="AO9890" s="6"/>
    </row>
    <row r="9891" spans="26:41" x14ac:dyDescent="0.25">
      <c r="Z9891"/>
      <c r="AO9891" s="6"/>
    </row>
    <row r="9892" spans="26:41" x14ac:dyDescent="0.25">
      <c r="Z9892"/>
      <c r="AO9892" s="6"/>
    </row>
    <row r="9893" spans="26:41" x14ac:dyDescent="0.25">
      <c r="Z9893"/>
      <c r="AO9893" s="6"/>
    </row>
    <row r="9894" spans="26:41" x14ac:dyDescent="0.25">
      <c r="Z9894"/>
      <c r="AO9894" s="6"/>
    </row>
    <row r="9895" spans="26:41" x14ac:dyDescent="0.25">
      <c r="Z9895"/>
      <c r="AO9895" s="6"/>
    </row>
    <row r="9896" spans="26:41" x14ac:dyDescent="0.25">
      <c r="Z9896"/>
      <c r="AO9896" s="6"/>
    </row>
    <row r="9897" spans="26:41" x14ac:dyDescent="0.25">
      <c r="Z9897"/>
      <c r="AO9897" s="6"/>
    </row>
    <row r="9898" spans="26:41" x14ac:dyDescent="0.25">
      <c r="Z9898"/>
      <c r="AO9898" s="6"/>
    </row>
    <row r="9899" spans="26:41" x14ac:dyDescent="0.25">
      <c r="Z9899"/>
      <c r="AO9899" s="6"/>
    </row>
    <row r="9900" spans="26:41" x14ac:dyDescent="0.25">
      <c r="Z9900"/>
      <c r="AO9900" s="6"/>
    </row>
    <row r="9901" spans="26:41" x14ac:dyDescent="0.25">
      <c r="Z9901"/>
      <c r="AO9901" s="6"/>
    </row>
    <row r="9902" spans="26:41" x14ac:dyDescent="0.25">
      <c r="Z9902"/>
      <c r="AO9902" s="6"/>
    </row>
    <row r="9903" spans="26:41" x14ac:dyDescent="0.25">
      <c r="Z9903"/>
      <c r="AO9903" s="6"/>
    </row>
    <row r="9904" spans="26:41" x14ac:dyDescent="0.25">
      <c r="Z9904"/>
      <c r="AO9904" s="6"/>
    </row>
    <row r="9905" spans="26:41" x14ac:dyDescent="0.25">
      <c r="Z9905"/>
      <c r="AO9905" s="6"/>
    </row>
    <row r="9906" spans="26:41" x14ac:dyDescent="0.25">
      <c r="Z9906"/>
      <c r="AO9906" s="6"/>
    </row>
    <row r="9907" spans="26:41" x14ac:dyDescent="0.25">
      <c r="Z9907"/>
      <c r="AO9907" s="6"/>
    </row>
    <row r="9908" spans="26:41" x14ac:dyDescent="0.25">
      <c r="Z9908"/>
      <c r="AO9908" s="6"/>
    </row>
    <row r="9909" spans="26:41" x14ac:dyDescent="0.25">
      <c r="Z9909"/>
      <c r="AO9909" s="6"/>
    </row>
    <row r="9910" spans="26:41" x14ac:dyDescent="0.25">
      <c r="Z9910"/>
      <c r="AO9910" s="6"/>
    </row>
    <row r="9911" spans="26:41" x14ac:dyDescent="0.25">
      <c r="Z9911"/>
      <c r="AO9911" s="6"/>
    </row>
    <row r="9912" spans="26:41" x14ac:dyDescent="0.25">
      <c r="Z9912"/>
      <c r="AO9912" s="6"/>
    </row>
    <row r="9913" spans="26:41" x14ac:dyDescent="0.25">
      <c r="Z9913"/>
      <c r="AO9913" s="6"/>
    </row>
    <row r="9914" spans="26:41" x14ac:dyDescent="0.25">
      <c r="Z9914"/>
      <c r="AO9914" s="6"/>
    </row>
    <row r="9915" spans="26:41" x14ac:dyDescent="0.25">
      <c r="Z9915"/>
      <c r="AO9915" s="6"/>
    </row>
    <row r="9916" spans="26:41" x14ac:dyDescent="0.25">
      <c r="Z9916"/>
      <c r="AO9916" s="6"/>
    </row>
    <row r="9917" spans="26:41" x14ac:dyDescent="0.25">
      <c r="Z9917"/>
      <c r="AO9917" s="6"/>
    </row>
    <row r="9918" spans="26:41" x14ac:dyDescent="0.25">
      <c r="Z9918"/>
      <c r="AO9918" s="6"/>
    </row>
    <row r="9919" spans="26:41" x14ac:dyDescent="0.25">
      <c r="Z9919"/>
      <c r="AO9919" s="6"/>
    </row>
    <row r="9920" spans="26:41" x14ac:dyDescent="0.25">
      <c r="Z9920"/>
      <c r="AO9920" s="6"/>
    </row>
    <row r="9921" spans="26:41" x14ac:dyDescent="0.25">
      <c r="Z9921"/>
      <c r="AO9921" s="6"/>
    </row>
    <row r="9922" spans="26:41" x14ac:dyDescent="0.25">
      <c r="Z9922"/>
      <c r="AO9922" s="6"/>
    </row>
    <row r="9923" spans="26:41" x14ac:dyDescent="0.25">
      <c r="Z9923"/>
      <c r="AO9923" s="6"/>
    </row>
    <row r="9924" spans="26:41" x14ac:dyDescent="0.25">
      <c r="Z9924"/>
      <c r="AO9924" s="6"/>
    </row>
    <row r="9925" spans="26:41" x14ac:dyDescent="0.25">
      <c r="Z9925"/>
      <c r="AO9925" s="6"/>
    </row>
    <row r="9926" spans="26:41" x14ac:dyDescent="0.25">
      <c r="Z9926"/>
      <c r="AO9926" s="6"/>
    </row>
    <row r="9927" spans="26:41" x14ac:dyDescent="0.25">
      <c r="Z9927"/>
      <c r="AO9927" s="6"/>
    </row>
    <row r="9928" spans="26:41" x14ac:dyDescent="0.25">
      <c r="Z9928"/>
      <c r="AO9928" s="6"/>
    </row>
    <row r="9929" spans="26:41" x14ac:dyDescent="0.25">
      <c r="Z9929"/>
      <c r="AO9929" s="6"/>
    </row>
    <row r="9930" spans="26:41" x14ac:dyDescent="0.25">
      <c r="Z9930"/>
      <c r="AO9930" s="6"/>
    </row>
    <row r="9931" spans="26:41" x14ac:dyDescent="0.25">
      <c r="Z9931"/>
      <c r="AO9931" s="6"/>
    </row>
    <row r="9932" spans="26:41" x14ac:dyDescent="0.25">
      <c r="Z9932"/>
      <c r="AO9932" s="6"/>
    </row>
    <row r="9933" spans="26:41" x14ac:dyDescent="0.25">
      <c r="Z9933"/>
      <c r="AO9933" s="6"/>
    </row>
    <row r="9934" spans="26:41" x14ac:dyDescent="0.25">
      <c r="Z9934"/>
      <c r="AO9934" s="6"/>
    </row>
    <row r="9935" spans="26:41" x14ac:dyDescent="0.25">
      <c r="Z9935"/>
      <c r="AO9935" s="6"/>
    </row>
    <row r="9936" spans="26:41" x14ac:dyDescent="0.25">
      <c r="Z9936"/>
      <c r="AO9936" s="6"/>
    </row>
    <row r="9937" spans="26:41" x14ac:dyDescent="0.25">
      <c r="Z9937"/>
      <c r="AO9937" s="6"/>
    </row>
    <row r="9938" spans="26:41" x14ac:dyDescent="0.25">
      <c r="Z9938"/>
      <c r="AO9938" s="6"/>
    </row>
    <row r="9939" spans="26:41" x14ac:dyDescent="0.25">
      <c r="Z9939"/>
      <c r="AO9939" s="6"/>
    </row>
    <row r="9940" spans="26:41" x14ac:dyDescent="0.25">
      <c r="Z9940"/>
      <c r="AO9940" s="6"/>
    </row>
    <row r="9941" spans="26:41" x14ac:dyDescent="0.25">
      <c r="Z9941"/>
      <c r="AO9941" s="6"/>
    </row>
    <row r="9942" spans="26:41" x14ac:dyDescent="0.25">
      <c r="Z9942"/>
      <c r="AO9942" s="6"/>
    </row>
    <row r="9943" spans="26:41" x14ac:dyDescent="0.25">
      <c r="Z9943"/>
      <c r="AO9943" s="6"/>
    </row>
    <row r="9944" spans="26:41" x14ac:dyDescent="0.25">
      <c r="Z9944"/>
      <c r="AO9944" s="6"/>
    </row>
    <row r="9945" spans="26:41" x14ac:dyDescent="0.25">
      <c r="Z9945"/>
      <c r="AO9945" s="6"/>
    </row>
    <row r="9946" spans="26:41" x14ac:dyDescent="0.25">
      <c r="Z9946"/>
      <c r="AO9946" s="6"/>
    </row>
    <row r="9947" spans="26:41" x14ac:dyDescent="0.25">
      <c r="Z9947"/>
      <c r="AO9947" s="6"/>
    </row>
    <row r="9948" spans="26:41" x14ac:dyDescent="0.25">
      <c r="Z9948"/>
      <c r="AO9948" s="6"/>
    </row>
    <row r="9949" spans="26:41" x14ac:dyDescent="0.25">
      <c r="Z9949"/>
      <c r="AO9949" s="6"/>
    </row>
    <row r="9950" spans="26:41" x14ac:dyDescent="0.25">
      <c r="Z9950"/>
      <c r="AO9950" s="6"/>
    </row>
    <row r="9951" spans="26:41" x14ac:dyDescent="0.25">
      <c r="Z9951"/>
      <c r="AO9951" s="6"/>
    </row>
    <row r="9952" spans="26:41" x14ac:dyDescent="0.25">
      <c r="Z9952"/>
      <c r="AO9952" s="6"/>
    </row>
    <row r="9953" spans="26:41" x14ac:dyDescent="0.25">
      <c r="Z9953"/>
      <c r="AO9953" s="6"/>
    </row>
    <row r="9954" spans="26:41" x14ac:dyDescent="0.25">
      <c r="Z9954"/>
      <c r="AO9954" s="6"/>
    </row>
    <row r="9955" spans="26:41" x14ac:dyDescent="0.25">
      <c r="Z9955"/>
      <c r="AO9955" s="6"/>
    </row>
    <row r="9956" spans="26:41" x14ac:dyDescent="0.25">
      <c r="Z9956"/>
      <c r="AO9956" s="6"/>
    </row>
    <row r="9957" spans="26:41" x14ac:dyDescent="0.25">
      <c r="Z9957"/>
      <c r="AO9957" s="6"/>
    </row>
    <row r="9958" spans="26:41" x14ac:dyDescent="0.25">
      <c r="Z9958"/>
      <c r="AO9958" s="6"/>
    </row>
    <row r="9959" spans="26:41" x14ac:dyDescent="0.25">
      <c r="Z9959"/>
      <c r="AO9959" s="6"/>
    </row>
    <row r="9960" spans="26:41" x14ac:dyDescent="0.25">
      <c r="Z9960"/>
      <c r="AO9960" s="6"/>
    </row>
    <row r="9961" spans="26:41" x14ac:dyDescent="0.25">
      <c r="Z9961"/>
      <c r="AO9961" s="6"/>
    </row>
    <row r="9962" spans="26:41" x14ac:dyDescent="0.25">
      <c r="Z9962"/>
      <c r="AO9962" s="6"/>
    </row>
    <row r="9963" spans="26:41" x14ac:dyDescent="0.25">
      <c r="Z9963"/>
      <c r="AO9963" s="6"/>
    </row>
    <row r="9964" spans="26:41" x14ac:dyDescent="0.25">
      <c r="Z9964"/>
      <c r="AO9964" s="6"/>
    </row>
    <row r="9965" spans="26:41" x14ac:dyDescent="0.25">
      <c r="Z9965"/>
      <c r="AO9965" s="6"/>
    </row>
    <row r="9966" spans="26:41" x14ac:dyDescent="0.25">
      <c r="Z9966"/>
      <c r="AO9966" s="6"/>
    </row>
    <row r="9967" spans="26:41" x14ac:dyDescent="0.25">
      <c r="Z9967"/>
      <c r="AO9967" s="6"/>
    </row>
    <row r="9968" spans="26:41" x14ac:dyDescent="0.25">
      <c r="Z9968"/>
      <c r="AO9968" s="6"/>
    </row>
    <row r="9969" spans="26:41" x14ac:dyDescent="0.25">
      <c r="Z9969"/>
      <c r="AO9969" s="6"/>
    </row>
    <row r="9970" spans="26:41" x14ac:dyDescent="0.25">
      <c r="Z9970"/>
      <c r="AO9970" s="6"/>
    </row>
    <row r="9971" spans="26:41" x14ac:dyDescent="0.25">
      <c r="Z9971"/>
      <c r="AO9971" s="6"/>
    </row>
    <row r="9972" spans="26:41" x14ac:dyDescent="0.25">
      <c r="Z9972"/>
      <c r="AO9972" s="6"/>
    </row>
    <row r="9973" spans="26:41" x14ac:dyDescent="0.25">
      <c r="Z9973"/>
      <c r="AO9973" s="6"/>
    </row>
    <row r="9974" spans="26:41" x14ac:dyDescent="0.25">
      <c r="Z9974"/>
      <c r="AO9974" s="6"/>
    </row>
    <row r="9975" spans="26:41" x14ac:dyDescent="0.25">
      <c r="Z9975"/>
      <c r="AO9975" s="6"/>
    </row>
    <row r="9976" spans="26:41" x14ac:dyDescent="0.25">
      <c r="Z9976"/>
      <c r="AO9976" s="6"/>
    </row>
    <row r="9977" spans="26:41" x14ac:dyDescent="0.25">
      <c r="Z9977"/>
      <c r="AO9977" s="6"/>
    </row>
    <row r="9978" spans="26:41" x14ac:dyDescent="0.25">
      <c r="Z9978"/>
      <c r="AO9978" s="6"/>
    </row>
    <row r="9979" spans="26:41" x14ac:dyDescent="0.25">
      <c r="Z9979"/>
      <c r="AO9979" s="6"/>
    </row>
    <row r="9980" spans="26:41" x14ac:dyDescent="0.25">
      <c r="Z9980"/>
      <c r="AO9980" s="6"/>
    </row>
    <row r="9981" spans="26:41" x14ac:dyDescent="0.25">
      <c r="Z9981"/>
      <c r="AO9981" s="6"/>
    </row>
    <row r="9982" spans="26:41" x14ac:dyDescent="0.25">
      <c r="Z9982"/>
      <c r="AO9982" s="6"/>
    </row>
    <row r="9983" spans="26:41" x14ac:dyDescent="0.25">
      <c r="Z9983"/>
      <c r="AO9983" s="6"/>
    </row>
    <row r="9984" spans="26:41" x14ac:dyDescent="0.25">
      <c r="Z9984"/>
      <c r="AO9984" s="6"/>
    </row>
    <row r="9985" spans="26:41" x14ac:dyDescent="0.25">
      <c r="Z9985"/>
      <c r="AO9985" s="6"/>
    </row>
    <row r="9986" spans="26:41" x14ac:dyDescent="0.25">
      <c r="Z9986"/>
      <c r="AO9986" s="6"/>
    </row>
    <row r="9987" spans="26:41" x14ac:dyDescent="0.25">
      <c r="Z9987"/>
      <c r="AO9987" s="6"/>
    </row>
    <row r="9988" spans="26:41" x14ac:dyDescent="0.25">
      <c r="Z9988"/>
      <c r="AO9988" s="6"/>
    </row>
    <row r="9989" spans="26:41" x14ac:dyDescent="0.25">
      <c r="Z9989"/>
      <c r="AO9989" s="6"/>
    </row>
    <row r="9990" spans="26:41" x14ac:dyDescent="0.25">
      <c r="Z9990"/>
      <c r="AO9990" s="6"/>
    </row>
    <row r="9991" spans="26:41" x14ac:dyDescent="0.25">
      <c r="Z9991"/>
      <c r="AO9991" s="6"/>
    </row>
    <row r="9992" spans="26:41" x14ac:dyDescent="0.25">
      <c r="Z9992"/>
      <c r="AO9992" s="6"/>
    </row>
    <row r="9993" spans="26:41" x14ac:dyDescent="0.25">
      <c r="Z9993"/>
      <c r="AO9993" s="6"/>
    </row>
    <row r="9994" spans="26:41" x14ac:dyDescent="0.25">
      <c r="Z9994"/>
      <c r="AO9994" s="6"/>
    </row>
    <row r="9995" spans="26:41" x14ac:dyDescent="0.25">
      <c r="Z9995"/>
      <c r="AO9995" s="6"/>
    </row>
    <row r="9996" spans="26:41" x14ac:dyDescent="0.25">
      <c r="Z9996"/>
      <c r="AO9996" s="6"/>
    </row>
    <row r="9997" spans="26:41" x14ac:dyDescent="0.25">
      <c r="Z9997"/>
      <c r="AO9997" s="6"/>
    </row>
    <row r="9998" spans="26:41" x14ac:dyDescent="0.25">
      <c r="Z9998"/>
      <c r="AO9998" s="6"/>
    </row>
    <row r="9999" spans="26:41" x14ac:dyDescent="0.25">
      <c r="Z9999"/>
      <c r="AO9999" s="6"/>
    </row>
    <row r="10000" spans="26:41" x14ac:dyDescent="0.25">
      <c r="Z10000"/>
      <c r="AO10000" s="6"/>
    </row>
    <row r="10001" spans="26:41" x14ac:dyDescent="0.25">
      <c r="Z10001"/>
      <c r="AO10001" s="6"/>
    </row>
    <row r="10002" spans="26:41" x14ac:dyDescent="0.25">
      <c r="Z10002"/>
      <c r="AO10002" s="6"/>
    </row>
    <row r="10003" spans="26:41" x14ac:dyDescent="0.25">
      <c r="Z10003"/>
      <c r="AO10003" s="6"/>
    </row>
    <row r="10004" spans="26:41" x14ac:dyDescent="0.25">
      <c r="Z10004"/>
      <c r="AO10004" s="6"/>
    </row>
    <row r="10005" spans="26:41" x14ac:dyDescent="0.25">
      <c r="Z10005"/>
      <c r="AO10005" s="6"/>
    </row>
    <row r="10006" spans="26:41" x14ac:dyDescent="0.25">
      <c r="Z10006"/>
      <c r="AO10006" s="6"/>
    </row>
    <row r="10007" spans="26:41" x14ac:dyDescent="0.25">
      <c r="Z10007"/>
      <c r="AO10007" s="6"/>
    </row>
    <row r="10008" spans="26:41" x14ac:dyDescent="0.25">
      <c r="Z10008"/>
    </row>
    <row r="10009" spans="26:41" x14ac:dyDescent="0.25">
      <c r="Z10009"/>
    </row>
    <row r="10010" spans="26:41" x14ac:dyDescent="0.25">
      <c r="Z10010"/>
    </row>
    <row r="10011" spans="26:41" x14ac:dyDescent="0.25">
      <c r="Z10011"/>
    </row>
    <row r="10012" spans="26:41" x14ac:dyDescent="0.25">
      <c r="Z10012"/>
    </row>
    <row r="10013" spans="26:41" x14ac:dyDescent="0.25">
      <c r="Z10013"/>
    </row>
    <row r="10014" spans="26:41" x14ac:dyDescent="0.25">
      <c r="Z10014"/>
    </row>
    <row r="10015" spans="26:41" x14ac:dyDescent="0.25">
      <c r="Z10015"/>
    </row>
    <row r="10016" spans="26:41" x14ac:dyDescent="0.25">
      <c r="Z10016"/>
    </row>
    <row r="10017" spans="26:26" x14ac:dyDescent="0.25">
      <c r="Z10017"/>
    </row>
    <row r="10018" spans="26:26" x14ac:dyDescent="0.25">
      <c r="Z10018"/>
    </row>
    <row r="10019" spans="26:26" x14ac:dyDescent="0.25">
      <c r="Z10019"/>
    </row>
    <row r="10020" spans="26:26" x14ac:dyDescent="0.25">
      <c r="Z10020"/>
    </row>
    <row r="10021" spans="26:26" x14ac:dyDescent="0.25">
      <c r="Z10021"/>
    </row>
    <row r="10022" spans="26:26" x14ac:dyDescent="0.25">
      <c r="Z10022"/>
    </row>
    <row r="10023" spans="26:26" x14ac:dyDescent="0.25">
      <c r="Z10023"/>
    </row>
    <row r="10024" spans="26:26" x14ac:dyDescent="0.25">
      <c r="Z10024"/>
    </row>
    <row r="10025" spans="26:26" x14ac:dyDescent="0.25">
      <c r="Z10025"/>
    </row>
    <row r="10026" spans="26:26" x14ac:dyDescent="0.25">
      <c r="Z10026"/>
    </row>
    <row r="10027" spans="26:26" x14ac:dyDescent="0.25">
      <c r="Z10027"/>
    </row>
    <row r="10028" spans="26:26" x14ac:dyDescent="0.25">
      <c r="Z10028"/>
    </row>
    <row r="10029" spans="26:26" x14ac:dyDescent="0.25">
      <c r="Z10029"/>
    </row>
    <row r="10030" spans="26:26" x14ac:dyDescent="0.25">
      <c r="Z10030"/>
    </row>
    <row r="10031" spans="26:26" x14ac:dyDescent="0.25">
      <c r="Z10031"/>
    </row>
    <row r="10032" spans="26:26" x14ac:dyDescent="0.25">
      <c r="Z10032"/>
    </row>
    <row r="10033" spans="26:26" x14ac:dyDescent="0.25">
      <c r="Z10033"/>
    </row>
    <row r="10034" spans="26:26" x14ac:dyDescent="0.25">
      <c r="Z10034"/>
    </row>
    <row r="10035" spans="26:26" x14ac:dyDescent="0.25">
      <c r="Z10035"/>
    </row>
    <row r="10036" spans="26:26" x14ac:dyDescent="0.25">
      <c r="Z10036"/>
    </row>
    <row r="10037" spans="26:26" x14ac:dyDescent="0.25">
      <c r="Z10037"/>
    </row>
    <row r="10038" spans="26:26" x14ac:dyDescent="0.25">
      <c r="Z10038"/>
    </row>
    <row r="10039" spans="26:26" x14ac:dyDescent="0.25">
      <c r="Z10039"/>
    </row>
    <row r="10040" spans="26:26" x14ac:dyDescent="0.25">
      <c r="Z10040"/>
    </row>
    <row r="10041" spans="26:26" x14ac:dyDescent="0.25">
      <c r="Z10041"/>
    </row>
    <row r="10042" spans="26:26" x14ac:dyDescent="0.25">
      <c r="Z10042"/>
    </row>
    <row r="10043" spans="26:26" x14ac:dyDescent="0.25">
      <c r="Z10043"/>
    </row>
    <row r="10044" spans="26:26" x14ac:dyDescent="0.25">
      <c r="Z10044"/>
    </row>
    <row r="10045" spans="26:26" x14ac:dyDescent="0.25">
      <c r="Z10045"/>
    </row>
    <row r="10046" spans="26:26" x14ac:dyDescent="0.25">
      <c r="Z10046"/>
    </row>
    <row r="10047" spans="26:26" x14ac:dyDescent="0.25">
      <c r="Z10047"/>
    </row>
    <row r="10048" spans="26:26" x14ac:dyDescent="0.25">
      <c r="Z10048"/>
    </row>
    <row r="10049" spans="26:26" x14ac:dyDescent="0.25">
      <c r="Z10049"/>
    </row>
    <row r="10050" spans="26:26" x14ac:dyDescent="0.25">
      <c r="Z10050"/>
    </row>
    <row r="10051" spans="26:26" x14ac:dyDescent="0.25">
      <c r="Z10051"/>
    </row>
    <row r="10052" spans="26:26" x14ac:dyDescent="0.25">
      <c r="Z10052"/>
    </row>
    <row r="10053" spans="26:26" x14ac:dyDescent="0.25">
      <c r="Z10053"/>
    </row>
    <row r="10054" spans="26:26" x14ac:dyDescent="0.25">
      <c r="Z10054"/>
    </row>
    <row r="10055" spans="26:26" x14ac:dyDescent="0.25">
      <c r="Z10055"/>
    </row>
    <row r="10056" spans="26:26" x14ac:dyDescent="0.25">
      <c r="Z10056"/>
    </row>
    <row r="10057" spans="26:26" x14ac:dyDescent="0.25">
      <c r="Z10057"/>
    </row>
    <row r="10058" spans="26:26" x14ac:dyDescent="0.25">
      <c r="Z10058"/>
    </row>
    <row r="10059" spans="26:26" x14ac:dyDescent="0.25">
      <c r="Z10059"/>
    </row>
    <row r="10060" spans="26:26" x14ac:dyDescent="0.25">
      <c r="Z10060"/>
    </row>
    <row r="10061" spans="26:26" x14ac:dyDescent="0.25">
      <c r="Z10061"/>
    </row>
    <row r="10062" spans="26:26" x14ac:dyDescent="0.25">
      <c r="Z10062"/>
    </row>
    <row r="10063" spans="26:26" x14ac:dyDescent="0.25">
      <c r="Z10063"/>
    </row>
    <row r="10064" spans="26:26" x14ac:dyDescent="0.25">
      <c r="Z10064"/>
    </row>
    <row r="10065" spans="26:26" x14ac:dyDescent="0.25">
      <c r="Z10065"/>
    </row>
    <row r="10066" spans="26:26" x14ac:dyDescent="0.25">
      <c r="Z10066"/>
    </row>
    <row r="10067" spans="26:26" x14ac:dyDescent="0.25">
      <c r="Z10067"/>
    </row>
    <row r="10068" spans="26:26" x14ac:dyDescent="0.25">
      <c r="Z10068"/>
    </row>
    <row r="10069" spans="26:26" x14ac:dyDescent="0.25">
      <c r="Z10069"/>
    </row>
    <row r="10070" spans="26:26" x14ac:dyDescent="0.25">
      <c r="Z10070"/>
    </row>
    <row r="10071" spans="26:26" x14ac:dyDescent="0.25">
      <c r="Z10071"/>
    </row>
    <row r="10072" spans="26:26" x14ac:dyDescent="0.25">
      <c r="Z10072"/>
    </row>
    <row r="10073" spans="26:26" x14ac:dyDescent="0.25">
      <c r="Z10073"/>
    </row>
    <row r="10074" spans="26:26" x14ac:dyDescent="0.25">
      <c r="Z10074"/>
    </row>
    <row r="10075" spans="26:26" x14ac:dyDescent="0.25">
      <c r="Z10075"/>
    </row>
    <row r="10076" spans="26:26" x14ac:dyDescent="0.25">
      <c r="Z10076"/>
    </row>
    <row r="10077" spans="26:26" x14ac:dyDescent="0.25">
      <c r="Z10077"/>
    </row>
    <row r="10078" spans="26:26" x14ac:dyDescent="0.25">
      <c r="Z10078"/>
    </row>
    <row r="10079" spans="26:26" x14ac:dyDescent="0.25">
      <c r="Z10079"/>
    </row>
    <row r="10080" spans="26:26" x14ac:dyDescent="0.25">
      <c r="Z10080"/>
    </row>
    <row r="10081" spans="26:26" x14ac:dyDescent="0.25">
      <c r="Z10081"/>
    </row>
    <row r="10082" spans="26:26" x14ac:dyDescent="0.25">
      <c r="Z10082"/>
    </row>
    <row r="10083" spans="26:26" x14ac:dyDescent="0.25">
      <c r="Z10083"/>
    </row>
    <row r="10084" spans="26:26" x14ac:dyDescent="0.25">
      <c r="Z10084"/>
    </row>
    <row r="10085" spans="26:26" x14ac:dyDescent="0.25">
      <c r="Z10085"/>
    </row>
    <row r="10086" spans="26:26" x14ac:dyDescent="0.25">
      <c r="Z10086"/>
    </row>
    <row r="10087" spans="26:26" x14ac:dyDescent="0.25">
      <c r="Z10087"/>
    </row>
    <row r="10088" spans="26:26" x14ac:dyDescent="0.25">
      <c r="Z10088"/>
    </row>
    <row r="10089" spans="26:26" x14ac:dyDescent="0.25">
      <c r="Z10089"/>
    </row>
    <row r="10090" spans="26:26" x14ac:dyDescent="0.25">
      <c r="Z10090"/>
    </row>
    <row r="10091" spans="26:26" x14ac:dyDescent="0.25">
      <c r="Z10091"/>
    </row>
    <row r="10092" spans="26:26" x14ac:dyDescent="0.25">
      <c r="Z10092"/>
    </row>
    <row r="10093" spans="26:26" x14ac:dyDescent="0.25">
      <c r="Z10093"/>
    </row>
    <row r="10094" spans="26:26" x14ac:dyDescent="0.25">
      <c r="Z10094"/>
    </row>
    <row r="10095" spans="26:26" x14ac:dyDescent="0.25">
      <c r="Z10095"/>
    </row>
    <row r="10096" spans="26:26" x14ac:dyDescent="0.25">
      <c r="Z10096"/>
    </row>
    <row r="10097" spans="26:26" x14ac:dyDescent="0.25">
      <c r="Z10097"/>
    </row>
    <row r="10098" spans="26:26" x14ac:dyDescent="0.25">
      <c r="Z10098"/>
    </row>
    <row r="10099" spans="26:26" x14ac:dyDescent="0.25">
      <c r="Z10099"/>
    </row>
    <row r="10100" spans="26:26" x14ac:dyDescent="0.25">
      <c r="Z10100"/>
    </row>
    <row r="10101" spans="26:26" x14ac:dyDescent="0.25">
      <c r="Z10101"/>
    </row>
    <row r="10102" spans="26:26" x14ac:dyDescent="0.25">
      <c r="Z10102"/>
    </row>
    <row r="10103" spans="26:26" x14ac:dyDescent="0.25">
      <c r="Z10103"/>
    </row>
    <row r="10104" spans="26:26" x14ac:dyDescent="0.25">
      <c r="Z10104"/>
    </row>
    <row r="10105" spans="26:26" x14ac:dyDescent="0.25">
      <c r="Z10105"/>
    </row>
    <row r="10106" spans="26:26" x14ac:dyDescent="0.25">
      <c r="Z10106"/>
    </row>
    <row r="10107" spans="26:26" x14ac:dyDescent="0.25">
      <c r="Z10107"/>
    </row>
    <row r="10108" spans="26:26" x14ac:dyDescent="0.25">
      <c r="Z10108"/>
    </row>
    <row r="10109" spans="26:26" x14ac:dyDescent="0.25">
      <c r="Z10109"/>
    </row>
    <row r="10110" spans="26:26" x14ac:dyDescent="0.25">
      <c r="Z10110"/>
    </row>
    <row r="10111" spans="26:26" x14ac:dyDescent="0.25">
      <c r="Z10111"/>
    </row>
    <row r="10112" spans="26:26" x14ac:dyDescent="0.25">
      <c r="Z10112"/>
    </row>
    <row r="10113" spans="26:26" x14ac:dyDescent="0.25">
      <c r="Z10113"/>
    </row>
    <row r="10114" spans="26:26" x14ac:dyDescent="0.25">
      <c r="Z10114"/>
    </row>
    <row r="10115" spans="26:26" x14ac:dyDescent="0.25">
      <c r="Z10115"/>
    </row>
    <row r="10116" spans="26:26" x14ac:dyDescent="0.25">
      <c r="Z10116"/>
    </row>
    <row r="10117" spans="26:26" x14ac:dyDescent="0.25">
      <c r="Z10117"/>
    </row>
    <row r="10118" spans="26:26" x14ac:dyDescent="0.25">
      <c r="Z10118"/>
    </row>
    <row r="10119" spans="26:26" x14ac:dyDescent="0.25">
      <c r="Z10119"/>
    </row>
    <row r="10120" spans="26:26" x14ac:dyDescent="0.25">
      <c r="Z10120"/>
    </row>
    <row r="10121" spans="26:26" x14ac:dyDescent="0.25">
      <c r="Z10121"/>
    </row>
    <row r="10122" spans="26:26" x14ac:dyDescent="0.25">
      <c r="Z10122"/>
    </row>
    <row r="10123" spans="26:26" x14ac:dyDescent="0.25">
      <c r="Z10123"/>
    </row>
    <row r="10124" spans="26:26" x14ac:dyDescent="0.25">
      <c r="Z10124"/>
    </row>
    <row r="10125" spans="26:26" x14ac:dyDescent="0.25">
      <c r="Z10125"/>
    </row>
    <row r="10126" spans="26:26" x14ac:dyDescent="0.25">
      <c r="Z10126"/>
    </row>
    <row r="10127" spans="26:26" x14ac:dyDescent="0.25">
      <c r="Z10127"/>
    </row>
    <row r="10128" spans="26:26" x14ac:dyDescent="0.25">
      <c r="Z10128"/>
    </row>
    <row r="10129" spans="26:26" x14ac:dyDescent="0.25">
      <c r="Z10129"/>
    </row>
    <row r="10130" spans="26:26" x14ac:dyDescent="0.25">
      <c r="Z10130"/>
    </row>
    <row r="10131" spans="26:26" x14ac:dyDescent="0.25">
      <c r="Z10131"/>
    </row>
    <row r="10132" spans="26:26" x14ac:dyDescent="0.25">
      <c r="Z10132"/>
    </row>
    <row r="10133" spans="26:26" x14ac:dyDescent="0.25">
      <c r="Z10133"/>
    </row>
    <row r="10134" spans="26:26" x14ac:dyDescent="0.25">
      <c r="Z10134"/>
    </row>
    <row r="10135" spans="26:26" x14ac:dyDescent="0.25">
      <c r="Z10135"/>
    </row>
    <row r="10136" spans="26:26" x14ac:dyDescent="0.25">
      <c r="Z10136"/>
    </row>
    <row r="10137" spans="26:26" x14ac:dyDescent="0.25">
      <c r="Z10137"/>
    </row>
    <row r="10138" spans="26:26" x14ac:dyDescent="0.25">
      <c r="Z10138"/>
    </row>
    <row r="10139" spans="26:26" x14ac:dyDescent="0.25">
      <c r="Z10139"/>
    </row>
    <row r="10140" spans="26:26" x14ac:dyDescent="0.25">
      <c r="Z10140"/>
    </row>
    <row r="10141" spans="26:26" x14ac:dyDescent="0.25">
      <c r="Z10141"/>
    </row>
    <row r="10142" spans="26:26" x14ac:dyDescent="0.25">
      <c r="Z10142"/>
    </row>
    <row r="10143" spans="26:26" x14ac:dyDescent="0.25">
      <c r="Z10143"/>
    </row>
    <row r="10144" spans="26:26" x14ac:dyDescent="0.25">
      <c r="Z10144"/>
    </row>
    <row r="10145" spans="26:26" x14ac:dyDescent="0.25">
      <c r="Z10145"/>
    </row>
    <row r="10146" spans="26:26" x14ac:dyDescent="0.25">
      <c r="Z10146"/>
    </row>
    <row r="10147" spans="26:26" x14ac:dyDescent="0.25">
      <c r="Z10147"/>
    </row>
    <row r="10148" spans="26:26" x14ac:dyDescent="0.25">
      <c r="Z10148"/>
    </row>
    <row r="10149" spans="26:26" x14ac:dyDescent="0.25">
      <c r="Z10149"/>
    </row>
    <row r="10150" spans="26:26" x14ac:dyDescent="0.25">
      <c r="Z10150"/>
    </row>
    <row r="10151" spans="26:26" x14ac:dyDescent="0.25">
      <c r="Z10151"/>
    </row>
    <row r="10152" spans="26:26" x14ac:dyDescent="0.25">
      <c r="Z10152"/>
    </row>
    <row r="10153" spans="26:26" x14ac:dyDescent="0.25">
      <c r="Z10153"/>
    </row>
    <row r="10154" spans="26:26" x14ac:dyDescent="0.25">
      <c r="Z10154"/>
    </row>
    <row r="10155" spans="26:26" x14ac:dyDescent="0.25">
      <c r="Z10155"/>
    </row>
    <row r="10156" spans="26:26" x14ac:dyDescent="0.25">
      <c r="Z10156"/>
    </row>
    <row r="10157" spans="26:26" x14ac:dyDescent="0.25">
      <c r="Z10157"/>
    </row>
    <row r="10158" spans="26:26" x14ac:dyDescent="0.25">
      <c r="Z10158"/>
    </row>
    <row r="10159" spans="26:26" x14ac:dyDescent="0.25">
      <c r="Z10159"/>
    </row>
    <row r="10160" spans="26:26" x14ac:dyDescent="0.25">
      <c r="Z10160"/>
    </row>
    <row r="10161" spans="26:26" x14ac:dyDescent="0.25">
      <c r="Z10161"/>
    </row>
    <row r="10162" spans="26:26" x14ac:dyDescent="0.25">
      <c r="Z10162"/>
    </row>
    <row r="10163" spans="26:26" x14ac:dyDescent="0.25">
      <c r="Z10163"/>
    </row>
    <row r="10164" spans="26:26" x14ac:dyDescent="0.25">
      <c r="Z10164"/>
    </row>
    <row r="10165" spans="26:26" x14ac:dyDescent="0.25">
      <c r="Z10165"/>
    </row>
    <row r="10166" spans="26:26" x14ac:dyDescent="0.25">
      <c r="Z10166"/>
    </row>
    <row r="10167" spans="26:26" x14ac:dyDescent="0.25">
      <c r="Z10167"/>
    </row>
    <row r="10168" spans="26:26" x14ac:dyDescent="0.25">
      <c r="Z10168"/>
    </row>
    <row r="10169" spans="26:26" x14ac:dyDescent="0.25">
      <c r="Z10169"/>
    </row>
    <row r="10170" spans="26:26" x14ac:dyDescent="0.25">
      <c r="Z10170"/>
    </row>
    <row r="10171" spans="26:26" x14ac:dyDescent="0.25">
      <c r="Z10171"/>
    </row>
    <row r="10172" spans="26:26" x14ac:dyDescent="0.25">
      <c r="Z10172"/>
    </row>
    <row r="10173" spans="26:26" x14ac:dyDescent="0.25">
      <c r="Z10173"/>
    </row>
    <row r="10174" spans="26:26" x14ac:dyDescent="0.25">
      <c r="Z10174"/>
    </row>
    <row r="10175" spans="26:26" x14ac:dyDescent="0.25">
      <c r="Z10175"/>
    </row>
    <row r="10176" spans="26:26" x14ac:dyDescent="0.25">
      <c r="Z10176"/>
    </row>
    <row r="10177" spans="26:26" x14ac:dyDescent="0.25">
      <c r="Z10177"/>
    </row>
    <row r="10178" spans="26:26" x14ac:dyDescent="0.25">
      <c r="Z10178"/>
    </row>
    <row r="10179" spans="26:26" x14ac:dyDescent="0.25">
      <c r="Z10179"/>
    </row>
    <row r="10180" spans="26:26" x14ac:dyDescent="0.25">
      <c r="Z10180"/>
    </row>
    <row r="10181" spans="26:26" x14ac:dyDescent="0.25">
      <c r="Z10181"/>
    </row>
    <row r="10182" spans="26:26" x14ac:dyDescent="0.25">
      <c r="Z10182"/>
    </row>
    <row r="10183" spans="26:26" x14ac:dyDescent="0.25">
      <c r="Z10183"/>
    </row>
    <row r="10184" spans="26:26" x14ac:dyDescent="0.25">
      <c r="Z10184"/>
    </row>
    <row r="10185" spans="26:26" x14ac:dyDescent="0.25">
      <c r="Z10185"/>
    </row>
    <row r="10186" spans="26:26" x14ac:dyDescent="0.25">
      <c r="Z10186"/>
    </row>
    <row r="10187" spans="26:26" x14ac:dyDescent="0.25">
      <c r="Z10187"/>
    </row>
    <row r="10188" spans="26:26" x14ac:dyDescent="0.25">
      <c r="Z10188"/>
    </row>
    <row r="10189" spans="26:26" x14ac:dyDescent="0.25">
      <c r="Z10189"/>
    </row>
    <row r="10190" spans="26:26" x14ac:dyDescent="0.25">
      <c r="Z10190"/>
    </row>
    <row r="10191" spans="26:26" x14ac:dyDescent="0.25">
      <c r="Z10191"/>
    </row>
    <row r="10192" spans="26:26" x14ac:dyDescent="0.25">
      <c r="Z10192"/>
    </row>
    <row r="10193" spans="26:26" x14ac:dyDescent="0.25">
      <c r="Z10193"/>
    </row>
    <row r="10194" spans="26:26" x14ac:dyDescent="0.25">
      <c r="Z10194"/>
    </row>
    <row r="10195" spans="26:26" x14ac:dyDescent="0.25">
      <c r="Z10195"/>
    </row>
    <row r="10196" spans="26:26" x14ac:dyDescent="0.25">
      <c r="Z10196"/>
    </row>
    <row r="10197" spans="26:26" x14ac:dyDescent="0.25">
      <c r="Z10197"/>
    </row>
    <row r="10198" spans="26:26" x14ac:dyDescent="0.25">
      <c r="Z10198"/>
    </row>
    <row r="10199" spans="26:26" x14ac:dyDescent="0.25">
      <c r="Z10199"/>
    </row>
    <row r="10200" spans="26:26" x14ac:dyDescent="0.25">
      <c r="Z10200"/>
    </row>
    <row r="10201" spans="26:26" x14ac:dyDescent="0.25">
      <c r="Z10201"/>
    </row>
    <row r="10202" spans="26:26" x14ac:dyDescent="0.25">
      <c r="Z10202"/>
    </row>
    <row r="10203" spans="26:26" x14ac:dyDescent="0.25">
      <c r="Z10203"/>
    </row>
    <row r="10204" spans="26:26" x14ac:dyDescent="0.25">
      <c r="Z10204"/>
    </row>
    <row r="10205" spans="26:26" x14ac:dyDescent="0.25">
      <c r="Z10205"/>
    </row>
    <row r="10206" spans="26:26" x14ac:dyDescent="0.25">
      <c r="Z10206"/>
    </row>
    <row r="10207" spans="26:26" x14ac:dyDescent="0.25">
      <c r="Z10207"/>
    </row>
    <row r="10208" spans="26:26" x14ac:dyDescent="0.25">
      <c r="Z10208"/>
    </row>
    <row r="10209" spans="26:26" x14ac:dyDescent="0.25">
      <c r="Z10209"/>
    </row>
    <row r="10210" spans="26:26" x14ac:dyDescent="0.25">
      <c r="Z10210"/>
    </row>
    <row r="10211" spans="26:26" x14ac:dyDescent="0.25">
      <c r="Z10211"/>
    </row>
    <row r="10212" spans="26:26" x14ac:dyDescent="0.25">
      <c r="Z10212"/>
    </row>
    <row r="10213" spans="26:26" x14ac:dyDescent="0.25">
      <c r="Z10213"/>
    </row>
    <row r="10214" spans="26:26" x14ac:dyDescent="0.25">
      <c r="Z10214"/>
    </row>
    <row r="10215" spans="26:26" x14ac:dyDescent="0.25">
      <c r="Z10215"/>
    </row>
    <row r="10216" spans="26:26" x14ac:dyDescent="0.25">
      <c r="Z10216"/>
    </row>
    <row r="10217" spans="26:26" x14ac:dyDescent="0.25">
      <c r="Z10217"/>
    </row>
    <row r="10218" spans="26:26" x14ac:dyDescent="0.25">
      <c r="Z10218"/>
    </row>
    <row r="10219" spans="26:26" x14ac:dyDescent="0.25">
      <c r="Z10219"/>
    </row>
    <row r="10220" spans="26:26" x14ac:dyDescent="0.25">
      <c r="Z10220"/>
    </row>
    <row r="10221" spans="26:26" x14ac:dyDescent="0.25">
      <c r="Z10221"/>
    </row>
    <row r="10222" spans="26:26" x14ac:dyDescent="0.25">
      <c r="Z10222"/>
    </row>
    <row r="10223" spans="26:26" x14ac:dyDescent="0.25">
      <c r="Z10223"/>
    </row>
    <row r="10224" spans="26:26" x14ac:dyDescent="0.25">
      <c r="Z10224"/>
    </row>
    <row r="10225" spans="26:26" x14ac:dyDescent="0.25">
      <c r="Z10225"/>
    </row>
    <row r="10226" spans="26:26" x14ac:dyDescent="0.25">
      <c r="Z10226"/>
    </row>
    <row r="10227" spans="26:26" x14ac:dyDescent="0.25">
      <c r="Z10227"/>
    </row>
    <row r="10228" spans="26:26" x14ac:dyDescent="0.25">
      <c r="Z10228"/>
    </row>
    <row r="10229" spans="26:26" x14ac:dyDescent="0.25">
      <c r="Z10229"/>
    </row>
    <row r="10230" spans="26:26" x14ac:dyDescent="0.25">
      <c r="Z10230"/>
    </row>
    <row r="10231" spans="26:26" x14ac:dyDescent="0.25">
      <c r="Z10231"/>
    </row>
    <row r="10232" spans="26:26" x14ac:dyDescent="0.25">
      <c r="Z10232"/>
    </row>
    <row r="10233" spans="26:26" x14ac:dyDescent="0.25">
      <c r="Z10233"/>
    </row>
    <row r="10234" spans="26:26" x14ac:dyDescent="0.25">
      <c r="Z10234"/>
    </row>
    <row r="10235" spans="26:26" x14ac:dyDescent="0.25">
      <c r="Z10235"/>
    </row>
    <row r="10236" spans="26:26" x14ac:dyDescent="0.25">
      <c r="Z10236"/>
    </row>
    <row r="10237" spans="26:26" x14ac:dyDescent="0.25">
      <c r="Z10237"/>
    </row>
    <row r="10238" spans="26:26" x14ac:dyDescent="0.25">
      <c r="Z10238"/>
    </row>
    <row r="10239" spans="26:26" x14ac:dyDescent="0.25">
      <c r="Z10239"/>
    </row>
    <row r="10240" spans="26:26" x14ac:dyDescent="0.25">
      <c r="Z10240"/>
    </row>
    <row r="10241" spans="26:26" x14ac:dyDescent="0.25">
      <c r="Z10241"/>
    </row>
    <row r="10242" spans="26:26" x14ac:dyDescent="0.25">
      <c r="Z10242"/>
    </row>
    <row r="10243" spans="26:26" x14ac:dyDescent="0.25">
      <c r="Z10243"/>
    </row>
    <row r="10244" spans="26:26" x14ac:dyDescent="0.25">
      <c r="Z10244"/>
    </row>
    <row r="10245" spans="26:26" x14ac:dyDescent="0.25">
      <c r="Z10245"/>
    </row>
    <row r="10246" spans="26:26" x14ac:dyDescent="0.25">
      <c r="Z10246"/>
    </row>
    <row r="10247" spans="26:26" x14ac:dyDescent="0.25">
      <c r="Z10247"/>
    </row>
    <row r="10248" spans="26:26" x14ac:dyDescent="0.25">
      <c r="Z10248"/>
    </row>
    <row r="10249" spans="26:26" x14ac:dyDescent="0.25">
      <c r="Z10249"/>
    </row>
    <row r="10250" spans="26:26" x14ac:dyDescent="0.25">
      <c r="Z10250"/>
    </row>
    <row r="10251" spans="26:26" x14ac:dyDescent="0.25">
      <c r="Z10251"/>
    </row>
    <row r="10252" spans="26:26" x14ac:dyDescent="0.25">
      <c r="Z10252"/>
    </row>
    <row r="10253" spans="26:26" x14ac:dyDescent="0.25">
      <c r="Z10253"/>
    </row>
    <row r="10254" spans="26:26" x14ac:dyDescent="0.25">
      <c r="Z10254"/>
    </row>
    <row r="10255" spans="26:26" x14ac:dyDescent="0.25">
      <c r="Z10255"/>
    </row>
    <row r="10256" spans="26:26" x14ac:dyDescent="0.25">
      <c r="Z10256"/>
    </row>
    <row r="10257" spans="26:26" x14ac:dyDescent="0.25">
      <c r="Z10257"/>
    </row>
    <row r="10258" spans="26:26" x14ac:dyDescent="0.25">
      <c r="Z10258"/>
    </row>
    <row r="10259" spans="26:26" x14ac:dyDescent="0.25">
      <c r="Z10259"/>
    </row>
    <row r="10260" spans="26:26" x14ac:dyDescent="0.25">
      <c r="Z10260"/>
    </row>
    <row r="10261" spans="26:26" x14ac:dyDescent="0.25">
      <c r="Z10261"/>
    </row>
    <row r="10262" spans="26:26" x14ac:dyDescent="0.25">
      <c r="Z10262"/>
    </row>
    <row r="10263" spans="26:26" x14ac:dyDescent="0.25">
      <c r="Z10263"/>
    </row>
    <row r="10264" spans="26:26" x14ac:dyDescent="0.25">
      <c r="Z10264"/>
    </row>
    <row r="10265" spans="26:26" x14ac:dyDescent="0.25">
      <c r="Z10265"/>
    </row>
    <row r="10266" spans="26:26" x14ac:dyDescent="0.25">
      <c r="Z10266"/>
    </row>
    <row r="10267" spans="26:26" x14ac:dyDescent="0.25">
      <c r="Z10267"/>
    </row>
    <row r="10268" spans="26:26" x14ac:dyDescent="0.25">
      <c r="Z10268"/>
    </row>
    <row r="10269" spans="26:26" x14ac:dyDescent="0.25">
      <c r="Z10269"/>
    </row>
    <row r="10270" spans="26:26" x14ac:dyDescent="0.25">
      <c r="Z10270"/>
    </row>
    <row r="10271" spans="26:26" x14ac:dyDescent="0.25">
      <c r="Z10271"/>
    </row>
    <row r="10272" spans="26:26" x14ac:dyDescent="0.25">
      <c r="Z10272"/>
    </row>
    <row r="10273" spans="26:26" x14ac:dyDescent="0.25">
      <c r="Z10273"/>
    </row>
    <row r="10274" spans="26:26" x14ac:dyDescent="0.25">
      <c r="Z10274"/>
    </row>
    <row r="10275" spans="26:26" x14ac:dyDescent="0.25">
      <c r="Z10275"/>
    </row>
    <row r="10276" spans="26:26" x14ac:dyDescent="0.25">
      <c r="Z10276"/>
    </row>
    <row r="10277" spans="26:26" x14ac:dyDescent="0.25">
      <c r="Z10277"/>
    </row>
    <row r="10278" spans="26:26" x14ac:dyDescent="0.25">
      <c r="Z10278"/>
    </row>
    <row r="10279" spans="26:26" x14ac:dyDescent="0.25">
      <c r="Z10279"/>
    </row>
    <row r="10280" spans="26:26" x14ac:dyDescent="0.25">
      <c r="Z10280"/>
    </row>
    <row r="10281" spans="26:26" x14ac:dyDescent="0.25">
      <c r="Z10281"/>
    </row>
    <row r="10282" spans="26:26" x14ac:dyDescent="0.25">
      <c r="Z10282"/>
    </row>
    <row r="10283" spans="26:26" x14ac:dyDescent="0.25">
      <c r="Z10283"/>
    </row>
    <row r="10284" spans="26:26" x14ac:dyDescent="0.25">
      <c r="Z10284"/>
    </row>
    <row r="10285" spans="26:26" x14ac:dyDescent="0.25">
      <c r="Z10285"/>
    </row>
    <row r="10286" spans="26:26" x14ac:dyDescent="0.25">
      <c r="Z10286"/>
    </row>
    <row r="10287" spans="26:26" x14ac:dyDescent="0.25">
      <c r="Z10287"/>
    </row>
    <row r="10288" spans="26:26" x14ac:dyDescent="0.25">
      <c r="Z10288"/>
    </row>
    <row r="10289" spans="26:26" x14ac:dyDescent="0.25">
      <c r="Z10289"/>
    </row>
    <row r="10290" spans="26:26" x14ac:dyDescent="0.25">
      <c r="Z10290"/>
    </row>
    <row r="10291" spans="26:26" x14ac:dyDescent="0.25">
      <c r="Z10291"/>
    </row>
    <row r="10292" spans="26:26" x14ac:dyDescent="0.25">
      <c r="Z10292"/>
    </row>
    <row r="10293" spans="26:26" x14ac:dyDescent="0.25">
      <c r="Z10293"/>
    </row>
    <row r="10294" spans="26:26" x14ac:dyDescent="0.25">
      <c r="Z10294"/>
    </row>
    <row r="10295" spans="26:26" x14ac:dyDescent="0.25">
      <c r="Z10295"/>
    </row>
    <row r="10296" spans="26:26" x14ac:dyDescent="0.25">
      <c r="Z10296"/>
    </row>
    <row r="10297" spans="26:26" x14ac:dyDescent="0.25">
      <c r="Z10297"/>
    </row>
    <row r="10298" spans="26:26" x14ac:dyDescent="0.25">
      <c r="Z10298"/>
    </row>
    <row r="10299" spans="26:26" x14ac:dyDescent="0.25">
      <c r="Z10299"/>
    </row>
    <row r="10300" spans="26:26" x14ac:dyDescent="0.25">
      <c r="Z10300"/>
    </row>
    <row r="10301" spans="26:26" x14ac:dyDescent="0.25">
      <c r="Z10301"/>
    </row>
    <row r="10302" spans="26:26" x14ac:dyDescent="0.25">
      <c r="Z10302"/>
    </row>
    <row r="10303" spans="26:26" x14ac:dyDescent="0.25">
      <c r="Z10303"/>
    </row>
    <row r="10304" spans="26:26" x14ac:dyDescent="0.25">
      <c r="Z10304"/>
    </row>
    <row r="10305" spans="26:26" x14ac:dyDescent="0.25">
      <c r="Z10305"/>
    </row>
    <row r="10306" spans="26:26" x14ac:dyDescent="0.25">
      <c r="Z10306"/>
    </row>
    <row r="10307" spans="26:26" x14ac:dyDescent="0.25">
      <c r="Z10307"/>
    </row>
    <row r="10308" spans="26:26" x14ac:dyDescent="0.25">
      <c r="Z10308"/>
    </row>
    <row r="10309" spans="26:26" x14ac:dyDescent="0.25">
      <c r="Z10309"/>
    </row>
    <row r="10310" spans="26:26" x14ac:dyDescent="0.25">
      <c r="Z10310"/>
    </row>
    <row r="10311" spans="26:26" x14ac:dyDescent="0.25">
      <c r="Z10311"/>
    </row>
    <row r="10312" spans="26:26" x14ac:dyDescent="0.25">
      <c r="Z10312"/>
    </row>
    <row r="10313" spans="26:26" x14ac:dyDescent="0.25">
      <c r="Z10313"/>
    </row>
    <row r="10314" spans="26:26" x14ac:dyDescent="0.25">
      <c r="Z10314"/>
    </row>
    <row r="10315" spans="26:26" x14ac:dyDescent="0.25">
      <c r="Z10315"/>
    </row>
    <row r="10316" spans="26:26" x14ac:dyDescent="0.25">
      <c r="Z10316"/>
    </row>
    <row r="10317" spans="26:26" x14ac:dyDescent="0.25">
      <c r="Z10317"/>
    </row>
    <row r="10318" spans="26:26" x14ac:dyDescent="0.25">
      <c r="Z10318"/>
    </row>
    <row r="10319" spans="26:26" x14ac:dyDescent="0.25">
      <c r="Z10319"/>
    </row>
    <row r="10320" spans="26:26" x14ac:dyDescent="0.25">
      <c r="Z10320"/>
    </row>
    <row r="10321" spans="26:26" x14ac:dyDescent="0.25">
      <c r="Z10321"/>
    </row>
    <row r="10322" spans="26:26" x14ac:dyDescent="0.25">
      <c r="Z10322"/>
    </row>
    <row r="10323" spans="26:26" x14ac:dyDescent="0.25">
      <c r="Z10323"/>
    </row>
    <row r="10324" spans="26:26" x14ac:dyDescent="0.25">
      <c r="Z10324"/>
    </row>
    <row r="10325" spans="26:26" x14ac:dyDescent="0.25">
      <c r="Z10325"/>
    </row>
    <row r="10326" spans="26:26" x14ac:dyDescent="0.25">
      <c r="Z10326"/>
    </row>
    <row r="10327" spans="26:26" x14ac:dyDescent="0.25">
      <c r="Z10327"/>
    </row>
    <row r="10328" spans="26:26" x14ac:dyDescent="0.25">
      <c r="Z10328"/>
    </row>
    <row r="10329" spans="26:26" x14ac:dyDescent="0.25">
      <c r="Z10329"/>
    </row>
    <row r="10330" spans="26:26" x14ac:dyDescent="0.25">
      <c r="Z10330"/>
    </row>
    <row r="10331" spans="26:26" x14ac:dyDescent="0.25">
      <c r="Z10331"/>
    </row>
    <row r="10332" spans="26:26" x14ac:dyDescent="0.25">
      <c r="Z10332"/>
    </row>
    <row r="10333" spans="26:26" x14ac:dyDescent="0.25">
      <c r="Z10333"/>
    </row>
    <row r="10334" spans="26:26" x14ac:dyDescent="0.25">
      <c r="Z10334"/>
    </row>
    <row r="10335" spans="26:26" x14ac:dyDescent="0.25">
      <c r="Z10335"/>
    </row>
    <row r="10336" spans="26:26" x14ac:dyDescent="0.25">
      <c r="Z10336"/>
    </row>
    <row r="10337" spans="26:26" x14ac:dyDescent="0.25">
      <c r="Z10337"/>
    </row>
    <row r="10338" spans="26:26" x14ac:dyDescent="0.25">
      <c r="Z10338"/>
    </row>
    <row r="10339" spans="26:26" x14ac:dyDescent="0.25">
      <c r="Z10339"/>
    </row>
    <row r="10340" spans="26:26" x14ac:dyDescent="0.25">
      <c r="Z10340"/>
    </row>
    <row r="10341" spans="26:26" x14ac:dyDescent="0.25">
      <c r="Z10341"/>
    </row>
    <row r="10342" spans="26:26" x14ac:dyDescent="0.25">
      <c r="Z10342"/>
    </row>
    <row r="10343" spans="26:26" x14ac:dyDescent="0.25">
      <c r="Z10343"/>
    </row>
    <row r="10344" spans="26:26" x14ac:dyDescent="0.25">
      <c r="Z10344"/>
    </row>
    <row r="10345" spans="26:26" x14ac:dyDescent="0.25">
      <c r="Z10345"/>
    </row>
    <row r="10346" spans="26:26" x14ac:dyDescent="0.25">
      <c r="Z10346"/>
    </row>
    <row r="10347" spans="26:26" x14ac:dyDescent="0.25">
      <c r="Z10347"/>
    </row>
    <row r="10348" spans="26:26" x14ac:dyDescent="0.25">
      <c r="Z10348"/>
    </row>
    <row r="10349" spans="26:26" x14ac:dyDescent="0.25">
      <c r="Z10349"/>
    </row>
    <row r="10350" spans="26:26" x14ac:dyDescent="0.25">
      <c r="Z10350"/>
    </row>
    <row r="10351" spans="26:26" x14ac:dyDescent="0.25">
      <c r="Z10351"/>
    </row>
    <row r="10352" spans="26:26" x14ac:dyDescent="0.25">
      <c r="Z10352"/>
    </row>
    <row r="10353" spans="26:26" x14ac:dyDescent="0.25">
      <c r="Z10353"/>
    </row>
    <row r="10354" spans="26:26" x14ac:dyDescent="0.25">
      <c r="Z10354"/>
    </row>
    <row r="10355" spans="26:26" x14ac:dyDescent="0.25">
      <c r="Z10355"/>
    </row>
    <row r="10356" spans="26:26" x14ac:dyDescent="0.25">
      <c r="Z10356"/>
    </row>
    <row r="10357" spans="26:26" x14ac:dyDescent="0.25">
      <c r="Z10357"/>
    </row>
    <row r="10358" spans="26:26" x14ac:dyDescent="0.25">
      <c r="Z10358"/>
    </row>
    <row r="10359" spans="26:26" x14ac:dyDescent="0.25">
      <c r="Z10359"/>
    </row>
    <row r="10360" spans="26:26" x14ac:dyDescent="0.25">
      <c r="Z10360"/>
    </row>
    <row r="10361" spans="26:26" x14ac:dyDescent="0.25">
      <c r="Z10361"/>
    </row>
    <row r="10362" spans="26:26" x14ac:dyDescent="0.25">
      <c r="Z10362"/>
    </row>
    <row r="10363" spans="26:26" x14ac:dyDescent="0.25">
      <c r="Z10363"/>
    </row>
    <row r="10364" spans="26:26" x14ac:dyDescent="0.25">
      <c r="Z10364"/>
    </row>
    <row r="10365" spans="26:26" x14ac:dyDescent="0.25">
      <c r="Z10365"/>
    </row>
    <row r="10366" spans="26:26" x14ac:dyDescent="0.25">
      <c r="Z10366"/>
    </row>
    <row r="10367" spans="26:26" x14ac:dyDescent="0.25">
      <c r="Z10367"/>
    </row>
    <row r="10368" spans="26:26" x14ac:dyDescent="0.25">
      <c r="Z10368"/>
    </row>
    <row r="10369" spans="26:26" x14ac:dyDescent="0.25">
      <c r="Z10369"/>
    </row>
    <row r="10370" spans="26:26" x14ac:dyDescent="0.25">
      <c r="Z10370"/>
    </row>
    <row r="10371" spans="26:26" x14ac:dyDescent="0.25">
      <c r="Z10371"/>
    </row>
    <row r="10372" spans="26:26" x14ac:dyDescent="0.25">
      <c r="Z10372"/>
    </row>
    <row r="10373" spans="26:26" x14ac:dyDescent="0.25">
      <c r="Z10373"/>
    </row>
    <row r="10374" spans="26:26" x14ac:dyDescent="0.25">
      <c r="Z10374"/>
    </row>
    <row r="10375" spans="26:26" x14ac:dyDescent="0.25">
      <c r="Z10375"/>
    </row>
    <row r="10376" spans="26:26" x14ac:dyDescent="0.25">
      <c r="Z10376"/>
    </row>
    <row r="10377" spans="26:26" x14ac:dyDescent="0.25">
      <c r="Z10377"/>
    </row>
    <row r="10378" spans="26:26" x14ac:dyDescent="0.25">
      <c r="Z10378"/>
    </row>
    <row r="10379" spans="26:26" x14ac:dyDescent="0.25">
      <c r="Z10379"/>
    </row>
    <row r="10380" spans="26:26" x14ac:dyDescent="0.25">
      <c r="Z10380"/>
    </row>
    <row r="10381" spans="26:26" x14ac:dyDescent="0.25">
      <c r="Z10381"/>
    </row>
    <row r="10382" spans="26:26" x14ac:dyDescent="0.25">
      <c r="Z10382"/>
    </row>
    <row r="10383" spans="26:26" x14ac:dyDescent="0.25">
      <c r="Z10383"/>
    </row>
    <row r="10384" spans="26:26" x14ac:dyDescent="0.25">
      <c r="Z10384"/>
    </row>
    <row r="10385" spans="26:26" x14ac:dyDescent="0.25">
      <c r="Z10385"/>
    </row>
    <row r="10386" spans="26:26" x14ac:dyDescent="0.25">
      <c r="Z10386"/>
    </row>
    <row r="10387" spans="26:26" x14ac:dyDescent="0.25">
      <c r="Z10387"/>
    </row>
    <row r="10388" spans="26:26" x14ac:dyDescent="0.25">
      <c r="Z10388"/>
    </row>
    <row r="10389" spans="26:26" x14ac:dyDescent="0.25">
      <c r="Z10389"/>
    </row>
    <row r="10390" spans="26:26" x14ac:dyDescent="0.25">
      <c r="Z10390"/>
    </row>
    <row r="10391" spans="26:26" x14ac:dyDescent="0.25">
      <c r="Z10391"/>
    </row>
    <row r="10392" spans="26:26" x14ac:dyDescent="0.25">
      <c r="Z10392"/>
    </row>
    <row r="10393" spans="26:26" x14ac:dyDescent="0.25">
      <c r="Z10393"/>
    </row>
    <row r="10394" spans="26:26" x14ac:dyDescent="0.25">
      <c r="Z10394"/>
    </row>
    <row r="10395" spans="26:26" x14ac:dyDescent="0.25">
      <c r="Z10395"/>
    </row>
    <row r="10396" spans="26:26" x14ac:dyDescent="0.25">
      <c r="Z10396"/>
    </row>
    <row r="10397" spans="26:26" x14ac:dyDescent="0.25">
      <c r="Z10397"/>
    </row>
    <row r="10398" spans="26:26" x14ac:dyDescent="0.25">
      <c r="Z10398"/>
    </row>
    <row r="10399" spans="26:26" x14ac:dyDescent="0.25">
      <c r="Z10399"/>
    </row>
    <row r="10400" spans="26:26" x14ac:dyDescent="0.25">
      <c r="Z10400"/>
    </row>
    <row r="10401" spans="26:26" x14ac:dyDescent="0.25">
      <c r="Z10401"/>
    </row>
    <row r="10402" spans="26:26" x14ac:dyDescent="0.25">
      <c r="Z10402"/>
    </row>
    <row r="10403" spans="26:26" x14ac:dyDescent="0.25">
      <c r="Z10403"/>
    </row>
    <row r="10404" spans="26:26" x14ac:dyDescent="0.25">
      <c r="Z10404"/>
    </row>
    <row r="10405" spans="26:26" x14ac:dyDescent="0.25">
      <c r="Z10405"/>
    </row>
    <row r="10406" spans="26:26" x14ac:dyDescent="0.25">
      <c r="Z10406"/>
    </row>
    <row r="10407" spans="26:26" x14ac:dyDescent="0.25">
      <c r="Z10407"/>
    </row>
    <row r="10408" spans="26:26" x14ac:dyDescent="0.25">
      <c r="Z10408"/>
    </row>
    <row r="10409" spans="26:26" x14ac:dyDescent="0.25">
      <c r="Z10409"/>
    </row>
    <row r="10410" spans="26:26" x14ac:dyDescent="0.25">
      <c r="Z10410"/>
    </row>
    <row r="10411" spans="26:26" x14ac:dyDescent="0.25">
      <c r="Z10411"/>
    </row>
    <row r="10412" spans="26:26" x14ac:dyDescent="0.25">
      <c r="Z10412"/>
    </row>
    <row r="10413" spans="26:26" x14ac:dyDescent="0.25">
      <c r="Z10413"/>
    </row>
    <row r="10414" spans="26:26" x14ac:dyDescent="0.25">
      <c r="Z10414"/>
    </row>
    <row r="10415" spans="26:26" x14ac:dyDescent="0.25">
      <c r="Z10415"/>
    </row>
    <row r="10416" spans="26:26" x14ac:dyDescent="0.25">
      <c r="Z10416"/>
    </row>
    <row r="10417" spans="26:26" x14ac:dyDescent="0.25">
      <c r="Z10417"/>
    </row>
    <row r="10418" spans="26:26" x14ac:dyDescent="0.25">
      <c r="Z10418"/>
    </row>
    <row r="10419" spans="26:26" x14ac:dyDescent="0.25">
      <c r="Z10419"/>
    </row>
    <row r="10420" spans="26:26" x14ac:dyDescent="0.25">
      <c r="Z10420"/>
    </row>
    <row r="10421" spans="26:26" x14ac:dyDescent="0.25">
      <c r="Z10421"/>
    </row>
    <row r="10422" spans="26:26" x14ac:dyDescent="0.25">
      <c r="Z10422"/>
    </row>
    <row r="10423" spans="26:26" x14ac:dyDescent="0.25">
      <c r="Z10423"/>
    </row>
    <row r="10424" spans="26:26" x14ac:dyDescent="0.25">
      <c r="Z10424"/>
    </row>
    <row r="10425" spans="26:26" x14ac:dyDescent="0.25">
      <c r="Z10425"/>
    </row>
    <row r="10426" spans="26:26" x14ac:dyDescent="0.25">
      <c r="Z10426"/>
    </row>
    <row r="10427" spans="26:26" x14ac:dyDescent="0.25">
      <c r="Z10427"/>
    </row>
    <row r="10428" spans="26:26" x14ac:dyDescent="0.25">
      <c r="Z10428"/>
    </row>
    <row r="10429" spans="26:26" x14ac:dyDescent="0.25">
      <c r="Z10429"/>
    </row>
    <row r="10430" spans="26:26" x14ac:dyDescent="0.25">
      <c r="Z10430"/>
    </row>
    <row r="10431" spans="26:26" x14ac:dyDescent="0.25">
      <c r="Z10431"/>
    </row>
    <row r="10432" spans="26:26" x14ac:dyDescent="0.25">
      <c r="Z10432"/>
    </row>
    <row r="10433" spans="26:26" x14ac:dyDescent="0.25">
      <c r="Z10433"/>
    </row>
    <row r="10434" spans="26:26" x14ac:dyDescent="0.25">
      <c r="Z10434"/>
    </row>
    <row r="10435" spans="26:26" x14ac:dyDescent="0.25">
      <c r="Z10435"/>
    </row>
    <row r="10436" spans="26:26" x14ac:dyDescent="0.25">
      <c r="Z10436"/>
    </row>
    <row r="10437" spans="26:26" x14ac:dyDescent="0.25">
      <c r="Z10437"/>
    </row>
    <row r="10438" spans="26:26" x14ac:dyDescent="0.25">
      <c r="Z10438"/>
    </row>
    <row r="10439" spans="26:26" x14ac:dyDescent="0.25">
      <c r="Z10439"/>
    </row>
    <row r="10440" spans="26:26" x14ac:dyDescent="0.25">
      <c r="Z10440"/>
    </row>
    <row r="10441" spans="26:26" x14ac:dyDescent="0.25">
      <c r="Z10441"/>
    </row>
    <row r="10442" spans="26:26" x14ac:dyDescent="0.25">
      <c r="Z10442"/>
    </row>
    <row r="10443" spans="26:26" x14ac:dyDescent="0.25">
      <c r="Z10443"/>
    </row>
    <row r="10444" spans="26:26" x14ac:dyDescent="0.25">
      <c r="Z10444"/>
    </row>
    <row r="10445" spans="26:26" x14ac:dyDescent="0.25">
      <c r="Z10445"/>
    </row>
    <row r="10446" spans="26:26" x14ac:dyDescent="0.25">
      <c r="Z10446"/>
    </row>
    <row r="10447" spans="26:26" x14ac:dyDescent="0.25">
      <c r="Z10447"/>
    </row>
    <row r="10448" spans="26:26" x14ac:dyDescent="0.25">
      <c r="Z10448"/>
    </row>
    <row r="10449" spans="26:26" x14ac:dyDescent="0.25">
      <c r="Z10449"/>
    </row>
    <row r="10450" spans="26:26" x14ac:dyDescent="0.25">
      <c r="Z10450"/>
    </row>
    <row r="10451" spans="26:26" x14ac:dyDescent="0.25">
      <c r="Z10451"/>
    </row>
    <row r="10452" spans="26:26" x14ac:dyDescent="0.25">
      <c r="Z10452"/>
    </row>
    <row r="10453" spans="26:26" x14ac:dyDescent="0.25">
      <c r="Z10453"/>
    </row>
    <row r="10454" spans="26:26" x14ac:dyDescent="0.25">
      <c r="Z10454"/>
    </row>
    <row r="10455" spans="26:26" x14ac:dyDescent="0.25">
      <c r="Z10455"/>
    </row>
    <row r="10456" spans="26:26" x14ac:dyDescent="0.25">
      <c r="Z10456"/>
    </row>
    <row r="10457" spans="26:26" x14ac:dyDescent="0.25">
      <c r="Z10457"/>
    </row>
    <row r="10458" spans="26:26" x14ac:dyDescent="0.25">
      <c r="Z10458"/>
    </row>
    <row r="10459" spans="26:26" x14ac:dyDescent="0.25">
      <c r="Z10459"/>
    </row>
    <row r="10460" spans="26:26" x14ac:dyDescent="0.25">
      <c r="Z10460"/>
    </row>
    <row r="10461" spans="26:26" x14ac:dyDescent="0.25">
      <c r="Z10461"/>
    </row>
    <row r="10462" spans="26:26" x14ac:dyDescent="0.25">
      <c r="Z10462"/>
    </row>
    <row r="10463" spans="26:26" x14ac:dyDescent="0.25">
      <c r="Z10463"/>
    </row>
    <row r="10464" spans="26:26" x14ac:dyDescent="0.25">
      <c r="Z10464"/>
    </row>
    <row r="10465" spans="26:26" x14ac:dyDescent="0.25">
      <c r="Z10465"/>
    </row>
    <row r="10466" spans="26:26" x14ac:dyDescent="0.25">
      <c r="Z10466"/>
    </row>
    <row r="10467" spans="26:26" x14ac:dyDescent="0.25">
      <c r="Z10467"/>
    </row>
    <row r="10468" spans="26:26" x14ac:dyDescent="0.25">
      <c r="Z10468"/>
    </row>
    <row r="10469" spans="26:26" x14ac:dyDescent="0.25">
      <c r="Z10469"/>
    </row>
    <row r="10470" spans="26:26" x14ac:dyDescent="0.25">
      <c r="Z10470"/>
    </row>
    <row r="10471" spans="26:26" x14ac:dyDescent="0.25">
      <c r="Z10471"/>
    </row>
    <row r="10472" spans="26:26" x14ac:dyDescent="0.25">
      <c r="Z10472"/>
    </row>
    <row r="10473" spans="26:26" x14ac:dyDescent="0.25">
      <c r="Z10473"/>
    </row>
    <row r="10474" spans="26:26" x14ac:dyDescent="0.25">
      <c r="Z10474"/>
    </row>
    <row r="10475" spans="26:26" x14ac:dyDescent="0.25">
      <c r="Z10475"/>
    </row>
    <row r="10476" spans="26:26" x14ac:dyDescent="0.25">
      <c r="Z10476"/>
    </row>
    <row r="10477" spans="26:26" x14ac:dyDescent="0.25">
      <c r="Z10477"/>
    </row>
    <row r="10478" spans="26:26" x14ac:dyDescent="0.25">
      <c r="Z10478"/>
    </row>
    <row r="10479" spans="26:26" x14ac:dyDescent="0.25">
      <c r="Z10479"/>
    </row>
    <row r="10480" spans="26:26" x14ac:dyDescent="0.25">
      <c r="Z10480"/>
    </row>
    <row r="10481" spans="26:26" x14ac:dyDescent="0.25">
      <c r="Z10481"/>
    </row>
    <row r="10482" spans="26:26" x14ac:dyDescent="0.25">
      <c r="Z10482"/>
    </row>
    <row r="10483" spans="26:26" x14ac:dyDescent="0.25">
      <c r="Z10483"/>
    </row>
    <row r="10484" spans="26:26" x14ac:dyDescent="0.25">
      <c r="Z10484"/>
    </row>
    <row r="10485" spans="26:26" x14ac:dyDescent="0.25">
      <c r="Z10485"/>
    </row>
    <row r="10486" spans="26:26" x14ac:dyDescent="0.25">
      <c r="Z10486"/>
    </row>
    <row r="10487" spans="26:26" x14ac:dyDescent="0.25">
      <c r="Z10487"/>
    </row>
    <row r="10488" spans="26:26" x14ac:dyDescent="0.25">
      <c r="Z10488"/>
    </row>
    <row r="10489" spans="26:26" x14ac:dyDescent="0.25">
      <c r="Z10489"/>
    </row>
    <row r="10490" spans="26:26" x14ac:dyDescent="0.25">
      <c r="Z10490"/>
    </row>
    <row r="10491" spans="26:26" x14ac:dyDescent="0.25">
      <c r="Z10491"/>
    </row>
    <row r="10492" spans="26:26" x14ac:dyDescent="0.25">
      <c r="Z10492"/>
    </row>
    <row r="10493" spans="26:26" x14ac:dyDescent="0.25">
      <c r="Z10493"/>
    </row>
    <row r="10494" spans="26:26" x14ac:dyDescent="0.25">
      <c r="Z10494"/>
    </row>
    <row r="10495" spans="26:26" x14ac:dyDescent="0.25">
      <c r="Z10495"/>
    </row>
    <row r="10496" spans="26:26" x14ac:dyDescent="0.25">
      <c r="Z10496"/>
    </row>
    <row r="10497" spans="26:26" x14ac:dyDescent="0.25">
      <c r="Z10497"/>
    </row>
    <row r="10498" spans="26:26" x14ac:dyDescent="0.25">
      <c r="Z10498"/>
    </row>
    <row r="10499" spans="26:26" x14ac:dyDescent="0.25">
      <c r="Z10499"/>
    </row>
    <row r="10500" spans="26:26" x14ac:dyDescent="0.25">
      <c r="Z10500"/>
    </row>
    <row r="10501" spans="26:26" x14ac:dyDescent="0.25">
      <c r="Z10501"/>
    </row>
    <row r="10502" spans="26:26" x14ac:dyDescent="0.25">
      <c r="Z10502"/>
    </row>
    <row r="10503" spans="26:26" x14ac:dyDescent="0.25">
      <c r="Z10503"/>
    </row>
    <row r="10504" spans="26:26" x14ac:dyDescent="0.25">
      <c r="Z10504"/>
    </row>
    <row r="10505" spans="26:26" x14ac:dyDescent="0.25">
      <c r="Z10505"/>
    </row>
    <row r="10506" spans="26:26" x14ac:dyDescent="0.25">
      <c r="Z10506"/>
    </row>
    <row r="10507" spans="26:26" x14ac:dyDescent="0.25">
      <c r="Z10507"/>
    </row>
    <row r="10508" spans="26:26" x14ac:dyDescent="0.25">
      <c r="Z10508"/>
    </row>
    <row r="10509" spans="26:26" x14ac:dyDescent="0.25">
      <c r="Z10509"/>
    </row>
    <row r="10510" spans="26:26" x14ac:dyDescent="0.25">
      <c r="Z10510"/>
    </row>
    <row r="10511" spans="26:26" x14ac:dyDescent="0.25">
      <c r="Z10511"/>
    </row>
    <row r="10512" spans="26:26" x14ac:dyDescent="0.25">
      <c r="Z10512"/>
    </row>
    <row r="10513" spans="26:26" x14ac:dyDescent="0.25">
      <c r="Z10513"/>
    </row>
    <row r="10514" spans="26:26" x14ac:dyDescent="0.25">
      <c r="Z10514"/>
    </row>
    <row r="10515" spans="26:26" x14ac:dyDescent="0.25">
      <c r="Z10515"/>
    </row>
    <row r="10516" spans="26:26" x14ac:dyDescent="0.25">
      <c r="Z10516"/>
    </row>
    <row r="10517" spans="26:26" x14ac:dyDescent="0.25">
      <c r="Z10517"/>
    </row>
    <row r="10518" spans="26:26" x14ac:dyDescent="0.25">
      <c r="Z10518"/>
    </row>
    <row r="10519" spans="26:26" x14ac:dyDescent="0.25">
      <c r="Z10519"/>
    </row>
    <row r="10520" spans="26:26" x14ac:dyDescent="0.25">
      <c r="Z10520"/>
    </row>
    <row r="10521" spans="26:26" x14ac:dyDescent="0.25">
      <c r="Z10521"/>
    </row>
    <row r="10522" spans="26:26" x14ac:dyDescent="0.25">
      <c r="Z10522"/>
    </row>
    <row r="10523" spans="26:26" x14ac:dyDescent="0.25">
      <c r="Z10523"/>
    </row>
    <row r="10524" spans="26:26" x14ac:dyDescent="0.25">
      <c r="Z10524"/>
    </row>
    <row r="10525" spans="26:26" x14ac:dyDescent="0.25">
      <c r="Z10525"/>
    </row>
    <row r="10526" spans="26:26" x14ac:dyDescent="0.25">
      <c r="Z10526"/>
    </row>
    <row r="10527" spans="26:26" x14ac:dyDescent="0.25">
      <c r="Z10527"/>
    </row>
    <row r="10528" spans="26:26" x14ac:dyDescent="0.25">
      <c r="Z10528"/>
    </row>
    <row r="10529" spans="26:26" x14ac:dyDescent="0.25">
      <c r="Z10529"/>
    </row>
    <row r="10530" spans="26:26" x14ac:dyDescent="0.25">
      <c r="Z10530"/>
    </row>
    <row r="10531" spans="26:26" x14ac:dyDescent="0.25">
      <c r="Z10531"/>
    </row>
    <row r="10532" spans="26:26" x14ac:dyDescent="0.25">
      <c r="Z10532"/>
    </row>
    <row r="10533" spans="26:26" x14ac:dyDescent="0.25">
      <c r="Z10533"/>
    </row>
    <row r="10534" spans="26:26" x14ac:dyDescent="0.25">
      <c r="Z10534"/>
    </row>
    <row r="10535" spans="26:26" x14ac:dyDescent="0.25">
      <c r="Z10535"/>
    </row>
    <row r="10536" spans="26:26" x14ac:dyDescent="0.25">
      <c r="Z10536"/>
    </row>
    <row r="10537" spans="26:26" x14ac:dyDescent="0.25">
      <c r="Z10537"/>
    </row>
    <row r="10538" spans="26:26" x14ac:dyDescent="0.25">
      <c r="Z10538"/>
    </row>
    <row r="10539" spans="26:26" x14ac:dyDescent="0.25">
      <c r="Z10539"/>
    </row>
    <row r="10540" spans="26:26" x14ac:dyDescent="0.25">
      <c r="Z10540"/>
    </row>
    <row r="10541" spans="26:26" x14ac:dyDescent="0.25">
      <c r="Z10541"/>
    </row>
    <row r="10542" spans="26:26" x14ac:dyDescent="0.25">
      <c r="Z10542"/>
    </row>
    <row r="10543" spans="26:26" x14ac:dyDescent="0.25">
      <c r="Z10543"/>
    </row>
    <row r="10544" spans="26:26" x14ac:dyDescent="0.25">
      <c r="Z10544"/>
    </row>
    <row r="10545" spans="26:26" x14ac:dyDescent="0.25">
      <c r="Z10545"/>
    </row>
    <row r="10546" spans="26:26" x14ac:dyDescent="0.25">
      <c r="Z10546"/>
    </row>
    <row r="10547" spans="26:26" x14ac:dyDescent="0.25">
      <c r="Z10547"/>
    </row>
    <row r="10548" spans="26:26" x14ac:dyDescent="0.25">
      <c r="Z10548"/>
    </row>
    <row r="10549" spans="26:26" x14ac:dyDescent="0.25">
      <c r="Z10549"/>
    </row>
    <row r="10550" spans="26:26" x14ac:dyDescent="0.25">
      <c r="Z10550"/>
    </row>
    <row r="10551" spans="26:26" x14ac:dyDescent="0.25">
      <c r="Z10551"/>
    </row>
    <row r="10552" spans="26:26" x14ac:dyDescent="0.25">
      <c r="Z10552"/>
    </row>
    <row r="10553" spans="26:26" x14ac:dyDescent="0.25">
      <c r="Z10553"/>
    </row>
    <row r="10554" spans="26:26" x14ac:dyDescent="0.25">
      <c r="Z10554"/>
    </row>
    <row r="10555" spans="26:26" x14ac:dyDescent="0.25">
      <c r="Z10555"/>
    </row>
    <row r="10556" spans="26:26" x14ac:dyDescent="0.25">
      <c r="Z10556"/>
    </row>
    <row r="10557" spans="26:26" x14ac:dyDescent="0.25">
      <c r="Z10557"/>
    </row>
    <row r="10558" spans="26:26" x14ac:dyDescent="0.25">
      <c r="Z10558"/>
    </row>
    <row r="10559" spans="26:26" x14ac:dyDescent="0.25">
      <c r="Z10559"/>
    </row>
    <row r="10560" spans="26:26" x14ac:dyDescent="0.25">
      <c r="Z10560"/>
    </row>
    <row r="10561" spans="26:26" x14ac:dyDescent="0.25">
      <c r="Z10561"/>
    </row>
    <row r="10562" spans="26:26" x14ac:dyDescent="0.25">
      <c r="Z10562"/>
    </row>
    <row r="10563" spans="26:26" x14ac:dyDescent="0.25">
      <c r="Z10563"/>
    </row>
    <row r="10564" spans="26:26" x14ac:dyDescent="0.25">
      <c r="Z10564"/>
    </row>
    <row r="10565" spans="26:26" x14ac:dyDescent="0.25">
      <c r="Z10565"/>
    </row>
    <row r="10566" spans="26:26" x14ac:dyDescent="0.25">
      <c r="Z10566"/>
    </row>
    <row r="10567" spans="26:26" x14ac:dyDescent="0.25">
      <c r="Z10567"/>
    </row>
    <row r="10568" spans="26:26" x14ac:dyDescent="0.25">
      <c r="Z10568"/>
    </row>
    <row r="10569" spans="26:26" x14ac:dyDescent="0.25">
      <c r="Z10569"/>
    </row>
    <row r="10570" spans="26:26" x14ac:dyDescent="0.25">
      <c r="Z10570"/>
    </row>
    <row r="10571" spans="26:26" x14ac:dyDescent="0.25">
      <c r="Z10571"/>
    </row>
    <row r="10572" spans="26:26" x14ac:dyDescent="0.25">
      <c r="Z10572"/>
    </row>
    <row r="10573" spans="26:26" x14ac:dyDescent="0.25">
      <c r="Z10573"/>
    </row>
    <row r="10574" spans="26:26" x14ac:dyDescent="0.25">
      <c r="Z10574"/>
    </row>
    <row r="10575" spans="26:26" x14ac:dyDescent="0.25">
      <c r="Z10575"/>
    </row>
    <row r="10576" spans="26:26" x14ac:dyDescent="0.25">
      <c r="Z10576"/>
    </row>
    <row r="10577" spans="26:26" x14ac:dyDescent="0.25">
      <c r="Z10577"/>
    </row>
    <row r="10578" spans="26:26" x14ac:dyDescent="0.25">
      <c r="Z10578"/>
    </row>
    <row r="10579" spans="26:26" x14ac:dyDescent="0.25">
      <c r="Z10579"/>
    </row>
    <row r="10580" spans="26:26" x14ac:dyDescent="0.25">
      <c r="Z10580"/>
    </row>
    <row r="10581" spans="26:26" x14ac:dyDescent="0.25">
      <c r="Z10581"/>
    </row>
    <row r="10582" spans="26:26" x14ac:dyDescent="0.25">
      <c r="Z10582"/>
    </row>
    <row r="10583" spans="26:26" x14ac:dyDescent="0.25">
      <c r="Z10583"/>
    </row>
    <row r="10584" spans="26:26" x14ac:dyDescent="0.25">
      <c r="Z10584"/>
    </row>
    <row r="10585" spans="26:26" x14ac:dyDescent="0.25">
      <c r="Z10585"/>
    </row>
    <row r="10586" spans="26:26" x14ac:dyDescent="0.25">
      <c r="Z10586"/>
    </row>
    <row r="10587" spans="26:26" x14ac:dyDescent="0.25">
      <c r="Z10587"/>
    </row>
    <row r="10588" spans="26:26" x14ac:dyDescent="0.25">
      <c r="Z10588"/>
    </row>
    <row r="10589" spans="26:26" x14ac:dyDescent="0.25">
      <c r="Z10589"/>
    </row>
    <row r="10590" spans="26:26" x14ac:dyDescent="0.25">
      <c r="Z10590"/>
    </row>
    <row r="10591" spans="26:26" x14ac:dyDescent="0.25">
      <c r="Z10591"/>
    </row>
    <row r="10592" spans="26:26" x14ac:dyDescent="0.25">
      <c r="Z10592"/>
    </row>
    <row r="10593" spans="26:26" x14ac:dyDescent="0.25">
      <c r="Z10593"/>
    </row>
    <row r="10594" spans="26:26" x14ac:dyDescent="0.25">
      <c r="Z10594"/>
    </row>
    <row r="10595" spans="26:26" x14ac:dyDescent="0.25">
      <c r="Z10595"/>
    </row>
    <row r="10596" spans="26:26" x14ac:dyDescent="0.25">
      <c r="Z10596"/>
    </row>
    <row r="10597" spans="26:26" x14ac:dyDescent="0.25">
      <c r="Z10597"/>
    </row>
    <row r="10598" spans="26:26" x14ac:dyDescent="0.25">
      <c r="Z10598"/>
    </row>
    <row r="10599" spans="26:26" x14ac:dyDescent="0.25">
      <c r="Z10599"/>
    </row>
    <row r="10600" spans="26:26" x14ac:dyDescent="0.25">
      <c r="Z10600"/>
    </row>
    <row r="10601" spans="26:26" x14ac:dyDescent="0.25">
      <c r="Z10601"/>
    </row>
    <row r="10602" spans="26:26" x14ac:dyDescent="0.25">
      <c r="Z10602"/>
    </row>
    <row r="10603" spans="26:26" x14ac:dyDescent="0.25">
      <c r="Z10603"/>
    </row>
    <row r="10604" spans="26:26" x14ac:dyDescent="0.25">
      <c r="Z10604"/>
    </row>
    <row r="10605" spans="26:26" x14ac:dyDescent="0.25">
      <c r="Z10605"/>
    </row>
    <row r="10606" spans="26:26" x14ac:dyDescent="0.25">
      <c r="Z10606"/>
    </row>
    <row r="10607" spans="26:26" x14ac:dyDescent="0.25">
      <c r="Z10607"/>
    </row>
    <row r="10608" spans="26:26" x14ac:dyDescent="0.25">
      <c r="Z10608"/>
    </row>
    <row r="10609" spans="26:26" x14ac:dyDescent="0.25">
      <c r="Z10609"/>
    </row>
    <row r="10610" spans="26:26" x14ac:dyDescent="0.25">
      <c r="Z10610"/>
    </row>
    <row r="10611" spans="26:26" x14ac:dyDescent="0.25">
      <c r="Z10611"/>
    </row>
    <row r="10612" spans="26:26" x14ac:dyDescent="0.25">
      <c r="Z10612"/>
    </row>
    <row r="10613" spans="26:26" x14ac:dyDescent="0.25">
      <c r="Z10613"/>
    </row>
    <row r="10614" spans="26:26" x14ac:dyDescent="0.25">
      <c r="Z10614"/>
    </row>
    <row r="10615" spans="26:26" x14ac:dyDescent="0.25">
      <c r="Z10615"/>
    </row>
    <row r="10616" spans="26:26" x14ac:dyDescent="0.25">
      <c r="Z10616"/>
    </row>
    <row r="10617" spans="26:26" x14ac:dyDescent="0.25">
      <c r="Z10617"/>
    </row>
    <row r="10618" spans="26:26" x14ac:dyDescent="0.25">
      <c r="Z10618"/>
    </row>
    <row r="10619" spans="26:26" x14ac:dyDescent="0.25">
      <c r="Z10619"/>
    </row>
    <row r="10620" spans="26:26" x14ac:dyDescent="0.25">
      <c r="Z10620"/>
    </row>
    <row r="10621" spans="26:26" x14ac:dyDescent="0.25">
      <c r="Z10621"/>
    </row>
    <row r="10622" spans="26:26" x14ac:dyDescent="0.25">
      <c r="Z10622"/>
    </row>
    <row r="10623" spans="26:26" x14ac:dyDescent="0.25">
      <c r="Z10623"/>
    </row>
    <row r="10624" spans="26:26" x14ac:dyDescent="0.25">
      <c r="Z10624"/>
    </row>
    <row r="10625" spans="26:26" x14ac:dyDescent="0.25">
      <c r="Z10625"/>
    </row>
    <row r="10626" spans="26:26" x14ac:dyDescent="0.25">
      <c r="Z10626"/>
    </row>
    <row r="10627" spans="26:26" x14ac:dyDescent="0.25">
      <c r="Z10627"/>
    </row>
    <row r="10628" spans="26:26" x14ac:dyDescent="0.25">
      <c r="Z10628"/>
    </row>
    <row r="10629" spans="26:26" x14ac:dyDescent="0.25">
      <c r="Z10629"/>
    </row>
    <row r="10630" spans="26:26" x14ac:dyDescent="0.25">
      <c r="Z10630"/>
    </row>
    <row r="10631" spans="26:26" x14ac:dyDescent="0.25">
      <c r="Z10631"/>
    </row>
    <row r="10632" spans="26:26" x14ac:dyDescent="0.25">
      <c r="Z10632"/>
    </row>
    <row r="10633" spans="26:26" x14ac:dyDescent="0.25">
      <c r="Z10633"/>
    </row>
    <row r="10634" spans="26:26" x14ac:dyDescent="0.25">
      <c r="Z10634"/>
    </row>
    <row r="10635" spans="26:26" x14ac:dyDescent="0.25">
      <c r="Z10635"/>
    </row>
    <row r="10636" spans="26:26" x14ac:dyDescent="0.25">
      <c r="Z10636"/>
    </row>
    <row r="10637" spans="26:26" x14ac:dyDescent="0.25">
      <c r="Z10637"/>
    </row>
    <row r="10638" spans="26:26" x14ac:dyDescent="0.25">
      <c r="Z10638"/>
    </row>
    <row r="10639" spans="26:26" x14ac:dyDescent="0.25">
      <c r="Z10639"/>
    </row>
    <row r="10640" spans="26:26" x14ac:dyDescent="0.25">
      <c r="Z10640"/>
    </row>
    <row r="10641" spans="26:26" x14ac:dyDescent="0.25">
      <c r="Z10641"/>
    </row>
    <row r="10642" spans="26:26" x14ac:dyDescent="0.25">
      <c r="Z10642"/>
    </row>
    <row r="10643" spans="26:26" x14ac:dyDescent="0.25">
      <c r="Z10643"/>
    </row>
    <row r="10644" spans="26:26" x14ac:dyDescent="0.25">
      <c r="Z10644"/>
    </row>
    <row r="10645" spans="26:26" x14ac:dyDescent="0.25">
      <c r="Z10645"/>
    </row>
    <row r="10646" spans="26:26" x14ac:dyDescent="0.25">
      <c r="Z10646"/>
    </row>
    <row r="10647" spans="26:26" x14ac:dyDescent="0.25">
      <c r="Z10647"/>
    </row>
    <row r="10648" spans="26:26" x14ac:dyDescent="0.25">
      <c r="Z10648"/>
    </row>
    <row r="10649" spans="26:26" x14ac:dyDescent="0.25">
      <c r="Z10649"/>
    </row>
    <row r="10650" spans="26:26" x14ac:dyDescent="0.25">
      <c r="Z10650"/>
    </row>
    <row r="10651" spans="26:26" x14ac:dyDescent="0.25">
      <c r="Z10651"/>
    </row>
    <row r="10652" spans="26:26" x14ac:dyDescent="0.25">
      <c r="Z10652"/>
    </row>
    <row r="10653" spans="26:26" x14ac:dyDescent="0.25">
      <c r="Z10653"/>
    </row>
    <row r="10654" spans="26:26" x14ac:dyDescent="0.25">
      <c r="Z10654"/>
    </row>
    <row r="10655" spans="26:26" x14ac:dyDescent="0.25">
      <c r="Z10655"/>
    </row>
    <row r="10656" spans="26:26" x14ac:dyDescent="0.25">
      <c r="Z10656"/>
    </row>
    <row r="10657" spans="26:26" x14ac:dyDescent="0.25">
      <c r="Z10657"/>
    </row>
    <row r="10658" spans="26:26" x14ac:dyDescent="0.25">
      <c r="Z10658"/>
    </row>
    <row r="10659" spans="26:26" x14ac:dyDescent="0.25">
      <c r="Z10659"/>
    </row>
    <row r="10660" spans="26:26" x14ac:dyDescent="0.25">
      <c r="Z10660"/>
    </row>
    <row r="10661" spans="26:26" x14ac:dyDescent="0.25">
      <c r="Z10661"/>
    </row>
    <row r="10662" spans="26:26" x14ac:dyDescent="0.25">
      <c r="Z10662"/>
    </row>
    <row r="10663" spans="26:26" x14ac:dyDescent="0.25">
      <c r="Z10663"/>
    </row>
    <row r="10664" spans="26:26" x14ac:dyDescent="0.25">
      <c r="Z10664"/>
    </row>
    <row r="10665" spans="26:26" x14ac:dyDescent="0.25">
      <c r="Z10665"/>
    </row>
    <row r="10666" spans="26:26" x14ac:dyDescent="0.25">
      <c r="Z10666"/>
    </row>
    <row r="10667" spans="26:26" x14ac:dyDescent="0.25">
      <c r="Z10667"/>
    </row>
    <row r="10668" spans="26:26" x14ac:dyDescent="0.25">
      <c r="Z10668"/>
    </row>
    <row r="10669" spans="26:26" x14ac:dyDescent="0.25">
      <c r="Z10669"/>
    </row>
    <row r="10670" spans="26:26" x14ac:dyDescent="0.25">
      <c r="Z10670"/>
    </row>
    <row r="10671" spans="26:26" x14ac:dyDescent="0.25">
      <c r="Z10671"/>
    </row>
    <row r="10672" spans="26:26" x14ac:dyDescent="0.25">
      <c r="Z10672"/>
    </row>
    <row r="10673" spans="26:26" x14ac:dyDescent="0.25">
      <c r="Z10673"/>
    </row>
    <row r="10674" spans="26:26" x14ac:dyDescent="0.25">
      <c r="Z10674"/>
    </row>
    <row r="10675" spans="26:26" x14ac:dyDescent="0.25">
      <c r="Z10675"/>
    </row>
    <row r="10676" spans="26:26" x14ac:dyDescent="0.25">
      <c r="Z10676"/>
    </row>
    <row r="10677" spans="26:26" x14ac:dyDescent="0.25">
      <c r="Z10677"/>
    </row>
    <row r="10678" spans="26:26" x14ac:dyDescent="0.25">
      <c r="Z10678"/>
    </row>
    <row r="10679" spans="26:26" x14ac:dyDescent="0.25">
      <c r="Z10679"/>
    </row>
    <row r="10680" spans="26:26" x14ac:dyDescent="0.25">
      <c r="Z10680"/>
    </row>
    <row r="10681" spans="26:26" x14ac:dyDescent="0.25">
      <c r="Z10681"/>
    </row>
    <row r="10682" spans="26:26" x14ac:dyDescent="0.25">
      <c r="Z10682"/>
    </row>
    <row r="10683" spans="26:26" x14ac:dyDescent="0.25">
      <c r="Z10683"/>
    </row>
    <row r="10684" spans="26:26" x14ac:dyDescent="0.25">
      <c r="Z10684"/>
    </row>
    <row r="10685" spans="26:26" x14ac:dyDescent="0.25">
      <c r="Z10685"/>
    </row>
    <row r="10686" spans="26:26" x14ac:dyDescent="0.25">
      <c r="Z10686"/>
    </row>
    <row r="10687" spans="26:26" x14ac:dyDescent="0.25">
      <c r="Z10687"/>
    </row>
    <row r="10688" spans="26:26" x14ac:dyDescent="0.25">
      <c r="Z10688"/>
    </row>
    <row r="10689" spans="26:26" x14ac:dyDescent="0.25">
      <c r="Z10689"/>
    </row>
    <row r="10690" spans="26:26" x14ac:dyDescent="0.25">
      <c r="Z10690"/>
    </row>
    <row r="10691" spans="26:26" x14ac:dyDescent="0.25">
      <c r="Z10691"/>
    </row>
    <row r="10692" spans="26:26" x14ac:dyDescent="0.25">
      <c r="Z10692"/>
    </row>
    <row r="10693" spans="26:26" x14ac:dyDescent="0.25">
      <c r="Z10693"/>
    </row>
    <row r="10694" spans="26:26" x14ac:dyDescent="0.25">
      <c r="Z10694"/>
    </row>
    <row r="10695" spans="26:26" x14ac:dyDescent="0.25">
      <c r="Z10695"/>
    </row>
    <row r="10696" spans="26:26" x14ac:dyDescent="0.25">
      <c r="Z10696"/>
    </row>
    <row r="10697" spans="26:26" x14ac:dyDescent="0.25">
      <c r="Z10697"/>
    </row>
    <row r="10698" spans="26:26" x14ac:dyDescent="0.25">
      <c r="Z10698"/>
    </row>
    <row r="10699" spans="26:26" x14ac:dyDescent="0.25">
      <c r="Z10699"/>
    </row>
    <row r="10700" spans="26:26" x14ac:dyDescent="0.25">
      <c r="Z10700"/>
    </row>
    <row r="10701" spans="26:26" x14ac:dyDescent="0.25">
      <c r="Z10701"/>
    </row>
    <row r="10702" spans="26:26" x14ac:dyDescent="0.25">
      <c r="Z10702"/>
    </row>
    <row r="10703" spans="26:26" x14ac:dyDescent="0.25">
      <c r="Z10703"/>
    </row>
    <row r="10704" spans="26:26" x14ac:dyDescent="0.25">
      <c r="Z10704"/>
    </row>
    <row r="10705" spans="26:26" x14ac:dyDescent="0.25">
      <c r="Z10705"/>
    </row>
    <row r="10706" spans="26:26" x14ac:dyDescent="0.25">
      <c r="Z10706"/>
    </row>
    <row r="10707" spans="26:26" x14ac:dyDescent="0.25">
      <c r="Z10707"/>
    </row>
    <row r="10708" spans="26:26" x14ac:dyDescent="0.25">
      <c r="Z10708"/>
    </row>
    <row r="10709" spans="26:26" x14ac:dyDescent="0.25">
      <c r="Z10709"/>
    </row>
    <row r="10710" spans="26:26" x14ac:dyDescent="0.25">
      <c r="Z10710"/>
    </row>
    <row r="10711" spans="26:26" x14ac:dyDescent="0.25">
      <c r="Z10711"/>
    </row>
    <row r="10712" spans="26:26" x14ac:dyDescent="0.25">
      <c r="Z10712"/>
    </row>
    <row r="10713" spans="26:26" x14ac:dyDescent="0.25">
      <c r="Z10713"/>
    </row>
    <row r="10714" spans="26:26" x14ac:dyDescent="0.25">
      <c r="Z10714"/>
    </row>
    <row r="10715" spans="26:26" x14ac:dyDescent="0.25">
      <c r="Z10715"/>
    </row>
    <row r="10716" spans="26:26" x14ac:dyDescent="0.25">
      <c r="Z10716"/>
    </row>
    <row r="10717" spans="26:26" x14ac:dyDescent="0.25">
      <c r="Z10717"/>
    </row>
    <row r="10718" spans="26:26" x14ac:dyDescent="0.25">
      <c r="Z10718"/>
    </row>
    <row r="10719" spans="26:26" x14ac:dyDescent="0.25">
      <c r="Z10719"/>
    </row>
    <row r="10720" spans="26:26" x14ac:dyDescent="0.25">
      <c r="Z10720"/>
    </row>
    <row r="10721" spans="26:26" x14ac:dyDescent="0.25">
      <c r="Z10721"/>
    </row>
    <row r="10722" spans="26:26" x14ac:dyDescent="0.25">
      <c r="Z10722"/>
    </row>
    <row r="10723" spans="26:26" x14ac:dyDescent="0.25">
      <c r="Z10723"/>
    </row>
    <row r="10724" spans="26:26" x14ac:dyDescent="0.25">
      <c r="Z10724"/>
    </row>
    <row r="10725" spans="26:26" x14ac:dyDescent="0.25">
      <c r="Z10725"/>
    </row>
    <row r="10726" spans="26:26" x14ac:dyDescent="0.25">
      <c r="Z10726"/>
    </row>
    <row r="10727" spans="26:26" x14ac:dyDescent="0.25">
      <c r="Z10727"/>
    </row>
    <row r="10728" spans="26:26" x14ac:dyDescent="0.25">
      <c r="Z10728"/>
    </row>
    <row r="10729" spans="26:26" x14ac:dyDescent="0.25">
      <c r="Z10729"/>
    </row>
    <row r="10730" spans="26:26" x14ac:dyDescent="0.25">
      <c r="Z10730"/>
    </row>
    <row r="10731" spans="26:26" x14ac:dyDescent="0.25">
      <c r="Z10731"/>
    </row>
    <row r="10732" spans="26:26" x14ac:dyDescent="0.25">
      <c r="Z10732"/>
    </row>
    <row r="10733" spans="26:26" x14ac:dyDescent="0.25">
      <c r="Z10733"/>
    </row>
    <row r="10734" spans="26:26" x14ac:dyDescent="0.25">
      <c r="Z10734"/>
    </row>
    <row r="10735" spans="26:26" x14ac:dyDescent="0.25">
      <c r="Z10735"/>
    </row>
    <row r="10736" spans="26:26" x14ac:dyDescent="0.25">
      <c r="Z10736"/>
    </row>
    <row r="10737" spans="26:26" x14ac:dyDescent="0.25">
      <c r="Z10737"/>
    </row>
    <row r="10738" spans="26:26" x14ac:dyDescent="0.25">
      <c r="Z10738"/>
    </row>
    <row r="10739" spans="26:26" x14ac:dyDescent="0.25">
      <c r="Z10739"/>
    </row>
    <row r="10740" spans="26:26" x14ac:dyDescent="0.25">
      <c r="Z10740"/>
    </row>
    <row r="10741" spans="26:26" x14ac:dyDescent="0.25">
      <c r="Z10741"/>
    </row>
    <row r="10742" spans="26:26" x14ac:dyDescent="0.25">
      <c r="Z10742"/>
    </row>
    <row r="10743" spans="26:26" x14ac:dyDescent="0.25">
      <c r="Z10743"/>
    </row>
    <row r="10744" spans="26:26" x14ac:dyDescent="0.25">
      <c r="Z10744"/>
    </row>
    <row r="10745" spans="26:26" x14ac:dyDescent="0.25">
      <c r="Z10745"/>
    </row>
    <row r="10746" spans="26:26" x14ac:dyDescent="0.25">
      <c r="Z10746"/>
    </row>
    <row r="10747" spans="26:26" x14ac:dyDescent="0.25">
      <c r="Z10747"/>
    </row>
    <row r="10748" spans="26:26" x14ac:dyDescent="0.25">
      <c r="Z10748"/>
    </row>
    <row r="10749" spans="26:26" x14ac:dyDescent="0.25">
      <c r="Z10749"/>
    </row>
    <row r="10750" spans="26:26" x14ac:dyDescent="0.25">
      <c r="Z10750"/>
    </row>
    <row r="10751" spans="26:26" x14ac:dyDescent="0.25">
      <c r="Z10751"/>
    </row>
    <row r="10752" spans="26:26" x14ac:dyDescent="0.25">
      <c r="Z10752"/>
    </row>
    <row r="10753" spans="26:26" x14ac:dyDescent="0.25">
      <c r="Z10753"/>
    </row>
    <row r="10754" spans="26:26" x14ac:dyDescent="0.25">
      <c r="Z10754"/>
    </row>
    <row r="10755" spans="26:26" x14ac:dyDescent="0.25">
      <c r="Z10755"/>
    </row>
    <row r="10756" spans="26:26" x14ac:dyDescent="0.25">
      <c r="Z10756"/>
    </row>
    <row r="10757" spans="26:26" x14ac:dyDescent="0.25">
      <c r="Z10757"/>
    </row>
    <row r="10758" spans="26:26" x14ac:dyDescent="0.25">
      <c r="Z10758"/>
    </row>
    <row r="10759" spans="26:26" x14ac:dyDescent="0.25">
      <c r="Z10759"/>
    </row>
    <row r="10760" spans="26:26" x14ac:dyDescent="0.25">
      <c r="Z10760"/>
    </row>
    <row r="10761" spans="26:26" x14ac:dyDescent="0.25">
      <c r="Z10761"/>
    </row>
    <row r="10762" spans="26:26" x14ac:dyDescent="0.25">
      <c r="Z10762"/>
    </row>
    <row r="10763" spans="26:26" x14ac:dyDescent="0.25">
      <c r="Z10763"/>
    </row>
    <row r="10764" spans="26:26" x14ac:dyDescent="0.25">
      <c r="Z10764"/>
    </row>
    <row r="10765" spans="26:26" x14ac:dyDescent="0.25">
      <c r="Z10765"/>
    </row>
    <row r="10766" spans="26:26" x14ac:dyDescent="0.25">
      <c r="Z10766"/>
    </row>
    <row r="10767" spans="26:26" x14ac:dyDescent="0.25">
      <c r="Z10767"/>
    </row>
    <row r="10768" spans="26:26" x14ac:dyDescent="0.25">
      <c r="Z10768"/>
    </row>
    <row r="10769" spans="26:26" x14ac:dyDescent="0.25">
      <c r="Z10769"/>
    </row>
    <row r="10770" spans="26:26" x14ac:dyDescent="0.25">
      <c r="Z10770"/>
    </row>
    <row r="10771" spans="26:26" x14ac:dyDescent="0.25">
      <c r="Z10771"/>
    </row>
    <row r="10772" spans="26:26" x14ac:dyDescent="0.25">
      <c r="Z10772"/>
    </row>
    <row r="10773" spans="26:26" x14ac:dyDescent="0.25">
      <c r="Z10773"/>
    </row>
    <row r="10774" spans="26:26" x14ac:dyDescent="0.25">
      <c r="Z10774"/>
    </row>
    <row r="10775" spans="26:26" x14ac:dyDescent="0.25">
      <c r="Z10775"/>
    </row>
    <row r="10776" spans="26:26" x14ac:dyDescent="0.25">
      <c r="Z10776"/>
    </row>
    <row r="10777" spans="26:26" x14ac:dyDescent="0.25">
      <c r="Z10777"/>
    </row>
    <row r="10778" spans="26:26" x14ac:dyDescent="0.25">
      <c r="Z10778"/>
    </row>
    <row r="10779" spans="26:26" x14ac:dyDescent="0.25">
      <c r="Z10779"/>
    </row>
    <row r="10780" spans="26:26" x14ac:dyDescent="0.25">
      <c r="Z10780"/>
    </row>
    <row r="10781" spans="26:26" x14ac:dyDescent="0.25">
      <c r="Z10781"/>
    </row>
    <row r="10782" spans="26:26" x14ac:dyDescent="0.25">
      <c r="Z10782"/>
    </row>
    <row r="10783" spans="26:26" x14ac:dyDescent="0.25">
      <c r="Z10783"/>
    </row>
    <row r="10784" spans="26:26" x14ac:dyDescent="0.25">
      <c r="Z10784"/>
    </row>
    <row r="10785" spans="26:26" x14ac:dyDescent="0.25">
      <c r="Z10785"/>
    </row>
    <row r="10786" spans="26:26" x14ac:dyDescent="0.25">
      <c r="Z10786"/>
    </row>
    <row r="10787" spans="26:26" x14ac:dyDescent="0.25">
      <c r="Z10787"/>
    </row>
    <row r="10788" spans="26:26" x14ac:dyDescent="0.25">
      <c r="Z10788"/>
    </row>
    <row r="10789" spans="26:26" x14ac:dyDescent="0.25">
      <c r="Z10789"/>
    </row>
    <row r="10790" spans="26:26" x14ac:dyDescent="0.25">
      <c r="Z10790"/>
    </row>
    <row r="10791" spans="26:26" x14ac:dyDescent="0.25">
      <c r="Z10791"/>
    </row>
    <row r="10792" spans="26:26" x14ac:dyDescent="0.25">
      <c r="Z10792"/>
    </row>
    <row r="10793" spans="26:26" x14ac:dyDescent="0.25">
      <c r="Z10793"/>
    </row>
    <row r="10794" spans="26:26" x14ac:dyDescent="0.25">
      <c r="Z10794"/>
    </row>
    <row r="10795" spans="26:26" x14ac:dyDescent="0.25">
      <c r="Z10795"/>
    </row>
    <row r="10796" spans="26:26" x14ac:dyDescent="0.25">
      <c r="Z10796"/>
    </row>
    <row r="10797" spans="26:26" x14ac:dyDescent="0.25">
      <c r="Z10797"/>
    </row>
    <row r="10798" spans="26:26" x14ac:dyDescent="0.25">
      <c r="Z10798"/>
    </row>
    <row r="10799" spans="26:26" x14ac:dyDescent="0.25">
      <c r="Z10799"/>
    </row>
    <row r="10800" spans="26:26" x14ac:dyDescent="0.25">
      <c r="Z10800"/>
    </row>
    <row r="10801" spans="26:26" x14ac:dyDescent="0.25">
      <c r="Z10801"/>
    </row>
    <row r="10802" spans="26:26" x14ac:dyDescent="0.25">
      <c r="Z10802"/>
    </row>
    <row r="10803" spans="26:26" x14ac:dyDescent="0.25">
      <c r="Z10803"/>
    </row>
    <row r="10804" spans="26:26" x14ac:dyDescent="0.25">
      <c r="Z10804"/>
    </row>
    <row r="10805" spans="26:26" x14ac:dyDescent="0.25">
      <c r="Z10805"/>
    </row>
    <row r="10806" spans="26:26" x14ac:dyDescent="0.25">
      <c r="Z10806"/>
    </row>
    <row r="10807" spans="26:26" x14ac:dyDescent="0.25">
      <c r="Z10807"/>
    </row>
    <row r="10808" spans="26:26" x14ac:dyDescent="0.25">
      <c r="Z10808"/>
    </row>
    <row r="10809" spans="26:26" x14ac:dyDescent="0.25">
      <c r="Z10809"/>
    </row>
    <row r="10810" spans="26:26" x14ac:dyDescent="0.25">
      <c r="Z10810"/>
    </row>
    <row r="10811" spans="26:26" x14ac:dyDescent="0.25">
      <c r="Z10811"/>
    </row>
    <row r="10812" spans="26:26" x14ac:dyDescent="0.25">
      <c r="Z10812"/>
    </row>
    <row r="10813" spans="26:26" x14ac:dyDescent="0.25">
      <c r="Z10813"/>
    </row>
    <row r="10814" spans="26:26" x14ac:dyDescent="0.25">
      <c r="Z10814"/>
    </row>
    <row r="10815" spans="26:26" x14ac:dyDescent="0.25">
      <c r="Z10815"/>
    </row>
    <row r="10816" spans="26:26" x14ac:dyDescent="0.25">
      <c r="Z10816"/>
    </row>
    <row r="10817" spans="26:26" x14ac:dyDescent="0.25">
      <c r="Z10817"/>
    </row>
    <row r="10818" spans="26:26" x14ac:dyDescent="0.25">
      <c r="Z10818"/>
    </row>
    <row r="10819" spans="26:26" x14ac:dyDescent="0.25">
      <c r="Z10819"/>
    </row>
    <row r="10820" spans="26:26" x14ac:dyDescent="0.25">
      <c r="Z10820"/>
    </row>
    <row r="10821" spans="26:26" x14ac:dyDescent="0.25">
      <c r="Z10821"/>
    </row>
    <row r="10822" spans="26:26" x14ac:dyDescent="0.25">
      <c r="Z10822"/>
    </row>
    <row r="10823" spans="26:26" x14ac:dyDescent="0.25">
      <c r="Z10823"/>
    </row>
    <row r="10824" spans="26:26" x14ac:dyDescent="0.25">
      <c r="Z10824"/>
    </row>
    <row r="10825" spans="26:26" x14ac:dyDescent="0.25">
      <c r="Z10825"/>
    </row>
    <row r="10826" spans="26:26" x14ac:dyDescent="0.25">
      <c r="Z10826"/>
    </row>
    <row r="10827" spans="26:26" x14ac:dyDescent="0.25">
      <c r="Z10827"/>
    </row>
    <row r="10828" spans="26:26" x14ac:dyDescent="0.25">
      <c r="Z10828"/>
    </row>
    <row r="10829" spans="26:26" x14ac:dyDescent="0.25">
      <c r="Z10829"/>
    </row>
    <row r="10830" spans="26:26" x14ac:dyDescent="0.25">
      <c r="Z10830"/>
    </row>
    <row r="10831" spans="26:26" x14ac:dyDescent="0.25">
      <c r="Z10831"/>
    </row>
    <row r="10832" spans="26:26" x14ac:dyDescent="0.25">
      <c r="Z10832"/>
    </row>
    <row r="10833" spans="26:26" x14ac:dyDescent="0.25">
      <c r="Z10833"/>
    </row>
    <row r="10834" spans="26:26" x14ac:dyDescent="0.25">
      <c r="Z10834"/>
    </row>
    <row r="10835" spans="26:26" x14ac:dyDescent="0.25">
      <c r="Z10835"/>
    </row>
    <row r="10836" spans="26:26" x14ac:dyDescent="0.25">
      <c r="Z10836"/>
    </row>
    <row r="10837" spans="26:26" x14ac:dyDescent="0.25">
      <c r="Z10837"/>
    </row>
    <row r="10838" spans="26:26" x14ac:dyDescent="0.25">
      <c r="Z10838"/>
    </row>
    <row r="10839" spans="26:26" x14ac:dyDescent="0.25">
      <c r="Z10839"/>
    </row>
    <row r="10840" spans="26:26" x14ac:dyDescent="0.25">
      <c r="Z10840"/>
    </row>
    <row r="10841" spans="26:26" x14ac:dyDescent="0.25">
      <c r="Z10841"/>
    </row>
    <row r="10842" spans="26:26" x14ac:dyDescent="0.25">
      <c r="Z10842"/>
    </row>
    <row r="10843" spans="26:26" x14ac:dyDescent="0.25">
      <c r="Z10843"/>
    </row>
    <row r="10844" spans="26:26" x14ac:dyDescent="0.25">
      <c r="Z10844"/>
    </row>
    <row r="10845" spans="26:26" x14ac:dyDescent="0.25">
      <c r="Z10845"/>
    </row>
    <row r="10846" spans="26:26" x14ac:dyDescent="0.25">
      <c r="Z10846"/>
    </row>
    <row r="10847" spans="26:26" x14ac:dyDescent="0.25">
      <c r="Z10847"/>
    </row>
    <row r="10848" spans="26:26" x14ac:dyDescent="0.25">
      <c r="Z10848"/>
    </row>
    <row r="10849" spans="26:26" x14ac:dyDescent="0.25">
      <c r="Z10849"/>
    </row>
    <row r="10850" spans="26:26" x14ac:dyDescent="0.25">
      <c r="Z10850"/>
    </row>
    <row r="10851" spans="26:26" x14ac:dyDescent="0.25">
      <c r="Z10851"/>
    </row>
    <row r="10852" spans="26:26" x14ac:dyDescent="0.25">
      <c r="Z10852"/>
    </row>
    <row r="10853" spans="26:26" x14ac:dyDescent="0.25">
      <c r="Z10853"/>
    </row>
    <row r="10854" spans="26:26" x14ac:dyDescent="0.25">
      <c r="Z10854"/>
    </row>
    <row r="10855" spans="26:26" x14ac:dyDescent="0.25">
      <c r="Z10855"/>
    </row>
    <row r="10856" spans="26:26" x14ac:dyDescent="0.25">
      <c r="Z10856"/>
    </row>
    <row r="10857" spans="26:26" x14ac:dyDescent="0.25">
      <c r="Z10857"/>
    </row>
    <row r="10858" spans="26:26" x14ac:dyDescent="0.25">
      <c r="Z10858"/>
    </row>
    <row r="10859" spans="26:26" x14ac:dyDescent="0.25">
      <c r="Z10859"/>
    </row>
    <row r="10860" spans="26:26" x14ac:dyDescent="0.25">
      <c r="Z10860"/>
    </row>
    <row r="10861" spans="26:26" x14ac:dyDescent="0.25">
      <c r="Z10861"/>
    </row>
    <row r="10862" spans="26:26" x14ac:dyDescent="0.25">
      <c r="Z10862"/>
    </row>
    <row r="10863" spans="26:26" x14ac:dyDescent="0.25">
      <c r="Z10863"/>
    </row>
    <row r="10864" spans="26:26" x14ac:dyDescent="0.25">
      <c r="Z10864"/>
    </row>
    <row r="10865" spans="26:26" x14ac:dyDescent="0.25">
      <c r="Z10865"/>
    </row>
    <row r="10866" spans="26:26" x14ac:dyDescent="0.25">
      <c r="Z10866"/>
    </row>
    <row r="10867" spans="26:26" x14ac:dyDescent="0.25">
      <c r="Z10867"/>
    </row>
    <row r="10868" spans="26:26" x14ac:dyDescent="0.25">
      <c r="Z10868"/>
    </row>
    <row r="10869" spans="26:26" x14ac:dyDescent="0.25">
      <c r="Z10869"/>
    </row>
    <row r="10870" spans="26:26" x14ac:dyDescent="0.25">
      <c r="Z10870"/>
    </row>
    <row r="10871" spans="26:26" x14ac:dyDescent="0.25">
      <c r="Z10871"/>
    </row>
    <row r="10872" spans="26:26" x14ac:dyDescent="0.25">
      <c r="Z10872"/>
    </row>
    <row r="10873" spans="26:26" x14ac:dyDescent="0.25">
      <c r="Z10873"/>
    </row>
    <row r="10874" spans="26:26" x14ac:dyDescent="0.25">
      <c r="Z10874"/>
    </row>
    <row r="10875" spans="26:26" x14ac:dyDescent="0.25">
      <c r="Z10875"/>
    </row>
    <row r="10876" spans="26:26" x14ac:dyDescent="0.25">
      <c r="Z10876"/>
    </row>
    <row r="10877" spans="26:26" x14ac:dyDescent="0.25">
      <c r="Z10877"/>
    </row>
    <row r="10878" spans="26:26" x14ac:dyDescent="0.25">
      <c r="Z10878"/>
    </row>
    <row r="10879" spans="26:26" x14ac:dyDescent="0.25">
      <c r="Z10879"/>
    </row>
    <row r="10880" spans="26:26" x14ac:dyDescent="0.25">
      <c r="Z10880"/>
    </row>
    <row r="10881" spans="26:26" x14ac:dyDescent="0.25">
      <c r="Z10881"/>
    </row>
    <row r="10882" spans="26:26" x14ac:dyDescent="0.25">
      <c r="Z10882"/>
    </row>
    <row r="10883" spans="26:26" x14ac:dyDescent="0.25">
      <c r="Z10883"/>
    </row>
    <row r="10884" spans="26:26" x14ac:dyDescent="0.25">
      <c r="Z10884"/>
    </row>
    <row r="10885" spans="26:26" x14ac:dyDescent="0.25">
      <c r="Z10885"/>
    </row>
    <row r="10886" spans="26:26" x14ac:dyDescent="0.25">
      <c r="Z10886"/>
    </row>
    <row r="10887" spans="26:26" x14ac:dyDescent="0.25">
      <c r="Z10887"/>
    </row>
    <row r="10888" spans="26:26" x14ac:dyDescent="0.25">
      <c r="Z10888"/>
    </row>
    <row r="10889" spans="26:26" x14ac:dyDescent="0.25">
      <c r="Z10889"/>
    </row>
    <row r="10890" spans="26:26" x14ac:dyDescent="0.25">
      <c r="Z10890"/>
    </row>
    <row r="10891" spans="26:26" x14ac:dyDescent="0.25">
      <c r="Z10891"/>
    </row>
    <row r="10892" spans="26:26" x14ac:dyDescent="0.25">
      <c r="Z10892"/>
    </row>
    <row r="10893" spans="26:26" x14ac:dyDescent="0.25">
      <c r="Z10893"/>
    </row>
    <row r="10894" spans="26:26" x14ac:dyDescent="0.25">
      <c r="Z10894"/>
    </row>
    <row r="10895" spans="26:26" x14ac:dyDescent="0.25">
      <c r="Z10895"/>
    </row>
    <row r="10896" spans="26:26" x14ac:dyDescent="0.25">
      <c r="Z10896"/>
    </row>
    <row r="10897" spans="26:26" x14ac:dyDescent="0.25">
      <c r="Z10897"/>
    </row>
    <row r="10898" spans="26:26" x14ac:dyDescent="0.25">
      <c r="Z10898"/>
    </row>
    <row r="10899" spans="26:26" x14ac:dyDescent="0.25">
      <c r="Z10899"/>
    </row>
    <row r="10900" spans="26:26" x14ac:dyDescent="0.25">
      <c r="Z10900"/>
    </row>
    <row r="10901" spans="26:26" x14ac:dyDescent="0.25">
      <c r="Z10901"/>
    </row>
    <row r="10902" spans="26:26" x14ac:dyDescent="0.25">
      <c r="Z10902"/>
    </row>
    <row r="10903" spans="26:26" x14ac:dyDescent="0.25">
      <c r="Z10903"/>
    </row>
    <row r="10904" spans="26:26" x14ac:dyDescent="0.25">
      <c r="Z10904"/>
    </row>
    <row r="10905" spans="26:26" x14ac:dyDescent="0.25">
      <c r="Z10905"/>
    </row>
    <row r="10906" spans="26:26" x14ac:dyDescent="0.25">
      <c r="Z10906"/>
    </row>
    <row r="10907" spans="26:26" x14ac:dyDescent="0.25">
      <c r="Z10907"/>
    </row>
    <row r="10908" spans="26:26" x14ac:dyDescent="0.25">
      <c r="Z10908"/>
    </row>
    <row r="10909" spans="26:26" x14ac:dyDescent="0.25">
      <c r="Z10909"/>
    </row>
    <row r="10910" spans="26:26" x14ac:dyDescent="0.25">
      <c r="Z10910"/>
    </row>
    <row r="10911" spans="26:26" x14ac:dyDescent="0.25">
      <c r="Z10911"/>
    </row>
    <row r="10912" spans="26:26" x14ac:dyDescent="0.25">
      <c r="Z10912"/>
    </row>
    <row r="10913" spans="26:26" x14ac:dyDescent="0.25">
      <c r="Z10913"/>
    </row>
    <row r="10914" spans="26:26" x14ac:dyDescent="0.25">
      <c r="Z10914"/>
    </row>
    <row r="10915" spans="26:26" x14ac:dyDescent="0.25">
      <c r="Z10915"/>
    </row>
    <row r="10916" spans="26:26" x14ac:dyDescent="0.25">
      <c r="Z10916"/>
    </row>
    <row r="10917" spans="26:26" x14ac:dyDescent="0.25">
      <c r="Z10917"/>
    </row>
    <row r="10918" spans="26:26" x14ac:dyDescent="0.25">
      <c r="Z10918"/>
    </row>
    <row r="10919" spans="26:26" x14ac:dyDescent="0.25">
      <c r="Z10919"/>
    </row>
    <row r="10920" spans="26:26" x14ac:dyDescent="0.25">
      <c r="Z10920"/>
    </row>
    <row r="10921" spans="26:26" x14ac:dyDescent="0.25">
      <c r="Z10921"/>
    </row>
    <row r="10922" spans="26:26" x14ac:dyDescent="0.25">
      <c r="Z10922"/>
    </row>
    <row r="10923" spans="26:26" x14ac:dyDescent="0.25">
      <c r="Z10923"/>
    </row>
    <row r="10924" spans="26:26" x14ac:dyDescent="0.25">
      <c r="Z10924"/>
    </row>
    <row r="10925" spans="26:26" x14ac:dyDescent="0.25">
      <c r="Z10925"/>
    </row>
    <row r="10926" spans="26:26" x14ac:dyDescent="0.25">
      <c r="Z10926"/>
    </row>
    <row r="10927" spans="26:26" x14ac:dyDescent="0.25">
      <c r="Z10927"/>
    </row>
    <row r="10928" spans="26:26" x14ac:dyDescent="0.25">
      <c r="Z10928"/>
    </row>
    <row r="10929" spans="26:26" x14ac:dyDescent="0.25">
      <c r="Z10929"/>
    </row>
    <row r="10930" spans="26:26" x14ac:dyDescent="0.25">
      <c r="Z10930"/>
    </row>
    <row r="10931" spans="26:26" x14ac:dyDescent="0.25">
      <c r="Z10931"/>
    </row>
    <row r="10932" spans="26:26" x14ac:dyDescent="0.25">
      <c r="Z10932"/>
    </row>
    <row r="10933" spans="26:26" x14ac:dyDescent="0.25">
      <c r="Z10933"/>
    </row>
    <row r="10934" spans="26:26" x14ac:dyDescent="0.25">
      <c r="Z10934"/>
    </row>
    <row r="10935" spans="26:26" x14ac:dyDescent="0.25">
      <c r="Z10935"/>
    </row>
    <row r="10936" spans="26:26" x14ac:dyDescent="0.25">
      <c r="Z10936"/>
    </row>
    <row r="10937" spans="26:26" x14ac:dyDescent="0.25">
      <c r="Z10937"/>
    </row>
    <row r="10938" spans="26:26" x14ac:dyDescent="0.25">
      <c r="Z10938"/>
    </row>
    <row r="10939" spans="26:26" x14ac:dyDescent="0.25">
      <c r="Z10939"/>
    </row>
    <row r="10940" spans="26:26" x14ac:dyDescent="0.25">
      <c r="Z10940"/>
    </row>
    <row r="10941" spans="26:26" x14ac:dyDescent="0.25">
      <c r="Z10941"/>
    </row>
    <row r="10942" spans="26:26" x14ac:dyDescent="0.25">
      <c r="Z10942"/>
    </row>
    <row r="10943" spans="26:26" x14ac:dyDescent="0.25">
      <c r="Z10943"/>
    </row>
    <row r="10944" spans="26:26" x14ac:dyDescent="0.25">
      <c r="Z10944"/>
    </row>
    <row r="10945" spans="26:26" x14ac:dyDescent="0.25">
      <c r="Z10945"/>
    </row>
    <row r="10946" spans="26:26" x14ac:dyDescent="0.25">
      <c r="Z10946"/>
    </row>
    <row r="10947" spans="26:26" x14ac:dyDescent="0.25">
      <c r="Z10947"/>
    </row>
    <row r="10948" spans="26:26" x14ac:dyDescent="0.25">
      <c r="Z10948"/>
    </row>
    <row r="10949" spans="26:26" x14ac:dyDescent="0.25">
      <c r="Z10949"/>
    </row>
    <row r="10950" spans="26:26" x14ac:dyDescent="0.25">
      <c r="Z10950"/>
    </row>
    <row r="10951" spans="26:26" x14ac:dyDescent="0.25">
      <c r="Z10951"/>
    </row>
    <row r="10952" spans="26:26" x14ac:dyDescent="0.25">
      <c r="Z10952"/>
    </row>
    <row r="10953" spans="26:26" x14ac:dyDescent="0.25">
      <c r="Z10953"/>
    </row>
    <row r="10954" spans="26:26" x14ac:dyDescent="0.25">
      <c r="Z10954"/>
    </row>
    <row r="10955" spans="26:26" x14ac:dyDescent="0.25">
      <c r="Z10955"/>
    </row>
    <row r="10956" spans="26:26" x14ac:dyDescent="0.25">
      <c r="Z10956"/>
    </row>
    <row r="10957" spans="26:26" x14ac:dyDescent="0.25">
      <c r="Z10957"/>
    </row>
    <row r="10958" spans="26:26" x14ac:dyDescent="0.25">
      <c r="Z10958"/>
    </row>
    <row r="10959" spans="26:26" x14ac:dyDescent="0.25">
      <c r="Z10959"/>
    </row>
    <row r="10960" spans="26:26" x14ac:dyDescent="0.25">
      <c r="Z10960"/>
    </row>
    <row r="10961" spans="26:26" x14ac:dyDescent="0.25">
      <c r="Z10961"/>
    </row>
    <row r="10962" spans="26:26" x14ac:dyDescent="0.25">
      <c r="Z10962"/>
    </row>
    <row r="10963" spans="26:26" x14ac:dyDescent="0.25">
      <c r="Z10963"/>
    </row>
    <row r="10964" spans="26:26" x14ac:dyDescent="0.25">
      <c r="Z10964"/>
    </row>
    <row r="10965" spans="26:26" x14ac:dyDescent="0.25">
      <c r="Z10965"/>
    </row>
    <row r="10966" spans="26:26" x14ac:dyDescent="0.25">
      <c r="Z10966"/>
    </row>
    <row r="10967" spans="26:26" x14ac:dyDescent="0.25">
      <c r="Z10967"/>
    </row>
    <row r="10968" spans="26:26" x14ac:dyDescent="0.25">
      <c r="Z10968"/>
    </row>
    <row r="10969" spans="26:26" x14ac:dyDescent="0.25">
      <c r="Z10969"/>
    </row>
    <row r="10970" spans="26:26" x14ac:dyDescent="0.25">
      <c r="Z10970"/>
    </row>
    <row r="10971" spans="26:26" x14ac:dyDescent="0.25">
      <c r="Z10971"/>
    </row>
    <row r="10972" spans="26:26" x14ac:dyDescent="0.25">
      <c r="Z10972"/>
    </row>
    <row r="10973" spans="26:26" x14ac:dyDescent="0.25">
      <c r="Z10973"/>
    </row>
    <row r="10974" spans="26:26" x14ac:dyDescent="0.25">
      <c r="Z10974"/>
    </row>
    <row r="10975" spans="26:26" x14ac:dyDescent="0.25">
      <c r="Z10975"/>
    </row>
    <row r="10976" spans="26:26" x14ac:dyDescent="0.25">
      <c r="Z10976"/>
    </row>
    <row r="10977" spans="26:26" x14ac:dyDescent="0.25">
      <c r="Z10977"/>
    </row>
    <row r="10978" spans="26:26" x14ac:dyDescent="0.25">
      <c r="Z10978"/>
    </row>
    <row r="10979" spans="26:26" x14ac:dyDescent="0.25">
      <c r="Z10979"/>
    </row>
    <row r="10980" spans="26:26" x14ac:dyDescent="0.25">
      <c r="Z10980"/>
    </row>
    <row r="10981" spans="26:26" x14ac:dyDescent="0.25">
      <c r="Z10981"/>
    </row>
    <row r="10982" spans="26:26" x14ac:dyDescent="0.25">
      <c r="Z10982"/>
    </row>
    <row r="10983" spans="26:26" x14ac:dyDescent="0.25">
      <c r="Z10983"/>
    </row>
    <row r="10984" spans="26:26" x14ac:dyDescent="0.25">
      <c r="Z10984"/>
    </row>
    <row r="10985" spans="26:26" x14ac:dyDescent="0.25">
      <c r="Z10985"/>
    </row>
    <row r="10986" spans="26:26" x14ac:dyDescent="0.25">
      <c r="Z10986"/>
    </row>
    <row r="10987" spans="26:26" x14ac:dyDescent="0.25">
      <c r="Z10987"/>
    </row>
    <row r="10988" spans="26:26" x14ac:dyDescent="0.25">
      <c r="Z10988"/>
    </row>
    <row r="10989" spans="26:26" x14ac:dyDescent="0.25">
      <c r="Z10989"/>
    </row>
    <row r="10990" spans="26:26" x14ac:dyDescent="0.25">
      <c r="Z10990"/>
    </row>
    <row r="10991" spans="26:26" x14ac:dyDescent="0.25">
      <c r="Z10991"/>
    </row>
    <row r="10992" spans="26:26" x14ac:dyDescent="0.25">
      <c r="Z10992"/>
    </row>
    <row r="10993" spans="26:26" x14ac:dyDescent="0.25">
      <c r="Z10993"/>
    </row>
    <row r="10994" spans="26:26" x14ac:dyDescent="0.25">
      <c r="Z10994"/>
    </row>
    <row r="10995" spans="26:26" x14ac:dyDescent="0.25">
      <c r="Z10995"/>
    </row>
    <row r="10996" spans="26:26" x14ac:dyDescent="0.25">
      <c r="Z10996"/>
    </row>
    <row r="10997" spans="26:26" x14ac:dyDescent="0.25">
      <c r="Z10997"/>
    </row>
    <row r="10998" spans="26:26" x14ac:dyDescent="0.25">
      <c r="Z10998"/>
    </row>
    <row r="10999" spans="26:26" x14ac:dyDescent="0.25">
      <c r="Z10999"/>
    </row>
    <row r="11000" spans="26:26" x14ac:dyDescent="0.25">
      <c r="Z11000"/>
    </row>
    <row r="11001" spans="26:26" x14ac:dyDescent="0.25">
      <c r="Z11001"/>
    </row>
    <row r="11002" spans="26:26" x14ac:dyDescent="0.25">
      <c r="Z11002"/>
    </row>
    <row r="11003" spans="26:26" x14ac:dyDescent="0.25">
      <c r="Z11003"/>
    </row>
    <row r="11004" spans="26:26" x14ac:dyDescent="0.25">
      <c r="Z11004"/>
    </row>
    <row r="11005" spans="26:26" x14ac:dyDescent="0.25">
      <c r="Z11005"/>
    </row>
    <row r="11006" spans="26:26" x14ac:dyDescent="0.25">
      <c r="Z11006"/>
    </row>
    <row r="11007" spans="26:26" x14ac:dyDescent="0.25">
      <c r="Z11007"/>
    </row>
    <row r="11008" spans="26:26" x14ac:dyDescent="0.25">
      <c r="Z11008"/>
    </row>
    <row r="11009" spans="26:26" x14ac:dyDescent="0.25">
      <c r="Z11009"/>
    </row>
    <row r="11010" spans="26:26" x14ac:dyDescent="0.25">
      <c r="Z11010"/>
    </row>
    <row r="11011" spans="26:26" x14ac:dyDescent="0.25">
      <c r="Z11011"/>
    </row>
    <row r="11012" spans="26:26" x14ac:dyDescent="0.25">
      <c r="Z11012"/>
    </row>
    <row r="11013" spans="26:26" x14ac:dyDescent="0.25">
      <c r="Z11013"/>
    </row>
    <row r="11014" spans="26:26" x14ac:dyDescent="0.25">
      <c r="Z11014"/>
    </row>
    <row r="11015" spans="26:26" x14ac:dyDescent="0.25">
      <c r="Z11015"/>
    </row>
    <row r="11016" spans="26:26" x14ac:dyDescent="0.25">
      <c r="Z11016"/>
    </row>
    <row r="11017" spans="26:26" x14ac:dyDescent="0.25">
      <c r="Z11017"/>
    </row>
    <row r="11018" spans="26:26" x14ac:dyDescent="0.25">
      <c r="Z11018"/>
    </row>
    <row r="11019" spans="26:26" x14ac:dyDescent="0.25">
      <c r="Z11019"/>
    </row>
    <row r="11020" spans="26:26" x14ac:dyDescent="0.25">
      <c r="Z11020"/>
    </row>
    <row r="11021" spans="26:26" x14ac:dyDescent="0.25">
      <c r="Z11021"/>
    </row>
    <row r="11022" spans="26:26" x14ac:dyDescent="0.25">
      <c r="Z11022"/>
    </row>
    <row r="11023" spans="26:26" x14ac:dyDescent="0.25">
      <c r="Z11023"/>
    </row>
    <row r="11024" spans="26:26" x14ac:dyDescent="0.25">
      <c r="Z11024"/>
    </row>
    <row r="11025" spans="26:26" x14ac:dyDescent="0.25">
      <c r="Z11025"/>
    </row>
    <row r="11026" spans="26:26" x14ac:dyDescent="0.25">
      <c r="Z11026"/>
    </row>
    <row r="11027" spans="26:26" x14ac:dyDescent="0.25">
      <c r="Z11027"/>
    </row>
    <row r="11028" spans="26:26" x14ac:dyDescent="0.25">
      <c r="Z11028"/>
    </row>
    <row r="11029" spans="26:26" x14ac:dyDescent="0.25">
      <c r="Z11029"/>
    </row>
    <row r="11030" spans="26:26" x14ac:dyDescent="0.25">
      <c r="Z11030"/>
    </row>
    <row r="11031" spans="26:26" x14ac:dyDescent="0.25">
      <c r="Z11031"/>
    </row>
    <row r="11032" spans="26:26" x14ac:dyDescent="0.25">
      <c r="Z11032"/>
    </row>
    <row r="11033" spans="26:26" x14ac:dyDescent="0.25">
      <c r="Z11033"/>
    </row>
    <row r="11034" spans="26:26" x14ac:dyDescent="0.25">
      <c r="Z11034"/>
    </row>
    <row r="11035" spans="26:26" x14ac:dyDescent="0.25">
      <c r="Z11035"/>
    </row>
    <row r="11036" spans="26:26" x14ac:dyDescent="0.25">
      <c r="Z11036"/>
    </row>
    <row r="11037" spans="26:26" x14ac:dyDescent="0.25">
      <c r="Z11037"/>
    </row>
    <row r="11038" spans="26:26" x14ac:dyDescent="0.25">
      <c r="Z11038"/>
    </row>
    <row r="11039" spans="26:26" x14ac:dyDescent="0.25">
      <c r="Z11039"/>
    </row>
    <row r="11040" spans="26:26" x14ac:dyDescent="0.25">
      <c r="Z11040"/>
    </row>
    <row r="11041" spans="26:26" x14ac:dyDescent="0.25">
      <c r="Z11041"/>
    </row>
    <row r="11042" spans="26:26" x14ac:dyDescent="0.25">
      <c r="Z11042"/>
    </row>
    <row r="11043" spans="26:26" x14ac:dyDescent="0.25">
      <c r="Z11043"/>
    </row>
    <row r="11044" spans="26:26" x14ac:dyDescent="0.25">
      <c r="Z11044"/>
    </row>
    <row r="11045" spans="26:26" x14ac:dyDescent="0.25">
      <c r="Z11045"/>
    </row>
    <row r="11046" spans="26:26" x14ac:dyDescent="0.25">
      <c r="Z11046"/>
    </row>
    <row r="11047" spans="26:26" x14ac:dyDescent="0.25">
      <c r="Z11047"/>
    </row>
    <row r="11048" spans="26:26" x14ac:dyDescent="0.25">
      <c r="Z11048"/>
    </row>
    <row r="11049" spans="26:26" x14ac:dyDescent="0.25">
      <c r="Z11049"/>
    </row>
    <row r="11050" spans="26:26" x14ac:dyDescent="0.25">
      <c r="Z11050"/>
    </row>
    <row r="11051" spans="26:26" x14ac:dyDescent="0.25">
      <c r="Z11051"/>
    </row>
    <row r="11052" spans="26:26" x14ac:dyDescent="0.25">
      <c r="Z11052"/>
    </row>
    <row r="11053" spans="26:26" x14ac:dyDescent="0.25">
      <c r="Z11053"/>
    </row>
    <row r="11054" spans="26:26" x14ac:dyDescent="0.25">
      <c r="Z11054"/>
    </row>
    <row r="11055" spans="26:26" x14ac:dyDescent="0.25">
      <c r="Z11055"/>
    </row>
    <row r="11056" spans="26:26" x14ac:dyDescent="0.25">
      <c r="Z11056"/>
    </row>
    <row r="11057" spans="26:26" x14ac:dyDescent="0.25">
      <c r="Z11057"/>
    </row>
    <row r="11058" spans="26:26" x14ac:dyDescent="0.25">
      <c r="Z11058"/>
    </row>
    <row r="11059" spans="26:26" x14ac:dyDescent="0.25">
      <c r="Z11059"/>
    </row>
    <row r="11060" spans="26:26" x14ac:dyDescent="0.25">
      <c r="Z11060"/>
    </row>
    <row r="11061" spans="26:26" x14ac:dyDescent="0.25">
      <c r="Z11061"/>
    </row>
    <row r="11062" spans="26:26" x14ac:dyDescent="0.25">
      <c r="Z11062"/>
    </row>
    <row r="11063" spans="26:26" x14ac:dyDescent="0.25">
      <c r="Z11063"/>
    </row>
    <row r="11064" spans="26:26" x14ac:dyDescent="0.25">
      <c r="Z11064"/>
    </row>
    <row r="11065" spans="26:26" x14ac:dyDescent="0.25">
      <c r="Z11065"/>
    </row>
    <row r="11066" spans="26:26" x14ac:dyDescent="0.25">
      <c r="Z11066"/>
    </row>
    <row r="11067" spans="26:26" x14ac:dyDescent="0.25">
      <c r="Z11067"/>
    </row>
    <row r="11068" spans="26:26" x14ac:dyDescent="0.25">
      <c r="Z11068"/>
    </row>
    <row r="11069" spans="26:26" x14ac:dyDescent="0.25">
      <c r="Z11069"/>
    </row>
    <row r="11070" spans="26:26" x14ac:dyDescent="0.25">
      <c r="Z11070"/>
    </row>
    <row r="11071" spans="26:26" x14ac:dyDescent="0.25">
      <c r="Z11071"/>
    </row>
    <row r="11072" spans="26:26" x14ac:dyDescent="0.25">
      <c r="Z11072"/>
    </row>
    <row r="11073" spans="26:26" x14ac:dyDescent="0.25">
      <c r="Z11073"/>
    </row>
    <row r="11074" spans="26:26" x14ac:dyDescent="0.25">
      <c r="Z11074"/>
    </row>
    <row r="11075" spans="26:26" x14ac:dyDescent="0.25">
      <c r="Z11075"/>
    </row>
    <row r="11076" spans="26:26" x14ac:dyDescent="0.25">
      <c r="Z11076"/>
    </row>
    <row r="11077" spans="26:26" x14ac:dyDescent="0.25">
      <c r="Z11077"/>
    </row>
    <row r="11078" spans="26:26" x14ac:dyDescent="0.25">
      <c r="Z11078"/>
    </row>
    <row r="11079" spans="26:26" x14ac:dyDescent="0.25">
      <c r="Z11079"/>
    </row>
    <row r="11080" spans="26:26" x14ac:dyDescent="0.25">
      <c r="Z11080"/>
    </row>
    <row r="11081" spans="26:26" x14ac:dyDescent="0.25">
      <c r="Z11081"/>
    </row>
    <row r="11082" spans="26:26" x14ac:dyDescent="0.25">
      <c r="Z11082"/>
    </row>
    <row r="11083" spans="26:26" x14ac:dyDescent="0.25">
      <c r="Z11083"/>
    </row>
    <row r="11084" spans="26:26" x14ac:dyDescent="0.25">
      <c r="Z11084"/>
    </row>
    <row r="11085" spans="26:26" x14ac:dyDescent="0.25">
      <c r="Z11085"/>
    </row>
    <row r="11086" spans="26:26" x14ac:dyDescent="0.25">
      <c r="Z11086"/>
    </row>
    <row r="11087" spans="26:26" x14ac:dyDescent="0.25">
      <c r="Z11087"/>
    </row>
    <row r="11088" spans="26:26" x14ac:dyDescent="0.25">
      <c r="Z11088"/>
    </row>
    <row r="11089" spans="26:26" x14ac:dyDescent="0.25">
      <c r="Z11089"/>
    </row>
    <row r="11090" spans="26:26" x14ac:dyDescent="0.25">
      <c r="Z11090"/>
    </row>
    <row r="11091" spans="26:26" x14ac:dyDescent="0.25">
      <c r="Z11091"/>
    </row>
    <row r="11092" spans="26:26" x14ac:dyDescent="0.25">
      <c r="Z11092"/>
    </row>
    <row r="11093" spans="26:26" x14ac:dyDescent="0.25">
      <c r="Z11093"/>
    </row>
    <row r="11094" spans="26:26" x14ac:dyDescent="0.25">
      <c r="Z11094"/>
    </row>
    <row r="11095" spans="26:26" x14ac:dyDescent="0.25">
      <c r="Z11095"/>
    </row>
    <row r="11096" spans="26:26" x14ac:dyDescent="0.25">
      <c r="Z11096"/>
    </row>
    <row r="11097" spans="26:26" x14ac:dyDescent="0.25">
      <c r="Z11097"/>
    </row>
    <row r="11098" spans="26:26" x14ac:dyDescent="0.25">
      <c r="Z11098"/>
    </row>
    <row r="11099" spans="26:26" x14ac:dyDescent="0.25">
      <c r="Z11099"/>
    </row>
    <row r="11100" spans="26:26" x14ac:dyDescent="0.25">
      <c r="Z11100"/>
    </row>
    <row r="11101" spans="26:26" x14ac:dyDescent="0.25">
      <c r="Z11101"/>
    </row>
    <row r="11102" spans="26:26" x14ac:dyDescent="0.25">
      <c r="Z11102"/>
    </row>
    <row r="11103" spans="26:26" x14ac:dyDescent="0.25">
      <c r="Z11103"/>
    </row>
    <row r="11104" spans="26:26" x14ac:dyDescent="0.25">
      <c r="Z11104"/>
    </row>
    <row r="11105" spans="26:26" x14ac:dyDescent="0.25">
      <c r="Z11105"/>
    </row>
    <row r="11106" spans="26:26" x14ac:dyDescent="0.25">
      <c r="Z11106"/>
    </row>
    <row r="11107" spans="26:26" x14ac:dyDescent="0.25">
      <c r="Z11107"/>
    </row>
    <row r="11108" spans="26:26" x14ac:dyDescent="0.25">
      <c r="Z11108"/>
    </row>
    <row r="11109" spans="26:26" x14ac:dyDescent="0.25">
      <c r="Z11109"/>
    </row>
    <row r="11110" spans="26:26" x14ac:dyDescent="0.25">
      <c r="Z11110"/>
    </row>
    <row r="11111" spans="26:26" x14ac:dyDescent="0.25">
      <c r="Z11111"/>
    </row>
    <row r="11112" spans="26:26" x14ac:dyDescent="0.25">
      <c r="Z11112"/>
    </row>
    <row r="11113" spans="26:26" x14ac:dyDescent="0.25">
      <c r="Z11113"/>
    </row>
    <row r="11114" spans="26:26" x14ac:dyDescent="0.25">
      <c r="Z11114"/>
    </row>
    <row r="11115" spans="26:26" x14ac:dyDescent="0.25">
      <c r="Z11115"/>
    </row>
    <row r="11116" spans="26:26" x14ac:dyDescent="0.25">
      <c r="Z11116"/>
    </row>
    <row r="11117" spans="26:26" x14ac:dyDescent="0.25">
      <c r="Z11117"/>
    </row>
    <row r="11118" spans="26:26" x14ac:dyDescent="0.25">
      <c r="Z11118"/>
    </row>
    <row r="11119" spans="26:26" x14ac:dyDescent="0.25">
      <c r="Z11119"/>
    </row>
    <row r="11120" spans="26:26" x14ac:dyDescent="0.25">
      <c r="Z11120"/>
    </row>
    <row r="11121" spans="26:26" x14ac:dyDescent="0.25">
      <c r="Z11121"/>
    </row>
    <row r="11122" spans="26:26" x14ac:dyDescent="0.25">
      <c r="Z11122"/>
    </row>
    <row r="11123" spans="26:26" x14ac:dyDescent="0.25">
      <c r="Z11123"/>
    </row>
    <row r="11124" spans="26:26" x14ac:dyDescent="0.25">
      <c r="Z11124"/>
    </row>
    <row r="11125" spans="26:26" x14ac:dyDescent="0.25">
      <c r="Z11125"/>
    </row>
    <row r="11126" spans="26:26" x14ac:dyDescent="0.25">
      <c r="Z11126"/>
    </row>
    <row r="11127" spans="26:26" x14ac:dyDescent="0.25">
      <c r="Z11127"/>
    </row>
    <row r="11128" spans="26:26" x14ac:dyDescent="0.25">
      <c r="Z11128"/>
    </row>
    <row r="11129" spans="26:26" x14ac:dyDescent="0.25">
      <c r="Z11129"/>
    </row>
    <row r="11130" spans="26:26" x14ac:dyDescent="0.25">
      <c r="Z11130"/>
    </row>
    <row r="11131" spans="26:26" x14ac:dyDescent="0.25">
      <c r="Z11131"/>
    </row>
    <row r="11132" spans="26:26" x14ac:dyDescent="0.25">
      <c r="Z11132"/>
    </row>
    <row r="11133" spans="26:26" x14ac:dyDescent="0.25">
      <c r="Z11133"/>
    </row>
    <row r="11134" spans="26:26" x14ac:dyDescent="0.25">
      <c r="Z11134"/>
    </row>
    <row r="11135" spans="26:26" x14ac:dyDescent="0.25">
      <c r="Z11135"/>
    </row>
    <row r="11136" spans="26:26" x14ac:dyDescent="0.25">
      <c r="Z11136"/>
    </row>
    <row r="11137" spans="26:26" x14ac:dyDescent="0.25">
      <c r="Z11137"/>
    </row>
    <row r="11138" spans="26:26" x14ac:dyDescent="0.25">
      <c r="Z11138"/>
    </row>
    <row r="11139" spans="26:26" x14ac:dyDescent="0.25">
      <c r="Z11139"/>
    </row>
    <row r="11140" spans="26:26" x14ac:dyDescent="0.25">
      <c r="Z11140"/>
    </row>
    <row r="11141" spans="26:26" x14ac:dyDescent="0.25">
      <c r="Z11141"/>
    </row>
    <row r="11142" spans="26:26" x14ac:dyDescent="0.25">
      <c r="Z11142"/>
    </row>
    <row r="11143" spans="26:26" x14ac:dyDescent="0.25">
      <c r="Z11143"/>
    </row>
    <row r="11144" spans="26:26" x14ac:dyDescent="0.25">
      <c r="Z11144"/>
    </row>
    <row r="11145" spans="26:26" x14ac:dyDescent="0.25">
      <c r="Z11145"/>
    </row>
    <row r="11146" spans="26:26" x14ac:dyDescent="0.25">
      <c r="Z11146"/>
    </row>
    <row r="11147" spans="26:26" x14ac:dyDescent="0.25">
      <c r="Z11147"/>
    </row>
    <row r="11148" spans="26:26" x14ac:dyDescent="0.25">
      <c r="Z11148"/>
    </row>
    <row r="11149" spans="26:26" x14ac:dyDescent="0.25">
      <c r="Z11149"/>
    </row>
    <row r="11150" spans="26:26" x14ac:dyDescent="0.25">
      <c r="Z11150"/>
    </row>
    <row r="11151" spans="26:26" x14ac:dyDescent="0.25">
      <c r="Z11151"/>
    </row>
    <row r="11152" spans="26:26" x14ac:dyDescent="0.25">
      <c r="Z11152"/>
    </row>
    <row r="11153" spans="26:26" x14ac:dyDescent="0.25">
      <c r="Z11153"/>
    </row>
    <row r="11154" spans="26:26" x14ac:dyDescent="0.25">
      <c r="Z11154"/>
    </row>
    <row r="11155" spans="26:26" x14ac:dyDescent="0.25">
      <c r="Z11155"/>
    </row>
    <row r="11156" spans="26:26" x14ac:dyDescent="0.25">
      <c r="Z11156"/>
    </row>
    <row r="11157" spans="26:26" x14ac:dyDescent="0.25">
      <c r="Z11157"/>
    </row>
    <row r="11158" spans="26:26" x14ac:dyDescent="0.25">
      <c r="Z11158"/>
    </row>
    <row r="11159" spans="26:26" x14ac:dyDescent="0.25">
      <c r="Z11159"/>
    </row>
    <row r="11160" spans="26:26" x14ac:dyDescent="0.25">
      <c r="Z11160"/>
    </row>
    <row r="11161" spans="26:26" x14ac:dyDescent="0.25">
      <c r="Z11161"/>
    </row>
    <row r="11162" spans="26:26" x14ac:dyDescent="0.25">
      <c r="Z11162"/>
    </row>
    <row r="11163" spans="26:26" x14ac:dyDescent="0.25">
      <c r="Z11163"/>
    </row>
    <row r="11164" spans="26:26" x14ac:dyDescent="0.25">
      <c r="Z11164"/>
    </row>
    <row r="11165" spans="26:26" x14ac:dyDescent="0.25">
      <c r="Z11165"/>
    </row>
    <row r="11166" spans="26:26" x14ac:dyDescent="0.25">
      <c r="Z11166"/>
    </row>
    <row r="11167" spans="26:26" x14ac:dyDescent="0.25">
      <c r="Z11167"/>
    </row>
    <row r="11168" spans="26:26" x14ac:dyDescent="0.25">
      <c r="Z11168"/>
    </row>
    <row r="11169" spans="26:26" x14ac:dyDescent="0.25">
      <c r="Z11169"/>
    </row>
    <row r="11170" spans="26:26" x14ac:dyDescent="0.25">
      <c r="Z11170"/>
    </row>
    <row r="11171" spans="26:26" x14ac:dyDescent="0.25">
      <c r="Z11171"/>
    </row>
    <row r="11172" spans="26:26" x14ac:dyDescent="0.25">
      <c r="Z11172"/>
    </row>
    <row r="11173" spans="26:26" x14ac:dyDescent="0.25">
      <c r="Z11173"/>
    </row>
    <row r="11174" spans="26:26" x14ac:dyDescent="0.25">
      <c r="Z11174"/>
    </row>
    <row r="11175" spans="26:26" x14ac:dyDescent="0.25">
      <c r="Z11175"/>
    </row>
    <row r="11176" spans="26:26" x14ac:dyDescent="0.25">
      <c r="Z11176"/>
    </row>
    <row r="11177" spans="26:26" x14ac:dyDescent="0.25">
      <c r="Z11177"/>
    </row>
    <row r="11178" spans="26:26" x14ac:dyDescent="0.25">
      <c r="Z11178"/>
    </row>
    <row r="11179" spans="26:26" x14ac:dyDescent="0.25">
      <c r="Z11179"/>
    </row>
    <row r="11180" spans="26:26" x14ac:dyDescent="0.25">
      <c r="Z11180"/>
    </row>
    <row r="11181" spans="26:26" x14ac:dyDescent="0.25">
      <c r="Z11181"/>
    </row>
    <row r="11182" spans="26:26" x14ac:dyDescent="0.25">
      <c r="Z11182"/>
    </row>
    <row r="11183" spans="26:26" x14ac:dyDescent="0.25">
      <c r="Z11183"/>
    </row>
    <row r="11184" spans="26:26" x14ac:dyDescent="0.25">
      <c r="Z11184"/>
    </row>
    <row r="11185" spans="26:26" x14ac:dyDescent="0.25">
      <c r="Z11185"/>
    </row>
    <row r="11186" spans="26:26" x14ac:dyDescent="0.25">
      <c r="Z11186"/>
    </row>
    <row r="11187" spans="26:26" x14ac:dyDescent="0.25">
      <c r="Z11187"/>
    </row>
    <row r="11188" spans="26:26" x14ac:dyDescent="0.25">
      <c r="Z11188"/>
    </row>
    <row r="11189" spans="26:26" x14ac:dyDescent="0.25">
      <c r="Z11189"/>
    </row>
    <row r="11190" spans="26:26" x14ac:dyDescent="0.25">
      <c r="Z11190"/>
    </row>
    <row r="11191" spans="26:26" x14ac:dyDescent="0.25">
      <c r="Z11191"/>
    </row>
    <row r="11192" spans="26:26" x14ac:dyDescent="0.25">
      <c r="Z11192"/>
    </row>
    <row r="11193" spans="26:26" x14ac:dyDescent="0.25">
      <c r="Z11193"/>
    </row>
    <row r="11194" spans="26:26" x14ac:dyDescent="0.25">
      <c r="Z11194"/>
    </row>
    <row r="11195" spans="26:26" x14ac:dyDescent="0.25">
      <c r="Z11195"/>
    </row>
    <row r="11196" spans="26:26" x14ac:dyDescent="0.25">
      <c r="Z11196"/>
    </row>
    <row r="11197" spans="26:26" x14ac:dyDescent="0.25">
      <c r="Z11197"/>
    </row>
    <row r="11198" spans="26:26" x14ac:dyDescent="0.25">
      <c r="Z11198"/>
    </row>
    <row r="11199" spans="26:26" x14ac:dyDescent="0.25">
      <c r="Z11199"/>
    </row>
    <row r="11200" spans="26:26" x14ac:dyDescent="0.25">
      <c r="Z11200"/>
    </row>
    <row r="11201" spans="26:26" x14ac:dyDescent="0.25">
      <c r="Z11201"/>
    </row>
    <row r="11202" spans="26:26" x14ac:dyDescent="0.25">
      <c r="Z11202"/>
    </row>
    <row r="11203" spans="26:26" x14ac:dyDescent="0.25">
      <c r="Z11203"/>
    </row>
    <row r="11204" spans="26:26" x14ac:dyDescent="0.25">
      <c r="Z11204"/>
    </row>
    <row r="11205" spans="26:26" x14ac:dyDescent="0.25">
      <c r="Z11205"/>
    </row>
    <row r="11206" spans="26:26" x14ac:dyDescent="0.25">
      <c r="Z11206"/>
    </row>
    <row r="11207" spans="26:26" x14ac:dyDescent="0.25">
      <c r="Z11207"/>
    </row>
    <row r="11208" spans="26:26" x14ac:dyDescent="0.25">
      <c r="Z11208"/>
    </row>
    <row r="11209" spans="26:26" x14ac:dyDescent="0.25">
      <c r="Z11209"/>
    </row>
    <row r="11210" spans="26:26" x14ac:dyDescent="0.25">
      <c r="Z11210"/>
    </row>
    <row r="11211" spans="26:26" x14ac:dyDescent="0.25">
      <c r="Z11211"/>
    </row>
    <row r="11212" spans="26:26" x14ac:dyDescent="0.25">
      <c r="Z11212"/>
    </row>
    <row r="11213" spans="26:26" x14ac:dyDescent="0.25">
      <c r="Z11213"/>
    </row>
    <row r="11214" spans="26:26" x14ac:dyDescent="0.25">
      <c r="Z11214"/>
    </row>
    <row r="11215" spans="26:26" x14ac:dyDescent="0.25">
      <c r="Z11215"/>
    </row>
    <row r="11216" spans="26:26" x14ac:dyDescent="0.25">
      <c r="Z11216"/>
    </row>
    <row r="11217" spans="26:26" x14ac:dyDescent="0.25">
      <c r="Z11217"/>
    </row>
    <row r="11218" spans="26:26" x14ac:dyDescent="0.25">
      <c r="Z11218"/>
    </row>
    <row r="11219" spans="26:26" x14ac:dyDescent="0.25">
      <c r="Z11219"/>
    </row>
    <row r="11220" spans="26:26" x14ac:dyDescent="0.25">
      <c r="Z11220"/>
    </row>
    <row r="11221" spans="26:26" x14ac:dyDescent="0.25">
      <c r="Z11221"/>
    </row>
    <row r="11222" spans="26:26" x14ac:dyDescent="0.25">
      <c r="Z11222"/>
    </row>
    <row r="11223" spans="26:26" x14ac:dyDescent="0.25">
      <c r="Z11223"/>
    </row>
    <row r="11224" spans="26:26" x14ac:dyDescent="0.25">
      <c r="Z11224"/>
    </row>
    <row r="11225" spans="26:26" x14ac:dyDescent="0.25">
      <c r="Z11225"/>
    </row>
    <row r="11226" spans="26:26" x14ac:dyDescent="0.25">
      <c r="Z11226"/>
    </row>
    <row r="11227" spans="26:26" x14ac:dyDescent="0.25">
      <c r="Z11227"/>
    </row>
    <row r="11228" spans="26:26" x14ac:dyDescent="0.25">
      <c r="Z11228"/>
    </row>
    <row r="11229" spans="26:26" x14ac:dyDescent="0.25">
      <c r="Z11229"/>
    </row>
    <row r="11230" spans="26:26" x14ac:dyDescent="0.25">
      <c r="Z11230"/>
    </row>
    <row r="11231" spans="26:26" x14ac:dyDescent="0.25">
      <c r="Z11231"/>
    </row>
    <row r="11232" spans="26:26" x14ac:dyDescent="0.25">
      <c r="Z11232"/>
    </row>
    <row r="11233" spans="26:26" x14ac:dyDescent="0.25">
      <c r="Z11233"/>
    </row>
    <row r="11234" spans="26:26" x14ac:dyDescent="0.25">
      <c r="Z11234"/>
    </row>
    <row r="11235" spans="26:26" x14ac:dyDescent="0.25">
      <c r="Z11235"/>
    </row>
    <row r="11236" spans="26:26" x14ac:dyDescent="0.25">
      <c r="Z11236"/>
    </row>
    <row r="11237" spans="26:26" x14ac:dyDescent="0.25">
      <c r="Z11237"/>
    </row>
    <row r="11238" spans="26:26" x14ac:dyDescent="0.25">
      <c r="Z11238"/>
    </row>
    <row r="11239" spans="26:26" x14ac:dyDescent="0.25">
      <c r="Z11239"/>
    </row>
    <row r="11240" spans="26:26" x14ac:dyDescent="0.25">
      <c r="Z11240"/>
    </row>
    <row r="11241" spans="26:26" x14ac:dyDescent="0.25">
      <c r="Z11241"/>
    </row>
    <row r="11242" spans="26:26" x14ac:dyDescent="0.25">
      <c r="Z11242"/>
    </row>
    <row r="11243" spans="26:26" x14ac:dyDescent="0.25">
      <c r="Z11243"/>
    </row>
    <row r="11244" spans="26:26" x14ac:dyDescent="0.25">
      <c r="Z11244"/>
    </row>
    <row r="11245" spans="26:26" x14ac:dyDescent="0.25">
      <c r="Z11245"/>
    </row>
    <row r="11246" spans="26:26" x14ac:dyDescent="0.25">
      <c r="Z11246"/>
    </row>
    <row r="11247" spans="26:26" x14ac:dyDescent="0.25">
      <c r="Z11247"/>
    </row>
    <row r="11248" spans="26:26" x14ac:dyDescent="0.25">
      <c r="Z11248"/>
    </row>
    <row r="11249" spans="26:26" x14ac:dyDescent="0.25">
      <c r="Z11249"/>
    </row>
    <row r="11250" spans="26:26" x14ac:dyDescent="0.25">
      <c r="Z11250"/>
    </row>
    <row r="11251" spans="26:26" x14ac:dyDescent="0.25">
      <c r="Z11251"/>
    </row>
    <row r="11252" spans="26:26" x14ac:dyDescent="0.25">
      <c r="Z11252"/>
    </row>
    <row r="11253" spans="26:26" x14ac:dyDescent="0.25">
      <c r="Z11253"/>
    </row>
    <row r="11254" spans="26:26" x14ac:dyDescent="0.25">
      <c r="Z11254"/>
    </row>
    <row r="11255" spans="26:26" x14ac:dyDescent="0.25">
      <c r="Z11255"/>
    </row>
    <row r="11256" spans="26:26" x14ac:dyDescent="0.25">
      <c r="Z11256"/>
    </row>
    <row r="11257" spans="26:26" x14ac:dyDescent="0.25">
      <c r="Z11257"/>
    </row>
    <row r="11258" spans="26:26" x14ac:dyDescent="0.25">
      <c r="Z11258"/>
    </row>
    <row r="11259" spans="26:26" x14ac:dyDescent="0.25">
      <c r="Z11259"/>
    </row>
    <row r="11260" spans="26:26" x14ac:dyDescent="0.25">
      <c r="Z11260"/>
    </row>
    <row r="11261" spans="26:26" x14ac:dyDescent="0.25">
      <c r="Z11261"/>
    </row>
    <row r="11262" spans="26:26" x14ac:dyDescent="0.25">
      <c r="Z11262"/>
    </row>
    <row r="11263" spans="26:26" x14ac:dyDescent="0.25">
      <c r="Z11263"/>
    </row>
    <row r="11264" spans="26:26" x14ac:dyDescent="0.25">
      <c r="Z11264"/>
    </row>
    <row r="11265" spans="26:26" x14ac:dyDescent="0.25">
      <c r="Z11265"/>
    </row>
    <row r="11266" spans="26:26" x14ac:dyDescent="0.25">
      <c r="Z11266"/>
    </row>
    <row r="11267" spans="26:26" x14ac:dyDescent="0.25">
      <c r="Z11267"/>
    </row>
    <row r="11268" spans="26:26" x14ac:dyDescent="0.25">
      <c r="Z11268"/>
    </row>
    <row r="11269" spans="26:26" x14ac:dyDescent="0.25">
      <c r="Z11269"/>
    </row>
    <row r="11270" spans="26:26" x14ac:dyDescent="0.25">
      <c r="Z11270"/>
    </row>
    <row r="11271" spans="26:26" x14ac:dyDescent="0.25">
      <c r="Z11271"/>
    </row>
    <row r="11272" spans="26:26" x14ac:dyDescent="0.25">
      <c r="Z11272"/>
    </row>
    <row r="11273" spans="26:26" x14ac:dyDescent="0.25">
      <c r="Z11273"/>
    </row>
    <row r="11274" spans="26:26" x14ac:dyDescent="0.25">
      <c r="Z11274"/>
    </row>
    <row r="11275" spans="26:26" x14ac:dyDescent="0.25">
      <c r="Z11275"/>
    </row>
    <row r="11276" spans="26:26" x14ac:dyDescent="0.25">
      <c r="Z11276"/>
    </row>
    <row r="11277" spans="26:26" x14ac:dyDescent="0.25">
      <c r="Z11277"/>
    </row>
    <row r="11278" spans="26:26" x14ac:dyDescent="0.25">
      <c r="Z11278"/>
    </row>
    <row r="11279" spans="26:26" x14ac:dyDescent="0.25">
      <c r="Z11279"/>
    </row>
    <row r="11280" spans="26:26" x14ac:dyDescent="0.25">
      <c r="Z11280"/>
    </row>
    <row r="11281" spans="26:26" x14ac:dyDescent="0.25">
      <c r="Z11281"/>
    </row>
    <row r="11282" spans="26:26" x14ac:dyDescent="0.25">
      <c r="Z11282"/>
    </row>
    <row r="11283" spans="26:26" x14ac:dyDescent="0.25">
      <c r="Z11283"/>
    </row>
    <row r="11284" spans="26:26" x14ac:dyDescent="0.25">
      <c r="Z11284"/>
    </row>
    <row r="11285" spans="26:26" x14ac:dyDescent="0.25">
      <c r="Z11285"/>
    </row>
    <row r="11286" spans="26:26" x14ac:dyDescent="0.25">
      <c r="Z11286"/>
    </row>
    <row r="11287" spans="26:26" x14ac:dyDescent="0.25">
      <c r="Z11287"/>
    </row>
    <row r="11288" spans="26:26" x14ac:dyDescent="0.25">
      <c r="Z11288"/>
    </row>
    <row r="11289" spans="26:26" x14ac:dyDescent="0.25">
      <c r="Z11289"/>
    </row>
    <row r="11290" spans="26:26" x14ac:dyDescent="0.25">
      <c r="Z11290"/>
    </row>
    <row r="11291" spans="26:26" x14ac:dyDescent="0.25">
      <c r="Z11291"/>
    </row>
    <row r="11292" spans="26:26" x14ac:dyDescent="0.25">
      <c r="Z11292"/>
    </row>
    <row r="11293" spans="26:26" x14ac:dyDescent="0.25">
      <c r="Z11293"/>
    </row>
    <row r="11294" spans="26:26" x14ac:dyDescent="0.25">
      <c r="Z11294"/>
    </row>
    <row r="11295" spans="26:26" x14ac:dyDescent="0.25">
      <c r="Z11295"/>
    </row>
    <row r="11296" spans="26:26" x14ac:dyDescent="0.25">
      <c r="Z11296"/>
    </row>
    <row r="11297" spans="26:26" x14ac:dyDescent="0.25">
      <c r="Z11297"/>
    </row>
    <row r="11298" spans="26:26" x14ac:dyDescent="0.25">
      <c r="Z11298"/>
    </row>
    <row r="11299" spans="26:26" x14ac:dyDescent="0.25">
      <c r="Z11299"/>
    </row>
    <row r="11300" spans="26:26" x14ac:dyDescent="0.25">
      <c r="Z11300"/>
    </row>
    <row r="11301" spans="26:26" x14ac:dyDescent="0.25">
      <c r="Z11301"/>
    </row>
    <row r="11302" spans="26:26" x14ac:dyDescent="0.25">
      <c r="Z11302"/>
    </row>
    <row r="11303" spans="26:26" x14ac:dyDescent="0.25">
      <c r="Z11303"/>
    </row>
    <row r="11304" spans="26:26" x14ac:dyDescent="0.25">
      <c r="Z11304"/>
    </row>
    <row r="11305" spans="26:26" x14ac:dyDescent="0.25">
      <c r="Z11305"/>
    </row>
    <row r="11306" spans="26:26" x14ac:dyDescent="0.25">
      <c r="Z11306"/>
    </row>
    <row r="11307" spans="26:26" x14ac:dyDescent="0.25">
      <c r="Z11307"/>
    </row>
    <row r="11308" spans="26:26" x14ac:dyDescent="0.25">
      <c r="Z11308"/>
    </row>
    <row r="11309" spans="26:26" x14ac:dyDescent="0.25">
      <c r="Z11309"/>
    </row>
    <row r="11310" spans="26:26" x14ac:dyDescent="0.25">
      <c r="Z11310"/>
    </row>
    <row r="11311" spans="26:26" x14ac:dyDescent="0.25">
      <c r="Z11311"/>
    </row>
    <row r="11312" spans="26:26" x14ac:dyDescent="0.25">
      <c r="Z11312"/>
    </row>
    <row r="11313" spans="26:26" x14ac:dyDescent="0.25">
      <c r="Z11313"/>
    </row>
    <row r="11314" spans="26:26" x14ac:dyDescent="0.25">
      <c r="Z11314"/>
    </row>
    <row r="11315" spans="26:26" x14ac:dyDescent="0.25">
      <c r="Z11315"/>
    </row>
    <row r="11316" spans="26:26" x14ac:dyDescent="0.25">
      <c r="Z11316"/>
    </row>
    <row r="11317" spans="26:26" x14ac:dyDescent="0.25">
      <c r="Z11317"/>
    </row>
    <row r="11318" spans="26:26" x14ac:dyDescent="0.25">
      <c r="Z11318"/>
    </row>
    <row r="11319" spans="26:26" x14ac:dyDescent="0.25">
      <c r="Z11319"/>
    </row>
    <row r="11320" spans="26:26" x14ac:dyDescent="0.25">
      <c r="Z11320"/>
    </row>
    <row r="11321" spans="26:26" x14ac:dyDescent="0.25">
      <c r="Z11321"/>
    </row>
    <row r="11322" spans="26:26" x14ac:dyDescent="0.25">
      <c r="Z11322"/>
    </row>
    <row r="11323" spans="26:26" x14ac:dyDescent="0.25">
      <c r="Z11323"/>
    </row>
    <row r="11324" spans="26:26" x14ac:dyDescent="0.25">
      <c r="Z11324"/>
    </row>
    <row r="11325" spans="26:26" x14ac:dyDescent="0.25">
      <c r="Z11325"/>
    </row>
    <row r="11326" spans="26:26" x14ac:dyDescent="0.25">
      <c r="Z11326"/>
    </row>
    <row r="11327" spans="26:26" x14ac:dyDescent="0.25">
      <c r="Z11327"/>
    </row>
    <row r="11328" spans="26:26" x14ac:dyDescent="0.25">
      <c r="Z11328"/>
    </row>
    <row r="11329" spans="26:26" x14ac:dyDescent="0.25">
      <c r="Z11329"/>
    </row>
    <row r="11330" spans="26:26" x14ac:dyDescent="0.25">
      <c r="Z11330"/>
    </row>
    <row r="11331" spans="26:26" x14ac:dyDescent="0.25">
      <c r="Z11331"/>
    </row>
    <row r="11332" spans="26:26" x14ac:dyDescent="0.25">
      <c r="Z11332"/>
    </row>
    <row r="11333" spans="26:26" x14ac:dyDescent="0.25">
      <c r="Z11333"/>
    </row>
    <row r="11334" spans="26:26" x14ac:dyDescent="0.25">
      <c r="Z11334"/>
    </row>
    <row r="11335" spans="26:26" x14ac:dyDescent="0.25">
      <c r="Z11335"/>
    </row>
    <row r="11336" spans="26:26" x14ac:dyDescent="0.25">
      <c r="Z11336"/>
    </row>
    <row r="11337" spans="26:26" x14ac:dyDescent="0.25">
      <c r="Z11337"/>
    </row>
    <row r="11338" spans="26:26" x14ac:dyDescent="0.25">
      <c r="Z11338"/>
    </row>
    <row r="11339" spans="26:26" x14ac:dyDescent="0.25">
      <c r="Z11339"/>
    </row>
    <row r="11340" spans="26:26" x14ac:dyDescent="0.25">
      <c r="Z11340"/>
    </row>
    <row r="11341" spans="26:26" x14ac:dyDescent="0.25">
      <c r="Z11341"/>
    </row>
    <row r="11342" spans="26:26" x14ac:dyDescent="0.25">
      <c r="Z11342"/>
    </row>
    <row r="11343" spans="26:26" x14ac:dyDescent="0.25">
      <c r="Z11343"/>
    </row>
    <row r="11344" spans="26:26" x14ac:dyDescent="0.25">
      <c r="Z11344"/>
    </row>
    <row r="11345" spans="26:26" x14ac:dyDescent="0.25">
      <c r="Z11345"/>
    </row>
    <row r="11346" spans="26:26" x14ac:dyDescent="0.25">
      <c r="Z11346"/>
    </row>
    <row r="11347" spans="26:26" x14ac:dyDescent="0.25">
      <c r="Z11347"/>
    </row>
    <row r="11348" spans="26:26" x14ac:dyDescent="0.25">
      <c r="Z11348"/>
    </row>
    <row r="11349" spans="26:26" x14ac:dyDescent="0.25">
      <c r="Z11349"/>
    </row>
    <row r="11350" spans="26:26" x14ac:dyDescent="0.25">
      <c r="Z11350"/>
    </row>
    <row r="11351" spans="26:26" x14ac:dyDescent="0.25">
      <c r="Z11351"/>
    </row>
    <row r="11352" spans="26:26" x14ac:dyDescent="0.25">
      <c r="Z11352"/>
    </row>
    <row r="11353" spans="26:26" x14ac:dyDescent="0.25">
      <c r="Z11353"/>
    </row>
    <row r="11354" spans="26:26" x14ac:dyDescent="0.25">
      <c r="Z11354"/>
    </row>
    <row r="11355" spans="26:26" x14ac:dyDescent="0.25">
      <c r="Z11355"/>
    </row>
    <row r="11356" spans="26:26" x14ac:dyDescent="0.25">
      <c r="Z11356"/>
    </row>
    <row r="11357" spans="26:26" x14ac:dyDescent="0.25">
      <c r="Z11357"/>
    </row>
    <row r="11358" spans="26:26" x14ac:dyDescent="0.25">
      <c r="Z11358"/>
    </row>
    <row r="11359" spans="26:26" x14ac:dyDescent="0.25">
      <c r="Z11359"/>
    </row>
    <row r="11360" spans="26:26" x14ac:dyDescent="0.25">
      <c r="Z11360"/>
    </row>
    <row r="11361" spans="26:26" x14ac:dyDescent="0.25">
      <c r="Z11361"/>
    </row>
    <row r="11362" spans="26:26" x14ac:dyDescent="0.25">
      <c r="Z11362"/>
    </row>
    <row r="11363" spans="26:26" x14ac:dyDescent="0.25">
      <c r="Z11363"/>
    </row>
    <row r="11364" spans="26:26" x14ac:dyDescent="0.25">
      <c r="Z11364"/>
    </row>
    <row r="11365" spans="26:26" x14ac:dyDescent="0.25">
      <c r="Z11365"/>
    </row>
    <row r="11366" spans="26:26" x14ac:dyDescent="0.25">
      <c r="Z11366"/>
    </row>
    <row r="11367" spans="26:26" x14ac:dyDescent="0.25">
      <c r="Z11367"/>
    </row>
    <row r="11368" spans="26:26" x14ac:dyDescent="0.25">
      <c r="Z11368"/>
    </row>
    <row r="11369" spans="26:26" x14ac:dyDescent="0.25">
      <c r="Z11369"/>
    </row>
    <row r="11370" spans="26:26" x14ac:dyDescent="0.25">
      <c r="Z11370"/>
    </row>
    <row r="11371" spans="26:26" x14ac:dyDescent="0.25">
      <c r="Z11371"/>
    </row>
    <row r="11372" spans="26:26" x14ac:dyDescent="0.25">
      <c r="Z11372"/>
    </row>
    <row r="11373" spans="26:26" x14ac:dyDescent="0.25">
      <c r="Z11373"/>
    </row>
    <row r="11374" spans="26:26" x14ac:dyDescent="0.25">
      <c r="Z11374"/>
    </row>
    <row r="11375" spans="26:26" x14ac:dyDescent="0.25">
      <c r="Z11375"/>
    </row>
    <row r="11376" spans="26:26" x14ac:dyDescent="0.25">
      <c r="Z11376"/>
    </row>
    <row r="11377" spans="26:26" x14ac:dyDescent="0.25">
      <c r="Z11377"/>
    </row>
    <row r="11378" spans="26:26" x14ac:dyDescent="0.25">
      <c r="Z11378"/>
    </row>
    <row r="11379" spans="26:26" x14ac:dyDescent="0.25">
      <c r="Z11379"/>
    </row>
    <row r="11380" spans="26:26" x14ac:dyDescent="0.25">
      <c r="Z11380"/>
    </row>
    <row r="11381" spans="26:26" x14ac:dyDescent="0.25">
      <c r="Z11381"/>
    </row>
    <row r="11382" spans="26:26" x14ac:dyDescent="0.25">
      <c r="Z11382"/>
    </row>
    <row r="11383" spans="26:26" x14ac:dyDescent="0.25">
      <c r="Z11383"/>
    </row>
    <row r="11384" spans="26:26" x14ac:dyDescent="0.25">
      <c r="Z11384"/>
    </row>
    <row r="11385" spans="26:26" x14ac:dyDescent="0.25">
      <c r="Z11385"/>
    </row>
    <row r="11386" spans="26:26" x14ac:dyDescent="0.25">
      <c r="Z11386"/>
    </row>
    <row r="11387" spans="26:26" x14ac:dyDescent="0.25">
      <c r="Z11387"/>
    </row>
    <row r="11388" spans="26:26" x14ac:dyDescent="0.25">
      <c r="Z11388"/>
    </row>
    <row r="11389" spans="26:26" x14ac:dyDescent="0.25">
      <c r="Z11389"/>
    </row>
    <row r="11390" spans="26:26" x14ac:dyDescent="0.25">
      <c r="Z11390"/>
    </row>
    <row r="11391" spans="26:26" x14ac:dyDescent="0.25">
      <c r="Z11391"/>
    </row>
    <row r="11392" spans="26:26" x14ac:dyDescent="0.25">
      <c r="Z11392"/>
    </row>
    <row r="11393" spans="26:26" x14ac:dyDescent="0.25">
      <c r="Z11393"/>
    </row>
    <row r="11394" spans="26:26" x14ac:dyDescent="0.25">
      <c r="Z11394"/>
    </row>
    <row r="11395" spans="26:26" x14ac:dyDescent="0.25">
      <c r="Z11395"/>
    </row>
    <row r="11396" spans="26:26" x14ac:dyDescent="0.25">
      <c r="Z11396"/>
    </row>
    <row r="11397" spans="26:26" x14ac:dyDescent="0.25">
      <c r="Z11397"/>
    </row>
    <row r="11398" spans="26:26" x14ac:dyDescent="0.25">
      <c r="Z11398"/>
    </row>
    <row r="11399" spans="26:26" x14ac:dyDescent="0.25">
      <c r="Z11399"/>
    </row>
    <row r="11400" spans="26:26" x14ac:dyDescent="0.25">
      <c r="Z11400"/>
    </row>
    <row r="11401" spans="26:26" x14ac:dyDescent="0.25">
      <c r="Z11401"/>
    </row>
    <row r="11402" spans="26:26" x14ac:dyDescent="0.25">
      <c r="Z11402"/>
    </row>
    <row r="11403" spans="26:26" x14ac:dyDescent="0.25">
      <c r="Z11403"/>
    </row>
    <row r="11404" spans="26:26" x14ac:dyDescent="0.25">
      <c r="Z11404"/>
    </row>
    <row r="11405" spans="26:26" x14ac:dyDescent="0.25">
      <c r="Z11405"/>
    </row>
    <row r="11406" spans="26:26" x14ac:dyDescent="0.25">
      <c r="Z11406"/>
    </row>
    <row r="11407" spans="26:26" x14ac:dyDescent="0.25">
      <c r="Z11407"/>
    </row>
    <row r="11408" spans="26:26" x14ac:dyDescent="0.25">
      <c r="Z11408"/>
    </row>
    <row r="11409" spans="26:26" x14ac:dyDescent="0.25">
      <c r="Z11409"/>
    </row>
    <row r="11410" spans="26:26" x14ac:dyDescent="0.25">
      <c r="Z11410"/>
    </row>
    <row r="11411" spans="26:26" x14ac:dyDescent="0.25">
      <c r="Z11411"/>
    </row>
    <row r="11412" spans="26:26" x14ac:dyDescent="0.25">
      <c r="Z11412"/>
    </row>
    <row r="11413" spans="26:26" x14ac:dyDescent="0.25">
      <c r="Z11413"/>
    </row>
    <row r="11414" spans="26:26" x14ac:dyDescent="0.25">
      <c r="Z11414"/>
    </row>
    <row r="11415" spans="26:26" x14ac:dyDescent="0.25">
      <c r="Z11415"/>
    </row>
    <row r="11416" spans="26:26" x14ac:dyDescent="0.25">
      <c r="Z11416"/>
    </row>
    <row r="11417" spans="26:26" x14ac:dyDescent="0.25">
      <c r="Z11417"/>
    </row>
    <row r="11418" spans="26:26" x14ac:dyDescent="0.25">
      <c r="Z11418"/>
    </row>
    <row r="11419" spans="26:26" x14ac:dyDescent="0.25">
      <c r="Z11419"/>
    </row>
    <row r="11420" spans="26:26" x14ac:dyDescent="0.25">
      <c r="Z11420"/>
    </row>
    <row r="11421" spans="26:26" x14ac:dyDescent="0.25">
      <c r="Z11421"/>
    </row>
    <row r="11422" spans="26:26" x14ac:dyDescent="0.25">
      <c r="Z11422"/>
    </row>
    <row r="11423" spans="26:26" x14ac:dyDescent="0.25">
      <c r="Z11423"/>
    </row>
    <row r="11424" spans="26:26" x14ac:dyDescent="0.25">
      <c r="Z11424"/>
    </row>
    <row r="11425" spans="26:26" x14ac:dyDescent="0.25">
      <c r="Z11425"/>
    </row>
    <row r="11426" spans="26:26" x14ac:dyDescent="0.25">
      <c r="Z11426"/>
    </row>
    <row r="11427" spans="26:26" x14ac:dyDescent="0.25">
      <c r="Z11427"/>
    </row>
    <row r="11428" spans="26:26" x14ac:dyDescent="0.25">
      <c r="Z11428"/>
    </row>
    <row r="11429" spans="26:26" x14ac:dyDescent="0.25">
      <c r="Z11429"/>
    </row>
    <row r="11430" spans="26:26" x14ac:dyDescent="0.25">
      <c r="Z11430"/>
    </row>
    <row r="11431" spans="26:26" x14ac:dyDescent="0.25">
      <c r="Z11431"/>
    </row>
    <row r="11432" spans="26:26" x14ac:dyDescent="0.25">
      <c r="Z11432"/>
    </row>
    <row r="11433" spans="26:26" x14ac:dyDescent="0.25">
      <c r="Z11433"/>
    </row>
    <row r="11434" spans="26:26" x14ac:dyDescent="0.25">
      <c r="Z11434"/>
    </row>
    <row r="11435" spans="26:26" x14ac:dyDescent="0.25">
      <c r="Z11435"/>
    </row>
    <row r="11436" spans="26:26" x14ac:dyDescent="0.25">
      <c r="Z11436"/>
    </row>
    <row r="11437" spans="26:26" x14ac:dyDescent="0.25">
      <c r="Z11437"/>
    </row>
    <row r="11438" spans="26:26" x14ac:dyDescent="0.25">
      <c r="Z11438"/>
    </row>
    <row r="11439" spans="26:26" x14ac:dyDescent="0.25">
      <c r="Z11439"/>
    </row>
    <row r="11440" spans="26:26" x14ac:dyDescent="0.25">
      <c r="Z11440"/>
    </row>
    <row r="11441" spans="26:26" x14ac:dyDescent="0.25">
      <c r="Z11441"/>
    </row>
    <row r="11442" spans="26:26" x14ac:dyDescent="0.25">
      <c r="Z11442"/>
    </row>
    <row r="11443" spans="26:26" x14ac:dyDescent="0.25">
      <c r="Z11443"/>
    </row>
    <row r="11444" spans="26:26" x14ac:dyDescent="0.25">
      <c r="Z11444"/>
    </row>
    <row r="11445" spans="26:26" x14ac:dyDescent="0.25">
      <c r="Z11445"/>
    </row>
    <row r="11446" spans="26:26" x14ac:dyDescent="0.25">
      <c r="Z11446"/>
    </row>
    <row r="11447" spans="26:26" x14ac:dyDescent="0.25">
      <c r="Z11447"/>
    </row>
    <row r="11448" spans="26:26" x14ac:dyDescent="0.25">
      <c r="Z11448"/>
    </row>
    <row r="11449" spans="26:26" x14ac:dyDescent="0.25">
      <c r="Z11449"/>
    </row>
    <row r="11450" spans="26:26" x14ac:dyDescent="0.25">
      <c r="Z11450"/>
    </row>
    <row r="11451" spans="26:26" x14ac:dyDescent="0.25">
      <c r="Z11451"/>
    </row>
    <row r="11452" spans="26:26" x14ac:dyDescent="0.25">
      <c r="Z11452"/>
    </row>
    <row r="11453" spans="26:26" x14ac:dyDescent="0.25">
      <c r="Z11453"/>
    </row>
    <row r="11454" spans="26:26" x14ac:dyDescent="0.25">
      <c r="Z11454"/>
    </row>
    <row r="11455" spans="26:26" x14ac:dyDescent="0.25">
      <c r="Z11455"/>
    </row>
    <row r="11456" spans="26:26" x14ac:dyDescent="0.25">
      <c r="Z11456"/>
    </row>
    <row r="11457" spans="26:26" x14ac:dyDescent="0.25">
      <c r="Z11457"/>
    </row>
    <row r="11458" spans="26:26" x14ac:dyDescent="0.25">
      <c r="Z11458"/>
    </row>
    <row r="11459" spans="26:26" x14ac:dyDescent="0.25">
      <c r="Z11459"/>
    </row>
    <row r="11460" spans="26:26" x14ac:dyDescent="0.25">
      <c r="Z11460"/>
    </row>
    <row r="11461" spans="26:26" x14ac:dyDescent="0.25">
      <c r="Z11461"/>
    </row>
    <row r="11462" spans="26:26" x14ac:dyDescent="0.25">
      <c r="Z11462"/>
    </row>
    <row r="11463" spans="26:26" x14ac:dyDescent="0.25">
      <c r="Z11463"/>
    </row>
    <row r="11464" spans="26:26" x14ac:dyDescent="0.25">
      <c r="Z11464"/>
    </row>
    <row r="11465" spans="26:26" x14ac:dyDescent="0.25">
      <c r="Z11465"/>
    </row>
    <row r="11466" spans="26:26" x14ac:dyDescent="0.25">
      <c r="Z11466"/>
    </row>
    <row r="11467" spans="26:26" x14ac:dyDescent="0.25">
      <c r="Z11467"/>
    </row>
    <row r="11468" spans="26:26" x14ac:dyDescent="0.25">
      <c r="Z11468"/>
    </row>
    <row r="11469" spans="26:26" x14ac:dyDescent="0.25">
      <c r="Z11469"/>
    </row>
    <row r="11470" spans="26:26" x14ac:dyDescent="0.25">
      <c r="Z11470"/>
    </row>
    <row r="11471" spans="26:26" x14ac:dyDescent="0.25">
      <c r="Z11471"/>
    </row>
    <row r="11472" spans="26:26" x14ac:dyDescent="0.25">
      <c r="Z11472"/>
    </row>
    <row r="11473" spans="26:26" x14ac:dyDescent="0.25">
      <c r="Z11473"/>
    </row>
    <row r="11474" spans="26:26" x14ac:dyDescent="0.25">
      <c r="Z11474"/>
    </row>
    <row r="11475" spans="26:26" x14ac:dyDescent="0.25">
      <c r="Z11475"/>
    </row>
    <row r="11476" spans="26:26" x14ac:dyDescent="0.25">
      <c r="Z11476"/>
    </row>
    <row r="11477" spans="26:26" x14ac:dyDescent="0.25">
      <c r="Z11477"/>
    </row>
    <row r="11478" spans="26:26" x14ac:dyDescent="0.25">
      <c r="Z11478"/>
    </row>
    <row r="11479" spans="26:26" x14ac:dyDescent="0.25">
      <c r="Z11479"/>
    </row>
    <row r="11480" spans="26:26" x14ac:dyDescent="0.25">
      <c r="Z11480"/>
    </row>
    <row r="11481" spans="26:26" x14ac:dyDescent="0.25">
      <c r="Z11481"/>
    </row>
    <row r="11482" spans="26:26" x14ac:dyDescent="0.25">
      <c r="Z11482"/>
    </row>
    <row r="11483" spans="26:26" x14ac:dyDescent="0.25">
      <c r="Z11483"/>
    </row>
    <row r="11484" spans="26:26" x14ac:dyDescent="0.25">
      <c r="Z11484"/>
    </row>
    <row r="11485" spans="26:26" x14ac:dyDescent="0.25">
      <c r="Z11485"/>
    </row>
    <row r="11486" spans="26:26" x14ac:dyDescent="0.25">
      <c r="Z11486"/>
    </row>
    <row r="11487" spans="26:26" x14ac:dyDescent="0.25">
      <c r="Z11487"/>
    </row>
    <row r="11488" spans="26:26" x14ac:dyDescent="0.25">
      <c r="Z11488"/>
    </row>
    <row r="11489" spans="26:26" x14ac:dyDescent="0.25">
      <c r="Z11489"/>
    </row>
    <row r="11490" spans="26:26" x14ac:dyDescent="0.25">
      <c r="Z11490"/>
    </row>
    <row r="11491" spans="26:26" x14ac:dyDescent="0.25">
      <c r="Z11491"/>
    </row>
    <row r="11492" spans="26:26" x14ac:dyDescent="0.25">
      <c r="Z11492"/>
    </row>
    <row r="11493" spans="26:26" x14ac:dyDescent="0.25">
      <c r="Z11493"/>
    </row>
    <row r="11494" spans="26:26" x14ac:dyDescent="0.25">
      <c r="Z11494"/>
    </row>
    <row r="11495" spans="26:26" x14ac:dyDescent="0.25">
      <c r="Z11495"/>
    </row>
    <row r="11496" spans="26:26" x14ac:dyDescent="0.25">
      <c r="Z11496"/>
    </row>
    <row r="11497" spans="26:26" x14ac:dyDescent="0.25">
      <c r="Z11497"/>
    </row>
    <row r="11498" spans="26:26" x14ac:dyDescent="0.25">
      <c r="Z11498"/>
    </row>
    <row r="11499" spans="26:26" x14ac:dyDescent="0.25">
      <c r="Z11499"/>
    </row>
    <row r="11500" spans="26:26" x14ac:dyDescent="0.25">
      <c r="Z11500"/>
    </row>
    <row r="11501" spans="26:26" x14ac:dyDescent="0.25">
      <c r="Z11501"/>
    </row>
    <row r="11502" spans="26:26" x14ac:dyDescent="0.25">
      <c r="Z11502"/>
    </row>
    <row r="11503" spans="26:26" x14ac:dyDescent="0.25">
      <c r="Z11503"/>
    </row>
    <row r="11504" spans="26:26" x14ac:dyDescent="0.25">
      <c r="Z11504"/>
    </row>
    <row r="11505" spans="26:26" x14ac:dyDescent="0.25">
      <c r="Z11505"/>
    </row>
    <row r="11506" spans="26:26" x14ac:dyDescent="0.25">
      <c r="Z11506"/>
    </row>
    <row r="11507" spans="26:26" x14ac:dyDescent="0.25">
      <c r="Z11507"/>
    </row>
    <row r="11508" spans="26:26" x14ac:dyDescent="0.25">
      <c r="Z11508"/>
    </row>
    <row r="11509" spans="26:26" x14ac:dyDescent="0.25">
      <c r="Z11509"/>
    </row>
    <row r="11510" spans="26:26" x14ac:dyDescent="0.25">
      <c r="Z11510"/>
    </row>
    <row r="11511" spans="26:26" x14ac:dyDescent="0.25">
      <c r="Z11511"/>
    </row>
    <row r="11512" spans="26:26" x14ac:dyDescent="0.25">
      <c r="Z11512"/>
    </row>
    <row r="11513" spans="26:26" x14ac:dyDescent="0.25">
      <c r="Z11513"/>
    </row>
    <row r="11514" spans="26:26" x14ac:dyDescent="0.25">
      <c r="Z11514"/>
    </row>
    <row r="11515" spans="26:26" x14ac:dyDescent="0.25">
      <c r="Z11515"/>
    </row>
    <row r="11516" spans="26:26" x14ac:dyDescent="0.25">
      <c r="Z11516"/>
    </row>
    <row r="11517" spans="26:26" x14ac:dyDescent="0.25">
      <c r="Z11517"/>
    </row>
    <row r="11518" spans="26:26" x14ac:dyDescent="0.25">
      <c r="Z11518"/>
    </row>
    <row r="11519" spans="26:26" x14ac:dyDescent="0.25">
      <c r="Z11519"/>
    </row>
    <row r="11520" spans="26:26" x14ac:dyDescent="0.25">
      <c r="Z11520"/>
    </row>
    <row r="11521" spans="26:26" x14ac:dyDescent="0.25">
      <c r="Z11521"/>
    </row>
    <row r="11522" spans="26:26" x14ac:dyDescent="0.25">
      <c r="Z11522"/>
    </row>
    <row r="11523" spans="26:26" x14ac:dyDescent="0.25">
      <c r="Z11523"/>
    </row>
    <row r="11524" spans="26:26" x14ac:dyDescent="0.25">
      <c r="Z11524"/>
    </row>
    <row r="11525" spans="26:26" x14ac:dyDescent="0.25">
      <c r="Z11525"/>
    </row>
    <row r="11526" spans="26:26" x14ac:dyDescent="0.25">
      <c r="Z11526"/>
    </row>
    <row r="11527" spans="26:26" x14ac:dyDescent="0.25">
      <c r="Z11527"/>
    </row>
    <row r="11528" spans="26:26" x14ac:dyDescent="0.25">
      <c r="Z11528"/>
    </row>
    <row r="11529" spans="26:26" x14ac:dyDescent="0.25">
      <c r="Z11529"/>
    </row>
    <row r="11530" spans="26:26" x14ac:dyDescent="0.25">
      <c r="Z11530"/>
    </row>
    <row r="11531" spans="26:26" x14ac:dyDescent="0.25">
      <c r="Z11531"/>
    </row>
    <row r="11532" spans="26:26" x14ac:dyDescent="0.25">
      <c r="Z11532"/>
    </row>
    <row r="11533" spans="26:26" x14ac:dyDescent="0.25">
      <c r="Z11533"/>
    </row>
    <row r="11534" spans="26:26" x14ac:dyDescent="0.25">
      <c r="Z11534"/>
    </row>
    <row r="11535" spans="26:26" x14ac:dyDescent="0.25">
      <c r="Z11535"/>
    </row>
    <row r="11536" spans="26:26" x14ac:dyDescent="0.25">
      <c r="Z11536"/>
    </row>
    <row r="11537" spans="26:26" x14ac:dyDescent="0.25">
      <c r="Z11537"/>
    </row>
    <row r="11538" spans="26:26" x14ac:dyDescent="0.25">
      <c r="Z11538"/>
    </row>
    <row r="11539" spans="26:26" x14ac:dyDescent="0.25">
      <c r="Z11539"/>
    </row>
    <row r="11540" spans="26:26" x14ac:dyDescent="0.25">
      <c r="Z11540"/>
    </row>
    <row r="11541" spans="26:26" x14ac:dyDescent="0.25">
      <c r="Z11541"/>
    </row>
    <row r="11542" spans="26:26" x14ac:dyDescent="0.25">
      <c r="Z11542"/>
    </row>
    <row r="11543" spans="26:26" x14ac:dyDescent="0.25">
      <c r="Z11543"/>
    </row>
    <row r="11544" spans="26:26" x14ac:dyDescent="0.25">
      <c r="Z11544"/>
    </row>
    <row r="11545" spans="26:26" x14ac:dyDescent="0.25">
      <c r="Z11545"/>
    </row>
    <row r="11546" spans="26:26" x14ac:dyDescent="0.25">
      <c r="Z11546"/>
    </row>
    <row r="11547" spans="26:26" x14ac:dyDescent="0.25">
      <c r="Z11547"/>
    </row>
    <row r="11548" spans="26:26" x14ac:dyDescent="0.25">
      <c r="Z11548"/>
    </row>
    <row r="11549" spans="26:26" x14ac:dyDescent="0.25">
      <c r="Z11549"/>
    </row>
    <row r="11550" spans="26:26" x14ac:dyDescent="0.25">
      <c r="Z11550"/>
    </row>
    <row r="11551" spans="26:26" x14ac:dyDescent="0.25">
      <c r="Z11551"/>
    </row>
    <row r="11552" spans="26:26" x14ac:dyDescent="0.25">
      <c r="Z11552"/>
    </row>
    <row r="11553" spans="26:26" x14ac:dyDescent="0.25">
      <c r="Z11553"/>
    </row>
    <row r="11554" spans="26:26" x14ac:dyDescent="0.25">
      <c r="Z11554"/>
    </row>
    <row r="11555" spans="26:26" x14ac:dyDescent="0.25">
      <c r="Z11555"/>
    </row>
    <row r="11556" spans="26:26" x14ac:dyDescent="0.25">
      <c r="Z11556"/>
    </row>
    <row r="11557" spans="26:26" x14ac:dyDescent="0.25">
      <c r="Z11557"/>
    </row>
    <row r="11558" spans="26:26" x14ac:dyDescent="0.25">
      <c r="Z11558"/>
    </row>
    <row r="11559" spans="26:26" x14ac:dyDescent="0.25">
      <c r="Z11559"/>
    </row>
    <row r="11560" spans="26:26" x14ac:dyDescent="0.25">
      <c r="Z11560"/>
    </row>
    <row r="11561" spans="26:26" x14ac:dyDescent="0.25">
      <c r="Z11561"/>
    </row>
    <row r="11562" spans="26:26" x14ac:dyDescent="0.25">
      <c r="Z11562"/>
    </row>
    <row r="11563" spans="26:26" x14ac:dyDescent="0.25">
      <c r="Z11563"/>
    </row>
    <row r="11564" spans="26:26" x14ac:dyDescent="0.25">
      <c r="Z11564"/>
    </row>
    <row r="11565" spans="26:26" x14ac:dyDescent="0.25">
      <c r="Z11565"/>
    </row>
    <row r="11566" spans="26:26" x14ac:dyDescent="0.25">
      <c r="Z11566"/>
    </row>
    <row r="11567" spans="26:26" x14ac:dyDescent="0.25">
      <c r="Z11567"/>
    </row>
    <row r="11568" spans="26:26" x14ac:dyDescent="0.25">
      <c r="Z11568"/>
    </row>
    <row r="11569" spans="26:26" x14ac:dyDescent="0.25">
      <c r="Z11569"/>
    </row>
    <row r="11570" spans="26:26" x14ac:dyDescent="0.25">
      <c r="Z11570"/>
    </row>
    <row r="11571" spans="26:26" x14ac:dyDescent="0.25">
      <c r="Z11571"/>
    </row>
    <row r="11572" spans="26:26" x14ac:dyDescent="0.25">
      <c r="Z11572"/>
    </row>
    <row r="11573" spans="26:26" x14ac:dyDescent="0.25">
      <c r="Z11573"/>
    </row>
    <row r="11574" spans="26:26" x14ac:dyDescent="0.25">
      <c r="Z11574"/>
    </row>
    <row r="11575" spans="26:26" x14ac:dyDescent="0.25">
      <c r="Z11575"/>
    </row>
    <row r="11576" spans="26:26" x14ac:dyDescent="0.25">
      <c r="Z11576"/>
    </row>
    <row r="11577" spans="26:26" x14ac:dyDescent="0.25">
      <c r="Z11577"/>
    </row>
    <row r="11578" spans="26:26" x14ac:dyDescent="0.25">
      <c r="Z11578"/>
    </row>
    <row r="11579" spans="26:26" x14ac:dyDescent="0.25">
      <c r="Z11579"/>
    </row>
    <row r="11580" spans="26:26" x14ac:dyDescent="0.25">
      <c r="Z11580"/>
    </row>
    <row r="11581" spans="26:26" x14ac:dyDescent="0.25">
      <c r="Z11581"/>
    </row>
    <row r="11582" spans="26:26" x14ac:dyDescent="0.25">
      <c r="Z11582"/>
    </row>
    <row r="11583" spans="26:26" x14ac:dyDescent="0.25">
      <c r="Z11583"/>
    </row>
    <row r="11584" spans="26:26" x14ac:dyDescent="0.25">
      <c r="Z11584"/>
    </row>
    <row r="11585" spans="26:26" x14ac:dyDescent="0.25">
      <c r="Z11585"/>
    </row>
    <row r="11586" spans="26:26" x14ac:dyDescent="0.25">
      <c r="Z11586"/>
    </row>
    <row r="11587" spans="26:26" x14ac:dyDescent="0.25">
      <c r="Z11587"/>
    </row>
    <row r="11588" spans="26:26" x14ac:dyDescent="0.25">
      <c r="Z11588"/>
    </row>
    <row r="11589" spans="26:26" x14ac:dyDescent="0.25">
      <c r="Z11589"/>
    </row>
    <row r="11590" spans="26:26" x14ac:dyDescent="0.25">
      <c r="Z11590"/>
    </row>
    <row r="11591" spans="26:26" x14ac:dyDescent="0.25">
      <c r="Z11591"/>
    </row>
    <row r="11592" spans="26:26" x14ac:dyDescent="0.25">
      <c r="Z11592"/>
    </row>
    <row r="11593" spans="26:26" x14ac:dyDescent="0.25">
      <c r="Z11593"/>
    </row>
    <row r="11594" spans="26:26" x14ac:dyDescent="0.25">
      <c r="Z11594"/>
    </row>
    <row r="11595" spans="26:26" x14ac:dyDescent="0.25">
      <c r="Z11595"/>
    </row>
    <row r="11596" spans="26:26" x14ac:dyDescent="0.25">
      <c r="Z11596"/>
    </row>
    <row r="11597" spans="26:26" x14ac:dyDescent="0.25">
      <c r="Z11597"/>
    </row>
    <row r="11598" spans="26:26" x14ac:dyDescent="0.25">
      <c r="Z11598"/>
    </row>
    <row r="11599" spans="26:26" x14ac:dyDescent="0.25">
      <c r="Z11599"/>
    </row>
    <row r="11600" spans="26:26" x14ac:dyDescent="0.25">
      <c r="Z11600"/>
    </row>
    <row r="11601" spans="26:26" x14ac:dyDescent="0.25">
      <c r="Z11601"/>
    </row>
    <row r="11602" spans="26:26" x14ac:dyDescent="0.25">
      <c r="Z11602"/>
    </row>
    <row r="11603" spans="26:26" x14ac:dyDescent="0.25">
      <c r="Z11603"/>
    </row>
    <row r="11604" spans="26:26" x14ac:dyDescent="0.25">
      <c r="Z11604"/>
    </row>
    <row r="11605" spans="26:26" x14ac:dyDescent="0.25">
      <c r="Z11605"/>
    </row>
    <row r="11606" spans="26:26" x14ac:dyDescent="0.25">
      <c r="Z11606"/>
    </row>
    <row r="11607" spans="26:26" x14ac:dyDescent="0.25">
      <c r="Z11607"/>
    </row>
    <row r="11608" spans="26:26" x14ac:dyDescent="0.25">
      <c r="Z11608"/>
    </row>
    <row r="11609" spans="26:26" x14ac:dyDescent="0.25">
      <c r="Z11609"/>
    </row>
    <row r="11610" spans="26:26" x14ac:dyDescent="0.25">
      <c r="Z11610"/>
    </row>
    <row r="11611" spans="26:26" x14ac:dyDescent="0.25">
      <c r="Z11611"/>
    </row>
    <row r="11612" spans="26:26" x14ac:dyDescent="0.25">
      <c r="Z11612"/>
    </row>
    <row r="11613" spans="26:26" x14ac:dyDescent="0.25">
      <c r="Z11613"/>
    </row>
    <row r="11614" spans="26:26" x14ac:dyDescent="0.25">
      <c r="Z11614"/>
    </row>
    <row r="11615" spans="26:26" x14ac:dyDescent="0.25">
      <c r="Z11615"/>
    </row>
    <row r="11616" spans="26:26" x14ac:dyDescent="0.25">
      <c r="Z11616"/>
    </row>
    <row r="11617" spans="26:26" x14ac:dyDescent="0.25">
      <c r="Z11617"/>
    </row>
    <row r="11618" spans="26:26" x14ac:dyDescent="0.25">
      <c r="Z11618"/>
    </row>
    <row r="11619" spans="26:26" x14ac:dyDescent="0.25">
      <c r="Z11619"/>
    </row>
    <row r="11620" spans="26:26" x14ac:dyDescent="0.25">
      <c r="Z11620"/>
    </row>
    <row r="11621" spans="26:26" x14ac:dyDescent="0.25">
      <c r="Z11621"/>
    </row>
    <row r="11622" spans="26:26" x14ac:dyDescent="0.25">
      <c r="Z11622"/>
    </row>
    <row r="11623" spans="26:26" x14ac:dyDescent="0.25">
      <c r="Z11623"/>
    </row>
    <row r="11624" spans="26:26" x14ac:dyDescent="0.25">
      <c r="Z11624"/>
    </row>
    <row r="11625" spans="26:26" x14ac:dyDescent="0.25">
      <c r="Z11625"/>
    </row>
    <row r="11626" spans="26:26" x14ac:dyDescent="0.25">
      <c r="Z11626"/>
    </row>
    <row r="11627" spans="26:26" x14ac:dyDescent="0.25">
      <c r="Z11627"/>
    </row>
    <row r="11628" spans="26:26" x14ac:dyDescent="0.25">
      <c r="Z11628"/>
    </row>
    <row r="11629" spans="26:26" x14ac:dyDescent="0.25">
      <c r="Z11629"/>
    </row>
    <row r="11630" spans="26:26" x14ac:dyDescent="0.25">
      <c r="Z11630"/>
    </row>
    <row r="11631" spans="26:26" x14ac:dyDescent="0.25">
      <c r="Z11631"/>
    </row>
    <row r="11632" spans="26:26" x14ac:dyDescent="0.25">
      <c r="Z11632"/>
    </row>
    <row r="11633" spans="26:26" x14ac:dyDescent="0.25">
      <c r="Z11633"/>
    </row>
    <row r="11634" spans="26:26" x14ac:dyDescent="0.25">
      <c r="Z11634"/>
    </row>
    <row r="11635" spans="26:26" x14ac:dyDescent="0.25">
      <c r="Z11635"/>
    </row>
    <row r="11636" spans="26:26" x14ac:dyDescent="0.25">
      <c r="Z11636"/>
    </row>
    <row r="11637" spans="26:26" x14ac:dyDescent="0.25">
      <c r="Z11637"/>
    </row>
    <row r="11638" spans="26:26" x14ac:dyDescent="0.25">
      <c r="Z11638"/>
    </row>
    <row r="11639" spans="26:26" x14ac:dyDescent="0.25">
      <c r="Z11639"/>
    </row>
    <row r="11640" spans="26:26" x14ac:dyDescent="0.25">
      <c r="Z11640"/>
    </row>
    <row r="11641" spans="26:26" x14ac:dyDescent="0.25">
      <c r="Z11641"/>
    </row>
    <row r="11642" spans="26:26" x14ac:dyDescent="0.25">
      <c r="Z11642"/>
    </row>
    <row r="11643" spans="26:26" x14ac:dyDescent="0.25">
      <c r="Z11643"/>
    </row>
    <row r="11644" spans="26:26" x14ac:dyDescent="0.25">
      <c r="Z11644"/>
    </row>
    <row r="11645" spans="26:26" x14ac:dyDescent="0.25">
      <c r="Z11645"/>
    </row>
    <row r="11646" spans="26:26" x14ac:dyDescent="0.25">
      <c r="Z11646"/>
    </row>
    <row r="11647" spans="26:26" x14ac:dyDescent="0.25">
      <c r="Z11647"/>
    </row>
    <row r="11648" spans="26:26" x14ac:dyDescent="0.25">
      <c r="Z11648"/>
    </row>
    <row r="11649" spans="26:26" x14ac:dyDescent="0.25">
      <c r="Z11649"/>
    </row>
    <row r="11650" spans="26:26" x14ac:dyDescent="0.25">
      <c r="Z11650"/>
    </row>
    <row r="11651" spans="26:26" x14ac:dyDescent="0.25">
      <c r="Z11651"/>
    </row>
    <row r="11652" spans="26:26" x14ac:dyDescent="0.25">
      <c r="Z11652"/>
    </row>
    <row r="11653" spans="26:26" x14ac:dyDescent="0.25">
      <c r="Z11653"/>
    </row>
    <row r="11654" spans="26:26" x14ac:dyDescent="0.25">
      <c r="Z11654"/>
    </row>
    <row r="11655" spans="26:26" x14ac:dyDescent="0.25">
      <c r="Z11655"/>
    </row>
    <row r="11656" spans="26:26" x14ac:dyDescent="0.25">
      <c r="Z11656"/>
    </row>
    <row r="11657" spans="26:26" x14ac:dyDescent="0.25">
      <c r="Z11657"/>
    </row>
    <row r="11658" spans="26:26" x14ac:dyDescent="0.25">
      <c r="Z11658"/>
    </row>
    <row r="11659" spans="26:26" x14ac:dyDescent="0.25">
      <c r="Z11659"/>
    </row>
    <row r="11660" spans="26:26" x14ac:dyDescent="0.25">
      <c r="Z11660"/>
    </row>
    <row r="11661" spans="26:26" x14ac:dyDescent="0.25">
      <c r="Z11661"/>
    </row>
    <row r="11662" spans="26:26" x14ac:dyDescent="0.25">
      <c r="Z11662"/>
    </row>
    <row r="11663" spans="26:26" x14ac:dyDescent="0.25">
      <c r="Z11663"/>
    </row>
    <row r="11664" spans="26:26" x14ac:dyDescent="0.25">
      <c r="Z11664"/>
    </row>
    <row r="11665" spans="26:26" x14ac:dyDescent="0.25">
      <c r="Z11665"/>
    </row>
    <row r="11666" spans="26:26" x14ac:dyDescent="0.25">
      <c r="Z11666"/>
    </row>
    <row r="11667" spans="26:26" x14ac:dyDescent="0.25">
      <c r="Z11667"/>
    </row>
    <row r="11668" spans="26:26" x14ac:dyDescent="0.25">
      <c r="Z11668"/>
    </row>
    <row r="11669" spans="26:26" x14ac:dyDescent="0.25">
      <c r="Z11669"/>
    </row>
    <row r="11670" spans="26:26" x14ac:dyDescent="0.25">
      <c r="Z11670"/>
    </row>
    <row r="11671" spans="26:26" x14ac:dyDescent="0.25">
      <c r="Z11671"/>
    </row>
    <row r="11672" spans="26:26" x14ac:dyDescent="0.25">
      <c r="Z11672"/>
    </row>
    <row r="11673" spans="26:26" x14ac:dyDescent="0.25">
      <c r="Z11673"/>
    </row>
    <row r="11674" spans="26:26" x14ac:dyDescent="0.25">
      <c r="Z11674"/>
    </row>
    <row r="11675" spans="26:26" x14ac:dyDescent="0.25">
      <c r="Z11675"/>
    </row>
    <row r="11676" spans="26:26" x14ac:dyDescent="0.25">
      <c r="Z11676"/>
    </row>
    <row r="11677" spans="26:26" x14ac:dyDescent="0.25">
      <c r="Z11677"/>
    </row>
    <row r="11678" spans="26:26" x14ac:dyDescent="0.25">
      <c r="Z11678"/>
    </row>
    <row r="11679" spans="26:26" x14ac:dyDescent="0.25">
      <c r="Z11679"/>
    </row>
    <row r="11680" spans="26:26" x14ac:dyDescent="0.25">
      <c r="Z11680"/>
    </row>
    <row r="11681" spans="26:26" x14ac:dyDescent="0.25">
      <c r="Z11681"/>
    </row>
    <row r="11682" spans="26:26" x14ac:dyDescent="0.25">
      <c r="Z11682"/>
    </row>
    <row r="11683" spans="26:26" x14ac:dyDescent="0.25">
      <c r="Z11683"/>
    </row>
    <row r="11684" spans="26:26" x14ac:dyDescent="0.25">
      <c r="Z11684"/>
    </row>
    <row r="11685" spans="26:26" x14ac:dyDescent="0.25">
      <c r="Z11685"/>
    </row>
    <row r="11686" spans="26:26" x14ac:dyDescent="0.25">
      <c r="Z11686"/>
    </row>
    <row r="11687" spans="26:26" x14ac:dyDescent="0.25">
      <c r="Z11687"/>
    </row>
    <row r="11688" spans="26:26" x14ac:dyDescent="0.25">
      <c r="Z11688"/>
    </row>
    <row r="11689" spans="26:26" x14ac:dyDescent="0.25">
      <c r="Z11689"/>
    </row>
    <row r="11690" spans="26:26" x14ac:dyDescent="0.25">
      <c r="Z11690"/>
    </row>
    <row r="11691" spans="26:26" x14ac:dyDescent="0.25">
      <c r="Z11691"/>
    </row>
    <row r="11692" spans="26:26" x14ac:dyDescent="0.25">
      <c r="Z11692"/>
    </row>
    <row r="11693" spans="26:26" x14ac:dyDescent="0.25">
      <c r="Z11693"/>
    </row>
    <row r="11694" spans="26:26" x14ac:dyDescent="0.25">
      <c r="Z11694"/>
    </row>
    <row r="11695" spans="26:26" x14ac:dyDescent="0.25">
      <c r="Z11695"/>
    </row>
    <row r="11696" spans="26:26" x14ac:dyDescent="0.25">
      <c r="Z11696"/>
    </row>
    <row r="11697" spans="26:26" x14ac:dyDescent="0.25">
      <c r="Z11697"/>
    </row>
    <row r="11698" spans="26:26" x14ac:dyDescent="0.25">
      <c r="Z11698"/>
    </row>
    <row r="11699" spans="26:26" x14ac:dyDescent="0.25">
      <c r="Z11699"/>
    </row>
    <row r="11700" spans="26:26" x14ac:dyDescent="0.25">
      <c r="Z11700"/>
    </row>
    <row r="11701" spans="26:26" x14ac:dyDescent="0.25">
      <c r="Z11701"/>
    </row>
    <row r="11702" spans="26:26" x14ac:dyDescent="0.25">
      <c r="Z11702"/>
    </row>
    <row r="11703" spans="26:26" x14ac:dyDescent="0.25">
      <c r="Z11703"/>
    </row>
    <row r="11704" spans="26:26" x14ac:dyDescent="0.25">
      <c r="Z11704"/>
    </row>
    <row r="11705" spans="26:26" x14ac:dyDescent="0.25">
      <c r="Z11705"/>
    </row>
    <row r="11706" spans="26:26" x14ac:dyDescent="0.25">
      <c r="Z11706"/>
    </row>
    <row r="11707" spans="26:26" x14ac:dyDescent="0.25">
      <c r="Z11707"/>
    </row>
    <row r="11708" spans="26:26" x14ac:dyDescent="0.25">
      <c r="Z11708"/>
    </row>
    <row r="11709" spans="26:26" x14ac:dyDescent="0.25">
      <c r="Z11709"/>
    </row>
    <row r="11710" spans="26:26" x14ac:dyDescent="0.25">
      <c r="Z11710"/>
    </row>
    <row r="11711" spans="26:26" x14ac:dyDescent="0.25">
      <c r="Z11711"/>
    </row>
    <row r="11712" spans="26:26" x14ac:dyDescent="0.25">
      <c r="Z11712"/>
    </row>
    <row r="11713" spans="26:26" x14ac:dyDescent="0.25">
      <c r="Z11713"/>
    </row>
    <row r="11714" spans="26:26" x14ac:dyDescent="0.25">
      <c r="Z11714"/>
    </row>
    <row r="11715" spans="26:26" x14ac:dyDescent="0.25">
      <c r="Z11715"/>
    </row>
    <row r="11716" spans="26:26" x14ac:dyDescent="0.25">
      <c r="Z11716"/>
    </row>
    <row r="11717" spans="26:26" x14ac:dyDescent="0.25">
      <c r="Z11717"/>
    </row>
    <row r="11718" spans="26:26" x14ac:dyDescent="0.25">
      <c r="Z11718"/>
    </row>
    <row r="11719" spans="26:26" x14ac:dyDescent="0.25">
      <c r="Z11719"/>
    </row>
    <row r="11720" spans="26:26" x14ac:dyDescent="0.25">
      <c r="Z11720"/>
    </row>
    <row r="11721" spans="26:26" x14ac:dyDescent="0.25">
      <c r="Z11721"/>
    </row>
    <row r="11722" spans="26:26" x14ac:dyDescent="0.25">
      <c r="Z11722"/>
    </row>
    <row r="11723" spans="26:26" x14ac:dyDescent="0.25">
      <c r="Z11723"/>
    </row>
    <row r="11724" spans="26:26" x14ac:dyDescent="0.25">
      <c r="Z11724"/>
    </row>
    <row r="11725" spans="26:26" x14ac:dyDescent="0.25">
      <c r="Z11725"/>
    </row>
    <row r="11726" spans="26:26" x14ac:dyDescent="0.25">
      <c r="Z11726"/>
    </row>
    <row r="11727" spans="26:26" x14ac:dyDescent="0.25">
      <c r="Z11727"/>
    </row>
    <row r="11728" spans="26:26" x14ac:dyDescent="0.25">
      <c r="Z11728"/>
    </row>
    <row r="11729" spans="26:26" x14ac:dyDescent="0.25">
      <c r="Z11729"/>
    </row>
    <row r="11730" spans="26:26" x14ac:dyDescent="0.25">
      <c r="Z11730"/>
    </row>
    <row r="11731" spans="26:26" x14ac:dyDescent="0.25">
      <c r="Z11731"/>
    </row>
    <row r="11732" spans="26:26" x14ac:dyDescent="0.25">
      <c r="Z11732"/>
    </row>
    <row r="11733" spans="26:26" x14ac:dyDescent="0.25">
      <c r="Z11733"/>
    </row>
    <row r="11734" spans="26:26" x14ac:dyDescent="0.25">
      <c r="Z11734"/>
    </row>
    <row r="11735" spans="26:26" x14ac:dyDescent="0.25">
      <c r="Z11735"/>
    </row>
    <row r="11736" spans="26:26" x14ac:dyDescent="0.25">
      <c r="Z11736"/>
    </row>
    <row r="11737" spans="26:26" x14ac:dyDescent="0.25">
      <c r="Z11737"/>
    </row>
    <row r="11738" spans="26:26" x14ac:dyDescent="0.25">
      <c r="Z11738"/>
    </row>
    <row r="11739" spans="26:26" x14ac:dyDescent="0.25">
      <c r="Z11739"/>
    </row>
    <row r="11740" spans="26:26" x14ac:dyDescent="0.25">
      <c r="Z11740"/>
    </row>
    <row r="11741" spans="26:26" x14ac:dyDescent="0.25">
      <c r="Z11741"/>
    </row>
    <row r="11742" spans="26:26" x14ac:dyDescent="0.25">
      <c r="Z11742"/>
    </row>
    <row r="11743" spans="26:26" x14ac:dyDescent="0.25">
      <c r="Z11743"/>
    </row>
    <row r="11744" spans="26:26" x14ac:dyDescent="0.25">
      <c r="Z11744"/>
    </row>
    <row r="11745" spans="26:26" x14ac:dyDescent="0.25">
      <c r="Z11745"/>
    </row>
    <row r="11746" spans="26:26" x14ac:dyDescent="0.25">
      <c r="Z11746"/>
    </row>
    <row r="11747" spans="26:26" x14ac:dyDescent="0.25">
      <c r="Z11747"/>
    </row>
    <row r="11748" spans="26:26" x14ac:dyDescent="0.25">
      <c r="Z11748"/>
    </row>
    <row r="11749" spans="26:26" x14ac:dyDescent="0.25">
      <c r="Z11749"/>
    </row>
    <row r="11750" spans="26:26" x14ac:dyDescent="0.25">
      <c r="Z11750"/>
    </row>
    <row r="11751" spans="26:26" x14ac:dyDescent="0.25">
      <c r="Z11751"/>
    </row>
    <row r="11752" spans="26:26" x14ac:dyDescent="0.25">
      <c r="Z11752"/>
    </row>
    <row r="11753" spans="26:26" x14ac:dyDescent="0.25">
      <c r="Z11753"/>
    </row>
    <row r="11754" spans="26:26" x14ac:dyDescent="0.25">
      <c r="Z11754"/>
    </row>
    <row r="11755" spans="26:26" x14ac:dyDescent="0.25">
      <c r="Z11755"/>
    </row>
    <row r="11756" spans="26:26" x14ac:dyDescent="0.25">
      <c r="Z11756"/>
    </row>
    <row r="11757" spans="26:26" x14ac:dyDescent="0.25">
      <c r="Z11757"/>
    </row>
    <row r="11758" spans="26:26" x14ac:dyDescent="0.25">
      <c r="Z11758"/>
    </row>
    <row r="11759" spans="26:26" x14ac:dyDescent="0.25">
      <c r="Z11759"/>
    </row>
    <row r="11760" spans="26:26" x14ac:dyDescent="0.25">
      <c r="Z11760"/>
    </row>
    <row r="11761" spans="26:26" x14ac:dyDescent="0.25">
      <c r="Z11761"/>
    </row>
    <row r="11762" spans="26:26" x14ac:dyDescent="0.25">
      <c r="Z11762"/>
    </row>
    <row r="11763" spans="26:26" x14ac:dyDescent="0.25">
      <c r="Z11763"/>
    </row>
    <row r="11764" spans="26:26" x14ac:dyDescent="0.25">
      <c r="Z11764"/>
    </row>
    <row r="11765" spans="26:26" x14ac:dyDescent="0.25">
      <c r="Z11765"/>
    </row>
    <row r="11766" spans="26:26" x14ac:dyDescent="0.25">
      <c r="Z11766"/>
    </row>
    <row r="11767" spans="26:26" x14ac:dyDescent="0.25">
      <c r="Z11767"/>
    </row>
    <row r="11768" spans="26:26" x14ac:dyDescent="0.25">
      <c r="Z11768"/>
    </row>
    <row r="11769" spans="26:26" x14ac:dyDescent="0.25">
      <c r="Z11769"/>
    </row>
    <row r="11770" spans="26:26" x14ac:dyDescent="0.25">
      <c r="Z11770"/>
    </row>
    <row r="11771" spans="26:26" x14ac:dyDescent="0.25">
      <c r="Z11771"/>
    </row>
    <row r="11772" spans="26:26" x14ac:dyDescent="0.25">
      <c r="Z11772"/>
    </row>
    <row r="11773" spans="26:26" x14ac:dyDescent="0.25">
      <c r="Z11773"/>
    </row>
    <row r="11774" spans="26:26" x14ac:dyDescent="0.25">
      <c r="Z11774"/>
    </row>
    <row r="11775" spans="26:26" x14ac:dyDescent="0.25">
      <c r="Z11775"/>
    </row>
    <row r="11776" spans="26:26" x14ac:dyDescent="0.25">
      <c r="Z11776"/>
    </row>
    <row r="11777" spans="26:26" x14ac:dyDescent="0.25">
      <c r="Z11777"/>
    </row>
    <row r="11778" spans="26:26" x14ac:dyDescent="0.25">
      <c r="Z11778"/>
    </row>
    <row r="11779" spans="26:26" x14ac:dyDescent="0.25">
      <c r="Z11779"/>
    </row>
    <row r="11780" spans="26:26" x14ac:dyDescent="0.25">
      <c r="Z11780"/>
    </row>
    <row r="11781" spans="26:26" x14ac:dyDescent="0.25">
      <c r="Z11781"/>
    </row>
    <row r="11782" spans="26:26" x14ac:dyDescent="0.25">
      <c r="Z11782"/>
    </row>
    <row r="11783" spans="26:26" x14ac:dyDescent="0.25">
      <c r="Z11783"/>
    </row>
    <row r="11784" spans="26:26" x14ac:dyDescent="0.25">
      <c r="Z11784"/>
    </row>
    <row r="11785" spans="26:26" x14ac:dyDescent="0.25">
      <c r="Z11785"/>
    </row>
    <row r="11786" spans="26:26" x14ac:dyDescent="0.25">
      <c r="Z11786"/>
    </row>
    <row r="11787" spans="26:26" x14ac:dyDescent="0.25">
      <c r="Z11787"/>
    </row>
    <row r="11788" spans="26:26" x14ac:dyDescent="0.25">
      <c r="Z11788"/>
    </row>
    <row r="11789" spans="26:26" x14ac:dyDescent="0.25">
      <c r="Z11789"/>
    </row>
    <row r="11790" spans="26:26" x14ac:dyDescent="0.25">
      <c r="Z11790"/>
    </row>
    <row r="11791" spans="26:26" x14ac:dyDescent="0.25">
      <c r="Z11791"/>
    </row>
    <row r="11792" spans="26:26" x14ac:dyDescent="0.25">
      <c r="Z11792"/>
    </row>
    <row r="11793" spans="26:26" x14ac:dyDescent="0.25">
      <c r="Z11793"/>
    </row>
    <row r="11794" spans="26:26" x14ac:dyDescent="0.25">
      <c r="Z11794"/>
    </row>
    <row r="11795" spans="26:26" x14ac:dyDescent="0.25">
      <c r="Z11795"/>
    </row>
    <row r="11796" spans="26:26" x14ac:dyDescent="0.25">
      <c r="Z11796"/>
    </row>
    <row r="11797" spans="26:26" x14ac:dyDescent="0.25">
      <c r="Z11797"/>
    </row>
    <row r="11798" spans="26:26" x14ac:dyDescent="0.25">
      <c r="Z11798"/>
    </row>
    <row r="11799" spans="26:26" x14ac:dyDescent="0.25">
      <c r="Z11799"/>
    </row>
    <row r="11800" spans="26:26" x14ac:dyDescent="0.25">
      <c r="Z11800"/>
    </row>
    <row r="11801" spans="26:26" x14ac:dyDescent="0.25">
      <c r="Z11801"/>
    </row>
    <row r="11802" spans="26:26" x14ac:dyDescent="0.25">
      <c r="Z11802"/>
    </row>
    <row r="11803" spans="26:26" x14ac:dyDescent="0.25">
      <c r="Z11803"/>
    </row>
    <row r="11804" spans="26:26" x14ac:dyDescent="0.25">
      <c r="Z11804"/>
    </row>
    <row r="11805" spans="26:26" x14ac:dyDescent="0.25">
      <c r="Z11805"/>
    </row>
    <row r="11806" spans="26:26" x14ac:dyDescent="0.25">
      <c r="Z11806"/>
    </row>
    <row r="11807" spans="26:26" x14ac:dyDescent="0.25">
      <c r="Z11807"/>
    </row>
    <row r="11808" spans="26:26" x14ac:dyDescent="0.25">
      <c r="Z11808"/>
    </row>
    <row r="11809" spans="26:26" x14ac:dyDescent="0.25">
      <c r="Z11809"/>
    </row>
    <row r="11810" spans="26:26" x14ac:dyDescent="0.25">
      <c r="Z11810"/>
    </row>
    <row r="11811" spans="26:26" x14ac:dyDescent="0.25">
      <c r="Z11811"/>
    </row>
    <row r="11812" spans="26:26" x14ac:dyDescent="0.25">
      <c r="Z11812"/>
    </row>
    <row r="11813" spans="26:26" x14ac:dyDescent="0.25">
      <c r="Z11813"/>
    </row>
    <row r="11814" spans="26:26" x14ac:dyDescent="0.25">
      <c r="Z11814"/>
    </row>
    <row r="11815" spans="26:26" x14ac:dyDescent="0.25">
      <c r="Z11815"/>
    </row>
    <row r="11816" spans="26:26" x14ac:dyDescent="0.25">
      <c r="Z11816"/>
    </row>
    <row r="11817" spans="26:26" x14ac:dyDescent="0.25">
      <c r="Z11817"/>
    </row>
    <row r="11818" spans="26:26" x14ac:dyDescent="0.25">
      <c r="Z11818"/>
    </row>
    <row r="11819" spans="26:26" x14ac:dyDescent="0.25">
      <c r="Z11819"/>
    </row>
    <row r="11820" spans="26:26" x14ac:dyDescent="0.25">
      <c r="Z11820"/>
    </row>
    <row r="11821" spans="26:26" x14ac:dyDescent="0.25">
      <c r="Z11821"/>
    </row>
    <row r="11822" spans="26:26" x14ac:dyDescent="0.25">
      <c r="Z11822"/>
    </row>
    <row r="11823" spans="26:26" x14ac:dyDescent="0.25">
      <c r="Z11823"/>
    </row>
    <row r="11824" spans="26:26" x14ac:dyDescent="0.25">
      <c r="Z11824"/>
    </row>
    <row r="11825" spans="26:26" x14ac:dyDescent="0.25">
      <c r="Z11825"/>
    </row>
    <row r="11826" spans="26:26" x14ac:dyDescent="0.25">
      <c r="Z11826"/>
    </row>
    <row r="11827" spans="26:26" x14ac:dyDescent="0.25">
      <c r="Z11827"/>
    </row>
    <row r="11828" spans="26:26" x14ac:dyDescent="0.25">
      <c r="Z11828"/>
    </row>
    <row r="11829" spans="26:26" x14ac:dyDescent="0.25">
      <c r="Z11829"/>
    </row>
    <row r="11830" spans="26:26" x14ac:dyDescent="0.25">
      <c r="Z11830"/>
    </row>
    <row r="11831" spans="26:26" x14ac:dyDescent="0.25">
      <c r="Z11831"/>
    </row>
    <row r="11832" spans="26:26" x14ac:dyDescent="0.25">
      <c r="Z11832"/>
    </row>
    <row r="11833" spans="26:26" x14ac:dyDescent="0.25">
      <c r="Z11833"/>
    </row>
    <row r="11834" spans="26:26" x14ac:dyDescent="0.25">
      <c r="Z11834"/>
    </row>
    <row r="11835" spans="26:26" x14ac:dyDescent="0.25">
      <c r="Z11835"/>
    </row>
    <row r="11836" spans="26:26" x14ac:dyDescent="0.25">
      <c r="Z11836"/>
    </row>
    <row r="11837" spans="26:26" x14ac:dyDescent="0.25">
      <c r="Z11837"/>
    </row>
    <row r="11838" spans="26:26" x14ac:dyDescent="0.25">
      <c r="Z11838"/>
    </row>
    <row r="11839" spans="26:26" x14ac:dyDescent="0.25">
      <c r="Z11839"/>
    </row>
    <row r="11840" spans="26:26" x14ac:dyDescent="0.25">
      <c r="Z11840"/>
    </row>
    <row r="11841" spans="26:26" x14ac:dyDescent="0.25">
      <c r="Z11841"/>
    </row>
    <row r="11842" spans="26:26" x14ac:dyDescent="0.25">
      <c r="Z11842"/>
    </row>
    <row r="11843" spans="26:26" x14ac:dyDescent="0.25">
      <c r="Z11843"/>
    </row>
    <row r="11844" spans="26:26" x14ac:dyDescent="0.25">
      <c r="Z11844"/>
    </row>
    <row r="11845" spans="26:26" x14ac:dyDescent="0.25">
      <c r="Z11845"/>
    </row>
    <row r="11846" spans="26:26" x14ac:dyDescent="0.25">
      <c r="Z11846"/>
    </row>
    <row r="11847" spans="26:26" x14ac:dyDescent="0.25">
      <c r="Z11847"/>
    </row>
    <row r="11848" spans="26:26" x14ac:dyDescent="0.25">
      <c r="Z11848"/>
    </row>
    <row r="11849" spans="26:26" x14ac:dyDescent="0.25">
      <c r="Z11849"/>
    </row>
    <row r="11850" spans="26:26" x14ac:dyDescent="0.25">
      <c r="Z11850"/>
    </row>
    <row r="11851" spans="26:26" x14ac:dyDescent="0.25">
      <c r="Z11851"/>
    </row>
    <row r="11852" spans="26:26" x14ac:dyDescent="0.25">
      <c r="Z11852"/>
    </row>
    <row r="11853" spans="26:26" x14ac:dyDescent="0.25">
      <c r="Z11853"/>
    </row>
    <row r="11854" spans="26:26" x14ac:dyDescent="0.25">
      <c r="Z11854"/>
    </row>
    <row r="11855" spans="26:26" x14ac:dyDescent="0.25">
      <c r="Z11855"/>
    </row>
    <row r="11856" spans="26:26" x14ac:dyDescent="0.25">
      <c r="Z11856"/>
    </row>
    <row r="11857" spans="26:26" x14ac:dyDescent="0.25">
      <c r="Z11857"/>
    </row>
    <row r="11858" spans="26:26" x14ac:dyDescent="0.25">
      <c r="Z11858"/>
    </row>
    <row r="11859" spans="26:26" x14ac:dyDescent="0.25">
      <c r="Z11859"/>
    </row>
    <row r="11860" spans="26:26" x14ac:dyDescent="0.25">
      <c r="Z11860"/>
    </row>
    <row r="11861" spans="26:26" x14ac:dyDescent="0.25">
      <c r="Z11861"/>
    </row>
    <row r="11862" spans="26:26" x14ac:dyDescent="0.25">
      <c r="Z11862"/>
    </row>
    <row r="11863" spans="26:26" x14ac:dyDescent="0.25">
      <c r="Z11863"/>
    </row>
    <row r="11864" spans="26:26" x14ac:dyDescent="0.25">
      <c r="Z11864"/>
    </row>
    <row r="11865" spans="26:26" x14ac:dyDescent="0.25">
      <c r="Z11865"/>
    </row>
    <row r="11866" spans="26:26" x14ac:dyDescent="0.25">
      <c r="Z11866"/>
    </row>
    <row r="11867" spans="26:26" x14ac:dyDescent="0.25">
      <c r="Z11867"/>
    </row>
    <row r="11868" spans="26:26" x14ac:dyDescent="0.25">
      <c r="Z11868"/>
    </row>
    <row r="11869" spans="26:26" x14ac:dyDescent="0.25">
      <c r="Z11869"/>
    </row>
    <row r="11870" spans="26:26" x14ac:dyDescent="0.25">
      <c r="Z11870"/>
    </row>
    <row r="11871" spans="26:26" x14ac:dyDescent="0.25">
      <c r="Z11871"/>
    </row>
    <row r="11872" spans="26:26" x14ac:dyDescent="0.25">
      <c r="Z11872"/>
    </row>
    <row r="11873" spans="26:26" x14ac:dyDescent="0.25">
      <c r="Z11873"/>
    </row>
    <row r="11874" spans="26:26" x14ac:dyDescent="0.25">
      <c r="Z11874"/>
    </row>
    <row r="11875" spans="26:26" x14ac:dyDescent="0.25">
      <c r="Z11875"/>
    </row>
    <row r="11876" spans="26:26" x14ac:dyDescent="0.25">
      <c r="Z11876"/>
    </row>
    <row r="11877" spans="26:26" x14ac:dyDescent="0.25">
      <c r="Z11877"/>
    </row>
    <row r="11878" spans="26:26" x14ac:dyDescent="0.25">
      <c r="Z11878"/>
    </row>
    <row r="11879" spans="26:26" x14ac:dyDescent="0.25">
      <c r="Z11879"/>
    </row>
    <row r="11880" spans="26:26" x14ac:dyDescent="0.25">
      <c r="Z11880"/>
    </row>
    <row r="11881" spans="26:26" x14ac:dyDescent="0.25">
      <c r="Z11881"/>
    </row>
    <row r="11882" spans="26:26" x14ac:dyDescent="0.25">
      <c r="Z11882"/>
    </row>
    <row r="11883" spans="26:26" x14ac:dyDescent="0.25">
      <c r="Z11883"/>
    </row>
    <row r="11884" spans="26:26" x14ac:dyDescent="0.25">
      <c r="Z11884"/>
    </row>
    <row r="11885" spans="26:26" x14ac:dyDescent="0.25">
      <c r="Z11885"/>
    </row>
    <row r="11886" spans="26:26" x14ac:dyDescent="0.25">
      <c r="Z11886"/>
    </row>
    <row r="11887" spans="26:26" x14ac:dyDescent="0.25">
      <c r="Z11887"/>
    </row>
    <row r="11888" spans="26:26" x14ac:dyDescent="0.25">
      <c r="Z11888"/>
    </row>
    <row r="11889" spans="26:26" x14ac:dyDescent="0.25">
      <c r="Z11889"/>
    </row>
    <row r="11890" spans="26:26" x14ac:dyDescent="0.25">
      <c r="Z11890"/>
    </row>
    <row r="11891" spans="26:26" x14ac:dyDescent="0.25">
      <c r="Z11891"/>
    </row>
    <row r="11892" spans="26:26" x14ac:dyDescent="0.25">
      <c r="Z11892"/>
    </row>
    <row r="11893" spans="26:26" x14ac:dyDescent="0.25">
      <c r="Z11893"/>
    </row>
    <row r="11894" spans="26:26" x14ac:dyDescent="0.25">
      <c r="Z11894"/>
    </row>
    <row r="11895" spans="26:26" x14ac:dyDescent="0.25">
      <c r="Z11895"/>
    </row>
    <row r="11896" spans="26:26" x14ac:dyDescent="0.25">
      <c r="Z11896"/>
    </row>
    <row r="11897" spans="26:26" x14ac:dyDescent="0.25">
      <c r="Z11897"/>
    </row>
    <row r="11898" spans="26:26" x14ac:dyDescent="0.25">
      <c r="Z11898"/>
    </row>
    <row r="11899" spans="26:26" x14ac:dyDescent="0.25">
      <c r="Z11899"/>
    </row>
    <row r="11900" spans="26:26" x14ac:dyDescent="0.25">
      <c r="Z11900"/>
    </row>
    <row r="11901" spans="26:26" x14ac:dyDescent="0.25">
      <c r="Z11901"/>
    </row>
    <row r="11902" spans="26:26" x14ac:dyDescent="0.25">
      <c r="Z11902"/>
    </row>
    <row r="11903" spans="26:26" x14ac:dyDescent="0.25">
      <c r="Z11903"/>
    </row>
    <row r="11904" spans="26:26" x14ac:dyDescent="0.25">
      <c r="Z11904"/>
    </row>
    <row r="11905" spans="26:26" x14ac:dyDescent="0.25">
      <c r="Z11905"/>
    </row>
    <row r="11906" spans="26:26" x14ac:dyDescent="0.25">
      <c r="Z11906"/>
    </row>
    <row r="11907" spans="26:26" x14ac:dyDescent="0.25">
      <c r="Z11907"/>
    </row>
    <row r="11908" spans="26:26" x14ac:dyDescent="0.25">
      <c r="Z11908"/>
    </row>
    <row r="11909" spans="26:26" x14ac:dyDescent="0.25">
      <c r="Z11909"/>
    </row>
    <row r="11910" spans="26:26" x14ac:dyDescent="0.25">
      <c r="Z11910"/>
    </row>
    <row r="11911" spans="26:26" x14ac:dyDescent="0.25">
      <c r="Z11911"/>
    </row>
    <row r="11912" spans="26:26" x14ac:dyDescent="0.25">
      <c r="Z11912"/>
    </row>
    <row r="11913" spans="26:26" x14ac:dyDescent="0.25">
      <c r="Z11913"/>
    </row>
    <row r="11914" spans="26:26" x14ac:dyDescent="0.25">
      <c r="Z11914"/>
    </row>
    <row r="11915" spans="26:26" x14ac:dyDescent="0.25">
      <c r="Z11915"/>
    </row>
    <row r="11916" spans="26:26" x14ac:dyDescent="0.25">
      <c r="Z11916"/>
    </row>
    <row r="11917" spans="26:26" x14ac:dyDescent="0.25">
      <c r="Z11917"/>
    </row>
    <row r="11918" spans="26:26" x14ac:dyDescent="0.25">
      <c r="Z11918"/>
    </row>
    <row r="11919" spans="26:26" x14ac:dyDescent="0.25">
      <c r="Z11919"/>
    </row>
    <row r="11920" spans="26:26" x14ac:dyDescent="0.25">
      <c r="Z11920"/>
    </row>
    <row r="11921" spans="26:26" x14ac:dyDescent="0.25">
      <c r="Z11921"/>
    </row>
    <row r="11922" spans="26:26" x14ac:dyDescent="0.25">
      <c r="Z11922"/>
    </row>
    <row r="11923" spans="26:26" x14ac:dyDescent="0.25">
      <c r="Z11923"/>
    </row>
    <row r="11924" spans="26:26" x14ac:dyDescent="0.25">
      <c r="Z11924"/>
    </row>
    <row r="11925" spans="26:26" x14ac:dyDescent="0.25">
      <c r="Z11925"/>
    </row>
    <row r="11926" spans="26:26" x14ac:dyDescent="0.25">
      <c r="Z11926"/>
    </row>
    <row r="11927" spans="26:26" x14ac:dyDescent="0.25">
      <c r="Z11927"/>
    </row>
    <row r="11928" spans="26:26" x14ac:dyDescent="0.25">
      <c r="Z11928"/>
    </row>
    <row r="11929" spans="26:26" x14ac:dyDescent="0.25">
      <c r="Z11929"/>
    </row>
    <row r="11930" spans="26:26" x14ac:dyDescent="0.25">
      <c r="Z11930"/>
    </row>
    <row r="11931" spans="26:26" x14ac:dyDescent="0.25">
      <c r="Z11931"/>
    </row>
    <row r="11932" spans="26:26" x14ac:dyDescent="0.25">
      <c r="Z11932"/>
    </row>
    <row r="11933" spans="26:26" x14ac:dyDescent="0.25">
      <c r="Z11933"/>
    </row>
    <row r="11934" spans="26:26" x14ac:dyDescent="0.25">
      <c r="Z11934"/>
    </row>
    <row r="11935" spans="26:26" x14ac:dyDescent="0.25">
      <c r="Z11935"/>
    </row>
    <row r="11936" spans="26:26" x14ac:dyDescent="0.25">
      <c r="Z11936"/>
    </row>
    <row r="11937" spans="26:26" x14ac:dyDescent="0.25">
      <c r="Z11937"/>
    </row>
    <row r="11938" spans="26:26" x14ac:dyDescent="0.25">
      <c r="Z11938"/>
    </row>
    <row r="11939" spans="26:26" x14ac:dyDescent="0.25">
      <c r="Z11939"/>
    </row>
    <row r="11940" spans="26:26" x14ac:dyDescent="0.25">
      <c r="Z11940"/>
    </row>
    <row r="11941" spans="26:26" x14ac:dyDescent="0.25">
      <c r="Z11941"/>
    </row>
    <row r="11942" spans="26:26" x14ac:dyDescent="0.25">
      <c r="Z11942"/>
    </row>
    <row r="11943" spans="26:26" x14ac:dyDescent="0.25">
      <c r="Z11943"/>
    </row>
    <row r="11944" spans="26:26" x14ac:dyDescent="0.25">
      <c r="Z11944"/>
    </row>
    <row r="11945" spans="26:26" x14ac:dyDescent="0.25">
      <c r="Z11945"/>
    </row>
    <row r="11946" spans="26:26" x14ac:dyDescent="0.25">
      <c r="Z11946"/>
    </row>
    <row r="11947" spans="26:26" x14ac:dyDescent="0.25">
      <c r="Z11947"/>
    </row>
    <row r="11948" spans="26:26" x14ac:dyDescent="0.25">
      <c r="Z11948"/>
    </row>
    <row r="11949" spans="26:26" x14ac:dyDescent="0.25">
      <c r="Z11949"/>
    </row>
    <row r="11950" spans="26:26" x14ac:dyDescent="0.25">
      <c r="Z11950"/>
    </row>
    <row r="11951" spans="26:26" x14ac:dyDescent="0.25">
      <c r="Z11951"/>
    </row>
    <row r="11952" spans="26:26" x14ac:dyDescent="0.25">
      <c r="Z11952"/>
    </row>
    <row r="11953" spans="26:26" x14ac:dyDescent="0.25">
      <c r="Z11953"/>
    </row>
    <row r="11954" spans="26:26" x14ac:dyDescent="0.25">
      <c r="Z11954"/>
    </row>
    <row r="11955" spans="26:26" x14ac:dyDescent="0.25">
      <c r="Z11955"/>
    </row>
    <row r="11956" spans="26:26" x14ac:dyDescent="0.25">
      <c r="Z11956"/>
    </row>
    <row r="11957" spans="26:26" x14ac:dyDescent="0.25">
      <c r="Z11957"/>
    </row>
    <row r="11958" spans="26:26" x14ac:dyDescent="0.25">
      <c r="Z11958"/>
    </row>
    <row r="11959" spans="26:26" x14ac:dyDescent="0.25">
      <c r="Z11959"/>
    </row>
    <row r="11960" spans="26:26" x14ac:dyDescent="0.25">
      <c r="Z11960"/>
    </row>
    <row r="11961" spans="26:26" x14ac:dyDescent="0.25">
      <c r="Z11961"/>
    </row>
    <row r="11962" spans="26:26" x14ac:dyDescent="0.25">
      <c r="Z11962"/>
    </row>
    <row r="11963" spans="26:26" x14ac:dyDescent="0.25">
      <c r="Z11963"/>
    </row>
    <row r="11964" spans="26:26" x14ac:dyDescent="0.25">
      <c r="Z11964"/>
    </row>
    <row r="11965" spans="26:26" x14ac:dyDescent="0.25">
      <c r="Z11965"/>
    </row>
    <row r="11966" spans="26:26" x14ac:dyDescent="0.25">
      <c r="Z11966"/>
    </row>
    <row r="11967" spans="26:26" x14ac:dyDescent="0.25">
      <c r="Z11967"/>
    </row>
    <row r="11968" spans="26:26" x14ac:dyDescent="0.25">
      <c r="Z11968"/>
    </row>
    <row r="11969" spans="26:26" x14ac:dyDescent="0.25">
      <c r="Z11969"/>
    </row>
    <row r="11970" spans="26:26" x14ac:dyDescent="0.25">
      <c r="Z11970"/>
    </row>
    <row r="11971" spans="26:26" x14ac:dyDescent="0.25">
      <c r="Z11971"/>
    </row>
    <row r="11972" spans="26:26" x14ac:dyDescent="0.25">
      <c r="Z11972"/>
    </row>
    <row r="11973" spans="26:26" x14ac:dyDescent="0.25">
      <c r="Z11973"/>
    </row>
    <row r="11974" spans="26:26" x14ac:dyDescent="0.25">
      <c r="Z11974"/>
    </row>
    <row r="11975" spans="26:26" x14ac:dyDescent="0.25">
      <c r="Z11975"/>
    </row>
    <row r="11976" spans="26:26" x14ac:dyDescent="0.25">
      <c r="Z11976"/>
    </row>
    <row r="11977" spans="26:26" x14ac:dyDescent="0.25">
      <c r="Z11977"/>
    </row>
    <row r="11978" spans="26:26" x14ac:dyDescent="0.25">
      <c r="Z11978"/>
    </row>
    <row r="11979" spans="26:26" x14ac:dyDescent="0.25">
      <c r="Z11979"/>
    </row>
    <row r="11980" spans="26:26" x14ac:dyDescent="0.25">
      <c r="Z11980"/>
    </row>
    <row r="11981" spans="26:26" x14ac:dyDescent="0.25">
      <c r="Z11981"/>
    </row>
    <row r="11982" spans="26:26" x14ac:dyDescent="0.25">
      <c r="Z11982"/>
    </row>
    <row r="11983" spans="26:26" x14ac:dyDescent="0.25">
      <c r="Z11983"/>
    </row>
    <row r="11984" spans="26:26" x14ac:dyDescent="0.25">
      <c r="Z11984"/>
    </row>
    <row r="11985" spans="26:26" x14ac:dyDescent="0.25">
      <c r="Z11985"/>
    </row>
    <row r="11986" spans="26:26" x14ac:dyDescent="0.25">
      <c r="Z11986"/>
    </row>
    <row r="11987" spans="26:26" x14ac:dyDescent="0.25">
      <c r="Z11987"/>
    </row>
    <row r="11988" spans="26:26" x14ac:dyDescent="0.25">
      <c r="Z11988"/>
    </row>
    <row r="11989" spans="26:26" x14ac:dyDescent="0.25">
      <c r="Z11989"/>
    </row>
    <row r="11990" spans="26:26" x14ac:dyDescent="0.25">
      <c r="Z11990"/>
    </row>
    <row r="11991" spans="26:26" x14ac:dyDescent="0.25">
      <c r="Z11991"/>
    </row>
    <row r="11992" spans="26:26" x14ac:dyDescent="0.25">
      <c r="Z11992"/>
    </row>
    <row r="11993" spans="26:26" x14ac:dyDescent="0.25">
      <c r="Z11993"/>
    </row>
    <row r="11994" spans="26:26" x14ac:dyDescent="0.25">
      <c r="Z11994"/>
    </row>
    <row r="11995" spans="26:26" x14ac:dyDescent="0.25">
      <c r="Z11995"/>
    </row>
    <row r="11996" spans="26:26" x14ac:dyDescent="0.25">
      <c r="Z11996"/>
    </row>
    <row r="11997" spans="26:26" x14ac:dyDescent="0.25">
      <c r="Z11997"/>
    </row>
    <row r="11998" spans="26:26" x14ac:dyDescent="0.25">
      <c r="Z11998"/>
    </row>
    <row r="11999" spans="26:26" x14ac:dyDescent="0.25">
      <c r="Z11999"/>
    </row>
    <row r="12000" spans="26:26" x14ac:dyDescent="0.25">
      <c r="Z12000"/>
    </row>
    <row r="12001" spans="26:26" x14ac:dyDescent="0.25">
      <c r="Z12001"/>
    </row>
    <row r="12002" spans="26:26" x14ac:dyDescent="0.25">
      <c r="Z12002"/>
    </row>
    <row r="12003" spans="26:26" x14ac:dyDescent="0.25">
      <c r="Z12003"/>
    </row>
    <row r="12004" spans="26:26" x14ac:dyDescent="0.25">
      <c r="Z12004"/>
    </row>
    <row r="12005" spans="26:26" x14ac:dyDescent="0.25">
      <c r="Z12005"/>
    </row>
    <row r="12006" spans="26:26" x14ac:dyDescent="0.25">
      <c r="Z12006"/>
    </row>
    <row r="12007" spans="26:26" x14ac:dyDescent="0.25">
      <c r="Z12007"/>
    </row>
    <row r="12008" spans="26:26" x14ac:dyDescent="0.25">
      <c r="Z12008"/>
    </row>
    <row r="12009" spans="26:26" x14ac:dyDescent="0.25">
      <c r="Z12009"/>
    </row>
    <row r="12010" spans="26:26" x14ac:dyDescent="0.25">
      <c r="Z12010"/>
    </row>
    <row r="12011" spans="26:26" x14ac:dyDescent="0.25">
      <c r="Z12011"/>
    </row>
    <row r="12012" spans="26:26" x14ac:dyDescent="0.25">
      <c r="Z12012"/>
    </row>
    <row r="12013" spans="26:26" x14ac:dyDescent="0.25">
      <c r="Z12013"/>
    </row>
    <row r="12014" spans="26:26" x14ac:dyDescent="0.25">
      <c r="Z12014"/>
    </row>
    <row r="12015" spans="26:26" x14ac:dyDescent="0.25">
      <c r="Z12015"/>
    </row>
    <row r="12016" spans="26:26" x14ac:dyDescent="0.25">
      <c r="Z12016"/>
    </row>
    <row r="12017" spans="26:26" x14ac:dyDescent="0.25">
      <c r="Z12017"/>
    </row>
    <row r="12018" spans="26:26" x14ac:dyDescent="0.25">
      <c r="Z12018"/>
    </row>
    <row r="12019" spans="26:26" x14ac:dyDescent="0.25">
      <c r="Z12019"/>
    </row>
    <row r="12020" spans="26:26" x14ac:dyDescent="0.25">
      <c r="Z12020"/>
    </row>
    <row r="12021" spans="26:26" x14ac:dyDescent="0.25">
      <c r="Z12021"/>
    </row>
    <row r="12022" spans="26:26" x14ac:dyDescent="0.25">
      <c r="Z12022"/>
    </row>
    <row r="12023" spans="26:26" x14ac:dyDescent="0.25">
      <c r="Z12023"/>
    </row>
    <row r="12024" spans="26:26" x14ac:dyDescent="0.25">
      <c r="Z12024"/>
    </row>
    <row r="12025" spans="26:26" x14ac:dyDescent="0.25">
      <c r="Z12025"/>
    </row>
    <row r="12026" spans="26:26" x14ac:dyDescent="0.25">
      <c r="Z12026"/>
    </row>
    <row r="12027" spans="26:26" x14ac:dyDescent="0.25">
      <c r="Z12027"/>
    </row>
    <row r="12028" spans="26:26" x14ac:dyDescent="0.25">
      <c r="Z12028"/>
    </row>
    <row r="12029" spans="26:26" x14ac:dyDescent="0.25">
      <c r="Z12029"/>
    </row>
    <row r="12030" spans="26:26" x14ac:dyDescent="0.25">
      <c r="Z12030"/>
    </row>
    <row r="12031" spans="26:26" x14ac:dyDescent="0.25">
      <c r="Z12031"/>
    </row>
    <row r="12032" spans="26:26" x14ac:dyDescent="0.25">
      <c r="Z12032"/>
    </row>
    <row r="12033" spans="26:26" x14ac:dyDescent="0.25">
      <c r="Z12033"/>
    </row>
    <row r="12034" spans="26:26" x14ac:dyDescent="0.25">
      <c r="Z12034"/>
    </row>
    <row r="12035" spans="26:26" x14ac:dyDescent="0.25">
      <c r="Z12035"/>
    </row>
    <row r="12036" spans="26:26" x14ac:dyDescent="0.25">
      <c r="Z12036"/>
    </row>
    <row r="12037" spans="26:26" x14ac:dyDescent="0.25">
      <c r="Z12037"/>
    </row>
    <row r="12038" spans="26:26" x14ac:dyDescent="0.25">
      <c r="Z12038"/>
    </row>
    <row r="12039" spans="26:26" x14ac:dyDescent="0.25">
      <c r="Z12039"/>
    </row>
    <row r="12040" spans="26:26" x14ac:dyDescent="0.25">
      <c r="Z12040"/>
    </row>
    <row r="12041" spans="26:26" x14ac:dyDescent="0.25">
      <c r="Z12041"/>
    </row>
    <row r="12042" spans="26:26" x14ac:dyDescent="0.25">
      <c r="Z12042"/>
    </row>
    <row r="12043" spans="26:26" x14ac:dyDescent="0.25">
      <c r="Z12043"/>
    </row>
    <row r="12044" spans="26:26" x14ac:dyDescent="0.25">
      <c r="Z12044"/>
    </row>
    <row r="12045" spans="26:26" x14ac:dyDescent="0.25">
      <c r="Z12045"/>
    </row>
    <row r="12046" spans="26:26" x14ac:dyDescent="0.25">
      <c r="Z12046"/>
    </row>
    <row r="12047" spans="26:26" x14ac:dyDescent="0.25">
      <c r="Z12047"/>
    </row>
    <row r="12048" spans="26:26" x14ac:dyDescent="0.25">
      <c r="Z12048"/>
    </row>
    <row r="12049" spans="26:26" x14ac:dyDescent="0.25">
      <c r="Z12049"/>
    </row>
    <row r="12050" spans="26:26" x14ac:dyDescent="0.25">
      <c r="Z12050"/>
    </row>
    <row r="12051" spans="26:26" x14ac:dyDescent="0.25">
      <c r="Z12051"/>
    </row>
    <row r="12052" spans="26:26" x14ac:dyDescent="0.25">
      <c r="Z12052"/>
    </row>
    <row r="12053" spans="26:26" x14ac:dyDescent="0.25">
      <c r="Z12053"/>
    </row>
    <row r="12054" spans="26:26" x14ac:dyDescent="0.25">
      <c r="Z12054"/>
    </row>
    <row r="12055" spans="26:26" x14ac:dyDescent="0.25">
      <c r="Z12055"/>
    </row>
    <row r="12056" spans="26:26" x14ac:dyDescent="0.25">
      <c r="Z12056"/>
    </row>
    <row r="12057" spans="26:26" x14ac:dyDescent="0.25">
      <c r="Z12057"/>
    </row>
    <row r="12058" spans="26:26" x14ac:dyDescent="0.25">
      <c r="Z12058"/>
    </row>
    <row r="12059" spans="26:26" x14ac:dyDescent="0.25">
      <c r="Z12059"/>
    </row>
    <row r="12060" spans="26:26" x14ac:dyDescent="0.25">
      <c r="Z12060"/>
    </row>
    <row r="12061" spans="26:26" x14ac:dyDescent="0.25">
      <c r="Z12061"/>
    </row>
    <row r="12062" spans="26:26" x14ac:dyDescent="0.25">
      <c r="Z12062"/>
    </row>
    <row r="12063" spans="26:26" x14ac:dyDescent="0.25">
      <c r="Z12063"/>
    </row>
    <row r="12064" spans="26:26" x14ac:dyDescent="0.25">
      <c r="Z12064"/>
    </row>
    <row r="12065" spans="26:26" x14ac:dyDescent="0.25">
      <c r="Z12065"/>
    </row>
    <row r="12066" spans="26:26" x14ac:dyDescent="0.25">
      <c r="Z12066"/>
    </row>
    <row r="12067" spans="26:26" x14ac:dyDescent="0.25">
      <c r="Z12067"/>
    </row>
    <row r="12068" spans="26:26" x14ac:dyDescent="0.25">
      <c r="Z12068"/>
    </row>
    <row r="12069" spans="26:26" x14ac:dyDescent="0.25">
      <c r="Z12069"/>
    </row>
    <row r="12070" spans="26:26" x14ac:dyDescent="0.25">
      <c r="Z12070"/>
    </row>
    <row r="12071" spans="26:26" x14ac:dyDescent="0.25">
      <c r="Z12071"/>
    </row>
    <row r="12072" spans="26:26" x14ac:dyDescent="0.25">
      <c r="Z12072"/>
    </row>
    <row r="12073" spans="26:26" x14ac:dyDescent="0.25">
      <c r="Z12073"/>
    </row>
    <row r="12074" spans="26:26" x14ac:dyDescent="0.25">
      <c r="Z12074"/>
    </row>
    <row r="12075" spans="26:26" x14ac:dyDescent="0.25">
      <c r="Z12075"/>
    </row>
    <row r="12076" spans="26:26" x14ac:dyDescent="0.25">
      <c r="Z12076"/>
    </row>
    <row r="12077" spans="26:26" x14ac:dyDescent="0.25">
      <c r="Z12077"/>
    </row>
    <row r="12078" spans="26:26" x14ac:dyDescent="0.25">
      <c r="Z12078"/>
    </row>
    <row r="12079" spans="26:26" x14ac:dyDescent="0.25">
      <c r="Z12079"/>
    </row>
    <row r="12080" spans="26:26" x14ac:dyDescent="0.25">
      <c r="Z12080"/>
    </row>
    <row r="12081" spans="26:26" x14ac:dyDescent="0.25">
      <c r="Z12081"/>
    </row>
    <row r="12082" spans="26:26" x14ac:dyDescent="0.25">
      <c r="Z12082"/>
    </row>
    <row r="12083" spans="26:26" x14ac:dyDescent="0.25">
      <c r="Z12083"/>
    </row>
    <row r="12084" spans="26:26" x14ac:dyDescent="0.25">
      <c r="Z12084"/>
    </row>
    <row r="12085" spans="26:26" x14ac:dyDescent="0.25">
      <c r="Z12085"/>
    </row>
    <row r="12086" spans="26:26" x14ac:dyDescent="0.25">
      <c r="Z12086"/>
    </row>
    <row r="12087" spans="26:26" x14ac:dyDescent="0.25">
      <c r="Z12087"/>
    </row>
    <row r="12088" spans="26:26" x14ac:dyDescent="0.25">
      <c r="Z12088"/>
    </row>
    <row r="12089" spans="26:26" x14ac:dyDescent="0.25">
      <c r="Z12089"/>
    </row>
    <row r="12090" spans="26:26" x14ac:dyDescent="0.25">
      <c r="Z12090"/>
    </row>
    <row r="12091" spans="26:26" x14ac:dyDescent="0.25">
      <c r="Z12091"/>
    </row>
    <row r="12092" spans="26:26" x14ac:dyDescent="0.25">
      <c r="Z12092"/>
    </row>
    <row r="12093" spans="26:26" x14ac:dyDescent="0.25">
      <c r="Z12093"/>
    </row>
    <row r="12094" spans="26:26" x14ac:dyDescent="0.25">
      <c r="Z12094"/>
    </row>
    <row r="12095" spans="26:26" x14ac:dyDescent="0.25">
      <c r="Z12095"/>
    </row>
    <row r="12096" spans="26:26" x14ac:dyDescent="0.25">
      <c r="Z12096"/>
    </row>
    <row r="12097" spans="26:26" x14ac:dyDescent="0.25">
      <c r="Z12097"/>
    </row>
    <row r="12098" spans="26:26" x14ac:dyDescent="0.25">
      <c r="Z12098"/>
    </row>
    <row r="12099" spans="26:26" x14ac:dyDescent="0.25">
      <c r="Z12099"/>
    </row>
    <row r="12100" spans="26:26" x14ac:dyDescent="0.25">
      <c r="Z12100"/>
    </row>
    <row r="12101" spans="26:26" x14ac:dyDescent="0.25">
      <c r="Z12101"/>
    </row>
    <row r="12102" spans="26:26" x14ac:dyDescent="0.25">
      <c r="Z12102"/>
    </row>
    <row r="12103" spans="26:26" x14ac:dyDescent="0.25">
      <c r="Z12103"/>
    </row>
    <row r="12104" spans="26:26" x14ac:dyDescent="0.25">
      <c r="Z12104"/>
    </row>
    <row r="12105" spans="26:26" x14ac:dyDescent="0.25">
      <c r="Z12105"/>
    </row>
    <row r="12106" spans="26:26" x14ac:dyDescent="0.25">
      <c r="Z12106"/>
    </row>
    <row r="12107" spans="26:26" x14ac:dyDescent="0.25">
      <c r="Z12107"/>
    </row>
    <row r="12108" spans="26:26" x14ac:dyDescent="0.25">
      <c r="Z12108"/>
    </row>
    <row r="12109" spans="26:26" x14ac:dyDescent="0.25">
      <c r="Z12109"/>
    </row>
    <row r="12110" spans="26:26" x14ac:dyDescent="0.25">
      <c r="Z12110"/>
    </row>
    <row r="12111" spans="26:26" x14ac:dyDescent="0.25">
      <c r="Z12111"/>
    </row>
    <row r="12112" spans="26:26" x14ac:dyDescent="0.25">
      <c r="Z12112"/>
    </row>
    <row r="12113" spans="26:26" x14ac:dyDescent="0.25">
      <c r="Z12113"/>
    </row>
    <row r="12114" spans="26:26" x14ac:dyDescent="0.25">
      <c r="Z12114"/>
    </row>
    <row r="12115" spans="26:26" x14ac:dyDescent="0.25">
      <c r="Z12115"/>
    </row>
    <row r="12116" spans="26:26" x14ac:dyDescent="0.25">
      <c r="Z12116"/>
    </row>
    <row r="12117" spans="26:26" x14ac:dyDescent="0.25">
      <c r="Z12117"/>
    </row>
    <row r="12118" spans="26:26" x14ac:dyDescent="0.25">
      <c r="Z12118"/>
    </row>
    <row r="12119" spans="26:26" x14ac:dyDescent="0.25">
      <c r="Z12119"/>
    </row>
    <row r="12120" spans="26:26" x14ac:dyDescent="0.25">
      <c r="Z12120"/>
    </row>
    <row r="12121" spans="26:26" x14ac:dyDescent="0.25">
      <c r="Z12121"/>
    </row>
    <row r="12122" spans="26:26" x14ac:dyDescent="0.25">
      <c r="Z12122"/>
    </row>
    <row r="12123" spans="26:26" x14ac:dyDescent="0.25">
      <c r="Z12123"/>
    </row>
    <row r="12124" spans="26:26" x14ac:dyDescent="0.25">
      <c r="Z12124"/>
    </row>
    <row r="12125" spans="26:26" x14ac:dyDescent="0.25">
      <c r="Z12125"/>
    </row>
    <row r="12126" spans="26:26" x14ac:dyDescent="0.25">
      <c r="Z12126"/>
    </row>
    <row r="12127" spans="26:26" x14ac:dyDescent="0.25">
      <c r="Z12127"/>
    </row>
    <row r="12128" spans="26:26" x14ac:dyDescent="0.25">
      <c r="Z12128"/>
    </row>
    <row r="12129" spans="26:26" x14ac:dyDescent="0.25">
      <c r="Z12129"/>
    </row>
    <row r="12130" spans="26:26" x14ac:dyDescent="0.25">
      <c r="Z12130"/>
    </row>
    <row r="12131" spans="26:26" x14ac:dyDescent="0.25">
      <c r="Z12131"/>
    </row>
    <row r="12132" spans="26:26" x14ac:dyDescent="0.25">
      <c r="Z12132"/>
    </row>
    <row r="12133" spans="26:26" x14ac:dyDescent="0.25">
      <c r="Z12133"/>
    </row>
    <row r="12134" spans="26:26" x14ac:dyDescent="0.25">
      <c r="Z12134"/>
    </row>
    <row r="12135" spans="26:26" x14ac:dyDescent="0.25">
      <c r="Z12135"/>
    </row>
    <row r="12136" spans="26:26" x14ac:dyDescent="0.25">
      <c r="Z12136"/>
    </row>
    <row r="12137" spans="26:26" x14ac:dyDescent="0.25">
      <c r="Z12137"/>
    </row>
    <row r="12138" spans="26:26" x14ac:dyDescent="0.25">
      <c r="Z12138"/>
    </row>
    <row r="12139" spans="26:26" x14ac:dyDescent="0.25">
      <c r="Z12139"/>
    </row>
    <row r="12140" spans="26:26" x14ac:dyDescent="0.25">
      <c r="Z12140"/>
    </row>
    <row r="12141" spans="26:26" x14ac:dyDescent="0.25">
      <c r="Z12141"/>
    </row>
    <row r="12142" spans="26:26" x14ac:dyDescent="0.25">
      <c r="Z12142"/>
    </row>
    <row r="12143" spans="26:26" x14ac:dyDescent="0.25">
      <c r="Z12143"/>
    </row>
    <row r="12144" spans="26:26" x14ac:dyDescent="0.25">
      <c r="Z12144"/>
    </row>
    <row r="12145" spans="26:26" x14ac:dyDescent="0.25">
      <c r="Z12145"/>
    </row>
    <row r="12146" spans="26:26" x14ac:dyDescent="0.25">
      <c r="Z12146"/>
    </row>
    <row r="12147" spans="26:26" x14ac:dyDescent="0.25">
      <c r="Z12147"/>
    </row>
    <row r="12148" spans="26:26" x14ac:dyDescent="0.25">
      <c r="Z12148"/>
    </row>
    <row r="12149" spans="26:26" x14ac:dyDescent="0.25">
      <c r="Z12149"/>
    </row>
    <row r="12150" spans="26:26" x14ac:dyDescent="0.25">
      <c r="Z12150"/>
    </row>
    <row r="12151" spans="26:26" x14ac:dyDescent="0.25">
      <c r="Z12151"/>
    </row>
    <row r="12152" spans="26:26" x14ac:dyDescent="0.25">
      <c r="Z12152"/>
    </row>
    <row r="12153" spans="26:26" x14ac:dyDescent="0.25">
      <c r="Z12153"/>
    </row>
    <row r="12154" spans="26:26" x14ac:dyDescent="0.25">
      <c r="Z12154"/>
    </row>
    <row r="12155" spans="26:26" x14ac:dyDescent="0.25">
      <c r="Z12155"/>
    </row>
    <row r="12156" spans="26:26" x14ac:dyDescent="0.25">
      <c r="Z12156"/>
    </row>
    <row r="12157" spans="26:26" x14ac:dyDescent="0.25">
      <c r="Z12157"/>
    </row>
    <row r="12158" spans="26:26" x14ac:dyDescent="0.25">
      <c r="Z12158"/>
    </row>
    <row r="12159" spans="26:26" x14ac:dyDescent="0.25">
      <c r="Z12159"/>
    </row>
    <row r="12160" spans="26:26" x14ac:dyDescent="0.25">
      <c r="Z12160"/>
    </row>
    <row r="12161" spans="26:26" x14ac:dyDescent="0.25">
      <c r="Z12161"/>
    </row>
    <row r="12162" spans="26:26" x14ac:dyDescent="0.25">
      <c r="Z12162"/>
    </row>
    <row r="12163" spans="26:26" x14ac:dyDescent="0.25">
      <c r="Z12163"/>
    </row>
    <row r="12164" spans="26:26" x14ac:dyDescent="0.25">
      <c r="Z12164"/>
    </row>
    <row r="12165" spans="26:26" x14ac:dyDescent="0.25">
      <c r="Z12165"/>
    </row>
    <row r="12166" spans="26:26" x14ac:dyDescent="0.25">
      <c r="Z12166"/>
    </row>
    <row r="12167" spans="26:26" x14ac:dyDescent="0.25">
      <c r="Z12167"/>
    </row>
    <row r="12168" spans="26:26" x14ac:dyDescent="0.25">
      <c r="Z12168"/>
    </row>
    <row r="12169" spans="26:26" x14ac:dyDescent="0.25">
      <c r="Z12169"/>
    </row>
    <row r="12170" spans="26:26" x14ac:dyDescent="0.25">
      <c r="Z12170"/>
    </row>
    <row r="12171" spans="26:26" x14ac:dyDescent="0.25">
      <c r="Z12171"/>
    </row>
    <row r="12172" spans="26:26" x14ac:dyDescent="0.25">
      <c r="Z12172"/>
    </row>
    <row r="12173" spans="26:26" x14ac:dyDescent="0.25">
      <c r="Z12173"/>
    </row>
    <row r="12174" spans="26:26" x14ac:dyDescent="0.25">
      <c r="Z12174"/>
    </row>
    <row r="12175" spans="26:26" x14ac:dyDescent="0.25">
      <c r="Z12175"/>
    </row>
    <row r="12176" spans="26:26" x14ac:dyDescent="0.25">
      <c r="Z12176"/>
    </row>
    <row r="12177" spans="26:26" x14ac:dyDescent="0.25">
      <c r="Z12177"/>
    </row>
    <row r="12178" spans="26:26" x14ac:dyDescent="0.25">
      <c r="Z12178"/>
    </row>
    <row r="12179" spans="26:26" x14ac:dyDescent="0.25">
      <c r="Z12179"/>
    </row>
    <row r="12180" spans="26:26" x14ac:dyDescent="0.25">
      <c r="Z12180"/>
    </row>
    <row r="12181" spans="26:26" x14ac:dyDescent="0.25">
      <c r="Z12181"/>
    </row>
    <row r="12182" spans="26:26" x14ac:dyDescent="0.25">
      <c r="Z12182"/>
    </row>
    <row r="12183" spans="26:26" x14ac:dyDescent="0.25">
      <c r="Z12183"/>
    </row>
    <row r="12184" spans="26:26" x14ac:dyDescent="0.25">
      <c r="Z12184"/>
    </row>
    <row r="12185" spans="26:26" x14ac:dyDescent="0.25">
      <c r="Z12185"/>
    </row>
    <row r="12186" spans="26:26" x14ac:dyDescent="0.25">
      <c r="Z12186"/>
    </row>
    <row r="12187" spans="26:26" x14ac:dyDescent="0.25">
      <c r="Z12187"/>
    </row>
    <row r="12188" spans="26:26" x14ac:dyDescent="0.25">
      <c r="Z12188"/>
    </row>
    <row r="12189" spans="26:26" x14ac:dyDescent="0.25">
      <c r="Z12189"/>
    </row>
    <row r="12190" spans="26:26" x14ac:dyDescent="0.25">
      <c r="Z12190"/>
    </row>
    <row r="12191" spans="26:26" x14ac:dyDescent="0.25">
      <c r="Z12191"/>
    </row>
    <row r="12192" spans="26:26" x14ac:dyDescent="0.25">
      <c r="Z12192"/>
    </row>
    <row r="12193" spans="26:26" x14ac:dyDescent="0.25">
      <c r="Z12193"/>
    </row>
    <row r="12194" spans="26:26" x14ac:dyDescent="0.25">
      <c r="Z12194"/>
    </row>
    <row r="12195" spans="26:26" x14ac:dyDescent="0.25">
      <c r="Z12195"/>
    </row>
    <row r="12196" spans="26:26" x14ac:dyDescent="0.25">
      <c r="Z12196"/>
    </row>
    <row r="12197" spans="26:26" x14ac:dyDescent="0.25">
      <c r="Z12197"/>
    </row>
    <row r="12198" spans="26:26" x14ac:dyDescent="0.25">
      <c r="Z12198"/>
    </row>
    <row r="12199" spans="26:26" x14ac:dyDescent="0.25">
      <c r="Z12199"/>
    </row>
    <row r="12200" spans="26:26" x14ac:dyDescent="0.25">
      <c r="Z12200"/>
    </row>
    <row r="12201" spans="26:26" x14ac:dyDescent="0.25">
      <c r="Z12201"/>
    </row>
    <row r="12202" spans="26:26" x14ac:dyDescent="0.25">
      <c r="Z12202"/>
    </row>
    <row r="12203" spans="26:26" x14ac:dyDescent="0.25">
      <c r="Z12203"/>
    </row>
    <row r="12204" spans="26:26" x14ac:dyDescent="0.25">
      <c r="Z12204"/>
    </row>
    <row r="12205" spans="26:26" x14ac:dyDescent="0.25">
      <c r="Z12205"/>
    </row>
    <row r="12206" spans="26:26" x14ac:dyDescent="0.25">
      <c r="Z12206"/>
    </row>
    <row r="12207" spans="26:26" x14ac:dyDescent="0.25">
      <c r="Z12207"/>
    </row>
    <row r="12208" spans="26:26" x14ac:dyDescent="0.25">
      <c r="Z12208"/>
    </row>
    <row r="12209" spans="26:26" x14ac:dyDescent="0.25">
      <c r="Z12209"/>
    </row>
    <row r="12210" spans="26:26" x14ac:dyDescent="0.25">
      <c r="Z12210"/>
    </row>
    <row r="12211" spans="26:26" x14ac:dyDescent="0.25">
      <c r="Z12211"/>
    </row>
    <row r="12212" spans="26:26" x14ac:dyDescent="0.25">
      <c r="Z12212"/>
    </row>
    <row r="12213" spans="26:26" x14ac:dyDescent="0.25">
      <c r="Z12213"/>
    </row>
    <row r="12214" spans="26:26" x14ac:dyDescent="0.25">
      <c r="Z12214"/>
    </row>
    <row r="12215" spans="26:26" x14ac:dyDescent="0.25">
      <c r="Z12215"/>
    </row>
    <row r="12216" spans="26:26" x14ac:dyDescent="0.25">
      <c r="Z12216"/>
    </row>
    <row r="12217" spans="26:26" x14ac:dyDescent="0.25">
      <c r="Z12217"/>
    </row>
    <row r="12218" spans="26:26" x14ac:dyDescent="0.25">
      <c r="Z12218"/>
    </row>
    <row r="12219" spans="26:26" x14ac:dyDescent="0.25">
      <c r="Z12219"/>
    </row>
    <row r="12220" spans="26:26" x14ac:dyDescent="0.25">
      <c r="Z12220"/>
    </row>
    <row r="12221" spans="26:26" x14ac:dyDescent="0.25">
      <c r="Z12221"/>
    </row>
    <row r="12222" spans="26:26" x14ac:dyDescent="0.25">
      <c r="Z12222"/>
    </row>
    <row r="12223" spans="26:26" x14ac:dyDescent="0.25">
      <c r="Z12223"/>
    </row>
    <row r="12224" spans="26:26" x14ac:dyDescent="0.25">
      <c r="Z12224"/>
    </row>
    <row r="12225" spans="26:26" x14ac:dyDescent="0.25">
      <c r="Z12225"/>
    </row>
    <row r="12226" spans="26:26" x14ac:dyDescent="0.25">
      <c r="Z12226"/>
    </row>
    <row r="12227" spans="26:26" x14ac:dyDescent="0.25">
      <c r="Z12227"/>
    </row>
    <row r="12228" spans="26:26" x14ac:dyDescent="0.25">
      <c r="Z12228"/>
    </row>
    <row r="12229" spans="26:26" x14ac:dyDescent="0.25">
      <c r="Z12229"/>
    </row>
    <row r="12230" spans="26:26" x14ac:dyDescent="0.25">
      <c r="Z12230"/>
    </row>
    <row r="12231" spans="26:26" x14ac:dyDescent="0.25">
      <c r="Z12231"/>
    </row>
    <row r="12232" spans="26:26" x14ac:dyDescent="0.25">
      <c r="Z12232"/>
    </row>
    <row r="12233" spans="26:26" x14ac:dyDescent="0.25">
      <c r="Z12233"/>
    </row>
    <row r="12234" spans="26:26" x14ac:dyDescent="0.25">
      <c r="Z12234"/>
    </row>
    <row r="12235" spans="26:26" x14ac:dyDescent="0.25">
      <c r="Z12235"/>
    </row>
    <row r="12236" spans="26:26" x14ac:dyDescent="0.25">
      <c r="Z12236"/>
    </row>
    <row r="12237" spans="26:26" x14ac:dyDescent="0.25">
      <c r="Z12237"/>
    </row>
    <row r="12238" spans="26:26" x14ac:dyDescent="0.25">
      <c r="Z12238"/>
    </row>
    <row r="12239" spans="26:26" x14ac:dyDescent="0.25">
      <c r="Z12239"/>
    </row>
    <row r="12240" spans="26:26" x14ac:dyDescent="0.25">
      <c r="Z12240"/>
    </row>
    <row r="12241" spans="26:26" x14ac:dyDescent="0.25">
      <c r="Z12241"/>
    </row>
    <row r="12242" spans="26:26" x14ac:dyDescent="0.25">
      <c r="Z12242"/>
    </row>
    <row r="12243" spans="26:26" x14ac:dyDescent="0.25">
      <c r="Z12243"/>
    </row>
    <row r="12244" spans="26:26" x14ac:dyDescent="0.25">
      <c r="Z12244"/>
    </row>
    <row r="12245" spans="26:26" x14ac:dyDescent="0.25">
      <c r="Z12245"/>
    </row>
    <row r="12246" spans="26:26" x14ac:dyDescent="0.25">
      <c r="Z12246"/>
    </row>
    <row r="12247" spans="26:26" x14ac:dyDescent="0.25">
      <c r="Z12247"/>
    </row>
    <row r="12248" spans="26:26" x14ac:dyDescent="0.25">
      <c r="Z12248"/>
    </row>
    <row r="12249" spans="26:26" x14ac:dyDescent="0.25">
      <c r="Z12249"/>
    </row>
    <row r="12250" spans="26:26" x14ac:dyDescent="0.25">
      <c r="Z12250"/>
    </row>
    <row r="12251" spans="26:26" x14ac:dyDescent="0.25">
      <c r="Z12251"/>
    </row>
    <row r="12252" spans="26:26" x14ac:dyDescent="0.25">
      <c r="Z12252"/>
    </row>
    <row r="12253" spans="26:26" x14ac:dyDescent="0.25">
      <c r="Z12253"/>
    </row>
    <row r="12254" spans="26:26" x14ac:dyDescent="0.25">
      <c r="Z12254"/>
    </row>
    <row r="12255" spans="26:26" x14ac:dyDescent="0.25">
      <c r="Z12255"/>
    </row>
    <row r="12256" spans="26:26" x14ac:dyDescent="0.25">
      <c r="Z12256"/>
    </row>
    <row r="12257" spans="26:26" x14ac:dyDescent="0.25">
      <c r="Z12257"/>
    </row>
    <row r="12258" spans="26:26" x14ac:dyDescent="0.25">
      <c r="Z12258"/>
    </row>
    <row r="12259" spans="26:26" x14ac:dyDescent="0.25">
      <c r="Z12259"/>
    </row>
    <row r="12260" spans="26:26" x14ac:dyDescent="0.25">
      <c r="Z12260"/>
    </row>
    <row r="12261" spans="26:26" x14ac:dyDescent="0.25">
      <c r="Z12261"/>
    </row>
    <row r="12262" spans="26:26" x14ac:dyDescent="0.25">
      <c r="Z12262"/>
    </row>
    <row r="12263" spans="26:26" x14ac:dyDescent="0.25">
      <c r="Z12263"/>
    </row>
    <row r="12264" spans="26:26" x14ac:dyDescent="0.25">
      <c r="Z12264"/>
    </row>
    <row r="12265" spans="26:26" x14ac:dyDescent="0.25">
      <c r="Z12265"/>
    </row>
    <row r="12266" spans="26:26" x14ac:dyDescent="0.25">
      <c r="Z12266"/>
    </row>
    <row r="12267" spans="26:26" x14ac:dyDescent="0.25">
      <c r="Z12267"/>
    </row>
    <row r="12268" spans="26:26" x14ac:dyDescent="0.25">
      <c r="Z12268"/>
    </row>
    <row r="12269" spans="26:26" x14ac:dyDescent="0.25">
      <c r="Z12269"/>
    </row>
    <row r="12270" spans="26:26" x14ac:dyDescent="0.25">
      <c r="Z12270"/>
    </row>
    <row r="12271" spans="26:26" x14ac:dyDescent="0.25">
      <c r="Z12271"/>
    </row>
    <row r="12272" spans="26:26" x14ac:dyDescent="0.25">
      <c r="Z12272"/>
    </row>
    <row r="12273" spans="26:26" x14ac:dyDescent="0.25">
      <c r="Z12273"/>
    </row>
    <row r="12274" spans="26:26" x14ac:dyDescent="0.25">
      <c r="Z12274"/>
    </row>
    <row r="12275" spans="26:26" x14ac:dyDescent="0.25">
      <c r="Z12275"/>
    </row>
    <row r="12276" spans="26:26" x14ac:dyDescent="0.25">
      <c r="Z12276"/>
    </row>
    <row r="12277" spans="26:26" x14ac:dyDescent="0.25">
      <c r="Z12277"/>
    </row>
    <row r="12278" spans="26:26" x14ac:dyDescent="0.25">
      <c r="Z12278"/>
    </row>
    <row r="12279" spans="26:26" x14ac:dyDescent="0.25">
      <c r="Z12279"/>
    </row>
    <row r="12280" spans="26:26" x14ac:dyDescent="0.25">
      <c r="Z12280"/>
    </row>
    <row r="12281" spans="26:26" x14ac:dyDescent="0.25">
      <c r="Z12281"/>
    </row>
    <row r="12282" spans="26:26" x14ac:dyDescent="0.25">
      <c r="Z12282"/>
    </row>
    <row r="12283" spans="26:26" x14ac:dyDescent="0.25">
      <c r="Z12283"/>
    </row>
    <row r="12284" spans="26:26" x14ac:dyDescent="0.25">
      <c r="Z12284"/>
    </row>
    <row r="12285" spans="26:26" x14ac:dyDescent="0.25">
      <c r="Z12285"/>
    </row>
    <row r="12286" spans="26:26" x14ac:dyDescent="0.25">
      <c r="Z12286"/>
    </row>
    <row r="12287" spans="26:26" x14ac:dyDescent="0.25">
      <c r="Z12287"/>
    </row>
    <row r="12288" spans="26:26" x14ac:dyDescent="0.25">
      <c r="Z12288"/>
    </row>
    <row r="12289" spans="26:26" x14ac:dyDescent="0.25">
      <c r="Z12289"/>
    </row>
    <row r="12290" spans="26:26" x14ac:dyDescent="0.25">
      <c r="Z12290"/>
    </row>
    <row r="12291" spans="26:26" x14ac:dyDescent="0.25">
      <c r="Z12291"/>
    </row>
    <row r="12292" spans="26:26" x14ac:dyDescent="0.25">
      <c r="Z12292"/>
    </row>
    <row r="12293" spans="26:26" x14ac:dyDescent="0.25">
      <c r="Z12293"/>
    </row>
    <row r="12294" spans="26:26" x14ac:dyDescent="0.25">
      <c r="Z12294"/>
    </row>
    <row r="12295" spans="26:26" x14ac:dyDescent="0.25">
      <c r="Z12295"/>
    </row>
    <row r="12296" spans="26:26" x14ac:dyDescent="0.25">
      <c r="Z12296"/>
    </row>
    <row r="12297" spans="26:26" x14ac:dyDescent="0.25">
      <c r="Z12297"/>
    </row>
    <row r="12298" spans="26:26" x14ac:dyDescent="0.25">
      <c r="Z12298"/>
    </row>
    <row r="12299" spans="26:26" x14ac:dyDescent="0.25">
      <c r="Z12299"/>
    </row>
    <row r="12300" spans="26:26" x14ac:dyDescent="0.25">
      <c r="Z12300"/>
    </row>
    <row r="12301" spans="26:26" x14ac:dyDescent="0.25">
      <c r="Z12301"/>
    </row>
    <row r="12302" spans="26:26" x14ac:dyDescent="0.25">
      <c r="Z12302"/>
    </row>
    <row r="12303" spans="26:26" x14ac:dyDescent="0.25">
      <c r="Z12303"/>
    </row>
    <row r="12304" spans="26:26" x14ac:dyDescent="0.25">
      <c r="Z12304"/>
    </row>
    <row r="12305" spans="26:26" x14ac:dyDescent="0.25">
      <c r="Z12305"/>
    </row>
    <row r="12306" spans="26:26" x14ac:dyDescent="0.25">
      <c r="Z12306"/>
    </row>
    <row r="12307" spans="26:26" x14ac:dyDescent="0.25">
      <c r="Z12307"/>
    </row>
    <row r="12308" spans="26:26" x14ac:dyDescent="0.25">
      <c r="Z12308"/>
    </row>
    <row r="12309" spans="26:26" x14ac:dyDescent="0.25">
      <c r="Z12309"/>
    </row>
    <row r="12310" spans="26:26" x14ac:dyDescent="0.25">
      <c r="Z12310"/>
    </row>
    <row r="12311" spans="26:26" x14ac:dyDescent="0.25">
      <c r="Z12311"/>
    </row>
    <row r="12312" spans="26:26" x14ac:dyDescent="0.25">
      <c r="Z12312"/>
    </row>
    <row r="12313" spans="26:26" x14ac:dyDescent="0.25">
      <c r="Z12313"/>
    </row>
    <row r="12314" spans="26:26" x14ac:dyDescent="0.25">
      <c r="Z12314"/>
    </row>
    <row r="12315" spans="26:26" x14ac:dyDescent="0.25">
      <c r="Z12315"/>
    </row>
    <row r="12316" spans="26:26" x14ac:dyDescent="0.25">
      <c r="Z12316"/>
    </row>
    <row r="12317" spans="26:26" x14ac:dyDescent="0.25">
      <c r="Z12317"/>
    </row>
    <row r="12318" spans="26:26" x14ac:dyDescent="0.25">
      <c r="Z12318"/>
    </row>
    <row r="12319" spans="26:26" x14ac:dyDescent="0.25">
      <c r="Z12319"/>
    </row>
    <row r="12320" spans="26:26" x14ac:dyDescent="0.25">
      <c r="Z12320"/>
    </row>
    <row r="12321" spans="26:26" x14ac:dyDescent="0.25">
      <c r="Z12321"/>
    </row>
    <row r="12322" spans="26:26" x14ac:dyDescent="0.25">
      <c r="Z12322"/>
    </row>
    <row r="12323" spans="26:26" x14ac:dyDescent="0.25">
      <c r="Z12323"/>
    </row>
    <row r="12324" spans="26:26" x14ac:dyDescent="0.25">
      <c r="Z12324"/>
    </row>
    <row r="12325" spans="26:26" x14ac:dyDescent="0.25">
      <c r="Z12325"/>
    </row>
    <row r="12326" spans="26:26" x14ac:dyDescent="0.25">
      <c r="Z12326"/>
    </row>
    <row r="12327" spans="26:26" x14ac:dyDescent="0.25">
      <c r="Z12327"/>
    </row>
    <row r="12328" spans="26:26" x14ac:dyDescent="0.25">
      <c r="Z12328"/>
    </row>
    <row r="12329" spans="26:26" x14ac:dyDescent="0.25">
      <c r="Z12329"/>
    </row>
    <row r="12330" spans="26:26" x14ac:dyDescent="0.25">
      <c r="Z12330"/>
    </row>
    <row r="12331" spans="26:26" x14ac:dyDescent="0.25">
      <c r="Z12331"/>
    </row>
    <row r="12332" spans="26:26" x14ac:dyDescent="0.25">
      <c r="Z12332"/>
    </row>
    <row r="12333" spans="26:26" x14ac:dyDescent="0.25">
      <c r="Z12333"/>
    </row>
    <row r="12334" spans="26:26" x14ac:dyDescent="0.25">
      <c r="Z12334"/>
    </row>
    <row r="12335" spans="26:26" x14ac:dyDescent="0.25">
      <c r="Z12335"/>
    </row>
    <row r="12336" spans="26:26" x14ac:dyDescent="0.25">
      <c r="Z12336"/>
    </row>
    <row r="12337" spans="26:26" x14ac:dyDescent="0.25">
      <c r="Z12337"/>
    </row>
    <row r="12338" spans="26:26" x14ac:dyDescent="0.25">
      <c r="Z12338"/>
    </row>
    <row r="12339" spans="26:26" x14ac:dyDescent="0.25">
      <c r="Z12339"/>
    </row>
    <row r="12340" spans="26:26" x14ac:dyDescent="0.25">
      <c r="Z12340"/>
    </row>
    <row r="12341" spans="26:26" x14ac:dyDescent="0.25">
      <c r="Z12341"/>
    </row>
    <row r="12342" spans="26:26" x14ac:dyDescent="0.25">
      <c r="Z12342"/>
    </row>
    <row r="12343" spans="26:26" x14ac:dyDescent="0.25">
      <c r="Z12343"/>
    </row>
    <row r="12344" spans="26:26" x14ac:dyDescent="0.25">
      <c r="Z12344"/>
    </row>
    <row r="12345" spans="26:26" x14ac:dyDescent="0.25">
      <c r="Z12345"/>
    </row>
    <row r="12346" spans="26:26" x14ac:dyDescent="0.25">
      <c r="Z12346"/>
    </row>
    <row r="12347" spans="26:26" x14ac:dyDescent="0.25">
      <c r="Z12347"/>
    </row>
    <row r="12348" spans="26:26" x14ac:dyDescent="0.25">
      <c r="Z12348"/>
    </row>
    <row r="12349" spans="26:26" x14ac:dyDescent="0.25">
      <c r="Z12349"/>
    </row>
    <row r="12350" spans="26:26" x14ac:dyDescent="0.25">
      <c r="Z12350"/>
    </row>
    <row r="12351" spans="26:26" x14ac:dyDescent="0.25">
      <c r="Z12351"/>
    </row>
    <row r="12352" spans="26:26" x14ac:dyDescent="0.25">
      <c r="Z12352"/>
    </row>
    <row r="12353" spans="26:26" x14ac:dyDescent="0.25">
      <c r="Z12353"/>
    </row>
    <row r="12354" spans="26:26" x14ac:dyDescent="0.25">
      <c r="Z12354"/>
    </row>
    <row r="12355" spans="26:26" x14ac:dyDescent="0.25">
      <c r="Z12355"/>
    </row>
    <row r="12356" spans="26:26" x14ac:dyDescent="0.25">
      <c r="Z12356"/>
    </row>
    <row r="12357" spans="26:26" x14ac:dyDescent="0.25">
      <c r="Z12357"/>
    </row>
    <row r="12358" spans="26:26" x14ac:dyDescent="0.25">
      <c r="Z12358"/>
    </row>
    <row r="12359" spans="26:26" x14ac:dyDescent="0.25">
      <c r="Z12359"/>
    </row>
    <row r="12360" spans="26:26" x14ac:dyDescent="0.25">
      <c r="Z12360"/>
    </row>
    <row r="12361" spans="26:26" x14ac:dyDescent="0.25">
      <c r="Z12361"/>
    </row>
    <row r="12362" spans="26:26" x14ac:dyDescent="0.25">
      <c r="Z12362"/>
    </row>
    <row r="12363" spans="26:26" x14ac:dyDescent="0.25">
      <c r="Z12363"/>
    </row>
    <row r="12364" spans="26:26" x14ac:dyDescent="0.25">
      <c r="Z12364"/>
    </row>
    <row r="12365" spans="26:26" x14ac:dyDescent="0.25">
      <c r="Z12365"/>
    </row>
    <row r="12366" spans="26:26" x14ac:dyDescent="0.25">
      <c r="Z12366"/>
    </row>
    <row r="12367" spans="26:26" x14ac:dyDescent="0.25">
      <c r="Z12367"/>
    </row>
    <row r="12368" spans="26:26" x14ac:dyDescent="0.25">
      <c r="Z12368"/>
    </row>
    <row r="12369" spans="26:26" x14ac:dyDescent="0.25">
      <c r="Z12369"/>
    </row>
    <row r="12370" spans="26:26" x14ac:dyDescent="0.25">
      <c r="Z12370"/>
    </row>
    <row r="12371" spans="26:26" x14ac:dyDescent="0.25">
      <c r="Z12371"/>
    </row>
    <row r="12372" spans="26:26" x14ac:dyDescent="0.25">
      <c r="Z12372"/>
    </row>
    <row r="12373" spans="26:26" x14ac:dyDescent="0.25">
      <c r="Z12373"/>
    </row>
    <row r="12374" spans="26:26" x14ac:dyDescent="0.25">
      <c r="Z12374"/>
    </row>
    <row r="12375" spans="26:26" x14ac:dyDescent="0.25">
      <c r="Z12375"/>
    </row>
    <row r="12376" spans="26:26" x14ac:dyDescent="0.25">
      <c r="Z12376"/>
    </row>
    <row r="12377" spans="26:26" x14ac:dyDescent="0.25">
      <c r="Z12377"/>
    </row>
    <row r="12378" spans="26:26" x14ac:dyDescent="0.25">
      <c r="Z12378"/>
    </row>
    <row r="12379" spans="26:26" x14ac:dyDescent="0.25">
      <c r="Z12379"/>
    </row>
    <row r="12380" spans="26:26" x14ac:dyDescent="0.25">
      <c r="Z12380"/>
    </row>
    <row r="12381" spans="26:26" x14ac:dyDescent="0.25">
      <c r="Z12381"/>
    </row>
    <row r="12382" spans="26:26" x14ac:dyDescent="0.25">
      <c r="Z12382"/>
    </row>
    <row r="12383" spans="26:26" x14ac:dyDescent="0.25">
      <c r="Z12383"/>
    </row>
    <row r="12384" spans="26:26" x14ac:dyDescent="0.25">
      <c r="Z12384"/>
    </row>
    <row r="12385" spans="26:26" x14ac:dyDescent="0.25">
      <c r="Z12385"/>
    </row>
    <row r="12386" spans="26:26" x14ac:dyDescent="0.25">
      <c r="Z12386"/>
    </row>
    <row r="12387" spans="26:26" x14ac:dyDescent="0.25">
      <c r="Z12387"/>
    </row>
    <row r="12388" spans="26:26" x14ac:dyDescent="0.25">
      <c r="Z12388"/>
    </row>
    <row r="12389" spans="26:26" x14ac:dyDescent="0.25">
      <c r="Z12389"/>
    </row>
    <row r="12390" spans="26:26" x14ac:dyDescent="0.25">
      <c r="Z12390"/>
    </row>
    <row r="12391" spans="26:26" x14ac:dyDescent="0.25">
      <c r="Z12391"/>
    </row>
    <row r="12392" spans="26:26" x14ac:dyDescent="0.25">
      <c r="Z12392"/>
    </row>
    <row r="12393" spans="26:26" x14ac:dyDescent="0.25">
      <c r="Z12393"/>
    </row>
    <row r="12394" spans="26:26" x14ac:dyDescent="0.25">
      <c r="Z12394"/>
    </row>
    <row r="12395" spans="26:26" x14ac:dyDescent="0.25">
      <c r="Z12395"/>
    </row>
    <row r="12396" spans="26:26" x14ac:dyDescent="0.25">
      <c r="Z12396"/>
    </row>
    <row r="12397" spans="26:26" x14ac:dyDescent="0.25">
      <c r="Z12397"/>
    </row>
    <row r="12398" spans="26:26" x14ac:dyDescent="0.25">
      <c r="Z12398"/>
    </row>
    <row r="12399" spans="26:26" x14ac:dyDescent="0.25">
      <c r="Z12399"/>
    </row>
    <row r="12400" spans="26:26" x14ac:dyDescent="0.25">
      <c r="Z12400"/>
    </row>
    <row r="12401" spans="26:26" x14ac:dyDescent="0.25">
      <c r="Z12401"/>
    </row>
    <row r="12402" spans="26:26" x14ac:dyDescent="0.25">
      <c r="Z12402"/>
    </row>
    <row r="12403" spans="26:26" x14ac:dyDescent="0.25">
      <c r="Z12403"/>
    </row>
    <row r="12404" spans="26:26" x14ac:dyDescent="0.25">
      <c r="Z12404"/>
    </row>
    <row r="12405" spans="26:26" x14ac:dyDescent="0.25">
      <c r="Z12405"/>
    </row>
    <row r="12406" spans="26:26" x14ac:dyDescent="0.25">
      <c r="Z12406"/>
    </row>
    <row r="12407" spans="26:26" x14ac:dyDescent="0.25">
      <c r="Z12407"/>
    </row>
    <row r="12408" spans="26:26" x14ac:dyDescent="0.25">
      <c r="Z12408"/>
    </row>
    <row r="12409" spans="26:26" x14ac:dyDescent="0.25">
      <c r="Z12409"/>
    </row>
    <row r="12410" spans="26:26" x14ac:dyDescent="0.25">
      <c r="Z12410"/>
    </row>
    <row r="12411" spans="26:26" x14ac:dyDescent="0.25">
      <c r="Z12411"/>
    </row>
    <row r="12412" spans="26:26" x14ac:dyDescent="0.25">
      <c r="Z12412"/>
    </row>
    <row r="12413" spans="26:26" x14ac:dyDescent="0.25">
      <c r="Z12413"/>
    </row>
    <row r="12414" spans="26:26" x14ac:dyDescent="0.25">
      <c r="Z12414"/>
    </row>
    <row r="12415" spans="26:26" x14ac:dyDescent="0.25">
      <c r="Z12415"/>
    </row>
    <row r="12416" spans="26:26" x14ac:dyDescent="0.25">
      <c r="Z12416"/>
    </row>
    <row r="12417" spans="26:26" x14ac:dyDescent="0.25">
      <c r="Z12417"/>
    </row>
    <row r="12418" spans="26:26" x14ac:dyDescent="0.25">
      <c r="Z12418"/>
    </row>
    <row r="12419" spans="26:26" x14ac:dyDescent="0.25">
      <c r="Z12419"/>
    </row>
    <row r="12420" spans="26:26" x14ac:dyDescent="0.25">
      <c r="Z12420"/>
    </row>
    <row r="12421" spans="26:26" x14ac:dyDescent="0.25">
      <c r="Z12421"/>
    </row>
    <row r="12422" spans="26:26" x14ac:dyDescent="0.25">
      <c r="Z12422"/>
    </row>
    <row r="12423" spans="26:26" x14ac:dyDescent="0.25">
      <c r="Z12423"/>
    </row>
    <row r="12424" spans="26:26" x14ac:dyDescent="0.25">
      <c r="Z12424"/>
    </row>
    <row r="12425" spans="26:26" x14ac:dyDescent="0.25">
      <c r="Z12425"/>
    </row>
    <row r="12426" spans="26:26" x14ac:dyDescent="0.25">
      <c r="Z12426"/>
    </row>
    <row r="12427" spans="26:26" x14ac:dyDescent="0.25">
      <c r="Z12427"/>
    </row>
    <row r="12428" spans="26:26" x14ac:dyDescent="0.25">
      <c r="Z12428"/>
    </row>
    <row r="12429" spans="26:26" x14ac:dyDescent="0.25">
      <c r="Z12429"/>
    </row>
    <row r="12430" spans="26:26" x14ac:dyDescent="0.25">
      <c r="Z12430"/>
    </row>
    <row r="12431" spans="26:26" x14ac:dyDescent="0.25">
      <c r="Z12431"/>
    </row>
    <row r="12432" spans="26:26" x14ac:dyDescent="0.25">
      <c r="Z12432"/>
    </row>
    <row r="12433" spans="26:26" x14ac:dyDescent="0.25">
      <c r="Z12433"/>
    </row>
    <row r="12434" spans="26:26" x14ac:dyDescent="0.25">
      <c r="Z12434"/>
    </row>
    <row r="12435" spans="26:26" x14ac:dyDescent="0.25">
      <c r="Z12435"/>
    </row>
    <row r="12436" spans="26:26" x14ac:dyDescent="0.25">
      <c r="Z12436"/>
    </row>
    <row r="12437" spans="26:26" x14ac:dyDescent="0.25">
      <c r="Z12437"/>
    </row>
    <row r="12438" spans="26:26" x14ac:dyDescent="0.25">
      <c r="Z12438"/>
    </row>
    <row r="12439" spans="26:26" x14ac:dyDescent="0.25">
      <c r="Z12439"/>
    </row>
    <row r="12440" spans="26:26" x14ac:dyDescent="0.25">
      <c r="Z12440"/>
    </row>
    <row r="12441" spans="26:26" x14ac:dyDescent="0.25">
      <c r="Z12441"/>
    </row>
    <row r="12442" spans="26:26" x14ac:dyDescent="0.25">
      <c r="Z12442"/>
    </row>
    <row r="12443" spans="26:26" x14ac:dyDescent="0.25">
      <c r="Z12443"/>
    </row>
    <row r="12444" spans="26:26" x14ac:dyDescent="0.25">
      <c r="Z12444"/>
    </row>
    <row r="12445" spans="26:26" x14ac:dyDescent="0.25">
      <c r="Z12445"/>
    </row>
    <row r="12446" spans="26:26" x14ac:dyDescent="0.25">
      <c r="Z12446"/>
    </row>
    <row r="12447" spans="26:26" x14ac:dyDescent="0.25">
      <c r="Z12447"/>
    </row>
    <row r="12448" spans="26:26" x14ac:dyDescent="0.25">
      <c r="Z12448"/>
    </row>
    <row r="12449" spans="26:26" x14ac:dyDescent="0.25">
      <c r="Z12449"/>
    </row>
    <row r="12450" spans="26:26" x14ac:dyDescent="0.25">
      <c r="Z12450"/>
    </row>
    <row r="12451" spans="26:26" x14ac:dyDescent="0.25">
      <c r="Z12451"/>
    </row>
    <row r="12452" spans="26:26" x14ac:dyDescent="0.25">
      <c r="Z12452"/>
    </row>
    <row r="12453" spans="26:26" x14ac:dyDescent="0.25">
      <c r="Z12453"/>
    </row>
    <row r="12454" spans="26:26" x14ac:dyDescent="0.25">
      <c r="Z12454"/>
    </row>
    <row r="12455" spans="26:26" x14ac:dyDescent="0.25">
      <c r="Z12455"/>
    </row>
    <row r="12456" spans="26:26" x14ac:dyDescent="0.25">
      <c r="Z12456"/>
    </row>
    <row r="12457" spans="26:26" x14ac:dyDescent="0.25">
      <c r="Z12457"/>
    </row>
    <row r="12458" spans="26:26" x14ac:dyDescent="0.25">
      <c r="Z12458"/>
    </row>
    <row r="12459" spans="26:26" x14ac:dyDescent="0.25">
      <c r="Z12459"/>
    </row>
    <row r="12460" spans="26:26" x14ac:dyDescent="0.25">
      <c r="Z12460"/>
    </row>
    <row r="12461" spans="26:26" x14ac:dyDescent="0.25">
      <c r="Z12461"/>
    </row>
    <row r="12462" spans="26:26" x14ac:dyDescent="0.25">
      <c r="Z12462"/>
    </row>
    <row r="12463" spans="26:26" x14ac:dyDescent="0.25">
      <c r="Z12463"/>
    </row>
    <row r="12464" spans="26:26" x14ac:dyDescent="0.25">
      <c r="Z12464"/>
    </row>
    <row r="12465" spans="26:26" x14ac:dyDescent="0.25">
      <c r="Z12465"/>
    </row>
    <row r="12466" spans="26:26" x14ac:dyDescent="0.25">
      <c r="Z12466"/>
    </row>
    <row r="12467" spans="26:26" x14ac:dyDescent="0.25">
      <c r="Z12467"/>
    </row>
    <row r="12468" spans="26:26" x14ac:dyDescent="0.25">
      <c r="Z12468"/>
    </row>
    <row r="12469" spans="26:26" x14ac:dyDescent="0.25">
      <c r="Z12469"/>
    </row>
    <row r="12470" spans="26:26" x14ac:dyDescent="0.25">
      <c r="Z12470"/>
    </row>
    <row r="12471" spans="26:26" x14ac:dyDescent="0.25">
      <c r="Z12471"/>
    </row>
    <row r="12472" spans="26:26" x14ac:dyDescent="0.25">
      <c r="Z12472"/>
    </row>
    <row r="12473" spans="26:26" x14ac:dyDescent="0.25">
      <c r="Z12473"/>
    </row>
    <row r="12474" spans="26:26" x14ac:dyDescent="0.25">
      <c r="Z12474"/>
    </row>
    <row r="12475" spans="26:26" x14ac:dyDescent="0.25">
      <c r="Z12475"/>
    </row>
    <row r="12476" spans="26:26" x14ac:dyDescent="0.25">
      <c r="Z12476"/>
    </row>
    <row r="12477" spans="26:26" x14ac:dyDescent="0.25">
      <c r="Z12477"/>
    </row>
    <row r="12478" spans="26:26" x14ac:dyDescent="0.25">
      <c r="Z12478"/>
    </row>
    <row r="12479" spans="26:26" x14ac:dyDescent="0.25">
      <c r="Z12479"/>
    </row>
    <row r="12480" spans="26:26" x14ac:dyDescent="0.25">
      <c r="Z12480"/>
    </row>
    <row r="12481" spans="26:26" x14ac:dyDescent="0.25">
      <c r="Z12481"/>
    </row>
    <row r="12482" spans="26:26" x14ac:dyDescent="0.25">
      <c r="Z12482"/>
    </row>
    <row r="12483" spans="26:26" x14ac:dyDescent="0.25">
      <c r="Z12483"/>
    </row>
    <row r="12484" spans="26:26" x14ac:dyDescent="0.25">
      <c r="Z12484"/>
    </row>
    <row r="12485" spans="26:26" x14ac:dyDescent="0.25">
      <c r="Z12485"/>
    </row>
    <row r="12486" spans="26:26" x14ac:dyDescent="0.25">
      <c r="Z12486"/>
    </row>
    <row r="12487" spans="26:26" x14ac:dyDescent="0.25">
      <c r="Z12487"/>
    </row>
    <row r="12488" spans="26:26" x14ac:dyDescent="0.25">
      <c r="Z12488"/>
    </row>
    <row r="12489" spans="26:26" x14ac:dyDescent="0.25">
      <c r="Z12489"/>
    </row>
    <row r="12490" spans="26:26" x14ac:dyDescent="0.25">
      <c r="Z12490"/>
    </row>
    <row r="12491" spans="26:26" x14ac:dyDescent="0.25">
      <c r="Z12491"/>
    </row>
    <row r="12492" spans="26:26" x14ac:dyDescent="0.25">
      <c r="Z12492"/>
    </row>
    <row r="12493" spans="26:26" x14ac:dyDescent="0.25">
      <c r="Z12493"/>
    </row>
    <row r="12494" spans="26:26" x14ac:dyDescent="0.25">
      <c r="Z12494"/>
    </row>
    <row r="12495" spans="26:26" x14ac:dyDescent="0.25">
      <c r="Z12495"/>
    </row>
    <row r="12496" spans="26:26" x14ac:dyDescent="0.25">
      <c r="Z12496"/>
    </row>
    <row r="12497" spans="26:26" x14ac:dyDescent="0.25">
      <c r="Z12497"/>
    </row>
    <row r="12498" spans="26:26" x14ac:dyDescent="0.25">
      <c r="Z12498"/>
    </row>
    <row r="12499" spans="26:26" x14ac:dyDescent="0.25">
      <c r="Z12499"/>
    </row>
    <row r="12500" spans="26:26" x14ac:dyDescent="0.25">
      <c r="Z12500"/>
    </row>
    <row r="12501" spans="26:26" x14ac:dyDescent="0.25">
      <c r="Z12501"/>
    </row>
    <row r="12502" spans="26:26" x14ac:dyDescent="0.25">
      <c r="Z12502"/>
    </row>
    <row r="12503" spans="26:26" x14ac:dyDescent="0.25">
      <c r="Z12503"/>
    </row>
    <row r="12504" spans="26:26" x14ac:dyDescent="0.25">
      <c r="Z12504"/>
    </row>
    <row r="12505" spans="26:26" x14ac:dyDescent="0.25">
      <c r="Z12505"/>
    </row>
    <row r="12506" spans="26:26" x14ac:dyDescent="0.25">
      <c r="Z12506"/>
    </row>
    <row r="12507" spans="26:26" x14ac:dyDescent="0.25">
      <c r="Z12507"/>
    </row>
    <row r="12508" spans="26:26" x14ac:dyDescent="0.25">
      <c r="Z12508"/>
    </row>
    <row r="12509" spans="26:26" x14ac:dyDescent="0.25">
      <c r="Z12509"/>
    </row>
    <row r="12510" spans="26:26" x14ac:dyDescent="0.25">
      <c r="Z12510"/>
    </row>
    <row r="12511" spans="26:26" x14ac:dyDescent="0.25">
      <c r="Z12511"/>
    </row>
    <row r="12512" spans="26:26" x14ac:dyDescent="0.25">
      <c r="Z12512"/>
    </row>
    <row r="12513" spans="26:26" x14ac:dyDescent="0.25">
      <c r="Z12513"/>
    </row>
    <row r="12514" spans="26:26" x14ac:dyDescent="0.25">
      <c r="Z12514"/>
    </row>
    <row r="12515" spans="26:26" x14ac:dyDescent="0.25">
      <c r="Z12515"/>
    </row>
    <row r="12516" spans="26:26" x14ac:dyDescent="0.25">
      <c r="Z12516"/>
    </row>
    <row r="12517" spans="26:26" x14ac:dyDescent="0.25">
      <c r="Z12517"/>
    </row>
    <row r="12518" spans="26:26" x14ac:dyDescent="0.25">
      <c r="Z12518"/>
    </row>
    <row r="12519" spans="26:26" x14ac:dyDescent="0.25">
      <c r="Z12519"/>
    </row>
    <row r="12520" spans="26:26" x14ac:dyDescent="0.25">
      <c r="Z12520"/>
    </row>
    <row r="12521" spans="26:26" x14ac:dyDescent="0.25">
      <c r="Z12521"/>
    </row>
    <row r="12522" spans="26:26" x14ac:dyDescent="0.25">
      <c r="Z12522"/>
    </row>
    <row r="12523" spans="26:26" x14ac:dyDescent="0.25">
      <c r="Z12523"/>
    </row>
    <row r="12524" spans="26:26" x14ac:dyDescent="0.25">
      <c r="Z12524"/>
    </row>
    <row r="12525" spans="26:26" x14ac:dyDescent="0.25">
      <c r="Z12525"/>
    </row>
    <row r="12526" spans="26:26" x14ac:dyDescent="0.25">
      <c r="Z12526"/>
    </row>
    <row r="12527" spans="26:26" x14ac:dyDescent="0.25">
      <c r="Z12527"/>
    </row>
    <row r="12528" spans="26:26" x14ac:dyDescent="0.25">
      <c r="Z12528"/>
    </row>
    <row r="12529" spans="26:26" x14ac:dyDescent="0.25">
      <c r="Z12529"/>
    </row>
    <row r="12530" spans="26:26" x14ac:dyDescent="0.25">
      <c r="Z12530"/>
    </row>
    <row r="12531" spans="26:26" x14ac:dyDescent="0.25">
      <c r="Z12531"/>
    </row>
    <row r="12532" spans="26:26" x14ac:dyDescent="0.25">
      <c r="Z12532"/>
    </row>
    <row r="12533" spans="26:26" x14ac:dyDescent="0.25">
      <c r="Z12533"/>
    </row>
    <row r="12534" spans="26:26" x14ac:dyDescent="0.25">
      <c r="Z12534"/>
    </row>
    <row r="12535" spans="26:26" x14ac:dyDescent="0.25">
      <c r="Z12535"/>
    </row>
    <row r="12536" spans="26:26" x14ac:dyDescent="0.25">
      <c r="Z12536"/>
    </row>
    <row r="12537" spans="26:26" x14ac:dyDescent="0.25">
      <c r="Z12537"/>
    </row>
    <row r="12538" spans="26:26" x14ac:dyDescent="0.25">
      <c r="Z12538"/>
    </row>
    <row r="12539" spans="26:26" x14ac:dyDescent="0.25">
      <c r="Z12539"/>
    </row>
    <row r="12540" spans="26:26" x14ac:dyDescent="0.25">
      <c r="Z12540"/>
    </row>
    <row r="12541" spans="26:26" x14ac:dyDescent="0.25">
      <c r="Z12541"/>
    </row>
    <row r="12542" spans="26:26" x14ac:dyDescent="0.25">
      <c r="Z12542"/>
    </row>
    <row r="12543" spans="26:26" x14ac:dyDescent="0.25">
      <c r="Z12543"/>
    </row>
    <row r="12544" spans="26:26" x14ac:dyDescent="0.25">
      <c r="Z12544"/>
    </row>
    <row r="12545" spans="26:26" x14ac:dyDescent="0.25">
      <c r="Z12545"/>
    </row>
    <row r="12546" spans="26:26" x14ac:dyDescent="0.25">
      <c r="Z12546"/>
    </row>
    <row r="12547" spans="26:26" x14ac:dyDescent="0.25">
      <c r="Z12547"/>
    </row>
    <row r="12548" spans="26:26" x14ac:dyDescent="0.25">
      <c r="Z12548"/>
    </row>
    <row r="12549" spans="26:26" x14ac:dyDescent="0.25">
      <c r="Z12549"/>
    </row>
    <row r="12550" spans="26:26" x14ac:dyDescent="0.25">
      <c r="Z12550"/>
    </row>
    <row r="12551" spans="26:26" x14ac:dyDescent="0.25">
      <c r="Z12551"/>
    </row>
    <row r="12552" spans="26:26" x14ac:dyDescent="0.25">
      <c r="Z12552"/>
    </row>
    <row r="12553" spans="26:26" x14ac:dyDescent="0.25">
      <c r="Z12553"/>
    </row>
    <row r="12554" spans="26:26" x14ac:dyDescent="0.25">
      <c r="Z12554"/>
    </row>
    <row r="12555" spans="26:26" x14ac:dyDescent="0.25">
      <c r="Z12555"/>
    </row>
    <row r="12556" spans="26:26" x14ac:dyDescent="0.25">
      <c r="Z12556"/>
    </row>
    <row r="12557" spans="26:26" x14ac:dyDescent="0.25">
      <c r="Z12557"/>
    </row>
    <row r="12558" spans="26:26" x14ac:dyDescent="0.25">
      <c r="Z12558"/>
    </row>
    <row r="12559" spans="26:26" x14ac:dyDescent="0.25">
      <c r="Z12559"/>
    </row>
    <row r="12560" spans="26:26" x14ac:dyDescent="0.25">
      <c r="Z12560"/>
    </row>
    <row r="12561" spans="26:26" x14ac:dyDescent="0.25">
      <c r="Z12561"/>
    </row>
    <row r="12562" spans="26:26" x14ac:dyDescent="0.25">
      <c r="Z12562"/>
    </row>
    <row r="12563" spans="26:26" x14ac:dyDescent="0.25">
      <c r="Z12563"/>
    </row>
    <row r="12564" spans="26:26" x14ac:dyDescent="0.25">
      <c r="Z12564"/>
    </row>
    <row r="12565" spans="26:26" x14ac:dyDescent="0.25">
      <c r="Z12565"/>
    </row>
    <row r="12566" spans="26:26" x14ac:dyDescent="0.25">
      <c r="Z12566"/>
    </row>
    <row r="12567" spans="26:26" x14ac:dyDescent="0.25">
      <c r="Z12567"/>
    </row>
    <row r="12568" spans="26:26" x14ac:dyDescent="0.25">
      <c r="Z12568"/>
    </row>
    <row r="12569" spans="26:26" x14ac:dyDescent="0.25">
      <c r="Z12569"/>
    </row>
    <row r="12570" spans="26:26" x14ac:dyDescent="0.25">
      <c r="Z12570"/>
    </row>
    <row r="12571" spans="26:26" x14ac:dyDescent="0.25">
      <c r="Z12571"/>
    </row>
    <row r="12572" spans="26:26" x14ac:dyDescent="0.25">
      <c r="Z12572"/>
    </row>
    <row r="12573" spans="26:26" x14ac:dyDescent="0.25">
      <c r="Z12573"/>
    </row>
    <row r="12574" spans="26:26" x14ac:dyDescent="0.25">
      <c r="Z12574"/>
    </row>
    <row r="12575" spans="26:26" x14ac:dyDescent="0.25">
      <c r="Z12575"/>
    </row>
    <row r="12576" spans="26:26" x14ac:dyDescent="0.25">
      <c r="Z12576"/>
    </row>
    <row r="12577" spans="26:26" x14ac:dyDescent="0.25">
      <c r="Z12577"/>
    </row>
    <row r="12578" spans="26:26" x14ac:dyDescent="0.25">
      <c r="Z12578"/>
    </row>
    <row r="12579" spans="26:26" x14ac:dyDescent="0.25">
      <c r="Z12579"/>
    </row>
    <row r="12580" spans="26:26" x14ac:dyDescent="0.25">
      <c r="Z12580"/>
    </row>
    <row r="12581" spans="26:26" x14ac:dyDescent="0.25">
      <c r="Z12581"/>
    </row>
    <row r="12582" spans="26:26" x14ac:dyDescent="0.25">
      <c r="Z12582"/>
    </row>
    <row r="12583" spans="26:26" x14ac:dyDescent="0.25">
      <c r="Z12583"/>
    </row>
    <row r="12584" spans="26:26" x14ac:dyDescent="0.25">
      <c r="Z12584"/>
    </row>
    <row r="12585" spans="26:26" x14ac:dyDescent="0.25">
      <c r="Z12585"/>
    </row>
    <row r="12586" spans="26:26" x14ac:dyDescent="0.25">
      <c r="Z12586"/>
    </row>
    <row r="12587" spans="26:26" x14ac:dyDescent="0.25">
      <c r="Z12587"/>
    </row>
    <row r="12588" spans="26:26" x14ac:dyDescent="0.25">
      <c r="Z12588"/>
    </row>
    <row r="12589" spans="26:26" x14ac:dyDescent="0.25">
      <c r="Z12589"/>
    </row>
    <row r="12590" spans="26:26" x14ac:dyDescent="0.25">
      <c r="Z12590"/>
    </row>
    <row r="12591" spans="26:26" x14ac:dyDescent="0.25">
      <c r="Z12591"/>
    </row>
    <row r="12592" spans="26:26" x14ac:dyDescent="0.25">
      <c r="Z12592"/>
    </row>
    <row r="12593" spans="26:26" x14ac:dyDescent="0.25">
      <c r="Z12593"/>
    </row>
    <row r="12594" spans="26:26" x14ac:dyDescent="0.25">
      <c r="Z12594"/>
    </row>
    <row r="12595" spans="26:26" x14ac:dyDescent="0.25">
      <c r="Z12595"/>
    </row>
    <row r="12596" spans="26:26" x14ac:dyDescent="0.25">
      <c r="Z12596"/>
    </row>
    <row r="12597" spans="26:26" x14ac:dyDescent="0.25">
      <c r="Z12597"/>
    </row>
    <row r="12598" spans="26:26" x14ac:dyDescent="0.25">
      <c r="Z12598"/>
    </row>
    <row r="12599" spans="26:26" x14ac:dyDescent="0.25">
      <c r="Z12599"/>
    </row>
    <row r="12600" spans="26:26" x14ac:dyDescent="0.25">
      <c r="Z12600"/>
    </row>
    <row r="12601" spans="26:26" x14ac:dyDescent="0.25">
      <c r="Z12601"/>
    </row>
    <row r="12602" spans="26:26" x14ac:dyDescent="0.25">
      <c r="Z12602"/>
    </row>
    <row r="12603" spans="26:26" x14ac:dyDescent="0.25">
      <c r="Z12603"/>
    </row>
    <row r="12604" spans="26:26" x14ac:dyDescent="0.25">
      <c r="Z12604"/>
    </row>
    <row r="12605" spans="26:26" x14ac:dyDescent="0.25">
      <c r="Z12605"/>
    </row>
    <row r="12606" spans="26:26" x14ac:dyDescent="0.25">
      <c r="Z12606"/>
    </row>
    <row r="12607" spans="26:26" x14ac:dyDescent="0.25">
      <c r="Z12607"/>
    </row>
    <row r="12608" spans="26:26" x14ac:dyDescent="0.25">
      <c r="Z12608"/>
    </row>
    <row r="12609" spans="26:26" x14ac:dyDescent="0.25">
      <c r="Z12609"/>
    </row>
    <row r="12610" spans="26:26" x14ac:dyDescent="0.25">
      <c r="Z12610"/>
    </row>
    <row r="12611" spans="26:26" x14ac:dyDescent="0.25">
      <c r="Z12611"/>
    </row>
    <row r="12612" spans="26:26" x14ac:dyDescent="0.25">
      <c r="Z12612"/>
    </row>
    <row r="12613" spans="26:26" x14ac:dyDescent="0.25">
      <c r="Z12613"/>
    </row>
    <row r="12614" spans="26:26" x14ac:dyDescent="0.25">
      <c r="Z12614"/>
    </row>
    <row r="12615" spans="26:26" x14ac:dyDescent="0.25">
      <c r="Z12615"/>
    </row>
    <row r="12616" spans="26:26" x14ac:dyDescent="0.25">
      <c r="Z12616"/>
    </row>
    <row r="12617" spans="26:26" x14ac:dyDescent="0.25">
      <c r="Z12617"/>
    </row>
    <row r="12618" spans="26:26" x14ac:dyDescent="0.25">
      <c r="Z12618"/>
    </row>
    <row r="12619" spans="26:26" x14ac:dyDescent="0.25">
      <c r="Z12619"/>
    </row>
    <row r="12620" spans="26:26" x14ac:dyDescent="0.25">
      <c r="Z12620"/>
    </row>
    <row r="12621" spans="26:26" x14ac:dyDescent="0.25">
      <c r="Z12621"/>
    </row>
    <row r="12622" spans="26:26" x14ac:dyDescent="0.25">
      <c r="Z12622"/>
    </row>
    <row r="12623" spans="26:26" x14ac:dyDescent="0.25">
      <c r="Z12623"/>
    </row>
    <row r="12624" spans="26:26" x14ac:dyDescent="0.25">
      <c r="Z12624"/>
    </row>
    <row r="12625" spans="26:26" x14ac:dyDescent="0.25">
      <c r="Z12625"/>
    </row>
    <row r="12626" spans="26:26" x14ac:dyDescent="0.25">
      <c r="Z12626"/>
    </row>
    <row r="12627" spans="26:26" x14ac:dyDescent="0.25">
      <c r="Z12627"/>
    </row>
    <row r="12628" spans="26:26" x14ac:dyDescent="0.25">
      <c r="Z12628"/>
    </row>
    <row r="12629" spans="26:26" x14ac:dyDescent="0.25">
      <c r="Z12629"/>
    </row>
    <row r="12630" spans="26:26" x14ac:dyDescent="0.25">
      <c r="Z12630"/>
    </row>
    <row r="12631" spans="26:26" x14ac:dyDescent="0.25">
      <c r="Z12631"/>
    </row>
    <row r="12632" spans="26:26" x14ac:dyDescent="0.25">
      <c r="Z12632"/>
    </row>
    <row r="12633" spans="26:26" x14ac:dyDescent="0.25">
      <c r="Z12633"/>
    </row>
    <row r="12634" spans="26:26" x14ac:dyDescent="0.25">
      <c r="Z12634"/>
    </row>
    <row r="12635" spans="26:26" x14ac:dyDescent="0.25">
      <c r="Z12635"/>
    </row>
    <row r="12636" spans="26:26" x14ac:dyDescent="0.25">
      <c r="Z12636"/>
    </row>
    <row r="12637" spans="26:26" x14ac:dyDescent="0.25">
      <c r="Z12637"/>
    </row>
    <row r="12638" spans="26:26" x14ac:dyDescent="0.25">
      <c r="Z12638"/>
    </row>
    <row r="12639" spans="26:26" x14ac:dyDescent="0.25">
      <c r="Z12639"/>
    </row>
    <row r="12640" spans="26:26" x14ac:dyDescent="0.25">
      <c r="Z12640"/>
    </row>
    <row r="12641" spans="26:26" x14ac:dyDescent="0.25">
      <c r="Z12641"/>
    </row>
    <row r="12642" spans="26:26" x14ac:dyDescent="0.25">
      <c r="Z12642"/>
    </row>
    <row r="12643" spans="26:26" x14ac:dyDescent="0.25">
      <c r="Z12643"/>
    </row>
    <row r="12644" spans="26:26" x14ac:dyDescent="0.25">
      <c r="Z12644"/>
    </row>
    <row r="12645" spans="26:26" x14ac:dyDescent="0.25">
      <c r="Z12645"/>
    </row>
    <row r="12646" spans="26:26" x14ac:dyDescent="0.25">
      <c r="Z12646"/>
    </row>
    <row r="12647" spans="26:26" x14ac:dyDescent="0.25">
      <c r="Z12647"/>
    </row>
    <row r="12648" spans="26:26" x14ac:dyDescent="0.25">
      <c r="Z12648"/>
    </row>
    <row r="12649" spans="26:26" x14ac:dyDescent="0.25">
      <c r="Z12649"/>
    </row>
    <row r="12650" spans="26:26" x14ac:dyDescent="0.25">
      <c r="Z12650"/>
    </row>
    <row r="12651" spans="26:26" x14ac:dyDescent="0.25">
      <c r="Z12651"/>
    </row>
    <row r="12652" spans="26:26" x14ac:dyDescent="0.25">
      <c r="Z12652"/>
    </row>
    <row r="12653" spans="26:26" x14ac:dyDescent="0.25">
      <c r="Z12653"/>
    </row>
    <row r="12654" spans="26:26" x14ac:dyDescent="0.25">
      <c r="Z12654"/>
    </row>
    <row r="12655" spans="26:26" x14ac:dyDescent="0.25">
      <c r="Z12655"/>
    </row>
    <row r="12656" spans="26:26" x14ac:dyDescent="0.25">
      <c r="Z12656"/>
    </row>
    <row r="12657" spans="26:26" x14ac:dyDescent="0.25">
      <c r="Z12657"/>
    </row>
    <row r="12658" spans="26:26" x14ac:dyDescent="0.25">
      <c r="Z12658"/>
    </row>
    <row r="12659" spans="26:26" x14ac:dyDescent="0.25">
      <c r="Z12659"/>
    </row>
    <row r="12660" spans="26:26" x14ac:dyDescent="0.25">
      <c r="Z12660"/>
    </row>
    <row r="12661" spans="26:26" x14ac:dyDescent="0.25">
      <c r="Z12661"/>
    </row>
    <row r="12662" spans="26:26" x14ac:dyDescent="0.25">
      <c r="Z12662"/>
    </row>
    <row r="12663" spans="26:26" x14ac:dyDescent="0.25">
      <c r="Z12663"/>
    </row>
    <row r="12664" spans="26:26" x14ac:dyDescent="0.25">
      <c r="Z12664"/>
    </row>
    <row r="12665" spans="26:26" x14ac:dyDescent="0.25">
      <c r="Z12665"/>
    </row>
    <row r="12666" spans="26:26" x14ac:dyDescent="0.25">
      <c r="Z12666"/>
    </row>
    <row r="12667" spans="26:26" x14ac:dyDescent="0.25">
      <c r="Z12667"/>
    </row>
    <row r="12668" spans="26:26" x14ac:dyDescent="0.25">
      <c r="Z12668"/>
    </row>
    <row r="12669" spans="26:26" x14ac:dyDescent="0.25">
      <c r="Z12669"/>
    </row>
    <row r="12670" spans="26:26" x14ac:dyDescent="0.25">
      <c r="Z12670"/>
    </row>
    <row r="12671" spans="26:26" x14ac:dyDescent="0.25">
      <c r="Z12671"/>
    </row>
    <row r="12672" spans="26:26" x14ac:dyDescent="0.25">
      <c r="Z12672"/>
    </row>
    <row r="12673" spans="26:26" x14ac:dyDescent="0.25">
      <c r="Z12673"/>
    </row>
    <row r="12674" spans="26:26" x14ac:dyDescent="0.25">
      <c r="Z12674"/>
    </row>
    <row r="12675" spans="26:26" x14ac:dyDescent="0.25">
      <c r="Z12675"/>
    </row>
    <row r="12676" spans="26:26" x14ac:dyDescent="0.25">
      <c r="Z12676"/>
    </row>
    <row r="12677" spans="26:26" x14ac:dyDescent="0.25">
      <c r="Z12677"/>
    </row>
    <row r="12678" spans="26:26" x14ac:dyDescent="0.25">
      <c r="Z12678"/>
    </row>
    <row r="12679" spans="26:26" x14ac:dyDescent="0.25">
      <c r="Z12679"/>
    </row>
    <row r="12680" spans="26:26" x14ac:dyDescent="0.25">
      <c r="Z12680"/>
    </row>
    <row r="12681" spans="26:26" x14ac:dyDescent="0.25">
      <c r="Z12681"/>
    </row>
    <row r="12682" spans="26:26" x14ac:dyDescent="0.25">
      <c r="Z12682"/>
    </row>
    <row r="12683" spans="26:26" x14ac:dyDescent="0.25">
      <c r="Z12683"/>
    </row>
    <row r="12684" spans="26:26" x14ac:dyDescent="0.25">
      <c r="Z12684"/>
    </row>
    <row r="12685" spans="26:26" x14ac:dyDescent="0.25">
      <c r="Z12685"/>
    </row>
    <row r="12686" spans="26:26" x14ac:dyDescent="0.25">
      <c r="Z12686"/>
    </row>
    <row r="12687" spans="26:26" x14ac:dyDescent="0.25">
      <c r="Z12687"/>
    </row>
    <row r="12688" spans="26:26" x14ac:dyDescent="0.25">
      <c r="Z12688"/>
    </row>
    <row r="12689" spans="26:26" x14ac:dyDescent="0.25">
      <c r="Z12689"/>
    </row>
    <row r="12690" spans="26:26" x14ac:dyDescent="0.25">
      <c r="Z12690"/>
    </row>
    <row r="12691" spans="26:26" x14ac:dyDescent="0.25">
      <c r="Z12691"/>
    </row>
    <row r="12692" spans="26:26" x14ac:dyDescent="0.25">
      <c r="Z12692"/>
    </row>
    <row r="12693" spans="26:26" x14ac:dyDescent="0.25">
      <c r="Z12693"/>
    </row>
    <row r="12694" spans="26:26" x14ac:dyDescent="0.25">
      <c r="Z12694"/>
    </row>
    <row r="12695" spans="26:26" x14ac:dyDescent="0.25">
      <c r="Z12695"/>
    </row>
    <row r="12696" spans="26:26" x14ac:dyDescent="0.25">
      <c r="Z12696"/>
    </row>
    <row r="12697" spans="26:26" x14ac:dyDescent="0.25">
      <c r="Z12697"/>
    </row>
    <row r="12698" spans="26:26" x14ac:dyDescent="0.25">
      <c r="Z12698"/>
    </row>
    <row r="12699" spans="26:26" x14ac:dyDescent="0.25">
      <c r="Z12699"/>
    </row>
    <row r="12700" spans="26:26" x14ac:dyDescent="0.25">
      <c r="Z12700"/>
    </row>
    <row r="12701" spans="26:26" x14ac:dyDescent="0.25">
      <c r="Z12701"/>
    </row>
    <row r="12702" spans="26:26" x14ac:dyDescent="0.25">
      <c r="Z12702"/>
    </row>
    <row r="12703" spans="26:26" x14ac:dyDescent="0.25">
      <c r="Z12703"/>
    </row>
    <row r="12704" spans="26:26" x14ac:dyDescent="0.25">
      <c r="Z12704"/>
    </row>
    <row r="12705" spans="26:26" x14ac:dyDescent="0.25">
      <c r="Z12705"/>
    </row>
    <row r="12706" spans="26:26" x14ac:dyDescent="0.25">
      <c r="Z12706"/>
    </row>
    <row r="12707" spans="26:26" x14ac:dyDescent="0.25">
      <c r="Z12707"/>
    </row>
    <row r="12708" spans="26:26" x14ac:dyDescent="0.25">
      <c r="Z12708"/>
    </row>
    <row r="12709" spans="26:26" x14ac:dyDescent="0.25">
      <c r="Z12709"/>
    </row>
    <row r="12710" spans="26:26" x14ac:dyDescent="0.25">
      <c r="Z12710"/>
    </row>
    <row r="12711" spans="26:26" x14ac:dyDescent="0.25">
      <c r="Z12711"/>
    </row>
    <row r="12712" spans="26:26" x14ac:dyDescent="0.25">
      <c r="Z12712"/>
    </row>
    <row r="12713" spans="26:26" x14ac:dyDescent="0.25">
      <c r="Z12713"/>
    </row>
    <row r="12714" spans="26:26" x14ac:dyDescent="0.25">
      <c r="Z12714"/>
    </row>
    <row r="12715" spans="26:26" x14ac:dyDescent="0.25">
      <c r="Z12715"/>
    </row>
    <row r="12716" spans="26:26" x14ac:dyDescent="0.25">
      <c r="Z12716"/>
    </row>
    <row r="12717" spans="26:26" x14ac:dyDescent="0.25">
      <c r="Z12717"/>
    </row>
    <row r="12718" spans="26:26" x14ac:dyDescent="0.25">
      <c r="Z12718"/>
    </row>
    <row r="12719" spans="26:26" x14ac:dyDescent="0.25">
      <c r="Z12719"/>
    </row>
    <row r="12720" spans="26:26" x14ac:dyDescent="0.25">
      <c r="Z12720"/>
    </row>
    <row r="12721" spans="26:26" x14ac:dyDescent="0.25">
      <c r="Z12721"/>
    </row>
    <row r="12722" spans="26:26" x14ac:dyDescent="0.25">
      <c r="Z12722"/>
    </row>
    <row r="12723" spans="26:26" x14ac:dyDescent="0.25">
      <c r="Z12723"/>
    </row>
    <row r="12724" spans="26:26" x14ac:dyDescent="0.25">
      <c r="Z12724"/>
    </row>
    <row r="12725" spans="26:26" x14ac:dyDescent="0.25">
      <c r="Z12725"/>
    </row>
    <row r="12726" spans="26:26" x14ac:dyDescent="0.25">
      <c r="Z12726"/>
    </row>
    <row r="12727" spans="26:26" x14ac:dyDescent="0.25">
      <c r="Z12727"/>
    </row>
    <row r="12728" spans="26:26" x14ac:dyDescent="0.25">
      <c r="Z12728"/>
    </row>
    <row r="12729" spans="26:26" x14ac:dyDescent="0.25">
      <c r="Z12729"/>
    </row>
    <row r="12730" spans="26:26" x14ac:dyDescent="0.25">
      <c r="Z12730"/>
    </row>
    <row r="12731" spans="26:26" x14ac:dyDescent="0.25">
      <c r="Z12731"/>
    </row>
    <row r="12732" spans="26:26" x14ac:dyDescent="0.25">
      <c r="Z12732"/>
    </row>
    <row r="12733" spans="26:26" x14ac:dyDescent="0.25">
      <c r="Z12733"/>
    </row>
    <row r="12734" spans="26:26" x14ac:dyDescent="0.25">
      <c r="Z12734"/>
    </row>
    <row r="12735" spans="26:26" x14ac:dyDescent="0.25">
      <c r="Z12735"/>
    </row>
    <row r="12736" spans="26:26" x14ac:dyDescent="0.25">
      <c r="Z12736"/>
    </row>
    <row r="12737" spans="26:26" x14ac:dyDescent="0.25">
      <c r="Z12737"/>
    </row>
    <row r="12738" spans="26:26" x14ac:dyDescent="0.25">
      <c r="Z12738"/>
    </row>
    <row r="12739" spans="26:26" x14ac:dyDescent="0.25">
      <c r="Z12739"/>
    </row>
    <row r="12740" spans="26:26" x14ac:dyDescent="0.25">
      <c r="Z12740"/>
    </row>
    <row r="12741" spans="26:26" x14ac:dyDescent="0.25">
      <c r="Z12741"/>
    </row>
    <row r="12742" spans="26:26" x14ac:dyDescent="0.25">
      <c r="Z12742"/>
    </row>
    <row r="12743" spans="26:26" x14ac:dyDescent="0.25">
      <c r="Z12743"/>
    </row>
    <row r="12744" spans="26:26" x14ac:dyDescent="0.25">
      <c r="Z12744"/>
    </row>
    <row r="12745" spans="26:26" x14ac:dyDescent="0.25">
      <c r="Z12745"/>
    </row>
    <row r="12746" spans="26:26" x14ac:dyDescent="0.25">
      <c r="Z12746"/>
    </row>
    <row r="12747" spans="26:26" x14ac:dyDescent="0.25">
      <c r="Z12747"/>
    </row>
    <row r="12748" spans="26:26" x14ac:dyDescent="0.25">
      <c r="Z12748"/>
    </row>
    <row r="12749" spans="26:26" x14ac:dyDescent="0.25">
      <c r="Z12749"/>
    </row>
    <row r="12750" spans="26:26" x14ac:dyDescent="0.25">
      <c r="Z12750"/>
    </row>
    <row r="12751" spans="26:26" x14ac:dyDescent="0.25">
      <c r="Z12751"/>
    </row>
    <row r="12752" spans="26:26" x14ac:dyDescent="0.25">
      <c r="Z12752"/>
    </row>
    <row r="12753" spans="26:26" x14ac:dyDescent="0.25">
      <c r="Z12753"/>
    </row>
    <row r="12754" spans="26:26" x14ac:dyDescent="0.25">
      <c r="Z12754"/>
    </row>
    <row r="12755" spans="26:26" x14ac:dyDescent="0.25">
      <c r="Z12755"/>
    </row>
    <row r="12756" spans="26:26" x14ac:dyDescent="0.25">
      <c r="Z12756"/>
    </row>
    <row r="12757" spans="26:26" x14ac:dyDescent="0.25">
      <c r="Z12757"/>
    </row>
    <row r="12758" spans="26:26" x14ac:dyDescent="0.25">
      <c r="Z12758"/>
    </row>
    <row r="12759" spans="26:26" x14ac:dyDescent="0.25">
      <c r="Z12759"/>
    </row>
    <row r="12760" spans="26:26" x14ac:dyDescent="0.25">
      <c r="Z12760"/>
    </row>
    <row r="12761" spans="26:26" x14ac:dyDescent="0.25">
      <c r="Z12761"/>
    </row>
    <row r="12762" spans="26:26" x14ac:dyDescent="0.25">
      <c r="Z12762"/>
    </row>
    <row r="12763" spans="26:26" x14ac:dyDescent="0.25">
      <c r="Z12763"/>
    </row>
    <row r="12764" spans="26:26" x14ac:dyDescent="0.25">
      <c r="Z12764"/>
    </row>
    <row r="12765" spans="26:26" x14ac:dyDescent="0.25">
      <c r="Z12765"/>
    </row>
    <row r="12766" spans="26:26" x14ac:dyDescent="0.25">
      <c r="Z12766"/>
    </row>
    <row r="12767" spans="26:26" x14ac:dyDescent="0.25">
      <c r="Z12767"/>
    </row>
    <row r="12768" spans="26:26" x14ac:dyDescent="0.25">
      <c r="Z12768"/>
    </row>
    <row r="12769" spans="26:26" x14ac:dyDescent="0.25">
      <c r="Z12769"/>
    </row>
    <row r="12770" spans="26:26" x14ac:dyDescent="0.25">
      <c r="Z12770"/>
    </row>
    <row r="12771" spans="26:26" x14ac:dyDescent="0.25">
      <c r="Z12771"/>
    </row>
    <row r="12772" spans="26:26" x14ac:dyDescent="0.25">
      <c r="Z12772"/>
    </row>
    <row r="12773" spans="26:26" x14ac:dyDescent="0.25">
      <c r="Z12773"/>
    </row>
    <row r="12774" spans="26:26" x14ac:dyDescent="0.25">
      <c r="Z12774"/>
    </row>
    <row r="12775" spans="26:26" x14ac:dyDescent="0.25">
      <c r="Z12775"/>
    </row>
    <row r="12776" spans="26:26" x14ac:dyDescent="0.25">
      <c r="Z12776"/>
    </row>
    <row r="12777" spans="26:26" x14ac:dyDescent="0.25">
      <c r="Z12777"/>
    </row>
    <row r="12778" spans="26:26" x14ac:dyDescent="0.25">
      <c r="Z12778"/>
    </row>
    <row r="12779" spans="26:26" x14ac:dyDescent="0.25">
      <c r="Z12779"/>
    </row>
    <row r="12780" spans="26:26" x14ac:dyDescent="0.25">
      <c r="Z12780"/>
    </row>
    <row r="12781" spans="26:26" x14ac:dyDescent="0.25">
      <c r="Z12781"/>
    </row>
    <row r="12782" spans="26:26" x14ac:dyDescent="0.25">
      <c r="Z12782"/>
    </row>
    <row r="12783" spans="26:26" x14ac:dyDescent="0.25">
      <c r="Z12783"/>
    </row>
    <row r="12784" spans="26:26" x14ac:dyDescent="0.25">
      <c r="Z12784"/>
    </row>
    <row r="12785" spans="26:26" x14ac:dyDescent="0.25">
      <c r="Z12785"/>
    </row>
    <row r="12786" spans="26:26" x14ac:dyDescent="0.25">
      <c r="Z12786"/>
    </row>
    <row r="12787" spans="26:26" x14ac:dyDescent="0.25">
      <c r="Z12787"/>
    </row>
    <row r="12788" spans="26:26" x14ac:dyDescent="0.25">
      <c r="Z12788"/>
    </row>
    <row r="12789" spans="26:26" x14ac:dyDescent="0.25">
      <c r="Z12789"/>
    </row>
    <row r="12790" spans="26:26" x14ac:dyDescent="0.25">
      <c r="Z12790"/>
    </row>
    <row r="12791" spans="26:26" x14ac:dyDescent="0.25">
      <c r="Z12791"/>
    </row>
    <row r="12792" spans="26:26" x14ac:dyDescent="0.25">
      <c r="Z12792"/>
    </row>
    <row r="12793" spans="26:26" x14ac:dyDescent="0.25">
      <c r="Z12793"/>
    </row>
    <row r="12794" spans="26:26" x14ac:dyDescent="0.25">
      <c r="Z12794"/>
    </row>
    <row r="12795" spans="26:26" x14ac:dyDescent="0.25">
      <c r="Z12795"/>
    </row>
    <row r="12796" spans="26:26" x14ac:dyDescent="0.25">
      <c r="Z12796"/>
    </row>
    <row r="12797" spans="26:26" x14ac:dyDescent="0.25">
      <c r="Z12797"/>
    </row>
    <row r="12798" spans="26:26" x14ac:dyDescent="0.25">
      <c r="Z12798"/>
    </row>
    <row r="12799" spans="26:26" x14ac:dyDescent="0.25">
      <c r="Z12799"/>
    </row>
    <row r="12800" spans="26:26" x14ac:dyDescent="0.25">
      <c r="Z12800"/>
    </row>
    <row r="12801" spans="26:26" x14ac:dyDescent="0.25">
      <c r="Z12801"/>
    </row>
    <row r="12802" spans="26:26" x14ac:dyDescent="0.25">
      <c r="Z12802"/>
    </row>
    <row r="12803" spans="26:26" x14ac:dyDescent="0.25">
      <c r="Z12803"/>
    </row>
    <row r="12804" spans="26:26" x14ac:dyDescent="0.25">
      <c r="Z12804"/>
    </row>
    <row r="12805" spans="26:26" x14ac:dyDescent="0.25">
      <c r="Z12805"/>
    </row>
    <row r="12806" spans="26:26" x14ac:dyDescent="0.25">
      <c r="Z12806"/>
    </row>
    <row r="12807" spans="26:26" x14ac:dyDescent="0.25">
      <c r="Z12807"/>
    </row>
    <row r="12808" spans="26:26" x14ac:dyDescent="0.25">
      <c r="Z12808"/>
    </row>
    <row r="12809" spans="26:26" x14ac:dyDescent="0.25">
      <c r="Z12809"/>
    </row>
    <row r="12810" spans="26:26" x14ac:dyDescent="0.25">
      <c r="Z12810"/>
    </row>
    <row r="12811" spans="26:26" x14ac:dyDescent="0.25">
      <c r="Z12811"/>
    </row>
    <row r="12812" spans="26:26" x14ac:dyDescent="0.25">
      <c r="Z12812"/>
    </row>
    <row r="12813" spans="26:26" x14ac:dyDescent="0.25">
      <c r="Z12813"/>
    </row>
    <row r="12814" spans="26:26" x14ac:dyDescent="0.25">
      <c r="Z12814"/>
    </row>
    <row r="12815" spans="26:26" x14ac:dyDescent="0.25">
      <c r="Z12815"/>
    </row>
    <row r="12816" spans="26:26" x14ac:dyDescent="0.25">
      <c r="Z12816"/>
    </row>
    <row r="12817" spans="26:26" x14ac:dyDescent="0.25">
      <c r="Z12817"/>
    </row>
    <row r="12818" spans="26:26" x14ac:dyDescent="0.25">
      <c r="Z12818"/>
    </row>
    <row r="12819" spans="26:26" x14ac:dyDescent="0.25">
      <c r="Z12819"/>
    </row>
    <row r="12820" spans="26:26" x14ac:dyDescent="0.25">
      <c r="Z12820"/>
    </row>
    <row r="12821" spans="26:26" x14ac:dyDescent="0.25">
      <c r="Z12821"/>
    </row>
    <row r="12822" spans="26:26" x14ac:dyDescent="0.25">
      <c r="Z12822"/>
    </row>
    <row r="12823" spans="26:26" x14ac:dyDescent="0.25">
      <c r="Z12823"/>
    </row>
    <row r="12824" spans="26:26" x14ac:dyDescent="0.25">
      <c r="Z12824"/>
    </row>
    <row r="12825" spans="26:26" x14ac:dyDescent="0.25">
      <c r="Z12825"/>
    </row>
    <row r="12826" spans="26:26" x14ac:dyDescent="0.25">
      <c r="Z12826"/>
    </row>
    <row r="12827" spans="26:26" x14ac:dyDescent="0.25">
      <c r="Z12827"/>
    </row>
    <row r="12828" spans="26:26" x14ac:dyDescent="0.25">
      <c r="Z12828"/>
    </row>
    <row r="12829" spans="26:26" x14ac:dyDescent="0.25">
      <c r="Z12829"/>
    </row>
    <row r="12830" spans="26:26" x14ac:dyDescent="0.25">
      <c r="Z12830"/>
    </row>
    <row r="12831" spans="26:26" x14ac:dyDescent="0.25">
      <c r="Z12831"/>
    </row>
    <row r="12832" spans="26:26" x14ac:dyDescent="0.25">
      <c r="Z12832"/>
    </row>
    <row r="12833" spans="26:26" x14ac:dyDescent="0.25">
      <c r="Z12833"/>
    </row>
    <row r="12834" spans="26:26" x14ac:dyDescent="0.25">
      <c r="Z12834"/>
    </row>
    <row r="12835" spans="26:26" x14ac:dyDescent="0.25">
      <c r="Z12835"/>
    </row>
    <row r="12836" spans="26:26" x14ac:dyDescent="0.25">
      <c r="Z12836"/>
    </row>
    <row r="12837" spans="26:26" x14ac:dyDescent="0.25">
      <c r="Z12837"/>
    </row>
    <row r="12838" spans="26:26" x14ac:dyDescent="0.25">
      <c r="Z12838"/>
    </row>
    <row r="12839" spans="26:26" x14ac:dyDescent="0.25">
      <c r="Z12839"/>
    </row>
    <row r="12840" spans="26:26" x14ac:dyDescent="0.25">
      <c r="Z12840"/>
    </row>
    <row r="12841" spans="26:26" x14ac:dyDescent="0.25">
      <c r="Z12841"/>
    </row>
    <row r="12842" spans="26:26" x14ac:dyDescent="0.25">
      <c r="Z12842"/>
    </row>
    <row r="12843" spans="26:26" x14ac:dyDescent="0.25">
      <c r="Z12843"/>
    </row>
    <row r="12844" spans="26:26" x14ac:dyDescent="0.25">
      <c r="Z12844"/>
    </row>
    <row r="12845" spans="26:26" x14ac:dyDescent="0.25">
      <c r="Z12845"/>
    </row>
    <row r="12846" spans="26:26" x14ac:dyDescent="0.25">
      <c r="Z12846"/>
    </row>
    <row r="12847" spans="26:26" x14ac:dyDescent="0.25">
      <c r="Z12847"/>
    </row>
    <row r="12848" spans="26:26" x14ac:dyDescent="0.25">
      <c r="Z12848"/>
    </row>
    <row r="12849" spans="26:26" x14ac:dyDescent="0.25">
      <c r="Z12849"/>
    </row>
    <row r="12850" spans="26:26" x14ac:dyDescent="0.25">
      <c r="Z12850"/>
    </row>
    <row r="12851" spans="26:26" x14ac:dyDescent="0.25">
      <c r="Z12851"/>
    </row>
    <row r="12852" spans="26:26" x14ac:dyDescent="0.25">
      <c r="Z12852"/>
    </row>
    <row r="12853" spans="26:26" x14ac:dyDescent="0.25">
      <c r="Z12853"/>
    </row>
    <row r="12854" spans="26:26" x14ac:dyDescent="0.25">
      <c r="Z12854"/>
    </row>
    <row r="12855" spans="26:26" x14ac:dyDescent="0.25">
      <c r="Z12855"/>
    </row>
    <row r="12856" spans="26:26" x14ac:dyDescent="0.25">
      <c r="Z12856"/>
    </row>
    <row r="12857" spans="26:26" x14ac:dyDescent="0.25">
      <c r="Z12857"/>
    </row>
    <row r="12858" spans="26:26" x14ac:dyDescent="0.25">
      <c r="Z12858"/>
    </row>
    <row r="12859" spans="26:26" x14ac:dyDescent="0.25">
      <c r="Z12859"/>
    </row>
    <row r="12860" spans="26:26" x14ac:dyDescent="0.25">
      <c r="Z12860"/>
    </row>
    <row r="12861" spans="26:26" x14ac:dyDescent="0.25">
      <c r="Z12861"/>
    </row>
    <row r="12862" spans="26:26" x14ac:dyDescent="0.25">
      <c r="Z12862"/>
    </row>
    <row r="12863" spans="26:26" x14ac:dyDescent="0.25">
      <c r="Z12863"/>
    </row>
    <row r="12864" spans="26:26" x14ac:dyDescent="0.25">
      <c r="Z12864"/>
    </row>
    <row r="12865" spans="26:26" x14ac:dyDescent="0.25">
      <c r="Z12865"/>
    </row>
    <row r="12866" spans="26:26" x14ac:dyDescent="0.25">
      <c r="Z12866"/>
    </row>
    <row r="12867" spans="26:26" x14ac:dyDescent="0.25">
      <c r="Z12867"/>
    </row>
    <row r="12868" spans="26:26" x14ac:dyDescent="0.25">
      <c r="Z12868"/>
    </row>
    <row r="12869" spans="26:26" x14ac:dyDescent="0.25">
      <c r="Z12869"/>
    </row>
    <row r="12870" spans="26:26" x14ac:dyDescent="0.25">
      <c r="Z12870"/>
    </row>
    <row r="12871" spans="26:26" x14ac:dyDescent="0.25">
      <c r="Z12871"/>
    </row>
    <row r="12872" spans="26:26" x14ac:dyDescent="0.25">
      <c r="Z12872"/>
    </row>
    <row r="12873" spans="26:26" x14ac:dyDescent="0.25">
      <c r="Z12873"/>
    </row>
    <row r="12874" spans="26:26" x14ac:dyDescent="0.25">
      <c r="Z12874"/>
    </row>
    <row r="12875" spans="26:26" x14ac:dyDescent="0.25">
      <c r="Z12875"/>
    </row>
    <row r="12876" spans="26:26" x14ac:dyDescent="0.25">
      <c r="Z12876"/>
    </row>
    <row r="12877" spans="26:26" x14ac:dyDescent="0.25">
      <c r="Z12877"/>
    </row>
    <row r="12878" spans="26:26" x14ac:dyDescent="0.25">
      <c r="Z12878"/>
    </row>
    <row r="12879" spans="26:26" x14ac:dyDescent="0.25">
      <c r="Z12879"/>
    </row>
    <row r="12880" spans="26:26" x14ac:dyDescent="0.25">
      <c r="Z12880"/>
    </row>
    <row r="12881" spans="26:26" x14ac:dyDescent="0.25">
      <c r="Z12881"/>
    </row>
    <row r="12882" spans="26:26" x14ac:dyDescent="0.25">
      <c r="Z12882"/>
    </row>
    <row r="12883" spans="26:26" x14ac:dyDescent="0.25">
      <c r="Z12883"/>
    </row>
    <row r="12884" spans="26:26" x14ac:dyDescent="0.25">
      <c r="Z12884"/>
    </row>
    <row r="12885" spans="26:26" x14ac:dyDescent="0.25">
      <c r="Z12885"/>
    </row>
    <row r="12886" spans="26:26" x14ac:dyDescent="0.25">
      <c r="Z12886"/>
    </row>
    <row r="12887" spans="26:26" x14ac:dyDescent="0.25">
      <c r="Z12887"/>
    </row>
    <row r="12888" spans="26:26" x14ac:dyDescent="0.25">
      <c r="Z12888"/>
    </row>
    <row r="12889" spans="26:26" x14ac:dyDescent="0.25">
      <c r="Z12889"/>
    </row>
    <row r="12890" spans="26:26" x14ac:dyDescent="0.25">
      <c r="Z12890"/>
    </row>
    <row r="12891" spans="26:26" x14ac:dyDescent="0.25">
      <c r="Z12891"/>
    </row>
    <row r="12892" spans="26:26" x14ac:dyDescent="0.25">
      <c r="Z12892"/>
    </row>
    <row r="12893" spans="26:26" x14ac:dyDescent="0.25">
      <c r="Z12893"/>
    </row>
    <row r="12894" spans="26:26" x14ac:dyDescent="0.25">
      <c r="Z12894"/>
    </row>
    <row r="12895" spans="26:26" x14ac:dyDescent="0.25">
      <c r="Z12895"/>
    </row>
    <row r="12896" spans="26:26" x14ac:dyDescent="0.25">
      <c r="Z12896"/>
    </row>
    <row r="12897" spans="26:26" x14ac:dyDescent="0.25">
      <c r="Z12897"/>
    </row>
    <row r="12898" spans="26:26" x14ac:dyDescent="0.25">
      <c r="Z12898"/>
    </row>
    <row r="12899" spans="26:26" x14ac:dyDescent="0.25">
      <c r="Z12899"/>
    </row>
    <row r="12900" spans="26:26" x14ac:dyDescent="0.25">
      <c r="Z12900"/>
    </row>
    <row r="12901" spans="26:26" x14ac:dyDescent="0.25">
      <c r="Z12901"/>
    </row>
    <row r="12902" spans="26:26" x14ac:dyDescent="0.25">
      <c r="Z12902"/>
    </row>
    <row r="12903" spans="26:26" x14ac:dyDescent="0.25">
      <c r="Z12903"/>
    </row>
    <row r="12904" spans="26:26" x14ac:dyDescent="0.25">
      <c r="Z12904"/>
    </row>
    <row r="12905" spans="26:26" x14ac:dyDescent="0.25">
      <c r="Z12905"/>
    </row>
    <row r="12906" spans="26:26" x14ac:dyDescent="0.25">
      <c r="Z12906"/>
    </row>
    <row r="12907" spans="26:26" x14ac:dyDescent="0.25">
      <c r="Z12907"/>
    </row>
    <row r="12908" spans="26:26" x14ac:dyDescent="0.25">
      <c r="Z12908"/>
    </row>
    <row r="12909" spans="26:26" x14ac:dyDescent="0.25">
      <c r="Z12909"/>
    </row>
    <row r="12910" spans="26:26" x14ac:dyDescent="0.25">
      <c r="Z12910"/>
    </row>
    <row r="12911" spans="26:26" x14ac:dyDescent="0.25">
      <c r="Z12911"/>
    </row>
    <row r="12912" spans="26:26" x14ac:dyDescent="0.25">
      <c r="Z12912"/>
    </row>
    <row r="12913" spans="26:26" x14ac:dyDescent="0.25">
      <c r="Z12913"/>
    </row>
    <row r="12914" spans="26:26" x14ac:dyDescent="0.25">
      <c r="Z12914"/>
    </row>
    <row r="12915" spans="26:26" x14ac:dyDescent="0.25">
      <c r="Z12915"/>
    </row>
    <row r="12916" spans="26:26" x14ac:dyDescent="0.25">
      <c r="Z12916"/>
    </row>
    <row r="12917" spans="26:26" x14ac:dyDescent="0.25">
      <c r="Z12917"/>
    </row>
    <row r="12918" spans="26:26" x14ac:dyDescent="0.25">
      <c r="Z12918"/>
    </row>
    <row r="12919" spans="26:26" x14ac:dyDescent="0.25">
      <c r="Z12919"/>
    </row>
    <row r="12920" spans="26:26" x14ac:dyDescent="0.25">
      <c r="Z12920"/>
    </row>
    <row r="12921" spans="26:26" x14ac:dyDescent="0.25">
      <c r="Z12921"/>
    </row>
    <row r="12922" spans="26:26" x14ac:dyDescent="0.25">
      <c r="Z12922"/>
    </row>
    <row r="12923" spans="26:26" x14ac:dyDescent="0.25">
      <c r="Z12923"/>
    </row>
    <row r="12924" spans="26:26" x14ac:dyDescent="0.25">
      <c r="Z12924"/>
    </row>
    <row r="12925" spans="26:26" x14ac:dyDescent="0.25">
      <c r="Z12925"/>
    </row>
    <row r="12926" spans="26:26" x14ac:dyDescent="0.25">
      <c r="Z12926"/>
    </row>
    <row r="12927" spans="26:26" x14ac:dyDescent="0.25">
      <c r="Z12927"/>
    </row>
    <row r="12928" spans="26:26" x14ac:dyDescent="0.25">
      <c r="Z12928"/>
    </row>
    <row r="12929" spans="26:26" x14ac:dyDescent="0.25">
      <c r="Z12929"/>
    </row>
    <row r="12930" spans="26:26" x14ac:dyDescent="0.25">
      <c r="Z12930"/>
    </row>
    <row r="12931" spans="26:26" x14ac:dyDescent="0.25">
      <c r="Z12931"/>
    </row>
    <row r="12932" spans="26:26" x14ac:dyDescent="0.25">
      <c r="Z12932"/>
    </row>
    <row r="12933" spans="26:26" x14ac:dyDescent="0.25">
      <c r="Z12933"/>
    </row>
    <row r="12934" spans="26:26" x14ac:dyDescent="0.25">
      <c r="Z12934"/>
    </row>
    <row r="12935" spans="26:26" x14ac:dyDescent="0.25">
      <c r="Z12935"/>
    </row>
    <row r="12936" spans="26:26" x14ac:dyDescent="0.25">
      <c r="Z12936"/>
    </row>
    <row r="12937" spans="26:26" x14ac:dyDescent="0.25">
      <c r="Z12937"/>
    </row>
    <row r="12938" spans="26:26" x14ac:dyDescent="0.25">
      <c r="Z12938"/>
    </row>
    <row r="12939" spans="26:26" x14ac:dyDescent="0.25">
      <c r="Z12939"/>
    </row>
    <row r="12940" spans="26:26" x14ac:dyDescent="0.25">
      <c r="Z12940"/>
    </row>
    <row r="12941" spans="26:26" x14ac:dyDescent="0.25">
      <c r="Z12941"/>
    </row>
    <row r="12942" spans="26:26" x14ac:dyDescent="0.25">
      <c r="Z12942"/>
    </row>
    <row r="12943" spans="26:26" x14ac:dyDescent="0.25">
      <c r="Z12943"/>
    </row>
    <row r="12944" spans="26:26" x14ac:dyDescent="0.25">
      <c r="Z12944"/>
    </row>
    <row r="12945" spans="26:26" x14ac:dyDescent="0.25">
      <c r="Z12945"/>
    </row>
    <row r="12946" spans="26:26" x14ac:dyDescent="0.25">
      <c r="Z12946"/>
    </row>
    <row r="12947" spans="26:26" x14ac:dyDescent="0.25">
      <c r="Z12947"/>
    </row>
    <row r="12948" spans="26:26" x14ac:dyDescent="0.25">
      <c r="Z12948"/>
    </row>
    <row r="12949" spans="26:26" x14ac:dyDescent="0.25">
      <c r="Z12949"/>
    </row>
    <row r="12950" spans="26:26" x14ac:dyDescent="0.25">
      <c r="Z12950"/>
    </row>
    <row r="12951" spans="26:26" x14ac:dyDescent="0.25">
      <c r="Z12951"/>
    </row>
    <row r="12952" spans="26:26" x14ac:dyDescent="0.25">
      <c r="Z12952"/>
    </row>
    <row r="12953" spans="26:26" x14ac:dyDescent="0.25">
      <c r="Z12953"/>
    </row>
    <row r="12954" spans="26:26" x14ac:dyDescent="0.25">
      <c r="Z12954"/>
    </row>
    <row r="12955" spans="26:26" x14ac:dyDescent="0.25">
      <c r="Z12955"/>
    </row>
    <row r="12956" spans="26:26" x14ac:dyDescent="0.25">
      <c r="Z12956"/>
    </row>
    <row r="12957" spans="26:26" x14ac:dyDescent="0.25">
      <c r="Z12957"/>
    </row>
    <row r="12958" spans="26:26" x14ac:dyDescent="0.25">
      <c r="Z12958"/>
    </row>
    <row r="12959" spans="26:26" x14ac:dyDescent="0.25">
      <c r="Z12959"/>
    </row>
    <row r="12960" spans="26:26" x14ac:dyDescent="0.25">
      <c r="Z12960"/>
    </row>
    <row r="12961" spans="26:26" x14ac:dyDescent="0.25">
      <c r="Z12961"/>
    </row>
    <row r="12962" spans="26:26" x14ac:dyDescent="0.25">
      <c r="Z12962"/>
    </row>
    <row r="12963" spans="26:26" x14ac:dyDescent="0.25">
      <c r="Z12963"/>
    </row>
    <row r="12964" spans="26:26" x14ac:dyDescent="0.25">
      <c r="Z12964"/>
    </row>
    <row r="12965" spans="26:26" x14ac:dyDescent="0.25">
      <c r="Z12965"/>
    </row>
    <row r="12966" spans="26:26" x14ac:dyDescent="0.25">
      <c r="Z12966"/>
    </row>
    <row r="12967" spans="26:26" x14ac:dyDescent="0.25">
      <c r="Z12967"/>
    </row>
    <row r="12968" spans="26:26" x14ac:dyDescent="0.25">
      <c r="Z12968"/>
    </row>
    <row r="12969" spans="26:26" x14ac:dyDescent="0.25">
      <c r="Z12969"/>
    </row>
    <row r="12970" spans="26:26" x14ac:dyDescent="0.25">
      <c r="Z12970"/>
    </row>
    <row r="12971" spans="26:26" x14ac:dyDescent="0.25">
      <c r="Z12971"/>
    </row>
    <row r="12972" spans="26:26" x14ac:dyDescent="0.25">
      <c r="Z12972"/>
    </row>
    <row r="12973" spans="26:26" x14ac:dyDescent="0.25">
      <c r="Z12973"/>
    </row>
    <row r="12974" spans="26:26" x14ac:dyDescent="0.25">
      <c r="Z12974"/>
    </row>
    <row r="12975" spans="26:26" x14ac:dyDescent="0.25">
      <c r="Z12975"/>
    </row>
    <row r="12976" spans="26:26" x14ac:dyDescent="0.25">
      <c r="Z12976"/>
    </row>
    <row r="12977" spans="26:26" x14ac:dyDescent="0.25">
      <c r="Z12977"/>
    </row>
    <row r="12978" spans="26:26" x14ac:dyDescent="0.25">
      <c r="Z12978"/>
    </row>
    <row r="12979" spans="26:26" x14ac:dyDescent="0.25">
      <c r="Z12979"/>
    </row>
    <row r="12980" spans="26:26" x14ac:dyDescent="0.25">
      <c r="Z12980"/>
    </row>
    <row r="12981" spans="26:26" x14ac:dyDescent="0.25">
      <c r="Z12981"/>
    </row>
    <row r="12982" spans="26:26" x14ac:dyDescent="0.25">
      <c r="Z12982"/>
    </row>
    <row r="12983" spans="26:26" x14ac:dyDescent="0.25">
      <c r="Z12983"/>
    </row>
    <row r="12984" spans="26:26" x14ac:dyDescent="0.25">
      <c r="Z12984"/>
    </row>
    <row r="12985" spans="26:26" x14ac:dyDescent="0.25">
      <c r="Z12985"/>
    </row>
    <row r="12986" spans="26:26" x14ac:dyDescent="0.25">
      <c r="Z12986"/>
    </row>
    <row r="12987" spans="26:26" x14ac:dyDescent="0.25">
      <c r="Z12987"/>
    </row>
    <row r="12988" spans="26:26" x14ac:dyDescent="0.25">
      <c r="Z12988"/>
    </row>
    <row r="12989" spans="26:26" x14ac:dyDescent="0.25">
      <c r="Z12989"/>
    </row>
    <row r="12990" spans="26:26" x14ac:dyDescent="0.25">
      <c r="Z12990"/>
    </row>
    <row r="12991" spans="26:26" x14ac:dyDescent="0.25">
      <c r="Z12991"/>
    </row>
    <row r="12992" spans="26:26" x14ac:dyDescent="0.25">
      <c r="Z12992"/>
    </row>
    <row r="12993" spans="26:26" x14ac:dyDescent="0.25">
      <c r="Z12993"/>
    </row>
    <row r="12994" spans="26:26" x14ac:dyDescent="0.25">
      <c r="Z12994"/>
    </row>
    <row r="12995" spans="26:26" x14ac:dyDescent="0.25">
      <c r="Z12995"/>
    </row>
    <row r="12996" spans="26:26" x14ac:dyDescent="0.25">
      <c r="Z12996"/>
    </row>
    <row r="12997" spans="26:26" x14ac:dyDescent="0.25">
      <c r="Z12997"/>
    </row>
    <row r="12998" spans="26:26" x14ac:dyDescent="0.25">
      <c r="Z12998"/>
    </row>
    <row r="12999" spans="26:26" x14ac:dyDescent="0.25">
      <c r="Z12999"/>
    </row>
    <row r="13000" spans="26:26" x14ac:dyDescent="0.25">
      <c r="Z13000"/>
    </row>
    <row r="13001" spans="26:26" x14ac:dyDescent="0.25">
      <c r="Z13001"/>
    </row>
    <row r="13002" spans="26:26" x14ac:dyDescent="0.25">
      <c r="Z13002"/>
    </row>
    <row r="13003" spans="26:26" x14ac:dyDescent="0.25">
      <c r="Z13003"/>
    </row>
    <row r="13004" spans="26:26" x14ac:dyDescent="0.25">
      <c r="Z13004"/>
    </row>
    <row r="13005" spans="26:26" x14ac:dyDescent="0.25">
      <c r="Z13005"/>
    </row>
    <row r="13006" spans="26:26" x14ac:dyDescent="0.25">
      <c r="Z13006"/>
    </row>
    <row r="13007" spans="26:26" x14ac:dyDescent="0.25">
      <c r="Z13007"/>
    </row>
    <row r="13008" spans="26:26" x14ac:dyDescent="0.25">
      <c r="Z13008"/>
    </row>
    <row r="13009" spans="26:26" x14ac:dyDescent="0.25">
      <c r="Z13009"/>
    </row>
    <row r="13010" spans="26:26" x14ac:dyDescent="0.25">
      <c r="Z13010"/>
    </row>
    <row r="13011" spans="26:26" x14ac:dyDescent="0.25">
      <c r="Z13011"/>
    </row>
    <row r="13012" spans="26:26" x14ac:dyDescent="0.25">
      <c r="Z13012"/>
    </row>
    <row r="13013" spans="26:26" x14ac:dyDescent="0.25">
      <c r="Z13013"/>
    </row>
    <row r="13014" spans="26:26" x14ac:dyDescent="0.25">
      <c r="Z13014"/>
    </row>
    <row r="13015" spans="26:26" x14ac:dyDescent="0.25">
      <c r="Z13015"/>
    </row>
    <row r="13016" spans="26:26" x14ac:dyDescent="0.25">
      <c r="Z13016"/>
    </row>
    <row r="13017" spans="26:26" x14ac:dyDescent="0.25">
      <c r="Z13017"/>
    </row>
    <row r="13018" spans="26:26" x14ac:dyDescent="0.25">
      <c r="Z13018"/>
    </row>
    <row r="13019" spans="26:26" x14ac:dyDescent="0.25">
      <c r="Z13019"/>
    </row>
    <row r="13020" spans="26:26" x14ac:dyDescent="0.25">
      <c r="Z13020"/>
    </row>
    <row r="13021" spans="26:26" x14ac:dyDescent="0.25">
      <c r="Z13021"/>
    </row>
    <row r="13022" spans="26:26" x14ac:dyDescent="0.25">
      <c r="Z13022"/>
    </row>
    <row r="13023" spans="26:26" x14ac:dyDescent="0.25">
      <c r="Z13023"/>
    </row>
    <row r="13024" spans="26:26" x14ac:dyDescent="0.25">
      <c r="Z13024"/>
    </row>
    <row r="13025" spans="26:26" x14ac:dyDescent="0.25">
      <c r="Z13025"/>
    </row>
    <row r="13026" spans="26:26" x14ac:dyDescent="0.25">
      <c r="Z13026"/>
    </row>
    <row r="13027" spans="26:26" x14ac:dyDescent="0.25">
      <c r="Z13027"/>
    </row>
    <row r="13028" spans="26:26" x14ac:dyDescent="0.25">
      <c r="Z13028"/>
    </row>
    <row r="13029" spans="26:26" x14ac:dyDescent="0.25">
      <c r="Z13029"/>
    </row>
    <row r="13030" spans="26:26" x14ac:dyDescent="0.25">
      <c r="Z13030"/>
    </row>
    <row r="13031" spans="26:26" x14ac:dyDescent="0.25">
      <c r="Z13031"/>
    </row>
    <row r="13032" spans="26:26" x14ac:dyDescent="0.25">
      <c r="Z13032"/>
    </row>
    <row r="13033" spans="26:26" x14ac:dyDescent="0.25">
      <c r="Z13033"/>
    </row>
    <row r="13034" spans="26:26" x14ac:dyDescent="0.25">
      <c r="Z13034"/>
    </row>
    <row r="13035" spans="26:26" x14ac:dyDescent="0.25">
      <c r="Z13035"/>
    </row>
    <row r="13036" spans="26:26" x14ac:dyDescent="0.25">
      <c r="Z13036"/>
    </row>
    <row r="13037" spans="26:26" x14ac:dyDescent="0.25">
      <c r="Z13037"/>
    </row>
    <row r="13038" spans="26:26" x14ac:dyDescent="0.25">
      <c r="Z13038"/>
    </row>
    <row r="13039" spans="26:26" x14ac:dyDescent="0.25">
      <c r="Z13039"/>
    </row>
    <row r="13040" spans="26:26" x14ac:dyDescent="0.25">
      <c r="Z13040"/>
    </row>
    <row r="13041" spans="26:26" x14ac:dyDescent="0.25">
      <c r="Z13041"/>
    </row>
    <row r="13042" spans="26:26" x14ac:dyDescent="0.25">
      <c r="Z13042"/>
    </row>
    <row r="13043" spans="26:26" x14ac:dyDescent="0.25">
      <c r="Z13043"/>
    </row>
    <row r="13044" spans="26:26" x14ac:dyDescent="0.25">
      <c r="Z13044"/>
    </row>
    <row r="13045" spans="26:26" x14ac:dyDescent="0.25">
      <c r="Z13045"/>
    </row>
    <row r="13046" spans="26:26" x14ac:dyDescent="0.25">
      <c r="Z13046"/>
    </row>
    <row r="13047" spans="26:26" x14ac:dyDescent="0.25">
      <c r="Z13047"/>
    </row>
    <row r="13048" spans="26:26" x14ac:dyDescent="0.25">
      <c r="Z13048"/>
    </row>
    <row r="13049" spans="26:26" x14ac:dyDescent="0.25">
      <c r="Z13049"/>
    </row>
    <row r="13050" spans="26:26" x14ac:dyDescent="0.25">
      <c r="Z13050"/>
    </row>
    <row r="13051" spans="26:26" x14ac:dyDescent="0.25">
      <c r="Z13051"/>
    </row>
    <row r="13052" spans="26:26" x14ac:dyDescent="0.25">
      <c r="Z13052"/>
    </row>
    <row r="13053" spans="26:26" x14ac:dyDescent="0.25">
      <c r="Z13053"/>
    </row>
    <row r="13054" spans="26:26" x14ac:dyDescent="0.25">
      <c r="Z13054"/>
    </row>
    <row r="13055" spans="26:26" x14ac:dyDescent="0.25">
      <c r="Z13055"/>
    </row>
    <row r="13056" spans="26:26" x14ac:dyDescent="0.25">
      <c r="Z13056"/>
    </row>
    <row r="13057" spans="26:26" x14ac:dyDescent="0.25">
      <c r="Z13057"/>
    </row>
    <row r="13058" spans="26:26" x14ac:dyDescent="0.25">
      <c r="Z13058"/>
    </row>
    <row r="13059" spans="26:26" x14ac:dyDescent="0.25">
      <c r="Z13059"/>
    </row>
    <row r="13060" spans="26:26" x14ac:dyDescent="0.25">
      <c r="Z13060"/>
    </row>
    <row r="13061" spans="26:26" x14ac:dyDescent="0.25">
      <c r="Z13061"/>
    </row>
    <row r="13062" spans="26:26" x14ac:dyDescent="0.25">
      <c r="Z13062"/>
    </row>
    <row r="13063" spans="26:26" x14ac:dyDescent="0.25">
      <c r="Z13063"/>
    </row>
    <row r="13064" spans="26:26" x14ac:dyDescent="0.25">
      <c r="Z13064"/>
    </row>
    <row r="13065" spans="26:26" x14ac:dyDescent="0.25">
      <c r="Z13065"/>
    </row>
    <row r="13066" spans="26:26" x14ac:dyDescent="0.25">
      <c r="Z13066"/>
    </row>
    <row r="13067" spans="26:26" x14ac:dyDescent="0.25">
      <c r="Z13067"/>
    </row>
    <row r="13068" spans="26:26" x14ac:dyDescent="0.25">
      <c r="Z13068"/>
    </row>
    <row r="13069" spans="26:26" x14ac:dyDescent="0.25">
      <c r="Z13069"/>
    </row>
    <row r="13070" spans="26:26" x14ac:dyDescent="0.25">
      <c r="Z13070"/>
    </row>
    <row r="13071" spans="26:26" x14ac:dyDescent="0.25">
      <c r="Z13071"/>
    </row>
    <row r="13072" spans="26:26" x14ac:dyDescent="0.25">
      <c r="Z13072"/>
    </row>
    <row r="13073" spans="26:26" x14ac:dyDescent="0.25">
      <c r="Z13073"/>
    </row>
    <row r="13074" spans="26:26" x14ac:dyDescent="0.25">
      <c r="Z13074"/>
    </row>
    <row r="13075" spans="26:26" x14ac:dyDescent="0.25">
      <c r="Z13075"/>
    </row>
    <row r="13076" spans="26:26" x14ac:dyDescent="0.25">
      <c r="Z13076"/>
    </row>
    <row r="13077" spans="26:26" x14ac:dyDescent="0.25">
      <c r="Z13077"/>
    </row>
    <row r="13078" spans="26:26" x14ac:dyDescent="0.25">
      <c r="Z13078"/>
    </row>
    <row r="13079" spans="26:26" x14ac:dyDescent="0.25">
      <c r="Z13079"/>
    </row>
    <row r="13080" spans="26:26" x14ac:dyDescent="0.25">
      <c r="Z13080"/>
    </row>
    <row r="13081" spans="26:26" x14ac:dyDescent="0.25">
      <c r="Z13081"/>
    </row>
    <row r="13082" spans="26:26" x14ac:dyDescent="0.25">
      <c r="Z13082"/>
    </row>
    <row r="13083" spans="26:26" x14ac:dyDescent="0.25">
      <c r="Z13083"/>
    </row>
    <row r="13084" spans="26:26" x14ac:dyDescent="0.25">
      <c r="Z13084"/>
    </row>
    <row r="13085" spans="26:26" x14ac:dyDescent="0.25">
      <c r="Z13085"/>
    </row>
    <row r="13086" spans="26:26" x14ac:dyDescent="0.25">
      <c r="Z13086"/>
    </row>
    <row r="13087" spans="26:26" x14ac:dyDescent="0.25">
      <c r="Z13087"/>
    </row>
    <row r="13088" spans="26:26" x14ac:dyDescent="0.25">
      <c r="Z13088"/>
    </row>
    <row r="13089" spans="26:26" x14ac:dyDescent="0.25">
      <c r="Z13089"/>
    </row>
    <row r="13090" spans="26:26" x14ac:dyDescent="0.25">
      <c r="Z13090"/>
    </row>
    <row r="13091" spans="26:26" x14ac:dyDescent="0.25">
      <c r="Z13091"/>
    </row>
    <row r="13092" spans="26:26" x14ac:dyDescent="0.25">
      <c r="Z13092"/>
    </row>
    <row r="13093" spans="26:26" x14ac:dyDescent="0.25">
      <c r="Z13093"/>
    </row>
    <row r="13094" spans="26:26" x14ac:dyDescent="0.25">
      <c r="Z13094"/>
    </row>
    <row r="13095" spans="26:26" x14ac:dyDescent="0.25">
      <c r="Z13095"/>
    </row>
    <row r="13096" spans="26:26" x14ac:dyDescent="0.25">
      <c r="Z13096"/>
    </row>
    <row r="13097" spans="26:26" x14ac:dyDescent="0.25">
      <c r="Z13097"/>
    </row>
    <row r="13098" spans="26:26" x14ac:dyDescent="0.25">
      <c r="Z13098"/>
    </row>
    <row r="13099" spans="26:26" x14ac:dyDescent="0.25">
      <c r="Z13099"/>
    </row>
    <row r="13100" spans="26:26" x14ac:dyDescent="0.25">
      <c r="Z13100"/>
    </row>
    <row r="13101" spans="26:26" x14ac:dyDescent="0.25">
      <c r="Z13101"/>
    </row>
    <row r="13102" spans="26:26" x14ac:dyDescent="0.25">
      <c r="Z13102"/>
    </row>
    <row r="13103" spans="26:26" x14ac:dyDescent="0.25">
      <c r="Z13103"/>
    </row>
    <row r="13104" spans="26:26" x14ac:dyDescent="0.25">
      <c r="Z13104"/>
    </row>
    <row r="13105" spans="26:26" x14ac:dyDescent="0.25">
      <c r="Z13105"/>
    </row>
    <row r="13106" spans="26:26" x14ac:dyDescent="0.25">
      <c r="Z13106"/>
    </row>
    <row r="13107" spans="26:26" x14ac:dyDescent="0.25">
      <c r="Z13107"/>
    </row>
    <row r="13108" spans="26:26" x14ac:dyDescent="0.25">
      <c r="Z13108"/>
    </row>
    <row r="13109" spans="26:26" x14ac:dyDescent="0.25">
      <c r="Z13109"/>
    </row>
    <row r="13110" spans="26:26" x14ac:dyDescent="0.25">
      <c r="Z13110"/>
    </row>
    <row r="13111" spans="26:26" x14ac:dyDescent="0.25">
      <c r="Z13111"/>
    </row>
    <row r="13112" spans="26:26" x14ac:dyDescent="0.25">
      <c r="Z13112"/>
    </row>
    <row r="13113" spans="26:26" x14ac:dyDescent="0.25">
      <c r="Z13113"/>
    </row>
    <row r="13114" spans="26:26" x14ac:dyDescent="0.25">
      <c r="Z13114"/>
    </row>
    <row r="13115" spans="26:26" x14ac:dyDescent="0.25">
      <c r="Z13115"/>
    </row>
    <row r="13116" spans="26:26" x14ac:dyDescent="0.25">
      <c r="Z13116"/>
    </row>
    <row r="13117" spans="26:26" x14ac:dyDescent="0.25">
      <c r="Z13117"/>
    </row>
    <row r="13118" spans="26:26" x14ac:dyDescent="0.25">
      <c r="Z13118"/>
    </row>
    <row r="13119" spans="26:26" x14ac:dyDescent="0.25">
      <c r="Z13119"/>
    </row>
    <row r="13120" spans="26:26" x14ac:dyDescent="0.25">
      <c r="Z13120"/>
    </row>
    <row r="13121" spans="26:26" x14ac:dyDescent="0.25">
      <c r="Z13121"/>
    </row>
    <row r="13122" spans="26:26" x14ac:dyDescent="0.25">
      <c r="Z13122"/>
    </row>
    <row r="13123" spans="26:26" x14ac:dyDescent="0.25">
      <c r="Z13123"/>
    </row>
    <row r="13124" spans="26:26" x14ac:dyDescent="0.25">
      <c r="Z13124"/>
    </row>
    <row r="13125" spans="26:26" x14ac:dyDescent="0.25">
      <c r="Z13125"/>
    </row>
    <row r="13126" spans="26:26" x14ac:dyDescent="0.25">
      <c r="Z13126"/>
    </row>
    <row r="13127" spans="26:26" x14ac:dyDescent="0.25">
      <c r="Z13127"/>
    </row>
    <row r="13128" spans="26:26" x14ac:dyDescent="0.25">
      <c r="Z13128"/>
    </row>
    <row r="13129" spans="26:26" x14ac:dyDescent="0.25">
      <c r="Z13129"/>
    </row>
    <row r="13130" spans="26:26" x14ac:dyDescent="0.25">
      <c r="Z13130"/>
    </row>
    <row r="13131" spans="26:26" x14ac:dyDescent="0.25">
      <c r="Z13131"/>
    </row>
    <row r="13132" spans="26:26" x14ac:dyDescent="0.25">
      <c r="Z13132"/>
    </row>
    <row r="13133" spans="26:26" x14ac:dyDescent="0.25">
      <c r="Z13133"/>
    </row>
    <row r="13134" spans="26:26" x14ac:dyDescent="0.25">
      <c r="Z13134"/>
    </row>
    <row r="13135" spans="26:26" x14ac:dyDescent="0.25">
      <c r="Z13135"/>
    </row>
    <row r="13136" spans="26:26" x14ac:dyDescent="0.25">
      <c r="Z13136"/>
    </row>
    <row r="13137" spans="26:26" x14ac:dyDescent="0.25">
      <c r="Z13137"/>
    </row>
    <row r="13138" spans="26:26" x14ac:dyDescent="0.25">
      <c r="Z13138"/>
    </row>
    <row r="13139" spans="26:26" x14ac:dyDescent="0.25">
      <c r="Z13139"/>
    </row>
    <row r="13140" spans="26:26" x14ac:dyDescent="0.25">
      <c r="Z13140"/>
    </row>
    <row r="13141" spans="26:26" x14ac:dyDescent="0.25">
      <c r="Z13141"/>
    </row>
    <row r="13142" spans="26:26" x14ac:dyDescent="0.25">
      <c r="Z13142"/>
    </row>
    <row r="13143" spans="26:26" x14ac:dyDescent="0.25">
      <c r="Z13143"/>
    </row>
    <row r="13144" spans="26:26" x14ac:dyDescent="0.25">
      <c r="Z13144"/>
    </row>
    <row r="13145" spans="26:26" x14ac:dyDescent="0.25">
      <c r="Z13145"/>
    </row>
    <row r="13146" spans="26:26" x14ac:dyDescent="0.25">
      <c r="Z13146"/>
    </row>
    <row r="13147" spans="26:26" x14ac:dyDescent="0.25">
      <c r="Z13147"/>
    </row>
    <row r="13148" spans="26:26" x14ac:dyDescent="0.25">
      <c r="Z13148"/>
    </row>
    <row r="13149" spans="26:26" x14ac:dyDescent="0.25">
      <c r="Z13149"/>
    </row>
    <row r="13150" spans="26:26" x14ac:dyDescent="0.25">
      <c r="Z13150"/>
    </row>
    <row r="13151" spans="26:26" x14ac:dyDescent="0.25">
      <c r="Z13151"/>
    </row>
    <row r="13152" spans="26:26" x14ac:dyDescent="0.25">
      <c r="Z13152"/>
    </row>
    <row r="13153" spans="26:26" x14ac:dyDescent="0.25">
      <c r="Z13153"/>
    </row>
    <row r="13154" spans="26:26" x14ac:dyDescent="0.25">
      <c r="Z13154"/>
    </row>
    <row r="13155" spans="26:26" x14ac:dyDescent="0.25">
      <c r="Z13155"/>
    </row>
    <row r="13156" spans="26:26" x14ac:dyDescent="0.25">
      <c r="Z13156"/>
    </row>
    <row r="13157" spans="26:26" x14ac:dyDescent="0.25">
      <c r="Z13157"/>
    </row>
    <row r="13158" spans="26:26" x14ac:dyDescent="0.25">
      <c r="Z13158"/>
    </row>
    <row r="13159" spans="26:26" x14ac:dyDescent="0.25">
      <c r="Z13159"/>
    </row>
    <row r="13160" spans="26:26" x14ac:dyDescent="0.25">
      <c r="Z13160"/>
    </row>
    <row r="13161" spans="26:26" x14ac:dyDescent="0.25">
      <c r="Z13161"/>
    </row>
    <row r="13162" spans="26:26" x14ac:dyDescent="0.25">
      <c r="Z13162"/>
    </row>
    <row r="13163" spans="26:26" x14ac:dyDescent="0.25">
      <c r="Z13163"/>
    </row>
    <row r="13164" spans="26:26" x14ac:dyDescent="0.25">
      <c r="Z13164"/>
    </row>
    <row r="13165" spans="26:26" x14ac:dyDescent="0.25">
      <c r="Z13165"/>
    </row>
    <row r="13166" spans="26:26" x14ac:dyDescent="0.25">
      <c r="Z13166"/>
    </row>
    <row r="13167" spans="26:26" x14ac:dyDescent="0.25">
      <c r="Z13167"/>
    </row>
    <row r="13168" spans="26:26" x14ac:dyDescent="0.25">
      <c r="Z13168"/>
    </row>
    <row r="13169" spans="26:26" x14ac:dyDescent="0.25">
      <c r="Z13169"/>
    </row>
    <row r="13170" spans="26:26" x14ac:dyDescent="0.25">
      <c r="Z13170"/>
    </row>
    <row r="13171" spans="26:26" x14ac:dyDescent="0.25">
      <c r="Z13171"/>
    </row>
    <row r="13172" spans="26:26" x14ac:dyDescent="0.25">
      <c r="Z13172"/>
    </row>
    <row r="13173" spans="26:26" x14ac:dyDescent="0.25">
      <c r="Z13173"/>
    </row>
    <row r="13174" spans="26:26" x14ac:dyDescent="0.25">
      <c r="Z13174"/>
    </row>
    <row r="13175" spans="26:26" x14ac:dyDescent="0.25">
      <c r="Z13175"/>
    </row>
    <row r="13176" spans="26:26" x14ac:dyDescent="0.25">
      <c r="Z13176"/>
    </row>
    <row r="13177" spans="26:26" x14ac:dyDescent="0.25">
      <c r="Z13177"/>
    </row>
    <row r="13178" spans="26:26" x14ac:dyDescent="0.25">
      <c r="Z13178"/>
    </row>
    <row r="13179" spans="26:26" x14ac:dyDescent="0.25">
      <c r="Z13179"/>
    </row>
    <row r="13180" spans="26:26" x14ac:dyDescent="0.25">
      <c r="Z13180"/>
    </row>
    <row r="13181" spans="26:26" x14ac:dyDescent="0.25">
      <c r="Z13181"/>
    </row>
    <row r="13182" spans="26:26" x14ac:dyDescent="0.25">
      <c r="Z13182"/>
    </row>
    <row r="13183" spans="26:26" x14ac:dyDescent="0.25">
      <c r="Z13183"/>
    </row>
    <row r="13184" spans="26:26" x14ac:dyDescent="0.25">
      <c r="Z13184"/>
    </row>
    <row r="13185" spans="26:26" x14ac:dyDescent="0.25">
      <c r="Z13185"/>
    </row>
    <row r="13186" spans="26:26" x14ac:dyDescent="0.25">
      <c r="Z13186"/>
    </row>
    <row r="13187" spans="26:26" x14ac:dyDescent="0.25">
      <c r="Z13187"/>
    </row>
    <row r="13188" spans="26:26" x14ac:dyDescent="0.25">
      <c r="Z13188"/>
    </row>
    <row r="13189" spans="26:26" x14ac:dyDescent="0.25">
      <c r="Z13189"/>
    </row>
    <row r="13190" spans="26:26" x14ac:dyDescent="0.25">
      <c r="Z13190"/>
    </row>
    <row r="13191" spans="26:26" x14ac:dyDescent="0.25">
      <c r="Z13191"/>
    </row>
    <row r="13192" spans="26:26" x14ac:dyDescent="0.25">
      <c r="Z13192"/>
    </row>
    <row r="13193" spans="26:26" x14ac:dyDescent="0.25">
      <c r="Z13193"/>
    </row>
    <row r="13194" spans="26:26" x14ac:dyDescent="0.25">
      <c r="Z13194"/>
    </row>
    <row r="13195" spans="26:26" x14ac:dyDescent="0.25">
      <c r="Z13195"/>
    </row>
    <row r="13196" spans="26:26" x14ac:dyDescent="0.25">
      <c r="Z13196"/>
    </row>
    <row r="13197" spans="26:26" x14ac:dyDescent="0.25">
      <c r="Z13197"/>
    </row>
    <row r="13198" spans="26:26" x14ac:dyDescent="0.25">
      <c r="Z13198"/>
    </row>
    <row r="13199" spans="26:26" x14ac:dyDescent="0.25">
      <c r="Z13199"/>
    </row>
    <row r="13200" spans="26:26" x14ac:dyDescent="0.25">
      <c r="Z13200"/>
    </row>
    <row r="13201" spans="26:26" x14ac:dyDescent="0.25">
      <c r="Z13201"/>
    </row>
    <row r="13202" spans="26:26" x14ac:dyDescent="0.25">
      <c r="Z13202"/>
    </row>
    <row r="13203" spans="26:26" x14ac:dyDescent="0.25">
      <c r="Z13203"/>
    </row>
    <row r="13204" spans="26:26" x14ac:dyDescent="0.25">
      <c r="Z13204"/>
    </row>
    <row r="13205" spans="26:26" x14ac:dyDescent="0.25">
      <c r="Z13205"/>
    </row>
    <row r="13206" spans="26:26" x14ac:dyDescent="0.25">
      <c r="Z13206"/>
    </row>
    <row r="13207" spans="26:26" x14ac:dyDescent="0.25">
      <c r="Z13207"/>
    </row>
    <row r="13208" spans="26:26" x14ac:dyDescent="0.25">
      <c r="Z13208"/>
    </row>
    <row r="13209" spans="26:26" x14ac:dyDescent="0.25">
      <c r="Z13209"/>
    </row>
    <row r="13210" spans="26:26" x14ac:dyDescent="0.25">
      <c r="Z13210"/>
    </row>
    <row r="13211" spans="26:26" x14ac:dyDescent="0.25">
      <c r="Z13211"/>
    </row>
    <row r="13212" spans="26:26" x14ac:dyDescent="0.25">
      <c r="Z13212"/>
    </row>
    <row r="13213" spans="26:26" x14ac:dyDescent="0.25">
      <c r="Z13213"/>
    </row>
    <row r="13214" spans="26:26" x14ac:dyDescent="0.25">
      <c r="Z13214"/>
    </row>
    <row r="13215" spans="26:26" x14ac:dyDescent="0.25">
      <c r="Z13215"/>
    </row>
    <row r="13216" spans="26:26" x14ac:dyDescent="0.25">
      <c r="Z13216"/>
    </row>
    <row r="13217" spans="26:26" x14ac:dyDescent="0.25">
      <c r="Z13217"/>
    </row>
    <row r="13218" spans="26:26" x14ac:dyDescent="0.25">
      <c r="Z13218"/>
    </row>
    <row r="13219" spans="26:26" x14ac:dyDescent="0.25">
      <c r="Z13219"/>
    </row>
    <row r="13220" spans="26:26" x14ac:dyDescent="0.25">
      <c r="Z13220"/>
    </row>
    <row r="13221" spans="26:26" x14ac:dyDescent="0.25">
      <c r="Z13221"/>
    </row>
    <row r="13222" spans="26:26" x14ac:dyDescent="0.25">
      <c r="Z13222"/>
    </row>
    <row r="13223" spans="26:26" x14ac:dyDescent="0.25">
      <c r="Z13223"/>
    </row>
    <row r="13224" spans="26:26" x14ac:dyDescent="0.25">
      <c r="Z13224"/>
    </row>
    <row r="13225" spans="26:26" x14ac:dyDescent="0.25">
      <c r="Z13225"/>
    </row>
    <row r="13226" spans="26:26" x14ac:dyDescent="0.25">
      <c r="Z13226"/>
    </row>
    <row r="13227" spans="26:26" x14ac:dyDescent="0.25">
      <c r="Z13227"/>
    </row>
    <row r="13228" spans="26:26" x14ac:dyDescent="0.25">
      <c r="Z13228"/>
    </row>
    <row r="13229" spans="26:26" x14ac:dyDescent="0.25">
      <c r="Z13229"/>
    </row>
    <row r="13230" spans="26:26" x14ac:dyDescent="0.25">
      <c r="Z13230"/>
    </row>
    <row r="13231" spans="26:26" x14ac:dyDescent="0.25">
      <c r="Z13231"/>
    </row>
    <row r="13232" spans="26:26" x14ac:dyDescent="0.25">
      <c r="Z13232"/>
    </row>
    <row r="13233" spans="26:26" x14ac:dyDescent="0.25">
      <c r="Z13233"/>
    </row>
    <row r="13234" spans="26:26" x14ac:dyDescent="0.25">
      <c r="Z13234"/>
    </row>
    <row r="13235" spans="26:26" x14ac:dyDescent="0.25">
      <c r="Z13235"/>
    </row>
    <row r="13236" spans="26:26" x14ac:dyDescent="0.25">
      <c r="Z13236"/>
    </row>
    <row r="13237" spans="26:26" x14ac:dyDescent="0.25">
      <c r="Z13237"/>
    </row>
    <row r="13238" spans="26:26" x14ac:dyDescent="0.25">
      <c r="Z13238"/>
    </row>
    <row r="13239" spans="26:26" x14ac:dyDescent="0.25">
      <c r="Z13239"/>
    </row>
    <row r="13240" spans="26:26" x14ac:dyDescent="0.25">
      <c r="Z13240"/>
    </row>
    <row r="13241" spans="26:26" x14ac:dyDescent="0.25">
      <c r="Z13241"/>
    </row>
    <row r="13242" spans="26:26" x14ac:dyDescent="0.25">
      <c r="Z13242"/>
    </row>
    <row r="13243" spans="26:26" x14ac:dyDescent="0.25">
      <c r="Z13243"/>
    </row>
    <row r="13244" spans="26:26" x14ac:dyDescent="0.25">
      <c r="Z13244"/>
    </row>
    <row r="13245" spans="26:26" x14ac:dyDescent="0.25">
      <c r="Z13245"/>
    </row>
    <row r="13246" spans="26:26" x14ac:dyDescent="0.25">
      <c r="Z13246"/>
    </row>
    <row r="13247" spans="26:26" x14ac:dyDescent="0.25">
      <c r="Z13247"/>
    </row>
    <row r="13248" spans="26:26" x14ac:dyDescent="0.25">
      <c r="Z13248"/>
    </row>
    <row r="13249" spans="26:26" x14ac:dyDescent="0.25">
      <c r="Z13249"/>
    </row>
    <row r="13250" spans="26:26" x14ac:dyDescent="0.25">
      <c r="Z13250"/>
    </row>
    <row r="13251" spans="26:26" x14ac:dyDescent="0.25">
      <c r="Z13251"/>
    </row>
    <row r="13252" spans="26:26" x14ac:dyDescent="0.25">
      <c r="Z13252"/>
    </row>
    <row r="13253" spans="26:26" x14ac:dyDescent="0.25">
      <c r="Z13253"/>
    </row>
    <row r="13254" spans="26:26" x14ac:dyDescent="0.25">
      <c r="Z13254"/>
    </row>
    <row r="13255" spans="26:26" x14ac:dyDescent="0.25">
      <c r="Z13255"/>
    </row>
    <row r="13256" spans="26:26" x14ac:dyDescent="0.25">
      <c r="Z13256"/>
    </row>
    <row r="13257" spans="26:26" x14ac:dyDescent="0.25">
      <c r="Z13257"/>
    </row>
    <row r="13258" spans="26:26" x14ac:dyDescent="0.25">
      <c r="Z13258"/>
    </row>
    <row r="13259" spans="26:26" x14ac:dyDescent="0.25">
      <c r="Z13259"/>
    </row>
    <row r="13260" spans="26:26" x14ac:dyDescent="0.25">
      <c r="Z13260"/>
    </row>
    <row r="13261" spans="26:26" x14ac:dyDescent="0.25">
      <c r="Z13261"/>
    </row>
    <row r="13262" spans="26:26" x14ac:dyDescent="0.25">
      <c r="Z13262"/>
    </row>
    <row r="13263" spans="26:26" x14ac:dyDescent="0.25">
      <c r="Z13263"/>
    </row>
    <row r="13264" spans="26:26" x14ac:dyDescent="0.25">
      <c r="Z13264"/>
    </row>
    <row r="13265" spans="26:26" x14ac:dyDescent="0.25">
      <c r="Z13265"/>
    </row>
    <row r="13266" spans="26:26" x14ac:dyDescent="0.25">
      <c r="Z13266"/>
    </row>
    <row r="13267" spans="26:26" x14ac:dyDescent="0.25">
      <c r="Z13267"/>
    </row>
    <row r="13268" spans="26:26" x14ac:dyDescent="0.25">
      <c r="Z13268"/>
    </row>
    <row r="13269" spans="26:26" x14ac:dyDescent="0.25">
      <c r="Z13269"/>
    </row>
    <row r="13270" spans="26:26" x14ac:dyDescent="0.25">
      <c r="Z13270"/>
    </row>
    <row r="13271" spans="26:26" x14ac:dyDescent="0.25">
      <c r="Z13271"/>
    </row>
    <row r="13272" spans="26:26" x14ac:dyDescent="0.25">
      <c r="Z13272"/>
    </row>
    <row r="13273" spans="26:26" x14ac:dyDescent="0.25">
      <c r="Z13273"/>
    </row>
    <row r="13274" spans="26:26" x14ac:dyDescent="0.25">
      <c r="Z13274"/>
    </row>
    <row r="13275" spans="26:26" x14ac:dyDescent="0.25">
      <c r="Z13275"/>
    </row>
    <row r="13276" spans="26:26" x14ac:dyDescent="0.25">
      <c r="Z13276"/>
    </row>
    <row r="13277" spans="26:26" x14ac:dyDescent="0.25">
      <c r="Z13277"/>
    </row>
    <row r="13278" spans="26:26" x14ac:dyDescent="0.25">
      <c r="Z13278"/>
    </row>
    <row r="13279" spans="26:26" x14ac:dyDescent="0.25">
      <c r="Z13279"/>
    </row>
    <row r="13280" spans="26:26" x14ac:dyDescent="0.25">
      <c r="Z13280"/>
    </row>
    <row r="13281" spans="26:26" x14ac:dyDescent="0.25">
      <c r="Z13281"/>
    </row>
    <row r="13282" spans="26:26" x14ac:dyDescent="0.25">
      <c r="Z13282"/>
    </row>
    <row r="13283" spans="26:26" x14ac:dyDescent="0.25">
      <c r="Z13283"/>
    </row>
    <row r="13284" spans="26:26" x14ac:dyDescent="0.25">
      <c r="Z13284"/>
    </row>
    <row r="13285" spans="26:26" x14ac:dyDescent="0.25">
      <c r="Z13285"/>
    </row>
    <row r="13286" spans="26:26" x14ac:dyDescent="0.25">
      <c r="Z13286"/>
    </row>
    <row r="13287" spans="26:26" x14ac:dyDescent="0.25">
      <c r="Z13287"/>
    </row>
    <row r="13288" spans="26:26" x14ac:dyDescent="0.25">
      <c r="Z13288"/>
    </row>
    <row r="13289" spans="26:26" x14ac:dyDescent="0.25">
      <c r="Z13289"/>
    </row>
    <row r="13290" spans="26:26" x14ac:dyDescent="0.25">
      <c r="Z13290"/>
    </row>
    <row r="13291" spans="26:26" x14ac:dyDescent="0.25">
      <c r="Z13291"/>
    </row>
    <row r="13292" spans="26:26" x14ac:dyDescent="0.25">
      <c r="Z13292"/>
    </row>
    <row r="13293" spans="26:26" x14ac:dyDescent="0.25">
      <c r="Z13293"/>
    </row>
    <row r="13294" spans="26:26" x14ac:dyDescent="0.25">
      <c r="Z13294"/>
    </row>
    <row r="13295" spans="26:26" x14ac:dyDescent="0.25">
      <c r="Z13295"/>
    </row>
    <row r="13296" spans="26:26" x14ac:dyDescent="0.25">
      <c r="Z13296"/>
    </row>
    <row r="13297" spans="26:26" x14ac:dyDescent="0.25">
      <c r="Z13297"/>
    </row>
    <row r="13298" spans="26:26" x14ac:dyDescent="0.25">
      <c r="Z13298"/>
    </row>
    <row r="13299" spans="26:26" x14ac:dyDescent="0.25">
      <c r="Z13299"/>
    </row>
    <row r="13300" spans="26:26" x14ac:dyDescent="0.25">
      <c r="Z13300"/>
    </row>
    <row r="13301" spans="26:26" x14ac:dyDescent="0.25">
      <c r="Z13301"/>
    </row>
    <row r="13302" spans="26:26" x14ac:dyDescent="0.25">
      <c r="Z13302"/>
    </row>
    <row r="13303" spans="26:26" x14ac:dyDescent="0.25">
      <c r="Z13303"/>
    </row>
    <row r="13304" spans="26:26" x14ac:dyDescent="0.25">
      <c r="Z13304"/>
    </row>
    <row r="13305" spans="26:26" x14ac:dyDescent="0.25">
      <c r="Z13305"/>
    </row>
    <row r="13306" spans="26:26" x14ac:dyDescent="0.25">
      <c r="Z13306"/>
    </row>
    <row r="13307" spans="26:26" x14ac:dyDescent="0.25">
      <c r="Z13307"/>
    </row>
    <row r="13308" spans="26:26" x14ac:dyDescent="0.25">
      <c r="Z13308"/>
    </row>
    <row r="13309" spans="26:26" x14ac:dyDescent="0.25">
      <c r="Z13309"/>
    </row>
    <row r="13310" spans="26:26" x14ac:dyDescent="0.25">
      <c r="Z13310"/>
    </row>
    <row r="13311" spans="26:26" x14ac:dyDescent="0.25">
      <c r="Z13311"/>
    </row>
    <row r="13312" spans="26:26" x14ac:dyDescent="0.25">
      <c r="Z13312"/>
    </row>
    <row r="13313" spans="26:26" x14ac:dyDescent="0.25">
      <c r="Z13313"/>
    </row>
    <row r="13314" spans="26:26" x14ac:dyDescent="0.25">
      <c r="Z13314"/>
    </row>
    <row r="13315" spans="26:26" x14ac:dyDescent="0.25">
      <c r="Z13315"/>
    </row>
    <row r="13316" spans="26:26" x14ac:dyDescent="0.25">
      <c r="Z13316"/>
    </row>
    <row r="13317" spans="26:26" x14ac:dyDescent="0.25">
      <c r="Z13317"/>
    </row>
    <row r="13318" spans="26:26" x14ac:dyDescent="0.25">
      <c r="Z13318"/>
    </row>
    <row r="13319" spans="26:26" x14ac:dyDescent="0.25">
      <c r="Z13319"/>
    </row>
    <row r="13320" spans="26:26" x14ac:dyDescent="0.25">
      <c r="Z13320"/>
    </row>
    <row r="13321" spans="26:26" x14ac:dyDescent="0.25">
      <c r="Z13321"/>
    </row>
    <row r="13322" spans="26:26" x14ac:dyDescent="0.25">
      <c r="Z13322"/>
    </row>
    <row r="13323" spans="26:26" x14ac:dyDescent="0.25">
      <c r="Z13323"/>
    </row>
    <row r="13324" spans="26:26" x14ac:dyDescent="0.25">
      <c r="Z13324"/>
    </row>
    <row r="13325" spans="26:26" x14ac:dyDescent="0.25">
      <c r="Z13325"/>
    </row>
    <row r="13326" spans="26:26" x14ac:dyDescent="0.25">
      <c r="Z13326"/>
    </row>
    <row r="13327" spans="26:26" x14ac:dyDescent="0.25">
      <c r="Z13327"/>
    </row>
    <row r="13328" spans="26:26" x14ac:dyDescent="0.25">
      <c r="Z13328"/>
    </row>
    <row r="13329" spans="26:26" x14ac:dyDescent="0.25">
      <c r="Z13329"/>
    </row>
    <row r="13330" spans="26:26" x14ac:dyDescent="0.25">
      <c r="Z13330"/>
    </row>
    <row r="13331" spans="26:26" x14ac:dyDescent="0.25">
      <c r="Z13331"/>
    </row>
    <row r="13332" spans="26:26" x14ac:dyDescent="0.25">
      <c r="Z13332"/>
    </row>
    <row r="13333" spans="26:26" x14ac:dyDescent="0.25">
      <c r="Z13333"/>
    </row>
    <row r="13334" spans="26:26" x14ac:dyDescent="0.25">
      <c r="Z13334"/>
    </row>
    <row r="13335" spans="26:26" x14ac:dyDescent="0.25">
      <c r="Z13335"/>
    </row>
    <row r="13336" spans="26:26" x14ac:dyDescent="0.25">
      <c r="Z13336"/>
    </row>
    <row r="13337" spans="26:26" x14ac:dyDescent="0.25">
      <c r="Z13337"/>
    </row>
    <row r="13338" spans="26:26" x14ac:dyDescent="0.25">
      <c r="Z13338"/>
    </row>
    <row r="13339" spans="26:26" x14ac:dyDescent="0.25">
      <c r="Z13339"/>
    </row>
    <row r="13340" spans="26:26" x14ac:dyDescent="0.25">
      <c r="Z13340"/>
    </row>
    <row r="13341" spans="26:26" x14ac:dyDescent="0.25">
      <c r="Z13341"/>
    </row>
    <row r="13342" spans="26:26" x14ac:dyDescent="0.25">
      <c r="Z13342"/>
    </row>
    <row r="13343" spans="26:26" x14ac:dyDescent="0.25">
      <c r="Z13343"/>
    </row>
    <row r="13344" spans="26:26" x14ac:dyDescent="0.25">
      <c r="Z13344"/>
    </row>
    <row r="13345" spans="26:26" x14ac:dyDescent="0.25">
      <c r="Z13345"/>
    </row>
    <row r="13346" spans="26:26" x14ac:dyDescent="0.25">
      <c r="Z13346"/>
    </row>
    <row r="13347" spans="26:26" x14ac:dyDescent="0.25">
      <c r="Z13347"/>
    </row>
    <row r="13348" spans="26:26" x14ac:dyDescent="0.25">
      <c r="Z13348"/>
    </row>
    <row r="13349" spans="26:26" x14ac:dyDescent="0.25">
      <c r="Z13349"/>
    </row>
    <row r="13350" spans="26:26" x14ac:dyDescent="0.25">
      <c r="Z13350"/>
    </row>
    <row r="13351" spans="26:26" x14ac:dyDescent="0.25">
      <c r="Z13351"/>
    </row>
    <row r="13352" spans="26:26" x14ac:dyDescent="0.25">
      <c r="Z13352"/>
    </row>
    <row r="13353" spans="26:26" x14ac:dyDescent="0.25">
      <c r="Z13353"/>
    </row>
    <row r="13354" spans="26:26" x14ac:dyDescent="0.25">
      <c r="Z13354"/>
    </row>
    <row r="13355" spans="26:26" x14ac:dyDescent="0.25">
      <c r="Z13355"/>
    </row>
    <row r="13356" spans="26:26" x14ac:dyDescent="0.25">
      <c r="Z13356"/>
    </row>
    <row r="13357" spans="26:26" x14ac:dyDescent="0.25">
      <c r="Z13357"/>
    </row>
    <row r="13358" spans="26:26" x14ac:dyDescent="0.25">
      <c r="Z13358"/>
    </row>
    <row r="13359" spans="26:26" x14ac:dyDescent="0.25">
      <c r="Z13359"/>
    </row>
    <row r="13360" spans="26:26" x14ac:dyDescent="0.25">
      <c r="Z13360"/>
    </row>
    <row r="13361" spans="26:26" x14ac:dyDescent="0.25">
      <c r="Z13361"/>
    </row>
    <row r="13362" spans="26:26" x14ac:dyDescent="0.25">
      <c r="Z13362"/>
    </row>
    <row r="13363" spans="26:26" x14ac:dyDescent="0.25">
      <c r="Z13363"/>
    </row>
    <row r="13364" spans="26:26" x14ac:dyDescent="0.25">
      <c r="Z13364"/>
    </row>
    <row r="13365" spans="26:26" x14ac:dyDescent="0.25">
      <c r="Z13365"/>
    </row>
    <row r="13366" spans="26:26" x14ac:dyDescent="0.25">
      <c r="Z13366"/>
    </row>
    <row r="13367" spans="26:26" x14ac:dyDescent="0.25">
      <c r="Z13367"/>
    </row>
    <row r="13368" spans="26:26" x14ac:dyDescent="0.25">
      <c r="Z13368"/>
    </row>
    <row r="13369" spans="26:26" x14ac:dyDescent="0.25">
      <c r="Z13369"/>
    </row>
    <row r="13370" spans="26:26" x14ac:dyDescent="0.25">
      <c r="Z13370"/>
    </row>
    <row r="13371" spans="26:26" x14ac:dyDescent="0.25">
      <c r="Z13371"/>
    </row>
    <row r="13372" spans="26:26" x14ac:dyDescent="0.25">
      <c r="Z13372"/>
    </row>
    <row r="13373" spans="26:26" x14ac:dyDescent="0.25">
      <c r="Z13373"/>
    </row>
    <row r="13374" spans="26:26" x14ac:dyDescent="0.25">
      <c r="Z13374"/>
    </row>
    <row r="13375" spans="26:26" x14ac:dyDescent="0.25">
      <c r="Z13375"/>
    </row>
    <row r="13376" spans="26:26" x14ac:dyDescent="0.25">
      <c r="Z13376"/>
    </row>
    <row r="13377" spans="26:26" x14ac:dyDescent="0.25">
      <c r="Z13377"/>
    </row>
    <row r="13378" spans="26:26" x14ac:dyDescent="0.25">
      <c r="Z13378"/>
    </row>
    <row r="13379" spans="26:26" x14ac:dyDescent="0.25">
      <c r="Z13379"/>
    </row>
    <row r="13380" spans="26:26" x14ac:dyDescent="0.25">
      <c r="Z13380"/>
    </row>
    <row r="13381" spans="26:26" x14ac:dyDescent="0.25">
      <c r="Z13381"/>
    </row>
    <row r="13382" spans="26:26" x14ac:dyDescent="0.25">
      <c r="Z13382"/>
    </row>
    <row r="13383" spans="26:26" x14ac:dyDescent="0.25">
      <c r="Z13383"/>
    </row>
    <row r="13384" spans="26:26" x14ac:dyDescent="0.25">
      <c r="Z13384"/>
    </row>
    <row r="13385" spans="26:26" x14ac:dyDescent="0.25">
      <c r="Z13385"/>
    </row>
    <row r="13386" spans="26:26" x14ac:dyDescent="0.25">
      <c r="Z13386"/>
    </row>
    <row r="13387" spans="26:26" x14ac:dyDescent="0.25">
      <c r="Z13387"/>
    </row>
    <row r="13388" spans="26:26" x14ac:dyDescent="0.25">
      <c r="Z13388"/>
    </row>
    <row r="13389" spans="26:26" x14ac:dyDescent="0.25">
      <c r="Z13389"/>
    </row>
    <row r="13390" spans="26:26" x14ac:dyDescent="0.25">
      <c r="Z13390"/>
    </row>
    <row r="13391" spans="26:26" x14ac:dyDescent="0.25">
      <c r="Z13391"/>
    </row>
    <row r="13392" spans="26:26" x14ac:dyDescent="0.25">
      <c r="Z13392"/>
    </row>
    <row r="13393" spans="26:26" x14ac:dyDescent="0.25">
      <c r="Z13393"/>
    </row>
    <row r="13394" spans="26:26" x14ac:dyDescent="0.25">
      <c r="Z13394"/>
    </row>
    <row r="13395" spans="26:26" x14ac:dyDescent="0.25">
      <c r="Z13395"/>
    </row>
    <row r="13396" spans="26:26" x14ac:dyDescent="0.25">
      <c r="Z13396"/>
    </row>
    <row r="13397" spans="26:26" x14ac:dyDescent="0.25">
      <c r="Z13397"/>
    </row>
    <row r="13398" spans="26:26" x14ac:dyDescent="0.25">
      <c r="Z13398"/>
    </row>
    <row r="13399" spans="26:26" x14ac:dyDescent="0.25">
      <c r="Z13399"/>
    </row>
    <row r="13400" spans="26:26" x14ac:dyDescent="0.25">
      <c r="Z13400"/>
    </row>
    <row r="13401" spans="26:26" x14ac:dyDescent="0.25">
      <c r="Z13401"/>
    </row>
    <row r="13402" spans="26:26" x14ac:dyDescent="0.25">
      <c r="Z13402"/>
    </row>
    <row r="13403" spans="26:26" x14ac:dyDescent="0.25">
      <c r="Z13403"/>
    </row>
    <row r="13404" spans="26:26" x14ac:dyDescent="0.25">
      <c r="Z13404"/>
    </row>
    <row r="13405" spans="26:26" x14ac:dyDescent="0.25">
      <c r="Z13405"/>
    </row>
    <row r="13406" spans="26:26" x14ac:dyDescent="0.25">
      <c r="Z13406"/>
    </row>
    <row r="13407" spans="26:26" x14ac:dyDescent="0.25">
      <c r="Z13407"/>
    </row>
    <row r="13408" spans="26:26" x14ac:dyDescent="0.25">
      <c r="Z13408"/>
    </row>
    <row r="13409" spans="26:26" x14ac:dyDescent="0.25">
      <c r="Z13409"/>
    </row>
    <row r="13410" spans="26:26" x14ac:dyDescent="0.25">
      <c r="Z13410"/>
    </row>
    <row r="13411" spans="26:26" x14ac:dyDescent="0.25">
      <c r="Z13411"/>
    </row>
    <row r="13412" spans="26:26" x14ac:dyDescent="0.25">
      <c r="Z13412"/>
    </row>
    <row r="13413" spans="26:26" x14ac:dyDescent="0.25">
      <c r="Z13413"/>
    </row>
    <row r="13414" spans="26:26" x14ac:dyDescent="0.25">
      <c r="Z13414"/>
    </row>
    <row r="13415" spans="26:26" x14ac:dyDescent="0.25">
      <c r="Z13415"/>
    </row>
    <row r="13416" spans="26:26" x14ac:dyDescent="0.25">
      <c r="Z13416"/>
    </row>
    <row r="13417" spans="26:26" x14ac:dyDescent="0.25">
      <c r="Z13417"/>
    </row>
    <row r="13418" spans="26:26" x14ac:dyDescent="0.25">
      <c r="Z13418"/>
    </row>
    <row r="13419" spans="26:26" x14ac:dyDescent="0.25">
      <c r="Z13419"/>
    </row>
    <row r="13420" spans="26:26" x14ac:dyDescent="0.25">
      <c r="Z13420"/>
    </row>
    <row r="13421" spans="26:26" x14ac:dyDescent="0.25">
      <c r="Z13421"/>
    </row>
    <row r="13422" spans="26:26" x14ac:dyDescent="0.25">
      <c r="Z13422"/>
    </row>
    <row r="13423" spans="26:26" x14ac:dyDescent="0.25">
      <c r="Z13423"/>
    </row>
    <row r="13424" spans="26:26" x14ac:dyDescent="0.25">
      <c r="Z13424"/>
    </row>
    <row r="13425" spans="26:26" x14ac:dyDescent="0.25">
      <c r="Z13425"/>
    </row>
    <row r="13426" spans="26:26" x14ac:dyDescent="0.25">
      <c r="Z13426"/>
    </row>
    <row r="13427" spans="26:26" x14ac:dyDescent="0.25">
      <c r="Z13427"/>
    </row>
    <row r="13428" spans="26:26" x14ac:dyDescent="0.25">
      <c r="Z13428"/>
    </row>
    <row r="13429" spans="26:26" x14ac:dyDescent="0.25">
      <c r="Z13429"/>
    </row>
    <row r="13430" spans="26:26" x14ac:dyDescent="0.25">
      <c r="Z13430"/>
    </row>
    <row r="13431" spans="26:26" x14ac:dyDescent="0.25">
      <c r="Z13431"/>
    </row>
    <row r="13432" spans="26:26" x14ac:dyDescent="0.25">
      <c r="Z13432"/>
    </row>
    <row r="13433" spans="26:26" x14ac:dyDescent="0.25">
      <c r="Z13433"/>
    </row>
    <row r="13434" spans="26:26" x14ac:dyDescent="0.25">
      <c r="Z13434"/>
    </row>
    <row r="13435" spans="26:26" x14ac:dyDescent="0.25">
      <c r="Z13435"/>
    </row>
    <row r="13436" spans="26:26" x14ac:dyDescent="0.25">
      <c r="Z13436"/>
    </row>
    <row r="13437" spans="26:26" x14ac:dyDescent="0.25">
      <c r="Z13437"/>
    </row>
    <row r="13438" spans="26:26" x14ac:dyDescent="0.25">
      <c r="Z13438"/>
    </row>
    <row r="13439" spans="26:26" x14ac:dyDescent="0.25">
      <c r="Z13439"/>
    </row>
    <row r="13440" spans="26:26" x14ac:dyDescent="0.25">
      <c r="Z13440"/>
    </row>
    <row r="13441" spans="26:26" x14ac:dyDescent="0.25">
      <c r="Z13441"/>
    </row>
    <row r="13442" spans="26:26" x14ac:dyDescent="0.25">
      <c r="Z13442"/>
    </row>
    <row r="13443" spans="26:26" x14ac:dyDescent="0.25">
      <c r="Z13443"/>
    </row>
    <row r="13444" spans="26:26" x14ac:dyDescent="0.25">
      <c r="Z13444"/>
    </row>
    <row r="13445" spans="26:26" x14ac:dyDescent="0.25">
      <c r="Z13445"/>
    </row>
    <row r="13446" spans="26:26" x14ac:dyDescent="0.25">
      <c r="Z13446"/>
    </row>
    <row r="13447" spans="26:26" x14ac:dyDescent="0.25">
      <c r="Z13447"/>
    </row>
    <row r="13448" spans="26:26" x14ac:dyDescent="0.25">
      <c r="Z13448"/>
    </row>
    <row r="13449" spans="26:26" x14ac:dyDescent="0.25">
      <c r="Z13449"/>
    </row>
    <row r="13450" spans="26:26" x14ac:dyDescent="0.25">
      <c r="Z13450"/>
    </row>
    <row r="13451" spans="26:26" x14ac:dyDescent="0.25">
      <c r="Z13451"/>
    </row>
    <row r="13452" spans="26:26" x14ac:dyDescent="0.25">
      <c r="Z13452"/>
    </row>
    <row r="13453" spans="26:26" x14ac:dyDescent="0.25">
      <c r="Z13453"/>
    </row>
    <row r="13454" spans="26:26" x14ac:dyDescent="0.25">
      <c r="Z13454"/>
    </row>
    <row r="13455" spans="26:26" x14ac:dyDescent="0.25">
      <c r="Z13455"/>
    </row>
    <row r="13456" spans="26:26" x14ac:dyDescent="0.25">
      <c r="Z13456"/>
    </row>
    <row r="13457" spans="26:26" x14ac:dyDescent="0.25">
      <c r="Z13457"/>
    </row>
    <row r="13458" spans="26:26" x14ac:dyDescent="0.25">
      <c r="Z13458"/>
    </row>
    <row r="13459" spans="26:26" x14ac:dyDescent="0.25">
      <c r="Z13459"/>
    </row>
    <row r="13460" spans="26:26" x14ac:dyDescent="0.25">
      <c r="Z13460"/>
    </row>
    <row r="13461" spans="26:26" x14ac:dyDescent="0.25">
      <c r="Z13461"/>
    </row>
    <row r="13462" spans="26:26" x14ac:dyDescent="0.25">
      <c r="Z13462"/>
    </row>
    <row r="13463" spans="26:26" x14ac:dyDescent="0.25">
      <c r="Z13463"/>
    </row>
    <row r="13464" spans="26:26" x14ac:dyDescent="0.25">
      <c r="Z13464"/>
    </row>
    <row r="13465" spans="26:26" x14ac:dyDescent="0.25">
      <c r="Z13465"/>
    </row>
    <row r="13466" spans="26:26" x14ac:dyDescent="0.25">
      <c r="Z13466"/>
    </row>
    <row r="13467" spans="26:26" x14ac:dyDescent="0.25">
      <c r="Z13467"/>
    </row>
    <row r="13468" spans="26:26" x14ac:dyDescent="0.25">
      <c r="Z13468"/>
    </row>
    <row r="13469" spans="26:26" x14ac:dyDescent="0.25">
      <c r="Z13469"/>
    </row>
    <row r="13470" spans="26:26" x14ac:dyDescent="0.25">
      <c r="Z13470"/>
    </row>
    <row r="13471" spans="26:26" x14ac:dyDescent="0.25">
      <c r="Z13471"/>
    </row>
    <row r="13472" spans="26:26" x14ac:dyDescent="0.25">
      <c r="Z13472"/>
    </row>
    <row r="13473" spans="26:26" x14ac:dyDescent="0.25">
      <c r="Z13473"/>
    </row>
    <row r="13474" spans="26:26" x14ac:dyDescent="0.25">
      <c r="Z13474"/>
    </row>
    <row r="13475" spans="26:26" x14ac:dyDescent="0.25">
      <c r="Z13475"/>
    </row>
    <row r="13476" spans="26:26" x14ac:dyDescent="0.25">
      <c r="Z13476"/>
    </row>
    <row r="13477" spans="26:26" x14ac:dyDescent="0.25">
      <c r="Z13477"/>
    </row>
    <row r="13478" spans="26:26" x14ac:dyDescent="0.25">
      <c r="Z13478"/>
    </row>
    <row r="13479" spans="26:26" x14ac:dyDescent="0.25">
      <c r="Z13479"/>
    </row>
    <row r="13480" spans="26:26" x14ac:dyDescent="0.25">
      <c r="Z13480"/>
    </row>
    <row r="13481" spans="26:26" x14ac:dyDescent="0.25">
      <c r="Z13481"/>
    </row>
    <row r="13482" spans="26:26" x14ac:dyDescent="0.25">
      <c r="Z13482"/>
    </row>
    <row r="13483" spans="26:26" x14ac:dyDescent="0.25">
      <c r="Z13483"/>
    </row>
    <row r="13484" spans="26:26" x14ac:dyDescent="0.25">
      <c r="Z13484"/>
    </row>
    <row r="13485" spans="26:26" x14ac:dyDescent="0.25">
      <c r="Z13485"/>
    </row>
    <row r="13486" spans="26:26" x14ac:dyDescent="0.25">
      <c r="Z13486"/>
    </row>
    <row r="13487" spans="26:26" x14ac:dyDescent="0.25">
      <c r="Z13487"/>
    </row>
    <row r="13488" spans="26:26" x14ac:dyDescent="0.25">
      <c r="Z13488"/>
    </row>
    <row r="13489" spans="26:26" x14ac:dyDescent="0.25">
      <c r="Z13489"/>
    </row>
    <row r="13490" spans="26:26" x14ac:dyDescent="0.25">
      <c r="Z13490"/>
    </row>
    <row r="13491" spans="26:26" x14ac:dyDescent="0.25">
      <c r="Z13491"/>
    </row>
    <row r="13492" spans="26:26" x14ac:dyDescent="0.25">
      <c r="Z13492"/>
    </row>
    <row r="13493" spans="26:26" x14ac:dyDescent="0.25">
      <c r="Z13493"/>
    </row>
    <row r="13494" spans="26:26" x14ac:dyDescent="0.25">
      <c r="Z13494"/>
    </row>
    <row r="13495" spans="26:26" x14ac:dyDescent="0.25">
      <c r="Z13495"/>
    </row>
    <row r="13496" spans="26:26" x14ac:dyDescent="0.25">
      <c r="Z13496"/>
    </row>
    <row r="13497" spans="26:26" x14ac:dyDescent="0.25">
      <c r="Z13497"/>
    </row>
    <row r="13498" spans="26:26" x14ac:dyDescent="0.25">
      <c r="Z13498"/>
    </row>
    <row r="13499" spans="26:26" x14ac:dyDescent="0.25">
      <c r="Z13499"/>
    </row>
    <row r="13500" spans="26:26" x14ac:dyDescent="0.25">
      <c r="Z13500"/>
    </row>
    <row r="13501" spans="26:26" x14ac:dyDescent="0.25">
      <c r="Z13501"/>
    </row>
    <row r="13502" spans="26:26" x14ac:dyDescent="0.25">
      <c r="Z13502"/>
    </row>
    <row r="13503" spans="26:26" x14ac:dyDescent="0.25">
      <c r="Z13503"/>
    </row>
    <row r="13504" spans="26:26" x14ac:dyDescent="0.25">
      <c r="Z13504"/>
    </row>
    <row r="13505" spans="26:26" x14ac:dyDescent="0.25">
      <c r="Z13505"/>
    </row>
    <row r="13506" spans="26:26" x14ac:dyDescent="0.25">
      <c r="Z13506"/>
    </row>
    <row r="13507" spans="26:26" x14ac:dyDescent="0.25">
      <c r="Z13507"/>
    </row>
    <row r="13508" spans="26:26" x14ac:dyDescent="0.25">
      <c r="Z13508"/>
    </row>
    <row r="13509" spans="26:26" x14ac:dyDescent="0.25">
      <c r="Z13509"/>
    </row>
    <row r="13510" spans="26:26" x14ac:dyDescent="0.25">
      <c r="Z13510"/>
    </row>
    <row r="13511" spans="26:26" x14ac:dyDescent="0.25">
      <c r="Z13511"/>
    </row>
    <row r="13512" spans="26:26" x14ac:dyDescent="0.25">
      <c r="Z13512"/>
    </row>
    <row r="13513" spans="26:26" x14ac:dyDescent="0.25">
      <c r="Z13513"/>
    </row>
    <row r="13514" spans="26:26" x14ac:dyDescent="0.25">
      <c r="Z13514"/>
    </row>
    <row r="13515" spans="26:26" x14ac:dyDescent="0.25">
      <c r="Z13515"/>
    </row>
    <row r="13516" spans="26:26" x14ac:dyDescent="0.25">
      <c r="Z13516"/>
    </row>
    <row r="13517" spans="26:26" x14ac:dyDescent="0.25">
      <c r="Z13517"/>
    </row>
    <row r="13518" spans="26:26" x14ac:dyDescent="0.25">
      <c r="Z13518"/>
    </row>
    <row r="13519" spans="26:26" x14ac:dyDescent="0.25">
      <c r="Z13519"/>
    </row>
    <row r="13520" spans="26:26" x14ac:dyDescent="0.25">
      <c r="Z13520"/>
    </row>
    <row r="13521" spans="26:26" x14ac:dyDescent="0.25">
      <c r="Z13521"/>
    </row>
    <row r="13522" spans="26:26" x14ac:dyDescent="0.25">
      <c r="Z13522"/>
    </row>
    <row r="13523" spans="26:26" x14ac:dyDescent="0.25">
      <c r="Z13523"/>
    </row>
    <row r="13524" spans="26:26" x14ac:dyDescent="0.25">
      <c r="Z13524"/>
    </row>
    <row r="13525" spans="26:26" x14ac:dyDescent="0.25">
      <c r="Z13525"/>
    </row>
    <row r="13526" spans="26:26" x14ac:dyDescent="0.25">
      <c r="Z13526"/>
    </row>
    <row r="13527" spans="26:26" x14ac:dyDescent="0.25">
      <c r="Z13527"/>
    </row>
    <row r="13528" spans="26:26" x14ac:dyDescent="0.25">
      <c r="Z13528"/>
    </row>
    <row r="13529" spans="26:26" x14ac:dyDescent="0.25">
      <c r="Z13529"/>
    </row>
    <row r="13530" spans="26:26" x14ac:dyDescent="0.25">
      <c r="Z13530"/>
    </row>
    <row r="13531" spans="26:26" x14ac:dyDescent="0.25">
      <c r="Z13531"/>
    </row>
    <row r="13532" spans="26:26" x14ac:dyDescent="0.25">
      <c r="Z13532"/>
    </row>
    <row r="13533" spans="26:26" x14ac:dyDescent="0.25">
      <c r="Z13533"/>
    </row>
    <row r="13534" spans="26:26" x14ac:dyDescent="0.25">
      <c r="Z13534"/>
    </row>
    <row r="13535" spans="26:26" x14ac:dyDescent="0.25">
      <c r="Z13535"/>
    </row>
    <row r="13536" spans="26:26" x14ac:dyDescent="0.25">
      <c r="Z13536"/>
    </row>
    <row r="13537" spans="26:26" x14ac:dyDescent="0.25">
      <c r="Z13537"/>
    </row>
    <row r="13538" spans="26:26" x14ac:dyDescent="0.25">
      <c r="Z13538"/>
    </row>
    <row r="13539" spans="26:26" x14ac:dyDescent="0.25">
      <c r="Z13539"/>
    </row>
    <row r="13540" spans="26:26" x14ac:dyDescent="0.25">
      <c r="Z13540"/>
    </row>
    <row r="13541" spans="26:26" x14ac:dyDescent="0.25">
      <c r="Z13541"/>
    </row>
    <row r="13542" spans="26:26" x14ac:dyDescent="0.25">
      <c r="Z13542"/>
    </row>
    <row r="13543" spans="26:26" x14ac:dyDescent="0.25">
      <c r="Z13543"/>
    </row>
    <row r="13544" spans="26:26" x14ac:dyDescent="0.25">
      <c r="Z13544"/>
    </row>
    <row r="13545" spans="26:26" x14ac:dyDescent="0.25">
      <c r="Z13545"/>
    </row>
    <row r="13546" spans="26:26" x14ac:dyDescent="0.25">
      <c r="Z13546"/>
    </row>
    <row r="13547" spans="26:26" x14ac:dyDescent="0.25">
      <c r="Z13547"/>
    </row>
    <row r="13548" spans="26:26" x14ac:dyDescent="0.25">
      <c r="Z13548"/>
    </row>
    <row r="13549" spans="26:26" x14ac:dyDescent="0.25">
      <c r="Z13549"/>
    </row>
    <row r="13550" spans="26:26" x14ac:dyDescent="0.25">
      <c r="Z13550"/>
    </row>
    <row r="13551" spans="26:26" x14ac:dyDescent="0.25">
      <c r="Z13551"/>
    </row>
    <row r="13552" spans="26:26" x14ac:dyDescent="0.25">
      <c r="Z13552"/>
    </row>
    <row r="13553" spans="26:26" x14ac:dyDescent="0.25">
      <c r="Z13553"/>
    </row>
    <row r="13554" spans="26:26" x14ac:dyDescent="0.25">
      <c r="Z13554"/>
    </row>
    <row r="13555" spans="26:26" x14ac:dyDescent="0.25">
      <c r="Z13555"/>
    </row>
    <row r="13556" spans="26:26" x14ac:dyDescent="0.25">
      <c r="Z13556"/>
    </row>
    <row r="13557" spans="26:26" x14ac:dyDescent="0.25">
      <c r="Z13557"/>
    </row>
    <row r="13558" spans="26:26" x14ac:dyDescent="0.25">
      <c r="Z13558"/>
    </row>
    <row r="13559" spans="26:26" x14ac:dyDescent="0.25">
      <c r="Z13559"/>
    </row>
    <row r="13560" spans="26:26" x14ac:dyDescent="0.25">
      <c r="Z13560"/>
    </row>
    <row r="13561" spans="26:26" x14ac:dyDescent="0.25">
      <c r="Z13561"/>
    </row>
    <row r="13562" spans="26:26" x14ac:dyDescent="0.25">
      <c r="Z13562"/>
    </row>
    <row r="13563" spans="26:26" x14ac:dyDescent="0.25">
      <c r="Z13563"/>
    </row>
    <row r="13564" spans="26:26" x14ac:dyDescent="0.25">
      <c r="Z13564"/>
    </row>
    <row r="13565" spans="26:26" x14ac:dyDescent="0.25">
      <c r="Z13565"/>
    </row>
    <row r="13566" spans="26:26" x14ac:dyDescent="0.25">
      <c r="Z13566"/>
    </row>
    <row r="13567" spans="26:26" x14ac:dyDescent="0.25">
      <c r="Z13567"/>
    </row>
    <row r="13568" spans="26:26" x14ac:dyDescent="0.25">
      <c r="Z13568"/>
    </row>
    <row r="13569" spans="26:26" x14ac:dyDescent="0.25">
      <c r="Z13569"/>
    </row>
    <row r="13570" spans="26:26" x14ac:dyDescent="0.25">
      <c r="Z13570"/>
    </row>
    <row r="13571" spans="26:26" x14ac:dyDescent="0.25">
      <c r="Z13571"/>
    </row>
    <row r="13572" spans="26:26" x14ac:dyDescent="0.25">
      <c r="Z13572"/>
    </row>
    <row r="13573" spans="26:26" x14ac:dyDescent="0.25">
      <c r="Z13573"/>
    </row>
    <row r="13574" spans="26:26" x14ac:dyDescent="0.25">
      <c r="Z13574"/>
    </row>
    <row r="13575" spans="26:26" x14ac:dyDescent="0.25">
      <c r="Z13575"/>
    </row>
    <row r="13576" spans="26:26" x14ac:dyDescent="0.25">
      <c r="Z13576"/>
    </row>
    <row r="13577" spans="26:26" x14ac:dyDescent="0.25">
      <c r="Z13577"/>
    </row>
    <row r="13578" spans="26:26" x14ac:dyDescent="0.25">
      <c r="Z13578"/>
    </row>
    <row r="13579" spans="26:26" x14ac:dyDescent="0.25">
      <c r="Z13579"/>
    </row>
    <row r="13580" spans="26:26" x14ac:dyDescent="0.25">
      <c r="Z13580"/>
    </row>
    <row r="13581" spans="26:26" x14ac:dyDescent="0.25">
      <c r="Z13581"/>
    </row>
    <row r="13582" spans="26:26" x14ac:dyDescent="0.25">
      <c r="Z13582"/>
    </row>
    <row r="13583" spans="26:26" x14ac:dyDescent="0.25">
      <c r="Z13583"/>
    </row>
    <row r="13584" spans="26:26" x14ac:dyDescent="0.25">
      <c r="Z13584"/>
    </row>
    <row r="13585" spans="26:26" x14ac:dyDescent="0.25">
      <c r="Z13585"/>
    </row>
    <row r="13586" spans="26:26" x14ac:dyDescent="0.25">
      <c r="Z13586"/>
    </row>
    <row r="13587" spans="26:26" x14ac:dyDescent="0.25">
      <c r="Z13587"/>
    </row>
    <row r="13588" spans="26:26" x14ac:dyDescent="0.25">
      <c r="Z13588"/>
    </row>
    <row r="13589" spans="26:26" x14ac:dyDescent="0.25">
      <c r="Z13589"/>
    </row>
    <row r="13590" spans="26:26" x14ac:dyDescent="0.25">
      <c r="Z13590"/>
    </row>
    <row r="13591" spans="26:26" x14ac:dyDescent="0.25">
      <c r="Z13591"/>
    </row>
    <row r="13592" spans="26:26" x14ac:dyDescent="0.25">
      <c r="Z13592"/>
    </row>
    <row r="13593" spans="26:26" x14ac:dyDescent="0.25">
      <c r="Z13593"/>
    </row>
    <row r="13594" spans="26:26" x14ac:dyDescent="0.25">
      <c r="Z13594"/>
    </row>
    <row r="13595" spans="26:26" x14ac:dyDescent="0.25">
      <c r="Z13595"/>
    </row>
    <row r="13596" spans="26:26" x14ac:dyDescent="0.25">
      <c r="Z13596"/>
    </row>
    <row r="13597" spans="26:26" x14ac:dyDescent="0.25">
      <c r="Z13597"/>
    </row>
    <row r="13598" spans="26:26" x14ac:dyDescent="0.25">
      <c r="Z13598"/>
    </row>
    <row r="13599" spans="26:26" x14ac:dyDescent="0.25">
      <c r="Z13599"/>
    </row>
    <row r="13600" spans="26:26" x14ac:dyDescent="0.25">
      <c r="Z13600"/>
    </row>
    <row r="13601" spans="26:26" x14ac:dyDescent="0.25">
      <c r="Z13601"/>
    </row>
    <row r="13602" spans="26:26" x14ac:dyDescent="0.25">
      <c r="Z13602"/>
    </row>
    <row r="13603" spans="26:26" x14ac:dyDescent="0.25">
      <c r="Z13603"/>
    </row>
    <row r="13604" spans="26:26" x14ac:dyDescent="0.25">
      <c r="Z13604"/>
    </row>
    <row r="13605" spans="26:26" x14ac:dyDescent="0.25">
      <c r="Z13605"/>
    </row>
    <row r="13606" spans="26:26" x14ac:dyDescent="0.25">
      <c r="Z13606"/>
    </row>
    <row r="13607" spans="26:26" x14ac:dyDescent="0.25">
      <c r="Z13607"/>
    </row>
    <row r="13608" spans="26:26" x14ac:dyDescent="0.25">
      <c r="Z13608"/>
    </row>
    <row r="13609" spans="26:26" x14ac:dyDescent="0.25">
      <c r="Z13609"/>
    </row>
    <row r="13610" spans="26:26" x14ac:dyDescent="0.25">
      <c r="Z13610"/>
    </row>
    <row r="13611" spans="26:26" x14ac:dyDescent="0.25">
      <c r="Z13611"/>
    </row>
    <row r="13612" spans="26:26" x14ac:dyDescent="0.25">
      <c r="Z13612"/>
    </row>
    <row r="13613" spans="26:26" x14ac:dyDescent="0.25">
      <c r="Z13613"/>
    </row>
    <row r="13614" spans="26:26" x14ac:dyDescent="0.25">
      <c r="Z13614"/>
    </row>
    <row r="13615" spans="26:26" x14ac:dyDescent="0.25">
      <c r="Z13615"/>
    </row>
    <row r="13616" spans="26:26" x14ac:dyDescent="0.25">
      <c r="Z13616"/>
    </row>
    <row r="13617" spans="26:26" x14ac:dyDescent="0.25">
      <c r="Z13617"/>
    </row>
    <row r="13618" spans="26:26" x14ac:dyDescent="0.25">
      <c r="Z13618"/>
    </row>
    <row r="13619" spans="26:26" x14ac:dyDescent="0.25">
      <c r="Z13619"/>
    </row>
    <row r="13620" spans="26:26" x14ac:dyDescent="0.25">
      <c r="Z13620"/>
    </row>
    <row r="13621" spans="26:26" x14ac:dyDescent="0.25">
      <c r="Z13621"/>
    </row>
    <row r="13622" spans="26:26" x14ac:dyDescent="0.25">
      <c r="Z13622"/>
    </row>
    <row r="13623" spans="26:26" x14ac:dyDescent="0.25">
      <c r="Z13623"/>
    </row>
    <row r="13624" spans="26:26" x14ac:dyDescent="0.25">
      <c r="Z13624"/>
    </row>
    <row r="13625" spans="26:26" x14ac:dyDescent="0.25">
      <c r="Z13625"/>
    </row>
    <row r="13626" spans="26:26" x14ac:dyDescent="0.25">
      <c r="Z13626"/>
    </row>
    <row r="13627" spans="26:26" x14ac:dyDescent="0.25">
      <c r="Z13627"/>
    </row>
    <row r="13628" spans="26:26" x14ac:dyDescent="0.25">
      <c r="Z13628"/>
    </row>
    <row r="13629" spans="26:26" x14ac:dyDescent="0.25">
      <c r="Z13629"/>
    </row>
    <row r="13630" spans="26:26" x14ac:dyDescent="0.25">
      <c r="Z13630"/>
    </row>
    <row r="13631" spans="26:26" x14ac:dyDescent="0.25">
      <c r="Z13631"/>
    </row>
    <row r="13632" spans="26:26" x14ac:dyDescent="0.25">
      <c r="Z13632"/>
    </row>
    <row r="13633" spans="26:26" x14ac:dyDescent="0.25">
      <c r="Z13633"/>
    </row>
    <row r="13634" spans="26:26" x14ac:dyDescent="0.25">
      <c r="Z13634"/>
    </row>
    <row r="13635" spans="26:26" x14ac:dyDescent="0.25">
      <c r="Z13635"/>
    </row>
    <row r="13636" spans="26:26" x14ac:dyDescent="0.25">
      <c r="Z13636"/>
    </row>
    <row r="13637" spans="26:26" x14ac:dyDescent="0.25">
      <c r="Z13637"/>
    </row>
    <row r="13638" spans="26:26" x14ac:dyDescent="0.25">
      <c r="Z13638"/>
    </row>
    <row r="13639" spans="26:26" x14ac:dyDescent="0.25">
      <c r="Z13639"/>
    </row>
    <row r="13640" spans="26:26" x14ac:dyDescent="0.25">
      <c r="Z13640"/>
    </row>
    <row r="13641" spans="26:26" x14ac:dyDescent="0.25">
      <c r="Z13641"/>
    </row>
    <row r="13642" spans="26:26" x14ac:dyDescent="0.25">
      <c r="Z13642"/>
    </row>
    <row r="13643" spans="26:26" x14ac:dyDescent="0.25">
      <c r="Z13643"/>
    </row>
    <row r="13644" spans="26:26" x14ac:dyDescent="0.25">
      <c r="Z13644"/>
    </row>
    <row r="13645" spans="26:26" x14ac:dyDescent="0.25">
      <c r="Z13645"/>
    </row>
    <row r="13646" spans="26:26" x14ac:dyDescent="0.25">
      <c r="Z13646"/>
    </row>
    <row r="13647" spans="26:26" x14ac:dyDescent="0.25">
      <c r="Z13647"/>
    </row>
    <row r="13648" spans="26:26" x14ac:dyDescent="0.25">
      <c r="Z13648"/>
    </row>
    <row r="13649" spans="26:26" x14ac:dyDescent="0.25">
      <c r="Z13649"/>
    </row>
    <row r="13650" spans="26:26" x14ac:dyDescent="0.25">
      <c r="Z13650"/>
    </row>
    <row r="13651" spans="26:26" x14ac:dyDescent="0.25">
      <c r="Z13651"/>
    </row>
    <row r="13652" spans="26:26" x14ac:dyDescent="0.25">
      <c r="Z13652"/>
    </row>
    <row r="13653" spans="26:26" x14ac:dyDescent="0.25">
      <c r="Z13653"/>
    </row>
    <row r="13654" spans="26:26" x14ac:dyDescent="0.25">
      <c r="Z13654"/>
    </row>
    <row r="13655" spans="26:26" x14ac:dyDescent="0.25">
      <c r="Z13655"/>
    </row>
    <row r="13656" spans="26:26" x14ac:dyDescent="0.25">
      <c r="Z13656"/>
    </row>
    <row r="13657" spans="26:26" x14ac:dyDescent="0.25">
      <c r="Z13657"/>
    </row>
    <row r="13658" spans="26:26" x14ac:dyDescent="0.25">
      <c r="Z13658"/>
    </row>
    <row r="13659" spans="26:26" x14ac:dyDescent="0.25">
      <c r="Z13659"/>
    </row>
    <row r="13660" spans="26:26" x14ac:dyDescent="0.25">
      <c r="Z13660"/>
    </row>
    <row r="13661" spans="26:26" x14ac:dyDescent="0.25">
      <c r="Z13661"/>
    </row>
    <row r="13662" spans="26:26" x14ac:dyDescent="0.25">
      <c r="Z13662"/>
    </row>
    <row r="13663" spans="26:26" x14ac:dyDescent="0.25">
      <c r="Z13663"/>
    </row>
    <row r="13664" spans="26:26" x14ac:dyDescent="0.25">
      <c r="Z13664"/>
    </row>
    <row r="13665" spans="26:26" x14ac:dyDescent="0.25">
      <c r="Z13665"/>
    </row>
    <row r="13666" spans="26:26" x14ac:dyDescent="0.25">
      <c r="Z13666"/>
    </row>
    <row r="13667" spans="26:26" x14ac:dyDescent="0.25">
      <c r="Z13667"/>
    </row>
    <row r="13668" spans="26:26" x14ac:dyDescent="0.25">
      <c r="Z13668"/>
    </row>
    <row r="13669" spans="26:26" x14ac:dyDescent="0.25">
      <c r="Z13669"/>
    </row>
    <row r="13670" spans="26:26" x14ac:dyDescent="0.25">
      <c r="Z13670"/>
    </row>
    <row r="13671" spans="26:26" x14ac:dyDescent="0.25">
      <c r="Z13671"/>
    </row>
    <row r="13672" spans="26:26" x14ac:dyDescent="0.25">
      <c r="Z13672"/>
    </row>
    <row r="13673" spans="26:26" x14ac:dyDescent="0.25">
      <c r="Z13673"/>
    </row>
    <row r="13674" spans="26:26" x14ac:dyDescent="0.25">
      <c r="Z13674"/>
    </row>
    <row r="13675" spans="26:26" x14ac:dyDescent="0.25">
      <c r="Z13675"/>
    </row>
    <row r="13676" spans="26:26" x14ac:dyDescent="0.25">
      <c r="Z13676"/>
    </row>
    <row r="13677" spans="26:26" x14ac:dyDescent="0.25">
      <c r="Z13677"/>
    </row>
    <row r="13678" spans="26:26" x14ac:dyDescent="0.25">
      <c r="Z13678"/>
    </row>
    <row r="13679" spans="26:26" x14ac:dyDescent="0.25">
      <c r="Z13679"/>
    </row>
    <row r="13680" spans="26:26" x14ac:dyDescent="0.25">
      <c r="Z13680"/>
    </row>
    <row r="13681" spans="26:26" x14ac:dyDescent="0.25">
      <c r="Z13681"/>
    </row>
    <row r="13682" spans="26:26" x14ac:dyDescent="0.25">
      <c r="Z13682"/>
    </row>
    <row r="13683" spans="26:26" x14ac:dyDescent="0.25">
      <c r="Z13683"/>
    </row>
    <row r="13684" spans="26:26" x14ac:dyDescent="0.25">
      <c r="Z13684"/>
    </row>
    <row r="13685" spans="26:26" x14ac:dyDescent="0.25">
      <c r="Z13685"/>
    </row>
    <row r="13686" spans="26:26" x14ac:dyDescent="0.25">
      <c r="Z13686"/>
    </row>
    <row r="13687" spans="26:26" x14ac:dyDescent="0.25">
      <c r="Z13687"/>
    </row>
    <row r="13688" spans="26:26" x14ac:dyDescent="0.25">
      <c r="Z13688"/>
    </row>
    <row r="13689" spans="26:26" x14ac:dyDescent="0.25">
      <c r="Z13689"/>
    </row>
    <row r="13690" spans="26:26" x14ac:dyDescent="0.25">
      <c r="Z13690"/>
    </row>
    <row r="13691" spans="26:26" x14ac:dyDescent="0.25">
      <c r="Z13691"/>
    </row>
    <row r="13692" spans="26:26" x14ac:dyDescent="0.25">
      <c r="Z13692"/>
    </row>
    <row r="13693" spans="26:26" x14ac:dyDescent="0.25">
      <c r="Z13693"/>
    </row>
    <row r="13694" spans="26:26" x14ac:dyDescent="0.25">
      <c r="Z13694"/>
    </row>
    <row r="13695" spans="26:26" x14ac:dyDescent="0.25">
      <c r="Z13695"/>
    </row>
    <row r="13696" spans="26:26" x14ac:dyDescent="0.25">
      <c r="Z13696"/>
    </row>
    <row r="13697" spans="26:26" x14ac:dyDescent="0.25">
      <c r="Z13697"/>
    </row>
    <row r="13698" spans="26:26" x14ac:dyDescent="0.25">
      <c r="Z13698"/>
    </row>
    <row r="13699" spans="26:26" x14ac:dyDescent="0.25">
      <c r="Z13699"/>
    </row>
    <row r="13700" spans="26:26" x14ac:dyDescent="0.25">
      <c r="Z13700"/>
    </row>
    <row r="13701" spans="26:26" x14ac:dyDescent="0.25">
      <c r="Z13701"/>
    </row>
    <row r="13702" spans="26:26" x14ac:dyDescent="0.25">
      <c r="Z13702"/>
    </row>
    <row r="13703" spans="26:26" x14ac:dyDescent="0.25">
      <c r="Z13703"/>
    </row>
    <row r="13704" spans="26:26" x14ac:dyDescent="0.25">
      <c r="Z13704"/>
    </row>
    <row r="13705" spans="26:26" x14ac:dyDescent="0.25">
      <c r="Z13705"/>
    </row>
    <row r="13706" spans="26:26" x14ac:dyDescent="0.25">
      <c r="Z13706"/>
    </row>
    <row r="13707" spans="26:26" x14ac:dyDescent="0.25">
      <c r="Z13707"/>
    </row>
    <row r="13708" spans="26:26" x14ac:dyDescent="0.25">
      <c r="Z13708"/>
    </row>
    <row r="13709" spans="26:26" x14ac:dyDescent="0.25">
      <c r="Z13709"/>
    </row>
    <row r="13710" spans="26:26" x14ac:dyDescent="0.25">
      <c r="Z13710"/>
    </row>
    <row r="13711" spans="26:26" x14ac:dyDescent="0.25">
      <c r="Z13711"/>
    </row>
    <row r="13712" spans="26:26" x14ac:dyDescent="0.25">
      <c r="Z13712"/>
    </row>
    <row r="13713" spans="26:26" x14ac:dyDescent="0.25">
      <c r="Z13713"/>
    </row>
    <row r="13714" spans="26:26" x14ac:dyDescent="0.25">
      <c r="Z13714"/>
    </row>
    <row r="13715" spans="26:26" x14ac:dyDescent="0.25">
      <c r="Z13715"/>
    </row>
    <row r="13716" spans="26:26" x14ac:dyDescent="0.25">
      <c r="Z13716"/>
    </row>
    <row r="13717" spans="26:26" x14ac:dyDescent="0.25">
      <c r="Z13717"/>
    </row>
    <row r="13718" spans="26:26" x14ac:dyDescent="0.25">
      <c r="Z13718"/>
    </row>
    <row r="13719" spans="26:26" x14ac:dyDescent="0.25">
      <c r="Z13719"/>
    </row>
    <row r="13720" spans="26:26" x14ac:dyDescent="0.25">
      <c r="Z13720"/>
    </row>
    <row r="13721" spans="26:26" x14ac:dyDescent="0.25">
      <c r="Z13721"/>
    </row>
    <row r="13722" spans="26:26" x14ac:dyDescent="0.25">
      <c r="Z13722"/>
    </row>
    <row r="13723" spans="26:26" x14ac:dyDescent="0.25">
      <c r="Z13723"/>
    </row>
    <row r="13724" spans="26:26" x14ac:dyDescent="0.25">
      <c r="Z13724"/>
    </row>
    <row r="13725" spans="26:26" x14ac:dyDescent="0.25">
      <c r="Z13725"/>
    </row>
    <row r="13726" spans="26:26" x14ac:dyDescent="0.25">
      <c r="Z13726"/>
    </row>
    <row r="13727" spans="26:26" x14ac:dyDescent="0.25">
      <c r="Z13727"/>
    </row>
    <row r="13728" spans="26:26" x14ac:dyDescent="0.25">
      <c r="Z13728"/>
    </row>
    <row r="13729" spans="26:26" x14ac:dyDescent="0.25">
      <c r="Z13729"/>
    </row>
    <row r="13730" spans="26:26" x14ac:dyDescent="0.25">
      <c r="Z13730"/>
    </row>
    <row r="13731" spans="26:26" x14ac:dyDescent="0.25">
      <c r="Z13731"/>
    </row>
    <row r="13732" spans="26:26" x14ac:dyDescent="0.25">
      <c r="Z13732"/>
    </row>
    <row r="13733" spans="26:26" x14ac:dyDescent="0.25">
      <c r="Z13733"/>
    </row>
    <row r="13734" spans="26:26" x14ac:dyDescent="0.25">
      <c r="Z13734"/>
    </row>
    <row r="13735" spans="26:26" x14ac:dyDescent="0.25">
      <c r="Z13735"/>
    </row>
    <row r="13736" spans="26:26" x14ac:dyDescent="0.25">
      <c r="Z13736"/>
    </row>
    <row r="13737" spans="26:26" x14ac:dyDescent="0.25">
      <c r="Z13737"/>
    </row>
    <row r="13738" spans="26:26" x14ac:dyDescent="0.25">
      <c r="Z13738"/>
    </row>
    <row r="13739" spans="26:26" x14ac:dyDescent="0.25">
      <c r="Z13739"/>
    </row>
    <row r="13740" spans="26:26" x14ac:dyDescent="0.25">
      <c r="Z13740"/>
    </row>
    <row r="13741" spans="26:26" x14ac:dyDescent="0.25">
      <c r="Z13741"/>
    </row>
    <row r="13742" spans="26:26" x14ac:dyDescent="0.25">
      <c r="Z13742"/>
    </row>
    <row r="13743" spans="26:26" x14ac:dyDescent="0.25">
      <c r="Z13743"/>
    </row>
    <row r="13744" spans="26:26" x14ac:dyDescent="0.25">
      <c r="Z13744"/>
    </row>
    <row r="13745" spans="26:26" x14ac:dyDescent="0.25">
      <c r="Z13745"/>
    </row>
    <row r="13746" spans="26:26" x14ac:dyDescent="0.25">
      <c r="Z13746"/>
    </row>
    <row r="13747" spans="26:26" x14ac:dyDescent="0.25">
      <c r="Z13747"/>
    </row>
    <row r="13748" spans="26:26" x14ac:dyDescent="0.25">
      <c r="Z13748"/>
    </row>
    <row r="13749" spans="26:26" x14ac:dyDescent="0.25">
      <c r="Z13749"/>
    </row>
    <row r="13750" spans="26:26" x14ac:dyDescent="0.25">
      <c r="Z13750"/>
    </row>
    <row r="13751" spans="26:26" x14ac:dyDescent="0.25">
      <c r="Z13751"/>
    </row>
    <row r="13752" spans="26:26" x14ac:dyDescent="0.25">
      <c r="Z13752"/>
    </row>
    <row r="13753" spans="26:26" x14ac:dyDescent="0.25">
      <c r="Z13753"/>
    </row>
    <row r="13754" spans="26:26" x14ac:dyDescent="0.25">
      <c r="Z13754"/>
    </row>
    <row r="13755" spans="26:26" x14ac:dyDescent="0.25">
      <c r="Z13755"/>
    </row>
    <row r="13756" spans="26:26" x14ac:dyDescent="0.25">
      <c r="Z13756"/>
    </row>
    <row r="13757" spans="26:26" x14ac:dyDescent="0.25">
      <c r="Z13757"/>
    </row>
    <row r="13758" spans="26:26" x14ac:dyDescent="0.25">
      <c r="Z13758"/>
    </row>
    <row r="13759" spans="26:26" x14ac:dyDescent="0.25">
      <c r="Z13759"/>
    </row>
    <row r="13760" spans="26:26" x14ac:dyDescent="0.25">
      <c r="Z13760"/>
    </row>
    <row r="13761" spans="26:26" x14ac:dyDescent="0.25">
      <c r="Z13761"/>
    </row>
    <row r="13762" spans="26:26" x14ac:dyDescent="0.25">
      <c r="Z13762"/>
    </row>
    <row r="13763" spans="26:26" x14ac:dyDescent="0.25">
      <c r="Z13763"/>
    </row>
    <row r="13764" spans="26:26" x14ac:dyDescent="0.25">
      <c r="Z13764"/>
    </row>
    <row r="13765" spans="26:26" x14ac:dyDescent="0.25">
      <c r="Z13765"/>
    </row>
    <row r="13766" spans="26:26" x14ac:dyDescent="0.25">
      <c r="Z13766"/>
    </row>
    <row r="13767" spans="26:26" x14ac:dyDescent="0.25">
      <c r="Z13767"/>
    </row>
    <row r="13768" spans="26:26" x14ac:dyDescent="0.25">
      <c r="Z13768"/>
    </row>
    <row r="13769" spans="26:26" x14ac:dyDescent="0.25">
      <c r="Z13769"/>
    </row>
    <row r="13770" spans="26:26" x14ac:dyDescent="0.25">
      <c r="Z13770"/>
    </row>
    <row r="13771" spans="26:26" x14ac:dyDescent="0.25">
      <c r="Z13771"/>
    </row>
    <row r="13772" spans="26:26" x14ac:dyDescent="0.25">
      <c r="Z13772"/>
    </row>
    <row r="13773" spans="26:26" x14ac:dyDescent="0.25">
      <c r="Z13773"/>
    </row>
    <row r="13774" spans="26:26" x14ac:dyDescent="0.25">
      <c r="Z13774"/>
    </row>
    <row r="13775" spans="26:26" x14ac:dyDescent="0.25">
      <c r="Z13775"/>
    </row>
    <row r="13776" spans="26:26" x14ac:dyDescent="0.25">
      <c r="Z13776"/>
    </row>
    <row r="13777" spans="26:26" x14ac:dyDescent="0.25">
      <c r="Z13777"/>
    </row>
    <row r="13778" spans="26:26" x14ac:dyDescent="0.25">
      <c r="Z13778"/>
    </row>
    <row r="13779" spans="26:26" x14ac:dyDescent="0.25">
      <c r="Z13779"/>
    </row>
    <row r="13780" spans="26:26" x14ac:dyDescent="0.25">
      <c r="Z13780"/>
    </row>
    <row r="13781" spans="26:26" x14ac:dyDescent="0.25">
      <c r="Z13781"/>
    </row>
    <row r="13782" spans="26:26" x14ac:dyDescent="0.25">
      <c r="Z13782"/>
    </row>
    <row r="13783" spans="26:26" x14ac:dyDescent="0.25">
      <c r="Z13783"/>
    </row>
    <row r="13784" spans="26:26" x14ac:dyDescent="0.25">
      <c r="Z13784"/>
    </row>
    <row r="13785" spans="26:26" x14ac:dyDescent="0.25">
      <c r="Z13785"/>
    </row>
    <row r="13786" spans="26:26" x14ac:dyDescent="0.25">
      <c r="Z13786"/>
    </row>
    <row r="13787" spans="26:26" x14ac:dyDescent="0.25">
      <c r="Z13787"/>
    </row>
    <row r="13788" spans="26:26" x14ac:dyDescent="0.25">
      <c r="Z13788"/>
    </row>
    <row r="13789" spans="26:26" x14ac:dyDescent="0.25">
      <c r="Z13789"/>
    </row>
    <row r="13790" spans="26:26" x14ac:dyDescent="0.25">
      <c r="Z13790"/>
    </row>
    <row r="13791" spans="26:26" x14ac:dyDescent="0.25">
      <c r="Z13791"/>
    </row>
    <row r="13792" spans="26:26" x14ac:dyDescent="0.25">
      <c r="Z13792"/>
    </row>
    <row r="13793" spans="26:26" x14ac:dyDescent="0.25">
      <c r="Z13793"/>
    </row>
    <row r="13794" spans="26:26" x14ac:dyDescent="0.25">
      <c r="Z13794"/>
    </row>
    <row r="13795" spans="26:26" x14ac:dyDescent="0.25">
      <c r="Z13795"/>
    </row>
    <row r="13796" spans="26:26" x14ac:dyDescent="0.25">
      <c r="Z13796"/>
    </row>
    <row r="13797" spans="26:26" x14ac:dyDescent="0.25">
      <c r="Z13797"/>
    </row>
    <row r="13798" spans="26:26" x14ac:dyDescent="0.25">
      <c r="Z13798"/>
    </row>
    <row r="13799" spans="26:26" x14ac:dyDescent="0.25">
      <c r="Z13799"/>
    </row>
    <row r="13800" spans="26:26" x14ac:dyDescent="0.25">
      <c r="Z13800"/>
    </row>
    <row r="13801" spans="26:26" x14ac:dyDescent="0.25">
      <c r="Z13801"/>
    </row>
    <row r="13802" spans="26:26" x14ac:dyDescent="0.25">
      <c r="Z13802"/>
    </row>
    <row r="13803" spans="26:26" x14ac:dyDescent="0.25">
      <c r="Z13803"/>
    </row>
    <row r="13804" spans="26:26" x14ac:dyDescent="0.25">
      <c r="Z13804"/>
    </row>
    <row r="13805" spans="26:26" x14ac:dyDescent="0.25">
      <c r="Z13805"/>
    </row>
    <row r="13806" spans="26:26" x14ac:dyDescent="0.25">
      <c r="Z13806"/>
    </row>
    <row r="13807" spans="26:26" x14ac:dyDescent="0.25">
      <c r="Z13807"/>
    </row>
    <row r="13808" spans="26:26" x14ac:dyDescent="0.25">
      <c r="Z13808"/>
    </row>
    <row r="13809" spans="26:26" x14ac:dyDescent="0.25">
      <c r="Z13809"/>
    </row>
    <row r="13810" spans="26:26" x14ac:dyDescent="0.25">
      <c r="Z13810"/>
    </row>
    <row r="13811" spans="26:26" x14ac:dyDescent="0.25">
      <c r="Z13811"/>
    </row>
    <row r="13812" spans="26:26" x14ac:dyDescent="0.25">
      <c r="Z13812"/>
    </row>
    <row r="13813" spans="26:26" x14ac:dyDescent="0.25">
      <c r="Z13813"/>
    </row>
    <row r="13814" spans="26:26" x14ac:dyDescent="0.25">
      <c r="Z13814"/>
    </row>
    <row r="13815" spans="26:26" x14ac:dyDescent="0.25">
      <c r="Z13815"/>
    </row>
    <row r="13816" spans="26:26" x14ac:dyDescent="0.25">
      <c r="Z13816"/>
    </row>
    <row r="13817" spans="26:26" x14ac:dyDescent="0.25">
      <c r="Z13817"/>
    </row>
    <row r="13818" spans="26:26" x14ac:dyDescent="0.25">
      <c r="Z13818"/>
    </row>
    <row r="13819" spans="26:26" x14ac:dyDescent="0.25">
      <c r="Z13819"/>
    </row>
    <row r="13820" spans="26:26" x14ac:dyDescent="0.25">
      <c r="Z13820"/>
    </row>
    <row r="13821" spans="26:26" x14ac:dyDescent="0.25">
      <c r="Z13821"/>
    </row>
    <row r="13822" spans="26:26" x14ac:dyDescent="0.25">
      <c r="Z13822"/>
    </row>
    <row r="13823" spans="26:26" x14ac:dyDescent="0.25">
      <c r="Z13823"/>
    </row>
    <row r="13824" spans="26:26" x14ac:dyDescent="0.25">
      <c r="Z13824"/>
    </row>
    <row r="13825" spans="26:26" x14ac:dyDescent="0.25">
      <c r="Z13825"/>
    </row>
    <row r="13826" spans="26:26" x14ac:dyDescent="0.25">
      <c r="Z13826"/>
    </row>
    <row r="13827" spans="26:26" x14ac:dyDescent="0.25">
      <c r="Z13827"/>
    </row>
    <row r="13828" spans="26:26" x14ac:dyDescent="0.25">
      <c r="Z13828"/>
    </row>
    <row r="13829" spans="26:26" x14ac:dyDescent="0.25">
      <c r="Z13829"/>
    </row>
    <row r="13830" spans="26:26" x14ac:dyDescent="0.25">
      <c r="Z13830"/>
    </row>
    <row r="13831" spans="26:26" x14ac:dyDescent="0.25">
      <c r="Z13831"/>
    </row>
    <row r="13832" spans="26:26" x14ac:dyDescent="0.25">
      <c r="Z13832"/>
    </row>
    <row r="13833" spans="26:26" x14ac:dyDescent="0.25">
      <c r="Z13833"/>
    </row>
    <row r="13834" spans="26:26" x14ac:dyDescent="0.25">
      <c r="Z13834"/>
    </row>
    <row r="13835" spans="26:26" x14ac:dyDescent="0.25">
      <c r="Z13835"/>
    </row>
    <row r="13836" spans="26:26" x14ac:dyDescent="0.25">
      <c r="Z13836"/>
    </row>
    <row r="13837" spans="26:26" x14ac:dyDescent="0.25">
      <c r="Z13837"/>
    </row>
    <row r="13838" spans="26:26" x14ac:dyDescent="0.25">
      <c r="Z13838"/>
    </row>
    <row r="13839" spans="26:26" x14ac:dyDescent="0.25">
      <c r="Z13839"/>
    </row>
    <row r="13840" spans="26:26" x14ac:dyDescent="0.25">
      <c r="Z13840"/>
    </row>
    <row r="13841" spans="26:26" x14ac:dyDescent="0.25">
      <c r="Z13841"/>
    </row>
    <row r="13842" spans="26:26" x14ac:dyDescent="0.25">
      <c r="Z13842"/>
    </row>
    <row r="13843" spans="26:26" x14ac:dyDescent="0.25">
      <c r="Z13843"/>
    </row>
    <row r="13844" spans="26:26" x14ac:dyDescent="0.25">
      <c r="Z13844"/>
    </row>
    <row r="13845" spans="26:26" x14ac:dyDescent="0.25">
      <c r="Z13845"/>
    </row>
    <row r="13846" spans="26:26" x14ac:dyDescent="0.25">
      <c r="Z13846"/>
    </row>
    <row r="13847" spans="26:26" x14ac:dyDescent="0.25">
      <c r="Z13847"/>
    </row>
    <row r="13848" spans="26:26" x14ac:dyDescent="0.25">
      <c r="Z13848"/>
    </row>
    <row r="13849" spans="26:26" x14ac:dyDescent="0.25">
      <c r="Z13849"/>
    </row>
    <row r="13850" spans="26:26" x14ac:dyDescent="0.25">
      <c r="Z13850"/>
    </row>
    <row r="13851" spans="26:26" x14ac:dyDescent="0.25">
      <c r="Z13851"/>
    </row>
    <row r="13852" spans="26:26" x14ac:dyDescent="0.25">
      <c r="Z13852"/>
    </row>
    <row r="13853" spans="26:26" x14ac:dyDescent="0.25">
      <c r="Z13853"/>
    </row>
    <row r="13854" spans="26:26" x14ac:dyDescent="0.25">
      <c r="Z13854"/>
    </row>
    <row r="13855" spans="26:26" x14ac:dyDescent="0.25">
      <c r="Z13855"/>
    </row>
    <row r="13856" spans="26:26" x14ac:dyDescent="0.25">
      <c r="Z13856"/>
    </row>
    <row r="13857" spans="26:26" x14ac:dyDescent="0.25">
      <c r="Z13857"/>
    </row>
    <row r="13858" spans="26:26" x14ac:dyDescent="0.25">
      <c r="Z13858"/>
    </row>
    <row r="13859" spans="26:26" x14ac:dyDescent="0.25">
      <c r="Z13859"/>
    </row>
    <row r="13860" spans="26:26" x14ac:dyDescent="0.25">
      <c r="Z13860"/>
    </row>
    <row r="13861" spans="26:26" x14ac:dyDescent="0.25">
      <c r="Z13861"/>
    </row>
    <row r="13862" spans="26:26" x14ac:dyDescent="0.25">
      <c r="Z13862"/>
    </row>
    <row r="13863" spans="26:26" x14ac:dyDescent="0.25">
      <c r="Z13863"/>
    </row>
    <row r="13864" spans="26:26" x14ac:dyDescent="0.25">
      <c r="Z13864"/>
    </row>
    <row r="13865" spans="26:26" x14ac:dyDescent="0.25">
      <c r="Z13865"/>
    </row>
    <row r="13866" spans="26:26" x14ac:dyDescent="0.25">
      <c r="Z13866"/>
    </row>
    <row r="13867" spans="26:26" x14ac:dyDescent="0.25">
      <c r="Z13867"/>
    </row>
    <row r="13868" spans="26:26" x14ac:dyDescent="0.25">
      <c r="Z13868"/>
    </row>
    <row r="13869" spans="26:26" x14ac:dyDescent="0.25">
      <c r="Z13869"/>
    </row>
    <row r="13870" spans="26:26" x14ac:dyDescent="0.25">
      <c r="Z13870"/>
    </row>
    <row r="13871" spans="26:26" x14ac:dyDescent="0.25">
      <c r="Z13871"/>
    </row>
    <row r="13872" spans="26:26" x14ac:dyDescent="0.25">
      <c r="Z13872"/>
    </row>
    <row r="13873" spans="26:26" x14ac:dyDescent="0.25">
      <c r="Z13873"/>
    </row>
    <row r="13874" spans="26:26" x14ac:dyDescent="0.25">
      <c r="Z13874"/>
    </row>
    <row r="13875" spans="26:26" x14ac:dyDescent="0.25">
      <c r="Z13875"/>
    </row>
    <row r="13876" spans="26:26" x14ac:dyDescent="0.25">
      <c r="Z13876"/>
    </row>
    <row r="13877" spans="26:26" x14ac:dyDescent="0.25">
      <c r="Z13877"/>
    </row>
    <row r="13878" spans="26:26" x14ac:dyDescent="0.25">
      <c r="Z13878"/>
    </row>
    <row r="13879" spans="26:26" x14ac:dyDescent="0.25">
      <c r="Z13879"/>
    </row>
    <row r="13880" spans="26:26" x14ac:dyDescent="0.25">
      <c r="Z13880"/>
    </row>
    <row r="13881" spans="26:26" x14ac:dyDescent="0.25">
      <c r="Z13881"/>
    </row>
    <row r="13882" spans="26:26" x14ac:dyDescent="0.25">
      <c r="Z13882"/>
    </row>
    <row r="13883" spans="26:26" x14ac:dyDescent="0.25">
      <c r="Z13883"/>
    </row>
    <row r="13884" spans="26:26" x14ac:dyDescent="0.25">
      <c r="Z13884"/>
    </row>
    <row r="13885" spans="26:26" x14ac:dyDescent="0.25">
      <c r="Z13885"/>
    </row>
    <row r="13886" spans="26:26" x14ac:dyDescent="0.25">
      <c r="Z13886"/>
    </row>
    <row r="13887" spans="26:26" x14ac:dyDescent="0.25">
      <c r="Z13887"/>
    </row>
    <row r="13888" spans="26:26" x14ac:dyDescent="0.25">
      <c r="Z13888"/>
    </row>
    <row r="13889" spans="26:26" x14ac:dyDescent="0.25">
      <c r="Z13889"/>
    </row>
    <row r="13890" spans="26:26" x14ac:dyDescent="0.25">
      <c r="Z13890"/>
    </row>
    <row r="13891" spans="26:26" x14ac:dyDescent="0.25">
      <c r="Z13891"/>
    </row>
    <row r="13892" spans="26:26" x14ac:dyDescent="0.25">
      <c r="Z13892"/>
    </row>
    <row r="13893" spans="26:26" x14ac:dyDescent="0.25">
      <c r="Z13893"/>
    </row>
    <row r="13894" spans="26:26" x14ac:dyDescent="0.25">
      <c r="Z13894"/>
    </row>
    <row r="13895" spans="26:26" x14ac:dyDescent="0.25">
      <c r="Z13895"/>
    </row>
    <row r="13896" spans="26:26" x14ac:dyDescent="0.25">
      <c r="Z13896"/>
    </row>
    <row r="13897" spans="26:26" x14ac:dyDescent="0.25">
      <c r="Z13897"/>
    </row>
    <row r="13898" spans="26:26" x14ac:dyDescent="0.25">
      <c r="Z13898"/>
    </row>
    <row r="13899" spans="26:26" x14ac:dyDescent="0.25">
      <c r="Z13899"/>
    </row>
    <row r="13900" spans="26:26" x14ac:dyDescent="0.25">
      <c r="Z13900"/>
    </row>
    <row r="13901" spans="26:26" x14ac:dyDescent="0.25">
      <c r="Z13901"/>
    </row>
    <row r="13902" spans="26:26" x14ac:dyDescent="0.25">
      <c r="Z13902"/>
    </row>
    <row r="13903" spans="26:26" x14ac:dyDescent="0.25">
      <c r="Z13903"/>
    </row>
    <row r="13904" spans="26:26" x14ac:dyDescent="0.25">
      <c r="Z13904"/>
    </row>
    <row r="13905" spans="26:26" x14ac:dyDescent="0.25">
      <c r="Z13905"/>
    </row>
    <row r="13906" spans="26:26" x14ac:dyDescent="0.25">
      <c r="Z13906"/>
    </row>
    <row r="13907" spans="26:26" x14ac:dyDescent="0.25">
      <c r="Z13907"/>
    </row>
    <row r="13908" spans="26:26" x14ac:dyDescent="0.25">
      <c r="Z13908"/>
    </row>
    <row r="13909" spans="26:26" x14ac:dyDescent="0.25">
      <c r="Z13909"/>
    </row>
    <row r="13910" spans="26:26" x14ac:dyDescent="0.25">
      <c r="Z13910"/>
    </row>
    <row r="13911" spans="26:26" x14ac:dyDescent="0.25">
      <c r="Z13911"/>
    </row>
    <row r="13912" spans="26:26" x14ac:dyDescent="0.25">
      <c r="Z13912"/>
    </row>
    <row r="13913" spans="26:26" x14ac:dyDescent="0.25">
      <c r="Z13913"/>
    </row>
    <row r="13914" spans="26:26" x14ac:dyDescent="0.25">
      <c r="Z13914"/>
    </row>
    <row r="13915" spans="26:26" x14ac:dyDescent="0.25">
      <c r="Z13915"/>
    </row>
    <row r="13916" spans="26:26" x14ac:dyDescent="0.25">
      <c r="Z13916"/>
    </row>
    <row r="13917" spans="26:26" x14ac:dyDescent="0.25">
      <c r="Z13917"/>
    </row>
    <row r="13918" spans="26:26" x14ac:dyDescent="0.25">
      <c r="Z13918"/>
    </row>
    <row r="13919" spans="26:26" x14ac:dyDescent="0.25">
      <c r="Z13919"/>
    </row>
    <row r="13920" spans="26:26" x14ac:dyDescent="0.25">
      <c r="Z13920"/>
    </row>
    <row r="13921" spans="26:26" x14ac:dyDescent="0.25">
      <c r="Z13921"/>
    </row>
    <row r="13922" spans="26:26" x14ac:dyDescent="0.25">
      <c r="Z13922"/>
    </row>
    <row r="13923" spans="26:26" x14ac:dyDescent="0.25">
      <c r="Z13923"/>
    </row>
    <row r="13924" spans="26:26" x14ac:dyDescent="0.25">
      <c r="Z13924"/>
    </row>
    <row r="13925" spans="26:26" x14ac:dyDescent="0.25">
      <c r="Z13925"/>
    </row>
    <row r="13926" spans="26:26" x14ac:dyDescent="0.25">
      <c r="Z13926"/>
    </row>
    <row r="13927" spans="26:26" x14ac:dyDescent="0.25">
      <c r="Z13927"/>
    </row>
    <row r="13928" spans="26:26" x14ac:dyDescent="0.25">
      <c r="Z13928"/>
    </row>
    <row r="13929" spans="26:26" x14ac:dyDescent="0.25">
      <c r="Z13929"/>
    </row>
    <row r="13930" spans="26:26" x14ac:dyDescent="0.25">
      <c r="Z13930"/>
    </row>
    <row r="13931" spans="26:26" x14ac:dyDescent="0.25">
      <c r="Z13931"/>
    </row>
    <row r="13932" spans="26:26" x14ac:dyDescent="0.25">
      <c r="Z13932"/>
    </row>
    <row r="13933" spans="26:26" x14ac:dyDescent="0.25">
      <c r="Z13933"/>
    </row>
    <row r="13934" spans="26:26" x14ac:dyDescent="0.25">
      <c r="Z13934"/>
    </row>
    <row r="13935" spans="26:26" x14ac:dyDescent="0.25">
      <c r="Z13935"/>
    </row>
    <row r="13936" spans="26:26" x14ac:dyDescent="0.25">
      <c r="Z13936"/>
    </row>
    <row r="13937" spans="26:26" x14ac:dyDescent="0.25">
      <c r="Z13937"/>
    </row>
    <row r="13938" spans="26:26" x14ac:dyDescent="0.25">
      <c r="Z13938"/>
    </row>
    <row r="13939" spans="26:26" x14ac:dyDescent="0.25">
      <c r="Z13939"/>
    </row>
    <row r="13940" spans="26:26" x14ac:dyDescent="0.25">
      <c r="Z13940"/>
    </row>
    <row r="13941" spans="26:26" x14ac:dyDescent="0.25">
      <c r="Z13941"/>
    </row>
    <row r="13942" spans="26:26" x14ac:dyDescent="0.25">
      <c r="Z13942"/>
    </row>
    <row r="13943" spans="26:26" x14ac:dyDescent="0.25">
      <c r="Z13943"/>
    </row>
    <row r="13944" spans="26:26" x14ac:dyDescent="0.25">
      <c r="Z13944"/>
    </row>
    <row r="13945" spans="26:26" x14ac:dyDescent="0.25">
      <c r="Z13945"/>
    </row>
    <row r="13946" spans="26:26" x14ac:dyDescent="0.25">
      <c r="Z13946"/>
    </row>
    <row r="13947" spans="26:26" x14ac:dyDescent="0.25">
      <c r="Z13947"/>
    </row>
    <row r="13948" spans="26:26" x14ac:dyDescent="0.25">
      <c r="Z13948"/>
    </row>
    <row r="13949" spans="26:26" x14ac:dyDescent="0.25">
      <c r="Z13949"/>
    </row>
    <row r="13950" spans="26:26" x14ac:dyDescent="0.25">
      <c r="Z13950"/>
    </row>
    <row r="13951" spans="26:26" x14ac:dyDescent="0.25">
      <c r="Z13951"/>
    </row>
    <row r="13952" spans="26:26" x14ac:dyDescent="0.25">
      <c r="Z13952"/>
    </row>
    <row r="13953" spans="26:26" x14ac:dyDescent="0.25">
      <c r="Z13953"/>
    </row>
    <row r="13954" spans="26:26" x14ac:dyDescent="0.25">
      <c r="Z13954"/>
    </row>
    <row r="13955" spans="26:26" x14ac:dyDescent="0.25">
      <c r="Z13955"/>
    </row>
    <row r="13956" spans="26:26" x14ac:dyDescent="0.25">
      <c r="Z13956"/>
    </row>
    <row r="13957" spans="26:26" x14ac:dyDescent="0.25">
      <c r="Z13957"/>
    </row>
    <row r="13958" spans="26:26" x14ac:dyDescent="0.25">
      <c r="Z13958"/>
    </row>
    <row r="13959" spans="26:26" x14ac:dyDescent="0.25">
      <c r="Z13959"/>
    </row>
    <row r="13960" spans="26:26" x14ac:dyDescent="0.25">
      <c r="Z13960"/>
    </row>
    <row r="13961" spans="26:26" x14ac:dyDescent="0.25">
      <c r="Z13961"/>
    </row>
    <row r="13962" spans="26:26" x14ac:dyDescent="0.25">
      <c r="Z13962"/>
    </row>
    <row r="13963" spans="26:26" x14ac:dyDescent="0.25">
      <c r="Z13963"/>
    </row>
    <row r="13964" spans="26:26" x14ac:dyDescent="0.25">
      <c r="Z13964"/>
    </row>
    <row r="13965" spans="26:26" x14ac:dyDescent="0.25">
      <c r="Z13965"/>
    </row>
    <row r="13966" spans="26:26" x14ac:dyDescent="0.25">
      <c r="Z13966"/>
    </row>
    <row r="13967" spans="26:26" x14ac:dyDescent="0.25">
      <c r="Z13967"/>
    </row>
    <row r="13968" spans="26:26" x14ac:dyDescent="0.25">
      <c r="Z13968"/>
    </row>
    <row r="13969" spans="26:26" x14ac:dyDescent="0.25">
      <c r="Z13969"/>
    </row>
    <row r="13970" spans="26:26" x14ac:dyDescent="0.25">
      <c r="Z13970"/>
    </row>
    <row r="13971" spans="26:26" x14ac:dyDescent="0.25">
      <c r="Z13971"/>
    </row>
    <row r="13972" spans="26:26" x14ac:dyDescent="0.25">
      <c r="Z13972"/>
    </row>
    <row r="13973" spans="26:26" x14ac:dyDescent="0.25">
      <c r="Z13973"/>
    </row>
    <row r="13974" spans="26:26" x14ac:dyDescent="0.25">
      <c r="Z13974"/>
    </row>
    <row r="13975" spans="26:26" x14ac:dyDescent="0.25">
      <c r="Z13975"/>
    </row>
    <row r="13976" spans="26:26" x14ac:dyDescent="0.25">
      <c r="Z13976"/>
    </row>
    <row r="13977" spans="26:26" x14ac:dyDescent="0.25">
      <c r="Z13977"/>
    </row>
    <row r="13978" spans="26:26" x14ac:dyDescent="0.25">
      <c r="Z13978"/>
    </row>
    <row r="13979" spans="26:26" x14ac:dyDescent="0.25">
      <c r="Z13979"/>
    </row>
    <row r="13980" spans="26:26" x14ac:dyDescent="0.25">
      <c r="Z13980"/>
    </row>
    <row r="13981" spans="26:26" x14ac:dyDescent="0.25">
      <c r="Z13981"/>
    </row>
    <row r="13982" spans="26:26" x14ac:dyDescent="0.25">
      <c r="Z13982"/>
    </row>
    <row r="13983" spans="26:26" x14ac:dyDescent="0.25">
      <c r="Z13983"/>
    </row>
    <row r="13984" spans="26:26" x14ac:dyDescent="0.25">
      <c r="Z13984"/>
    </row>
    <row r="13985" spans="26:26" x14ac:dyDescent="0.25">
      <c r="Z13985"/>
    </row>
    <row r="13986" spans="26:26" x14ac:dyDescent="0.25">
      <c r="Z13986"/>
    </row>
    <row r="13987" spans="26:26" x14ac:dyDescent="0.25">
      <c r="Z13987"/>
    </row>
    <row r="13988" spans="26:26" x14ac:dyDescent="0.25">
      <c r="Z13988"/>
    </row>
    <row r="13989" spans="26:26" x14ac:dyDescent="0.25">
      <c r="Z13989"/>
    </row>
    <row r="13990" spans="26:26" x14ac:dyDescent="0.25">
      <c r="Z13990"/>
    </row>
    <row r="13991" spans="26:26" x14ac:dyDescent="0.25">
      <c r="Z13991"/>
    </row>
    <row r="13992" spans="26:26" x14ac:dyDescent="0.25">
      <c r="Z13992"/>
    </row>
    <row r="13993" spans="26:26" x14ac:dyDescent="0.25">
      <c r="Z13993"/>
    </row>
    <row r="13994" spans="26:26" x14ac:dyDescent="0.25">
      <c r="Z13994"/>
    </row>
    <row r="13995" spans="26:26" x14ac:dyDescent="0.25">
      <c r="Z13995"/>
    </row>
    <row r="13996" spans="26:26" x14ac:dyDescent="0.25">
      <c r="Z13996"/>
    </row>
    <row r="13997" spans="26:26" x14ac:dyDescent="0.25">
      <c r="Z13997"/>
    </row>
    <row r="13998" spans="26:26" x14ac:dyDescent="0.25">
      <c r="Z13998"/>
    </row>
    <row r="13999" spans="26:26" x14ac:dyDescent="0.25">
      <c r="Z13999"/>
    </row>
    <row r="14000" spans="26:26" x14ac:dyDescent="0.25">
      <c r="Z14000"/>
    </row>
    <row r="14001" spans="26:26" x14ac:dyDescent="0.25">
      <c r="Z14001"/>
    </row>
    <row r="14002" spans="26:26" x14ac:dyDescent="0.25">
      <c r="Z14002"/>
    </row>
    <row r="14003" spans="26:26" x14ac:dyDescent="0.25">
      <c r="Z14003"/>
    </row>
    <row r="14004" spans="26:26" x14ac:dyDescent="0.25">
      <c r="Z14004"/>
    </row>
    <row r="14005" spans="26:26" x14ac:dyDescent="0.25">
      <c r="Z14005"/>
    </row>
    <row r="14006" spans="26:26" x14ac:dyDescent="0.25">
      <c r="Z14006"/>
    </row>
    <row r="14007" spans="26:26" x14ac:dyDescent="0.25">
      <c r="Z14007"/>
    </row>
    <row r="14008" spans="26:26" x14ac:dyDescent="0.25">
      <c r="Z14008"/>
    </row>
    <row r="14009" spans="26:26" x14ac:dyDescent="0.25">
      <c r="Z14009"/>
    </row>
    <row r="14010" spans="26:26" x14ac:dyDescent="0.25">
      <c r="Z14010"/>
    </row>
    <row r="14011" spans="26:26" x14ac:dyDescent="0.25">
      <c r="Z14011"/>
    </row>
    <row r="14012" spans="26:26" x14ac:dyDescent="0.25">
      <c r="Z14012"/>
    </row>
    <row r="14013" spans="26:26" x14ac:dyDescent="0.25">
      <c r="Z14013"/>
    </row>
    <row r="14014" spans="26:26" x14ac:dyDescent="0.25">
      <c r="Z14014"/>
    </row>
    <row r="14015" spans="26:26" x14ac:dyDescent="0.25">
      <c r="Z14015"/>
    </row>
    <row r="14016" spans="26:26" x14ac:dyDescent="0.25">
      <c r="Z14016"/>
    </row>
    <row r="14017" spans="26:26" x14ac:dyDescent="0.25">
      <c r="Z14017"/>
    </row>
    <row r="14018" spans="26:26" x14ac:dyDescent="0.25">
      <c r="Z14018"/>
    </row>
    <row r="14019" spans="26:26" x14ac:dyDescent="0.25">
      <c r="Z14019"/>
    </row>
    <row r="14020" spans="26:26" x14ac:dyDescent="0.25">
      <c r="Z14020"/>
    </row>
    <row r="14021" spans="26:26" x14ac:dyDescent="0.25">
      <c r="Z14021"/>
    </row>
    <row r="14022" spans="26:26" x14ac:dyDescent="0.25">
      <c r="Z14022"/>
    </row>
    <row r="14023" spans="26:26" x14ac:dyDescent="0.25">
      <c r="Z14023"/>
    </row>
    <row r="14024" spans="26:26" x14ac:dyDescent="0.25">
      <c r="Z14024"/>
    </row>
    <row r="14025" spans="26:26" x14ac:dyDescent="0.25">
      <c r="Z14025"/>
    </row>
    <row r="14026" spans="26:26" x14ac:dyDescent="0.25">
      <c r="Z14026"/>
    </row>
    <row r="14027" spans="26:26" x14ac:dyDescent="0.25">
      <c r="Z14027"/>
    </row>
    <row r="14028" spans="26:26" x14ac:dyDescent="0.25">
      <c r="Z14028"/>
    </row>
    <row r="14029" spans="26:26" x14ac:dyDescent="0.25">
      <c r="Z14029"/>
    </row>
    <row r="14030" spans="26:26" x14ac:dyDescent="0.25">
      <c r="Z14030"/>
    </row>
    <row r="14031" spans="26:26" x14ac:dyDescent="0.25">
      <c r="Z14031"/>
    </row>
    <row r="14032" spans="26:26" x14ac:dyDescent="0.25">
      <c r="Z14032"/>
    </row>
    <row r="14033" spans="26:26" x14ac:dyDescent="0.25">
      <c r="Z14033"/>
    </row>
    <row r="14034" spans="26:26" x14ac:dyDescent="0.25">
      <c r="Z14034"/>
    </row>
    <row r="14035" spans="26:26" x14ac:dyDescent="0.25">
      <c r="Z14035"/>
    </row>
    <row r="14036" spans="26:26" x14ac:dyDescent="0.25">
      <c r="Z14036"/>
    </row>
    <row r="14037" spans="26:26" x14ac:dyDescent="0.25">
      <c r="Z14037"/>
    </row>
    <row r="14038" spans="26:26" x14ac:dyDescent="0.25">
      <c r="Z14038"/>
    </row>
    <row r="14039" spans="26:26" x14ac:dyDescent="0.25">
      <c r="Z14039"/>
    </row>
    <row r="14040" spans="26:26" x14ac:dyDescent="0.25">
      <c r="Z14040"/>
    </row>
    <row r="14041" spans="26:26" x14ac:dyDescent="0.25">
      <c r="Z14041"/>
    </row>
    <row r="14042" spans="26:26" x14ac:dyDescent="0.25">
      <c r="Z14042"/>
    </row>
    <row r="14043" spans="26:26" x14ac:dyDescent="0.25">
      <c r="Z14043"/>
    </row>
    <row r="14044" spans="26:26" x14ac:dyDescent="0.25">
      <c r="Z14044"/>
    </row>
    <row r="14045" spans="26:26" x14ac:dyDescent="0.25">
      <c r="Z14045"/>
    </row>
    <row r="14046" spans="26:26" x14ac:dyDescent="0.25">
      <c r="Z14046"/>
    </row>
    <row r="14047" spans="26:26" x14ac:dyDescent="0.25">
      <c r="Z14047"/>
    </row>
    <row r="14048" spans="26:26" x14ac:dyDescent="0.25">
      <c r="Z14048"/>
    </row>
    <row r="14049" spans="26:26" x14ac:dyDescent="0.25">
      <c r="Z14049"/>
    </row>
    <row r="14050" spans="26:26" x14ac:dyDescent="0.25">
      <c r="Z14050"/>
    </row>
    <row r="14051" spans="26:26" x14ac:dyDescent="0.25">
      <c r="Z14051"/>
    </row>
    <row r="14052" spans="26:26" x14ac:dyDescent="0.25">
      <c r="Z14052"/>
    </row>
    <row r="14053" spans="26:26" x14ac:dyDescent="0.25">
      <c r="Z14053"/>
    </row>
    <row r="14054" spans="26:26" x14ac:dyDescent="0.25">
      <c r="Z14054"/>
    </row>
    <row r="14055" spans="26:26" x14ac:dyDescent="0.25">
      <c r="Z14055"/>
    </row>
    <row r="14056" spans="26:26" x14ac:dyDescent="0.25">
      <c r="Z14056"/>
    </row>
    <row r="14057" spans="26:26" x14ac:dyDescent="0.25">
      <c r="Z14057"/>
    </row>
    <row r="14058" spans="26:26" x14ac:dyDescent="0.25">
      <c r="Z14058"/>
    </row>
    <row r="14059" spans="26:26" x14ac:dyDescent="0.25">
      <c r="Z14059"/>
    </row>
    <row r="14060" spans="26:26" x14ac:dyDescent="0.25">
      <c r="Z14060"/>
    </row>
    <row r="14061" spans="26:26" x14ac:dyDescent="0.25">
      <c r="Z14061"/>
    </row>
    <row r="14062" spans="26:26" x14ac:dyDescent="0.25">
      <c r="Z14062"/>
    </row>
    <row r="14063" spans="26:26" x14ac:dyDescent="0.25">
      <c r="Z14063"/>
    </row>
    <row r="14064" spans="26:26" x14ac:dyDescent="0.25">
      <c r="Z14064"/>
    </row>
    <row r="14065" spans="26:26" x14ac:dyDescent="0.25">
      <c r="Z14065"/>
    </row>
    <row r="14066" spans="26:26" x14ac:dyDescent="0.25">
      <c r="Z14066"/>
    </row>
    <row r="14067" spans="26:26" x14ac:dyDescent="0.25">
      <c r="Z14067"/>
    </row>
    <row r="14068" spans="26:26" x14ac:dyDescent="0.25">
      <c r="Z14068"/>
    </row>
    <row r="14069" spans="26:26" x14ac:dyDescent="0.25">
      <c r="Z14069"/>
    </row>
    <row r="14070" spans="26:26" x14ac:dyDescent="0.25">
      <c r="Z14070"/>
    </row>
    <row r="14071" spans="26:26" x14ac:dyDescent="0.25">
      <c r="Z14071"/>
    </row>
    <row r="14072" spans="26:26" x14ac:dyDescent="0.25">
      <c r="Z14072"/>
    </row>
    <row r="14073" spans="26:26" x14ac:dyDescent="0.25">
      <c r="Z14073"/>
    </row>
    <row r="14074" spans="26:26" x14ac:dyDescent="0.25">
      <c r="Z14074"/>
    </row>
    <row r="14075" spans="26:26" x14ac:dyDescent="0.25">
      <c r="Z14075"/>
    </row>
    <row r="14076" spans="26:26" x14ac:dyDescent="0.25">
      <c r="Z14076"/>
    </row>
    <row r="14077" spans="26:26" x14ac:dyDescent="0.25">
      <c r="Z14077"/>
    </row>
    <row r="14078" spans="26:26" x14ac:dyDescent="0.25">
      <c r="Z14078"/>
    </row>
    <row r="14079" spans="26:26" x14ac:dyDescent="0.25">
      <c r="Z14079"/>
    </row>
    <row r="14080" spans="26:26" x14ac:dyDescent="0.25">
      <c r="Z14080"/>
    </row>
    <row r="14081" spans="26:26" x14ac:dyDescent="0.25">
      <c r="Z14081"/>
    </row>
    <row r="14082" spans="26:26" x14ac:dyDescent="0.25">
      <c r="Z14082"/>
    </row>
    <row r="14083" spans="26:26" x14ac:dyDescent="0.25">
      <c r="Z14083"/>
    </row>
    <row r="14084" spans="26:26" x14ac:dyDescent="0.25">
      <c r="Z14084"/>
    </row>
    <row r="14085" spans="26:26" x14ac:dyDescent="0.25">
      <c r="Z14085"/>
    </row>
    <row r="14086" spans="26:26" x14ac:dyDescent="0.25">
      <c r="Z14086"/>
    </row>
    <row r="14087" spans="26:26" x14ac:dyDescent="0.25">
      <c r="Z14087"/>
    </row>
    <row r="14088" spans="26:26" x14ac:dyDescent="0.25">
      <c r="Z14088"/>
    </row>
    <row r="14089" spans="26:26" x14ac:dyDescent="0.25">
      <c r="Z14089"/>
    </row>
    <row r="14090" spans="26:26" x14ac:dyDescent="0.25">
      <c r="Z14090"/>
    </row>
    <row r="14091" spans="26:26" x14ac:dyDescent="0.25">
      <c r="Z14091"/>
    </row>
    <row r="14092" spans="26:26" x14ac:dyDescent="0.25">
      <c r="Z14092"/>
    </row>
    <row r="14093" spans="26:26" x14ac:dyDescent="0.25">
      <c r="Z14093"/>
    </row>
    <row r="14094" spans="26:26" x14ac:dyDescent="0.25">
      <c r="Z14094"/>
    </row>
    <row r="14095" spans="26:26" x14ac:dyDescent="0.25">
      <c r="Z14095"/>
    </row>
    <row r="14096" spans="26:26" x14ac:dyDescent="0.25">
      <c r="Z14096"/>
    </row>
    <row r="14097" spans="26:26" x14ac:dyDescent="0.25">
      <c r="Z14097"/>
    </row>
    <row r="14098" spans="26:26" x14ac:dyDescent="0.25">
      <c r="Z14098"/>
    </row>
    <row r="14099" spans="26:26" x14ac:dyDescent="0.25">
      <c r="Z14099"/>
    </row>
    <row r="14100" spans="26:26" x14ac:dyDescent="0.25">
      <c r="Z14100"/>
    </row>
    <row r="14101" spans="26:26" x14ac:dyDescent="0.25">
      <c r="Z14101"/>
    </row>
    <row r="14102" spans="26:26" x14ac:dyDescent="0.25">
      <c r="Z14102"/>
    </row>
    <row r="14103" spans="26:26" x14ac:dyDescent="0.25">
      <c r="Z14103"/>
    </row>
    <row r="14104" spans="26:26" x14ac:dyDescent="0.25">
      <c r="Z14104"/>
    </row>
    <row r="14105" spans="26:26" x14ac:dyDescent="0.25">
      <c r="Z14105"/>
    </row>
    <row r="14106" spans="26:26" x14ac:dyDescent="0.25">
      <c r="Z14106"/>
    </row>
    <row r="14107" spans="26:26" x14ac:dyDescent="0.25">
      <c r="Z14107"/>
    </row>
    <row r="14108" spans="26:26" x14ac:dyDescent="0.25">
      <c r="Z14108"/>
    </row>
    <row r="14109" spans="26:26" x14ac:dyDescent="0.25">
      <c r="Z14109"/>
    </row>
    <row r="14110" spans="26:26" x14ac:dyDescent="0.25">
      <c r="Z14110"/>
    </row>
    <row r="14111" spans="26:26" x14ac:dyDescent="0.25">
      <c r="Z14111"/>
    </row>
    <row r="14112" spans="26:26" x14ac:dyDescent="0.25">
      <c r="Z14112"/>
    </row>
    <row r="14113" spans="26:26" x14ac:dyDescent="0.25">
      <c r="Z14113"/>
    </row>
    <row r="14114" spans="26:26" x14ac:dyDescent="0.25">
      <c r="Z14114"/>
    </row>
    <row r="14115" spans="26:26" x14ac:dyDescent="0.25">
      <c r="Z14115"/>
    </row>
    <row r="14116" spans="26:26" x14ac:dyDescent="0.25">
      <c r="Z14116"/>
    </row>
    <row r="14117" spans="26:26" x14ac:dyDescent="0.25">
      <c r="Z14117"/>
    </row>
    <row r="14118" spans="26:26" x14ac:dyDescent="0.25">
      <c r="Z14118"/>
    </row>
    <row r="14119" spans="26:26" x14ac:dyDescent="0.25">
      <c r="Z14119"/>
    </row>
    <row r="14120" spans="26:26" x14ac:dyDescent="0.25">
      <c r="Z14120"/>
    </row>
    <row r="14121" spans="26:26" x14ac:dyDescent="0.25">
      <c r="Z14121"/>
    </row>
    <row r="14122" spans="26:26" x14ac:dyDescent="0.25">
      <c r="Z14122"/>
    </row>
    <row r="14123" spans="26:26" x14ac:dyDescent="0.25">
      <c r="Z14123"/>
    </row>
    <row r="14124" spans="26:26" x14ac:dyDescent="0.25">
      <c r="Z14124"/>
    </row>
    <row r="14125" spans="26:26" x14ac:dyDescent="0.25">
      <c r="Z14125"/>
    </row>
    <row r="14126" spans="26:26" x14ac:dyDescent="0.25">
      <c r="Z14126"/>
    </row>
    <row r="14127" spans="26:26" x14ac:dyDescent="0.25">
      <c r="Z14127"/>
    </row>
    <row r="14128" spans="26:26" x14ac:dyDescent="0.25">
      <c r="Z14128"/>
    </row>
    <row r="14129" spans="26:26" x14ac:dyDescent="0.25">
      <c r="Z14129"/>
    </row>
    <row r="14130" spans="26:26" x14ac:dyDescent="0.25">
      <c r="Z14130"/>
    </row>
    <row r="14131" spans="26:26" x14ac:dyDescent="0.25">
      <c r="Z14131"/>
    </row>
    <row r="14132" spans="26:26" x14ac:dyDescent="0.25">
      <c r="Z14132"/>
    </row>
    <row r="14133" spans="26:26" x14ac:dyDescent="0.25">
      <c r="Z14133"/>
    </row>
    <row r="14134" spans="26:26" x14ac:dyDescent="0.25">
      <c r="Z14134"/>
    </row>
    <row r="14135" spans="26:26" x14ac:dyDescent="0.25">
      <c r="Z14135"/>
    </row>
    <row r="14136" spans="26:26" x14ac:dyDescent="0.25">
      <c r="Z14136"/>
    </row>
    <row r="14137" spans="26:26" x14ac:dyDescent="0.25">
      <c r="Z14137"/>
    </row>
    <row r="14138" spans="26:26" x14ac:dyDescent="0.25">
      <c r="Z14138"/>
    </row>
    <row r="14139" spans="26:26" x14ac:dyDescent="0.25">
      <c r="Z14139"/>
    </row>
    <row r="14140" spans="26:26" x14ac:dyDescent="0.25">
      <c r="Z14140"/>
    </row>
    <row r="14141" spans="26:26" x14ac:dyDescent="0.25">
      <c r="Z14141"/>
    </row>
    <row r="14142" spans="26:26" x14ac:dyDescent="0.25">
      <c r="Z14142"/>
    </row>
    <row r="14143" spans="26:26" x14ac:dyDescent="0.25">
      <c r="Z14143"/>
    </row>
    <row r="14144" spans="26:26" x14ac:dyDescent="0.25">
      <c r="Z14144"/>
    </row>
    <row r="14145" spans="26:26" x14ac:dyDescent="0.25">
      <c r="Z14145"/>
    </row>
    <row r="14146" spans="26:26" x14ac:dyDescent="0.25">
      <c r="Z14146"/>
    </row>
    <row r="14147" spans="26:26" x14ac:dyDescent="0.25">
      <c r="Z14147"/>
    </row>
    <row r="14148" spans="26:26" x14ac:dyDescent="0.25">
      <c r="Z14148"/>
    </row>
    <row r="14149" spans="26:26" x14ac:dyDescent="0.25">
      <c r="Z14149"/>
    </row>
    <row r="14150" spans="26:26" x14ac:dyDescent="0.25">
      <c r="Z14150"/>
    </row>
    <row r="14151" spans="26:26" x14ac:dyDescent="0.25">
      <c r="Z14151"/>
    </row>
    <row r="14152" spans="26:26" x14ac:dyDescent="0.25">
      <c r="Z14152"/>
    </row>
    <row r="14153" spans="26:26" x14ac:dyDescent="0.25">
      <c r="Z14153"/>
    </row>
    <row r="14154" spans="26:26" x14ac:dyDescent="0.25">
      <c r="Z14154"/>
    </row>
    <row r="14155" spans="26:26" x14ac:dyDescent="0.25">
      <c r="Z14155"/>
    </row>
    <row r="14156" spans="26:26" x14ac:dyDescent="0.25">
      <c r="Z14156"/>
    </row>
    <row r="14157" spans="26:26" x14ac:dyDescent="0.25">
      <c r="Z14157"/>
    </row>
    <row r="14158" spans="26:26" x14ac:dyDescent="0.25">
      <c r="Z14158"/>
    </row>
    <row r="14159" spans="26:26" x14ac:dyDescent="0.25">
      <c r="Z14159"/>
    </row>
    <row r="14160" spans="26:26" x14ac:dyDescent="0.25">
      <c r="Z14160"/>
    </row>
    <row r="14161" spans="26:26" x14ac:dyDescent="0.25">
      <c r="Z14161"/>
    </row>
    <row r="14162" spans="26:26" x14ac:dyDescent="0.25">
      <c r="Z14162"/>
    </row>
    <row r="14163" spans="26:26" x14ac:dyDescent="0.25">
      <c r="Z14163"/>
    </row>
    <row r="14164" spans="26:26" x14ac:dyDescent="0.25">
      <c r="Z14164"/>
    </row>
    <row r="14165" spans="26:26" x14ac:dyDescent="0.25">
      <c r="Z14165"/>
    </row>
    <row r="14166" spans="26:26" x14ac:dyDescent="0.25">
      <c r="Z14166"/>
    </row>
    <row r="14167" spans="26:26" x14ac:dyDescent="0.25">
      <c r="Z14167"/>
    </row>
    <row r="14168" spans="26:26" x14ac:dyDescent="0.25">
      <c r="Z14168"/>
    </row>
    <row r="14169" spans="26:26" x14ac:dyDescent="0.25">
      <c r="Z14169"/>
    </row>
    <row r="14170" spans="26:26" x14ac:dyDescent="0.25">
      <c r="Z14170"/>
    </row>
    <row r="14171" spans="26:26" x14ac:dyDescent="0.25">
      <c r="Z14171"/>
    </row>
    <row r="14172" spans="26:26" x14ac:dyDescent="0.25">
      <c r="Z14172"/>
    </row>
    <row r="14173" spans="26:26" x14ac:dyDescent="0.25">
      <c r="Z14173"/>
    </row>
    <row r="14174" spans="26:26" x14ac:dyDescent="0.25">
      <c r="Z14174"/>
    </row>
    <row r="14175" spans="26:26" x14ac:dyDescent="0.25">
      <c r="Z14175"/>
    </row>
    <row r="14176" spans="26:26" x14ac:dyDescent="0.25">
      <c r="Z14176"/>
    </row>
    <row r="14177" spans="26:26" x14ac:dyDescent="0.25">
      <c r="Z14177"/>
    </row>
    <row r="14178" spans="26:26" x14ac:dyDescent="0.25">
      <c r="Z14178"/>
    </row>
    <row r="14179" spans="26:26" x14ac:dyDescent="0.25">
      <c r="Z14179"/>
    </row>
    <row r="14180" spans="26:26" x14ac:dyDescent="0.25">
      <c r="Z14180"/>
    </row>
    <row r="14181" spans="26:26" x14ac:dyDescent="0.25">
      <c r="Z14181"/>
    </row>
    <row r="14182" spans="26:26" x14ac:dyDescent="0.25">
      <c r="Z14182"/>
    </row>
    <row r="14183" spans="26:26" x14ac:dyDescent="0.25">
      <c r="Z14183"/>
    </row>
    <row r="14184" spans="26:26" x14ac:dyDescent="0.25">
      <c r="Z14184"/>
    </row>
    <row r="14185" spans="26:26" x14ac:dyDescent="0.25">
      <c r="Z14185"/>
    </row>
    <row r="14186" spans="26:26" x14ac:dyDescent="0.25">
      <c r="Z14186"/>
    </row>
    <row r="14187" spans="26:26" x14ac:dyDescent="0.25">
      <c r="Z14187"/>
    </row>
    <row r="14188" spans="26:26" x14ac:dyDescent="0.25">
      <c r="Z14188"/>
    </row>
    <row r="14189" spans="26:26" x14ac:dyDescent="0.25">
      <c r="Z14189"/>
    </row>
    <row r="14190" spans="26:26" x14ac:dyDescent="0.25">
      <c r="Z14190"/>
    </row>
    <row r="14191" spans="26:26" x14ac:dyDescent="0.25">
      <c r="Z14191"/>
    </row>
    <row r="14192" spans="26:26" x14ac:dyDescent="0.25">
      <c r="Z14192"/>
    </row>
    <row r="14193" spans="26:26" x14ac:dyDescent="0.25">
      <c r="Z14193"/>
    </row>
    <row r="14194" spans="26:26" x14ac:dyDescent="0.25">
      <c r="Z14194"/>
    </row>
    <row r="14195" spans="26:26" x14ac:dyDescent="0.25">
      <c r="Z14195"/>
    </row>
    <row r="14196" spans="26:26" x14ac:dyDescent="0.25">
      <c r="Z14196"/>
    </row>
    <row r="14197" spans="26:26" x14ac:dyDescent="0.25">
      <c r="Z14197"/>
    </row>
    <row r="14198" spans="26:26" x14ac:dyDescent="0.25">
      <c r="Z14198"/>
    </row>
    <row r="14199" spans="26:26" x14ac:dyDescent="0.25">
      <c r="Z14199"/>
    </row>
    <row r="14200" spans="26:26" x14ac:dyDescent="0.25">
      <c r="Z14200"/>
    </row>
    <row r="14201" spans="26:26" x14ac:dyDescent="0.25">
      <c r="Z14201"/>
    </row>
    <row r="14202" spans="26:26" x14ac:dyDescent="0.25">
      <c r="Z14202"/>
    </row>
    <row r="14203" spans="26:26" x14ac:dyDescent="0.25">
      <c r="Z14203"/>
    </row>
    <row r="14204" spans="26:26" x14ac:dyDescent="0.25">
      <c r="Z14204"/>
    </row>
    <row r="14205" spans="26:26" x14ac:dyDescent="0.25">
      <c r="Z14205"/>
    </row>
    <row r="14206" spans="26:26" x14ac:dyDescent="0.25">
      <c r="Z14206"/>
    </row>
    <row r="14207" spans="26:26" x14ac:dyDescent="0.25">
      <c r="Z14207"/>
    </row>
    <row r="14208" spans="26:26" x14ac:dyDescent="0.25">
      <c r="Z14208"/>
    </row>
    <row r="14209" spans="26:26" x14ac:dyDescent="0.25">
      <c r="Z14209"/>
    </row>
    <row r="14210" spans="26:26" x14ac:dyDescent="0.25">
      <c r="Z14210"/>
    </row>
    <row r="14211" spans="26:26" x14ac:dyDescent="0.25">
      <c r="Z14211"/>
    </row>
    <row r="14212" spans="26:26" x14ac:dyDescent="0.25">
      <c r="Z14212"/>
    </row>
    <row r="14213" spans="26:26" x14ac:dyDescent="0.25">
      <c r="Z14213"/>
    </row>
    <row r="14214" spans="26:26" x14ac:dyDescent="0.25">
      <c r="Z14214"/>
    </row>
    <row r="14215" spans="26:26" x14ac:dyDescent="0.25">
      <c r="Z14215"/>
    </row>
    <row r="14216" spans="26:26" x14ac:dyDescent="0.25">
      <c r="Z14216"/>
    </row>
    <row r="14217" spans="26:26" x14ac:dyDescent="0.25">
      <c r="Z14217"/>
    </row>
    <row r="14218" spans="26:26" x14ac:dyDescent="0.25">
      <c r="Z14218"/>
    </row>
    <row r="14219" spans="26:26" x14ac:dyDescent="0.25">
      <c r="Z14219"/>
    </row>
    <row r="14220" spans="26:26" x14ac:dyDescent="0.25">
      <c r="Z14220"/>
    </row>
    <row r="14221" spans="26:26" x14ac:dyDescent="0.25">
      <c r="Z14221"/>
    </row>
    <row r="14222" spans="26:26" x14ac:dyDescent="0.25">
      <c r="Z14222"/>
    </row>
    <row r="14223" spans="26:26" x14ac:dyDescent="0.25">
      <c r="Z14223"/>
    </row>
    <row r="14224" spans="26:26" x14ac:dyDescent="0.25">
      <c r="Z14224"/>
    </row>
    <row r="14225" spans="26:26" x14ac:dyDescent="0.25">
      <c r="Z14225"/>
    </row>
    <row r="14226" spans="26:26" x14ac:dyDescent="0.25">
      <c r="Z14226"/>
    </row>
    <row r="14227" spans="26:26" x14ac:dyDescent="0.25">
      <c r="Z14227"/>
    </row>
    <row r="14228" spans="26:26" x14ac:dyDescent="0.25">
      <c r="Z14228"/>
    </row>
    <row r="14229" spans="26:26" x14ac:dyDescent="0.25">
      <c r="Z14229"/>
    </row>
    <row r="14230" spans="26:26" x14ac:dyDescent="0.25">
      <c r="Z14230"/>
    </row>
    <row r="14231" spans="26:26" x14ac:dyDescent="0.25">
      <c r="Z14231"/>
    </row>
    <row r="14232" spans="26:26" x14ac:dyDescent="0.25">
      <c r="Z14232"/>
    </row>
    <row r="14233" spans="26:26" x14ac:dyDescent="0.25">
      <c r="Z14233"/>
    </row>
    <row r="14234" spans="26:26" x14ac:dyDescent="0.25">
      <c r="Z14234"/>
    </row>
    <row r="14235" spans="26:26" x14ac:dyDescent="0.25">
      <c r="Z14235"/>
    </row>
    <row r="14236" spans="26:26" x14ac:dyDescent="0.25">
      <c r="Z14236"/>
    </row>
    <row r="14237" spans="26:26" x14ac:dyDescent="0.25">
      <c r="Z14237"/>
    </row>
    <row r="14238" spans="26:26" x14ac:dyDescent="0.25">
      <c r="Z14238"/>
    </row>
    <row r="14239" spans="26:26" x14ac:dyDescent="0.25">
      <c r="Z14239"/>
    </row>
    <row r="14240" spans="26:26" x14ac:dyDescent="0.25">
      <c r="Z14240"/>
    </row>
    <row r="14241" spans="26:26" x14ac:dyDescent="0.25">
      <c r="Z14241"/>
    </row>
    <row r="14242" spans="26:26" x14ac:dyDescent="0.25">
      <c r="Z14242"/>
    </row>
    <row r="14243" spans="26:26" x14ac:dyDescent="0.25">
      <c r="Z14243"/>
    </row>
    <row r="14244" spans="26:26" x14ac:dyDescent="0.25">
      <c r="Z14244"/>
    </row>
    <row r="14245" spans="26:26" x14ac:dyDescent="0.25">
      <c r="Z14245"/>
    </row>
    <row r="14246" spans="26:26" x14ac:dyDescent="0.25">
      <c r="Z14246"/>
    </row>
    <row r="14247" spans="26:26" x14ac:dyDescent="0.25">
      <c r="Z14247"/>
    </row>
    <row r="14248" spans="26:26" x14ac:dyDescent="0.25">
      <c r="Z14248"/>
    </row>
    <row r="14249" spans="26:26" x14ac:dyDescent="0.25">
      <c r="Z14249"/>
    </row>
    <row r="14250" spans="26:26" x14ac:dyDescent="0.25">
      <c r="Z14250"/>
    </row>
    <row r="14251" spans="26:26" x14ac:dyDescent="0.25">
      <c r="Z14251"/>
    </row>
    <row r="14252" spans="26:26" x14ac:dyDescent="0.25">
      <c r="Z14252"/>
    </row>
    <row r="14253" spans="26:26" x14ac:dyDescent="0.25">
      <c r="Z14253"/>
    </row>
    <row r="14254" spans="26:26" x14ac:dyDescent="0.25">
      <c r="Z14254"/>
    </row>
    <row r="14255" spans="26:26" x14ac:dyDescent="0.25">
      <c r="Z14255"/>
    </row>
    <row r="14256" spans="26:26" x14ac:dyDescent="0.25">
      <c r="Z14256"/>
    </row>
    <row r="14257" spans="26:26" x14ac:dyDescent="0.25">
      <c r="Z14257"/>
    </row>
    <row r="14258" spans="26:26" x14ac:dyDescent="0.25">
      <c r="Z14258"/>
    </row>
    <row r="14259" spans="26:26" x14ac:dyDescent="0.25">
      <c r="Z14259"/>
    </row>
    <row r="14260" spans="26:26" x14ac:dyDescent="0.25">
      <c r="Z14260"/>
    </row>
    <row r="14261" spans="26:26" x14ac:dyDescent="0.25">
      <c r="Z14261"/>
    </row>
    <row r="14262" spans="26:26" x14ac:dyDescent="0.25">
      <c r="Z14262"/>
    </row>
    <row r="14263" spans="26:26" x14ac:dyDescent="0.25">
      <c r="Z14263"/>
    </row>
    <row r="14264" spans="26:26" x14ac:dyDescent="0.25">
      <c r="Z14264"/>
    </row>
    <row r="14265" spans="26:26" x14ac:dyDescent="0.25">
      <c r="Z14265"/>
    </row>
    <row r="14266" spans="26:26" x14ac:dyDescent="0.25">
      <c r="Z14266"/>
    </row>
    <row r="14267" spans="26:26" x14ac:dyDescent="0.25">
      <c r="Z14267"/>
    </row>
    <row r="14268" spans="26:26" x14ac:dyDescent="0.25">
      <c r="Z14268"/>
    </row>
    <row r="14269" spans="26:26" x14ac:dyDescent="0.25">
      <c r="Z14269"/>
    </row>
    <row r="14270" spans="26:26" x14ac:dyDescent="0.25">
      <c r="Z14270"/>
    </row>
    <row r="14271" spans="26:26" x14ac:dyDescent="0.25">
      <c r="Z14271"/>
    </row>
    <row r="14272" spans="26:26" x14ac:dyDescent="0.25">
      <c r="Z14272"/>
    </row>
    <row r="14273" spans="26:26" x14ac:dyDescent="0.25">
      <c r="Z14273"/>
    </row>
    <row r="14274" spans="26:26" x14ac:dyDescent="0.25">
      <c r="Z14274"/>
    </row>
    <row r="14275" spans="26:26" x14ac:dyDescent="0.25">
      <c r="Z14275"/>
    </row>
    <row r="14276" spans="26:26" x14ac:dyDescent="0.25">
      <c r="Z14276"/>
    </row>
    <row r="14277" spans="26:26" x14ac:dyDescent="0.25">
      <c r="Z14277"/>
    </row>
    <row r="14278" spans="26:26" x14ac:dyDescent="0.25">
      <c r="Z14278"/>
    </row>
    <row r="14279" spans="26:26" x14ac:dyDescent="0.25">
      <c r="Z14279"/>
    </row>
    <row r="14280" spans="26:26" x14ac:dyDescent="0.25">
      <c r="Z14280"/>
    </row>
    <row r="14281" spans="26:26" x14ac:dyDescent="0.25">
      <c r="Z14281"/>
    </row>
    <row r="14282" spans="26:26" x14ac:dyDescent="0.25">
      <c r="Z14282"/>
    </row>
    <row r="14283" spans="26:26" x14ac:dyDescent="0.25">
      <c r="Z14283"/>
    </row>
    <row r="14284" spans="26:26" x14ac:dyDescent="0.25">
      <c r="Z14284"/>
    </row>
    <row r="14285" spans="26:26" x14ac:dyDescent="0.25">
      <c r="Z14285"/>
    </row>
    <row r="14286" spans="26:26" x14ac:dyDescent="0.25">
      <c r="Z14286"/>
    </row>
    <row r="14287" spans="26:26" x14ac:dyDescent="0.25">
      <c r="Z14287"/>
    </row>
    <row r="14288" spans="26:26" x14ac:dyDescent="0.25">
      <c r="Z14288"/>
    </row>
    <row r="14289" spans="26:26" x14ac:dyDescent="0.25">
      <c r="Z14289"/>
    </row>
    <row r="14290" spans="26:26" x14ac:dyDescent="0.25">
      <c r="Z14290"/>
    </row>
    <row r="14291" spans="26:26" x14ac:dyDescent="0.25">
      <c r="Z14291"/>
    </row>
    <row r="14292" spans="26:26" x14ac:dyDescent="0.25">
      <c r="Z14292"/>
    </row>
    <row r="14293" spans="26:26" x14ac:dyDescent="0.25">
      <c r="Z14293"/>
    </row>
    <row r="14294" spans="26:26" x14ac:dyDescent="0.25">
      <c r="Z14294"/>
    </row>
    <row r="14295" spans="26:26" x14ac:dyDescent="0.25">
      <c r="Z14295"/>
    </row>
    <row r="14296" spans="26:26" x14ac:dyDescent="0.25">
      <c r="Z14296"/>
    </row>
    <row r="14297" spans="26:26" x14ac:dyDescent="0.25">
      <c r="Z14297"/>
    </row>
    <row r="14298" spans="26:26" x14ac:dyDescent="0.25">
      <c r="Z14298"/>
    </row>
    <row r="14299" spans="26:26" x14ac:dyDescent="0.25">
      <c r="Z14299"/>
    </row>
    <row r="14300" spans="26:26" x14ac:dyDescent="0.25">
      <c r="Z14300"/>
    </row>
    <row r="14301" spans="26:26" x14ac:dyDescent="0.25">
      <c r="Z14301"/>
    </row>
    <row r="14302" spans="26:26" x14ac:dyDescent="0.25">
      <c r="Z14302"/>
    </row>
    <row r="14303" spans="26:26" x14ac:dyDescent="0.25">
      <c r="Z14303"/>
    </row>
    <row r="14304" spans="26:26" x14ac:dyDescent="0.25">
      <c r="Z14304"/>
    </row>
    <row r="14305" spans="26:26" x14ac:dyDescent="0.25">
      <c r="Z14305"/>
    </row>
    <row r="14306" spans="26:26" x14ac:dyDescent="0.25">
      <c r="Z14306"/>
    </row>
    <row r="14307" spans="26:26" x14ac:dyDescent="0.25">
      <c r="Z14307"/>
    </row>
    <row r="14308" spans="26:26" x14ac:dyDescent="0.25">
      <c r="Z14308"/>
    </row>
    <row r="14309" spans="26:26" x14ac:dyDescent="0.25">
      <c r="Z14309"/>
    </row>
    <row r="14310" spans="26:26" x14ac:dyDescent="0.25">
      <c r="Z14310"/>
    </row>
    <row r="14311" spans="26:26" x14ac:dyDescent="0.25">
      <c r="Z14311"/>
    </row>
    <row r="14312" spans="26:26" x14ac:dyDescent="0.25">
      <c r="Z14312"/>
    </row>
    <row r="14313" spans="26:26" x14ac:dyDescent="0.25">
      <c r="Z14313"/>
    </row>
    <row r="14314" spans="26:26" x14ac:dyDescent="0.25">
      <c r="Z14314"/>
    </row>
    <row r="14315" spans="26:26" x14ac:dyDescent="0.25">
      <c r="Z14315"/>
    </row>
    <row r="14316" spans="26:26" x14ac:dyDescent="0.25">
      <c r="Z14316"/>
    </row>
    <row r="14317" spans="26:26" x14ac:dyDescent="0.25">
      <c r="Z14317"/>
    </row>
    <row r="14318" spans="26:26" x14ac:dyDescent="0.25">
      <c r="Z14318"/>
    </row>
    <row r="14319" spans="26:26" x14ac:dyDescent="0.25">
      <c r="Z14319"/>
    </row>
    <row r="14320" spans="26:26" x14ac:dyDescent="0.25">
      <c r="Z14320"/>
    </row>
    <row r="14321" spans="26:26" x14ac:dyDescent="0.25">
      <c r="Z14321"/>
    </row>
    <row r="14322" spans="26:26" x14ac:dyDescent="0.25">
      <c r="Z14322"/>
    </row>
    <row r="14323" spans="26:26" x14ac:dyDescent="0.25">
      <c r="Z14323"/>
    </row>
    <row r="14324" spans="26:26" x14ac:dyDescent="0.25">
      <c r="Z14324"/>
    </row>
    <row r="14325" spans="26:26" x14ac:dyDescent="0.25">
      <c r="Z14325"/>
    </row>
    <row r="14326" spans="26:26" x14ac:dyDescent="0.25">
      <c r="Z14326"/>
    </row>
    <row r="14327" spans="26:26" x14ac:dyDescent="0.25">
      <c r="Z14327"/>
    </row>
    <row r="14328" spans="26:26" x14ac:dyDescent="0.25">
      <c r="Z14328"/>
    </row>
    <row r="14329" spans="26:26" x14ac:dyDescent="0.25">
      <c r="Z14329"/>
    </row>
    <row r="14330" spans="26:26" x14ac:dyDescent="0.25">
      <c r="Z14330"/>
    </row>
    <row r="14331" spans="26:26" x14ac:dyDescent="0.25">
      <c r="Z14331"/>
    </row>
    <row r="14332" spans="26:26" x14ac:dyDescent="0.25">
      <c r="Z14332"/>
    </row>
    <row r="14333" spans="26:26" x14ac:dyDescent="0.25">
      <c r="Z14333"/>
    </row>
    <row r="14334" spans="26:26" x14ac:dyDescent="0.25">
      <c r="Z14334"/>
    </row>
    <row r="14335" spans="26:26" x14ac:dyDescent="0.25">
      <c r="Z14335"/>
    </row>
    <row r="14336" spans="26:26" x14ac:dyDescent="0.25">
      <c r="Z14336"/>
    </row>
    <row r="14337" spans="26:26" x14ac:dyDescent="0.25">
      <c r="Z14337"/>
    </row>
    <row r="14338" spans="26:26" x14ac:dyDescent="0.25">
      <c r="Z14338"/>
    </row>
    <row r="14339" spans="26:26" x14ac:dyDescent="0.25">
      <c r="Z14339"/>
    </row>
    <row r="14340" spans="26:26" x14ac:dyDescent="0.25">
      <c r="Z14340"/>
    </row>
    <row r="14341" spans="26:26" x14ac:dyDescent="0.25">
      <c r="Z14341"/>
    </row>
    <row r="14342" spans="26:26" x14ac:dyDescent="0.25">
      <c r="Z14342"/>
    </row>
    <row r="14343" spans="26:26" x14ac:dyDescent="0.25">
      <c r="Z14343"/>
    </row>
    <row r="14344" spans="26:26" x14ac:dyDescent="0.25">
      <c r="Z14344"/>
    </row>
    <row r="14345" spans="26:26" x14ac:dyDescent="0.25">
      <c r="Z14345"/>
    </row>
    <row r="14346" spans="26:26" x14ac:dyDescent="0.25">
      <c r="Z14346"/>
    </row>
    <row r="14347" spans="26:26" x14ac:dyDescent="0.25">
      <c r="Z14347"/>
    </row>
    <row r="14348" spans="26:26" x14ac:dyDescent="0.25">
      <c r="Z14348"/>
    </row>
    <row r="14349" spans="26:26" x14ac:dyDescent="0.25">
      <c r="Z14349"/>
    </row>
    <row r="14350" spans="26:26" x14ac:dyDescent="0.25">
      <c r="Z14350"/>
    </row>
    <row r="14351" spans="26:26" x14ac:dyDescent="0.25">
      <c r="Z14351"/>
    </row>
    <row r="14352" spans="26:26" x14ac:dyDescent="0.25">
      <c r="Z14352"/>
    </row>
    <row r="14353" spans="26:26" x14ac:dyDescent="0.25">
      <c r="Z14353"/>
    </row>
    <row r="14354" spans="26:26" x14ac:dyDescent="0.25">
      <c r="Z14354"/>
    </row>
    <row r="14355" spans="26:26" x14ac:dyDescent="0.25">
      <c r="Z14355"/>
    </row>
    <row r="14356" spans="26:26" x14ac:dyDescent="0.25">
      <c r="Z14356"/>
    </row>
    <row r="14357" spans="26:26" x14ac:dyDescent="0.25">
      <c r="Z14357"/>
    </row>
    <row r="14358" spans="26:26" x14ac:dyDescent="0.25">
      <c r="Z14358"/>
    </row>
    <row r="14359" spans="26:26" x14ac:dyDescent="0.25">
      <c r="Z14359"/>
    </row>
    <row r="14360" spans="26:26" x14ac:dyDescent="0.25">
      <c r="Z14360"/>
    </row>
    <row r="14361" spans="26:26" x14ac:dyDescent="0.25">
      <c r="Z14361"/>
    </row>
    <row r="14362" spans="26:26" x14ac:dyDescent="0.25">
      <c r="Z14362"/>
    </row>
    <row r="14363" spans="26:26" x14ac:dyDescent="0.25">
      <c r="Z14363"/>
    </row>
    <row r="14364" spans="26:26" x14ac:dyDescent="0.25">
      <c r="Z14364"/>
    </row>
    <row r="14365" spans="26:26" x14ac:dyDescent="0.25">
      <c r="Z14365"/>
    </row>
    <row r="14366" spans="26:26" x14ac:dyDescent="0.25">
      <c r="Z14366"/>
    </row>
    <row r="14367" spans="26:26" x14ac:dyDescent="0.25">
      <c r="Z14367"/>
    </row>
    <row r="14368" spans="26:26" x14ac:dyDescent="0.25">
      <c r="Z14368"/>
    </row>
    <row r="14369" spans="26:26" x14ac:dyDescent="0.25">
      <c r="Z14369"/>
    </row>
    <row r="14370" spans="26:26" x14ac:dyDescent="0.25">
      <c r="Z14370"/>
    </row>
    <row r="14371" spans="26:26" x14ac:dyDescent="0.25">
      <c r="Z14371"/>
    </row>
    <row r="14372" spans="26:26" x14ac:dyDescent="0.25">
      <c r="Z14372"/>
    </row>
    <row r="14373" spans="26:26" x14ac:dyDescent="0.25">
      <c r="Z14373"/>
    </row>
    <row r="14374" spans="26:26" x14ac:dyDescent="0.25">
      <c r="Z14374"/>
    </row>
    <row r="14375" spans="26:26" x14ac:dyDescent="0.25">
      <c r="Z14375"/>
    </row>
    <row r="14376" spans="26:26" x14ac:dyDescent="0.25">
      <c r="Z14376"/>
    </row>
    <row r="14377" spans="26:26" x14ac:dyDescent="0.25">
      <c r="Z14377"/>
    </row>
    <row r="14378" spans="26:26" x14ac:dyDescent="0.25">
      <c r="Z14378"/>
    </row>
    <row r="14379" spans="26:26" x14ac:dyDescent="0.25">
      <c r="Z14379"/>
    </row>
    <row r="14380" spans="26:26" x14ac:dyDescent="0.25">
      <c r="Z14380"/>
    </row>
    <row r="14381" spans="26:26" x14ac:dyDescent="0.25">
      <c r="Z14381"/>
    </row>
    <row r="14382" spans="26:26" x14ac:dyDescent="0.25">
      <c r="Z14382"/>
    </row>
    <row r="14383" spans="26:26" x14ac:dyDescent="0.25">
      <c r="Z14383"/>
    </row>
    <row r="14384" spans="26:26" x14ac:dyDescent="0.25">
      <c r="Z14384"/>
    </row>
    <row r="14385" spans="26:26" x14ac:dyDescent="0.25">
      <c r="Z14385"/>
    </row>
    <row r="14386" spans="26:26" x14ac:dyDescent="0.25">
      <c r="Z14386"/>
    </row>
    <row r="14387" spans="26:26" x14ac:dyDescent="0.25">
      <c r="Z14387"/>
    </row>
    <row r="14388" spans="26:26" x14ac:dyDescent="0.25">
      <c r="Z14388"/>
    </row>
    <row r="14389" spans="26:26" x14ac:dyDescent="0.25">
      <c r="Z14389"/>
    </row>
    <row r="14390" spans="26:26" x14ac:dyDescent="0.25">
      <c r="Z14390"/>
    </row>
    <row r="14391" spans="26:26" x14ac:dyDescent="0.25">
      <c r="Z14391"/>
    </row>
    <row r="14392" spans="26:26" x14ac:dyDescent="0.25">
      <c r="Z14392"/>
    </row>
    <row r="14393" spans="26:26" x14ac:dyDescent="0.25">
      <c r="Z14393"/>
    </row>
    <row r="14394" spans="26:26" x14ac:dyDescent="0.25">
      <c r="Z14394"/>
    </row>
    <row r="14395" spans="26:26" x14ac:dyDescent="0.25">
      <c r="Z14395"/>
    </row>
    <row r="14396" spans="26:26" x14ac:dyDescent="0.25">
      <c r="Z14396"/>
    </row>
    <row r="14397" spans="26:26" x14ac:dyDescent="0.25">
      <c r="Z14397"/>
    </row>
    <row r="14398" spans="26:26" x14ac:dyDescent="0.25">
      <c r="Z14398"/>
    </row>
    <row r="14399" spans="26:26" x14ac:dyDescent="0.25">
      <c r="Z14399"/>
    </row>
    <row r="14400" spans="26:26" x14ac:dyDescent="0.25">
      <c r="Z14400"/>
    </row>
    <row r="14401" spans="26:26" x14ac:dyDescent="0.25">
      <c r="Z14401"/>
    </row>
    <row r="14402" spans="26:26" x14ac:dyDescent="0.25">
      <c r="Z14402"/>
    </row>
    <row r="14403" spans="26:26" x14ac:dyDescent="0.25">
      <c r="Z14403"/>
    </row>
    <row r="14404" spans="26:26" x14ac:dyDescent="0.25">
      <c r="Z14404"/>
    </row>
    <row r="14405" spans="26:26" x14ac:dyDescent="0.25">
      <c r="Z14405"/>
    </row>
    <row r="14406" spans="26:26" x14ac:dyDescent="0.25">
      <c r="Z14406"/>
    </row>
    <row r="14407" spans="26:26" x14ac:dyDescent="0.25">
      <c r="Z14407"/>
    </row>
    <row r="14408" spans="26:26" x14ac:dyDescent="0.25">
      <c r="Z14408"/>
    </row>
    <row r="14409" spans="26:26" x14ac:dyDescent="0.25">
      <c r="Z14409"/>
    </row>
    <row r="14410" spans="26:26" x14ac:dyDescent="0.25">
      <c r="Z14410"/>
    </row>
    <row r="14411" spans="26:26" x14ac:dyDescent="0.25">
      <c r="Z14411"/>
    </row>
    <row r="14412" spans="26:26" x14ac:dyDescent="0.25">
      <c r="Z14412"/>
    </row>
    <row r="14413" spans="26:26" x14ac:dyDescent="0.25">
      <c r="Z14413"/>
    </row>
    <row r="14414" spans="26:26" x14ac:dyDescent="0.25">
      <c r="Z14414"/>
    </row>
    <row r="14415" spans="26:26" x14ac:dyDescent="0.25">
      <c r="Z14415"/>
    </row>
    <row r="14416" spans="26:26" x14ac:dyDescent="0.25">
      <c r="Z14416"/>
    </row>
    <row r="14417" spans="26:26" x14ac:dyDescent="0.25">
      <c r="Z14417"/>
    </row>
    <row r="14418" spans="26:26" x14ac:dyDescent="0.25">
      <c r="Z14418"/>
    </row>
    <row r="14419" spans="26:26" x14ac:dyDescent="0.25">
      <c r="Z14419"/>
    </row>
    <row r="14420" spans="26:26" x14ac:dyDescent="0.25">
      <c r="Z14420"/>
    </row>
    <row r="14421" spans="26:26" x14ac:dyDescent="0.25">
      <c r="Z14421"/>
    </row>
    <row r="14422" spans="26:26" x14ac:dyDescent="0.25">
      <c r="Z14422"/>
    </row>
    <row r="14423" spans="26:26" x14ac:dyDescent="0.25">
      <c r="Z14423"/>
    </row>
    <row r="14424" spans="26:26" x14ac:dyDescent="0.25">
      <c r="Z14424"/>
    </row>
    <row r="14425" spans="26:26" x14ac:dyDescent="0.25">
      <c r="Z14425"/>
    </row>
    <row r="14426" spans="26:26" x14ac:dyDescent="0.25">
      <c r="Z14426"/>
    </row>
    <row r="14427" spans="26:26" x14ac:dyDescent="0.25">
      <c r="Z14427"/>
    </row>
    <row r="14428" spans="26:26" x14ac:dyDescent="0.25">
      <c r="Z14428"/>
    </row>
    <row r="14429" spans="26:26" x14ac:dyDescent="0.25">
      <c r="Z14429"/>
    </row>
    <row r="14430" spans="26:26" x14ac:dyDescent="0.25">
      <c r="Z14430"/>
    </row>
    <row r="14431" spans="26:26" x14ac:dyDescent="0.25">
      <c r="Z14431"/>
    </row>
    <row r="14432" spans="26:26" x14ac:dyDescent="0.25">
      <c r="Z14432"/>
    </row>
    <row r="14433" spans="26:26" x14ac:dyDescent="0.25">
      <c r="Z14433"/>
    </row>
    <row r="14434" spans="26:26" x14ac:dyDescent="0.25">
      <c r="Z14434"/>
    </row>
    <row r="14435" spans="26:26" x14ac:dyDescent="0.25">
      <c r="Z14435"/>
    </row>
    <row r="14436" spans="26:26" x14ac:dyDescent="0.25">
      <c r="Z14436"/>
    </row>
    <row r="14437" spans="26:26" x14ac:dyDescent="0.25">
      <c r="Z14437"/>
    </row>
    <row r="14438" spans="26:26" x14ac:dyDescent="0.25">
      <c r="Z14438"/>
    </row>
    <row r="14439" spans="26:26" x14ac:dyDescent="0.25">
      <c r="Z14439"/>
    </row>
    <row r="14440" spans="26:26" x14ac:dyDescent="0.25">
      <c r="Z14440"/>
    </row>
    <row r="14441" spans="26:26" x14ac:dyDescent="0.25">
      <c r="Z14441"/>
    </row>
    <row r="14442" spans="26:26" x14ac:dyDescent="0.25">
      <c r="Z14442"/>
    </row>
    <row r="14443" spans="26:26" x14ac:dyDescent="0.25">
      <c r="Z14443"/>
    </row>
    <row r="14444" spans="26:26" x14ac:dyDescent="0.25">
      <c r="Z14444"/>
    </row>
    <row r="14445" spans="26:26" x14ac:dyDescent="0.25">
      <c r="Z14445"/>
    </row>
    <row r="14446" spans="26:26" x14ac:dyDescent="0.25">
      <c r="Z14446"/>
    </row>
    <row r="14447" spans="26:26" x14ac:dyDescent="0.25">
      <c r="Z14447"/>
    </row>
    <row r="14448" spans="26:26" x14ac:dyDescent="0.25">
      <c r="Z14448"/>
    </row>
    <row r="14449" spans="26:26" x14ac:dyDescent="0.25">
      <c r="Z14449"/>
    </row>
    <row r="14450" spans="26:26" x14ac:dyDescent="0.25">
      <c r="Z14450"/>
    </row>
    <row r="14451" spans="26:26" x14ac:dyDescent="0.25">
      <c r="Z14451"/>
    </row>
    <row r="14452" spans="26:26" x14ac:dyDescent="0.25">
      <c r="Z14452"/>
    </row>
    <row r="14453" spans="26:26" x14ac:dyDescent="0.25">
      <c r="Z14453"/>
    </row>
    <row r="14454" spans="26:26" x14ac:dyDescent="0.25">
      <c r="Z14454"/>
    </row>
    <row r="14455" spans="26:26" x14ac:dyDescent="0.25">
      <c r="Z14455"/>
    </row>
    <row r="14456" spans="26:26" x14ac:dyDescent="0.25">
      <c r="Z14456"/>
    </row>
    <row r="14457" spans="26:26" x14ac:dyDescent="0.25">
      <c r="Z14457"/>
    </row>
    <row r="14458" spans="26:26" x14ac:dyDescent="0.25">
      <c r="Z14458"/>
    </row>
    <row r="14459" spans="26:26" x14ac:dyDescent="0.25">
      <c r="Z14459"/>
    </row>
    <row r="14460" spans="26:26" x14ac:dyDescent="0.25">
      <c r="Z14460"/>
    </row>
    <row r="14461" spans="26:26" x14ac:dyDescent="0.25">
      <c r="Z14461"/>
    </row>
    <row r="14462" spans="26:26" x14ac:dyDescent="0.25">
      <c r="Z14462"/>
    </row>
    <row r="14463" spans="26:26" x14ac:dyDescent="0.25">
      <c r="Z14463"/>
    </row>
    <row r="14464" spans="26:26" x14ac:dyDescent="0.25">
      <c r="Z14464"/>
    </row>
    <row r="14465" spans="26:26" x14ac:dyDescent="0.25">
      <c r="Z14465"/>
    </row>
    <row r="14466" spans="26:26" x14ac:dyDescent="0.25">
      <c r="Z14466"/>
    </row>
    <row r="14467" spans="26:26" x14ac:dyDescent="0.25">
      <c r="Z14467"/>
    </row>
    <row r="14468" spans="26:26" x14ac:dyDescent="0.25">
      <c r="Z14468"/>
    </row>
    <row r="14469" spans="26:26" x14ac:dyDescent="0.25">
      <c r="Z14469"/>
    </row>
    <row r="14470" spans="26:26" x14ac:dyDescent="0.25">
      <c r="Z14470"/>
    </row>
    <row r="14471" spans="26:26" x14ac:dyDescent="0.25">
      <c r="Z14471"/>
    </row>
    <row r="14472" spans="26:26" x14ac:dyDescent="0.25">
      <c r="Z14472"/>
    </row>
    <row r="14473" spans="26:26" x14ac:dyDescent="0.25">
      <c r="Z14473"/>
    </row>
    <row r="14474" spans="26:26" x14ac:dyDescent="0.25">
      <c r="Z14474"/>
    </row>
    <row r="14475" spans="26:26" x14ac:dyDescent="0.25">
      <c r="Z14475"/>
    </row>
    <row r="14476" spans="26:26" x14ac:dyDescent="0.25">
      <c r="Z14476"/>
    </row>
    <row r="14477" spans="26:26" x14ac:dyDescent="0.25">
      <c r="Z14477"/>
    </row>
    <row r="14478" spans="26:26" x14ac:dyDescent="0.25">
      <c r="Z14478"/>
    </row>
    <row r="14479" spans="26:26" x14ac:dyDescent="0.25">
      <c r="Z14479"/>
    </row>
    <row r="14480" spans="26:26" x14ac:dyDescent="0.25">
      <c r="Z14480"/>
    </row>
    <row r="14481" spans="26:26" x14ac:dyDescent="0.25">
      <c r="Z14481"/>
    </row>
    <row r="14482" spans="26:26" x14ac:dyDescent="0.25">
      <c r="Z14482"/>
    </row>
    <row r="14483" spans="26:26" x14ac:dyDescent="0.25">
      <c r="Z14483"/>
    </row>
    <row r="14484" spans="26:26" x14ac:dyDescent="0.25">
      <c r="Z14484"/>
    </row>
    <row r="14485" spans="26:26" x14ac:dyDescent="0.25">
      <c r="Z14485"/>
    </row>
    <row r="14486" spans="26:26" x14ac:dyDescent="0.25">
      <c r="Z14486"/>
    </row>
    <row r="14487" spans="26:26" x14ac:dyDescent="0.25">
      <c r="Z14487"/>
    </row>
    <row r="14488" spans="26:26" x14ac:dyDescent="0.25">
      <c r="Z14488"/>
    </row>
    <row r="14489" spans="26:26" x14ac:dyDescent="0.25">
      <c r="Z14489"/>
    </row>
    <row r="14490" spans="26:26" x14ac:dyDescent="0.25">
      <c r="Z14490"/>
    </row>
    <row r="14491" spans="26:26" x14ac:dyDescent="0.25">
      <c r="Z14491"/>
    </row>
    <row r="14492" spans="26:26" x14ac:dyDescent="0.25">
      <c r="Z14492"/>
    </row>
    <row r="14493" spans="26:26" x14ac:dyDescent="0.25">
      <c r="Z14493"/>
    </row>
    <row r="14494" spans="26:26" x14ac:dyDescent="0.25">
      <c r="Z14494"/>
    </row>
    <row r="14495" spans="26:26" x14ac:dyDescent="0.25">
      <c r="Z14495"/>
    </row>
    <row r="14496" spans="26:26" x14ac:dyDescent="0.25">
      <c r="Z14496"/>
    </row>
    <row r="14497" spans="26:26" x14ac:dyDescent="0.25">
      <c r="Z14497"/>
    </row>
    <row r="14498" spans="26:26" x14ac:dyDescent="0.25">
      <c r="Z14498"/>
    </row>
    <row r="14499" spans="26:26" x14ac:dyDescent="0.25">
      <c r="Z14499"/>
    </row>
    <row r="14500" spans="26:26" x14ac:dyDescent="0.25">
      <c r="Z14500"/>
    </row>
    <row r="14501" spans="26:26" x14ac:dyDescent="0.25">
      <c r="Z14501"/>
    </row>
    <row r="14502" spans="26:26" x14ac:dyDescent="0.25">
      <c r="Z14502"/>
    </row>
    <row r="14503" spans="26:26" x14ac:dyDescent="0.25">
      <c r="Z14503"/>
    </row>
    <row r="14504" spans="26:26" x14ac:dyDescent="0.25">
      <c r="Z14504"/>
    </row>
    <row r="14505" spans="26:26" x14ac:dyDescent="0.25">
      <c r="Z14505"/>
    </row>
    <row r="14506" spans="26:26" x14ac:dyDescent="0.25">
      <c r="Z14506"/>
    </row>
    <row r="14507" spans="26:26" x14ac:dyDescent="0.25">
      <c r="Z14507"/>
    </row>
    <row r="14508" spans="26:26" x14ac:dyDescent="0.25">
      <c r="Z14508"/>
    </row>
    <row r="14509" spans="26:26" x14ac:dyDescent="0.25">
      <c r="Z14509"/>
    </row>
    <row r="14510" spans="26:26" x14ac:dyDescent="0.25">
      <c r="Z14510"/>
    </row>
    <row r="14511" spans="26:26" x14ac:dyDescent="0.25">
      <c r="Z14511"/>
    </row>
    <row r="14512" spans="26:26" x14ac:dyDescent="0.25">
      <c r="Z14512"/>
    </row>
    <row r="14513" spans="26:26" x14ac:dyDescent="0.25">
      <c r="Z14513"/>
    </row>
    <row r="14514" spans="26:26" x14ac:dyDescent="0.25">
      <c r="Z14514"/>
    </row>
    <row r="14515" spans="26:26" x14ac:dyDescent="0.25">
      <c r="Z14515"/>
    </row>
    <row r="14516" spans="26:26" x14ac:dyDescent="0.25">
      <c r="Z14516"/>
    </row>
    <row r="14517" spans="26:26" x14ac:dyDescent="0.25">
      <c r="Z14517"/>
    </row>
    <row r="14518" spans="26:26" x14ac:dyDescent="0.25">
      <c r="Z14518"/>
    </row>
    <row r="14519" spans="26:26" x14ac:dyDescent="0.25">
      <c r="Z14519"/>
    </row>
    <row r="14520" spans="26:26" x14ac:dyDescent="0.25">
      <c r="Z14520"/>
    </row>
    <row r="14521" spans="26:26" x14ac:dyDescent="0.25">
      <c r="Z14521"/>
    </row>
    <row r="14522" spans="26:26" x14ac:dyDescent="0.25">
      <c r="Z14522"/>
    </row>
    <row r="14523" spans="26:26" x14ac:dyDescent="0.25">
      <c r="Z14523"/>
    </row>
    <row r="14524" spans="26:26" x14ac:dyDescent="0.25">
      <c r="Z14524"/>
    </row>
    <row r="14525" spans="26:26" x14ac:dyDescent="0.25">
      <c r="Z14525"/>
    </row>
    <row r="14526" spans="26:26" x14ac:dyDescent="0.25">
      <c r="Z14526"/>
    </row>
    <row r="14527" spans="26:26" x14ac:dyDescent="0.25">
      <c r="Z14527"/>
    </row>
    <row r="14528" spans="26:26" x14ac:dyDescent="0.25">
      <c r="Z14528"/>
    </row>
    <row r="14529" spans="26:26" x14ac:dyDescent="0.25">
      <c r="Z14529"/>
    </row>
    <row r="14530" spans="26:26" x14ac:dyDescent="0.25">
      <c r="Z14530"/>
    </row>
    <row r="14531" spans="26:26" x14ac:dyDescent="0.25">
      <c r="Z14531"/>
    </row>
    <row r="14532" spans="26:26" x14ac:dyDescent="0.25">
      <c r="Z14532"/>
    </row>
    <row r="14533" spans="26:26" x14ac:dyDescent="0.25">
      <c r="Z14533"/>
    </row>
    <row r="14534" spans="26:26" x14ac:dyDescent="0.25">
      <c r="Z14534"/>
    </row>
    <row r="14535" spans="26:26" x14ac:dyDescent="0.25">
      <c r="Z14535"/>
    </row>
    <row r="14536" spans="26:26" x14ac:dyDescent="0.25">
      <c r="Z14536"/>
    </row>
    <row r="14537" spans="26:26" x14ac:dyDescent="0.25">
      <c r="Z14537"/>
    </row>
    <row r="14538" spans="26:26" x14ac:dyDescent="0.25">
      <c r="Z14538"/>
    </row>
    <row r="14539" spans="26:26" x14ac:dyDescent="0.25">
      <c r="Z14539"/>
    </row>
    <row r="14540" spans="26:26" x14ac:dyDescent="0.25">
      <c r="Z14540"/>
    </row>
    <row r="14541" spans="26:26" x14ac:dyDescent="0.25">
      <c r="Z14541"/>
    </row>
    <row r="14542" spans="26:26" x14ac:dyDescent="0.25">
      <c r="Z14542"/>
    </row>
    <row r="14543" spans="26:26" x14ac:dyDescent="0.25">
      <c r="Z14543"/>
    </row>
    <row r="14544" spans="26:26" x14ac:dyDescent="0.25">
      <c r="Z14544"/>
    </row>
    <row r="14545" spans="26:26" x14ac:dyDescent="0.25">
      <c r="Z14545"/>
    </row>
    <row r="14546" spans="26:26" x14ac:dyDescent="0.25">
      <c r="Z14546"/>
    </row>
    <row r="14547" spans="26:26" x14ac:dyDescent="0.25">
      <c r="Z14547"/>
    </row>
    <row r="14548" spans="26:26" x14ac:dyDescent="0.25">
      <c r="Z14548"/>
    </row>
    <row r="14549" spans="26:26" x14ac:dyDescent="0.25">
      <c r="Z14549"/>
    </row>
    <row r="14550" spans="26:26" x14ac:dyDescent="0.25">
      <c r="Z14550"/>
    </row>
    <row r="14551" spans="26:26" x14ac:dyDescent="0.25">
      <c r="Z14551"/>
    </row>
    <row r="14552" spans="26:26" x14ac:dyDescent="0.25">
      <c r="Z14552"/>
    </row>
    <row r="14553" spans="26:26" x14ac:dyDescent="0.25">
      <c r="Z14553"/>
    </row>
    <row r="14554" spans="26:26" x14ac:dyDescent="0.25">
      <c r="Z14554"/>
    </row>
    <row r="14555" spans="26:26" x14ac:dyDescent="0.25">
      <c r="Z14555"/>
    </row>
    <row r="14556" spans="26:26" x14ac:dyDescent="0.25">
      <c r="Z14556"/>
    </row>
    <row r="14557" spans="26:26" x14ac:dyDescent="0.25">
      <c r="Z14557"/>
    </row>
    <row r="14558" spans="26:26" x14ac:dyDescent="0.25">
      <c r="Z14558"/>
    </row>
    <row r="14559" spans="26:26" x14ac:dyDescent="0.25">
      <c r="Z14559"/>
    </row>
    <row r="14560" spans="26:26" x14ac:dyDescent="0.25">
      <c r="Z14560"/>
    </row>
    <row r="14561" spans="26:26" x14ac:dyDescent="0.25">
      <c r="Z14561"/>
    </row>
    <row r="14562" spans="26:26" x14ac:dyDescent="0.25">
      <c r="Z14562"/>
    </row>
    <row r="14563" spans="26:26" x14ac:dyDescent="0.25">
      <c r="Z14563"/>
    </row>
    <row r="14564" spans="26:26" x14ac:dyDescent="0.25">
      <c r="Z14564"/>
    </row>
    <row r="14565" spans="26:26" x14ac:dyDescent="0.25">
      <c r="Z14565"/>
    </row>
    <row r="14566" spans="26:26" x14ac:dyDescent="0.25">
      <c r="Z14566"/>
    </row>
    <row r="14567" spans="26:26" x14ac:dyDescent="0.25">
      <c r="Z14567"/>
    </row>
    <row r="14568" spans="26:26" x14ac:dyDescent="0.25">
      <c r="Z14568"/>
    </row>
    <row r="14569" spans="26:26" x14ac:dyDescent="0.25">
      <c r="Z14569"/>
    </row>
    <row r="14570" spans="26:26" x14ac:dyDescent="0.25">
      <c r="Z14570"/>
    </row>
    <row r="14571" spans="26:26" x14ac:dyDescent="0.25">
      <c r="Z14571"/>
    </row>
    <row r="14572" spans="26:26" x14ac:dyDescent="0.25">
      <c r="Z14572"/>
    </row>
    <row r="14573" spans="26:26" x14ac:dyDescent="0.25">
      <c r="Z14573"/>
    </row>
    <row r="14574" spans="26:26" x14ac:dyDescent="0.25">
      <c r="Z14574"/>
    </row>
    <row r="14575" spans="26:26" x14ac:dyDescent="0.25">
      <c r="Z14575"/>
    </row>
    <row r="14576" spans="26:26" x14ac:dyDescent="0.25">
      <c r="Z14576"/>
    </row>
    <row r="14577" spans="26:26" x14ac:dyDescent="0.25">
      <c r="Z14577"/>
    </row>
    <row r="14578" spans="26:26" x14ac:dyDescent="0.25">
      <c r="Z14578"/>
    </row>
    <row r="14579" spans="26:26" x14ac:dyDescent="0.25">
      <c r="Z14579"/>
    </row>
    <row r="14580" spans="26:26" x14ac:dyDescent="0.25">
      <c r="Z14580"/>
    </row>
    <row r="14581" spans="26:26" x14ac:dyDescent="0.25">
      <c r="Z14581"/>
    </row>
    <row r="14582" spans="26:26" x14ac:dyDescent="0.25">
      <c r="Z14582"/>
    </row>
    <row r="14583" spans="26:26" x14ac:dyDescent="0.25">
      <c r="Z14583"/>
    </row>
    <row r="14584" spans="26:26" x14ac:dyDescent="0.25">
      <c r="Z14584"/>
    </row>
    <row r="14585" spans="26:26" x14ac:dyDescent="0.25">
      <c r="Z14585"/>
    </row>
    <row r="14586" spans="26:26" x14ac:dyDescent="0.25">
      <c r="Z14586"/>
    </row>
    <row r="14587" spans="26:26" x14ac:dyDescent="0.25">
      <c r="Z14587"/>
    </row>
    <row r="14588" spans="26:26" x14ac:dyDescent="0.25">
      <c r="Z14588"/>
    </row>
    <row r="14589" spans="26:26" x14ac:dyDescent="0.25">
      <c r="Z14589"/>
    </row>
    <row r="14590" spans="26:26" x14ac:dyDescent="0.25">
      <c r="Z14590"/>
    </row>
    <row r="14591" spans="26:26" x14ac:dyDescent="0.25">
      <c r="Z14591"/>
    </row>
    <row r="14592" spans="26:26" x14ac:dyDescent="0.25">
      <c r="Z14592"/>
    </row>
    <row r="14593" spans="26:26" x14ac:dyDescent="0.25">
      <c r="Z14593"/>
    </row>
    <row r="14594" spans="26:26" x14ac:dyDescent="0.25">
      <c r="Z14594"/>
    </row>
    <row r="14595" spans="26:26" x14ac:dyDescent="0.25">
      <c r="Z14595"/>
    </row>
    <row r="14596" spans="26:26" x14ac:dyDescent="0.25">
      <c r="Z14596"/>
    </row>
    <row r="14597" spans="26:26" x14ac:dyDescent="0.25">
      <c r="Z14597"/>
    </row>
    <row r="14598" spans="26:26" x14ac:dyDescent="0.25">
      <c r="Z14598"/>
    </row>
    <row r="14599" spans="26:26" x14ac:dyDescent="0.25">
      <c r="Z14599"/>
    </row>
    <row r="14600" spans="26:26" x14ac:dyDescent="0.25">
      <c r="Z14600"/>
    </row>
    <row r="14601" spans="26:26" x14ac:dyDescent="0.25">
      <c r="Z14601"/>
    </row>
    <row r="14602" spans="26:26" x14ac:dyDescent="0.25">
      <c r="Z14602"/>
    </row>
    <row r="14603" spans="26:26" x14ac:dyDescent="0.25">
      <c r="Z14603"/>
    </row>
    <row r="14604" spans="26:26" x14ac:dyDescent="0.25">
      <c r="Z14604"/>
    </row>
    <row r="14605" spans="26:26" x14ac:dyDescent="0.25">
      <c r="Z14605"/>
    </row>
    <row r="14606" spans="26:26" x14ac:dyDescent="0.25">
      <c r="Z14606"/>
    </row>
    <row r="14607" spans="26:26" x14ac:dyDescent="0.25">
      <c r="Z14607"/>
    </row>
    <row r="14608" spans="26:26" x14ac:dyDescent="0.25">
      <c r="Z14608"/>
    </row>
    <row r="14609" spans="26:26" x14ac:dyDescent="0.25">
      <c r="Z14609"/>
    </row>
    <row r="14610" spans="26:26" x14ac:dyDescent="0.25">
      <c r="Z14610"/>
    </row>
    <row r="14611" spans="26:26" x14ac:dyDescent="0.25">
      <c r="Z14611"/>
    </row>
    <row r="14612" spans="26:26" x14ac:dyDescent="0.25">
      <c r="Z14612"/>
    </row>
    <row r="14613" spans="26:26" x14ac:dyDescent="0.25">
      <c r="Z14613"/>
    </row>
    <row r="14614" spans="26:26" x14ac:dyDescent="0.25">
      <c r="Z14614"/>
    </row>
    <row r="14615" spans="26:26" x14ac:dyDescent="0.25">
      <c r="Z14615"/>
    </row>
    <row r="14616" spans="26:26" x14ac:dyDescent="0.25">
      <c r="Z14616"/>
    </row>
    <row r="14617" spans="26:26" x14ac:dyDescent="0.25">
      <c r="Z14617"/>
    </row>
    <row r="14618" spans="26:26" x14ac:dyDescent="0.25">
      <c r="Z14618"/>
    </row>
    <row r="14619" spans="26:26" x14ac:dyDescent="0.25">
      <c r="Z14619"/>
    </row>
    <row r="14620" spans="26:26" x14ac:dyDescent="0.25">
      <c r="Z14620"/>
    </row>
    <row r="14621" spans="26:26" x14ac:dyDescent="0.25">
      <c r="Z14621"/>
    </row>
    <row r="14622" spans="26:26" x14ac:dyDescent="0.25">
      <c r="Z14622"/>
    </row>
    <row r="14623" spans="26:26" x14ac:dyDescent="0.25">
      <c r="Z14623"/>
    </row>
    <row r="14624" spans="26:26" x14ac:dyDescent="0.25">
      <c r="Z14624"/>
    </row>
    <row r="14625" spans="26:26" x14ac:dyDescent="0.25">
      <c r="Z14625"/>
    </row>
    <row r="14626" spans="26:26" x14ac:dyDescent="0.25">
      <c r="Z14626"/>
    </row>
    <row r="14627" spans="26:26" x14ac:dyDescent="0.25">
      <c r="Z14627"/>
    </row>
    <row r="14628" spans="26:26" x14ac:dyDescent="0.25">
      <c r="Z14628"/>
    </row>
    <row r="14629" spans="26:26" x14ac:dyDescent="0.25">
      <c r="Z14629"/>
    </row>
    <row r="14630" spans="26:26" x14ac:dyDescent="0.25">
      <c r="Z14630"/>
    </row>
    <row r="14631" spans="26:26" x14ac:dyDescent="0.25">
      <c r="Z14631"/>
    </row>
    <row r="14632" spans="26:26" x14ac:dyDescent="0.25">
      <c r="Z14632"/>
    </row>
    <row r="14633" spans="26:26" x14ac:dyDescent="0.25">
      <c r="Z14633"/>
    </row>
    <row r="14634" spans="26:26" x14ac:dyDescent="0.25">
      <c r="Z14634"/>
    </row>
    <row r="14635" spans="26:26" x14ac:dyDescent="0.25">
      <c r="Z14635"/>
    </row>
    <row r="14636" spans="26:26" x14ac:dyDescent="0.25">
      <c r="Z14636"/>
    </row>
    <row r="14637" spans="26:26" x14ac:dyDescent="0.25">
      <c r="Z14637"/>
    </row>
    <row r="14638" spans="26:26" x14ac:dyDescent="0.25">
      <c r="Z14638"/>
    </row>
    <row r="14639" spans="26:26" x14ac:dyDescent="0.25">
      <c r="Z14639"/>
    </row>
    <row r="14640" spans="26:26" x14ac:dyDescent="0.25">
      <c r="Z14640"/>
    </row>
    <row r="14641" spans="26:26" x14ac:dyDescent="0.25">
      <c r="Z14641"/>
    </row>
    <row r="14642" spans="26:26" x14ac:dyDescent="0.25">
      <c r="Z14642"/>
    </row>
    <row r="14643" spans="26:26" x14ac:dyDescent="0.25">
      <c r="Z14643"/>
    </row>
    <row r="14644" spans="26:26" x14ac:dyDescent="0.25">
      <c r="Z14644"/>
    </row>
    <row r="14645" spans="26:26" x14ac:dyDescent="0.25">
      <c r="Z14645"/>
    </row>
    <row r="14646" spans="26:26" x14ac:dyDescent="0.25">
      <c r="Z14646"/>
    </row>
    <row r="14647" spans="26:26" x14ac:dyDescent="0.25">
      <c r="Z14647"/>
    </row>
    <row r="14648" spans="26:26" x14ac:dyDescent="0.25">
      <c r="Z14648"/>
    </row>
    <row r="14649" spans="26:26" x14ac:dyDescent="0.25">
      <c r="Z14649"/>
    </row>
    <row r="14650" spans="26:26" x14ac:dyDescent="0.25">
      <c r="Z14650"/>
    </row>
    <row r="14651" spans="26:26" x14ac:dyDescent="0.25">
      <c r="Z14651"/>
    </row>
    <row r="14652" spans="26:26" x14ac:dyDescent="0.25">
      <c r="Z14652"/>
    </row>
    <row r="14653" spans="26:26" x14ac:dyDescent="0.25">
      <c r="Z14653"/>
    </row>
    <row r="14654" spans="26:26" x14ac:dyDescent="0.25">
      <c r="Z14654"/>
    </row>
    <row r="14655" spans="26:26" x14ac:dyDescent="0.25">
      <c r="Z14655"/>
    </row>
    <row r="14656" spans="26:26" x14ac:dyDescent="0.25">
      <c r="Z14656"/>
    </row>
    <row r="14657" spans="26:26" x14ac:dyDescent="0.25">
      <c r="Z14657"/>
    </row>
    <row r="14658" spans="26:26" x14ac:dyDescent="0.25">
      <c r="Z14658"/>
    </row>
    <row r="14659" spans="26:26" x14ac:dyDescent="0.25">
      <c r="Z14659"/>
    </row>
    <row r="14660" spans="26:26" x14ac:dyDescent="0.25">
      <c r="Z14660"/>
    </row>
    <row r="14661" spans="26:26" x14ac:dyDescent="0.25">
      <c r="Z14661"/>
    </row>
    <row r="14662" spans="26:26" x14ac:dyDescent="0.25">
      <c r="Z14662"/>
    </row>
    <row r="14663" spans="26:26" x14ac:dyDescent="0.25">
      <c r="Z14663"/>
    </row>
    <row r="14664" spans="26:26" x14ac:dyDescent="0.25">
      <c r="Z14664"/>
    </row>
    <row r="14665" spans="26:26" x14ac:dyDescent="0.25">
      <c r="Z14665"/>
    </row>
    <row r="14666" spans="26:26" x14ac:dyDescent="0.25">
      <c r="Z14666"/>
    </row>
    <row r="14667" spans="26:26" x14ac:dyDescent="0.25">
      <c r="Z14667"/>
    </row>
    <row r="14668" spans="26:26" x14ac:dyDescent="0.25">
      <c r="Z14668"/>
    </row>
    <row r="14669" spans="26:26" x14ac:dyDescent="0.25">
      <c r="Z14669"/>
    </row>
    <row r="14670" spans="26:26" x14ac:dyDescent="0.25">
      <c r="Z14670"/>
    </row>
    <row r="14671" spans="26:26" x14ac:dyDescent="0.25">
      <c r="Z14671"/>
    </row>
    <row r="14672" spans="26:26" x14ac:dyDescent="0.25">
      <c r="Z14672"/>
    </row>
    <row r="14673" spans="26:26" x14ac:dyDescent="0.25">
      <c r="Z14673"/>
    </row>
    <row r="14674" spans="26:26" x14ac:dyDescent="0.25">
      <c r="Z14674"/>
    </row>
    <row r="14675" spans="26:26" x14ac:dyDescent="0.25">
      <c r="Z14675"/>
    </row>
    <row r="14676" spans="26:26" x14ac:dyDescent="0.25">
      <c r="Z14676"/>
    </row>
    <row r="14677" spans="26:26" x14ac:dyDescent="0.25">
      <c r="Z14677"/>
    </row>
    <row r="14678" spans="26:26" x14ac:dyDescent="0.25">
      <c r="Z14678"/>
    </row>
    <row r="14679" spans="26:26" x14ac:dyDescent="0.25">
      <c r="Z14679"/>
    </row>
    <row r="14680" spans="26:26" x14ac:dyDescent="0.25">
      <c r="Z14680"/>
    </row>
    <row r="14681" spans="26:26" x14ac:dyDescent="0.25">
      <c r="Z14681"/>
    </row>
    <row r="14682" spans="26:26" x14ac:dyDescent="0.25">
      <c r="Z14682"/>
    </row>
    <row r="14683" spans="26:26" x14ac:dyDescent="0.25">
      <c r="Z14683"/>
    </row>
    <row r="14684" spans="26:26" x14ac:dyDescent="0.25">
      <c r="Z14684"/>
    </row>
    <row r="14685" spans="26:26" x14ac:dyDescent="0.25">
      <c r="Z14685"/>
    </row>
    <row r="14686" spans="26:26" x14ac:dyDescent="0.25">
      <c r="Z14686"/>
    </row>
    <row r="14687" spans="26:26" x14ac:dyDescent="0.25">
      <c r="Z14687"/>
    </row>
    <row r="14688" spans="26:26" x14ac:dyDescent="0.25">
      <c r="Z14688"/>
    </row>
    <row r="14689" spans="26:26" x14ac:dyDescent="0.25">
      <c r="Z14689"/>
    </row>
    <row r="14690" spans="26:26" x14ac:dyDescent="0.25">
      <c r="Z14690"/>
    </row>
    <row r="14691" spans="26:26" x14ac:dyDescent="0.25">
      <c r="Z14691"/>
    </row>
    <row r="14692" spans="26:26" x14ac:dyDescent="0.25">
      <c r="Z14692"/>
    </row>
    <row r="14693" spans="26:26" x14ac:dyDescent="0.25">
      <c r="Z14693"/>
    </row>
    <row r="14694" spans="26:26" x14ac:dyDescent="0.25">
      <c r="Z14694"/>
    </row>
    <row r="14695" spans="26:26" x14ac:dyDescent="0.25">
      <c r="Z14695"/>
    </row>
    <row r="14696" spans="26:26" x14ac:dyDescent="0.25">
      <c r="Z14696"/>
    </row>
    <row r="14697" spans="26:26" x14ac:dyDescent="0.25">
      <c r="Z14697"/>
    </row>
    <row r="14698" spans="26:26" x14ac:dyDescent="0.25">
      <c r="Z14698"/>
    </row>
    <row r="14699" spans="26:26" x14ac:dyDescent="0.25">
      <c r="Z14699"/>
    </row>
    <row r="14700" spans="26:26" x14ac:dyDescent="0.25">
      <c r="Z14700"/>
    </row>
    <row r="14701" spans="26:26" x14ac:dyDescent="0.25">
      <c r="Z14701"/>
    </row>
    <row r="14702" spans="26:26" x14ac:dyDescent="0.25">
      <c r="Z14702"/>
    </row>
    <row r="14703" spans="26:26" x14ac:dyDescent="0.25">
      <c r="Z14703"/>
    </row>
    <row r="14704" spans="26:26" x14ac:dyDescent="0.25">
      <c r="Z14704"/>
    </row>
    <row r="14705" spans="26:26" x14ac:dyDescent="0.25">
      <c r="Z14705"/>
    </row>
    <row r="14706" spans="26:26" x14ac:dyDescent="0.25">
      <c r="Z14706"/>
    </row>
    <row r="14707" spans="26:26" x14ac:dyDescent="0.25">
      <c r="Z14707"/>
    </row>
    <row r="14708" spans="26:26" x14ac:dyDescent="0.25">
      <c r="Z14708"/>
    </row>
    <row r="14709" spans="26:26" x14ac:dyDescent="0.25">
      <c r="Z14709"/>
    </row>
    <row r="14710" spans="26:26" x14ac:dyDescent="0.25">
      <c r="Z14710"/>
    </row>
    <row r="14711" spans="26:26" x14ac:dyDescent="0.25">
      <c r="Z14711"/>
    </row>
    <row r="14712" spans="26:26" x14ac:dyDescent="0.25">
      <c r="Z14712"/>
    </row>
    <row r="14713" spans="26:26" x14ac:dyDescent="0.25">
      <c r="Z14713"/>
    </row>
    <row r="14714" spans="26:26" x14ac:dyDescent="0.25">
      <c r="Z14714"/>
    </row>
    <row r="14715" spans="26:26" x14ac:dyDescent="0.25">
      <c r="Z14715"/>
    </row>
    <row r="14716" spans="26:26" x14ac:dyDescent="0.25">
      <c r="Z14716"/>
    </row>
    <row r="14717" spans="26:26" x14ac:dyDescent="0.25">
      <c r="Z14717"/>
    </row>
    <row r="14718" spans="26:26" x14ac:dyDescent="0.25">
      <c r="Z14718"/>
    </row>
    <row r="14719" spans="26:26" x14ac:dyDescent="0.25">
      <c r="Z14719"/>
    </row>
    <row r="14720" spans="26:26" x14ac:dyDescent="0.25">
      <c r="Z14720"/>
    </row>
    <row r="14721" spans="26:26" x14ac:dyDescent="0.25">
      <c r="Z14721"/>
    </row>
    <row r="14722" spans="26:26" x14ac:dyDescent="0.25">
      <c r="Z14722"/>
    </row>
    <row r="14723" spans="26:26" x14ac:dyDescent="0.25">
      <c r="Z14723"/>
    </row>
    <row r="14724" spans="26:26" x14ac:dyDescent="0.25">
      <c r="Z14724"/>
    </row>
    <row r="14725" spans="26:26" x14ac:dyDescent="0.25">
      <c r="Z14725"/>
    </row>
    <row r="14726" spans="26:26" x14ac:dyDescent="0.25">
      <c r="Z14726"/>
    </row>
    <row r="14727" spans="26:26" x14ac:dyDescent="0.25">
      <c r="Z14727"/>
    </row>
    <row r="14728" spans="26:26" x14ac:dyDescent="0.25">
      <c r="Z14728"/>
    </row>
    <row r="14729" spans="26:26" x14ac:dyDescent="0.25">
      <c r="Z14729"/>
    </row>
    <row r="14730" spans="26:26" x14ac:dyDescent="0.25">
      <c r="Z14730"/>
    </row>
    <row r="14731" spans="26:26" x14ac:dyDescent="0.25">
      <c r="Z14731"/>
    </row>
    <row r="14732" spans="26:26" x14ac:dyDescent="0.25">
      <c r="Z14732"/>
    </row>
    <row r="14733" spans="26:26" x14ac:dyDescent="0.25">
      <c r="Z14733"/>
    </row>
    <row r="14734" spans="26:26" x14ac:dyDescent="0.25">
      <c r="Z14734"/>
    </row>
    <row r="14735" spans="26:26" x14ac:dyDescent="0.25">
      <c r="Z14735"/>
    </row>
    <row r="14736" spans="26:26" x14ac:dyDescent="0.25">
      <c r="Z14736"/>
    </row>
    <row r="14737" spans="26:26" x14ac:dyDescent="0.25">
      <c r="Z14737"/>
    </row>
    <row r="14738" spans="26:26" x14ac:dyDescent="0.25">
      <c r="Z14738"/>
    </row>
    <row r="14739" spans="26:26" x14ac:dyDescent="0.25">
      <c r="Z14739"/>
    </row>
    <row r="14740" spans="26:26" x14ac:dyDescent="0.25">
      <c r="Z14740"/>
    </row>
    <row r="14741" spans="26:26" x14ac:dyDescent="0.25">
      <c r="Z14741"/>
    </row>
    <row r="14742" spans="26:26" x14ac:dyDescent="0.25">
      <c r="Z14742"/>
    </row>
    <row r="14743" spans="26:26" x14ac:dyDescent="0.25">
      <c r="Z14743"/>
    </row>
    <row r="14744" spans="26:26" x14ac:dyDescent="0.25">
      <c r="Z14744"/>
    </row>
    <row r="14745" spans="26:26" x14ac:dyDescent="0.25">
      <c r="Z14745"/>
    </row>
    <row r="14746" spans="26:26" x14ac:dyDescent="0.25">
      <c r="Z14746"/>
    </row>
    <row r="14747" spans="26:26" x14ac:dyDescent="0.25">
      <c r="Z14747"/>
    </row>
    <row r="14748" spans="26:26" x14ac:dyDescent="0.25">
      <c r="Z14748"/>
    </row>
    <row r="14749" spans="26:26" x14ac:dyDescent="0.25">
      <c r="Z14749"/>
    </row>
    <row r="14750" spans="26:26" x14ac:dyDescent="0.25">
      <c r="Z14750"/>
    </row>
    <row r="14751" spans="26:26" x14ac:dyDescent="0.25">
      <c r="Z14751"/>
    </row>
    <row r="14752" spans="26:26" x14ac:dyDescent="0.25">
      <c r="Z14752"/>
    </row>
    <row r="14753" spans="26:26" x14ac:dyDescent="0.25">
      <c r="Z14753"/>
    </row>
    <row r="14754" spans="26:26" x14ac:dyDescent="0.25">
      <c r="Z14754"/>
    </row>
    <row r="14755" spans="26:26" x14ac:dyDescent="0.25">
      <c r="Z14755"/>
    </row>
    <row r="14756" spans="26:26" x14ac:dyDescent="0.25">
      <c r="Z14756"/>
    </row>
    <row r="14757" spans="26:26" x14ac:dyDescent="0.25">
      <c r="Z14757"/>
    </row>
    <row r="14758" spans="26:26" x14ac:dyDescent="0.25">
      <c r="Z14758"/>
    </row>
    <row r="14759" spans="26:26" x14ac:dyDescent="0.25">
      <c r="Z14759"/>
    </row>
    <row r="14760" spans="26:26" x14ac:dyDescent="0.25">
      <c r="Z14760"/>
    </row>
    <row r="14761" spans="26:26" x14ac:dyDescent="0.25">
      <c r="Z14761"/>
    </row>
    <row r="14762" spans="26:26" x14ac:dyDescent="0.25">
      <c r="Z14762"/>
    </row>
    <row r="14763" spans="26:26" x14ac:dyDescent="0.25">
      <c r="Z14763"/>
    </row>
    <row r="14764" spans="26:26" x14ac:dyDescent="0.25">
      <c r="Z14764"/>
    </row>
    <row r="14765" spans="26:26" x14ac:dyDescent="0.25">
      <c r="Z14765"/>
    </row>
    <row r="14766" spans="26:26" x14ac:dyDescent="0.25">
      <c r="Z14766"/>
    </row>
    <row r="14767" spans="26:26" x14ac:dyDescent="0.25">
      <c r="Z14767"/>
    </row>
    <row r="14768" spans="26:26" x14ac:dyDescent="0.25">
      <c r="Z14768"/>
    </row>
    <row r="14769" spans="26:26" x14ac:dyDescent="0.25">
      <c r="Z14769"/>
    </row>
    <row r="14770" spans="26:26" x14ac:dyDescent="0.25">
      <c r="Z14770"/>
    </row>
    <row r="14771" spans="26:26" x14ac:dyDescent="0.25">
      <c r="Z14771"/>
    </row>
    <row r="14772" spans="26:26" x14ac:dyDescent="0.25">
      <c r="Z14772"/>
    </row>
    <row r="14773" spans="26:26" x14ac:dyDescent="0.25">
      <c r="Z14773"/>
    </row>
    <row r="14774" spans="26:26" x14ac:dyDescent="0.25">
      <c r="Z14774"/>
    </row>
    <row r="14775" spans="26:26" x14ac:dyDescent="0.25">
      <c r="Z14775"/>
    </row>
    <row r="14776" spans="26:26" x14ac:dyDescent="0.25">
      <c r="Z14776"/>
    </row>
    <row r="14777" spans="26:26" x14ac:dyDescent="0.25">
      <c r="Z14777"/>
    </row>
    <row r="14778" spans="26:26" x14ac:dyDescent="0.25">
      <c r="Z14778"/>
    </row>
    <row r="14779" spans="26:26" x14ac:dyDescent="0.25">
      <c r="Z14779"/>
    </row>
    <row r="14780" spans="26:26" x14ac:dyDescent="0.25">
      <c r="Z14780"/>
    </row>
    <row r="14781" spans="26:26" x14ac:dyDescent="0.25">
      <c r="Z14781"/>
    </row>
    <row r="14782" spans="26:26" x14ac:dyDescent="0.25">
      <c r="Z14782"/>
    </row>
    <row r="14783" spans="26:26" x14ac:dyDescent="0.25">
      <c r="Z14783"/>
    </row>
    <row r="14784" spans="26:26" x14ac:dyDescent="0.25">
      <c r="Z14784"/>
    </row>
    <row r="14785" spans="26:26" x14ac:dyDescent="0.25">
      <c r="Z14785"/>
    </row>
    <row r="14786" spans="26:26" x14ac:dyDescent="0.25">
      <c r="Z14786"/>
    </row>
    <row r="14787" spans="26:26" x14ac:dyDescent="0.25">
      <c r="Z14787"/>
    </row>
    <row r="14788" spans="26:26" x14ac:dyDescent="0.25">
      <c r="Z14788"/>
    </row>
    <row r="14789" spans="26:26" x14ac:dyDescent="0.25">
      <c r="Z14789"/>
    </row>
    <row r="14790" spans="26:26" x14ac:dyDescent="0.25">
      <c r="Z14790"/>
    </row>
    <row r="14791" spans="26:26" x14ac:dyDescent="0.25">
      <c r="Z14791"/>
    </row>
    <row r="14792" spans="26:26" x14ac:dyDescent="0.25">
      <c r="Z14792"/>
    </row>
    <row r="14793" spans="26:26" x14ac:dyDescent="0.25">
      <c r="Z14793"/>
    </row>
    <row r="14794" spans="26:26" x14ac:dyDescent="0.25">
      <c r="Z14794"/>
    </row>
    <row r="14795" spans="26:26" x14ac:dyDescent="0.25">
      <c r="Z14795"/>
    </row>
    <row r="14796" spans="26:26" x14ac:dyDescent="0.25">
      <c r="Z14796"/>
    </row>
    <row r="14797" spans="26:26" x14ac:dyDescent="0.25">
      <c r="Z14797"/>
    </row>
    <row r="14798" spans="26:26" x14ac:dyDescent="0.25">
      <c r="Z14798"/>
    </row>
    <row r="14799" spans="26:26" x14ac:dyDescent="0.25">
      <c r="Z14799"/>
    </row>
    <row r="14800" spans="26:26" x14ac:dyDescent="0.25">
      <c r="Z14800"/>
    </row>
    <row r="14801" spans="26:26" x14ac:dyDescent="0.25">
      <c r="Z14801"/>
    </row>
    <row r="14802" spans="26:26" x14ac:dyDescent="0.25">
      <c r="Z14802"/>
    </row>
    <row r="14803" spans="26:26" x14ac:dyDescent="0.25">
      <c r="Z14803"/>
    </row>
    <row r="14804" spans="26:26" x14ac:dyDescent="0.25">
      <c r="Z14804"/>
    </row>
    <row r="14805" spans="26:26" x14ac:dyDescent="0.25">
      <c r="Z14805"/>
    </row>
    <row r="14806" spans="26:26" x14ac:dyDescent="0.25">
      <c r="Z14806"/>
    </row>
    <row r="14807" spans="26:26" x14ac:dyDescent="0.25">
      <c r="Z14807"/>
    </row>
    <row r="14808" spans="26:26" x14ac:dyDescent="0.25">
      <c r="Z14808"/>
    </row>
    <row r="14809" spans="26:26" x14ac:dyDescent="0.25">
      <c r="Z14809"/>
    </row>
    <row r="14810" spans="26:26" x14ac:dyDescent="0.25">
      <c r="Z14810"/>
    </row>
    <row r="14811" spans="26:26" x14ac:dyDescent="0.25">
      <c r="Z14811"/>
    </row>
    <row r="14812" spans="26:26" x14ac:dyDescent="0.25">
      <c r="Z14812"/>
    </row>
    <row r="14813" spans="26:26" x14ac:dyDescent="0.25">
      <c r="Z14813"/>
    </row>
    <row r="14814" spans="26:26" x14ac:dyDescent="0.25">
      <c r="Z14814"/>
    </row>
    <row r="14815" spans="26:26" x14ac:dyDescent="0.25">
      <c r="Z14815"/>
    </row>
    <row r="14816" spans="26:26" x14ac:dyDescent="0.25">
      <c r="Z14816"/>
    </row>
    <row r="14817" spans="26:26" x14ac:dyDescent="0.25">
      <c r="Z14817"/>
    </row>
    <row r="14818" spans="26:26" x14ac:dyDescent="0.25">
      <c r="Z14818"/>
    </row>
    <row r="14819" spans="26:26" x14ac:dyDescent="0.25">
      <c r="Z14819"/>
    </row>
    <row r="14820" spans="26:26" x14ac:dyDescent="0.25">
      <c r="Z14820"/>
    </row>
    <row r="14821" spans="26:26" x14ac:dyDescent="0.25">
      <c r="Z14821"/>
    </row>
    <row r="14822" spans="26:26" x14ac:dyDescent="0.25">
      <c r="Z14822"/>
    </row>
    <row r="14823" spans="26:26" x14ac:dyDescent="0.25">
      <c r="Z14823"/>
    </row>
    <row r="14824" spans="26:26" x14ac:dyDescent="0.25">
      <c r="Z14824"/>
    </row>
    <row r="14825" spans="26:26" x14ac:dyDescent="0.25">
      <c r="Z14825"/>
    </row>
    <row r="14826" spans="26:26" x14ac:dyDescent="0.25">
      <c r="Z14826"/>
    </row>
    <row r="14827" spans="26:26" x14ac:dyDescent="0.25">
      <c r="Z14827"/>
    </row>
    <row r="14828" spans="26:26" x14ac:dyDescent="0.25">
      <c r="Z14828"/>
    </row>
    <row r="14829" spans="26:26" x14ac:dyDescent="0.25">
      <c r="Z14829"/>
    </row>
    <row r="14830" spans="26:26" x14ac:dyDescent="0.25">
      <c r="Z14830"/>
    </row>
    <row r="14831" spans="26:26" x14ac:dyDescent="0.25">
      <c r="Z14831"/>
    </row>
    <row r="14832" spans="26:26" x14ac:dyDescent="0.25">
      <c r="Z14832"/>
    </row>
    <row r="14833" spans="26:26" x14ac:dyDescent="0.25">
      <c r="Z14833"/>
    </row>
    <row r="14834" spans="26:26" x14ac:dyDescent="0.25">
      <c r="Z14834"/>
    </row>
    <row r="14835" spans="26:26" x14ac:dyDescent="0.25">
      <c r="Z14835"/>
    </row>
    <row r="14836" spans="26:26" x14ac:dyDescent="0.25">
      <c r="Z14836"/>
    </row>
    <row r="14837" spans="26:26" x14ac:dyDescent="0.25">
      <c r="Z14837"/>
    </row>
    <row r="14838" spans="26:26" x14ac:dyDescent="0.25">
      <c r="Z14838"/>
    </row>
    <row r="14839" spans="26:26" x14ac:dyDescent="0.25">
      <c r="Z14839"/>
    </row>
    <row r="14840" spans="26:26" x14ac:dyDescent="0.25">
      <c r="Z14840"/>
    </row>
    <row r="14841" spans="26:26" x14ac:dyDescent="0.25">
      <c r="Z14841"/>
    </row>
    <row r="14842" spans="26:26" x14ac:dyDescent="0.25">
      <c r="Z14842"/>
    </row>
    <row r="14843" spans="26:26" x14ac:dyDescent="0.25">
      <c r="Z14843"/>
    </row>
    <row r="14844" spans="26:26" x14ac:dyDescent="0.25">
      <c r="Z14844"/>
    </row>
    <row r="14845" spans="26:26" x14ac:dyDescent="0.25">
      <c r="Z14845"/>
    </row>
    <row r="14846" spans="26:26" x14ac:dyDescent="0.25">
      <c r="Z14846"/>
    </row>
    <row r="14847" spans="26:26" x14ac:dyDescent="0.25">
      <c r="Z14847"/>
    </row>
    <row r="14848" spans="26:26" x14ac:dyDescent="0.25">
      <c r="Z14848"/>
    </row>
    <row r="14849" spans="26:26" x14ac:dyDescent="0.25">
      <c r="Z14849"/>
    </row>
    <row r="14850" spans="26:26" x14ac:dyDescent="0.25">
      <c r="Z14850"/>
    </row>
    <row r="14851" spans="26:26" x14ac:dyDescent="0.25">
      <c r="Z14851"/>
    </row>
    <row r="14852" spans="26:26" x14ac:dyDescent="0.25">
      <c r="Z14852"/>
    </row>
    <row r="14853" spans="26:26" x14ac:dyDescent="0.25">
      <c r="Z14853"/>
    </row>
    <row r="14854" spans="26:26" x14ac:dyDescent="0.25">
      <c r="Z14854"/>
    </row>
    <row r="14855" spans="26:26" x14ac:dyDescent="0.25">
      <c r="Z14855"/>
    </row>
    <row r="14856" spans="26:26" x14ac:dyDescent="0.25">
      <c r="Z14856"/>
    </row>
    <row r="14857" spans="26:26" x14ac:dyDescent="0.25">
      <c r="Z14857"/>
    </row>
    <row r="14858" spans="26:26" x14ac:dyDescent="0.25">
      <c r="Z14858"/>
    </row>
    <row r="14859" spans="26:26" x14ac:dyDescent="0.25">
      <c r="Z14859"/>
    </row>
    <row r="14860" spans="26:26" x14ac:dyDescent="0.25">
      <c r="Z14860"/>
    </row>
    <row r="14861" spans="26:26" x14ac:dyDescent="0.25">
      <c r="Z14861"/>
    </row>
    <row r="14862" spans="26:26" x14ac:dyDescent="0.25">
      <c r="Z14862"/>
    </row>
    <row r="14863" spans="26:26" x14ac:dyDescent="0.25">
      <c r="Z14863"/>
    </row>
    <row r="14864" spans="26:26" x14ac:dyDescent="0.25">
      <c r="Z14864"/>
    </row>
    <row r="14865" spans="26:26" x14ac:dyDescent="0.25">
      <c r="Z14865"/>
    </row>
    <row r="14866" spans="26:26" x14ac:dyDescent="0.25">
      <c r="Z14866"/>
    </row>
    <row r="14867" spans="26:26" x14ac:dyDescent="0.25">
      <c r="Z14867"/>
    </row>
    <row r="14868" spans="26:26" x14ac:dyDescent="0.25">
      <c r="Z14868"/>
    </row>
    <row r="14869" spans="26:26" x14ac:dyDescent="0.25">
      <c r="Z14869"/>
    </row>
    <row r="14870" spans="26:26" x14ac:dyDescent="0.25">
      <c r="Z14870"/>
    </row>
    <row r="14871" spans="26:26" x14ac:dyDescent="0.25">
      <c r="Z14871"/>
    </row>
    <row r="14872" spans="26:26" x14ac:dyDescent="0.25">
      <c r="Z14872"/>
    </row>
    <row r="14873" spans="26:26" x14ac:dyDescent="0.25">
      <c r="Z14873"/>
    </row>
    <row r="14874" spans="26:26" x14ac:dyDescent="0.25">
      <c r="Z14874"/>
    </row>
    <row r="14875" spans="26:26" x14ac:dyDescent="0.25">
      <c r="Z14875"/>
    </row>
    <row r="14876" spans="26:26" x14ac:dyDescent="0.25">
      <c r="Z14876"/>
    </row>
    <row r="14877" spans="26:26" x14ac:dyDescent="0.25">
      <c r="Z14877"/>
    </row>
    <row r="14878" spans="26:26" x14ac:dyDescent="0.25">
      <c r="Z14878"/>
    </row>
    <row r="14879" spans="26:26" x14ac:dyDescent="0.25">
      <c r="Z14879"/>
    </row>
    <row r="14880" spans="26:26" x14ac:dyDescent="0.25">
      <c r="Z14880"/>
    </row>
    <row r="14881" spans="26:26" x14ac:dyDescent="0.25">
      <c r="Z14881"/>
    </row>
    <row r="14882" spans="26:26" x14ac:dyDescent="0.25">
      <c r="Z14882"/>
    </row>
    <row r="14883" spans="26:26" x14ac:dyDescent="0.25">
      <c r="Z14883"/>
    </row>
    <row r="14884" spans="26:26" x14ac:dyDescent="0.25">
      <c r="Z14884"/>
    </row>
    <row r="14885" spans="26:26" x14ac:dyDescent="0.25">
      <c r="Z14885"/>
    </row>
    <row r="14886" spans="26:26" x14ac:dyDescent="0.25">
      <c r="Z14886"/>
    </row>
    <row r="14887" spans="26:26" x14ac:dyDescent="0.25">
      <c r="Z14887"/>
    </row>
    <row r="14888" spans="26:26" x14ac:dyDescent="0.25">
      <c r="Z14888"/>
    </row>
    <row r="14889" spans="26:26" x14ac:dyDescent="0.25">
      <c r="Z14889"/>
    </row>
    <row r="14890" spans="26:26" x14ac:dyDescent="0.25">
      <c r="Z14890"/>
    </row>
    <row r="14891" spans="26:26" x14ac:dyDescent="0.25">
      <c r="Z14891"/>
    </row>
    <row r="14892" spans="26:26" x14ac:dyDescent="0.25">
      <c r="Z14892"/>
    </row>
    <row r="14893" spans="26:26" x14ac:dyDescent="0.25">
      <c r="Z14893"/>
    </row>
    <row r="14894" spans="26:26" x14ac:dyDescent="0.25">
      <c r="Z14894"/>
    </row>
    <row r="14895" spans="26:26" x14ac:dyDescent="0.25">
      <c r="Z14895"/>
    </row>
    <row r="14896" spans="26:26" x14ac:dyDescent="0.25">
      <c r="Z14896"/>
    </row>
    <row r="14897" spans="26:26" x14ac:dyDescent="0.25">
      <c r="Z14897"/>
    </row>
    <row r="14898" spans="26:26" x14ac:dyDescent="0.25">
      <c r="Z14898"/>
    </row>
    <row r="14899" spans="26:26" x14ac:dyDescent="0.25">
      <c r="Z14899"/>
    </row>
    <row r="14900" spans="26:26" x14ac:dyDescent="0.25">
      <c r="Z14900"/>
    </row>
    <row r="14901" spans="26:26" x14ac:dyDescent="0.25">
      <c r="Z14901"/>
    </row>
    <row r="14902" spans="26:26" x14ac:dyDescent="0.25">
      <c r="Z14902"/>
    </row>
    <row r="14903" spans="26:26" x14ac:dyDescent="0.25">
      <c r="Z14903"/>
    </row>
    <row r="14904" spans="26:26" x14ac:dyDescent="0.25">
      <c r="Z14904"/>
    </row>
    <row r="14905" spans="26:26" x14ac:dyDescent="0.25">
      <c r="Z14905"/>
    </row>
    <row r="14906" spans="26:26" x14ac:dyDescent="0.25">
      <c r="Z14906"/>
    </row>
    <row r="14907" spans="26:26" x14ac:dyDescent="0.25">
      <c r="Z14907"/>
    </row>
    <row r="14908" spans="26:26" x14ac:dyDescent="0.25">
      <c r="Z14908"/>
    </row>
    <row r="14909" spans="26:26" x14ac:dyDescent="0.25">
      <c r="Z14909"/>
    </row>
    <row r="14910" spans="26:26" x14ac:dyDescent="0.25">
      <c r="Z14910"/>
    </row>
    <row r="14911" spans="26:26" x14ac:dyDescent="0.25">
      <c r="Z14911"/>
    </row>
    <row r="14912" spans="26:26" x14ac:dyDescent="0.25">
      <c r="Z14912"/>
    </row>
    <row r="14913" spans="26:26" x14ac:dyDescent="0.25">
      <c r="Z14913"/>
    </row>
    <row r="14914" spans="26:26" x14ac:dyDescent="0.25">
      <c r="Z14914"/>
    </row>
    <row r="14915" spans="26:26" x14ac:dyDescent="0.25">
      <c r="Z14915"/>
    </row>
    <row r="14916" spans="26:26" x14ac:dyDescent="0.25">
      <c r="Z14916"/>
    </row>
    <row r="14917" spans="26:26" x14ac:dyDescent="0.25">
      <c r="Z14917"/>
    </row>
    <row r="14918" spans="26:26" x14ac:dyDescent="0.25">
      <c r="Z14918"/>
    </row>
    <row r="14919" spans="26:26" x14ac:dyDescent="0.25">
      <c r="Z14919"/>
    </row>
    <row r="14920" spans="26:26" x14ac:dyDescent="0.25">
      <c r="Z14920"/>
    </row>
    <row r="14921" spans="26:26" x14ac:dyDescent="0.25">
      <c r="Z14921"/>
    </row>
    <row r="14922" spans="26:26" x14ac:dyDescent="0.25">
      <c r="Z14922"/>
    </row>
    <row r="14923" spans="26:26" x14ac:dyDescent="0.25">
      <c r="Z14923"/>
    </row>
    <row r="14924" spans="26:26" x14ac:dyDescent="0.25">
      <c r="Z14924"/>
    </row>
    <row r="14925" spans="26:26" x14ac:dyDescent="0.25">
      <c r="Z14925"/>
    </row>
    <row r="14926" spans="26:26" x14ac:dyDescent="0.25">
      <c r="Z14926"/>
    </row>
    <row r="14927" spans="26:26" x14ac:dyDescent="0.25">
      <c r="Z14927"/>
    </row>
    <row r="14928" spans="26:26" x14ac:dyDescent="0.25">
      <c r="Z14928"/>
    </row>
    <row r="14929" spans="26:26" x14ac:dyDescent="0.25">
      <c r="Z14929"/>
    </row>
    <row r="14930" spans="26:26" x14ac:dyDescent="0.25">
      <c r="Z14930"/>
    </row>
    <row r="14931" spans="26:26" x14ac:dyDescent="0.25">
      <c r="Z14931"/>
    </row>
    <row r="14932" spans="26:26" x14ac:dyDescent="0.25">
      <c r="Z14932"/>
    </row>
    <row r="14933" spans="26:26" x14ac:dyDescent="0.25">
      <c r="Z14933"/>
    </row>
    <row r="14934" spans="26:26" x14ac:dyDescent="0.25">
      <c r="Z14934"/>
    </row>
    <row r="14935" spans="26:26" x14ac:dyDescent="0.25">
      <c r="Z14935"/>
    </row>
    <row r="14936" spans="26:26" x14ac:dyDescent="0.25">
      <c r="Z14936"/>
    </row>
    <row r="14937" spans="26:26" x14ac:dyDescent="0.25">
      <c r="Z14937"/>
    </row>
    <row r="14938" spans="26:26" x14ac:dyDescent="0.25">
      <c r="Z14938"/>
    </row>
    <row r="14939" spans="26:26" x14ac:dyDescent="0.25">
      <c r="Z14939"/>
    </row>
    <row r="14940" spans="26:26" x14ac:dyDescent="0.25">
      <c r="Z14940"/>
    </row>
    <row r="14941" spans="26:26" x14ac:dyDescent="0.25">
      <c r="Z14941"/>
    </row>
    <row r="14942" spans="26:26" x14ac:dyDescent="0.25">
      <c r="Z14942"/>
    </row>
    <row r="14943" spans="26:26" x14ac:dyDescent="0.25">
      <c r="Z14943"/>
    </row>
    <row r="14944" spans="26:26" x14ac:dyDescent="0.25">
      <c r="Z14944"/>
    </row>
    <row r="14945" spans="26:26" x14ac:dyDescent="0.25">
      <c r="Z14945"/>
    </row>
    <row r="14946" spans="26:26" x14ac:dyDescent="0.25">
      <c r="Z14946"/>
    </row>
    <row r="14947" spans="26:26" x14ac:dyDescent="0.25">
      <c r="Z14947"/>
    </row>
    <row r="14948" spans="26:26" x14ac:dyDescent="0.25">
      <c r="Z14948"/>
    </row>
    <row r="14949" spans="26:26" x14ac:dyDescent="0.25">
      <c r="Z14949"/>
    </row>
    <row r="14950" spans="26:26" x14ac:dyDescent="0.25">
      <c r="Z14950"/>
    </row>
    <row r="14951" spans="26:26" x14ac:dyDescent="0.25">
      <c r="Z14951"/>
    </row>
    <row r="14952" spans="26:26" x14ac:dyDescent="0.25">
      <c r="Z14952"/>
    </row>
    <row r="14953" spans="26:26" x14ac:dyDescent="0.25">
      <c r="Z14953"/>
    </row>
    <row r="14954" spans="26:26" x14ac:dyDescent="0.25">
      <c r="Z14954"/>
    </row>
    <row r="14955" spans="26:26" x14ac:dyDescent="0.25">
      <c r="Z14955"/>
    </row>
    <row r="14956" spans="26:26" x14ac:dyDescent="0.25">
      <c r="Z14956"/>
    </row>
    <row r="14957" spans="26:26" x14ac:dyDescent="0.25">
      <c r="Z14957"/>
    </row>
    <row r="14958" spans="26:26" x14ac:dyDescent="0.25">
      <c r="Z14958"/>
    </row>
    <row r="14959" spans="26:26" x14ac:dyDescent="0.25">
      <c r="Z14959"/>
    </row>
    <row r="14960" spans="26:26" x14ac:dyDescent="0.25">
      <c r="Z14960"/>
    </row>
    <row r="14961" spans="26:26" x14ac:dyDescent="0.25">
      <c r="Z14961"/>
    </row>
    <row r="14962" spans="26:26" x14ac:dyDescent="0.25">
      <c r="Z14962"/>
    </row>
    <row r="14963" spans="26:26" x14ac:dyDescent="0.25">
      <c r="Z14963"/>
    </row>
    <row r="14964" spans="26:26" x14ac:dyDescent="0.25">
      <c r="Z14964"/>
    </row>
    <row r="14965" spans="26:26" x14ac:dyDescent="0.25">
      <c r="Z14965"/>
    </row>
    <row r="14966" spans="26:26" x14ac:dyDescent="0.25">
      <c r="Z14966"/>
    </row>
    <row r="14967" spans="26:26" x14ac:dyDescent="0.25">
      <c r="Z14967"/>
    </row>
    <row r="14968" spans="26:26" x14ac:dyDescent="0.25">
      <c r="Z14968"/>
    </row>
    <row r="14969" spans="26:26" x14ac:dyDescent="0.25">
      <c r="Z14969"/>
    </row>
    <row r="14970" spans="26:26" x14ac:dyDescent="0.25">
      <c r="Z14970"/>
    </row>
    <row r="14971" spans="26:26" x14ac:dyDescent="0.25">
      <c r="Z14971"/>
    </row>
    <row r="14972" spans="26:26" x14ac:dyDescent="0.25">
      <c r="Z14972"/>
    </row>
    <row r="14973" spans="26:26" x14ac:dyDescent="0.25">
      <c r="Z14973"/>
    </row>
    <row r="14974" spans="26:26" x14ac:dyDescent="0.25">
      <c r="Z14974"/>
    </row>
    <row r="14975" spans="26:26" x14ac:dyDescent="0.25">
      <c r="Z14975"/>
    </row>
    <row r="14976" spans="26:26" x14ac:dyDescent="0.25">
      <c r="Z14976"/>
    </row>
    <row r="14977" spans="26:26" x14ac:dyDescent="0.25">
      <c r="Z14977"/>
    </row>
    <row r="14978" spans="26:26" x14ac:dyDescent="0.25">
      <c r="Z14978"/>
    </row>
    <row r="14979" spans="26:26" x14ac:dyDescent="0.25">
      <c r="Z14979"/>
    </row>
    <row r="14980" spans="26:26" x14ac:dyDescent="0.25">
      <c r="Z14980"/>
    </row>
    <row r="14981" spans="26:26" x14ac:dyDescent="0.25">
      <c r="Z14981"/>
    </row>
    <row r="14982" spans="26:26" x14ac:dyDescent="0.25">
      <c r="Z14982"/>
    </row>
    <row r="14983" spans="26:26" x14ac:dyDescent="0.25">
      <c r="Z14983"/>
    </row>
    <row r="14984" spans="26:26" x14ac:dyDescent="0.25">
      <c r="Z14984"/>
    </row>
    <row r="14985" spans="26:26" x14ac:dyDescent="0.25">
      <c r="Z14985"/>
    </row>
    <row r="14986" spans="26:26" x14ac:dyDescent="0.25">
      <c r="Z14986"/>
    </row>
    <row r="14987" spans="26:26" x14ac:dyDescent="0.25">
      <c r="Z14987"/>
    </row>
    <row r="14988" spans="26:26" x14ac:dyDescent="0.25">
      <c r="Z14988"/>
    </row>
    <row r="14989" spans="26:26" x14ac:dyDescent="0.25">
      <c r="Z14989"/>
    </row>
    <row r="14990" spans="26:26" x14ac:dyDescent="0.25">
      <c r="Z14990"/>
    </row>
    <row r="14991" spans="26:26" x14ac:dyDescent="0.25">
      <c r="Z14991"/>
    </row>
    <row r="14992" spans="26:26" x14ac:dyDescent="0.25">
      <c r="Z14992"/>
    </row>
    <row r="14993" spans="26:26" x14ac:dyDescent="0.25">
      <c r="Z14993"/>
    </row>
    <row r="14994" spans="26:26" x14ac:dyDescent="0.25">
      <c r="Z14994"/>
    </row>
    <row r="14995" spans="26:26" x14ac:dyDescent="0.25">
      <c r="Z14995"/>
    </row>
    <row r="14996" spans="26:26" x14ac:dyDescent="0.25">
      <c r="Z14996"/>
    </row>
    <row r="14997" spans="26:26" x14ac:dyDescent="0.25">
      <c r="Z14997"/>
    </row>
    <row r="14998" spans="26:26" x14ac:dyDescent="0.25">
      <c r="Z14998"/>
    </row>
    <row r="14999" spans="26:26" x14ac:dyDescent="0.25">
      <c r="Z14999"/>
    </row>
    <row r="15000" spans="26:26" x14ac:dyDescent="0.25">
      <c r="Z15000"/>
    </row>
    <row r="15001" spans="26:26" x14ac:dyDescent="0.25">
      <c r="Z15001"/>
    </row>
    <row r="15002" spans="26:26" x14ac:dyDescent="0.25">
      <c r="Z15002"/>
    </row>
    <row r="15003" spans="26:26" x14ac:dyDescent="0.25">
      <c r="Z15003"/>
    </row>
    <row r="15004" spans="26:26" x14ac:dyDescent="0.25">
      <c r="Z15004"/>
    </row>
    <row r="15005" spans="26:26" x14ac:dyDescent="0.25">
      <c r="Z15005"/>
    </row>
    <row r="15006" spans="26:26" x14ac:dyDescent="0.25">
      <c r="Z15006"/>
    </row>
    <row r="15007" spans="26:26" x14ac:dyDescent="0.25">
      <c r="Z15007"/>
    </row>
    <row r="15008" spans="26:26" x14ac:dyDescent="0.25">
      <c r="Z15008"/>
    </row>
    <row r="15009" spans="26:26" x14ac:dyDescent="0.25">
      <c r="Z15009"/>
    </row>
    <row r="15010" spans="26:26" x14ac:dyDescent="0.25">
      <c r="Z15010"/>
    </row>
    <row r="15011" spans="26:26" x14ac:dyDescent="0.25">
      <c r="Z15011"/>
    </row>
    <row r="15012" spans="26:26" x14ac:dyDescent="0.25">
      <c r="Z15012"/>
    </row>
    <row r="15013" spans="26:26" x14ac:dyDescent="0.25">
      <c r="Z15013"/>
    </row>
    <row r="15014" spans="26:26" x14ac:dyDescent="0.25">
      <c r="Z15014"/>
    </row>
    <row r="15015" spans="26:26" x14ac:dyDescent="0.25">
      <c r="Z15015"/>
    </row>
    <row r="15016" spans="26:26" x14ac:dyDescent="0.25">
      <c r="Z15016"/>
    </row>
    <row r="15017" spans="26:26" x14ac:dyDescent="0.25">
      <c r="Z15017"/>
    </row>
    <row r="15018" spans="26:26" x14ac:dyDescent="0.25">
      <c r="Z15018"/>
    </row>
    <row r="15019" spans="26:26" x14ac:dyDescent="0.25">
      <c r="Z15019"/>
    </row>
    <row r="15020" spans="26:26" x14ac:dyDescent="0.25">
      <c r="Z15020"/>
    </row>
    <row r="15021" spans="26:26" x14ac:dyDescent="0.25">
      <c r="Z15021"/>
    </row>
    <row r="15022" spans="26:26" x14ac:dyDescent="0.25">
      <c r="Z15022"/>
    </row>
    <row r="15023" spans="26:26" x14ac:dyDescent="0.25">
      <c r="Z15023"/>
    </row>
    <row r="15024" spans="26:26" x14ac:dyDescent="0.25">
      <c r="Z15024"/>
    </row>
    <row r="15025" spans="26:26" x14ac:dyDescent="0.25">
      <c r="Z15025"/>
    </row>
    <row r="15026" spans="26:26" x14ac:dyDescent="0.25">
      <c r="Z15026"/>
    </row>
    <row r="15027" spans="26:26" x14ac:dyDescent="0.25">
      <c r="Z15027"/>
    </row>
    <row r="15028" spans="26:26" x14ac:dyDescent="0.25">
      <c r="Z15028"/>
    </row>
    <row r="15029" spans="26:26" x14ac:dyDescent="0.25">
      <c r="Z15029"/>
    </row>
    <row r="15030" spans="26:26" x14ac:dyDescent="0.25">
      <c r="Z15030"/>
    </row>
    <row r="15031" spans="26:26" x14ac:dyDescent="0.25">
      <c r="Z15031"/>
    </row>
    <row r="15032" spans="26:26" x14ac:dyDescent="0.25">
      <c r="Z15032"/>
    </row>
    <row r="15033" spans="26:26" x14ac:dyDescent="0.25">
      <c r="Z15033"/>
    </row>
    <row r="15034" spans="26:26" x14ac:dyDescent="0.25">
      <c r="Z15034"/>
    </row>
    <row r="15035" spans="26:26" x14ac:dyDescent="0.25">
      <c r="Z15035"/>
    </row>
    <row r="15036" spans="26:26" x14ac:dyDescent="0.25">
      <c r="Z15036"/>
    </row>
    <row r="15037" spans="26:26" x14ac:dyDescent="0.25">
      <c r="Z15037"/>
    </row>
    <row r="15038" spans="26:26" x14ac:dyDescent="0.25">
      <c r="Z15038"/>
    </row>
    <row r="15039" spans="26:26" x14ac:dyDescent="0.25">
      <c r="Z15039"/>
    </row>
    <row r="15040" spans="26:26" x14ac:dyDescent="0.25">
      <c r="Z15040"/>
    </row>
    <row r="15041" spans="26:26" x14ac:dyDescent="0.25">
      <c r="Z15041"/>
    </row>
    <row r="15042" spans="26:26" x14ac:dyDescent="0.25">
      <c r="Z15042"/>
    </row>
    <row r="15043" spans="26:26" x14ac:dyDescent="0.25">
      <c r="Z15043"/>
    </row>
    <row r="15044" spans="26:26" x14ac:dyDescent="0.25">
      <c r="Z15044"/>
    </row>
    <row r="15045" spans="26:26" x14ac:dyDescent="0.25">
      <c r="Z15045"/>
    </row>
    <row r="15046" spans="26:26" x14ac:dyDescent="0.25">
      <c r="Z15046"/>
    </row>
    <row r="15047" spans="26:26" x14ac:dyDescent="0.25">
      <c r="Z15047"/>
    </row>
    <row r="15048" spans="26:26" x14ac:dyDescent="0.25">
      <c r="Z15048"/>
    </row>
    <row r="15049" spans="26:26" x14ac:dyDescent="0.25">
      <c r="Z15049"/>
    </row>
    <row r="15050" spans="26:26" x14ac:dyDescent="0.25">
      <c r="Z15050"/>
    </row>
    <row r="15051" spans="26:26" x14ac:dyDescent="0.25">
      <c r="Z15051"/>
    </row>
    <row r="15052" spans="26:26" x14ac:dyDescent="0.25">
      <c r="Z15052"/>
    </row>
    <row r="15053" spans="26:26" x14ac:dyDescent="0.25">
      <c r="Z15053"/>
    </row>
    <row r="15054" spans="26:26" x14ac:dyDescent="0.25">
      <c r="Z15054"/>
    </row>
    <row r="15055" spans="26:26" x14ac:dyDescent="0.25">
      <c r="Z15055"/>
    </row>
    <row r="15056" spans="26:26" x14ac:dyDescent="0.25">
      <c r="Z15056"/>
    </row>
    <row r="15057" spans="26:26" x14ac:dyDescent="0.25">
      <c r="Z15057"/>
    </row>
    <row r="15058" spans="26:26" x14ac:dyDescent="0.25">
      <c r="Z15058"/>
    </row>
    <row r="15059" spans="26:26" x14ac:dyDescent="0.25">
      <c r="Z15059"/>
    </row>
    <row r="15060" spans="26:26" x14ac:dyDescent="0.25">
      <c r="Z15060"/>
    </row>
    <row r="15061" spans="26:26" x14ac:dyDescent="0.25">
      <c r="Z15061"/>
    </row>
    <row r="15062" spans="26:26" x14ac:dyDescent="0.25">
      <c r="Z15062"/>
    </row>
    <row r="15063" spans="26:26" x14ac:dyDescent="0.25">
      <c r="Z15063"/>
    </row>
    <row r="15064" spans="26:26" x14ac:dyDescent="0.25">
      <c r="Z15064"/>
    </row>
    <row r="15065" spans="26:26" x14ac:dyDescent="0.25">
      <c r="Z15065"/>
    </row>
    <row r="15066" spans="26:26" x14ac:dyDescent="0.25">
      <c r="Z15066"/>
    </row>
    <row r="15067" spans="26:26" x14ac:dyDescent="0.25">
      <c r="Z15067"/>
    </row>
    <row r="15068" spans="26:26" x14ac:dyDescent="0.25">
      <c r="Z15068"/>
    </row>
    <row r="15069" spans="26:26" x14ac:dyDescent="0.25">
      <c r="Z15069"/>
    </row>
    <row r="15070" spans="26:26" x14ac:dyDescent="0.25">
      <c r="Z15070"/>
    </row>
    <row r="15071" spans="26:26" x14ac:dyDescent="0.25">
      <c r="Z15071"/>
    </row>
    <row r="15072" spans="26:26" x14ac:dyDescent="0.25">
      <c r="Z15072"/>
    </row>
    <row r="15073" spans="26:26" x14ac:dyDescent="0.25">
      <c r="Z15073"/>
    </row>
    <row r="15074" spans="26:26" x14ac:dyDescent="0.25">
      <c r="Z15074"/>
    </row>
    <row r="15075" spans="26:26" x14ac:dyDescent="0.25">
      <c r="Z15075"/>
    </row>
    <row r="15076" spans="26:26" x14ac:dyDescent="0.25">
      <c r="Z15076"/>
    </row>
    <row r="15077" spans="26:26" x14ac:dyDescent="0.25">
      <c r="Z15077"/>
    </row>
    <row r="15078" spans="26:26" x14ac:dyDescent="0.25">
      <c r="Z15078"/>
    </row>
    <row r="15079" spans="26:26" x14ac:dyDescent="0.25">
      <c r="Z15079"/>
    </row>
    <row r="15080" spans="26:26" x14ac:dyDescent="0.25">
      <c r="Z15080"/>
    </row>
    <row r="15081" spans="26:26" x14ac:dyDescent="0.25">
      <c r="Z15081"/>
    </row>
    <row r="15082" spans="26:26" x14ac:dyDescent="0.25">
      <c r="Z15082"/>
    </row>
    <row r="15083" spans="26:26" x14ac:dyDescent="0.25">
      <c r="Z15083"/>
    </row>
    <row r="15084" spans="26:26" x14ac:dyDescent="0.25">
      <c r="Z15084"/>
    </row>
    <row r="15085" spans="26:26" x14ac:dyDescent="0.25">
      <c r="Z15085"/>
    </row>
    <row r="15086" spans="26:26" x14ac:dyDescent="0.25">
      <c r="Z15086"/>
    </row>
    <row r="15087" spans="26:26" x14ac:dyDescent="0.25">
      <c r="Z15087"/>
    </row>
    <row r="15088" spans="26:26" x14ac:dyDescent="0.25">
      <c r="Z15088"/>
    </row>
    <row r="15089" spans="26:26" x14ac:dyDescent="0.25">
      <c r="Z15089"/>
    </row>
    <row r="15090" spans="26:26" x14ac:dyDescent="0.25">
      <c r="Z15090"/>
    </row>
    <row r="15091" spans="26:26" x14ac:dyDescent="0.25">
      <c r="Z15091"/>
    </row>
    <row r="15092" spans="26:26" x14ac:dyDescent="0.25">
      <c r="Z15092"/>
    </row>
    <row r="15093" spans="26:26" x14ac:dyDescent="0.25">
      <c r="Z15093"/>
    </row>
    <row r="15094" spans="26:26" x14ac:dyDescent="0.25">
      <c r="Z15094"/>
    </row>
    <row r="15095" spans="26:26" x14ac:dyDescent="0.25">
      <c r="Z15095"/>
    </row>
    <row r="15096" spans="26:26" x14ac:dyDescent="0.25">
      <c r="Z15096"/>
    </row>
    <row r="15097" spans="26:26" x14ac:dyDescent="0.25">
      <c r="Z15097"/>
    </row>
    <row r="15098" spans="26:26" x14ac:dyDescent="0.25">
      <c r="Z15098"/>
    </row>
    <row r="15099" spans="26:26" x14ac:dyDescent="0.25">
      <c r="Z15099"/>
    </row>
    <row r="15100" spans="26:26" x14ac:dyDescent="0.25">
      <c r="Z15100"/>
    </row>
    <row r="15101" spans="26:26" x14ac:dyDescent="0.25">
      <c r="Z15101"/>
    </row>
    <row r="15102" spans="26:26" x14ac:dyDescent="0.25">
      <c r="Z15102"/>
    </row>
    <row r="15103" spans="26:26" x14ac:dyDescent="0.25">
      <c r="Z15103"/>
    </row>
    <row r="15104" spans="26:26" x14ac:dyDescent="0.25">
      <c r="Z15104"/>
    </row>
    <row r="15105" spans="26:26" x14ac:dyDescent="0.25">
      <c r="Z15105"/>
    </row>
    <row r="15106" spans="26:26" x14ac:dyDescent="0.25">
      <c r="Z15106"/>
    </row>
    <row r="15107" spans="26:26" x14ac:dyDescent="0.25">
      <c r="Z15107"/>
    </row>
    <row r="15108" spans="26:26" x14ac:dyDescent="0.25">
      <c r="Z15108"/>
    </row>
    <row r="15109" spans="26:26" x14ac:dyDescent="0.25">
      <c r="Z15109"/>
    </row>
    <row r="15110" spans="26:26" x14ac:dyDescent="0.25">
      <c r="Z15110"/>
    </row>
    <row r="15111" spans="26:26" x14ac:dyDescent="0.25">
      <c r="Z15111"/>
    </row>
    <row r="15112" spans="26:26" x14ac:dyDescent="0.25">
      <c r="Z15112"/>
    </row>
    <row r="15113" spans="26:26" x14ac:dyDescent="0.25">
      <c r="Z15113"/>
    </row>
    <row r="15114" spans="26:26" x14ac:dyDescent="0.25">
      <c r="Z15114"/>
    </row>
    <row r="15115" spans="26:26" x14ac:dyDescent="0.25">
      <c r="Z15115"/>
    </row>
    <row r="15116" spans="26:26" x14ac:dyDescent="0.25">
      <c r="Z15116"/>
    </row>
    <row r="15117" spans="26:26" x14ac:dyDescent="0.25">
      <c r="Z15117"/>
    </row>
    <row r="15118" spans="26:26" x14ac:dyDescent="0.25">
      <c r="Z15118"/>
    </row>
    <row r="15119" spans="26:26" x14ac:dyDescent="0.25">
      <c r="Z15119"/>
    </row>
    <row r="15120" spans="26:26" x14ac:dyDescent="0.25">
      <c r="Z15120"/>
    </row>
    <row r="15121" spans="26:26" x14ac:dyDescent="0.25">
      <c r="Z15121"/>
    </row>
    <row r="15122" spans="26:26" x14ac:dyDescent="0.25">
      <c r="Z15122"/>
    </row>
    <row r="15123" spans="26:26" x14ac:dyDescent="0.25">
      <c r="Z15123"/>
    </row>
    <row r="15124" spans="26:26" x14ac:dyDescent="0.25">
      <c r="Z15124"/>
    </row>
    <row r="15125" spans="26:26" x14ac:dyDescent="0.25">
      <c r="Z15125"/>
    </row>
    <row r="15126" spans="26:26" x14ac:dyDescent="0.25">
      <c r="Z15126"/>
    </row>
    <row r="15127" spans="26:26" x14ac:dyDescent="0.25">
      <c r="Z15127"/>
    </row>
    <row r="15128" spans="26:26" x14ac:dyDescent="0.25">
      <c r="Z15128"/>
    </row>
    <row r="15129" spans="26:26" x14ac:dyDescent="0.25">
      <c r="Z15129"/>
    </row>
    <row r="15130" spans="26:26" x14ac:dyDescent="0.25">
      <c r="Z15130"/>
    </row>
    <row r="15131" spans="26:26" x14ac:dyDescent="0.25">
      <c r="Z15131"/>
    </row>
    <row r="15132" spans="26:26" x14ac:dyDescent="0.25">
      <c r="Z15132"/>
    </row>
    <row r="15133" spans="26:26" x14ac:dyDescent="0.25">
      <c r="Z15133"/>
    </row>
    <row r="15134" spans="26:26" x14ac:dyDescent="0.25">
      <c r="Z15134"/>
    </row>
    <row r="15135" spans="26:26" x14ac:dyDescent="0.25">
      <c r="Z15135"/>
    </row>
    <row r="15136" spans="26:26" x14ac:dyDescent="0.25">
      <c r="Z15136"/>
    </row>
    <row r="15137" spans="26:26" x14ac:dyDescent="0.25">
      <c r="Z15137"/>
    </row>
    <row r="15138" spans="26:26" x14ac:dyDescent="0.25">
      <c r="Z15138"/>
    </row>
    <row r="15139" spans="26:26" x14ac:dyDescent="0.25">
      <c r="Z15139"/>
    </row>
    <row r="15140" spans="26:26" x14ac:dyDescent="0.25">
      <c r="Z15140"/>
    </row>
    <row r="15141" spans="26:26" x14ac:dyDescent="0.25">
      <c r="Z15141"/>
    </row>
    <row r="15142" spans="26:26" x14ac:dyDescent="0.25">
      <c r="Z15142"/>
    </row>
    <row r="15143" spans="26:26" x14ac:dyDescent="0.25">
      <c r="Z15143"/>
    </row>
    <row r="15144" spans="26:26" x14ac:dyDescent="0.25">
      <c r="Z15144"/>
    </row>
    <row r="15145" spans="26:26" x14ac:dyDescent="0.25">
      <c r="Z15145"/>
    </row>
    <row r="15146" spans="26:26" x14ac:dyDescent="0.25">
      <c r="Z15146"/>
    </row>
    <row r="15147" spans="26:26" x14ac:dyDescent="0.25">
      <c r="Z15147"/>
    </row>
    <row r="15148" spans="26:26" x14ac:dyDescent="0.25">
      <c r="Z15148"/>
    </row>
    <row r="15149" spans="26:26" x14ac:dyDescent="0.25">
      <c r="Z15149"/>
    </row>
    <row r="15150" spans="26:26" x14ac:dyDescent="0.25">
      <c r="Z15150"/>
    </row>
    <row r="15151" spans="26:26" x14ac:dyDescent="0.25">
      <c r="Z15151"/>
    </row>
    <row r="15152" spans="26:26" x14ac:dyDescent="0.25">
      <c r="Z15152"/>
    </row>
    <row r="15153" spans="26:26" x14ac:dyDescent="0.25">
      <c r="Z15153"/>
    </row>
    <row r="15154" spans="26:26" x14ac:dyDescent="0.25">
      <c r="Z15154"/>
    </row>
    <row r="15155" spans="26:26" x14ac:dyDescent="0.25">
      <c r="Z15155"/>
    </row>
    <row r="15156" spans="26:26" x14ac:dyDescent="0.25">
      <c r="Z15156"/>
    </row>
    <row r="15157" spans="26:26" x14ac:dyDescent="0.25">
      <c r="Z15157"/>
    </row>
    <row r="15158" spans="26:26" x14ac:dyDescent="0.25">
      <c r="Z15158"/>
    </row>
    <row r="15159" spans="26:26" x14ac:dyDescent="0.25">
      <c r="Z15159"/>
    </row>
    <row r="15160" spans="26:26" x14ac:dyDescent="0.25">
      <c r="Z15160"/>
    </row>
    <row r="15161" spans="26:26" x14ac:dyDescent="0.25">
      <c r="Z15161"/>
    </row>
    <row r="15162" spans="26:26" x14ac:dyDescent="0.25">
      <c r="Z15162"/>
    </row>
    <row r="15163" spans="26:26" x14ac:dyDescent="0.25">
      <c r="Z15163"/>
    </row>
    <row r="15164" spans="26:26" x14ac:dyDescent="0.25">
      <c r="Z15164"/>
    </row>
    <row r="15165" spans="26:26" x14ac:dyDescent="0.25">
      <c r="Z15165"/>
    </row>
    <row r="15166" spans="26:26" x14ac:dyDescent="0.25">
      <c r="Z15166"/>
    </row>
    <row r="15167" spans="26:26" x14ac:dyDescent="0.25">
      <c r="Z15167"/>
    </row>
    <row r="15168" spans="26:26" x14ac:dyDescent="0.25">
      <c r="Z15168"/>
    </row>
    <row r="15169" spans="26:26" x14ac:dyDescent="0.25">
      <c r="Z15169"/>
    </row>
    <row r="15170" spans="26:26" x14ac:dyDescent="0.25">
      <c r="Z15170"/>
    </row>
    <row r="15171" spans="26:26" x14ac:dyDescent="0.25">
      <c r="Z15171"/>
    </row>
    <row r="15172" spans="26:26" x14ac:dyDescent="0.25">
      <c r="Z15172"/>
    </row>
    <row r="15173" spans="26:26" x14ac:dyDescent="0.25">
      <c r="Z15173"/>
    </row>
    <row r="15174" spans="26:26" x14ac:dyDescent="0.25">
      <c r="Z15174"/>
    </row>
    <row r="15175" spans="26:26" x14ac:dyDescent="0.25">
      <c r="Z15175"/>
    </row>
    <row r="15176" spans="26:26" x14ac:dyDescent="0.25">
      <c r="Z15176"/>
    </row>
    <row r="15177" spans="26:26" x14ac:dyDescent="0.25">
      <c r="Z15177"/>
    </row>
    <row r="15178" spans="26:26" x14ac:dyDescent="0.25">
      <c r="Z15178"/>
    </row>
    <row r="15179" spans="26:26" x14ac:dyDescent="0.25">
      <c r="Z15179"/>
    </row>
    <row r="15180" spans="26:26" x14ac:dyDescent="0.25">
      <c r="Z15180"/>
    </row>
    <row r="15181" spans="26:26" x14ac:dyDescent="0.25">
      <c r="Z15181"/>
    </row>
    <row r="15182" spans="26:26" x14ac:dyDescent="0.25">
      <c r="Z15182"/>
    </row>
    <row r="15183" spans="26:26" x14ac:dyDescent="0.25">
      <c r="Z15183"/>
    </row>
    <row r="15184" spans="26:26" x14ac:dyDescent="0.25">
      <c r="Z15184"/>
    </row>
    <row r="15185" spans="26:26" x14ac:dyDescent="0.25">
      <c r="Z15185"/>
    </row>
    <row r="15186" spans="26:26" x14ac:dyDescent="0.25">
      <c r="Z15186"/>
    </row>
    <row r="15187" spans="26:26" x14ac:dyDescent="0.25">
      <c r="Z15187"/>
    </row>
    <row r="15188" spans="26:26" x14ac:dyDescent="0.25">
      <c r="Z15188"/>
    </row>
    <row r="15189" spans="26:26" x14ac:dyDescent="0.25">
      <c r="Z15189"/>
    </row>
    <row r="15190" spans="26:26" x14ac:dyDescent="0.25">
      <c r="Z15190"/>
    </row>
    <row r="15191" spans="26:26" x14ac:dyDescent="0.25">
      <c r="Z15191"/>
    </row>
    <row r="15192" spans="26:26" x14ac:dyDescent="0.25">
      <c r="Z15192"/>
    </row>
    <row r="15193" spans="26:26" x14ac:dyDescent="0.25">
      <c r="Z15193"/>
    </row>
    <row r="15194" spans="26:26" x14ac:dyDescent="0.25">
      <c r="Z15194"/>
    </row>
    <row r="15195" spans="26:26" x14ac:dyDescent="0.25">
      <c r="Z15195"/>
    </row>
    <row r="15196" spans="26:26" x14ac:dyDescent="0.25">
      <c r="Z15196"/>
    </row>
    <row r="15197" spans="26:26" x14ac:dyDescent="0.25">
      <c r="Z15197"/>
    </row>
    <row r="15198" spans="26:26" x14ac:dyDescent="0.25">
      <c r="Z15198"/>
    </row>
    <row r="15199" spans="26:26" x14ac:dyDescent="0.25">
      <c r="Z15199"/>
    </row>
    <row r="15200" spans="26:26" x14ac:dyDescent="0.25">
      <c r="Z15200"/>
    </row>
    <row r="15201" spans="26:26" x14ac:dyDescent="0.25">
      <c r="Z15201"/>
    </row>
    <row r="15202" spans="26:26" x14ac:dyDescent="0.25">
      <c r="Z15202"/>
    </row>
    <row r="15203" spans="26:26" x14ac:dyDescent="0.25">
      <c r="Z15203"/>
    </row>
    <row r="15204" spans="26:26" x14ac:dyDescent="0.25">
      <c r="Z15204"/>
    </row>
    <row r="15205" spans="26:26" x14ac:dyDescent="0.25">
      <c r="Z15205"/>
    </row>
    <row r="15206" spans="26:26" x14ac:dyDescent="0.25">
      <c r="Z15206"/>
    </row>
    <row r="15207" spans="26:26" x14ac:dyDescent="0.25">
      <c r="Z15207"/>
    </row>
    <row r="15208" spans="26:26" x14ac:dyDescent="0.25">
      <c r="Z15208"/>
    </row>
    <row r="15209" spans="26:26" x14ac:dyDescent="0.25">
      <c r="Z15209"/>
    </row>
    <row r="15210" spans="26:26" x14ac:dyDescent="0.25">
      <c r="Z15210"/>
    </row>
    <row r="15211" spans="26:26" x14ac:dyDescent="0.25">
      <c r="Z15211"/>
    </row>
    <row r="15212" spans="26:26" x14ac:dyDescent="0.25">
      <c r="Z15212"/>
    </row>
    <row r="15213" spans="26:26" x14ac:dyDescent="0.25">
      <c r="Z15213"/>
    </row>
    <row r="15214" spans="26:26" x14ac:dyDescent="0.25">
      <c r="Z15214"/>
    </row>
    <row r="15215" spans="26:26" x14ac:dyDescent="0.25">
      <c r="Z15215"/>
    </row>
    <row r="15216" spans="26:26" x14ac:dyDescent="0.25">
      <c r="Z15216"/>
    </row>
    <row r="15217" spans="26:26" x14ac:dyDescent="0.25">
      <c r="Z15217"/>
    </row>
    <row r="15218" spans="26:26" x14ac:dyDescent="0.25">
      <c r="Z15218"/>
    </row>
    <row r="15219" spans="26:26" x14ac:dyDescent="0.25">
      <c r="Z15219"/>
    </row>
    <row r="15220" spans="26:26" x14ac:dyDescent="0.25">
      <c r="Z15220"/>
    </row>
    <row r="15221" spans="26:26" x14ac:dyDescent="0.25">
      <c r="Z15221"/>
    </row>
    <row r="15222" spans="26:26" x14ac:dyDescent="0.25">
      <c r="Z15222"/>
    </row>
    <row r="15223" spans="26:26" x14ac:dyDescent="0.25">
      <c r="Z15223"/>
    </row>
    <row r="15224" spans="26:26" x14ac:dyDescent="0.25">
      <c r="Z15224"/>
    </row>
    <row r="15225" spans="26:26" x14ac:dyDescent="0.25">
      <c r="Z15225"/>
    </row>
    <row r="15226" spans="26:26" x14ac:dyDescent="0.25">
      <c r="Z15226"/>
    </row>
    <row r="15227" spans="26:26" x14ac:dyDescent="0.25">
      <c r="Z15227"/>
    </row>
    <row r="15228" spans="26:26" x14ac:dyDescent="0.25">
      <c r="Z15228"/>
    </row>
    <row r="15229" spans="26:26" x14ac:dyDescent="0.25">
      <c r="Z15229"/>
    </row>
    <row r="15230" spans="26:26" x14ac:dyDescent="0.25">
      <c r="Z15230"/>
    </row>
    <row r="15231" spans="26:26" x14ac:dyDescent="0.25">
      <c r="Z15231"/>
    </row>
    <row r="15232" spans="26:26" x14ac:dyDescent="0.25">
      <c r="Z15232"/>
    </row>
    <row r="15233" spans="26:26" x14ac:dyDescent="0.25">
      <c r="Z15233"/>
    </row>
    <row r="15234" spans="26:26" x14ac:dyDescent="0.25">
      <c r="Z15234"/>
    </row>
    <row r="15235" spans="26:26" x14ac:dyDescent="0.25">
      <c r="Z15235"/>
    </row>
    <row r="15236" spans="26:26" x14ac:dyDescent="0.25">
      <c r="Z15236"/>
    </row>
    <row r="15237" spans="26:26" x14ac:dyDescent="0.25">
      <c r="Z15237"/>
    </row>
    <row r="15238" spans="26:26" x14ac:dyDescent="0.25">
      <c r="Z15238"/>
    </row>
    <row r="15239" spans="26:26" x14ac:dyDescent="0.25">
      <c r="Z15239"/>
    </row>
    <row r="15240" spans="26:26" x14ac:dyDescent="0.25">
      <c r="Z15240"/>
    </row>
    <row r="15241" spans="26:26" x14ac:dyDescent="0.25">
      <c r="Z15241"/>
    </row>
    <row r="15242" spans="26:26" x14ac:dyDescent="0.25">
      <c r="Z15242"/>
    </row>
    <row r="15243" spans="26:26" x14ac:dyDescent="0.25">
      <c r="Z15243"/>
    </row>
    <row r="15244" spans="26:26" x14ac:dyDescent="0.25">
      <c r="Z15244"/>
    </row>
    <row r="15245" spans="26:26" x14ac:dyDescent="0.25">
      <c r="Z15245"/>
    </row>
    <row r="15246" spans="26:26" x14ac:dyDescent="0.25">
      <c r="Z15246"/>
    </row>
    <row r="15247" spans="26:26" x14ac:dyDescent="0.25">
      <c r="Z15247"/>
    </row>
    <row r="15248" spans="26:26" x14ac:dyDescent="0.25">
      <c r="Z15248"/>
    </row>
    <row r="15249" spans="26:26" x14ac:dyDescent="0.25">
      <c r="Z15249"/>
    </row>
    <row r="15250" spans="26:26" x14ac:dyDescent="0.25">
      <c r="Z15250"/>
    </row>
    <row r="15251" spans="26:26" x14ac:dyDescent="0.25">
      <c r="Z15251"/>
    </row>
    <row r="15252" spans="26:26" x14ac:dyDescent="0.25">
      <c r="Z15252"/>
    </row>
    <row r="15253" spans="26:26" x14ac:dyDescent="0.25">
      <c r="Z15253"/>
    </row>
    <row r="15254" spans="26:26" x14ac:dyDescent="0.25">
      <c r="Z15254"/>
    </row>
    <row r="15255" spans="26:26" x14ac:dyDescent="0.25">
      <c r="Z15255"/>
    </row>
    <row r="15256" spans="26:26" x14ac:dyDescent="0.25">
      <c r="Z15256"/>
    </row>
    <row r="15257" spans="26:26" x14ac:dyDescent="0.25">
      <c r="Z15257"/>
    </row>
    <row r="15258" spans="26:26" x14ac:dyDescent="0.25">
      <c r="Z15258"/>
    </row>
    <row r="15259" spans="26:26" x14ac:dyDescent="0.25">
      <c r="Z15259"/>
    </row>
    <row r="15260" spans="26:26" x14ac:dyDescent="0.25">
      <c r="Z15260"/>
    </row>
    <row r="15261" spans="26:26" x14ac:dyDescent="0.25">
      <c r="Z15261"/>
    </row>
    <row r="15262" spans="26:26" x14ac:dyDescent="0.25">
      <c r="Z15262"/>
    </row>
    <row r="15263" spans="26:26" x14ac:dyDescent="0.25">
      <c r="Z15263"/>
    </row>
    <row r="15264" spans="26:26" x14ac:dyDescent="0.25">
      <c r="Z15264"/>
    </row>
    <row r="15265" spans="26:26" x14ac:dyDescent="0.25">
      <c r="Z15265"/>
    </row>
    <row r="15266" spans="26:26" x14ac:dyDescent="0.25">
      <c r="Z15266"/>
    </row>
    <row r="15267" spans="26:26" x14ac:dyDescent="0.25">
      <c r="Z15267"/>
    </row>
    <row r="15268" spans="26:26" x14ac:dyDescent="0.25">
      <c r="Z15268"/>
    </row>
    <row r="15269" spans="26:26" x14ac:dyDescent="0.25">
      <c r="Z15269"/>
    </row>
    <row r="15270" spans="26:26" x14ac:dyDescent="0.25">
      <c r="Z15270"/>
    </row>
    <row r="15271" spans="26:26" x14ac:dyDescent="0.25">
      <c r="Z15271"/>
    </row>
    <row r="15272" spans="26:26" x14ac:dyDescent="0.25">
      <c r="Z15272"/>
    </row>
    <row r="15273" spans="26:26" x14ac:dyDescent="0.25">
      <c r="Z15273"/>
    </row>
    <row r="15274" spans="26:26" x14ac:dyDescent="0.25">
      <c r="Z15274"/>
    </row>
    <row r="15275" spans="26:26" x14ac:dyDescent="0.25">
      <c r="Z15275"/>
    </row>
    <row r="15276" spans="26:26" x14ac:dyDescent="0.25">
      <c r="Z15276"/>
    </row>
    <row r="15277" spans="26:26" x14ac:dyDescent="0.25">
      <c r="Z15277"/>
    </row>
    <row r="15278" spans="26:26" x14ac:dyDescent="0.25">
      <c r="Z15278"/>
    </row>
    <row r="15279" spans="26:26" x14ac:dyDescent="0.25">
      <c r="Z15279"/>
    </row>
    <row r="15280" spans="26:26" x14ac:dyDescent="0.25">
      <c r="Z15280"/>
    </row>
    <row r="15281" spans="26:26" x14ac:dyDescent="0.25">
      <c r="Z15281"/>
    </row>
    <row r="15282" spans="26:26" x14ac:dyDescent="0.25">
      <c r="Z15282"/>
    </row>
    <row r="15283" spans="26:26" x14ac:dyDescent="0.25">
      <c r="Z15283"/>
    </row>
    <row r="15284" spans="26:26" x14ac:dyDescent="0.25">
      <c r="Z15284"/>
    </row>
    <row r="15285" spans="26:26" x14ac:dyDescent="0.25">
      <c r="Z15285"/>
    </row>
    <row r="15286" spans="26:26" x14ac:dyDescent="0.25">
      <c r="Z15286"/>
    </row>
    <row r="15287" spans="26:26" x14ac:dyDescent="0.25">
      <c r="Z15287"/>
    </row>
    <row r="15288" spans="26:26" x14ac:dyDescent="0.25">
      <c r="Z15288"/>
    </row>
    <row r="15289" spans="26:26" x14ac:dyDescent="0.25">
      <c r="Z15289"/>
    </row>
    <row r="15290" spans="26:26" x14ac:dyDescent="0.25">
      <c r="Z15290"/>
    </row>
    <row r="15291" spans="26:26" x14ac:dyDescent="0.25">
      <c r="Z15291"/>
    </row>
    <row r="15292" spans="26:26" x14ac:dyDescent="0.25">
      <c r="Z15292"/>
    </row>
    <row r="15293" spans="26:26" x14ac:dyDescent="0.25">
      <c r="Z15293"/>
    </row>
    <row r="15294" spans="26:26" x14ac:dyDescent="0.25">
      <c r="Z15294"/>
    </row>
    <row r="15295" spans="26:26" x14ac:dyDescent="0.25">
      <c r="Z15295"/>
    </row>
    <row r="15296" spans="26:26" x14ac:dyDescent="0.25">
      <c r="Z15296"/>
    </row>
    <row r="15297" spans="26:26" x14ac:dyDescent="0.25">
      <c r="Z15297"/>
    </row>
    <row r="15298" spans="26:26" x14ac:dyDescent="0.25">
      <c r="Z15298"/>
    </row>
    <row r="15299" spans="26:26" x14ac:dyDescent="0.25">
      <c r="Z15299"/>
    </row>
    <row r="15300" spans="26:26" x14ac:dyDescent="0.25">
      <c r="Z15300"/>
    </row>
    <row r="15301" spans="26:26" x14ac:dyDescent="0.25">
      <c r="Z15301"/>
    </row>
    <row r="15302" spans="26:26" x14ac:dyDescent="0.25">
      <c r="Z15302"/>
    </row>
    <row r="15303" spans="26:26" x14ac:dyDescent="0.25">
      <c r="Z15303"/>
    </row>
    <row r="15304" spans="26:26" x14ac:dyDescent="0.25">
      <c r="Z15304"/>
    </row>
    <row r="15305" spans="26:26" x14ac:dyDescent="0.25">
      <c r="Z15305"/>
    </row>
    <row r="15306" spans="26:26" x14ac:dyDescent="0.25">
      <c r="Z15306"/>
    </row>
    <row r="15307" spans="26:26" x14ac:dyDescent="0.25">
      <c r="Z15307"/>
    </row>
    <row r="15308" spans="26:26" x14ac:dyDescent="0.25">
      <c r="Z15308"/>
    </row>
    <row r="15309" spans="26:26" x14ac:dyDescent="0.25">
      <c r="Z15309"/>
    </row>
    <row r="15310" spans="26:26" x14ac:dyDescent="0.25">
      <c r="Z15310"/>
    </row>
    <row r="15311" spans="26:26" x14ac:dyDescent="0.25">
      <c r="Z15311"/>
    </row>
    <row r="15312" spans="26:26" x14ac:dyDescent="0.25">
      <c r="Z15312"/>
    </row>
    <row r="15313" spans="26:26" x14ac:dyDescent="0.25">
      <c r="Z15313"/>
    </row>
    <row r="15314" spans="26:26" x14ac:dyDescent="0.25">
      <c r="Z15314"/>
    </row>
    <row r="15315" spans="26:26" x14ac:dyDescent="0.25">
      <c r="Z15315"/>
    </row>
    <row r="15316" spans="26:26" x14ac:dyDescent="0.25">
      <c r="Z15316"/>
    </row>
    <row r="15317" spans="26:26" x14ac:dyDescent="0.25">
      <c r="Z15317"/>
    </row>
    <row r="15318" spans="26:26" x14ac:dyDescent="0.25">
      <c r="Z15318"/>
    </row>
    <row r="15319" spans="26:26" x14ac:dyDescent="0.25">
      <c r="Z15319"/>
    </row>
    <row r="15320" spans="26:26" x14ac:dyDescent="0.25">
      <c r="Z15320"/>
    </row>
    <row r="15321" spans="26:26" x14ac:dyDescent="0.25">
      <c r="Z15321"/>
    </row>
    <row r="15322" spans="26:26" x14ac:dyDescent="0.25">
      <c r="Z15322"/>
    </row>
    <row r="15323" spans="26:26" x14ac:dyDescent="0.25">
      <c r="Z15323"/>
    </row>
    <row r="15324" spans="26:26" x14ac:dyDescent="0.25">
      <c r="Z15324"/>
    </row>
    <row r="15325" spans="26:26" x14ac:dyDescent="0.25">
      <c r="Z15325"/>
    </row>
    <row r="15326" spans="26:26" x14ac:dyDescent="0.25">
      <c r="Z15326"/>
    </row>
    <row r="15327" spans="26:26" x14ac:dyDescent="0.25">
      <c r="Z15327"/>
    </row>
    <row r="15328" spans="26:26" x14ac:dyDescent="0.25">
      <c r="Z15328"/>
    </row>
    <row r="15329" spans="26:26" x14ac:dyDescent="0.25">
      <c r="Z15329"/>
    </row>
    <row r="15330" spans="26:26" x14ac:dyDescent="0.25">
      <c r="Z15330"/>
    </row>
    <row r="15331" spans="26:26" x14ac:dyDescent="0.25">
      <c r="Z15331"/>
    </row>
    <row r="15332" spans="26:26" x14ac:dyDescent="0.25">
      <c r="Z15332"/>
    </row>
    <row r="15333" spans="26:26" x14ac:dyDescent="0.25">
      <c r="Z15333"/>
    </row>
    <row r="15334" spans="26:26" x14ac:dyDescent="0.25">
      <c r="Z15334"/>
    </row>
    <row r="15335" spans="26:26" x14ac:dyDescent="0.25">
      <c r="Z15335"/>
    </row>
    <row r="15336" spans="26:26" x14ac:dyDescent="0.25">
      <c r="Z15336"/>
    </row>
    <row r="15337" spans="26:26" x14ac:dyDescent="0.25">
      <c r="Z15337"/>
    </row>
    <row r="15338" spans="26:26" x14ac:dyDescent="0.25">
      <c r="Z15338"/>
    </row>
    <row r="15339" spans="26:26" x14ac:dyDescent="0.25">
      <c r="Z15339"/>
    </row>
    <row r="15340" spans="26:26" x14ac:dyDescent="0.25">
      <c r="Z15340"/>
    </row>
    <row r="15341" spans="26:26" x14ac:dyDescent="0.25">
      <c r="Z15341"/>
    </row>
    <row r="15342" spans="26:26" x14ac:dyDescent="0.25">
      <c r="Z15342"/>
    </row>
    <row r="15343" spans="26:26" x14ac:dyDescent="0.25">
      <c r="Z15343"/>
    </row>
    <row r="15344" spans="26:26" x14ac:dyDescent="0.25">
      <c r="Z15344"/>
    </row>
    <row r="15345" spans="26:26" x14ac:dyDescent="0.25">
      <c r="Z15345"/>
    </row>
    <row r="15346" spans="26:26" x14ac:dyDescent="0.25">
      <c r="Z15346"/>
    </row>
    <row r="15347" spans="26:26" x14ac:dyDescent="0.25">
      <c r="Z15347"/>
    </row>
    <row r="15348" spans="26:26" x14ac:dyDescent="0.25">
      <c r="Z15348"/>
    </row>
    <row r="15349" spans="26:26" x14ac:dyDescent="0.25">
      <c r="Z15349"/>
    </row>
    <row r="15350" spans="26:26" x14ac:dyDescent="0.25">
      <c r="Z15350"/>
    </row>
    <row r="15351" spans="26:26" x14ac:dyDescent="0.25">
      <c r="Z15351"/>
    </row>
    <row r="15352" spans="26:26" x14ac:dyDescent="0.25">
      <c r="Z15352"/>
    </row>
    <row r="15353" spans="26:26" x14ac:dyDescent="0.25">
      <c r="Z15353"/>
    </row>
    <row r="15354" spans="26:26" x14ac:dyDescent="0.25">
      <c r="Z15354"/>
    </row>
    <row r="15355" spans="26:26" x14ac:dyDescent="0.25">
      <c r="Z15355"/>
    </row>
    <row r="15356" spans="26:26" x14ac:dyDescent="0.25">
      <c r="Z15356"/>
    </row>
    <row r="15357" spans="26:26" x14ac:dyDescent="0.25">
      <c r="Z15357"/>
    </row>
    <row r="15358" spans="26:26" x14ac:dyDescent="0.25">
      <c r="Z15358"/>
    </row>
    <row r="15359" spans="26:26" x14ac:dyDescent="0.25">
      <c r="Z15359"/>
    </row>
    <row r="15360" spans="26:26" x14ac:dyDescent="0.25">
      <c r="Z15360"/>
    </row>
    <row r="15361" spans="26:26" x14ac:dyDescent="0.25">
      <c r="Z15361"/>
    </row>
    <row r="15362" spans="26:26" x14ac:dyDescent="0.25">
      <c r="Z15362"/>
    </row>
    <row r="15363" spans="26:26" x14ac:dyDescent="0.25">
      <c r="Z15363"/>
    </row>
    <row r="15364" spans="26:26" x14ac:dyDescent="0.25">
      <c r="Z15364"/>
    </row>
    <row r="15365" spans="26:26" x14ac:dyDescent="0.25">
      <c r="Z15365"/>
    </row>
    <row r="15366" spans="26:26" x14ac:dyDescent="0.25">
      <c r="Z15366"/>
    </row>
    <row r="15367" spans="26:26" x14ac:dyDescent="0.25">
      <c r="Z15367"/>
    </row>
    <row r="15368" spans="26:26" x14ac:dyDescent="0.25">
      <c r="Z15368"/>
    </row>
    <row r="15369" spans="26:26" x14ac:dyDescent="0.25">
      <c r="Z15369"/>
    </row>
    <row r="15370" spans="26:26" x14ac:dyDescent="0.25">
      <c r="Z15370"/>
    </row>
    <row r="15371" spans="26:26" x14ac:dyDescent="0.25">
      <c r="Z15371"/>
    </row>
    <row r="15372" spans="26:26" x14ac:dyDescent="0.25">
      <c r="Z15372"/>
    </row>
    <row r="15373" spans="26:26" x14ac:dyDescent="0.25">
      <c r="Z15373"/>
    </row>
    <row r="15374" spans="26:26" x14ac:dyDescent="0.25">
      <c r="Z15374"/>
    </row>
    <row r="15375" spans="26:26" x14ac:dyDescent="0.25">
      <c r="Z15375"/>
    </row>
    <row r="15376" spans="26:26" x14ac:dyDescent="0.25">
      <c r="Z15376"/>
    </row>
    <row r="15377" spans="26:26" x14ac:dyDescent="0.25">
      <c r="Z15377"/>
    </row>
    <row r="15378" spans="26:26" x14ac:dyDescent="0.25">
      <c r="Z15378"/>
    </row>
    <row r="15379" spans="26:26" x14ac:dyDescent="0.25">
      <c r="Z15379"/>
    </row>
    <row r="15380" spans="26:26" x14ac:dyDescent="0.25">
      <c r="Z15380"/>
    </row>
    <row r="15381" spans="26:26" x14ac:dyDescent="0.25">
      <c r="Z15381"/>
    </row>
    <row r="15382" spans="26:26" x14ac:dyDescent="0.25">
      <c r="Z15382"/>
    </row>
    <row r="15383" spans="26:26" x14ac:dyDescent="0.25">
      <c r="Z15383"/>
    </row>
    <row r="15384" spans="26:26" x14ac:dyDescent="0.25">
      <c r="Z15384"/>
    </row>
    <row r="15385" spans="26:26" x14ac:dyDescent="0.25">
      <c r="Z15385"/>
    </row>
    <row r="15386" spans="26:26" x14ac:dyDescent="0.25">
      <c r="Z15386"/>
    </row>
    <row r="15387" spans="26:26" x14ac:dyDescent="0.25">
      <c r="Z15387"/>
    </row>
    <row r="15388" spans="26:26" x14ac:dyDescent="0.25">
      <c r="Z15388"/>
    </row>
    <row r="15389" spans="26:26" x14ac:dyDescent="0.25">
      <c r="Z15389"/>
    </row>
    <row r="15390" spans="26:26" x14ac:dyDescent="0.25">
      <c r="Z15390"/>
    </row>
    <row r="15391" spans="26:26" x14ac:dyDescent="0.25">
      <c r="Z15391"/>
    </row>
    <row r="15392" spans="26:26" x14ac:dyDescent="0.25">
      <c r="Z15392"/>
    </row>
    <row r="15393" spans="26:26" x14ac:dyDescent="0.25">
      <c r="Z15393"/>
    </row>
    <row r="15394" spans="26:26" x14ac:dyDescent="0.25">
      <c r="Z15394"/>
    </row>
    <row r="15395" spans="26:26" x14ac:dyDescent="0.25">
      <c r="Z15395"/>
    </row>
    <row r="15396" spans="26:26" x14ac:dyDescent="0.25">
      <c r="Z15396"/>
    </row>
    <row r="15397" spans="26:26" x14ac:dyDescent="0.25">
      <c r="Z15397"/>
    </row>
    <row r="15398" spans="26:26" x14ac:dyDescent="0.25">
      <c r="Z15398"/>
    </row>
    <row r="15399" spans="26:26" x14ac:dyDescent="0.25">
      <c r="Z15399"/>
    </row>
    <row r="15400" spans="26:26" x14ac:dyDescent="0.25">
      <c r="Z15400"/>
    </row>
    <row r="15401" spans="26:26" x14ac:dyDescent="0.25">
      <c r="Z15401"/>
    </row>
    <row r="15402" spans="26:26" x14ac:dyDescent="0.25">
      <c r="Z15402"/>
    </row>
    <row r="15403" spans="26:26" x14ac:dyDescent="0.25">
      <c r="Z15403"/>
    </row>
    <row r="15404" spans="26:26" x14ac:dyDescent="0.25">
      <c r="Z15404"/>
    </row>
    <row r="15405" spans="26:26" x14ac:dyDescent="0.25">
      <c r="Z15405"/>
    </row>
    <row r="15406" spans="26:26" x14ac:dyDescent="0.25">
      <c r="Z15406"/>
    </row>
    <row r="15407" spans="26:26" x14ac:dyDescent="0.25">
      <c r="Z15407"/>
    </row>
    <row r="15408" spans="26:26" x14ac:dyDescent="0.25">
      <c r="Z15408"/>
    </row>
    <row r="15409" spans="26:26" x14ac:dyDescent="0.25">
      <c r="Z15409"/>
    </row>
    <row r="15410" spans="26:26" x14ac:dyDescent="0.25">
      <c r="Z15410"/>
    </row>
    <row r="15411" spans="26:26" x14ac:dyDescent="0.25">
      <c r="Z15411"/>
    </row>
    <row r="15412" spans="26:26" x14ac:dyDescent="0.25">
      <c r="Z15412"/>
    </row>
    <row r="15413" spans="26:26" x14ac:dyDescent="0.25">
      <c r="Z15413"/>
    </row>
    <row r="15414" spans="26:26" x14ac:dyDescent="0.25">
      <c r="Z15414"/>
    </row>
    <row r="15415" spans="26:26" x14ac:dyDescent="0.25">
      <c r="Z15415"/>
    </row>
    <row r="15416" spans="26:26" x14ac:dyDescent="0.25">
      <c r="Z15416"/>
    </row>
    <row r="15417" spans="26:26" x14ac:dyDescent="0.25">
      <c r="Z15417"/>
    </row>
    <row r="15418" spans="26:26" x14ac:dyDescent="0.25">
      <c r="Z15418"/>
    </row>
    <row r="15419" spans="26:26" x14ac:dyDescent="0.25">
      <c r="Z15419"/>
    </row>
    <row r="15420" spans="26:26" x14ac:dyDescent="0.25">
      <c r="Z15420"/>
    </row>
    <row r="15421" spans="26:26" x14ac:dyDescent="0.25">
      <c r="Z15421"/>
    </row>
    <row r="15422" spans="26:26" x14ac:dyDescent="0.25">
      <c r="Z15422"/>
    </row>
    <row r="15423" spans="26:26" x14ac:dyDescent="0.25">
      <c r="Z15423"/>
    </row>
    <row r="15424" spans="26:26" x14ac:dyDescent="0.25">
      <c r="Z15424"/>
    </row>
    <row r="15425" spans="26:26" x14ac:dyDescent="0.25">
      <c r="Z15425"/>
    </row>
    <row r="15426" spans="26:26" x14ac:dyDescent="0.25">
      <c r="Z15426"/>
    </row>
    <row r="15427" spans="26:26" x14ac:dyDescent="0.25">
      <c r="Z15427"/>
    </row>
    <row r="15428" spans="26:26" x14ac:dyDescent="0.25">
      <c r="Z15428"/>
    </row>
    <row r="15429" spans="26:26" x14ac:dyDescent="0.25">
      <c r="Z15429"/>
    </row>
    <row r="15430" spans="26:26" x14ac:dyDescent="0.25">
      <c r="Z15430"/>
    </row>
    <row r="15431" spans="26:26" x14ac:dyDescent="0.25">
      <c r="Z15431"/>
    </row>
    <row r="15432" spans="26:26" x14ac:dyDescent="0.25">
      <c r="Z15432"/>
    </row>
    <row r="15433" spans="26:26" x14ac:dyDescent="0.25">
      <c r="Z15433"/>
    </row>
    <row r="15434" spans="26:26" x14ac:dyDescent="0.25">
      <c r="Z15434"/>
    </row>
    <row r="15435" spans="26:26" x14ac:dyDescent="0.25">
      <c r="Z15435"/>
    </row>
    <row r="15436" spans="26:26" x14ac:dyDescent="0.25">
      <c r="Z15436"/>
    </row>
    <row r="15437" spans="26:26" x14ac:dyDescent="0.25">
      <c r="Z15437"/>
    </row>
    <row r="15438" spans="26:26" x14ac:dyDescent="0.25">
      <c r="Z15438"/>
    </row>
    <row r="15439" spans="26:26" x14ac:dyDescent="0.25">
      <c r="Z15439"/>
    </row>
    <row r="15440" spans="26:26" x14ac:dyDescent="0.25">
      <c r="Z15440"/>
    </row>
    <row r="15441" spans="26:26" x14ac:dyDescent="0.25">
      <c r="Z15441"/>
    </row>
    <row r="15442" spans="26:26" x14ac:dyDescent="0.25">
      <c r="Z15442"/>
    </row>
    <row r="15443" spans="26:26" x14ac:dyDescent="0.25">
      <c r="Z15443"/>
    </row>
    <row r="15444" spans="26:26" x14ac:dyDescent="0.25">
      <c r="Z15444"/>
    </row>
    <row r="15445" spans="26:26" x14ac:dyDescent="0.25">
      <c r="Z15445"/>
    </row>
    <row r="15446" spans="26:26" x14ac:dyDescent="0.25">
      <c r="Z15446"/>
    </row>
    <row r="15447" spans="26:26" x14ac:dyDescent="0.25">
      <c r="Z15447"/>
    </row>
    <row r="15448" spans="26:26" x14ac:dyDescent="0.25">
      <c r="Z15448"/>
    </row>
    <row r="15449" spans="26:26" x14ac:dyDescent="0.25">
      <c r="Z15449"/>
    </row>
    <row r="15450" spans="26:26" x14ac:dyDescent="0.25">
      <c r="Z15450"/>
    </row>
    <row r="15451" spans="26:26" x14ac:dyDescent="0.25">
      <c r="Z15451"/>
    </row>
    <row r="15452" spans="26:26" x14ac:dyDescent="0.25">
      <c r="Z15452"/>
    </row>
    <row r="15453" spans="26:26" x14ac:dyDescent="0.25">
      <c r="Z15453"/>
    </row>
    <row r="15454" spans="26:26" x14ac:dyDescent="0.25">
      <c r="Z15454"/>
    </row>
    <row r="15455" spans="26:26" x14ac:dyDescent="0.25">
      <c r="Z15455"/>
    </row>
    <row r="15456" spans="26:26" x14ac:dyDescent="0.25">
      <c r="Z15456"/>
    </row>
    <row r="15457" spans="26:26" x14ac:dyDescent="0.25">
      <c r="Z15457"/>
    </row>
    <row r="15458" spans="26:26" x14ac:dyDescent="0.25">
      <c r="Z15458"/>
    </row>
    <row r="15459" spans="26:26" x14ac:dyDescent="0.25">
      <c r="Z15459"/>
    </row>
    <row r="15460" spans="26:26" x14ac:dyDescent="0.25">
      <c r="Z15460"/>
    </row>
    <row r="15461" spans="26:26" x14ac:dyDescent="0.25">
      <c r="Z15461"/>
    </row>
    <row r="15462" spans="26:26" x14ac:dyDescent="0.25">
      <c r="Z15462"/>
    </row>
    <row r="15463" spans="26:26" x14ac:dyDescent="0.25">
      <c r="Z15463"/>
    </row>
    <row r="15464" spans="26:26" x14ac:dyDescent="0.25">
      <c r="Z15464"/>
    </row>
    <row r="15465" spans="26:26" x14ac:dyDescent="0.25">
      <c r="Z15465"/>
    </row>
    <row r="15466" spans="26:26" x14ac:dyDescent="0.25">
      <c r="Z15466"/>
    </row>
    <row r="15467" spans="26:26" x14ac:dyDescent="0.25">
      <c r="Z15467"/>
    </row>
    <row r="15468" spans="26:26" x14ac:dyDescent="0.25">
      <c r="Z15468"/>
    </row>
    <row r="15469" spans="26:26" x14ac:dyDescent="0.25">
      <c r="Z15469"/>
    </row>
    <row r="15470" spans="26:26" x14ac:dyDescent="0.25">
      <c r="Z15470"/>
    </row>
    <row r="15471" spans="26:26" x14ac:dyDescent="0.25">
      <c r="Z15471"/>
    </row>
    <row r="15472" spans="26:26" x14ac:dyDescent="0.25">
      <c r="Z15472"/>
    </row>
    <row r="15473" spans="26:26" x14ac:dyDescent="0.25">
      <c r="Z15473"/>
    </row>
    <row r="15474" spans="26:26" x14ac:dyDescent="0.25">
      <c r="Z15474"/>
    </row>
    <row r="15475" spans="26:26" x14ac:dyDescent="0.25">
      <c r="Z15475"/>
    </row>
    <row r="15476" spans="26:26" x14ac:dyDescent="0.25">
      <c r="Z15476"/>
    </row>
    <row r="15477" spans="26:26" x14ac:dyDescent="0.25">
      <c r="Z15477"/>
    </row>
    <row r="15478" spans="26:26" x14ac:dyDescent="0.25">
      <c r="Z15478"/>
    </row>
    <row r="15479" spans="26:26" x14ac:dyDescent="0.25">
      <c r="Z15479"/>
    </row>
    <row r="15480" spans="26:26" x14ac:dyDescent="0.25">
      <c r="Z15480"/>
    </row>
    <row r="15481" spans="26:26" x14ac:dyDescent="0.25">
      <c r="Z15481"/>
    </row>
    <row r="15482" spans="26:26" x14ac:dyDescent="0.25">
      <c r="Z15482"/>
    </row>
    <row r="15483" spans="26:26" x14ac:dyDescent="0.25">
      <c r="Z15483"/>
    </row>
    <row r="15484" spans="26:26" x14ac:dyDescent="0.25">
      <c r="Z15484"/>
    </row>
    <row r="15485" spans="26:26" x14ac:dyDescent="0.25">
      <c r="Z15485"/>
    </row>
    <row r="15486" spans="26:26" x14ac:dyDescent="0.25">
      <c r="Z15486"/>
    </row>
    <row r="15487" spans="26:26" x14ac:dyDescent="0.25">
      <c r="Z15487"/>
    </row>
    <row r="15488" spans="26:26" x14ac:dyDescent="0.25">
      <c r="Z15488"/>
    </row>
    <row r="15489" spans="26:26" x14ac:dyDescent="0.25">
      <c r="Z15489"/>
    </row>
    <row r="15490" spans="26:26" x14ac:dyDescent="0.25">
      <c r="Z15490"/>
    </row>
    <row r="15491" spans="26:26" x14ac:dyDescent="0.25">
      <c r="Z15491"/>
    </row>
    <row r="15492" spans="26:26" x14ac:dyDescent="0.25">
      <c r="Z15492"/>
    </row>
    <row r="15493" spans="26:26" x14ac:dyDescent="0.25">
      <c r="Z15493"/>
    </row>
    <row r="15494" spans="26:26" x14ac:dyDescent="0.25">
      <c r="Z15494"/>
    </row>
    <row r="15495" spans="26:26" x14ac:dyDescent="0.25">
      <c r="Z15495"/>
    </row>
    <row r="15496" spans="26:26" x14ac:dyDescent="0.25">
      <c r="Z15496"/>
    </row>
    <row r="15497" spans="26:26" x14ac:dyDescent="0.25">
      <c r="Z15497"/>
    </row>
    <row r="15498" spans="26:26" x14ac:dyDescent="0.25">
      <c r="Z15498"/>
    </row>
    <row r="15499" spans="26:26" x14ac:dyDescent="0.25">
      <c r="Z15499"/>
    </row>
    <row r="15500" spans="26:26" x14ac:dyDescent="0.25">
      <c r="Z15500"/>
    </row>
    <row r="15501" spans="26:26" x14ac:dyDescent="0.25">
      <c r="Z15501"/>
    </row>
    <row r="15502" spans="26:26" x14ac:dyDescent="0.25">
      <c r="Z15502"/>
    </row>
    <row r="15503" spans="26:26" x14ac:dyDescent="0.25">
      <c r="Z15503"/>
    </row>
    <row r="15504" spans="26:26" x14ac:dyDescent="0.25">
      <c r="Z15504"/>
    </row>
    <row r="15505" spans="26:26" x14ac:dyDescent="0.25">
      <c r="Z15505"/>
    </row>
    <row r="15506" spans="26:26" x14ac:dyDescent="0.25">
      <c r="Z15506"/>
    </row>
    <row r="15507" spans="26:26" x14ac:dyDescent="0.25">
      <c r="Z15507"/>
    </row>
    <row r="15508" spans="26:26" x14ac:dyDescent="0.25">
      <c r="Z15508"/>
    </row>
    <row r="15509" spans="26:26" x14ac:dyDescent="0.25">
      <c r="Z15509"/>
    </row>
    <row r="15510" spans="26:26" x14ac:dyDescent="0.25">
      <c r="Z15510"/>
    </row>
    <row r="15511" spans="26:26" x14ac:dyDescent="0.25">
      <c r="Z15511"/>
    </row>
    <row r="15512" spans="26:26" x14ac:dyDescent="0.25">
      <c r="Z15512"/>
    </row>
    <row r="15513" spans="26:26" x14ac:dyDescent="0.25">
      <c r="Z15513"/>
    </row>
    <row r="15514" spans="26:26" x14ac:dyDescent="0.25">
      <c r="Z15514"/>
    </row>
    <row r="15515" spans="26:26" x14ac:dyDescent="0.25">
      <c r="Z15515"/>
    </row>
    <row r="15516" spans="26:26" x14ac:dyDescent="0.25">
      <c r="Z15516"/>
    </row>
    <row r="15517" spans="26:26" x14ac:dyDescent="0.25">
      <c r="Z15517"/>
    </row>
    <row r="15518" spans="26:26" x14ac:dyDescent="0.25">
      <c r="Z15518"/>
    </row>
    <row r="15519" spans="26:26" x14ac:dyDescent="0.25">
      <c r="Z15519"/>
    </row>
    <row r="15520" spans="26:26" x14ac:dyDescent="0.25">
      <c r="Z15520"/>
    </row>
    <row r="15521" spans="26:26" x14ac:dyDescent="0.25">
      <c r="Z15521"/>
    </row>
    <row r="15522" spans="26:26" x14ac:dyDescent="0.25">
      <c r="Z15522"/>
    </row>
    <row r="15523" spans="26:26" x14ac:dyDescent="0.25">
      <c r="Z15523"/>
    </row>
    <row r="15524" spans="26:26" x14ac:dyDescent="0.25">
      <c r="Z15524"/>
    </row>
    <row r="15525" spans="26:26" x14ac:dyDescent="0.25">
      <c r="Z15525"/>
    </row>
    <row r="15526" spans="26:26" x14ac:dyDescent="0.25">
      <c r="Z15526"/>
    </row>
    <row r="15527" spans="26:26" x14ac:dyDescent="0.25">
      <c r="Z15527"/>
    </row>
    <row r="15528" spans="26:26" x14ac:dyDescent="0.25">
      <c r="Z15528"/>
    </row>
    <row r="15529" spans="26:26" x14ac:dyDescent="0.25">
      <c r="Z15529"/>
    </row>
    <row r="15530" spans="26:26" x14ac:dyDescent="0.25">
      <c r="Z15530"/>
    </row>
    <row r="15531" spans="26:26" x14ac:dyDescent="0.25">
      <c r="Z15531"/>
    </row>
    <row r="15532" spans="26:26" x14ac:dyDescent="0.25">
      <c r="Z15532"/>
    </row>
    <row r="15533" spans="26:26" x14ac:dyDescent="0.25">
      <c r="Z15533"/>
    </row>
    <row r="15534" spans="26:26" x14ac:dyDescent="0.25">
      <c r="Z15534"/>
    </row>
    <row r="15535" spans="26:26" x14ac:dyDescent="0.25">
      <c r="Z15535"/>
    </row>
    <row r="15536" spans="26:26" x14ac:dyDescent="0.25">
      <c r="Z15536"/>
    </row>
    <row r="15537" spans="26:26" x14ac:dyDescent="0.25">
      <c r="Z15537"/>
    </row>
    <row r="15538" spans="26:26" x14ac:dyDescent="0.25">
      <c r="Z15538"/>
    </row>
    <row r="15539" spans="26:26" x14ac:dyDescent="0.25">
      <c r="Z15539"/>
    </row>
    <row r="15540" spans="26:26" x14ac:dyDescent="0.25">
      <c r="Z15540"/>
    </row>
    <row r="15541" spans="26:26" x14ac:dyDescent="0.25">
      <c r="Z15541"/>
    </row>
    <row r="15542" spans="26:26" x14ac:dyDescent="0.25">
      <c r="Z15542"/>
    </row>
    <row r="15543" spans="26:26" x14ac:dyDescent="0.25">
      <c r="Z15543"/>
    </row>
    <row r="15544" spans="26:26" x14ac:dyDescent="0.25">
      <c r="Z15544"/>
    </row>
    <row r="15545" spans="26:26" x14ac:dyDescent="0.25">
      <c r="Z15545"/>
    </row>
    <row r="15546" spans="26:26" x14ac:dyDescent="0.25">
      <c r="Z15546"/>
    </row>
    <row r="15547" spans="26:26" x14ac:dyDescent="0.25">
      <c r="Z15547"/>
    </row>
    <row r="15548" spans="26:26" x14ac:dyDescent="0.25">
      <c r="Z15548"/>
    </row>
    <row r="15549" spans="26:26" x14ac:dyDescent="0.25">
      <c r="Z15549"/>
    </row>
    <row r="15550" spans="26:26" x14ac:dyDescent="0.25">
      <c r="Z15550"/>
    </row>
    <row r="15551" spans="26:26" x14ac:dyDescent="0.25">
      <c r="Z15551"/>
    </row>
    <row r="15552" spans="26:26" x14ac:dyDescent="0.25">
      <c r="Z15552"/>
    </row>
    <row r="15553" spans="26:26" x14ac:dyDescent="0.25">
      <c r="Z15553"/>
    </row>
    <row r="15554" spans="26:26" x14ac:dyDescent="0.25">
      <c r="Z15554"/>
    </row>
    <row r="15555" spans="26:26" x14ac:dyDescent="0.25">
      <c r="Z15555"/>
    </row>
    <row r="15556" spans="26:26" x14ac:dyDescent="0.25">
      <c r="Z15556"/>
    </row>
    <row r="15557" spans="26:26" x14ac:dyDescent="0.25">
      <c r="Z15557"/>
    </row>
    <row r="15558" spans="26:26" x14ac:dyDescent="0.25">
      <c r="Z15558"/>
    </row>
    <row r="15559" spans="26:26" x14ac:dyDescent="0.25">
      <c r="Z15559"/>
    </row>
    <row r="15560" spans="26:26" x14ac:dyDescent="0.25">
      <c r="Z15560"/>
    </row>
    <row r="15561" spans="26:26" x14ac:dyDescent="0.25">
      <c r="Z15561"/>
    </row>
    <row r="15562" spans="26:26" x14ac:dyDescent="0.25">
      <c r="Z15562"/>
    </row>
    <row r="15563" spans="26:26" x14ac:dyDescent="0.25">
      <c r="Z15563"/>
    </row>
    <row r="15564" spans="26:26" x14ac:dyDescent="0.25">
      <c r="Z15564"/>
    </row>
    <row r="15565" spans="26:26" x14ac:dyDescent="0.25">
      <c r="Z15565"/>
    </row>
    <row r="15566" spans="26:26" x14ac:dyDescent="0.25">
      <c r="Z15566"/>
    </row>
    <row r="15567" spans="26:26" x14ac:dyDescent="0.25">
      <c r="Z15567"/>
    </row>
    <row r="15568" spans="26:26" x14ac:dyDescent="0.25">
      <c r="Z15568"/>
    </row>
    <row r="15569" spans="26:26" x14ac:dyDescent="0.25">
      <c r="Z15569"/>
    </row>
    <row r="15570" spans="26:26" x14ac:dyDescent="0.25">
      <c r="Z15570"/>
    </row>
    <row r="15571" spans="26:26" x14ac:dyDescent="0.25">
      <c r="Z15571"/>
    </row>
    <row r="15572" spans="26:26" x14ac:dyDescent="0.25">
      <c r="Z15572"/>
    </row>
    <row r="15573" spans="26:26" x14ac:dyDescent="0.25">
      <c r="Z15573"/>
    </row>
    <row r="15574" spans="26:26" x14ac:dyDescent="0.25">
      <c r="Z15574"/>
    </row>
    <row r="15575" spans="26:26" x14ac:dyDescent="0.25">
      <c r="Z15575"/>
    </row>
    <row r="15576" spans="26:26" x14ac:dyDescent="0.25">
      <c r="Z15576"/>
    </row>
    <row r="15577" spans="26:26" x14ac:dyDescent="0.25">
      <c r="Z15577"/>
    </row>
    <row r="15578" spans="26:26" x14ac:dyDescent="0.25">
      <c r="Z15578"/>
    </row>
    <row r="15579" spans="26:26" x14ac:dyDescent="0.25">
      <c r="Z15579"/>
    </row>
    <row r="15580" spans="26:26" x14ac:dyDescent="0.25">
      <c r="Z15580"/>
    </row>
    <row r="15581" spans="26:26" x14ac:dyDescent="0.25">
      <c r="Z15581"/>
    </row>
    <row r="15582" spans="26:26" x14ac:dyDescent="0.25">
      <c r="Z15582"/>
    </row>
    <row r="15583" spans="26:26" x14ac:dyDescent="0.25">
      <c r="Z15583"/>
    </row>
    <row r="15584" spans="26:26" x14ac:dyDescent="0.25">
      <c r="Z15584"/>
    </row>
    <row r="15585" spans="26:26" x14ac:dyDescent="0.25">
      <c r="Z15585"/>
    </row>
    <row r="15586" spans="26:26" x14ac:dyDescent="0.25">
      <c r="Z15586"/>
    </row>
    <row r="15587" spans="26:26" x14ac:dyDescent="0.25">
      <c r="Z15587"/>
    </row>
    <row r="15588" spans="26:26" x14ac:dyDescent="0.25">
      <c r="Z15588"/>
    </row>
    <row r="15589" spans="26:26" x14ac:dyDescent="0.25">
      <c r="Z15589"/>
    </row>
    <row r="15590" spans="26:26" x14ac:dyDescent="0.25">
      <c r="Z15590"/>
    </row>
    <row r="15591" spans="26:26" x14ac:dyDescent="0.25">
      <c r="Z15591"/>
    </row>
    <row r="15592" spans="26:26" x14ac:dyDescent="0.25">
      <c r="Z15592"/>
    </row>
    <row r="15593" spans="26:26" x14ac:dyDescent="0.25">
      <c r="Z15593"/>
    </row>
    <row r="15594" spans="26:26" x14ac:dyDescent="0.25">
      <c r="Z15594"/>
    </row>
    <row r="15595" spans="26:26" x14ac:dyDescent="0.25">
      <c r="Z15595"/>
    </row>
    <row r="15596" spans="26:26" x14ac:dyDescent="0.25">
      <c r="Z15596"/>
    </row>
    <row r="15597" spans="26:26" x14ac:dyDescent="0.25">
      <c r="Z15597"/>
    </row>
    <row r="15598" spans="26:26" x14ac:dyDescent="0.25">
      <c r="Z15598"/>
    </row>
    <row r="15599" spans="26:26" x14ac:dyDescent="0.25">
      <c r="Z15599"/>
    </row>
    <row r="15600" spans="26:26" x14ac:dyDescent="0.25">
      <c r="Z15600"/>
    </row>
    <row r="15601" spans="26:26" x14ac:dyDescent="0.25">
      <c r="Z15601"/>
    </row>
    <row r="15602" spans="26:26" x14ac:dyDescent="0.25">
      <c r="Z15602"/>
    </row>
    <row r="15603" spans="26:26" x14ac:dyDescent="0.25">
      <c r="Z15603"/>
    </row>
    <row r="15604" spans="26:26" x14ac:dyDescent="0.25">
      <c r="Z15604"/>
    </row>
    <row r="15605" spans="26:26" x14ac:dyDescent="0.25">
      <c r="Z15605"/>
    </row>
    <row r="15606" spans="26:26" x14ac:dyDescent="0.25">
      <c r="Z15606"/>
    </row>
    <row r="15607" spans="26:26" x14ac:dyDescent="0.25">
      <c r="Z15607"/>
    </row>
    <row r="15608" spans="26:26" x14ac:dyDescent="0.25">
      <c r="Z15608"/>
    </row>
    <row r="15609" spans="26:26" x14ac:dyDescent="0.25">
      <c r="Z15609"/>
    </row>
    <row r="15610" spans="26:26" x14ac:dyDescent="0.25">
      <c r="Z15610"/>
    </row>
    <row r="15611" spans="26:26" x14ac:dyDescent="0.25">
      <c r="Z15611"/>
    </row>
    <row r="15612" spans="26:26" x14ac:dyDescent="0.25">
      <c r="Z15612"/>
    </row>
    <row r="15613" spans="26:26" x14ac:dyDescent="0.25">
      <c r="Z15613"/>
    </row>
    <row r="15614" spans="26:26" x14ac:dyDescent="0.25">
      <c r="Z15614"/>
    </row>
    <row r="15615" spans="26:26" x14ac:dyDescent="0.25">
      <c r="Z15615"/>
    </row>
    <row r="15616" spans="26:26" x14ac:dyDescent="0.25">
      <c r="Z15616"/>
    </row>
    <row r="15617" spans="26:26" x14ac:dyDescent="0.25">
      <c r="Z15617"/>
    </row>
    <row r="15618" spans="26:26" x14ac:dyDescent="0.25">
      <c r="Z15618"/>
    </row>
    <row r="15619" spans="26:26" x14ac:dyDescent="0.25">
      <c r="Z15619"/>
    </row>
    <row r="15620" spans="26:26" x14ac:dyDescent="0.25">
      <c r="Z15620"/>
    </row>
    <row r="15621" spans="26:26" x14ac:dyDescent="0.25">
      <c r="Z15621"/>
    </row>
    <row r="15622" spans="26:26" x14ac:dyDescent="0.25">
      <c r="Z15622"/>
    </row>
    <row r="15623" spans="26:26" x14ac:dyDescent="0.25">
      <c r="Z15623"/>
    </row>
    <row r="15624" spans="26:26" x14ac:dyDescent="0.25">
      <c r="Z15624"/>
    </row>
    <row r="15625" spans="26:26" x14ac:dyDescent="0.25">
      <c r="Z15625"/>
    </row>
    <row r="15626" spans="26:26" x14ac:dyDescent="0.25">
      <c r="Z15626"/>
    </row>
    <row r="15627" spans="26:26" x14ac:dyDescent="0.25">
      <c r="Z15627"/>
    </row>
    <row r="15628" spans="26:26" x14ac:dyDescent="0.25">
      <c r="Z15628"/>
    </row>
    <row r="15629" spans="26:26" x14ac:dyDescent="0.25">
      <c r="Z15629"/>
    </row>
    <row r="15630" spans="26:26" x14ac:dyDescent="0.25">
      <c r="Z15630"/>
    </row>
    <row r="15631" spans="26:26" x14ac:dyDescent="0.25">
      <c r="Z15631"/>
    </row>
    <row r="15632" spans="26:26" x14ac:dyDescent="0.25">
      <c r="Z15632"/>
    </row>
    <row r="15633" spans="26:26" x14ac:dyDescent="0.25">
      <c r="Z15633"/>
    </row>
    <row r="15634" spans="26:26" x14ac:dyDescent="0.25">
      <c r="Z15634"/>
    </row>
    <row r="15635" spans="26:26" x14ac:dyDescent="0.25">
      <c r="Z15635"/>
    </row>
    <row r="15636" spans="26:26" x14ac:dyDescent="0.25">
      <c r="Z15636"/>
    </row>
    <row r="15637" spans="26:26" x14ac:dyDescent="0.25">
      <c r="Z15637"/>
    </row>
    <row r="15638" spans="26:26" x14ac:dyDescent="0.25">
      <c r="Z15638"/>
    </row>
    <row r="15639" spans="26:26" x14ac:dyDescent="0.25">
      <c r="Z15639"/>
    </row>
    <row r="15640" spans="26:26" x14ac:dyDescent="0.25">
      <c r="Z15640"/>
    </row>
    <row r="15641" spans="26:26" x14ac:dyDescent="0.25">
      <c r="Z15641"/>
    </row>
    <row r="15642" spans="26:26" x14ac:dyDescent="0.25">
      <c r="Z15642"/>
    </row>
    <row r="15643" spans="26:26" x14ac:dyDescent="0.25">
      <c r="Z15643"/>
    </row>
    <row r="15644" spans="26:26" x14ac:dyDescent="0.25">
      <c r="Z15644"/>
    </row>
    <row r="15645" spans="26:26" x14ac:dyDescent="0.25">
      <c r="Z15645"/>
    </row>
    <row r="15646" spans="26:26" x14ac:dyDescent="0.25">
      <c r="Z15646"/>
    </row>
    <row r="15647" spans="26:26" x14ac:dyDescent="0.25">
      <c r="Z15647"/>
    </row>
    <row r="15648" spans="26:26" x14ac:dyDescent="0.25">
      <c r="Z15648"/>
    </row>
    <row r="15649" spans="26:26" x14ac:dyDescent="0.25">
      <c r="Z15649"/>
    </row>
    <row r="15650" spans="26:26" x14ac:dyDescent="0.25">
      <c r="Z15650"/>
    </row>
    <row r="15651" spans="26:26" x14ac:dyDescent="0.25">
      <c r="Z15651"/>
    </row>
    <row r="15652" spans="26:26" x14ac:dyDescent="0.25">
      <c r="Z15652"/>
    </row>
    <row r="15653" spans="26:26" x14ac:dyDescent="0.25">
      <c r="Z15653"/>
    </row>
    <row r="15654" spans="26:26" x14ac:dyDescent="0.25">
      <c r="Z15654"/>
    </row>
    <row r="15655" spans="26:26" x14ac:dyDescent="0.25">
      <c r="Z15655"/>
    </row>
    <row r="15656" spans="26:26" x14ac:dyDescent="0.25">
      <c r="Z15656"/>
    </row>
    <row r="15657" spans="26:26" x14ac:dyDescent="0.25">
      <c r="Z15657"/>
    </row>
    <row r="15658" spans="26:26" x14ac:dyDescent="0.25">
      <c r="Z15658"/>
    </row>
    <row r="15659" spans="26:26" x14ac:dyDescent="0.25">
      <c r="Z15659"/>
    </row>
    <row r="15660" spans="26:26" x14ac:dyDescent="0.25">
      <c r="Z15660"/>
    </row>
    <row r="15661" spans="26:26" x14ac:dyDescent="0.25">
      <c r="Z15661"/>
    </row>
    <row r="15662" spans="26:26" x14ac:dyDescent="0.25">
      <c r="Z15662"/>
    </row>
    <row r="15663" spans="26:26" x14ac:dyDescent="0.25">
      <c r="Z15663"/>
    </row>
    <row r="15664" spans="26:26" x14ac:dyDescent="0.25">
      <c r="Z15664"/>
    </row>
    <row r="15665" spans="26:26" x14ac:dyDescent="0.25">
      <c r="Z15665"/>
    </row>
    <row r="15666" spans="26:26" x14ac:dyDescent="0.25">
      <c r="Z15666"/>
    </row>
    <row r="15667" spans="26:26" x14ac:dyDescent="0.25">
      <c r="Z15667"/>
    </row>
    <row r="15668" spans="26:26" x14ac:dyDescent="0.25">
      <c r="Z15668"/>
    </row>
    <row r="15669" spans="26:26" x14ac:dyDescent="0.25">
      <c r="Z15669"/>
    </row>
    <row r="15670" spans="26:26" x14ac:dyDescent="0.25">
      <c r="Z15670"/>
    </row>
    <row r="15671" spans="26:26" x14ac:dyDescent="0.25">
      <c r="Z15671"/>
    </row>
    <row r="15672" spans="26:26" x14ac:dyDescent="0.25">
      <c r="Z15672"/>
    </row>
    <row r="15673" spans="26:26" x14ac:dyDescent="0.25">
      <c r="Z15673"/>
    </row>
    <row r="15674" spans="26:26" x14ac:dyDescent="0.25">
      <c r="Z15674"/>
    </row>
    <row r="15675" spans="26:26" x14ac:dyDescent="0.25">
      <c r="Z15675"/>
    </row>
    <row r="15676" spans="26:26" x14ac:dyDescent="0.25">
      <c r="Z15676"/>
    </row>
    <row r="15677" spans="26:26" x14ac:dyDescent="0.25">
      <c r="Z15677"/>
    </row>
    <row r="15678" spans="26:26" x14ac:dyDescent="0.25">
      <c r="Z15678"/>
    </row>
    <row r="15679" spans="26:26" x14ac:dyDescent="0.25">
      <c r="Z15679"/>
    </row>
    <row r="15680" spans="26:26" x14ac:dyDescent="0.25">
      <c r="Z15680"/>
    </row>
    <row r="15681" spans="26:26" x14ac:dyDescent="0.25">
      <c r="Z15681"/>
    </row>
    <row r="15682" spans="26:26" x14ac:dyDescent="0.25">
      <c r="Z15682"/>
    </row>
    <row r="15683" spans="26:26" x14ac:dyDescent="0.25">
      <c r="Z15683"/>
    </row>
    <row r="15684" spans="26:26" x14ac:dyDescent="0.25">
      <c r="Z15684"/>
    </row>
    <row r="15685" spans="26:26" x14ac:dyDescent="0.25">
      <c r="Z15685"/>
    </row>
    <row r="15686" spans="26:26" x14ac:dyDescent="0.25">
      <c r="Z15686"/>
    </row>
    <row r="15687" spans="26:26" x14ac:dyDescent="0.25">
      <c r="Z15687"/>
    </row>
    <row r="15688" spans="26:26" x14ac:dyDescent="0.25">
      <c r="Z15688"/>
    </row>
    <row r="15689" spans="26:26" x14ac:dyDescent="0.25">
      <c r="Z15689"/>
    </row>
    <row r="15690" spans="26:26" x14ac:dyDescent="0.25">
      <c r="Z15690"/>
    </row>
    <row r="15691" spans="26:26" x14ac:dyDescent="0.25">
      <c r="Z15691"/>
    </row>
    <row r="15692" spans="26:26" x14ac:dyDescent="0.25">
      <c r="Z15692"/>
    </row>
    <row r="15693" spans="26:26" x14ac:dyDescent="0.25">
      <c r="Z15693"/>
    </row>
    <row r="15694" spans="26:26" x14ac:dyDescent="0.25">
      <c r="Z15694"/>
    </row>
    <row r="15695" spans="26:26" x14ac:dyDescent="0.25">
      <c r="Z15695"/>
    </row>
    <row r="15696" spans="26:26" x14ac:dyDescent="0.25">
      <c r="Z15696"/>
    </row>
    <row r="15697" spans="26:26" x14ac:dyDescent="0.25">
      <c r="Z15697"/>
    </row>
    <row r="15698" spans="26:26" x14ac:dyDescent="0.25">
      <c r="Z15698"/>
    </row>
    <row r="15699" spans="26:26" x14ac:dyDescent="0.25">
      <c r="Z15699"/>
    </row>
    <row r="15700" spans="26:26" x14ac:dyDescent="0.25">
      <c r="Z15700"/>
    </row>
    <row r="15701" spans="26:26" x14ac:dyDescent="0.25">
      <c r="Z15701"/>
    </row>
    <row r="15702" spans="26:26" x14ac:dyDescent="0.25">
      <c r="Z15702"/>
    </row>
    <row r="15703" spans="26:26" x14ac:dyDescent="0.25">
      <c r="Z15703"/>
    </row>
    <row r="15704" spans="26:26" x14ac:dyDescent="0.25">
      <c r="Z15704"/>
    </row>
    <row r="15705" spans="26:26" x14ac:dyDescent="0.25">
      <c r="Z15705"/>
    </row>
    <row r="15706" spans="26:26" x14ac:dyDescent="0.25">
      <c r="Z15706"/>
    </row>
    <row r="15707" spans="26:26" x14ac:dyDescent="0.25">
      <c r="Z15707"/>
    </row>
    <row r="15708" spans="26:26" x14ac:dyDescent="0.25">
      <c r="Z15708"/>
    </row>
    <row r="15709" spans="26:26" x14ac:dyDescent="0.25">
      <c r="Z15709"/>
    </row>
    <row r="15710" spans="26:26" x14ac:dyDescent="0.25">
      <c r="Z15710"/>
    </row>
    <row r="15711" spans="26:26" x14ac:dyDescent="0.25">
      <c r="Z15711"/>
    </row>
    <row r="15712" spans="26:26" x14ac:dyDescent="0.25">
      <c r="Z15712"/>
    </row>
    <row r="15713" spans="26:26" x14ac:dyDescent="0.25">
      <c r="Z15713"/>
    </row>
    <row r="15714" spans="26:26" x14ac:dyDescent="0.25">
      <c r="Z15714"/>
    </row>
    <row r="15715" spans="26:26" x14ac:dyDescent="0.25">
      <c r="Z15715"/>
    </row>
    <row r="15716" spans="26:26" x14ac:dyDescent="0.25">
      <c r="Z15716"/>
    </row>
    <row r="15717" spans="26:26" x14ac:dyDescent="0.25">
      <c r="Z15717"/>
    </row>
    <row r="15718" spans="26:26" x14ac:dyDescent="0.25">
      <c r="Z15718"/>
    </row>
    <row r="15719" spans="26:26" x14ac:dyDescent="0.25">
      <c r="Z15719"/>
    </row>
    <row r="15720" spans="26:26" x14ac:dyDescent="0.25">
      <c r="Z15720"/>
    </row>
    <row r="15721" spans="26:26" x14ac:dyDescent="0.25">
      <c r="Z15721"/>
    </row>
    <row r="15722" spans="26:26" x14ac:dyDescent="0.25">
      <c r="Z15722"/>
    </row>
    <row r="15723" spans="26:26" x14ac:dyDescent="0.25">
      <c r="Z15723"/>
    </row>
    <row r="15724" spans="26:26" x14ac:dyDescent="0.25">
      <c r="Z15724"/>
    </row>
    <row r="15725" spans="26:26" x14ac:dyDescent="0.25">
      <c r="Z15725"/>
    </row>
    <row r="15726" spans="26:26" x14ac:dyDescent="0.25">
      <c r="Z15726"/>
    </row>
    <row r="15727" spans="26:26" x14ac:dyDescent="0.25">
      <c r="Z15727"/>
    </row>
    <row r="15728" spans="26:26" x14ac:dyDescent="0.25">
      <c r="Z15728"/>
    </row>
    <row r="15729" spans="26:26" x14ac:dyDescent="0.25">
      <c r="Z15729"/>
    </row>
    <row r="15730" spans="26:26" x14ac:dyDescent="0.25">
      <c r="Z15730"/>
    </row>
    <row r="15731" spans="26:26" x14ac:dyDescent="0.25">
      <c r="Z15731"/>
    </row>
    <row r="15732" spans="26:26" x14ac:dyDescent="0.25">
      <c r="Z15732"/>
    </row>
    <row r="15733" spans="26:26" x14ac:dyDescent="0.25">
      <c r="Z15733"/>
    </row>
    <row r="15734" spans="26:26" x14ac:dyDescent="0.25">
      <c r="Z15734"/>
    </row>
    <row r="15735" spans="26:26" x14ac:dyDescent="0.25">
      <c r="Z15735"/>
    </row>
    <row r="15736" spans="26:26" x14ac:dyDescent="0.25">
      <c r="Z15736"/>
    </row>
    <row r="15737" spans="26:26" x14ac:dyDescent="0.25">
      <c r="Z15737"/>
    </row>
    <row r="15738" spans="26:26" x14ac:dyDescent="0.25">
      <c r="Z15738"/>
    </row>
    <row r="15739" spans="26:26" x14ac:dyDescent="0.25">
      <c r="Z15739"/>
    </row>
    <row r="15740" spans="26:26" x14ac:dyDescent="0.25">
      <c r="Z15740"/>
    </row>
    <row r="15741" spans="26:26" x14ac:dyDescent="0.25">
      <c r="Z15741"/>
    </row>
    <row r="15742" spans="26:26" x14ac:dyDescent="0.25">
      <c r="Z15742"/>
    </row>
    <row r="15743" spans="26:26" x14ac:dyDescent="0.25">
      <c r="Z15743"/>
    </row>
    <row r="15744" spans="26:26" x14ac:dyDescent="0.25">
      <c r="Z15744"/>
    </row>
    <row r="15745" spans="26:26" x14ac:dyDescent="0.25">
      <c r="Z15745"/>
    </row>
    <row r="15746" spans="26:26" x14ac:dyDescent="0.25">
      <c r="Z15746"/>
    </row>
    <row r="15747" spans="26:26" x14ac:dyDescent="0.25">
      <c r="Z15747"/>
    </row>
    <row r="15748" spans="26:26" x14ac:dyDescent="0.25">
      <c r="Z15748"/>
    </row>
    <row r="15749" spans="26:26" x14ac:dyDescent="0.25">
      <c r="Z15749"/>
    </row>
    <row r="15750" spans="26:26" x14ac:dyDescent="0.25">
      <c r="Z15750"/>
    </row>
    <row r="15751" spans="26:26" x14ac:dyDescent="0.25">
      <c r="Z15751"/>
    </row>
    <row r="15752" spans="26:26" x14ac:dyDescent="0.25">
      <c r="Z15752"/>
    </row>
    <row r="15753" spans="26:26" x14ac:dyDescent="0.25">
      <c r="Z15753"/>
    </row>
    <row r="15754" spans="26:26" x14ac:dyDescent="0.25">
      <c r="Z15754"/>
    </row>
    <row r="15755" spans="26:26" x14ac:dyDescent="0.25">
      <c r="Z15755"/>
    </row>
    <row r="15756" spans="26:26" x14ac:dyDescent="0.25">
      <c r="Z15756"/>
    </row>
    <row r="15757" spans="26:26" x14ac:dyDescent="0.25">
      <c r="Z15757"/>
    </row>
    <row r="15758" spans="26:26" x14ac:dyDescent="0.25">
      <c r="Z15758"/>
    </row>
    <row r="15759" spans="26:26" x14ac:dyDescent="0.25">
      <c r="Z15759"/>
    </row>
    <row r="15760" spans="26:26" x14ac:dyDescent="0.25">
      <c r="Z15760"/>
    </row>
    <row r="15761" spans="26:26" x14ac:dyDescent="0.25">
      <c r="Z15761"/>
    </row>
    <row r="15762" spans="26:26" x14ac:dyDescent="0.25">
      <c r="Z15762"/>
    </row>
    <row r="15763" spans="26:26" x14ac:dyDescent="0.25">
      <c r="Z15763"/>
    </row>
    <row r="15764" spans="26:26" x14ac:dyDescent="0.25">
      <c r="Z15764"/>
    </row>
    <row r="15765" spans="26:26" x14ac:dyDescent="0.25">
      <c r="Z15765"/>
    </row>
    <row r="15766" spans="26:26" x14ac:dyDescent="0.25">
      <c r="Z15766"/>
    </row>
    <row r="15767" spans="26:26" x14ac:dyDescent="0.25">
      <c r="Z15767"/>
    </row>
    <row r="15768" spans="26:26" x14ac:dyDescent="0.25">
      <c r="Z15768"/>
    </row>
    <row r="15769" spans="26:26" x14ac:dyDescent="0.25">
      <c r="Z15769"/>
    </row>
    <row r="15770" spans="26:26" x14ac:dyDescent="0.25">
      <c r="Z15770"/>
    </row>
    <row r="15771" spans="26:26" x14ac:dyDescent="0.25">
      <c r="Z15771"/>
    </row>
    <row r="15772" spans="26:26" x14ac:dyDescent="0.25">
      <c r="Z15772"/>
    </row>
    <row r="15773" spans="26:26" x14ac:dyDescent="0.25">
      <c r="Z15773"/>
    </row>
    <row r="15774" spans="26:26" x14ac:dyDescent="0.25">
      <c r="Z15774"/>
    </row>
    <row r="15775" spans="26:26" x14ac:dyDescent="0.25">
      <c r="Z15775"/>
    </row>
    <row r="15776" spans="26:26" x14ac:dyDescent="0.25">
      <c r="Z15776"/>
    </row>
    <row r="15777" spans="26:26" x14ac:dyDescent="0.25">
      <c r="Z15777"/>
    </row>
    <row r="15778" spans="26:26" x14ac:dyDescent="0.25">
      <c r="Z15778"/>
    </row>
    <row r="15779" spans="26:26" x14ac:dyDescent="0.25">
      <c r="Z15779"/>
    </row>
    <row r="15780" spans="26:26" x14ac:dyDescent="0.25">
      <c r="Z15780"/>
    </row>
    <row r="15781" spans="26:26" x14ac:dyDescent="0.25">
      <c r="Z15781"/>
    </row>
    <row r="15782" spans="26:26" x14ac:dyDescent="0.25">
      <c r="Z15782"/>
    </row>
    <row r="15783" spans="26:26" x14ac:dyDescent="0.25">
      <c r="Z15783"/>
    </row>
    <row r="15784" spans="26:26" x14ac:dyDescent="0.25">
      <c r="Z15784"/>
    </row>
    <row r="15785" spans="26:26" x14ac:dyDescent="0.25">
      <c r="Z15785"/>
    </row>
    <row r="15786" spans="26:26" x14ac:dyDescent="0.25">
      <c r="Z15786"/>
    </row>
    <row r="15787" spans="26:26" x14ac:dyDescent="0.25">
      <c r="Z15787"/>
    </row>
    <row r="15788" spans="26:26" x14ac:dyDescent="0.25">
      <c r="Z15788"/>
    </row>
    <row r="15789" spans="26:26" x14ac:dyDescent="0.25">
      <c r="Z15789"/>
    </row>
    <row r="15790" spans="26:26" x14ac:dyDescent="0.25">
      <c r="Z15790"/>
    </row>
    <row r="15791" spans="26:26" x14ac:dyDescent="0.25">
      <c r="Z15791"/>
    </row>
    <row r="15792" spans="26:26" x14ac:dyDescent="0.25">
      <c r="Z15792"/>
    </row>
    <row r="15793" spans="26:26" x14ac:dyDescent="0.25">
      <c r="Z15793"/>
    </row>
    <row r="15794" spans="26:26" x14ac:dyDescent="0.25">
      <c r="Z15794"/>
    </row>
    <row r="15795" spans="26:26" x14ac:dyDescent="0.25">
      <c r="Z15795"/>
    </row>
    <row r="15796" spans="26:26" x14ac:dyDescent="0.25">
      <c r="Z15796"/>
    </row>
    <row r="15797" spans="26:26" x14ac:dyDescent="0.25">
      <c r="Z15797"/>
    </row>
    <row r="15798" spans="26:26" x14ac:dyDescent="0.25">
      <c r="Z15798"/>
    </row>
    <row r="15799" spans="26:26" x14ac:dyDescent="0.25">
      <c r="Z15799"/>
    </row>
    <row r="15800" spans="26:26" x14ac:dyDescent="0.25">
      <c r="Z15800"/>
    </row>
    <row r="15801" spans="26:26" x14ac:dyDescent="0.25">
      <c r="Z15801"/>
    </row>
    <row r="15802" spans="26:26" x14ac:dyDescent="0.25">
      <c r="Z15802"/>
    </row>
    <row r="15803" spans="26:26" x14ac:dyDescent="0.25">
      <c r="Z15803"/>
    </row>
    <row r="15804" spans="26:26" x14ac:dyDescent="0.25">
      <c r="Z15804"/>
    </row>
    <row r="15805" spans="26:26" x14ac:dyDescent="0.25">
      <c r="Z15805"/>
    </row>
    <row r="15806" spans="26:26" x14ac:dyDescent="0.25">
      <c r="Z15806"/>
    </row>
    <row r="15807" spans="26:26" x14ac:dyDescent="0.25">
      <c r="Z15807"/>
    </row>
    <row r="15808" spans="26:26" x14ac:dyDescent="0.25">
      <c r="Z15808"/>
    </row>
    <row r="15809" spans="26:26" x14ac:dyDescent="0.25">
      <c r="Z15809"/>
    </row>
    <row r="15810" spans="26:26" x14ac:dyDescent="0.25">
      <c r="Z15810"/>
    </row>
    <row r="15811" spans="26:26" x14ac:dyDescent="0.25">
      <c r="Z15811"/>
    </row>
    <row r="15812" spans="26:26" x14ac:dyDescent="0.25">
      <c r="Z15812"/>
    </row>
    <row r="15813" spans="26:26" x14ac:dyDescent="0.25">
      <c r="Z15813"/>
    </row>
    <row r="15814" spans="26:26" x14ac:dyDescent="0.25">
      <c r="Z15814"/>
    </row>
    <row r="15815" spans="26:26" x14ac:dyDescent="0.25">
      <c r="Z15815"/>
    </row>
    <row r="15816" spans="26:26" x14ac:dyDescent="0.25">
      <c r="Z15816"/>
    </row>
    <row r="15817" spans="26:26" x14ac:dyDescent="0.25">
      <c r="Z15817"/>
    </row>
    <row r="15818" spans="26:26" x14ac:dyDescent="0.25">
      <c r="Z15818"/>
    </row>
    <row r="15819" spans="26:26" x14ac:dyDescent="0.25">
      <c r="Z15819"/>
    </row>
    <row r="15820" spans="26:26" x14ac:dyDescent="0.25">
      <c r="Z15820"/>
    </row>
    <row r="15821" spans="26:26" x14ac:dyDescent="0.25">
      <c r="Z15821"/>
    </row>
    <row r="15822" spans="26:26" x14ac:dyDescent="0.25">
      <c r="Z15822"/>
    </row>
    <row r="15823" spans="26:26" x14ac:dyDescent="0.25">
      <c r="Z15823"/>
    </row>
    <row r="15824" spans="26:26" x14ac:dyDescent="0.25">
      <c r="Z15824"/>
    </row>
    <row r="15825" spans="26:26" x14ac:dyDescent="0.25">
      <c r="Z15825"/>
    </row>
    <row r="15826" spans="26:26" x14ac:dyDescent="0.25">
      <c r="Z15826"/>
    </row>
    <row r="15827" spans="26:26" x14ac:dyDescent="0.25">
      <c r="Z15827"/>
    </row>
    <row r="15828" spans="26:26" x14ac:dyDescent="0.25">
      <c r="Z15828"/>
    </row>
    <row r="15829" spans="26:26" x14ac:dyDescent="0.25">
      <c r="Z15829"/>
    </row>
    <row r="15830" spans="26:26" x14ac:dyDescent="0.25">
      <c r="Z15830"/>
    </row>
    <row r="15831" spans="26:26" x14ac:dyDescent="0.25">
      <c r="Z15831"/>
    </row>
    <row r="15832" spans="26:26" x14ac:dyDescent="0.25">
      <c r="Z15832"/>
    </row>
    <row r="15833" spans="26:26" x14ac:dyDescent="0.25">
      <c r="Z15833"/>
    </row>
    <row r="15834" spans="26:26" x14ac:dyDescent="0.25">
      <c r="Z15834"/>
    </row>
    <row r="15835" spans="26:26" x14ac:dyDescent="0.25">
      <c r="Z15835"/>
    </row>
    <row r="15836" spans="26:26" x14ac:dyDescent="0.25">
      <c r="Z15836"/>
    </row>
    <row r="15837" spans="26:26" x14ac:dyDescent="0.25">
      <c r="Z15837"/>
    </row>
    <row r="15838" spans="26:26" x14ac:dyDescent="0.25">
      <c r="Z15838"/>
    </row>
    <row r="15839" spans="26:26" x14ac:dyDescent="0.25">
      <c r="Z15839"/>
    </row>
    <row r="15840" spans="26:26" x14ac:dyDescent="0.25">
      <c r="Z15840"/>
    </row>
    <row r="15841" spans="26:26" x14ac:dyDescent="0.25">
      <c r="Z15841"/>
    </row>
    <row r="15842" spans="26:26" x14ac:dyDescent="0.25">
      <c r="Z15842"/>
    </row>
    <row r="15843" spans="26:26" x14ac:dyDescent="0.25">
      <c r="Z15843"/>
    </row>
    <row r="15844" spans="26:26" x14ac:dyDescent="0.25">
      <c r="Z15844"/>
    </row>
    <row r="15845" spans="26:26" x14ac:dyDescent="0.25">
      <c r="Z15845"/>
    </row>
    <row r="15846" spans="26:26" x14ac:dyDescent="0.25">
      <c r="Z15846"/>
    </row>
    <row r="15847" spans="26:26" x14ac:dyDescent="0.25">
      <c r="Z15847"/>
    </row>
    <row r="15848" spans="26:26" x14ac:dyDescent="0.25">
      <c r="Z15848"/>
    </row>
    <row r="15849" spans="26:26" x14ac:dyDescent="0.25">
      <c r="Z15849"/>
    </row>
    <row r="15850" spans="26:26" x14ac:dyDescent="0.25">
      <c r="Z15850"/>
    </row>
    <row r="15851" spans="26:26" x14ac:dyDescent="0.25">
      <c r="Z15851"/>
    </row>
    <row r="15852" spans="26:26" x14ac:dyDescent="0.25">
      <c r="Z15852"/>
    </row>
    <row r="15853" spans="26:26" x14ac:dyDescent="0.25">
      <c r="Z15853"/>
    </row>
    <row r="15854" spans="26:26" x14ac:dyDescent="0.25">
      <c r="Z15854"/>
    </row>
    <row r="15855" spans="26:26" x14ac:dyDescent="0.25">
      <c r="Z15855"/>
    </row>
    <row r="15856" spans="26:26" x14ac:dyDescent="0.25">
      <c r="Z15856"/>
    </row>
    <row r="15857" spans="26:26" x14ac:dyDescent="0.25">
      <c r="Z15857"/>
    </row>
    <row r="15858" spans="26:26" x14ac:dyDescent="0.25">
      <c r="Z15858"/>
    </row>
    <row r="15859" spans="26:26" x14ac:dyDescent="0.25">
      <c r="Z15859"/>
    </row>
    <row r="15860" spans="26:26" x14ac:dyDescent="0.25">
      <c r="Z15860"/>
    </row>
    <row r="15861" spans="26:26" x14ac:dyDescent="0.25">
      <c r="Z15861"/>
    </row>
    <row r="15862" spans="26:26" x14ac:dyDescent="0.25">
      <c r="Z15862"/>
    </row>
    <row r="15863" spans="26:26" x14ac:dyDescent="0.25">
      <c r="Z15863"/>
    </row>
    <row r="15864" spans="26:26" x14ac:dyDescent="0.25">
      <c r="Z15864"/>
    </row>
    <row r="15865" spans="26:26" x14ac:dyDescent="0.25">
      <c r="Z15865"/>
    </row>
    <row r="15866" spans="26:26" x14ac:dyDescent="0.25">
      <c r="Z15866"/>
    </row>
    <row r="15867" spans="26:26" x14ac:dyDescent="0.25">
      <c r="Z15867"/>
    </row>
    <row r="15868" spans="26:26" x14ac:dyDescent="0.25">
      <c r="Z15868"/>
    </row>
    <row r="15869" spans="26:26" x14ac:dyDescent="0.25">
      <c r="Z15869"/>
    </row>
    <row r="15870" spans="26:26" x14ac:dyDescent="0.25">
      <c r="Z15870"/>
    </row>
    <row r="15871" spans="26:26" x14ac:dyDescent="0.25">
      <c r="Z15871"/>
    </row>
    <row r="15872" spans="26:26" x14ac:dyDescent="0.25">
      <c r="Z15872"/>
    </row>
    <row r="15873" spans="26:26" x14ac:dyDescent="0.25">
      <c r="Z15873"/>
    </row>
    <row r="15874" spans="26:26" x14ac:dyDescent="0.25">
      <c r="Z15874"/>
    </row>
    <row r="15875" spans="26:26" x14ac:dyDescent="0.25">
      <c r="Z15875"/>
    </row>
    <row r="15876" spans="26:26" x14ac:dyDescent="0.25">
      <c r="Z15876"/>
    </row>
    <row r="15877" spans="26:26" x14ac:dyDescent="0.25">
      <c r="Z15877"/>
    </row>
    <row r="15878" spans="26:26" x14ac:dyDescent="0.25">
      <c r="Z15878"/>
    </row>
    <row r="15879" spans="26:26" x14ac:dyDescent="0.25">
      <c r="Z15879"/>
    </row>
    <row r="15880" spans="26:26" x14ac:dyDescent="0.25">
      <c r="Z15880"/>
    </row>
    <row r="15881" spans="26:26" x14ac:dyDescent="0.25">
      <c r="Z15881"/>
    </row>
    <row r="15882" spans="26:26" x14ac:dyDescent="0.25">
      <c r="Z15882"/>
    </row>
    <row r="15883" spans="26:26" x14ac:dyDescent="0.25">
      <c r="Z15883"/>
    </row>
    <row r="15884" spans="26:26" x14ac:dyDescent="0.25">
      <c r="Z15884"/>
    </row>
    <row r="15885" spans="26:26" x14ac:dyDescent="0.25">
      <c r="Z15885"/>
    </row>
    <row r="15886" spans="26:26" x14ac:dyDescent="0.25">
      <c r="Z15886"/>
    </row>
    <row r="15887" spans="26:26" x14ac:dyDescent="0.25">
      <c r="Z15887"/>
    </row>
    <row r="15888" spans="26:26" x14ac:dyDescent="0.25">
      <c r="Z15888"/>
    </row>
    <row r="15889" spans="26:26" x14ac:dyDescent="0.25">
      <c r="Z15889"/>
    </row>
    <row r="15890" spans="26:26" x14ac:dyDescent="0.25">
      <c r="Z15890"/>
    </row>
    <row r="15891" spans="26:26" x14ac:dyDescent="0.25">
      <c r="Z15891"/>
    </row>
    <row r="15892" spans="26:26" x14ac:dyDescent="0.25">
      <c r="Z15892"/>
    </row>
    <row r="15893" spans="26:26" x14ac:dyDescent="0.25">
      <c r="Z15893"/>
    </row>
    <row r="15894" spans="26:26" x14ac:dyDescent="0.25">
      <c r="Z15894"/>
    </row>
    <row r="15895" spans="26:26" x14ac:dyDescent="0.25">
      <c r="Z15895"/>
    </row>
    <row r="15896" spans="26:26" x14ac:dyDescent="0.25">
      <c r="Z15896"/>
    </row>
    <row r="15897" spans="26:26" x14ac:dyDescent="0.25">
      <c r="Z15897"/>
    </row>
    <row r="15898" spans="26:26" x14ac:dyDescent="0.25">
      <c r="Z15898"/>
    </row>
    <row r="15899" spans="26:26" x14ac:dyDescent="0.25">
      <c r="Z15899"/>
    </row>
    <row r="15900" spans="26:26" x14ac:dyDescent="0.25">
      <c r="Z15900"/>
    </row>
    <row r="15901" spans="26:26" x14ac:dyDescent="0.25">
      <c r="Z15901"/>
    </row>
    <row r="15902" spans="26:26" x14ac:dyDescent="0.25">
      <c r="Z15902"/>
    </row>
    <row r="15903" spans="26:26" x14ac:dyDescent="0.25">
      <c r="Z15903"/>
    </row>
    <row r="15904" spans="26:26" x14ac:dyDescent="0.25">
      <c r="Z15904"/>
    </row>
    <row r="15905" spans="26:26" x14ac:dyDescent="0.25">
      <c r="Z15905"/>
    </row>
    <row r="15906" spans="26:26" x14ac:dyDescent="0.25">
      <c r="Z15906"/>
    </row>
    <row r="15907" spans="26:26" x14ac:dyDescent="0.25">
      <c r="Z15907"/>
    </row>
    <row r="15908" spans="26:26" x14ac:dyDescent="0.25">
      <c r="Z15908"/>
    </row>
    <row r="15909" spans="26:26" x14ac:dyDescent="0.25">
      <c r="Z15909"/>
    </row>
    <row r="15910" spans="26:26" x14ac:dyDescent="0.25">
      <c r="Z15910"/>
    </row>
    <row r="15911" spans="26:26" x14ac:dyDescent="0.25">
      <c r="Z15911"/>
    </row>
    <row r="15912" spans="26:26" x14ac:dyDescent="0.25">
      <c r="Z15912"/>
    </row>
    <row r="15913" spans="26:26" x14ac:dyDescent="0.25">
      <c r="Z15913"/>
    </row>
    <row r="15914" spans="26:26" x14ac:dyDescent="0.25">
      <c r="Z15914"/>
    </row>
    <row r="15915" spans="26:26" x14ac:dyDescent="0.25">
      <c r="Z15915"/>
    </row>
    <row r="15916" spans="26:26" x14ac:dyDescent="0.25">
      <c r="Z15916"/>
    </row>
    <row r="15917" spans="26:26" x14ac:dyDescent="0.25">
      <c r="Z15917"/>
    </row>
    <row r="15918" spans="26:26" x14ac:dyDescent="0.25">
      <c r="Z15918"/>
    </row>
    <row r="15919" spans="26:26" x14ac:dyDescent="0.25">
      <c r="Z15919"/>
    </row>
    <row r="15920" spans="26:26" x14ac:dyDescent="0.25">
      <c r="Z15920"/>
    </row>
    <row r="15921" spans="26:26" x14ac:dyDescent="0.25">
      <c r="Z15921"/>
    </row>
    <row r="15922" spans="26:26" x14ac:dyDescent="0.25">
      <c r="Z15922"/>
    </row>
    <row r="15923" spans="26:26" x14ac:dyDescent="0.25">
      <c r="Z15923"/>
    </row>
    <row r="15924" spans="26:26" x14ac:dyDescent="0.25">
      <c r="Z15924"/>
    </row>
    <row r="15925" spans="26:26" x14ac:dyDescent="0.25">
      <c r="Z15925"/>
    </row>
    <row r="15926" spans="26:26" x14ac:dyDescent="0.25">
      <c r="Z15926"/>
    </row>
    <row r="15927" spans="26:26" x14ac:dyDescent="0.25">
      <c r="Z15927"/>
    </row>
    <row r="15928" spans="26:26" x14ac:dyDescent="0.25">
      <c r="Z15928"/>
    </row>
    <row r="15929" spans="26:26" x14ac:dyDescent="0.25">
      <c r="Z15929"/>
    </row>
    <row r="15930" spans="26:26" x14ac:dyDescent="0.25">
      <c r="Z15930"/>
    </row>
    <row r="15931" spans="26:26" x14ac:dyDescent="0.25">
      <c r="Z15931"/>
    </row>
    <row r="15932" spans="26:26" x14ac:dyDescent="0.25">
      <c r="Z15932"/>
    </row>
    <row r="15933" spans="26:26" x14ac:dyDescent="0.25">
      <c r="Z15933"/>
    </row>
    <row r="15934" spans="26:26" x14ac:dyDescent="0.25">
      <c r="Z15934"/>
    </row>
    <row r="15935" spans="26:26" x14ac:dyDescent="0.25">
      <c r="Z15935"/>
    </row>
    <row r="15936" spans="26:26" x14ac:dyDescent="0.25">
      <c r="Z15936"/>
    </row>
    <row r="15937" spans="26:26" x14ac:dyDescent="0.25">
      <c r="Z15937"/>
    </row>
    <row r="15938" spans="26:26" x14ac:dyDescent="0.25">
      <c r="Z15938"/>
    </row>
    <row r="15939" spans="26:26" x14ac:dyDescent="0.25">
      <c r="Z15939"/>
    </row>
    <row r="15940" spans="26:26" x14ac:dyDescent="0.25">
      <c r="Z15940"/>
    </row>
    <row r="15941" spans="26:26" x14ac:dyDescent="0.25">
      <c r="Z15941"/>
    </row>
    <row r="15942" spans="26:26" x14ac:dyDescent="0.25">
      <c r="Z15942"/>
    </row>
    <row r="15943" spans="26:26" x14ac:dyDescent="0.25">
      <c r="Z15943"/>
    </row>
    <row r="15944" spans="26:26" x14ac:dyDescent="0.25">
      <c r="Z15944"/>
    </row>
    <row r="15945" spans="26:26" x14ac:dyDescent="0.25">
      <c r="Z15945"/>
    </row>
    <row r="15946" spans="26:26" x14ac:dyDescent="0.25">
      <c r="Z15946"/>
    </row>
    <row r="15947" spans="26:26" x14ac:dyDescent="0.25">
      <c r="Z15947"/>
    </row>
    <row r="15948" spans="26:26" x14ac:dyDescent="0.25">
      <c r="Z15948"/>
    </row>
    <row r="15949" spans="26:26" x14ac:dyDescent="0.25">
      <c r="Z15949"/>
    </row>
    <row r="15950" spans="26:26" x14ac:dyDescent="0.25">
      <c r="Z15950"/>
    </row>
    <row r="15951" spans="26:26" x14ac:dyDescent="0.25">
      <c r="Z15951"/>
    </row>
    <row r="15952" spans="26:26" x14ac:dyDescent="0.25">
      <c r="Z15952"/>
    </row>
    <row r="15953" spans="26:26" x14ac:dyDescent="0.25">
      <c r="Z15953"/>
    </row>
    <row r="15954" spans="26:26" x14ac:dyDescent="0.25">
      <c r="Z15954"/>
    </row>
    <row r="15955" spans="26:26" x14ac:dyDescent="0.25">
      <c r="Z15955"/>
    </row>
    <row r="15956" spans="26:26" x14ac:dyDescent="0.25">
      <c r="Z15956"/>
    </row>
    <row r="15957" spans="26:26" x14ac:dyDescent="0.25">
      <c r="Z15957"/>
    </row>
    <row r="15958" spans="26:26" x14ac:dyDescent="0.25">
      <c r="Z15958"/>
    </row>
    <row r="15959" spans="26:26" x14ac:dyDescent="0.25">
      <c r="Z15959"/>
    </row>
    <row r="15960" spans="26:26" x14ac:dyDescent="0.25">
      <c r="Z15960"/>
    </row>
    <row r="15961" spans="26:26" x14ac:dyDescent="0.25">
      <c r="Z15961"/>
    </row>
    <row r="15962" spans="26:26" x14ac:dyDescent="0.25">
      <c r="Z15962"/>
    </row>
    <row r="15963" spans="26:26" x14ac:dyDescent="0.25">
      <c r="Z15963"/>
    </row>
    <row r="15964" spans="26:26" x14ac:dyDescent="0.25">
      <c r="Z15964"/>
    </row>
    <row r="15965" spans="26:26" x14ac:dyDescent="0.25">
      <c r="Z15965"/>
    </row>
    <row r="15966" spans="26:26" x14ac:dyDescent="0.25">
      <c r="Z15966"/>
    </row>
    <row r="15967" spans="26:26" x14ac:dyDescent="0.25">
      <c r="Z15967"/>
    </row>
    <row r="15968" spans="26:26" x14ac:dyDescent="0.25">
      <c r="Z15968"/>
    </row>
    <row r="15969" spans="26:26" x14ac:dyDescent="0.25">
      <c r="Z15969"/>
    </row>
    <row r="15970" spans="26:26" x14ac:dyDescent="0.25">
      <c r="Z15970"/>
    </row>
    <row r="15971" spans="26:26" x14ac:dyDescent="0.25">
      <c r="Z15971"/>
    </row>
    <row r="15972" spans="26:26" x14ac:dyDescent="0.25">
      <c r="Z15972"/>
    </row>
    <row r="15973" spans="26:26" x14ac:dyDescent="0.25">
      <c r="Z15973"/>
    </row>
    <row r="15974" spans="26:26" x14ac:dyDescent="0.25">
      <c r="Z15974"/>
    </row>
    <row r="15975" spans="26:26" x14ac:dyDescent="0.25">
      <c r="Z15975"/>
    </row>
    <row r="15976" spans="26:26" x14ac:dyDescent="0.25">
      <c r="Z15976"/>
    </row>
    <row r="15977" spans="26:26" x14ac:dyDescent="0.25">
      <c r="Z15977"/>
    </row>
    <row r="15978" spans="26:26" x14ac:dyDescent="0.25">
      <c r="Z15978"/>
    </row>
    <row r="15979" spans="26:26" x14ac:dyDescent="0.25">
      <c r="Z15979"/>
    </row>
    <row r="15980" spans="26:26" x14ac:dyDescent="0.25">
      <c r="Z15980"/>
    </row>
    <row r="15981" spans="26:26" x14ac:dyDescent="0.25">
      <c r="Z15981"/>
    </row>
    <row r="15982" spans="26:26" x14ac:dyDescent="0.25">
      <c r="Z15982"/>
    </row>
    <row r="15983" spans="26:26" x14ac:dyDescent="0.25">
      <c r="Z15983"/>
    </row>
    <row r="15984" spans="26:26" x14ac:dyDescent="0.25">
      <c r="Z15984"/>
    </row>
    <row r="15985" spans="26:26" x14ac:dyDescent="0.25">
      <c r="Z15985"/>
    </row>
    <row r="15986" spans="26:26" x14ac:dyDescent="0.25">
      <c r="Z15986"/>
    </row>
    <row r="15987" spans="26:26" x14ac:dyDescent="0.25">
      <c r="Z15987"/>
    </row>
    <row r="15988" spans="26:26" x14ac:dyDescent="0.25">
      <c r="Z15988"/>
    </row>
    <row r="15989" spans="26:26" x14ac:dyDescent="0.25">
      <c r="Z15989"/>
    </row>
    <row r="15990" spans="26:26" x14ac:dyDescent="0.25">
      <c r="Z15990"/>
    </row>
    <row r="15991" spans="26:26" x14ac:dyDescent="0.25">
      <c r="Z15991"/>
    </row>
    <row r="15992" spans="26:26" x14ac:dyDescent="0.25">
      <c r="Z15992"/>
    </row>
    <row r="15993" spans="26:26" x14ac:dyDescent="0.25">
      <c r="Z15993"/>
    </row>
    <row r="15994" spans="26:26" x14ac:dyDescent="0.25">
      <c r="Z15994"/>
    </row>
    <row r="15995" spans="26:26" x14ac:dyDescent="0.25">
      <c r="Z15995"/>
    </row>
    <row r="15996" spans="26:26" x14ac:dyDescent="0.25">
      <c r="Z15996"/>
    </row>
    <row r="15997" spans="26:26" x14ac:dyDescent="0.25">
      <c r="Z15997"/>
    </row>
    <row r="15998" spans="26:26" x14ac:dyDescent="0.25">
      <c r="Z15998"/>
    </row>
    <row r="15999" spans="26:26" x14ac:dyDescent="0.25">
      <c r="Z15999"/>
    </row>
    <row r="16000" spans="26:26" x14ac:dyDescent="0.25">
      <c r="Z16000"/>
    </row>
    <row r="16001" spans="26:26" x14ac:dyDescent="0.25">
      <c r="Z16001"/>
    </row>
    <row r="16002" spans="26:26" x14ac:dyDescent="0.25">
      <c r="Z16002"/>
    </row>
    <row r="16003" spans="26:26" x14ac:dyDescent="0.25">
      <c r="Z16003"/>
    </row>
    <row r="16004" spans="26:26" x14ac:dyDescent="0.25">
      <c r="Z16004"/>
    </row>
    <row r="16005" spans="26:26" x14ac:dyDescent="0.25">
      <c r="Z16005"/>
    </row>
    <row r="16006" spans="26:26" x14ac:dyDescent="0.25">
      <c r="Z16006"/>
    </row>
    <row r="16007" spans="26:26" x14ac:dyDescent="0.25">
      <c r="Z16007"/>
    </row>
    <row r="16008" spans="26:26" x14ac:dyDescent="0.25">
      <c r="Z16008"/>
    </row>
    <row r="16009" spans="26:26" x14ac:dyDescent="0.25">
      <c r="Z16009"/>
    </row>
    <row r="16010" spans="26:26" x14ac:dyDescent="0.25">
      <c r="Z16010"/>
    </row>
    <row r="16011" spans="26:26" x14ac:dyDescent="0.25">
      <c r="Z16011"/>
    </row>
    <row r="16012" spans="26:26" x14ac:dyDescent="0.25">
      <c r="Z16012"/>
    </row>
    <row r="16013" spans="26:26" x14ac:dyDescent="0.25">
      <c r="Z16013"/>
    </row>
    <row r="16014" spans="26:26" x14ac:dyDescent="0.25">
      <c r="Z16014"/>
    </row>
    <row r="16015" spans="26:26" x14ac:dyDescent="0.25">
      <c r="Z16015"/>
    </row>
    <row r="16016" spans="26:26" x14ac:dyDescent="0.25">
      <c r="Z16016"/>
    </row>
    <row r="16017" spans="26:26" x14ac:dyDescent="0.25">
      <c r="Z16017"/>
    </row>
    <row r="16018" spans="26:26" x14ac:dyDescent="0.25">
      <c r="Z16018"/>
    </row>
    <row r="16019" spans="26:26" x14ac:dyDescent="0.25">
      <c r="Z16019"/>
    </row>
    <row r="16020" spans="26:26" x14ac:dyDescent="0.25">
      <c r="Z16020"/>
    </row>
    <row r="16021" spans="26:26" x14ac:dyDescent="0.25">
      <c r="Z16021"/>
    </row>
    <row r="16022" spans="26:26" x14ac:dyDescent="0.25">
      <c r="Z16022"/>
    </row>
    <row r="16023" spans="26:26" x14ac:dyDescent="0.25">
      <c r="Z16023"/>
    </row>
    <row r="16024" spans="26:26" x14ac:dyDescent="0.25">
      <c r="Z16024"/>
    </row>
    <row r="16025" spans="26:26" x14ac:dyDescent="0.25">
      <c r="Z16025"/>
    </row>
    <row r="16026" spans="26:26" x14ac:dyDescent="0.25">
      <c r="Z16026"/>
    </row>
    <row r="16027" spans="26:26" x14ac:dyDescent="0.25">
      <c r="Z16027"/>
    </row>
    <row r="16028" spans="26:26" x14ac:dyDescent="0.25">
      <c r="Z16028"/>
    </row>
    <row r="16029" spans="26:26" x14ac:dyDescent="0.25">
      <c r="Z16029"/>
    </row>
    <row r="16030" spans="26:26" x14ac:dyDescent="0.25">
      <c r="Z16030"/>
    </row>
    <row r="16031" spans="26:26" x14ac:dyDescent="0.25">
      <c r="Z16031"/>
    </row>
    <row r="16032" spans="26:26" x14ac:dyDescent="0.25">
      <c r="Z16032"/>
    </row>
    <row r="16033" spans="26:26" x14ac:dyDescent="0.25">
      <c r="Z16033"/>
    </row>
    <row r="16034" spans="26:26" x14ac:dyDescent="0.25">
      <c r="Z16034"/>
    </row>
    <row r="16035" spans="26:26" x14ac:dyDescent="0.25">
      <c r="Z16035"/>
    </row>
    <row r="16036" spans="26:26" x14ac:dyDescent="0.25">
      <c r="Z16036"/>
    </row>
    <row r="16037" spans="26:26" x14ac:dyDescent="0.25">
      <c r="Z16037"/>
    </row>
    <row r="16038" spans="26:26" x14ac:dyDescent="0.25">
      <c r="Z16038"/>
    </row>
    <row r="16039" spans="26:26" x14ac:dyDescent="0.25">
      <c r="Z16039"/>
    </row>
    <row r="16040" spans="26:26" x14ac:dyDescent="0.25">
      <c r="Z16040"/>
    </row>
    <row r="16041" spans="26:26" x14ac:dyDescent="0.25">
      <c r="Z16041"/>
    </row>
    <row r="16042" spans="26:26" x14ac:dyDescent="0.25">
      <c r="Z16042"/>
    </row>
    <row r="16043" spans="26:26" x14ac:dyDescent="0.25">
      <c r="Z16043"/>
    </row>
    <row r="16044" spans="26:26" x14ac:dyDescent="0.25">
      <c r="Z16044"/>
    </row>
    <row r="16045" spans="26:26" x14ac:dyDescent="0.25">
      <c r="Z16045"/>
    </row>
    <row r="16046" spans="26:26" x14ac:dyDescent="0.25">
      <c r="Z16046"/>
    </row>
    <row r="16047" spans="26:26" x14ac:dyDescent="0.25">
      <c r="Z16047"/>
    </row>
    <row r="16048" spans="26:26" x14ac:dyDescent="0.25">
      <c r="Z16048"/>
    </row>
    <row r="16049" spans="26:26" x14ac:dyDescent="0.25">
      <c r="Z16049"/>
    </row>
    <row r="16050" spans="26:26" x14ac:dyDescent="0.25">
      <c r="Z16050"/>
    </row>
    <row r="16051" spans="26:26" x14ac:dyDescent="0.25">
      <c r="Z16051"/>
    </row>
    <row r="16052" spans="26:26" x14ac:dyDescent="0.25">
      <c r="Z16052"/>
    </row>
    <row r="16053" spans="26:26" x14ac:dyDescent="0.25">
      <c r="Z16053"/>
    </row>
    <row r="16054" spans="26:26" x14ac:dyDescent="0.25">
      <c r="Z16054"/>
    </row>
    <row r="16055" spans="26:26" x14ac:dyDescent="0.25">
      <c r="Z16055"/>
    </row>
    <row r="16056" spans="26:26" x14ac:dyDescent="0.25">
      <c r="Z16056"/>
    </row>
    <row r="16057" spans="26:26" x14ac:dyDescent="0.25">
      <c r="Z16057"/>
    </row>
    <row r="16058" spans="26:26" x14ac:dyDescent="0.25">
      <c r="Z16058"/>
    </row>
    <row r="16059" spans="26:26" x14ac:dyDescent="0.25">
      <c r="Z16059"/>
    </row>
    <row r="16060" spans="26:26" x14ac:dyDescent="0.25">
      <c r="Z16060"/>
    </row>
    <row r="16061" spans="26:26" x14ac:dyDescent="0.25">
      <c r="Z16061"/>
    </row>
    <row r="16062" spans="26:26" x14ac:dyDescent="0.25">
      <c r="Z16062"/>
    </row>
    <row r="16063" spans="26:26" x14ac:dyDescent="0.25">
      <c r="Z16063"/>
    </row>
    <row r="16064" spans="26:26" x14ac:dyDescent="0.25">
      <c r="Z16064"/>
    </row>
    <row r="16065" spans="26:26" x14ac:dyDescent="0.25">
      <c r="Z16065"/>
    </row>
    <row r="16066" spans="26:26" x14ac:dyDescent="0.25">
      <c r="Z16066"/>
    </row>
    <row r="16067" spans="26:26" x14ac:dyDescent="0.25">
      <c r="Z16067"/>
    </row>
    <row r="16068" spans="26:26" x14ac:dyDescent="0.25">
      <c r="Z16068"/>
    </row>
    <row r="16069" spans="26:26" x14ac:dyDescent="0.25">
      <c r="Z16069"/>
    </row>
    <row r="16070" spans="26:26" x14ac:dyDescent="0.25">
      <c r="Z16070"/>
    </row>
    <row r="16071" spans="26:26" x14ac:dyDescent="0.25">
      <c r="Z16071"/>
    </row>
    <row r="16072" spans="26:26" x14ac:dyDescent="0.25">
      <c r="Z16072"/>
    </row>
    <row r="16073" spans="26:26" x14ac:dyDescent="0.25">
      <c r="Z16073"/>
    </row>
    <row r="16074" spans="26:26" x14ac:dyDescent="0.25">
      <c r="Z16074"/>
    </row>
    <row r="16075" spans="26:26" x14ac:dyDescent="0.25">
      <c r="Z16075"/>
    </row>
    <row r="16076" spans="26:26" x14ac:dyDescent="0.25">
      <c r="Z16076"/>
    </row>
    <row r="16077" spans="26:26" x14ac:dyDescent="0.25">
      <c r="Z16077"/>
    </row>
    <row r="16078" spans="26:26" x14ac:dyDescent="0.25">
      <c r="Z16078"/>
    </row>
    <row r="16079" spans="26:26" x14ac:dyDescent="0.25">
      <c r="Z16079"/>
    </row>
    <row r="16080" spans="26:26" x14ac:dyDescent="0.25">
      <c r="Z16080"/>
    </row>
    <row r="16081" spans="26:26" x14ac:dyDescent="0.25">
      <c r="Z16081"/>
    </row>
    <row r="16082" spans="26:26" x14ac:dyDescent="0.25">
      <c r="Z16082"/>
    </row>
    <row r="16083" spans="26:26" x14ac:dyDescent="0.25">
      <c r="Z16083"/>
    </row>
    <row r="16084" spans="26:26" x14ac:dyDescent="0.25">
      <c r="Z16084"/>
    </row>
    <row r="16085" spans="26:26" x14ac:dyDescent="0.25">
      <c r="Z16085"/>
    </row>
    <row r="16086" spans="26:26" x14ac:dyDescent="0.25">
      <c r="Z16086"/>
    </row>
    <row r="16087" spans="26:26" x14ac:dyDescent="0.25">
      <c r="Z16087"/>
    </row>
    <row r="16088" spans="26:26" x14ac:dyDescent="0.25">
      <c r="Z16088"/>
    </row>
    <row r="16089" spans="26:26" x14ac:dyDescent="0.25">
      <c r="Z16089"/>
    </row>
    <row r="16090" spans="26:26" x14ac:dyDescent="0.25">
      <c r="Z16090"/>
    </row>
    <row r="16091" spans="26:26" x14ac:dyDescent="0.25">
      <c r="Z16091"/>
    </row>
    <row r="16092" spans="26:26" x14ac:dyDescent="0.25">
      <c r="Z16092"/>
    </row>
    <row r="16093" spans="26:26" x14ac:dyDescent="0.25">
      <c r="Z16093"/>
    </row>
    <row r="16094" spans="26:26" x14ac:dyDescent="0.25">
      <c r="Z16094"/>
    </row>
    <row r="16095" spans="26:26" x14ac:dyDescent="0.25">
      <c r="Z16095"/>
    </row>
    <row r="16096" spans="26:26" x14ac:dyDescent="0.25">
      <c r="Z16096"/>
    </row>
    <row r="16097" spans="26:26" x14ac:dyDescent="0.25">
      <c r="Z16097"/>
    </row>
    <row r="16098" spans="26:26" x14ac:dyDescent="0.25">
      <c r="Z16098"/>
    </row>
    <row r="16099" spans="26:26" x14ac:dyDescent="0.25">
      <c r="Z16099"/>
    </row>
    <row r="16100" spans="26:26" x14ac:dyDescent="0.25">
      <c r="Z16100"/>
    </row>
    <row r="16101" spans="26:26" x14ac:dyDescent="0.25">
      <c r="Z16101"/>
    </row>
    <row r="16102" spans="26:26" x14ac:dyDescent="0.25">
      <c r="Z16102"/>
    </row>
    <row r="16103" spans="26:26" x14ac:dyDescent="0.25">
      <c r="Z16103"/>
    </row>
    <row r="16104" spans="26:26" x14ac:dyDescent="0.25">
      <c r="Z16104"/>
    </row>
    <row r="16105" spans="26:26" x14ac:dyDescent="0.25">
      <c r="Z16105"/>
    </row>
    <row r="16106" spans="26:26" x14ac:dyDescent="0.25">
      <c r="Z16106"/>
    </row>
    <row r="16107" spans="26:26" x14ac:dyDescent="0.25">
      <c r="Z16107"/>
    </row>
    <row r="16108" spans="26:26" x14ac:dyDescent="0.25">
      <c r="Z16108"/>
    </row>
    <row r="16109" spans="26:26" x14ac:dyDescent="0.25">
      <c r="Z16109"/>
    </row>
    <row r="16110" spans="26:26" x14ac:dyDescent="0.25">
      <c r="Z16110"/>
    </row>
    <row r="16111" spans="26:26" x14ac:dyDescent="0.25">
      <c r="Z16111"/>
    </row>
    <row r="16112" spans="26:26" x14ac:dyDescent="0.25">
      <c r="Z16112"/>
    </row>
    <row r="16113" spans="26:26" x14ac:dyDescent="0.25">
      <c r="Z16113"/>
    </row>
    <row r="16114" spans="26:26" x14ac:dyDescent="0.25">
      <c r="Z16114"/>
    </row>
    <row r="16115" spans="26:26" x14ac:dyDescent="0.25">
      <c r="Z16115"/>
    </row>
    <row r="16116" spans="26:26" x14ac:dyDescent="0.25">
      <c r="Z16116"/>
    </row>
    <row r="16117" spans="26:26" x14ac:dyDescent="0.25">
      <c r="Z16117"/>
    </row>
    <row r="16118" spans="26:26" x14ac:dyDescent="0.25">
      <c r="Z16118"/>
    </row>
    <row r="16119" spans="26:26" x14ac:dyDescent="0.25">
      <c r="Z16119"/>
    </row>
    <row r="16120" spans="26:26" x14ac:dyDescent="0.25">
      <c r="Z16120"/>
    </row>
    <row r="16121" spans="26:26" x14ac:dyDescent="0.25">
      <c r="Z16121"/>
    </row>
    <row r="16122" spans="26:26" x14ac:dyDescent="0.25">
      <c r="Z16122"/>
    </row>
    <row r="16123" spans="26:26" x14ac:dyDescent="0.25">
      <c r="Z16123"/>
    </row>
    <row r="16124" spans="26:26" x14ac:dyDescent="0.25">
      <c r="Z16124"/>
    </row>
    <row r="16125" spans="26:26" x14ac:dyDescent="0.25">
      <c r="Z16125"/>
    </row>
    <row r="16126" spans="26:26" x14ac:dyDescent="0.25">
      <c r="Z16126"/>
    </row>
    <row r="16127" spans="26:26" x14ac:dyDescent="0.25">
      <c r="Z16127"/>
    </row>
    <row r="16128" spans="26:26" x14ac:dyDescent="0.25">
      <c r="Z16128"/>
    </row>
    <row r="16129" spans="26:26" x14ac:dyDescent="0.25">
      <c r="Z16129"/>
    </row>
    <row r="16130" spans="26:26" x14ac:dyDescent="0.25">
      <c r="Z16130"/>
    </row>
    <row r="16131" spans="26:26" x14ac:dyDescent="0.25">
      <c r="Z16131"/>
    </row>
    <row r="16132" spans="26:26" x14ac:dyDescent="0.25">
      <c r="Z16132"/>
    </row>
    <row r="16133" spans="26:26" x14ac:dyDescent="0.25">
      <c r="Z16133"/>
    </row>
    <row r="16134" spans="26:26" x14ac:dyDescent="0.25">
      <c r="Z16134"/>
    </row>
    <row r="16135" spans="26:26" x14ac:dyDescent="0.25">
      <c r="Z16135"/>
    </row>
    <row r="16136" spans="26:26" x14ac:dyDescent="0.25">
      <c r="Z16136"/>
    </row>
    <row r="16137" spans="26:26" x14ac:dyDescent="0.25">
      <c r="Z16137"/>
    </row>
    <row r="16138" spans="26:26" x14ac:dyDescent="0.25">
      <c r="Z16138"/>
    </row>
    <row r="16139" spans="26:26" x14ac:dyDescent="0.25">
      <c r="Z16139"/>
    </row>
    <row r="16140" spans="26:26" x14ac:dyDescent="0.25">
      <c r="Z16140"/>
    </row>
    <row r="16141" spans="26:26" x14ac:dyDescent="0.25">
      <c r="Z16141"/>
    </row>
    <row r="16142" spans="26:26" x14ac:dyDescent="0.25">
      <c r="Z16142"/>
    </row>
    <row r="16143" spans="26:26" x14ac:dyDescent="0.25">
      <c r="Z16143"/>
    </row>
    <row r="16144" spans="26:26" x14ac:dyDescent="0.25">
      <c r="Z16144"/>
    </row>
    <row r="16145" spans="26:26" x14ac:dyDescent="0.25">
      <c r="Z16145"/>
    </row>
    <row r="16146" spans="26:26" x14ac:dyDescent="0.25">
      <c r="Z16146"/>
    </row>
    <row r="16147" spans="26:26" x14ac:dyDescent="0.25">
      <c r="Z16147"/>
    </row>
    <row r="16148" spans="26:26" x14ac:dyDescent="0.25">
      <c r="Z16148"/>
    </row>
    <row r="16149" spans="26:26" x14ac:dyDescent="0.25">
      <c r="Z16149"/>
    </row>
    <row r="16150" spans="26:26" x14ac:dyDescent="0.25">
      <c r="Z16150"/>
    </row>
    <row r="16151" spans="26:26" x14ac:dyDescent="0.25">
      <c r="Z16151"/>
    </row>
    <row r="16152" spans="26:26" x14ac:dyDescent="0.25">
      <c r="Z16152"/>
    </row>
    <row r="16153" spans="26:26" x14ac:dyDescent="0.25">
      <c r="Z16153"/>
    </row>
    <row r="16154" spans="26:26" x14ac:dyDescent="0.25">
      <c r="Z16154"/>
    </row>
    <row r="16155" spans="26:26" x14ac:dyDescent="0.25">
      <c r="Z16155"/>
    </row>
    <row r="16156" spans="26:26" x14ac:dyDescent="0.25">
      <c r="Z16156"/>
    </row>
    <row r="16157" spans="26:26" x14ac:dyDescent="0.25">
      <c r="Z16157"/>
    </row>
    <row r="16158" spans="26:26" x14ac:dyDescent="0.25">
      <c r="Z16158"/>
    </row>
    <row r="16159" spans="26:26" x14ac:dyDescent="0.25">
      <c r="Z16159"/>
    </row>
    <row r="16160" spans="26:26" x14ac:dyDescent="0.25">
      <c r="Z16160"/>
    </row>
    <row r="16161" spans="26:26" x14ac:dyDescent="0.25">
      <c r="Z16161"/>
    </row>
    <row r="16162" spans="26:26" x14ac:dyDescent="0.25">
      <c r="Z16162"/>
    </row>
    <row r="16163" spans="26:26" x14ac:dyDescent="0.25">
      <c r="Z16163"/>
    </row>
    <row r="16164" spans="26:26" x14ac:dyDescent="0.25">
      <c r="Z16164"/>
    </row>
    <row r="16165" spans="26:26" x14ac:dyDescent="0.25">
      <c r="Z16165"/>
    </row>
    <row r="16166" spans="26:26" x14ac:dyDescent="0.25">
      <c r="Z16166"/>
    </row>
    <row r="16167" spans="26:26" x14ac:dyDescent="0.25">
      <c r="Z16167"/>
    </row>
    <row r="16168" spans="26:26" x14ac:dyDescent="0.25">
      <c r="Z16168"/>
    </row>
    <row r="16169" spans="26:26" x14ac:dyDescent="0.25">
      <c r="Z16169"/>
    </row>
    <row r="16170" spans="26:26" x14ac:dyDescent="0.25">
      <c r="Z16170"/>
    </row>
    <row r="16171" spans="26:26" x14ac:dyDescent="0.25">
      <c r="Z16171"/>
    </row>
    <row r="16172" spans="26:26" x14ac:dyDescent="0.25">
      <c r="Z16172"/>
    </row>
    <row r="16173" spans="26:26" x14ac:dyDescent="0.25">
      <c r="Z16173"/>
    </row>
    <row r="16174" spans="26:26" x14ac:dyDescent="0.25">
      <c r="Z16174"/>
    </row>
    <row r="16175" spans="26:26" x14ac:dyDescent="0.25">
      <c r="Z16175"/>
    </row>
    <row r="16176" spans="26:26" x14ac:dyDescent="0.25">
      <c r="Z16176"/>
    </row>
    <row r="16177" spans="26:26" x14ac:dyDescent="0.25">
      <c r="Z16177"/>
    </row>
    <row r="16178" spans="26:26" x14ac:dyDescent="0.25">
      <c r="Z16178"/>
    </row>
    <row r="16179" spans="26:26" x14ac:dyDescent="0.25">
      <c r="Z16179"/>
    </row>
    <row r="16180" spans="26:26" x14ac:dyDescent="0.25">
      <c r="Z16180"/>
    </row>
    <row r="16181" spans="26:26" x14ac:dyDescent="0.25">
      <c r="Z16181"/>
    </row>
    <row r="16182" spans="26:26" x14ac:dyDescent="0.25">
      <c r="Z16182"/>
    </row>
    <row r="16183" spans="26:26" x14ac:dyDescent="0.25">
      <c r="Z16183"/>
    </row>
    <row r="16184" spans="26:26" x14ac:dyDescent="0.25">
      <c r="Z16184"/>
    </row>
    <row r="16185" spans="26:26" x14ac:dyDescent="0.25">
      <c r="Z16185"/>
    </row>
    <row r="16186" spans="26:26" x14ac:dyDescent="0.25">
      <c r="Z16186"/>
    </row>
    <row r="16187" spans="26:26" x14ac:dyDescent="0.25">
      <c r="Z16187"/>
    </row>
    <row r="16188" spans="26:26" x14ac:dyDescent="0.25">
      <c r="Z16188"/>
    </row>
    <row r="16189" spans="26:26" x14ac:dyDescent="0.25">
      <c r="Z16189"/>
    </row>
    <row r="16190" spans="26:26" x14ac:dyDescent="0.25">
      <c r="Z16190"/>
    </row>
    <row r="16191" spans="26:26" x14ac:dyDescent="0.25">
      <c r="Z16191"/>
    </row>
    <row r="16192" spans="26:26" x14ac:dyDescent="0.25">
      <c r="Z16192"/>
    </row>
    <row r="16193" spans="26:26" x14ac:dyDescent="0.25">
      <c r="Z16193"/>
    </row>
    <row r="16194" spans="26:26" x14ac:dyDescent="0.25">
      <c r="Z16194"/>
    </row>
    <row r="16195" spans="26:26" x14ac:dyDescent="0.25">
      <c r="Z16195"/>
    </row>
    <row r="16196" spans="26:26" x14ac:dyDescent="0.25">
      <c r="Z16196"/>
    </row>
    <row r="16197" spans="26:26" x14ac:dyDescent="0.25">
      <c r="Z16197"/>
    </row>
    <row r="16198" spans="26:26" x14ac:dyDescent="0.25">
      <c r="Z16198"/>
    </row>
    <row r="16199" spans="26:26" x14ac:dyDescent="0.25">
      <c r="Z16199"/>
    </row>
    <row r="16200" spans="26:26" x14ac:dyDescent="0.25">
      <c r="Z16200"/>
    </row>
    <row r="16201" spans="26:26" x14ac:dyDescent="0.25">
      <c r="Z16201"/>
    </row>
    <row r="16202" spans="26:26" x14ac:dyDescent="0.25">
      <c r="Z16202"/>
    </row>
    <row r="16203" spans="26:26" x14ac:dyDescent="0.25">
      <c r="Z16203"/>
    </row>
    <row r="16204" spans="26:26" x14ac:dyDescent="0.25">
      <c r="Z16204"/>
    </row>
    <row r="16205" spans="26:26" x14ac:dyDescent="0.25">
      <c r="Z16205"/>
    </row>
    <row r="16206" spans="26:26" x14ac:dyDescent="0.25">
      <c r="Z16206"/>
    </row>
    <row r="16207" spans="26:26" x14ac:dyDescent="0.25">
      <c r="Z16207"/>
    </row>
    <row r="16208" spans="26:26" x14ac:dyDescent="0.25">
      <c r="Z16208"/>
    </row>
    <row r="16209" spans="26:26" x14ac:dyDescent="0.25">
      <c r="Z16209"/>
    </row>
    <row r="16210" spans="26:26" x14ac:dyDescent="0.25">
      <c r="Z16210"/>
    </row>
    <row r="16211" spans="26:26" x14ac:dyDescent="0.25">
      <c r="Z16211"/>
    </row>
    <row r="16212" spans="26:26" x14ac:dyDescent="0.25">
      <c r="Z16212"/>
    </row>
    <row r="16213" spans="26:26" x14ac:dyDescent="0.25">
      <c r="Z16213"/>
    </row>
    <row r="16214" spans="26:26" x14ac:dyDescent="0.25">
      <c r="Z16214"/>
    </row>
    <row r="16215" spans="26:26" x14ac:dyDescent="0.25">
      <c r="Z16215"/>
    </row>
    <row r="16216" spans="26:26" x14ac:dyDescent="0.25">
      <c r="Z16216"/>
    </row>
    <row r="16217" spans="26:26" x14ac:dyDescent="0.25">
      <c r="Z16217"/>
    </row>
    <row r="16218" spans="26:26" x14ac:dyDescent="0.25">
      <c r="Z16218"/>
    </row>
    <row r="16219" spans="26:26" x14ac:dyDescent="0.25">
      <c r="Z16219"/>
    </row>
    <row r="16220" spans="26:26" x14ac:dyDescent="0.25">
      <c r="Z16220"/>
    </row>
    <row r="16221" spans="26:26" x14ac:dyDescent="0.25">
      <c r="Z16221"/>
    </row>
    <row r="16222" spans="26:26" x14ac:dyDescent="0.25">
      <c r="Z16222"/>
    </row>
    <row r="16223" spans="26:26" x14ac:dyDescent="0.25">
      <c r="Z16223"/>
    </row>
    <row r="16224" spans="26:26" x14ac:dyDescent="0.25">
      <c r="Z16224"/>
    </row>
    <row r="16225" spans="26:26" x14ac:dyDescent="0.25">
      <c r="Z16225"/>
    </row>
    <row r="16226" spans="26:26" x14ac:dyDescent="0.25">
      <c r="Z16226"/>
    </row>
    <row r="16227" spans="26:26" x14ac:dyDescent="0.25">
      <c r="Z16227"/>
    </row>
    <row r="16228" spans="26:26" x14ac:dyDescent="0.25">
      <c r="Z16228"/>
    </row>
    <row r="16229" spans="26:26" x14ac:dyDescent="0.25">
      <c r="Z16229"/>
    </row>
    <row r="16230" spans="26:26" x14ac:dyDescent="0.25">
      <c r="Z16230"/>
    </row>
    <row r="16231" spans="26:26" x14ac:dyDescent="0.25">
      <c r="Z16231"/>
    </row>
    <row r="16232" spans="26:26" x14ac:dyDescent="0.25">
      <c r="Z16232"/>
    </row>
    <row r="16233" spans="26:26" x14ac:dyDescent="0.25">
      <c r="Z16233"/>
    </row>
    <row r="16234" spans="26:26" x14ac:dyDescent="0.25">
      <c r="Z16234"/>
    </row>
    <row r="16235" spans="26:26" x14ac:dyDescent="0.25">
      <c r="Z16235"/>
    </row>
    <row r="16236" spans="26:26" x14ac:dyDescent="0.25">
      <c r="Z16236"/>
    </row>
    <row r="16237" spans="26:26" x14ac:dyDescent="0.25">
      <c r="Z16237"/>
    </row>
    <row r="16238" spans="26:26" x14ac:dyDescent="0.25">
      <c r="Z16238"/>
    </row>
    <row r="16239" spans="26:26" x14ac:dyDescent="0.25">
      <c r="Z16239"/>
    </row>
    <row r="16240" spans="26:26" x14ac:dyDescent="0.25">
      <c r="Z16240"/>
    </row>
    <row r="16241" spans="26:26" x14ac:dyDescent="0.25">
      <c r="Z16241"/>
    </row>
    <row r="16242" spans="26:26" x14ac:dyDescent="0.25">
      <c r="Z16242"/>
    </row>
    <row r="16243" spans="26:26" x14ac:dyDescent="0.25">
      <c r="Z16243"/>
    </row>
    <row r="16244" spans="26:26" x14ac:dyDescent="0.25">
      <c r="Z16244"/>
    </row>
    <row r="16245" spans="26:26" x14ac:dyDescent="0.25">
      <c r="Z16245"/>
    </row>
    <row r="16246" spans="26:26" x14ac:dyDescent="0.25">
      <c r="Z16246"/>
    </row>
    <row r="16247" spans="26:26" x14ac:dyDescent="0.25">
      <c r="Z16247"/>
    </row>
    <row r="16248" spans="26:26" x14ac:dyDescent="0.25">
      <c r="Z16248"/>
    </row>
    <row r="16249" spans="26:26" x14ac:dyDescent="0.25">
      <c r="Z16249"/>
    </row>
    <row r="16250" spans="26:26" x14ac:dyDescent="0.25">
      <c r="Z16250"/>
    </row>
    <row r="16251" spans="26:26" x14ac:dyDescent="0.25">
      <c r="Z16251"/>
    </row>
    <row r="16252" spans="26:26" x14ac:dyDescent="0.25">
      <c r="Z16252"/>
    </row>
    <row r="16253" spans="26:26" x14ac:dyDescent="0.25">
      <c r="Z16253"/>
    </row>
    <row r="16254" spans="26:26" x14ac:dyDescent="0.25">
      <c r="Z16254"/>
    </row>
    <row r="16255" spans="26:26" x14ac:dyDescent="0.25">
      <c r="Z16255"/>
    </row>
    <row r="16256" spans="26:26" x14ac:dyDescent="0.25">
      <c r="Z16256"/>
    </row>
    <row r="16257" spans="26:26" x14ac:dyDescent="0.25">
      <c r="Z16257"/>
    </row>
    <row r="16258" spans="26:26" x14ac:dyDescent="0.25">
      <c r="Z16258"/>
    </row>
    <row r="16259" spans="26:26" x14ac:dyDescent="0.25">
      <c r="Z16259"/>
    </row>
    <row r="16260" spans="26:26" x14ac:dyDescent="0.25">
      <c r="Z16260"/>
    </row>
    <row r="16261" spans="26:26" x14ac:dyDescent="0.25">
      <c r="Z16261"/>
    </row>
    <row r="16262" spans="26:26" x14ac:dyDescent="0.25">
      <c r="Z16262"/>
    </row>
    <row r="16263" spans="26:26" x14ac:dyDescent="0.25">
      <c r="Z16263"/>
    </row>
    <row r="16264" spans="26:26" x14ac:dyDescent="0.25">
      <c r="Z16264"/>
    </row>
    <row r="16265" spans="26:26" x14ac:dyDescent="0.25">
      <c r="Z16265"/>
    </row>
    <row r="16266" spans="26:26" x14ac:dyDescent="0.25">
      <c r="Z16266"/>
    </row>
    <row r="16267" spans="26:26" x14ac:dyDescent="0.25">
      <c r="Z16267"/>
    </row>
    <row r="16268" spans="26:26" x14ac:dyDescent="0.25">
      <c r="Z16268"/>
    </row>
    <row r="16269" spans="26:26" x14ac:dyDescent="0.25">
      <c r="Z16269"/>
    </row>
    <row r="16270" spans="26:26" x14ac:dyDescent="0.25">
      <c r="Z16270"/>
    </row>
    <row r="16271" spans="26:26" x14ac:dyDescent="0.25">
      <c r="Z16271"/>
    </row>
    <row r="16272" spans="26:26" x14ac:dyDescent="0.25">
      <c r="Z16272"/>
    </row>
    <row r="16273" spans="26:26" x14ac:dyDescent="0.25">
      <c r="Z16273"/>
    </row>
    <row r="16274" spans="26:26" x14ac:dyDescent="0.25">
      <c r="Z16274"/>
    </row>
    <row r="16275" spans="26:26" x14ac:dyDescent="0.25">
      <c r="Z16275"/>
    </row>
    <row r="16276" spans="26:26" x14ac:dyDescent="0.25">
      <c r="Z16276"/>
    </row>
    <row r="16277" spans="26:26" x14ac:dyDescent="0.25">
      <c r="Z16277"/>
    </row>
    <row r="16278" spans="26:26" x14ac:dyDescent="0.25">
      <c r="Z16278"/>
    </row>
    <row r="16279" spans="26:26" x14ac:dyDescent="0.25">
      <c r="Z16279"/>
    </row>
    <row r="16280" spans="26:26" x14ac:dyDescent="0.25">
      <c r="Z16280"/>
    </row>
    <row r="16281" spans="26:26" x14ac:dyDescent="0.25">
      <c r="Z16281"/>
    </row>
    <row r="16282" spans="26:26" x14ac:dyDescent="0.25">
      <c r="Z16282"/>
    </row>
    <row r="16283" spans="26:26" x14ac:dyDescent="0.25">
      <c r="Z16283"/>
    </row>
    <row r="16284" spans="26:26" x14ac:dyDescent="0.25">
      <c r="Z16284"/>
    </row>
    <row r="16285" spans="26:26" x14ac:dyDescent="0.25">
      <c r="Z16285"/>
    </row>
    <row r="16286" spans="26:26" x14ac:dyDescent="0.25">
      <c r="Z16286"/>
    </row>
    <row r="16287" spans="26:26" x14ac:dyDescent="0.25">
      <c r="Z16287"/>
    </row>
    <row r="16288" spans="26:26" x14ac:dyDescent="0.25">
      <c r="Z16288"/>
    </row>
    <row r="16289" spans="26:26" x14ac:dyDescent="0.25">
      <c r="Z16289"/>
    </row>
    <row r="16290" spans="26:26" x14ac:dyDescent="0.25">
      <c r="Z16290"/>
    </row>
    <row r="16291" spans="26:26" x14ac:dyDescent="0.25">
      <c r="Z16291"/>
    </row>
    <row r="16292" spans="26:26" x14ac:dyDescent="0.25">
      <c r="Z16292"/>
    </row>
    <row r="16293" spans="26:26" x14ac:dyDescent="0.25">
      <c r="Z16293"/>
    </row>
    <row r="16294" spans="26:26" x14ac:dyDescent="0.25">
      <c r="Z16294"/>
    </row>
    <row r="16295" spans="26:26" x14ac:dyDescent="0.25">
      <c r="Z16295"/>
    </row>
    <row r="16296" spans="26:26" x14ac:dyDescent="0.25">
      <c r="Z16296"/>
    </row>
    <row r="16297" spans="26:26" x14ac:dyDescent="0.25">
      <c r="Z16297"/>
    </row>
    <row r="16298" spans="26:26" x14ac:dyDescent="0.25">
      <c r="Z16298"/>
    </row>
    <row r="16299" spans="26:26" x14ac:dyDescent="0.25">
      <c r="Z16299"/>
    </row>
    <row r="16300" spans="26:26" x14ac:dyDescent="0.25">
      <c r="Z16300"/>
    </row>
    <row r="16301" spans="26:26" x14ac:dyDescent="0.25">
      <c r="Z16301"/>
    </row>
    <row r="16302" spans="26:26" x14ac:dyDescent="0.25">
      <c r="Z16302"/>
    </row>
    <row r="16303" spans="26:26" x14ac:dyDescent="0.25">
      <c r="Z16303"/>
    </row>
    <row r="16304" spans="26:26" x14ac:dyDescent="0.25">
      <c r="Z16304"/>
    </row>
    <row r="16305" spans="26:26" x14ac:dyDescent="0.25">
      <c r="Z16305"/>
    </row>
    <row r="16306" spans="26:26" x14ac:dyDescent="0.25">
      <c r="Z16306"/>
    </row>
    <row r="16307" spans="26:26" x14ac:dyDescent="0.25">
      <c r="Z16307"/>
    </row>
    <row r="16308" spans="26:26" x14ac:dyDescent="0.25">
      <c r="Z16308"/>
    </row>
    <row r="16309" spans="26:26" x14ac:dyDescent="0.25">
      <c r="Z16309"/>
    </row>
    <row r="16310" spans="26:26" x14ac:dyDescent="0.25">
      <c r="Z16310"/>
    </row>
    <row r="16311" spans="26:26" x14ac:dyDescent="0.25">
      <c r="Z16311"/>
    </row>
    <row r="16312" spans="26:26" x14ac:dyDescent="0.25">
      <c r="Z16312"/>
    </row>
    <row r="16313" spans="26:26" x14ac:dyDescent="0.25">
      <c r="Z16313"/>
    </row>
    <row r="16314" spans="26:26" x14ac:dyDescent="0.25">
      <c r="Z16314"/>
    </row>
    <row r="16315" spans="26:26" x14ac:dyDescent="0.25">
      <c r="Z16315"/>
    </row>
    <row r="16316" spans="26:26" x14ac:dyDescent="0.25">
      <c r="Z16316"/>
    </row>
    <row r="16317" spans="26:26" x14ac:dyDescent="0.25">
      <c r="Z16317"/>
    </row>
    <row r="16318" spans="26:26" x14ac:dyDescent="0.25">
      <c r="Z16318"/>
    </row>
    <row r="16319" spans="26:26" x14ac:dyDescent="0.25">
      <c r="Z16319"/>
    </row>
    <row r="16320" spans="26:26" x14ac:dyDescent="0.25">
      <c r="Z16320"/>
    </row>
    <row r="16321" spans="26:26" x14ac:dyDescent="0.25">
      <c r="Z16321"/>
    </row>
    <row r="16322" spans="26:26" x14ac:dyDescent="0.25">
      <c r="Z16322"/>
    </row>
    <row r="16323" spans="26:26" x14ac:dyDescent="0.25">
      <c r="Z16323"/>
    </row>
    <row r="16324" spans="26:26" x14ac:dyDescent="0.25">
      <c r="Z16324"/>
    </row>
    <row r="16325" spans="26:26" x14ac:dyDescent="0.25">
      <c r="Z16325"/>
    </row>
    <row r="16326" spans="26:26" x14ac:dyDescent="0.25">
      <c r="Z16326"/>
    </row>
    <row r="16327" spans="26:26" x14ac:dyDescent="0.25">
      <c r="Z16327"/>
    </row>
    <row r="16328" spans="26:26" x14ac:dyDescent="0.25">
      <c r="Z16328"/>
    </row>
    <row r="16329" spans="26:26" x14ac:dyDescent="0.25">
      <c r="Z16329"/>
    </row>
    <row r="16330" spans="26:26" x14ac:dyDescent="0.25">
      <c r="Z16330"/>
    </row>
    <row r="16331" spans="26:26" x14ac:dyDescent="0.25">
      <c r="Z16331"/>
    </row>
    <row r="16332" spans="26:26" x14ac:dyDescent="0.25">
      <c r="Z16332"/>
    </row>
    <row r="16333" spans="26:26" x14ac:dyDescent="0.25">
      <c r="Z16333"/>
    </row>
    <row r="16334" spans="26:26" x14ac:dyDescent="0.25">
      <c r="Z16334"/>
    </row>
    <row r="16335" spans="26:26" x14ac:dyDescent="0.25">
      <c r="Z16335"/>
    </row>
    <row r="16336" spans="26:26" x14ac:dyDescent="0.25">
      <c r="Z16336"/>
    </row>
    <row r="16337" spans="26:26" x14ac:dyDescent="0.25">
      <c r="Z16337"/>
    </row>
    <row r="16338" spans="26:26" x14ac:dyDescent="0.25">
      <c r="Z16338"/>
    </row>
    <row r="16339" spans="26:26" x14ac:dyDescent="0.25">
      <c r="Z16339"/>
    </row>
    <row r="16340" spans="26:26" x14ac:dyDescent="0.25">
      <c r="Z16340"/>
    </row>
    <row r="16341" spans="26:26" x14ac:dyDescent="0.25">
      <c r="Z16341"/>
    </row>
    <row r="16342" spans="26:26" x14ac:dyDescent="0.25">
      <c r="Z16342"/>
    </row>
    <row r="16343" spans="26:26" x14ac:dyDescent="0.25">
      <c r="Z16343"/>
    </row>
    <row r="16344" spans="26:26" x14ac:dyDescent="0.25">
      <c r="Z16344"/>
    </row>
    <row r="16345" spans="26:26" x14ac:dyDescent="0.25">
      <c r="Z16345"/>
    </row>
    <row r="16346" spans="26:26" x14ac:dyDescent="0.25">
      <c r="Z16346"/>
    </row>
    <row r="16347" spans="26:26" x14ac:dyDescent="0.25">
      <c r="Z16347"/>
    </row>
    <row r="16348" spans="26:26" x14ac:dyDescent="0.25">
      <c r="Z16348"/>
    </row>
    <row r="16349" spans="26:26" x14ac:dyDescent="0.25">
      <c r="Z16349"/>
    </row>
    <row r="16350" spans="26:26" x14ac:dyDescent="0.25">
      <c r="Z16350"/>
    </row>
    <row r="16351" spans="26:26" x14ac:dyDescent="0.25">
      <c r="Z16351"/>
    </row>
    <row r="16352" spans="26:26" x14ac:dyDescent="0.25">
      <c r="Z16352"/>
    </row>
    <row r="16353" spans="26:26" x14ac:dyDescent="0.25">
      <c r="Z16353"/>
    </row>
    <row r="16354" spans="26:26" x14ac:dyDescent="0.25">
      <c r="Z16354"/>
    </row>
    <row r="16355" spans="26:26" x14ac:dyDescent="0.25">
      <c r="Z16355"/>
    </row>
    <row r="16356" spans="26:26" x14ac:dyDescent="0.25">
      <c r="Z16356"/>
    </row>
    <row r="16357" spans="26:26" x14ac:dyDescent="0.25">
      <c r="Z16357"/>
    </row>
    <row r="16358" spans="26:26" x14ac:dyDescent="0.25">
      <c r="Z16358"/>
    </row>
    <row r="16359" spans="26:26" x14ac:dyDescent="0.25">
      <c r="Z16359"/>
    </row>
    <row r="16360" spans="26:26" x14ac:dyDescent="0.25">
      <c r="Z16360"/>
    </row>
    <row r="16361" spans="26:26" x14ac:dyDescent="0.25">
      <c r="Z16361"/>
    </row>
    <row r="16362" spans="26:26" x14ac:dyDescent="0.25">
      <c r="Z16362"/>
    </row>
    <row r="16363" spans="26:26" x14ac:dyDescent="0.25">
      <c r="Z16363"/>
    </row>
    <row r="16364" spans="26:26" x14ac:dyDescent="0.25">
      <c r="Z16364"/>
    </row>
    <row r="16365" spans="26:26" x14ac:dyDescent="0.25">
      <c r="Z16365"/>
    </row>
    <row r="16366" spans="26:26" x14ac:dyDescent="0.25">
      <c r="Z16366"/>
    </row>
    <row r="16367" spans="26:26" x14ac:dyDescent="0.25">
      <c r="Z16367"/>
    </row>
    <row r="16368" spans="26:26" x14ac:dyDescent="0.25">
      <c r="Z16368"/>
    </row>
    <row r="16369" spans="26:26" x14ac:dyDescent="0.25">
      <c r="Z16369"/>
    </row>
    <row r="16370" spans="26:26" x14ac:dyDescent="0.25">
      <c r="Z16370"/>
    </row>
    <row r="16371" spans="26:26" x14ac:dyDescent="0.25">
      <c r="Z16371"/>
    </row>
    <row r="16372" spans="26:26" x14ac:dyDescent="0.25">
      <c r="Z16372"/>
    </row>
    <row r="16373" spans="26:26" x14ac:dyDescent="0.25">
      <c r="Z16373"/>
    </row>
    <row r="16374" spans="26:26" x14ac:dyDescent="0.25">
      <c r="Z16374"/>
    </row>
    <row r="16375" spans="26:26" x14ac:dyDescent="0.25">
      <c r="Z16375"/>
    </row>
    <row r="16376" spans="26:26" x14ac:dyDescent="0.25">
      <c r="Z16376"/>
    </row>
    <row r="16377" spans="26:26" x14ac:dyDescent="0.25">
      <c r="Z16377"/>
    </row>
    <row r="16378" spans="26:26" x14ac:dyDescent="0.25">
      <c r="Z16378"/>
    </row>
    <row r="16379" spans="26:26" x14ac:dyDescent="0.25">
      <c r="Z16379"/>
    </row>
    <row r="16380" spans="26:26" x14ac:dyDescent="0.25">
      <c r="Z16380"/>
    </row>
    <row r="16381" spans="26:26" x14ac:dyDescent="0.25">
      <c r="Z16381"/>
    </row>
    <row r="16382" spans="26:26" x14ac:dyDescent="0.25">
      <c r="Z16382"/>
    </row>
    <row r="16383" spans="26:26" x14ac:dyDescent="0.25">
      <c r="Z16383"/>
    </row>
    <row r="16384" spans="26:26" x14ac:dyDescent="0.25">
      <c r="Z16384"/>
    </row>
    <row r="16385" spans="26:26" x14ac:dyDescent="0.25">
      <c r="Z16385"/>
    </row>
    <row r="16386" spans="26:26" x14ac:dyDescent="0.25">
      <c r="Z16386"/>
    </row>
    <row r="16387" spans="26:26" x14ac:dyDescent="0.25">
      <c r="Z16387"/>
    </row>
    <row r="16388" spans="26:26" x14ac:dyDescent="0.25">
      <c r="Z16388"/>
    </row>
    <row r="16389" spans="26:26" x14ac:dyDescent="0.25">
      <c r="Z16389"/>
    </row>
    <row r="16390" spans="26:26" x14ac:dyDescent="0.25">
      <c r="Z16390"/>
    </row>
    <row r="16391" spans="26:26" x14ac:dyDescent="0.25">
      <c r="Z16391"/>
    </row>
    <row r="16392" spans="26:26" x14ac:dyDescent="0.25">
      <c r="Z16392"/>
    </row>
    <row r="16393" spans="26:26" x14ac:dyDescent="0.25">
      <c r="Z16393"/>
    </row>
    <row r="16394" spans="26:26" x14ac:dyDescent="0.25">
      <c r="Z16394"/>
    </row>
    <row r="16395" spans="26:26" x14ac:dyDescent="0.25">
      <c r="Z16395"/>
    </row>
    <row r="16396" spans="26:26" x14ac:dyDescent="0.25">
      <c r="Z16396"/>
    </row>
    <row r="16397" spans="26:26" x14ac:dyDescent="0.25">
      <c r="Z16397"/>
    </row>
    <row r="16398" spans="26:26" x14ac:dyDescent="0.25">
      <c r="Z16398"/>
    </row>
    <row r="16399" spans="26:26" x14ac:dyDescent="0.25">
      <c r="Z16399"/>
    </row>
    <row r="16400" spans="26:26" x14ac:dyDescent="0.25">
      <c r="Z16400"/>
    </row>
    <row r="16401" spans="26:26" x14ac:dyDescent="0.25">
      <c r="Z16401"/>
    </row>
    <row r="16402" spans="26:26" x14ac:dyDescent="0.25">
      <c r="Z16402"/>
    </row>
    <row r="16403" spans="26:26" x14ac:dyDescent="0.25">
      <c r="Z16403"/>
    </row>
    <row r="16404" spans="26:26" x14ac:dyDescent="0.25">
      <c r="Z16404"/>
    </row>
    <row r="16405" spans="26:26" x14ac:dyDescent="0.25">
      <c r="Z16405"/>
    </row>
    <row r="16406" spans="26:26" x14ac:dyDescent="0.25">
      <c r="Z16406"/>
    </row>
    <row r="16407" spans="26:26" x14ac:dyDescent="0.25">
      <c r="Z16407"/>
    </row>
    <row r="16408" spans="26:26" x14ac:dyDescent="0.25">
      <c r="Z16408"/>
    </row>
    <row r="16409" spans="26:26" x14ac:dyDescent="0.25">
      <c r="Z16409"/>
    </row>
    <row r="16410" spans="26:26" x14ac:dyDescent="0.25">
      <c r="Z16410"/>
    </row>
    <row r="16411" spans="26:26" x14ac:dyDescent="0.25">
      <c r="Z16411"/>
    </row>
    <row r="16412" spans="26:26" x14ac:dyDescent="0.25">
      <c r="Z16412"/>
    </row>
    <row r="16413" spans="26:26" x14ac:dyDescent="0.25">
      <c r="Z16413"/>
    </row>
    <row r="16414" spans="26:26" x14ac:dyDescent="0.25">
      <c r="Z16414"/>
    </row>
    <row r="16415" spans="26:26" x14ac:dyDescent="0.25">
      <c r="Z16415"/>
    </row>
    <row r="16416" spans="26:26" x14ac:dyDescent="0.25">
      <c r="Z16416"/>
    </row>
    <row r="16417" spans="26:26" x14ac:dyDescent="0.25">
      <c r="Z16417"/>
    </row>
    <row r="16418" spans="26:26" x14ac:dyDescent="0.25">
      <c r="Z16418"/>
    </row>
    <row r="16419" spans="26:26" x14ac:dyDescent="0.25">
      <c r="Z16419"/>
    </row>
    <row r="16420" spans="26:26" x14ac:dyDescent="0.25">
      <c r="Z16420"/>
    </row>
    <row r="16421" spans="26:26" x14ac:dyDescent="0.25">
      <c r="Z16421"/>
    </row>
    <row r="16422" spans="26:26" x14ac:dyDescent="0.25">
      <c r="Z16422"/>
    </row>
    <row r="16423" spans="26:26" x14ac:dyDescent="0.25">
      <c r="Z16423"/>
    </row>
    <row r="16424" spans="26:26" x14ac:dyDescent="0.25">
      <c r="Z16424"/>
    </row>
    <row r="16425" spans="26:26" x14ac:dyDescent="0.25">
      <c r="Z16425"/>
    </row>
    <row r="16426" spans="26:26" x14ac:dyDescent="0.25">
      <c r="Z16426"/>
    </row>
    <row r="16427" spans="26:26" x14ac:dyDescent="0.25">
      <c r="Z16427"/>
    </row>
    <row r="16428" spans="26:26" x14ac:dyDescent="0.25">
      <c r="Z16428"/>
    </row>
    <row r="16429" spans="26:26" x14ac:dyDescent="0.25">
      <c r="Z16429"/>
    </row>
    <row r="16430" spans="26:26" x14ac:dyDescent="0.25">
      <c r="Z16430"/>
    </row>
    <row r="16431" spans="26:26" x14ac:dyDescent="0.25">
      <c r="Z16431"/>
    </row>
    <row r="16432" spans="26:26" x14ac:dyDescent="0.25">
      <c r="Z16432"/>
    </row>
    <row r="16433" spans="26:26" x14ac:dyDescent="0.25">
      <c r="Z16433"/>
    </row>
    <row r="16434" spans="26:26" x14ac:dyDescent="0.25">
      <c r="Z16434"/>
    </row>
    <row r="16435" spans="26:26" x14ac:dyDescent="0.25">
      <c r="Z16435"/>
    </row>
    <row r="16436" spans="26:26" x14ac:dyDescent="0.25">
      <c r="Z16436"/>
    </row>
    <row r="16437" spans="26:26" x14ac:dyDescent="0.25">
      <c r="Z16437"/>
    </row>
    <row r="16438" spans="26:26" x14ac:dyDescent="0.25">
      <c r="Z16438"/>
    </row>
    <row r="16439" spans="26:26" x14ac:dyDescent="0.25">
      <c r="Z16439"/>
    </row>
    <row r="16440" spans="26:26" x14ac:dyDescent="0.25">
      <c r="Z16440"/>
    </row>
    <row r="16441" spans="26:26" x14ac:dyDescent="0.25">
      <c r="Z16441"/>
    </row>
    <row r="16442" spans="26:26" x14ac:dyDescent="0.25">
      <c r="Z16442"/>
    </row>
    <row r="16443" spans="26:26" x14ac:dyDescent="0.25">
      <c r="Z16443"/>
    </row>
    <row r="16444" spans="26:26" x14ac:dyDescent="0.25">
      <c r="Z16444"/>
    </row>
    <row r="16445" spans="26:26" x14ac:dyDescent="0.25">
      <c r="Z16445"/>
    </row>
    <row r="16446" spans="26:26" x14ac:dyDescent="0.25">
      <c r="Z16446"/>
    </row>
    <row r="16447" spans="26:26" x14ac:dyDescent="0.25">
      <c r="Z16447"/>
    </row>
    <row r="16448" spans="26:26" x14ac:dyDescent="0.25">
      <c r="Z16448"/>
    </row>
    <row r="16449" spans="26:26" x14ac:dyDescent="0.25">
      <c r="Z16449"/>
    </row>
    <row r="16450" spans="26:26" x14ac:dyDescent="0.25">
      <c r="Z16450"/>
    </row>
    <row r="16451" spans="26:26" x14ac:dyDescent="0.25">
      <c r="Z16451"/>
    </row>
    <row r="16452" spans="26:26" x14ac:dyDescent="0.25">
      <c r="Z16452"/>
    </row>
    <row r="16453" spans="26:26" x14ac:dyDescent="0.25">
      <c r="Z16453"/>
    </row>
    <row r="16454" spans="26:26" x14ac:dyDescent="0.25">
      <c r="Z16454"/>
    </row>
    <row r="16455" spans="26:26" x14ac:dyDescent="0.25">
      <c r="Z16455"/>
    </row>
    <row r="16456" spans="26:26" x14ac:dyDescent="0.25">
      <c r="Z16456"/>
    </row>
    <row r="16457" spans="26:26" x14ac:dyDescent="0.25">
      <c r="Z16457"/>
    </row>
    <row r="16458" spans="26:26" x14ac:dyDescent="0.25">
      <c r="Z16458"/>
    </row>
    <row r="16459" spans="26:26" x14ac:dyDescent="0.25">
      <c r="Z16459"/>
    </row>
    <row r="16460" spans="26:26" x14ac:dyDescent="0.25">
      <c r="Z16460"/>
    </row>
    <row r="16461" spans="26:26" x14ac:dyDescent="0.25">
      <c r="Z16461"/>
    </row>
    <row r="16462" spans="26:26" x14ac:dyDescent="0.25">
      <c r="Z16462"/>
    </row>
    <row r="16463" spans="26:26" x14ac:dyDescent="0.25">
      <c r="Z16463"/>
    </row>
    <row r="16464" spans="26:26" x14ac:dyDescent="0.25">
      <c r="Z16464"/>
    </row>
    <row r="16465" spans="26:26" x14ac:dyDescent="0.25">
      <c r="Z16465"/>
    </row>
    <row r="16466" spans="26:26" x14ac:dyDescent="0.25">
      <c r="Z16466"/>
    </row>
    <row r="16467" spans="26:26" x14ac:dyDescent="0.25">
      <c r="Z16467"/>
    </row>
    <row r="16468" spans="26:26" x14ac:dyDescent="0.25">
      <c r="Z16468"/>
    </row>
    <row r="16469" spans="26:26" x14ac:dyDescent="0.25">
      <c r="Z16469"/>
    </row>
    <row r="16470" spans="26:26" x14ac:dyDescent="0.25">
      <c r="Z16470"/>
    </row>
    <row r="16471" spans="26:26" x14ac:dyDescent="0.25">
      <c r="Z16471"/>
    </row>
    <row r="16472" spans="26:26" x14ac:dyDescent="0.25">
      <c r="Z16472"/>
    </row>
    <row r="16473" spans="26:26" x14ac:dyDescent="0.25">
      <c r="Z16473"/>
    </row>
    <row r="16474" spans="26:26" x14ac:dyDescent="0.25">
      <c r="Z16474"/>
    </row>
    <row r="16475" spans="26:26" x14ac:dyDescent="0.25">
      <c r="Z16475"/>
    </row>
    <row r="16476" spans="26:26" x14ac:dyDescent="0.25">
      <c r="Z16476"/>
    </row>
    <row r="16477" spans="26:26" x14ac:dyDescent="0.25">
      <c r="Z16477"/>
    </row>
    <row r="16478" spans="26:26" x14ac:dyDescent="0.25">
      <c r="Z16478"/>
    </row>
    <row r="16479" spans="26:26" x14ac:dyDescent="0.25">
      <c r="Z16479"/>
    </row>
    <row r="16480" spans="26:26" x14ac:dyDescent="0.25">
      <c r="Z16480"/>
    </row>
    <row r="16481" spans="26:26" x14ac:dyDescent="0.25">
      <c r="Z16481"/>
    </row>
    <row r="16482" spans="26:26" x14ac:dyDescent="0.25">
      <c r="Z16482"/>
    </row>
    <row r="16483" spans="26:26" x14ac:dyDescent="0.25">
      <c r="Z16483"/>
    </row>
    <row r="16484" spans="26:26" x14ac:dyDescent="0.25">
      <c r="Z16484"/>
    </row>
    <row r="16485" spans="26:26" x14ac:dyDescent="0.25">
      <c r="Z16485"/>
    </row>
    <row r="16486" spans="26:26" x14ac:dyDescent="0.25">
      <c r="Z16486"/>
    </row>
    <row r="16487" spans="26:26" x14ac:dyDescent="0.25">
      <c r="Z16487"/>
    </row>
    <row r="16488" spans="26:26" x14ac:dyDescent="0.25">
      <c r="Z16488"/>
    </row>
    <row r="16489" spans="26:26" x14ac:dyDescent="0.25">
      <c r="Z16489"/>
    </row>
    <row r="16490" spans="26:26" x14ac:dyDescent="0.25">
      <c r="Z16490"/>
    </row>
    <row r="16491" spans="26:26" x14ac:dyDescent="0.25">
      <c r="Z16491"/>
    </row>
    <row r="16492" spans="26:26" x14ac:dyDescent="0.25">
      <c r="Z16492"/>
    </row>
    <row r="16493" spans="26:26" x14ac:dyDescent="0.25">
      <c r="Z16493"/>
    </row>
    <row r="16494" spans="26:26" x14ac:dyDescent="0.25">
      <c r="Z16494"/>
    </row>
    <row r="16495" spans="26:26" x14ac:dyDescent="0.25">
      <c r="Z16495"/>
    </row>
    <row r="16496" spans="26:26" x14ac:dyDescent="0.25">
      <c r="Z16496"/>
    </row>
    <row r="16497" spans="26:26" x14ac:dyDescent="0.25">
      <c r="Z16497"/>
    </row>
    <row r="16498" spans="26:26" x14ac:dyDescent="0.25">
      <c r="Z16498"/>
    </row>
    <row r="16499" spans="26:26" x14ac:dyDescent="0.25">
      <c r="Z16499"/>
    </row>
    <row r="16500" spans="26:26" x14ac:dyDescent="0.25">
      <c r="Z16500"/>
    </row>
    <row r="16501" spans="26:26" x14ac:dyDescent="0.25">
      <c r="Z16501"/>
    </row>
    <row r="16502" spans="26:26" x14ac:dyDescent="0.25">
      <c r="Z16502"/>
    </row>
    <row r="16503" spans="26:26" x14ac:dyDescent="0.25">
      <c r="Z16503"/>
    </row>
    <row r="16504" spans="26:26" x14ac:dyDescent="0.25">
      <c r="Z16504"/>
    </row>
    <row r="16505" spans="26:26" x14ac:dyDescent="0.25">
      <c r="Z16505"/>
    </row>
    <row r="16506" spans="26:26" x14ac:dyDescent="0.25">
      <c r="Z16506"/>
    </row>
    <row r="16507" spans="26:26" x14ac:dyDescent="0.25">
      <c r="Z16507"/>
    </row>
    <row r="16508" spans="26:26" x14ac:dyDescent="0.25">
      <c r="Z16508"/>
    </row>
    <row r="16509" spans="26:26" x14ac:dyDescent="0.25">
      <c r="Z16509"/>
    </row>
    <row r="16510" spans="26:26" x14ac:dyDescent="0.25">
      <c r="Z16510"/>
    </row>
    <row r="16511" spans="26:26" x14ac:dyDescent="0.25">
      <c r="Z16511"/>
    </row>
    <row r="16512" spans="26:26" x14ac:dyDescent="0.25">
      <c r="Z16512"/>
    </row>
    <row r="16513" spans="26:26" x14ac:dyDescent="0.25">
      <c r="Z16513"/>
    </row>
    <row r="16514" spans="26:26" x14ac:dyDescent="0.25">
      <c r="Z16514"/>
    </row>
    <row r="16515" spans="26:26" x14ac:dyDescent="0.25">
      <c r="Z16515"/>
    </row>
    <row r="16516" spans="26:26" x14ac:dyDescent="0.25">
      <c r="Z16516"/>
    </row>
    <row r="16517" spans="26:26" x14ac:dyDescent="0.25">
      <c r="Z16517"/>
    </row>
    <row r="16518" spans="26:26" x14ac:dyDescent="0.25">
      <c r="Z16518"/>
    </row>
    <row r="16519" spans="26:26" x14ac:dyDescent="0.25">
      <c r="Z16519"/>
    </row>
    <row r="16520" spans="26:26" x14ac:dyDescent="0.25">
      <c r="Z16520"/>
    </row>
    <row r="16521" spans="26:26" x14ac:dyDescent="0.25">
      <c r="Z16521"/>
    </row>
    <row r="16522" spans="26:26" x14ac:dyDescent="0.25">
      <c r="Z16522"/>
    </row>
    <row r="16523" spans="26:26" x14ac:dyDescent="0.25">
      <c r="Z16523"/>
    </row>
    <row r="16524" spans="26:26" x14ac:dyDescent="0.25">
      <c r="Z16524"/>
    </row>
    <row r="16525" spans="26:26" x14ac:dyDescent="0.25">
      <c r="Z16525"/>
    </row>
    <row r="16526" spans="26:26" x14ac:dyDescent="0.25">
      <c r="Z16526"/>
    </row>
    <row r="16527" spans="26:26" x14ac:dyDescent="0.25">
      <c r="Z16527"/>
    </row>
    <row r="16528" spans="26:26" x14ac:dyDescent="0.25">
      <c r="Z16528"/>
    </row>
    <row r="16529" spans="26:26" x14ac:dyDescent="0.25">
      <c r="Z16529"/>
    </row>
    <row r="16530" spans="26:26" x14ac:dyDescent="0.25">
      <c r="Z16530"/>
    </row>
    <row r="16531" spans="26:26" x14ac:dyDescent="0.25">
      <c r="Z16531"/>
    </row>
    <row r="16532" spans="26:26" x14ac:dyDescent="0.25">
      <c r="Z16532"/>
    </row>
    <row r="16533" spans="26:26" x14ac:dyDescent="0.25">
      <c r="Z16533"/>
    </row>
    <row r="16534" spans="26:26" x14ac:dyDescent="0.25">
      <c r="Z16534"/>
    </row>
    <row r="16535" spans="26:26" x14ac:dyDescent="0.25">
      <c r="Z16535"/>
    </row>
    <row r="16536" spans="26:26" x14ac:dyDescent="0.25">
      <c r="Z16536"/>
    </row>
    <row r="16537" spans="26:26" x14ac:dyDescent="0.25">
      <c r="Z16537"/>
    </row>
    <row r="16538" spans="26:26" x14ac:dyDescent="0.25">
      <c r="Z16538"/>
    </row>
    <row r="16539" spans="26:26" x14ac:dyDescent="0.25">
      <c r="Z16539"/>
    </row>
    <row r="16540" spans="26:26" x14ac:dyDescent="0.25">
      <c r="Z16540"/>
    </row>
    <row r="16541" spans="26:26" x14ac:dyDescent="0.25">
      <c r="Z16541"/>
    </row>
    <row r="16542" spans="26:26" x14ac:dyDescent="0.25">
      <c r="Z16542"/>
    </row>
    <row r="16543" spans="26:26" x14ac:dyDescent="0.25">
      <c r="Z16543"/>
    </row>
    <row r="16544" spans="26:26" x14ac:dyDescent="0.25">
      <c r="Z16544"/>
    </row>
    <row r="16545" spans="26:26" x14ac:dyDescent="0.25">
      <c r="Z16545"/>
    </row>
    <row r="16546" spans="26:26" x14ac:dyDescent="0.25">
      <c r="Z16546"/>
    </row>
    <row r="16547" spans="26:26" x14ac:dyDescent="0.25">
      <c r="Z16547"/>
    </row>
    <row r="16548" spans="26:26" x14ac:dyDescent="0.25">
      <c r="Z16548"/>
    </row>
    <row r="16549" spans="26:26" x14ac:dyDescent="0.25">
      <c r="Z16549"/>
    </row>
    <row r="16550" spans="26:26" x14ac:dyDescent="0.25">
      <c r="Z16550"/>
    </row>
    <row r="16551" spans="26:26" x14ac:dyDescent="0.25">
      <c r="Z16551"/>
    </row>
    <row r="16552" spans="26:26" x14ac:dyDescent="0.25">
      <c r="Z16552"/>
    </row>
    <row r="16553" spans="26:26" x14ac:dyDescent="0.25">
      <c r="Z16553"/>
    </row>
    <row r="16554" spans="26:26" x14ac:dyDescent="0.25">
      <c r="Z16554"/>
    </row>
    <row r="16555" spans="26:26" x14ac:dyDescent="0.25">
      <c r="Z16555"/>
    </row>
    <row r="16556" spans="26:26" x14ac:dyDescent="0.25">
      <c r="Z16556"/>
    </row>
    <row r="16557" spans="26:26" x14ac:dyDescent="0.25">
      <c r="Z16557"/>
    </row>
    <row r="16558" spans="26:26" x14ac:dyDescent="0.25">
      <c r="Z16558"/>
    </row>
    <row r="16559" spans="26:26" x14ac:dyDescent="0.25">
      <c r="Z16559"/>
    </row>
    <row r="16560" spans="26:26" x14ac:dyDescent="0.25">
      <c r="Z16560"/>
    </row>
    <row r="16561" spans="26:26" x14ac:dyDescent="0.25">
      <c r="Z16561"/>
    </row>
    <row r="16562" spans="26:26" x14ac:dyDescent="0.25">
      <c r="Z16562"/>
    </row>
    <row r="16563" spans="26:26" x14ac:dyDescent="0.25">
      <c r="Z16563"/>
    </row>
    <row r="16564" spans="26:26" x14ac:dyDescent="0.25">
      <c r="Z16564"/>
    </row>
    <row r="16565" spans="26:26" x14ac:dyDescent="0.25">
      <c r="Z16565"/>
    </row>
    <row r="16566" spans="26:26" x14ac:dyDescent="0.25">
      <c r="Z16566"/>
    </row>
    <row r="16567" spans="26:26" x14ac:dyDescent="0.25">
      <c r="Z16567"/>
    </row>
    <row r="16568" spans="26:26" x14ac:dyDescent="0.25">
      <c r="Z16568"/>
    </row>
    <row r="16569" spans="26:26" x14ac:dyDescent="0.25">
      <c r="Z16569"/>
    </row>
    <row r="16570" spans="26:26" x14ac:dyDescent="0.25">
      <c r="Z16570"/>
    </row>
    <row r="16571" spans="26:26" x14ac:dyDescent="0.25">
      <c r="Z16571"/>
    </row>
    <row r="16572" spans="26:26" x14ac:dyDescent="0.25">
      <c r="Z16572"/>
    </row>
    <row r="16573" spans="26:26" x14ac:dyDescent="0.25">
      <c r="Z16573"/>
    </row>
    <row r="16574" spans="26:26" x14ac:dyDescent="0.25">
      <c r="Z16574"/>
    </row>
    <row r="16575" spans="26:26" x14ac:dyDescent="0.25">
      <c r="Z16575"/>
    </row>
    <row r="16576" spans="26:26" x14ac:dyDescent="0.25">
      <c r="Z16576"/>
    </row>
    <row r="16577" spans="26:26" x14ac:dyDescent="0.25">
      <c r="Z16577"/>
    </row>
    <row r="16578" spans="26:26" x14ac:dyDescent="0.25">
      <c r="Z16578"/>
    </row>
    <row r="16579" spans="26:26" x14ac:dyDescent="0.25">
      <c r="Z16579"/>
    </row>
    <row r="16580" spans="26:26" x14ac:dyDescent="0.25">
      <c r="Z16580"/>
    </row>
    <row r="16581" spans="26:26" x14ac:dyDescent="0.25">
      <c r="Z16581"/>
    </row>
    <row r="16582" spans="26:26" x14ac:dyDescent="0.25">
      <c r="Z16582"/>
    </row>
    <row r="16583" spans="26:26" x14ac:dyDescent="0.25">
      <c r="Z16583"/>
    </row>
    <row r="16584" spans="26:26" x14ac:dyDescent="0.25">
      <c r="Z16584"/>
    </row>
    <row r="16585" spans="26:26" x14ac:dyDescent="0.25">
      <c r="Z16585"/>
    </row>
    <row r="16586" spans="26:26" x14ac:dyDescent="0.25">
      <c r="Z16586"/>
    </row>
    <row r="16587" spans="26:26" x14ac:dyDescent="0.25">
      <c r="Z16587"/>
    </row>
    <row r="16588" spans="26:26" x14ac:dyDescent="0.25">
      <c r="Z16588"/>
    </row>
    <row r="16589" spans="26:26" x14ac:dyDescent="0.25">
      <c r="Z16589"/>
    </row>
    <row r="16590" spans="26:26" x14ac:dyDescent="0.25">
      <c r="Z16590"/>
    </row>
    <row r="16591" spans="26:26" x14ac:dyDescent="0.25">
      <c r="Z16591"/>
    </row>
    <row r="16592" spans="26:26" x14ac:dyDescent="0.25">
      <c r="Z16592"/>
    </row>
    <row r="16593" spans="26:26" x14ac:dyDescent="0.25">
      <c r="Z16593"/>
    </row>
    <row r="16594" spans="26:26" x14ac:dyDescent="0.25">
      <c r="Z16594"/>
    </row>
    <row r="16595" spans="26:26" x14ac:dyDescent="0.25">
      <c r="Z16595"/>
    </row>
    <row r="16596" spans="26:26" x14ac:dyDescent="0.25">
      <c r="Z16596"/>
    </row>
    <row r="16597" spans="26:26" x14ac:dyDescent="0.25">
      <c r="Z16597"/>
    </row>
    <row r="16598" spans="26:26" x14ac:dyDescent="0.25">
      <c r="Z16598"/>
    </row>
    <row r="16599" spans="26:26" x14ac:dyDescent="0.25">
      <c r="Z16599"/>
    </row>
    <row r="16600" spans="26:26" x14ac:dyDescent="0.25">
      <c r="Z16600"/>
    </row>
    <row r="16601" spans="26:26" x14ac:dyDescent="0.25">
      <c r="Z16601"/>
    </row>
    <row r="16602" spans="26:26" x14ac:dyDescent="0.25">
      <c r="Z16602"/>
    </row>
    <row r="16603" spans="26:26" x14ac:dyDescent="0.25">
      <c r="Z16603"/>
    </row>
    <row r="16604" spans="26:26" x14ac:dyDescent="0.25">
      <c r="Z16604"/>
    </row>
    <row r="16605" spans="26:26" x14ac:dyDescent="0.25">
      <c r="Z16605"/>
    </row>
    <row r="16606" spans="26:26" x14ac:dyDescent="0.25">
      <c r="Z16606"/>
    </row>
    <row r="16607" spans="26:26" x14ac:dyDescent="0.25">
      <c r="Z16607"/>
    </row>
    <row r="16608" spans="26:26" x14ac:dyDescent="0.25">
      <c r="Z16608"/>
    </row>
    <row r="16609" spans="26:26" x14ac:dyDescent="0.25">
      <c r="Z16609"/>
    </row>
    <row r="16610" spans="26:26" x14ac:dyDescent="0.25">
      <c r="Z16610"/>
    </row>
    <row r="16611" spans="26:26" x14ac:dyDescent="0.25">
      <c r="Z16611"/>
    </row>
    <row r="16612" spans="26:26" x14ac:dyDescent="0.25">
      <c r="Z16612"/>
    </row>
    <row r="16613" spans="26:26" x14ac:dyDescent="0.25">
      <c r="Z16613"/>
    </row>
    <row r="16614" spans="26:26" x14ac:dyDescent="0.25">
      <c r="Z16614"/>
    </row>
    <row r="16615" spans="26:26" x14ac:dyDescent="0.25">
      <c r="Z16615"/>
    </row>
    <row r="16616" spans="26:26" x14ac:dyDescent="0.25">
      <c r="Z16616"/>
    </row>
    <row r="16617" spans="26:26" x14ac:dyDescent="0.25">
      <c r="Z16617"/>
    </row>
    <row r="16618" spans="26:26" x14ac:dyDescent="0.25">
      <c r="Z16618"/>
    </row>
    <row r="16619" spans="26:26" x14ac:dyDescent="0.25">
      <c r="Z16619"/>
    </row>
    <row r="16620" spans="26:26" x14ac:dyDescent="0.25">
      <c r="Z16620"/>
    </row>
    <row r="16621" spans="26:26" x14ac:dyDescent="0.25">
      <c r="Z16621"/>
    </row>
    <row r="16622" spans="26:26" x14ac:dyDescent="0.25">
      <c r="Z16622"/>
    </row>
    <row r="16623" spans="26:26" x14ac:dyDescent="0.25">
      <c r="Z16623"/>
    </row>
    <row r="16624" spans="26:26" x14ac:dyDescent="0.25">
      <c r="Z16624"/>
    </row>
    <row r="16625" spans="26:26" x14ac:dyDescent="0.25">
      <c r="Z16625"/>
    </row>
    <row r="16626" spans="26:26" x14ac:dyDescent="0.25">
      <c r="Z16626"/>
    </row>
    <row r="16627" spans="26:26" x14ac:dyDescent="0.25">
      <c r="Z16627"/>
    </row>
    <row r="16628" spans="26:26" x14ac:dyDescent="0.25">
      <c r="Z16628"/>
    </row>
    <row r="16629" spans="26:26" x14ac:dyDescent="0.25">
      <c r="Z16629"/>
    </row>
    <row r="16630" spans="26:26" x14ac:dyDescent="0.25">
      <c r="Z16630"/>
    </row>
    <row r="16631" spans="26:26" x14ac:dyDescent="0.25">
      <c r="Z16631"/>
    </row>
    <row r="16632" spans="26:26" x14ac:dyDescent="0.25">
      <c r="Z16632"/>
    </row>
    <row r="16633" spans="26:26" x14ac:dyDescent="0.25">
      <c r="Z16633"/>
    </row>
    <row r="16634" spans="26:26" x14ac:dyDescent="0.25">
      <c r="Z16634"/>
    </row>
    <row r="16635" spans="26:26" x14ac:dyDescent="0.25">
      <c r="Z16635"/>
    </row>
    <row r="16636" spans="26:26" x14ac:dyDescent="0.25">
      <c r="Z16636"/>
    </row>
    <row r="16637" spans="26:26" x14ac:dyDescent="0.25">
      <c r="Z16637"/>
    </row>
    <row r="16638" spans="26:26" x14ac:dyDescent="0.25">
      <c r="Z16638"/>
    </row>
    <row r="16639" spans="26:26" x14ac:dyDescent="0.25">
      <c r="Z16639"/>
    </row>
    <row r="16640" spans="26:26" x14ac:dyDescent="0.25">
      <c r="Z16640"/>
    </row>
    <row r="16641" spans="26:26" x14ac:dyDescent="0.25">
      <c r="Z16641"/>
    </row>
    <row r="16642" spans="26:26" x14ac:dyDescent="0.25">
      <c r="Z16642"/>
    </row>
    <row r="16643" spans="26:26" x14ac:dyDescent="0.25">
      <c r="Z16643"/>
    </row>
    <row r="16644" spans="26:26" x14ac:dyDescent="0.25">
      <c r="Z16644"/>
    </row>
    <row r="16645" spans="26:26" x14ac:dyDescent="0.25">
      <c r="Z16645"/>
    </row>
    <row r="16646" spans="26:26" x14ac:dyDescent="0.25">
      <c r="Z16646"/>
    </row>
    <row r="16647" spans="26:26" x14ac:dyDescent="0.25">
      <c r="Z16647"/>
    </row>
    <row r="16648" spans="26:26" x14ac:dyDescent="0.25">
      <c r="Z16648"/>
    </row>
    <row r="16649" spans="26:26" x14ac:dyDescent="0.25">
      <c r="Z16649"/>
    </row>
    <row r="16650" spans="26:26" x14ac:dyDescent="0.25">
      <c r="Z16650"/>
    </row>
    <row r="16651" spans="26:26" x14ac:dyDescent="0.25">
      <c r="Z16651"/>
    </row>
    <row r="16652" spans="26:26" x14ac:dyDescent="0.25">
      <c r="Z16652"/>
    </row>
    <row r="16653" spans="26:26" x14ac:dyDescent="0.25">
      <c r="Z16653"/>
    </row>
    <row r="16654" spans="26:26" x14ac:dyDescent="0.25">
      <c r="Z16654"/>
    </row>
    <row r="16655" spans="26:26" x14ac:dyDescent="0.25">
      <c r="Z16655"/>
    </row>
    <row r="16656" spans="26:26" x14ac:dyDescent="0.25">
      <c r="Z16656"/>
    </row>
    <row r="16657" spans="26:26" x14ac:dyDescent="0.25">
      <c r="Z16657"/>
    </row>
    <row r="16658" spans="26:26" x14ac:dyDescent="0.25">
      <c r="Z16658"/>
    </row>
    <row r="16659" spans="26:26" x14ac:dyDescent="0.25">
      <c r="Z16659"/>
    </row>
    <row r="16660" spans="26:26" x14ac:dyDescent="0.25">
      <c r="Z16660"/>
    </row>
    <row r="16661" spans="26:26" x14ac:dyDescent="0.25">
      <c r="Z16661"/>
    </row>
    <row r="16662" spans="26:26" x14ac:dyDescent="0.25">
      <c r="Z16662"/>
    </row>
    <row r="16663" spans="26:26" x14ac:dyDescent="0.25">
      <c r="Z16663"/>
    </row>
    <row r="16664" spans="26:26" x14ac:dyDescent="0.25">
      <c r="Z16664"/>
    </row>
    <row r="16665" spans="26:26" x14ac:dyDescent="0.25">
      <c r="Z16665"/>
    </row>
    <row r="16666" spans="26:26" x14ac:dyDescent="0.25">
      <c r="Z16666"/>
    </row>
    <row r="16667" spans="26:26" x14ac:dyDescent="0.25">
      <c r="Z16667"/>
    </row>
    <row r="16668" spans="26:26" x14ac:dyDescent="0.25">
      <c r="Z16668"/>
    </row>
    <row r="16669" spans="26:26" x14ac:dyDescent="0.25">
      <c r="Z16669"/>
    </row>
    <row r="16670" spans="26:26" x14ac:dyDescent="0.25">
      <c r="Z16670"/>
    </row>
    <row r="16671" spans="26:26" x14ac:dyDescent="0.25">
      <c r="Z16671"/>
    </row>
    <row r="16672" spans="26:26" x14ac:dyDescent="0.25">
      <c r="Z16672"/>
    </row>
    <row r="16673" spans="26:26" x14ac:dyDescent="0.25">
      <c r="Z16673"/>
    </row>
    <row r="16674" spans="26:26" x14ac:dyDescent="0.25">
      <c r="Z16674"/>
    </row>
    <row r="16675" spans="26:26" x14ac:dyDescent="0.25">
      <c r="Z16675"/>
    </row>
    <row r="16676" spans="26:26" x14ac:dyDescent="0.25">
      <c r="Z16676"/>
    </row>
    <row r="16677" spans="26:26" x14ac:dyDescent="0.25">
      <c r="Z16677"/>
    </row>
    <row r="16678" spans="26:26" x14ac:dyDescent="0.25">
      <c r="Z16678"/>
    </row>
    <row r="16679" spans="26:26" x14ac:dyDescent="0.25">
      <c r="Z16679"/>
    </row>
    <row r="16680" spans="26:26" x14ac:dyDescent="0.25">
      <c r="Z16680"/>
    </row>
    <row r="16681" spans="26:26" x14ac:dyDescent="0.25">
      <c r="Z16681"/>
    </row>
    <row r="16682" spans="26:26" x14ac:dyDescent="0.25">
      <c r="Z16682"/>
    </row>
    <row r="16683" spans="26:26" x14ac:dyDescent="0.25">
      <c r="Z16683"/>
    </row>
    <row r="16684" spans="26:26" x14ac:dyDescent="0.25">
      <c r="Z16684"/>
    </row>
    <row r="16685" spans="26:26" x14ac:dyDescent="0.25">
      <c r="Z16685"/>
    </row>
    <row r="16686" spans="26:26" x14ac:dyDescent="0.25">
      <c r="Z16686"/>
    </row>
    <row r="16687" spans="26:26" x14ac:dyDescent="0.25">
      <c r="Z16687"/>
    </row>
    <row r="16688" spans="26:26" x14ac:dyDescent="0.25">
      <c r="Z16688"/>
    </row>
    <row r="16689" spans="26:26" x14ac:dyDescent="0.25">
      <c r="Z16689"/>
    </row>
    <row r="16690" spans="26:26" x14ac:dyDescent="0.25">
      <c r="Z16690"/>
    </row>
    <row r="16691" spans="26:26" x14ac:dyDescent="0.25">
      <c r="Z16691"/>
    </row>
    <row r="16692" spans="26:26" x14ac:dyDescent="0.25">
      <c r="Z16692"/>
    </row>
    <row r="16693" spans="26:26" x14ac:dyDescent="0.25">
      <c r="Z16693"/>
    </row>
    <row r="16694" spans="26:26" x14ac:dyDescent="0.25">
      <c r="Z16694"/>
    </row>
    <row r="16695" spans="26:26" x14ac:dyDescent="0.25">
      <c r="Z16695"/>
    </row>
    <row r="16696" spans="26:26" x14ac:dyDescent="0.25">
      <c r="Z16696"/>
    </row>
    <row r="16697" spans="26:26" x14ac:dyDescent="0.25">
      <c r="Z16697"/>
    </row>
    <row r="16698" spans="26:26" x14ac:dyDescent="0.25">
      <c r="Z16698"/>
    </row>
    <row r="16699" spans="26:26" x14ac:dyDescent="0.25">
      <c r="Z16699"/>
    </row>
    <row r="16700" spans="26:26" x14ac:dyDescent="0.25">
      <c r="Z16700"/>
    </row>
    <row r="16701" spans="26:26" x14ac:dyDescent="0.25">
      <c r="Z16701"/>
    </row>
    <row r="16702" spans="26:26" x14ac:dyDescent="0.25">
      <c r="Z16702"/>
    </row>
    <row r="16703" spans="26:26" x14ac:dyDescent="0.25">
      <c r="Z16703"/>
    </row>
    <row r="16704" spans="26:26" x14ac:dyDescent="0.25">
      <c r="Z16704"/>
    </row>
    <row r="16705" spans="26:26" x14ac:dyDescent="0.25">
      <c r="Z16705"/>
    </row>
    <row r="16706" spans="26:26" x14ac:dyDescent="0.25">
      <c r="Z16706"/>
    </row>
    <row r="16707" spans="26:26" x14ac:dyDescent="0.25">
      <c r="Z16707"/>
    </row>
    <row r="16708" spans="26:26" x14ac:dyDescent="0.25">
      <c r="Z16708"/>
    </row>
    <row r="16709" spans="26:26" x14ac:dyDescent="0.25">
      <c r="Z16709"/>
    </row>
    <row r="16710" spans="26:26" x14ac:dyDescent="0.25">
      <c r="Z16710"/>
    </row>
    <row r="16711" spans="26:26" x14ac:dyDescent="0.25">
      <c r="Z16711"/>
    </row>
    <row r="16712" spans="26:26" x14ac:dyDescent="0.25">
      <c r="Z16712"/>
    </row>
    <row r="16713" spans="26:26" x14ac:dyDescent="0.25">
      <c r="Z16713"/>
    </row>
    <row r="16714" spans="26:26" x14ac:dyDescent="0.25">
      <c r="Z16714"/>
    </row>
    <row r="16715" spans="26:26" x14ac:dyDescent="0.25">
      <c r="Z16715"/>
    </row>
    <row r="16716" spans="26:26" x14ac:dyDescent="0.25">
      <c r="Z16716"/>
    </row>
    <row r="16717" spans="26:26" x14ac:dyDescent="0.25">
      <c r="Z16717"/>
    </row>
    <row r="16718" spans="26:26" x14ac:dyDescent="0.25">
      <c r="Z16718"/>
    </row>
    <row r="16719" spans="26:26" x14ac:dyDescent="0.25">
      <c r="Z16719"/>
    </row>
    <row r="16720" spans="26:26" x14ac:dyDescent="0.25">
      <c r="Z16720"/>
    </row>
    <row r="16721" spans="26:26" x14ac:dyDescent="0.25">
      <c r="Z16721"/>
    </row>
    <row r="16722" spans="26:26" x14ac:dyDescent="0.25">
      <c r="Z16722"/>
    </row>
    <row r="16723" spans="26:26" x14ac:dyDescent="0.25">
      <c r="Z16723"/>
    </row>
    <row r="16724" spans="26:26" x14ac:dyDescent="0.25">
      <c r="Z16724"/>
    </row>
    <row r="16725" spans="26:26" x14ac:dyDescent="0.25">
      <c r="Z16725"/>
    </row>
    <row r="16726" spans="26:26" x14ac:dyDescent="0.25">
      <c r="Z16726"/>
    </row>
    <row r="16727" spans="26:26" x14ac:dyDescent="0.25">
      <c r="Z16727"/>
    </row>
    <row r="16728" spans="26:26" x14ac:dyDescent="0.25">
      <c r="Z16728"/>
    </row>
    <row r="16729" spans="26:26" x14ac:dyDescent="0.25">
      <c r="Z16729"/>
    </row>
    <row r="16730" spans="26:26" x14ac:dyDescent="0.25">
      <c r="Z16730"/>
    </row>
    <row r="16731" spans="26:26" x14ac:dyDescent="0.25">
      <c r="Z16731"/>
    </row>
    <row r="16732" spans="26:26" x14ac:dyDescent="0.25">
      <c r="Z16732"/>
    </row>
    <row r="16733" spans="26:26" x14ac:dyDescent="0.25">
      <c r="Z16733"/>
    </row>
    <row r="16734" spans="26:26" x14ac:dyDescent="0.25">
      <c r="Z16734"/>
    </row>
    <row r="16735" spans="26:26" x14ac:dyDescent="0.25">
      <c r="Z16735"/>
    </row>
    <row r="16736" spans="26:26" x14ac:dyDescent="0.25">
      <c r="Z16736"/>
    </row>
    <row r="16737" spans="26:26" x14ac:dyDescent="0.25">
      <c r="Z16737"/>
    </row>
    <row r="16738" spans="26:26" x14ac:dyDescent="0.25">
      <c r="Z16738"/>
    </row>
    <row r="16739" spans="26:26" x14ac:dyDescent="0.25">
      <c r="Z16739"/>
    </row>
    <row r="16740" spans="26:26" x14ac:dyDescent="0.25">
      <c r="Z16740"/>
    </row>
    <row r="16741" spans="26:26" x14ac:dyDescent="0.25">
      <c r="Z16741"/>
    </row>
    <row r="16742" spans="26:26" x14ac:dyDescent="0.25">
      <c r="Z16742"/>
    </row>
    <row r="16743" spans="26:26" x14ac:dyDescent="0.25">
      <c r="Z16743"/>
    </row>
    <row r="16744" spans="26:26" x14ac:dyDescent="0.25">
      <c r="Z16744"/>
    </row>
    <row r="16745" spans="26:26" x14ac:dyDescent="0.25">
      <c r="Z16745"/>
    </row>
    <row r="16746" spans="26:26" x14ac:dyDescent="0.25">
      <c r="Z16746"/>
    </row>
    <row r="16747" spans="26:26" x14ac:dyDescent="0.25">
      <c r="Z16747"/>
    </row>
    <row r="16748" spans="26:26" x14ac:dyDescent="0.25">
      <c r="Z16748"/>
    </row>
    <row r="16749" spans="26:26" x14ac:dyDescent="0.25">
      <c r="Z16749"/>
    </row>
    <row r="16750" spans="26:26" x14ac:dyDescent="0.25">
      <c r="Z16750"/>
    </row>
    <row r="16751" spans="26:26" x14ac:dyDescent="0.25">
      <c r="Z16751"/>
    </row>
    <row r="16752" spans="26:26" x14ac:dyDescent="0.25">
      <c r="Z16752"/>
    </row>
    <row r="16753" spans="26:26" x14ac:dyDescent="0.25">
      <c r="Z16753"/>
    </row>
    <row r="16754" spans="26:26" x14ac:dyDescent="0.25">
      <c r="Z16754"/>
    </row>
    <row r="16755" spans="26:26" x14ac:dyDescent="0.25">
      <c r="Z16755"/>
    </row>
    <row r="16756" spans="26:26" x14ac:dyDescent="0.25">
      <c r="Z16756"/>
    </row>
    <row r="16757" spans="26:26" x14ac:dyDescent="0.25">
      <c r="Z16757"/>
    </row>
    <row r="16758" spans="26:26" x14ac:dyDescent="0.25">
      <c r="Z16758"/>
    </row>
    <row r="16759" spans="26:26" x14ac:dyDescent="0.25">
      <c r="Z16759"/>
    </row>
    <row r="16760" spans="26:26" x14ac:dyDescent="0.25">
      <c r="Z16760"/>
    </row>
    <row r="16761" spans="26:26" x14ac:dyDescent="0.25">
      <c r="Z16761"/>
    </row>
    <row r="16762" spans="26:26" x14ac:dyDescent="0.25">
      <c r="Z16762"/>
    </row>
    <row r="16763" spans="26:26" x14ac:dyDescent="0.25">
      <c r="Z16763"/>
    </row>
    <row r="16764" spans="26:26" x14ac:dyDescent="0.25">
      <c r="Z16764"/>
    </row>
    <row r="16765" spans="26:26" x14ac:dyDescent="0.25">
      <c r="Z16765"/>
    </row>
    <row r="16766" spans="26:26" x14ac:dyDescent="0.25">
      <c r="Z16766"/>
    </row>
    <row r="16767" spans="26:26" x14ac:dyDescent="0.25">
      <c r="Z16767"/>
    </row>
    <row r="16768" spans="26:26" x14ac:dyDescent="0.25">
      <c r="Z16768"/>
    </row>
    <row r="16769" spans="26:26" x14ac:dyDescent="0.25">
      <c r="Z16769"/>
    </row>
    <row r="16770" spans="26:26" x14ac:dyDescent="0.25">
      <c r="Z16770"/>
    </row>
    <row r="16771" spans="26:26" x14ac:dyDescent="0.25">
      <c r="Z16771"/>
    </row>
    <row r="16772" spans="26:26" x14ac:dyDescent="0.25">
      <c r="Z16772"/>
    </row>
    <row r="16773" spans="26:26" x14ac:dyDescent="0.25">
      <c r="Z16773"/>
    </row>
    <row r="16774" spans="26:26" x14ac:dyDescent="0.25">
      <c r="Z16774"/>
    </row>
    <row r="16775" spans="26:26" x14ac:dyDescent="0.25">
      <c r="Z16775"/>
    </row>
    <row r="16776" spans="26:26" x14ac:dyDescent="0.25">
      <c r="Z16776"/>
    </row>
    <row r="16777" spans="26:26" x14ac:dyDescent="0.25">
      <c r="Z16777"/>
    </row>
    <row r="16778" spans="26:26" x14ac:dyDescent="0.25">
      <c r="Z16778"/>
    </row>
    <row r="16779" spans="26:26" x14ac:dyDescent="0.25">
      <c r="Z16779"/>
    </row>
    <row r="16780" spans="26:26" x14ac:dyDescent="0.25">
      <c r="Z16780"/>
    </row>
    <row r="16781" spans="26:26" x14ac:dyDescent="0.25">
      <c r="Z16781"/>
    </row>
    <row r="16782" spans="26:26" x14ac:dyDescent="0.25">
      <c r="Z16782"/>
    </row>
    <row r="16783" spans="26:26" x14ac:dyDescent="0.25">
      <c r="Z16783"/>
    </row>
    <row r="16784" spans="26:26" x14ac:dyDescent="0.25">
      <c r="Z16784"/>
    </row>
    <row r="16785" spans="26:26" x14ac:dyDescent="0.25">
      <c r="Z16785"/>
    </row>
    <row r="16786" spans="26:26" x14ac:dyDescent="0.25">
      <c r="Z16786"/>
    </row>
    <row r="16787" spans="26:26" x14ac:dyDescent="0.25">
      <c r="Z16787"/>
    </row>
    <row r="16788" spans="26:26" x14ac:dyDescent="0.25">
      <c r="Z16788"/>
    </row>
    <row r="16789" spans="26:26" x14ac:dyDescent="0.25">
      <c r="Z16789"/>
    </row>
    <row r="16790" spans="26:26" x14ac:dyDescent="0.25">
      <c r="Z16790"/>
    </row>
    <row r="16791" spans="26:26" x14ac:dyDescent="0.25">
      <c r="Z16791"/>
    </row>
    <row r="16792" spans="26:26" x14ac:dyDescent="0.25">
      <c r="Z16792"/>
    </row>
    <row r="16793" spans="26:26" x14ac:dyDescent="0.25">
      <c r="Z16793"/>
    </row>
    <row r="16794" spans="26:26" x14ac:dyDescent="0.25">
      <c r="Z16794"/>
    </row>
    <row r="16795" spans="26:26" x14ac:dyDescent="0.25">
      <c r="Z16795"/>
    </row>
    <row r="16796" spans="26:26" x14ac:dyDescent="0.25">
      <c r="Z16796"/>
    </row>
    <row r="16797" spans="26:26" x14ac:dyDescent="0.25">
      <c r="Z16797"/>
    </row>
    <row r="16798" spans="26:26" x14ac:dyDescent="0.25">
      <c r="Z16798"/>
    </row>
    <row r="16799" spans="26:26" x14ac:dyDescent="0.25">
      <c r="Z16799"/>
    </row>
    <row r="16800" spans="26:26" x14ac:dyDescent="0.25">
      <c r="Z16800"/>
    </row>
    <row r="16801" spans="26:26" x14ac:dyDescent="0.25">
      <c r="Z16801"/>
    </row>
    <row r="16802" spans="26:26" x14ac:dyDescent="0.25">
      <c r="Z16802"/>
    </row>
    <row r="16803" spans="26:26" x14ac:dyDescent="0.25">
      <c r="Z16803"/>
    </row>
    <row r="16804" spans="26:26" x14ac:dyDescent="0.25">
      <c r="Z16804"/>
    </row>
    <row r="16805" spans="26:26" x14ac:dyDescent="0.25">
      <c r="Z16805"/>
    </row>
    <row r="16806" spans="26:26" x14ac:dyDescent="0.25">
      <c r="Z16806"/>
    </row>
    <row r="16807" spans="26:26" x14ac:dyDescent="0.25">
      <c r="Z16807"/>
    </row>
    <row r="16808" spans="26:26" x14ac:dyDescent="0.25">
      <c r="Z16808"/>
    </row>
    <row r="16809" spans="26:26" x14ac:dyDescent="0.25">
      <c r="Z16809"/>
    </row>
    <row r="16810" spans="26:26" x14ac:dyDescent="0.25">
      <c r="Z16810"/>
    </row>
    <row r="16811" spans="26:26" x14ac:dyDescent="0.25">
      <c r="Z16811"/>
    </row>
    <row r="16812" spans="26:26" x14ac:dyDescent="0.25">
      <c r="Z16812"/>
    </row>
    <row r="16813" spans="26:26" x14ac:dyDescent="0.25">
      <c r="Z16813"/>
    </row>
    <row r="16814" spans="26:26" x14ac:dyDescent="0.25">
      <c r="Z16814"/>
    </row>
    <row r="16815" spans="26:26" x14ac:dyDescent="0.25">
      <c r="Z16815"/>
    </row>
    <row r="16816" spans="26:26" x14ac:dyDescent="0.25">
      <c r="Z16816"/>
    </row>
    <row r="16817" spans="26:26" x14ac:dyDescent="0.25">
      <c r="Z16817"/>
    </row>
    <row r="16818" spans="26:26" x14ac:dyDescent="0.25">
      <c r="Z16818"/>
    </row>
    <row r="16819" spans="26:26" x14ac:dyDescent="0.25">
      <c r="Z16819"/>
    </row>
    <row r="16820" spans="26:26" x14ac:dyDescent="0.25">
      <c r="Z16820"/>
    </row>
    <row r="16821" spans="26:26" x14ac:dyDescent="0.25">
      <c r="Z16821"/>
    </row>
    <row r="16822" spans="26:26" x14ac:dyDescent="0.25">
      <c r="Z16822"/>
    </row>
    <row r="16823" spans="26:26" x14ac:dyDescent="0.25">
      <c r="Z16823"/>
    </row>
    <row r="16824" spans="26:26" x14ac:dyDescent="0.25">
      <c r="Z16824"/>
    </row>
    <row r="16825" spans="26:26" x14ac:dyDescent="0.25">
      <c r="Z16825"/>
    </row>
    <row r="16826" spans="26:26" x14ac:dyDescent="0.25">
      <c r="Z16826"/>
    </row>
    <row r="16827" spans="26:26" x14ac:dyDescent="0.25">
      <c r="Z16827"/>
    </row>
    <row r="16828" spans="26:26" x14ac:dyDescent="0.25">
      <c r="Z16828"/>
    </row>
    <row r="16829" spans="26:26" x14ac:dyDescent="0.25">
      <c r="Z16829"/>
    </row>
    <row r="16830" spans="26:26" x14ac:dyDescent="0.25">
      <c r="Z16830"/>
    </row>
    <row r="16831" spans="26:26" x14ac:dyDescent="0.25">
      <c r="Z16831"/>
    </row>
    <row r="16832" spans="26:26" x14ac:dyDescent="0.25">
      <c r="Z16832"/>
    </row>
    <row r="16833" spans="26:26" x14ac:dyDescent="0.25">
      <c r="Z16833"/>
    </row>
    <row r="16834" spans="26:26" x14ac:dyDescent="0.25">
      <c r="Z16834"/>
    </row>
    <row r="16835" spans="26:26" x14ac:dyDescent="0.25">
      <c r="Z16835"/>
    </row>
    <row r="16836" spans="26:26" x14ac:dyDescent="0.25">
      <c r="Z16836"/>
    </row>
    <row r="16837" spans="26:26" x14ac:dyDescent="0.25">
      <c r="Z16837"/>
    </row>
    <row r="16838" spans="26:26" x14ac:dyDescent="0.25">
      <c r="Z16838"/>
    </row>
    <row r="16839" spans="26:26" x14ac:dyDescent="0.25">
      <c r="Z16839"/>
    </row>
    <row r="16840" spans="26:26" x14ac:dyDescent="0.25">
      <c r="Z16840"/>
    </row>
    <row r="16841" spans="26:26" x14ac:dyDescent="0.25">
      <c r="Z16841"/>
    </row>
    <row r="16842" spans="26:26" x14ac:dyDescent="0.25">
      <c r="Z16842"/>
    </row>
    <row r="16843" spans="26:26" x14ac:dyDescent="0.25">
      <c r="Z16843"/>
    </row>
    <row r="16844" spans="26:26" x14ac:dyDescent="0.25">
      <c r="Z16844"/>
    </row>
    <row r="16845" spans="26:26" x14ac:dyDescent="0.25">
      <c r="Z16845"/>
    </row>
    <row r="16846" spans="26:26" x14ac:dyDescent="0.25">
      <c r="Z16846"/>
    </row>
    <row r="16847" spans="26:26" x14ac:dyDescent="0.25">
      <c r="Z16847"/>
    </row>
    <row r="16848" spans="26:26" x14ac:dyDescent="0.25">
      <c r="Z16848"/>
    </row>
    <row r="16849" spans="26:26" x14ac:dyDescent="0.25">
      <c r="Z16849"/>
    </row>
    <row r="16850" spans="26:26" x14ac:dyDescent="0.25">
      <c r="Z16850"/>
    </row>
    <row r="16851" spans="26:26" x14ac:dyDescent="0.25">
      <c r="Z16851"/>
    </row>
    <row r="16852" spans="26:26" x14ac:dyDescent="0.25">
      <c r="Z16852"/>
    </row>
    <row r="16853" spans="26:26" x14ac:dyDescent="0.25">
      <c r="Z16853"/>
    </row>
    <row r="16854" spans="26:26" x14ac:dyDescent="0.25">
      <c r="Z16854"/>
    </row>
    <row r="16855" spans="26:26" x14ac:dyDescent="0.25">
      <c r="Z16855"/>
    </row>
    <row r="16856" spans="26:26" x14ac:dyDescent="0.25">
      <c r="Z16856"/>
    </row>
    <row r="16857" spans="26:26" x14ac:dyDescent="0.25">
      <c r="Z16857"/>
    </row>
    <row r="16858" spans="26:26" x14ac:dyDescent="0.25">
      <c r="Z16858"/>
    </row>
    <row r="16859" spans="26:26" x14ac:dyDescent="0.25">
      <c r="Z16859"/>
    </row>
    <row r="16860" spans="26:26" x14ac:dyDescent="0.25">
      <c r="Z16860"/>
    </row>
    <row r="16861" spans="26:26" x14ac:dyDescent="0.25">
      <c r="Z16861"/>
    </row>
    <row r="16862" spans="26:26" x14ac:dyDescent="0.25">
      <c r="Z16862"/>
    </row>
    <row r="16863" spans="26:26" x14ac:dyDescent="0.25">
      <c r="Z16863"/>
    </row>
    <row r="16864" spans="26:26" x14ac:dyDescent="0.25">
      <c r="Z16864"/>
    </row>
    <row r="16865" spans="26:26" x14ac:dyDescent="0.25">
      <c r="Z16865"/>
    </row>
    <row r="16866" spans="26:26" x14ac:dyDescent="0.25">
      <c r="Z16866"/>
    </row>
    <row r="16867" spans="26:26" x14ac:dyDescent="0.25">
      <c r="Z16867"/>
    </row>
    <row r="16868" spans="26:26" x14ac:dyDescent="0.25">
      <c r="Z16868"/>
    </row>
    <row r="16869" spans="26:26" x14ac:dyDescent="0.25">
      <c r="Z16869"/>
    </row>
    <row r="16870" spans="26:26" x14ac:dyDescent="0.25">
      <c r="Z16870"/>
    </row>
    <row r="16871" spans="26:26" x14ac:dyDescent="0.25">
      <c r="Z16871"/>
    </row>
    <row r="16872" spans="26:26" x14ac:dyDescent="0.25">
      <c r="Z16872"/>
    </row>
    <row r="16873" spans="26:26" x14ac:dyDescent="0.25">
      <c r="Z16873"/>
    </row>
    <row r="16874" spans="26:26" x14ac:dyDescent="0.25">
      <c r="Z16874"/>
    </row>
    <row r="16875" spans="26:26" x14ac:dyDescent="0.25">
      <c r="Z16875"/>
    </row>
    <row r="16876" spans="26:26" x14ac:dyDescent="0.25">
      <c r="Z16876"/>
    </row>
    <row r="16877" spans="26:26" x14ac:dyDescent="0.25">
      <c r="Z16877"/>
    </row>
    <row r="16878" spans="26:26" x14ac:dyDescent="0.25">
      <c r="Z16878"/>
    </row>
    <row r="16879" spans="26:26" x14ac:dyDescent="0.25">
      <c r="Z16879"/>
    </row>
    <row r="16880" spans="26:26" x14ac:dyDescent="0.25">
      <c r="Z16880"/>
    </row>
    <row r="16881" spans="26:26" x14ac:dyDescent="0.25">
      <c r="Z16881"/>
    </row>
    <row r="16882" spans="26:26" x14ac:dyDescent="0.25">
      <c r="Z16882"/>
    </row>
    <row r="16883" spans="26:26" x14ac:dyDescent="0.25">
      <c r="Z16883"/>
    </row>
    <row r="16884" spans="26:26" x14ac:dyDescent="0.25">
      <c r="Z16884"/>
    </row>
    <row r="16885" spans="26:26" x14ac:dyDescent="0.25">
      <c r="Z16885"/>
    </row>
    <row r="16886" spans="26:26" x14ac:dyDescent="0.25">
      <c r="Z16886"/>
    </row>
    <row r="16887" spans="26:26" x14ac:dyDescent="0.25">
      <c r="Z16887"/>
    </row>
    <row r="16888" spans="26:26" x14ac:dyDescent="0.25">
      <c r="Z16888"/>
    </row>
    <row r="16889" spans="26:26" x14ac:dyDescent="0.25">
      <c r="Z16889"/>
    </row>
    <row r="16890" spans="26:26" x14ac:dyDescent="0.25">
      <c r="Z16890"/>
    </row>
    <row r="16891" spans="26:26" x14ac:dyDescent="0.25">
      <c r="Z16891"/>
    </row>
    <row r="16892" spans="26:26" x14ac:dyDescent="0.25">
      <c r="Z16892"/>
    </row>
    <row r="16893" spans="26:26" x14ac:dyDescent="0.25">
      <c r="Z16893"/>
    </row>
    <row r="16894" spans="26:26" x14ac:dyDescent="0.25">
      <c r="Z16894"/>
    </row>
    <row r="16895" spans="26:26" x14ac:dyDescent="0.25">
      <c r="Z16895"/>
    </row>
    <row r="16896" spans="26:26" x14ac:dyDescent="0.25">
      <c r="Z16896"/>
    </row>
    <row r="16897" spans="26:26" x14ac:dyDescent="0.25">
      <c r="Z16897"/>
    </row>
    <row r="16898" spans="26:26" x14ac:dyDescent="0.25">
      <c r="Z16898"/>
    </row>
    <row r="16899" spans="26:26" x14ac:dyDescent="0.25">
      <c r="Z16899"/>
    </row>
    <row r="16900" spans="26:26" x14ac:dyDescent="0.25">
      <c r="Z16900"/>
    </row>
    <row r="16901" spans="26:26" x14ac:dyDescent="0.25">
      <c r="Z16901"/>
    </row>
    <row r="16902" spans="26:26" x14ac:dyDescent="0.25">
      <c r="Z16902"/>
    </row>
    <row r="16903" spans="26:26" x14ac:dyDescent="0.25">
      <c r="Z16903"/>
    </row>
    <row r="16904" spans="26:26" x14ac:dyDescent="0.25">
      <c r="Z16904"/>
    </row>
    <row r="16905" spans="26:26" x14ac:dyDescent="0.25">
      <c r="Z16905"/>
    </row>
    <row r="16906" spans="26:26" x14ac:dyDescent="0.25">
      <c r="Z16906"/>
    </row>
    <row r="16907" spans="26:26" x14ac:dyDescent="0.25">
      <c r="Z16907"/>
    </row>
    <row r="16908" spans="26:26" x14ac:dyDescent="0.25">
      <c r="Z16908"/>
    </row>
    <row r="16909" spans="26:26" x14ac:dyDescent="0.25">
      <c r="Z16909"/>
    </row>
    <row r="16910" spans="26:26" x14ac:dyDescent="0.25">
      <c r="Z16910"/>
    </row>
    <row r="16911" spans="26:26" x14ac:dyDescent="0.25">
      <c r="Z16911"/>
    </row>
    <row r="16912" spans="26:26" x14ac:dyDescent="0.25">
      <c r="Z16912"/>
    </row>
    <row r="16913" spans="26:26" x14ac:dyDescent="0.25">
      <c r="Z16913"/>
    </row>
    <row r="16914" spans="26:26" x14ac:dyDescent="0.25">
      <c r="Z16914"/>
    </row>
    <row r="16915" spans="26:26" x14ac:dyDescent="0.25">
      <c r="Z16915"/>
    </row>
    <row r="16916" spans="26:26" x14ac:dyDescent="0.25">
      <c r="Z16916"/>
    </row>
    <row r="16917" spans="26:26" x14ac:dyDescent="0.25">
      <c r="Z16917"/>
    </row>
    <row r="16918" spans="26:26" x14ac:dyDescent="0.25">
      <c r="Z16918"/>
    </row>
    <row r="16919" spans="26:26" x14ac:dyDescent="0.25">
      <c r="Z16919"/>
    </row>
    <row r="16920" spans="26:26" x14ac:dyDescent="0.25">
      <c r="Z16920"/>
    </row>
    <row r="16921" spans="26:26" x14ac:dyDescent="0.25">
      <c r="Z16921"/>
    </row>
    <row r="16922" spans="26:26" x14ac:dyDescent="0.25">
      <c r="Z16922"/>
    </row>
    <row r="16923" spans="26:26" x14ac:dyDescent="0.25">
      <c r="Z16923"/>
    </row>
    <row r="16924" spans="26:26" x14ac:dyDescent="0.25">
      <c r="Z16924"/>
    </row>
    <row r="16925" spans="26:26" x14ac:dyDescent="0.25">
      <c r="Z16925"/>
    </row>
    <row r="16926" spans="26:26" x14ac:dyDescent="0.25">
      <c r="Z16926"/>
    </row>
    <row r="16927" spans="26:26" x14ac:dyDescent="0.25">
      <c r="Z16927"/>
    </row>
    <row r="16928" spans="26:26" x14ac:dyDescent="0.25">
      <c r="Z16928"/>
    </row>
    <row r="16929" spans="26:26" x14ac:dyDescent="0.25">
      <c r="Z16929"/>
    </row>
    <row r="16930" spans="26:26" x14ac:dyDescent="0.25">
      <c r="Z16930"/>
    </row>
    <row r="16931" spans="26:26" x14ac:dyDescent="0.25">
      <c r="Z16931"/>
    </row>
    <row r="16932" spans="26:26" x14ac:dyDescent="0.25">
      <c r="Z16932"/>
    </row>
    <row r="16933" spans="26:26" x14ac:dyDescent="0.25">
      <c r="Z16933"/>
    </row>
    <row r="16934" spans="26:26" x14ac:dyDescent="0.25">
      <c r="Z16934"/>
    </row>
    <row r="16935" spans="26:26" x14ac:dyDescent="0.25">
      <c r="Z16935"/>
    </row>
    <row r="16936" spans="26:26" x14ac:dyDescent="0.25">
      <c r="Z16936"/>
    </row>
    <row r="16937" spans="26:26" x14ac:dyDescent="0.25">
      <c r="Z16937"/>
    </row>
    <row r="16938" spans="26:26" x14ac:dyDescent="0.25">
      <c r="Z16938"/>
    </row>
    <row r="16939" spans="26:26" x14ac:dyDescent="0.25">
      <c r="Z16939"/>
    </row>
    <row r="16940" spans="26:26" x14ac:dyDescent="0.25">
      <c r="Z16940"/>
    </row>
    <row r="16941" spans="26:26" x14ac:dyDescent="0.25">
      <c r="Z16941"/>
    </row>
    <row r="16942" spans="26:26" x14ac:dyDescent="0.25">
      <c r="Z16942"/>
    </row>
    <row r="16943" spans="26:26" x14ac:dyDescent="0.25">
      <c r="Z16943"/>
    </row>
    <row r="16944" spans="26:26" x14ac:dyDescent="0.25">
      <c r="Z16944"/>
    </row>
    <row r="16945" spans="26:26" x14ac:dyDescent="0.25">
      <c r="Z16945"/>
    </row>
    <row r="16946" spans="26:26" x14ac:dyDescent="0.25">
      <c r="Z16946"/>
    </row>
    <row r="16947" spans="26:26" x14ac:dyDescent="0.25">
      <c r="Z16947"/>
    </row>
    <row r="16948" spans="26:26" x14ac:dyDescent="0.25">
      <c r="Z16948"/>
    </row>
    <row r="16949" spans="26:26" x14ac:dyDescent="0.25">
      <c r="Z16949"/>
    </row>
    <row r="16950" spans="26:26" x14ac:dyDescent="0.25">
      <c r="Z16950"/>
    </row>
    <row r="16951" spans="26:26" x14ac:dyDescent="0.25">
      <c r="Z16951"/>
    </row>
    <row r="16952" spans="26:26" x14ac:dyDescent="0.25">
      <c r="Z16952"/>
    </row>
    <row r="16953" spans="26:26" x14ac:dyDescent="0.25">
      <c r="Z16953"/>
    </row>
    <row r="16954" spans="26:26" x14ac:dyDescent="0.25">
      <c r="Z16954"/>
    </row>
    <row r="16955" spans="26:26" x14ac:dyDescent="0.25">
      <c r="Z16955"/>
    </row>
    <row r="16956" spans="26:26" x14ac:dyDescent="0.25">
      <c r="Z16956"/>
    </row>
    <row r="16957" spans="26:26" x14ac:dyDescent="0.25">
      <c r="Z16957"/>
    </row>
    <row r="16958" spans="26:26" x14ac:dyDescent="0.25">
      <c r="Z16958"/>
    </row>
    <row r="16959" spans="26:26" x14ac:dyDescent="0.25">
      <c r="Z16959"/>
    </row>
    <row r="16960" spans="26:26" x14ac:dyDescent="0.25">
      <c r="Z16960"/>
    </row>
    <row r="16961" spans="26:26" x14ac:dyDescent="0.25">
      <c r="Z16961"/>
    </row>
    <row r="16962" spans="26:26" x14ac:dyDescent="0.25">
      <c r="Z16962"/>
    </row>
    <row r="16963" spans="26:26" x14ac:dyDescent="0.25">
      <c r="Z16963"/>
    </row>
    <row r="16964" spans="26:26" x14ac:dyDescent="0.25">
      <c r="Z16964"/>
    </row>
    <row r="16965" spans="26:26" x14ac:dyDescent="0.25">
      <c r="Z16965"/>
    </row>
    <row r="16966" spans="26:26" x14ac:dyDescent="0.25">
      <c r="Z16966"/>
    </row>
    <row r="16967" spans="26:26" x14ac:dyDescent="0.25">
      <c r="Z16967"/>
    </row>
    <row r="16968" spans="26:26" x14ac:dyDescent="0.25">
      <c r="Z16968"/>
    </row>
    <row r="16969" spans="26:26" x14ac:dyDescent="0.25">
      <c r="Z16969"/>
    </row>
    <row r="16970" spans="26:26" x14ac:dyDescent="0.25">
      <c r="Z16970"/>
    </row>
    <row r="16971" spans="26:26" x14ac:dyDescent="0.25">
      <c r="Z16971"/>
    </row>
    <row r="16972" spans="26:26" x14ac:dyDescent="0.25">
      <c r="Z16972"/>
    </row>
    <row r="16973" spans="26:26" x14ac:dyDescent="0.25">
      <c r="Z16973"/>
    </row>
    <row r="16974" spans="26:26" x14ac:dyDescent="0.25">
      <c r="Z16974"/>
    </row>
    <row r="16975" spans="26:26" x14ac:dyDescent="0.25">
      <c r="Z16975"/>
    </row>
    <row r="16976" spans="26:26" x14ac:dyDescent="0.25">
      <c r="Z16976"/>
    </row>
    <row r="16977" spans="26:26" x14ac:dyDescent="0.25">
      <c r="Z16977"/>
    </row>
    <row r="16978" spans="26:26" x14ac:dyDescent="0.25">
      <c r="Z16978"/>
    </row>
    <row r="16979" spans="26:26" x14ac:dyDescent="0.25">
      <c r="Z16979"/>
    </row>
    <row r="16980" spans="26:26" x14ac:dyDescent="0.25">
      <c r="Z16980"/>
    </row>
    <row r="16981" spans="26:26" x14ac:dyDescent="0.25">
      <c r="Z16981"/>
    </row>
    <row r="16982" spans="26:26" x14ac:dyDescent="0.25">
      <c r="Z16982"/>
    </row>
    <row r="16983" spans="26:26" x14ac:dyDescent="0.25">
      <c r="Z16983"/>
    </row>
    <row r="16984" spans="26:26" x14ac:dyDescent="0.25">
      <c r="Z16984"/>
    </row>
    <row r="16985" spans="26:26" x14ac:dyDescent="0.25">
      <c r="Z16985"/>
    </row>
    <row r="16986" spans="26:26" x14ac:dyDescent="0.25">
      <c r="Z16986"/>
    </row>
    <row r="16987" spans="26:26" x14ac:dyDescent="0.25">
      <c r="Z16987"/>
    </row>
    <row r="16988" spans="26:26" x14ac:dyDescent="0.25">
      <c r="Z16988"/>
    </row>
    <row r="16989" spans="26:26" x14ac:dyDescent="0.25">
      <c r="Z16989"/>
    </row>
    <row r="16990" spans="26:26" x14ac:dyDescent="0.25">
      <c r="Z16990"/>
    </row>
    <row r="16991" spans="26:26" x14ac:dyDescent="0.25">
      <c r="Z16991"/>
    </row>
    <row r="16992" spans="26:26" x14ac:dyDescent="0.25">
      <c r="Z16992"/>
    </row>
    <row r="16993" spans="26:26" x14ac:dyDescent="0.25">
      <c r="Z16993"/>
    </row>
    <row r="16994" spans="26:26" x14ac:dyDescent="0.25">
      <c r="Z16994"/>
    </row>
    <row r="16995" spans="26:26" x14ac:dyDescent="0.25">
      <c r="Z16995"/>
    </row>
    <row r="16996" spans="26:26" x14ac:dyDescent="0.25">
      <c r="Z16996"/>
    </row>
    <row r="16997" spans="26:26" x14ac:dyDescent="0.25">
      <c r="Z16997"/>
    </row>
    <row r="16998" spans="26:26" x14ac:dyDescent="0.25">
      <c r="Z16998"/>
    </row>
    <row r="16999" spans="26:26" x14ac:dyDescent="0.25">
      <c r="Z16999"/>
    </row>
    <row r="17000" spans="26:26" x14ac:dyDescent="0.25">
      <c r="Z17000"/>
    </row>
    <row r="17001" spans="26:26" x14ac:dyDescent="0.25">
      <c r="Z17001"/>
    </row>
    <row r="17002" spans="26:26" x14ac:dyDescent="0.25">
      <c r="Z17002"/>
    </row>
    <row r="17003" spans="26:26" x14ac:dyDescent="0.25">
      <c r="Z17003"/>
    </row>
    <row r="17004" spans="26:26" x14ac:dyDescent="0.25">
      <c r="Z17004"/>
    </row>
    <row r="17005" spans="26:26" x14ac:dyDescent="0.25">
      <c r="Z17005"/>
    </row>
    <row r="17006" spans="26:26" x14ac:dyDescent="0.25">
      <c r="Z17006"/>
    </row>
    <row r="17007" spans="26:26" x14ac:dyDescent="0.25">
      <c r="Z17007"/>
    </row>
    <row r="17008" spans="26:26" x14ac:dyDescent="0.25">
      <c r="Z17008"/>
    </row>
    <row r="17009" spans="26:26" x14ac:dyDescent="0.25">
      <c r="Z17009"/>
    </row>
    <row r="17010" spans="26:26" x14ac:dyDescent="0.25">
      <c r="Z17010"/>
    </row>
    <row r="17011" spans="26:26" x14ac:dyDescent="0.25">
      <c r="Z17011"/>
    </row>
    <row r="17012" spans="26:26" x14ac:dyDescent="0.25">
      <c r="Z17012"/>
    </row>
    <row r="17013" spans="26:26" x14ac:dyDescent="0.25">
      <c r="Z17013"/>
    </row>
    <row r="17014" spans="26:26" x14ac:dyDescent="0.25">
      <c r="Z17014"/>
    </row>
    <row r="17015" spans="26:26" x14ac:dyDescent="0.25">
      <c r="Z17015"/>
    </row>
    <row r="17016" spans="26:26" x14ac:dyDescent="0.25">
      <c r="Z17016"/>
    </row>
    <row r="17017" spans="26:26" x14ac:dyDescent="0.25">
      <c r="Z17017"/>
    </row>
    <row r="17018" spans="26:26" x14ac:dyDescent="0.25">
      <c r="Z17018"/>
    </row>
    <row r="17019" spans="26:26" x14ac:dyDescent="0.25">
      <c r="Z17019"/>
    </row>
    <row r="17020" spans="26:26" x14ac:dyDescent="0.25">
      <c r="Z17020"/>
    </row>
    <row r="17021" spans="26:26" x14ac:dyDescent="0.25">
      <c r="Z17021"/>
    </row>
    <row r="17022" spans="26:26" x14ac:dyDescent="0.25">
      <c r="Z17022"/>
    </row>
    <row r="17023" spans="26:26" x14ac:dyDescent="0.25">
      <c r="Z17023"/>
    </row>
    <row r="17024" spans="26:26" x14ac:dyDescent="0.25">
      <c r="Z17024"/>
    </row>
    <row r="17025" spans="26:26" x14ac:dyDescent="0.25">
      <c r="Z17025"/>
    </row>
    <row r="17026" spans="26:26" x14ac:dyDescent="0.25">
      <c r="Z17026"/>
    </row>
    <row r="17027" spans="26:26" x14ac:dyDescent="0.25">
      <c r="Z17027"/>
    </row>
    <row r="17028" spans="26:26" x14ac:dyDescent="0.25">
      <c r="Z17028"/>
    </row>
    <row r="17029" spans="26:26" x14ac:dyDescent="0.25">
      <c r="Z17029"/>
    </row>
    <row r="17030" spans="26:26" x14ac:dyDescent="0.25">
      <c r="Z17030"/>
    </row>
    <row r="17031" spans="26:26" x14ac:dyDescent="0.25">
      <c r="Z17031"/>
    </row>
    <row r="17032" spans="26:26" x14ac:dyDescent="0.25">
      <c r="Z17032"/>
    </row>
    <row r="17033" spans="26:26" x14ac:dyDescent="0.25">
      <c r="Z17033"/>
    </row>
    <row r="17034" spans="26:26" x14ac:dyDescent="0.25">
      <c r="Z17034"/>
    </row>
    <row r="17035" spans="26:26" x14ac:dyDescent="0.25">
      <c r="Z17035"/>
    </row>
    <row r="17036" spans="26:26" x14ac:dyDescent="0.25">
      <c r="Z17036"/>
    </row>
    <row r="17037" spans="26:26" x14ac:dyDescent="0.25">
      <c r="Z17037"/>
    </row>
    <row r="17038" spans="26:26" x14ac:dyDescent="0.25">
      <c r="Z17038"/>
    </row>
    <row r="17039" spans="26:26" x14ac:dyDescent="0.25">
      <c r="Z17039"/>
    </row>
    <row r="17040" spans="26:26" x14ac:dyDescent="0.25">
      <c r="Z17040"/>
    </row>
    <row r="17041" spans="26:26" x14ac:dyDescent="0.25">
      <c r="Z17041"/>
    </row>
    <row r="17042" spans="26:26" x14ac:dyDescent="0.25">
      <c r="Z17042"/>
    </row>
    <row r="17043" spans="26:26" x14ac:dyDescent="0.25">
      <c r="Z17043"/>
    </row>
    <row r="17044" spans="26:26" x14ac:dyDescent="0.25">
      <c r="Z17044"/>
    </row>
    <row r="17045" spans="26:26" x14ac:dyDescent="0.25">
      <c r="Z17045"/>
    </row>
    <row r="17046" spans="26:26" x14ac:dyDescent="0.25">
      <c r="Z17046"/>
    </row>
    <row r="17047" spans="26:26" x14ac:dyDescent="0.25">
      <c r="Z17047"/>
    </row>
    <row r="17048" spans="26:26" x14ac:dyDescent="0.25">
      <c r="Z17048"/>
    </row>
    <row r="17049" spans="26:26" x14ac:dyDescent="0.25">
      <c r="Z17049"/>
    </row>
    <row r="17050" spans="26:26" x14ac:dyDescent="0.25">
      <c r="Z17050"/>
    </row>
    <row r="17051" spans="26:26" x14ac:dyDescent="0.25">
      <c r="Z17051"/>
    </row>
    <row r="17052" spans="26:26" x14ac:dyDescent="0.25">
      <c r="Z17052"/>
    </row>
    <row r="17053" spans="26:26" x14ac:dyDescent="0.25">
      <c r="Z17053"/>
    </row>
    <row r="17054" spans="26:26" x14ac:dyDescent="0.25">
      <c r="Z17054"/>
    </row>
    <row r="17055" spans="26:26" x14ac:dyDescent="0.25">
      <c r="Z17055"/>
    </row>
    <row r="17056" spans="26:26" x14ac:dyDescent="0.25">
      <c r="Z17056"/>
    </row>
    <row r="17057" spans="26:26" x14ac:dyDescent="0.25">
      <c r="Z17057"/>
    </row>
    <row r="17058" spans="26:26" x14ac:dyDescent="0.25">
      <c r="Z17058"/>
    </row>
    <row r="17059" spans="26:26" x14ac:dyDescent="0.25">
      <c r="Z17059"/>
    </row>
    <row r="17060" spans="26:26" x14ac:dyDescent="0.25">
      <c r="Z17060"/>
    </row>
    <row r="17061" spans="26:26" x14ac:dyDescent="0.25">
      <c r="Z17061"/>
    </row>
    <row r="17062" spans="26:26" x14ac:dyDescent="0.25">
      <c r="Z17062"/>
    </row>
    <row r="17063" spans="26:26" x14ac:dyDescent="0.25">
      <c r="Z17063"/>
    </row>
    <row r="17064" spans="26:26" x14ac:dyDescent="0.25">
      <c r="Z17064"/>
    </row>
    <row r="17065" spans="26:26" x14ac:dyDescent="0.25">
      <c r="Z17065"/>
    </row>
    <row r="17066" spans="26:26" x14ac:dyDescent="0.25">
      <c r="Z17066"/>
    </row>
    <row r="17067" spans="26:26" x14ac:dyDescent="0.25">
      <c r="Z17067"/>
    </row>
    <row r="17068" spans="26:26" x14ac:dyDescent="0.25">
      <c r="Z17068"/>
    </row>
    <row r="17069" spans="26:26" x14ac:dyDescent="0.25">
      <c r="Z17069"/>
    </row>
    <row r="17070" spans="26:26" x14ac:dyDescent="0.25">
      <c r="Z17070"/>
    </row>
    <row r="17071" spans="26:26" x14ac:dyDescent="0.25">
      <c r="Z17071"/>
    </row>
    <row r="17072" spans="26:26" x14ac:dyDescent="0.25">
      <c r="Z17072"/>
    </row>
    <row r="17073" spans="26:26" x14ac:dyDescent="0.25">
      <c r="Z17073"/>
    </row>
    <row r="17074" spans="26:26" x14ac:dyDescent="0.25">
      <c r="Z17074"/>
    </row>
    <row r="17075" spans="26:26" x14ac:dyDescent="0.25">
      <c r="Z17075"/>
    </row>
    <row r="17076" spans="26:26" x14ac:dyDescent="0.25">
      <c r="Z17076"/>
    </row>
    <row r="17077" spans="26:26" x14ac:dyDescent="0.25">
      <c r="Z17077"/>
    </row>
    <row r="17078" spans="26:26" x14ac:dyDescent="0.25">
      <c r="Z17078"/>
    </row>
    <row r="17079" spans="26:26" x14ac:dyDescent="0.25">
      <c r="Z17079"/>
    </row>
    <row r="17080" spans="26:26" x14ac:dyDescent="0.25">
      <c r="Z17080"/>
    </row>
    <row r="17081" spans="26:26" x14ac:dyDescent="0.25">
      <c r="Z17081"/>
    </row>
    <row r="17082" spans="26:26" x14ac:dyDescent="0.25">
      <c r="Z17082"/>
    </row>
    <row r="17083" spans="26:26" x14ac:dyDescent="0.25">
      <c r="Z17083"/>
    </row>
    <row r="17084" spans="26:26" x14ac:dyDescent="0.25">
      <c r="Z17084"/>
    </row>
    <row r="17085" spans="26:26" x14ac:dyDescent="0.25">
      <c r="Z17085"/>
    </row>
    <row r="17086" spans="26:26" x14ac:dyDescent="0.25">
      <c r="Z17086"/>
    </row>
    <row r="17087" spans="26:26" x14ac:dyDescent="0.25">
      <c r="Z17087"/>
    </row>
    <row r="17088" spans="26:26" x14ac:dyDescent="0.25">
      <c r="Z17088"/>
    </row>
    <row r="17089" spans="26:26" x14ac:dyDescent="0.25">
      <c r="Z17089"/>
    </row>
    <row r="17090" spans="26:26" x14ac:dyDescent="0.25">
      <c r="Z17090"/>
    </row>
    <row r="17091" spans="26:26" x14ac:dyDescent="0.25">
      <c r="Z17091"/>
    </row>
    <row r="17092" spans="26:26" x14ac:dyDescent="0.25">
      <c r="Z17092"/>
    </row>
    <row r="17093" spans="26:26" x14ac:dyDescent="0.25">
      <c r="Z17093"/>
    </row>
    <row r="17094" spans="26:26" x14ac:dyDescent="0.25">
      <c r="Z17094"/>
    </row>
    <row r="17095" spans="26:26" x14ac:dyDescent="0.25">
      <c r="Z17095"/>
    </row>
    <row r="17096" spans="26:26" x14ac:dyDescent="0.25">
      <c r="Z17096"/>
    </row>
    <row r="17097" spans="26:26" x14ac:dyDescent="0.25">
      <c r="Z17097"/>
    </row>
    <row r="17098" spans="26:26" x14ac:dyDescent="0.25">
      <c r="Z17098"/>
    </row>
    <row r="17099" spans="26:26" x14ac:dyDescent="0.25">
      <c r="Z17099"/>
    </row>
    <row r="17100" spans="26:26" x14ac:dyDescent="0.25">
      <c r="Z17100"/>
    </row>
    <row r="17101" spans="26:26" x14ac:dyDescent="0.25">
      <c r="Z17101"/>
    </row>
    <row r="17102" spans="26:26" x14ac:dyDescent="0.25">
      <c r="Z17102"/>
    </row>
    <row r="17103" spans="26:26" x14ac:dyDescent="0.25">
      <c r="Z17103"/>
    </row>
    <row r="17104" spans="26:26" x14ac:dyDescent="0.25">
      <c r="Z17104"/>
    </row>
    <row r="17105" spans="26:26" x14ac:dyDescent="0.25">
      <c r="Z17105"/>
    </row>
    <row r="17106" spans="26:26" x14ac:dyDescent="0.25">
      <c r="Z17106"/>
    </row>
    <row r="17107" spans="26:26" x14ac:dyDescent="0.25">
      <c r="Z17107"/>
    </row>
    <row r="17108" spans="26:26" x14ac:dyDescent="0.25">
      <c r="Z17108"/>
    </row>
    <row r="17109" spans="26:26" x14ac:dyDescent="0.25">
      <c r="Z17109"/>
    </row>
    <row r="17110" spans="26:26" x14ac:dyDescent="0.25">
      <c r="Z17110"/>
    </row>
    <row r="17111" spans="26:26" x14ac:dyDescent="0.25">
      <c r="Z17111"/>
    </row>
    <row r="17112" spans="26:26" x14ac:dyDescent="0.25">
      <c r="Z17112"/>
    </row>
    <row r="17113" spans="26:26" x14ac:dyDescent="0.25">
      <c r="Z17113"/>
    </row>
    <row r="17114" spans="26:26" x14ac:dyDescent="0.25">
      <c r="Z17114"/>
    </row>
    <row r="17115" spans="26:26" x14ac:dyDescent="0.25">
      <c r="Z17115"/>
    </row>
    <row r="17116" spans="26:26" x14ac:dyDescent="0.25">
      <c r="Z17116"/>
    </row>
    <row r="17117" spans="26:26" x14ac:dyDescent="0.25">
      <c r="Z17117"/>
    </row>
    <row r="17118" spans="26:26" x14ac:dyDescent="0.25">
      <c r="Z17118"/>
    </row>
    <row r="17119" spans="26:26" x14ac:dyDescent="0.25">
      <c r="Z17119"/>
    </row>
    <row r="17120" spans="26:26" x14ac:dyDescent="0.25">
      <c r="Z17120"/>
    </row>
    <row r="17121" spans="26:26" x14ac:dyDescent="0.25">
      <c r="Z17121"/>
    </row>
    <row r="17122" spans="26:26" x14ac:dyDescent="0.25">
      <c r="Z17122"/>
    </row>
    <row r="17123" spans="26:26" x14ac:dyDescent="0.25">
      <c r="Z17123"/>
    </row>
    <row r="17124" spans="26:26" x14ac:dyDescent="0.25">
      <c r="Z17124"/>
    </row>
    <row r="17125" spans="26:26" x14ac:dyDescent="0.25">
      <c r="Z17125"/>
    </row>
    <row r="17126" spans="26:26" x14ac:dyDescent="0.25">
      <c r="Z17126"/>
    </row>
    <row r="17127" spans="26:26" x14ac:dyDescent="0.25">
      <c r="Z17127"/>
    </row>
    <row r="17128" spans="26:26" x14ac:dyDescent="0.25">
      <c r="Z17128"/>
    </row>
    <row r="17129" spans="26:26" x14ac:dyDescent="0.25">
      <c r="Z17129"/>
    </row>
    <row r="17130" spans="26:26" x14ac:dyDescent="0.25">
      <c r="Z17130"/>
    </row>
    <row r="17131" spans="26:26" x14ac:dyDescent="0.25">
      <c r="Z17131"/>
    </row>
    <row r="17132" spans="26:26" x14ac:dyDescent="0.25">
      <c r="Z17132"/>
    </row>
    <row r="17133" spans="26:26" x14ac:dyDescent="0.25">
      <c r="Z17133"/>
    </row>
    <row r="17134" spans="26:26" x14ac:dyDescent="0.25">
      <c r="Z17134"/>
    </row>
    <row r="17135" spans="26:26" x14ac:dyDescent="0.25">
      <c r="Z17135"/>
    </row>
    <row r="17136" spans="26:26" x14ac:dyDescent="0.25">
      <c r="Z17136"/>
    </row>
    <row r="17137" spans="26:26" x14ac:dyDescent="0.25">
      <c r="Z17137"/>
    </row>
    <row r="17138" spans="26:26" x14ac:dyDescent="0.25">
      <c r="Z17138"/>
    </row>
    <row r="17139" spans="26:26" x14ac:dyDescent="0.25">
      <c r="Z17139"/>
    </row>
    <row r="17140" spans="26:26" x14ac:dyDescent="0.25">
      <c r="Z17140"/>
    </row>
    <row r="17141" spans="26:26" x14ac:dyDescent="0.25">
      <c r="Z17141"/>
    </row>
    <row r="17142" spans="26:26" x14ac:dyDescent="0.25">
      <c r="Z17142"/>
    </row>
    <row r="17143" spans="26:26" x14ac:dyDescent="0.25">
      <c r="Z17143"/>
    </row>
    <row r="17144" spans="26:26" x14ac:dyDescent="0.25">
      <c r="Z17144"/>
    </row>
    <row r="17145" spans="26:26" x14ac:dyDescent="0.25">
      <c r="Z17145"/>
    </row>
    <row r="17146" spans="26:26" x14ac:dyDescent="0.25">
      <c r="Z17146"/>
    </row>
    <row r="17147" spans="26:26" x14ac:dyDescent="0.25">
      <c r="Z17147"/>
    </row>
    <row r="17148" spans="26:26" x14ac:dyDescent="0.25">
      <c r="Z17148"/>
    </row>
    <row r="17149" spans="26:26" x14ac:dyDescent="0.25">
      <c r="Z17149"/>
    </row>
    <row r="17150" spans="26:26" x14ac:dyDescent="0.25">
      <c r="Z17150"/>
    </row>
    <row r="17151" spans="26:26" x14ac:dyDescent="0.25">
      <c r="Z17151"/>
    </row>
    <row r="17152" spans="26:26" x14ac:dyDescent="0.25">
      <c r="Z17152"/>
    </row>
    <row r="17153" spans="26:26" x14ac:dyDescent="0.25">
      <c r="Z17153"/>
    </row>
    <row r="17154" spans="26:26" x14ac:dyDescent="0.25">
      <c r="Z17154"/>
    </row>
    <row r="17155" spans="26:26" x14ac:dyDescent="0.25">
      <c r="Z17155"/>
    </row>
    <row r="17156" spans="26:26" x14ac:dyDescent="0.25">
      <c r="Z17156"/>
    </row>
    <row r="17157" spans="26:26" x14ac:dyDescent="0.25">
      <c r="Z17157"/>
    </row>
    <row r="17158" spans="26:26" x14ac:dyDescent="0.25">
      <c r="Z17158"/>
    </row>
    <row r="17159" spans="26:26" x14ac:dyDescent="0.25">
      <c r="Z17159"/>
    </row>
    <row r="17160" spans="26:26" x14ac:dyDescent="0.25">
      <c r="Z17160"/>
    </row>
    <row r="17161" spans="26:26" x14ac:dyDescent="0.25">
      <c r="Z17161"/>
    </row>
    <row r="17162" spans="26:26" x14ac:dyDescent="0.25">
      <c r="Z17162"/>
    </row>
    <row r="17163" spans="26:26" x14ac:dyDescent="0.25">
      <c r="Z17163"/>
    </row>
    <row r="17164" spans="26:26" x14ac:dyDescent="0.25">
      <c r="Z17164"/>
    </row>
    <row r="17165" spans="26:26" x14ac:dyDescent="0.25">
      <c r="Z17165"/>
    </row>
    <row r="17166" spans="26:26" x14ac:dyDescent="0.25">
      <c r="Z17166"/>
    </row>
    <row r="17167" spans="26:26" x14ac:dyDescent="0.25">
      <c r="Z17167"/>
    </row>
    <row r="17168" spans="26:26" x14ac:dyDescent="0.25">
      <c r="Z17168"/>
    </row>
    <row r="17169" spans="26:26" x14ac:dyDescent="0.25">
      <c r="Z17169"/>
    </row>
    <row r="17170" spans="26:26" x14ac:dyDescent="0.25">
      <c r="Z17170"/>
    </row>
    <row r="17171" spans="26:26" x14ac:dyDescent="0.25">
      <c r="Z17171"/>
    </row>
    <row r="17172" spans="26:26" x14ac:dyDescent="0.25">
      <c r="Z17172"/>
    </row>
    <row r="17173" spans="26:26" x14ac:dyDescent="0.25">
      <c r="Z17173"/>
    </row>
    <row r="17174" spans="26:26" x14ac:dyDescent="0.25">
      <c r="Z17174"/>
    </row>
    <row r="17175" spans="26:26" x14ac:dyDescent="0.25">
      <c r="Z17175"/>
    </row>
    <row r="17176" spans="26:26" x14ac:dyDescent="0.25">
      <c r="Z17176"/>
    </row>
    <row r="17177" spans="26:26" x14ac:dyDescent="0.25">
      <c r="Z17177"/>
    </row>
    <row r="17178" spans="26:26" x14ac:dyDescent="0.25">
      <c r="Z17178"/>
    </row>
    <row r="17179" spans="26:26" x14ac:dyDescent="0.25">
      <c r="Z17179"/>
    </row>
    <row r="17180" spans="26:26" x14ac:dyDescent="0.25">
      <c r="Z17180"/>
    </row>
    <row r="17181" spans="26:26" x14ac:dyDescent="0.25">
      <c r="Z17181"/>
    </row>
    <row r="17182" spans="26:26" x14ac:dyDescent="0.25">
      <c r="Z17182"/>
    </row>
    <row r="17183" spans="26:26" x14ac:dyDescent="0.25">
      <c r="Z17183"/>
    </row>
    <row r="17184" spans="26:26" x14ac:dyDescent="0.25">
      <c r="Z17184"/>
    </row>
    <row r="17185" spans="26:26" x14ac:dyDescent="0.25">
      <c r="Z17185"/>
    </row>
    <row r="17186" spans="26:26" x14ac:dyDescent="0.25">
      <c r="Z17186"/>
    </row>
    <row r="17187" spans="26:26" x14ac:dyDescent="0.25">
      <c r="Z17187"/>
    </row>
    <row r="17188" spans="26:26" x14ac:dyDescent="0.25">
      <c r="Z17188"/>
    </row>
    <row r="17189" spans="26:26" x14ac:dyDescent="0.25">
      <c r="Z17189"/>
    </row>
    <row r="17190" spans="26:26" x14ac:dyDescent="0.25">
      <c r="Z17190"/>
    </row>
    <row r="17191" spans="26:26" x14ac:dyDescent="0.25">
      <c r="Z17191"/>
    </row>
    <row r="17192" spans="26:26" x14ac:dyDescent="0.25">
      <c r="Z17192"/>
    </row>
    <row r="17193" spans="26:26" x14ac:dyDescent="0.25">
      <c r="Z17193"/>
    </row>
    <row r="17194" spans="26:26" x14ac:dyDescent="0.25">
      <c r="Z17194"/>
    </row>
    <row r="17195" spans="26:26" x14ac:dyDescent="0.25">
      <c r="Z17195"/>
    </row>
    <row r="17196" spans="26:26" x14ac:dyDescent="0.25">
      <c r="Z17196"/>
    </row>
    <row r="17197" spans="26:26" x14ac:dyDescent="0.25">
      <c r="Z17197"/>
    </row>
    <row r="17198" spans="26:26" x14ac:dyDescent="0.25">
      <c r="Z17198"/>
    </row>
    <row r="17199" spans="26:26" x14ac:dyDescent="0.25">
      <c r="Z17199"/>
    </row>
    <row r="17200" spans="26:26" x14ac:dyDescent="0.25">
      <c r="Z17200"/>
    </row>
    <row r="17201" spans="26:26" x14ac:dyDescent="0.25">
      <c r="Z17201"/>
    </row>
    <row r="17202" spans="26:26" x14ac:dyDescent="0.25">
      <c r="Z17202"/>
    </row>
    <row r="17203" spans="26:26" x14ac:dyDescent="0.25">
      <c r="Z17203"/>
    </row>
    <row r="17204" spans="26:26" x14ac:dyDescent="0.25">
      <c r="Z17204"/>
    </row>
    <row r="17205" spans="26:26" x14ac:dyDescent="0.25">
      <c r="Z17205"/>
    </row>
    <row r="17206" spans="26:26" x14ac:dyDescent="0.25">
      <c r="Z17206"/>
    </row>
    <row r="17207" spans="26:26" x14ac:dyDescent="0.25">
      <c r="Z17207"/>
    </row>
    <row r="17208" spans="26:26" x14ac:dyDescent="0.25">
      <c r="Z17208"/>
    </row>
    <row r="17209" spans="26:26" x14ac:dyDescent="0.25">
      <c r="Z17209"/>
    </row>
    <row r="17210" spans="26:26" x14ac:dyDescent="0.25">
      <c r="Z17210"/>
    </row>
    <row r="17211" spans="26:26" x14ac:dyDescent="0.25">
      <c r="Z17211"/>
    </row>
    <row r="17212" spans="26:26" x14ac:dyDescent="0.25">
      <c r="Z17212"/>
    </row>
    <row r="17213" spans="26:26" x14ac:dyDescent="0.25">
      <c r="Z17213"/>
    </row>
    <row r="17214" spans="26:26" x14ac:dyDescent="0.25">
      <c r="Z17214"/>
    </row>
    <row r="17215" spans="26:26" x14ac:dyDescent="0.25">
      <c r="Z17215"/>
    </row>
    <row r="17216" spans="26:26" x14ac:dyDescent="0.25">
      <c r="Z17216"/>
    </row>
    <row r="17217" spans="26:26" x14ac:dyDescent="0.25">
      <c r="Z17217"/>
    </row>
    <row r="17218" spans="26:26" x14ac:dyDescent="0.25">
      <c r="Z17218"/>
    </row>
    <row r="17219" spans="26:26" x14ac:dyDescent="0.25">
      <c r="Z17219"/>
    </row>
    <row r="17220" spans="26:26" x14ac:dyDescent="0.25">
      <c r="Z17220"/>
    </row>
    <row r="17221" spans="26:26" x14ac:dyDescent="0.25">
      <c r="Z17221"/>
    </row>
    <row r="17222" spans="26:26" x14ac:dyDescent="0.25">
      <c r="Z17222"/>
    </row>
    <row r="17223" spans="26:26" x14ac:dyDescent="0.25">
      <c r="Z17223"/>
    </row>
    <row r="17224" spans="26:26" x14ac:dyDescent="0.25">
      <c r="Z17224"/>
    </row>
    <row r="17225" spans="26:26" x14ac:dyDescent="0.25">
      <c r="Z17225"/>
    </row>
    <row r="17226" spans="26:26" x14ac:dyDescent="0.25">
      <c r="Z17226"/>
    </row>
    <row r="17227" spans="26:26" x14ac:dyDescent="0.25">
      <c r="Z17227"/>
    </row>
    <row r="17228" spans="26:26" x14ac:dyDescent="0.25">
      <c r="Z17228"/>
    </row>
    <row r="17229" spans="26:26" x14ac:dyDescent="0.25">
      <c r="Z17229"/>
    </row>
    <row r="17230" spans="26:26" x14ac:dyDescent="0.25">
      <c r="Z17230"/>
    </row>
    <row r="17231" spans="26:26" x14ac:dyDescent="0.25">
      <c r="Z17231"/>
    </row>
    <row r="17232" spans="26:26" x14ac:dyDescent="0.25">
      <c r="Z17232"/>
    </row>
    <row r="17233" spans="26:26" x14ac:dyDescent="0.25">
      <c r="Z17233"/>
    </row>
    <row r="17234" spans="26:26" x14ac:dyDescent="0.25">
      <c r="Z17234"/>
    </row>
    <row r="17235" spans="26:26" x14ac:dyDescent="0.25">
      <c r="Z17235"/>
    </row>
    <row r="17236" spans="26:26" x14ac:dyDescent="0.25">
      <c r="Z17236"/>
    </row>
    <row r="17237" spans="26:26" x14ac:dyDescent="0.25">
      <c r="Z17237"/>
    </row>
    <row r="17238" spans="26:26" x14ac:dyDescent="0.25">
      <c r="Z17238"/>
    </row>
    <row r="17239" spans="26:26" x14ac:dyDescent="0.25">
      <c r="Z17239"/>
    </row>
    <row r="17240" spans="26:26" x14ac:dyDescent="0.25">
      <c r="Z17240"/>
    </row>
    <row r="17241" spans="26:26" x14ac:dyDescent="0.25">
      <c r="Z17241"/>
    </row>
    <row r="17242" spans="26:26" x14ac:dyDescent="0.25">
      <c r="Z17242"/>
    </row>
    <row r="17243" spans="26:26" x14ac:dyDescent="0.25">
      <c r="Z17243"/>
    </row>
    <row r="17244" spans="26:26" x14ac:dyDescent="0.25">
      <c r="Z17244"/>
    </row>
    <row r="17245" spans="26:26" x14ac:dyDescent="0.25">
      <c r="Z17245"/>
    </row>
    <row r="17246" spans="26:26" x14ac:dyDescent="0.25">
      <c r="Z17246"/>
    </row>
    <row r="17247" spans="26:26" x14ac:dyDescent="0.25">
      <c r="Z17247"/>
    </row>
    <row r="17248" spans="26:26" x14ac:dyDescent="0.25">
      <c r="Z17248"/>
    </row>
    <row r="17249" spans="26:26" x14ac:dyDescent="0.25">
      <c r="Z17249"/>
    </row>
    <row r="17250" spans="26:26" x14ac:dyDescent="0.25">
      <c r="Z17250"/>
    </row>
    <row r="17251" spans="26:26" x14ac:dyDescent="0.25">
      <c r="Z17251"/>
    </row>
    <row r="17252" spans="26:26" x14ac:dyDescent="0.25">
      <c r="Z17252"/>
    </row>
    <row r="17253" spans="26:26" x14ac:dyDescent="0.25">
      <c r="Z17253"/>
    </row>
    <row r="17254" spans="26:26" x14ac:dyDescent="0.25">
      <c r="Z17254"/>
    </row>
    <row r="17255" spans="26:26" x14ac:dyDescent="0.25">
      <c r="Z17255"/>
    </row>
    <row r="17256" spans="26:26" x14ac:dyDescent="0.25">
      <c r="Z17256"/>
    </row>
    <row r="17257" spans="26:26" x14ac:dyDescent="0.25">
      <c r="Z17257"/>
    </row>
    <row r="17258" spans="26:26" x14ac:dyDescent="0.25">
      <c r="Z17258"/>
    </row>
    <row r="17259" spans="26:26" x14ac:dyDescent="0.25">
      <c r="Z17259"/>
    </row>
    <row r="17260" spans="26:26" x14ac:dyDescent="0.25">
      <c r="Z17260"/>
    </row>
    <row r="17261" spans="26:26" x14ac:dyDescent="0.25">
      <c r="Z17261"/>
    </row>
    <row r="17262" spans="26:26" x14ac:dyDescent="0.25">
      <c r="Z17262"/>
    </row>
    <row r="17263" spans="26:26" x14ac:dyDescent="0.25">
      <c r="Z17263"/>
    </row>
    <row r="17264" spans="26:26" x14ac:dyDescent="0.25">
      <c r="Z17264"/>
    </row>
    <row r="17265" spans="26:26" x14ac:dyDescent="0.25">
      <c r="Z17265"/>
    </row>
    <row r="17266" spans="26:26" x14ac:dyDescent="0.25">
      <c r="Z17266"/>
    </row>
    <row r="17267" spans="26:26" x14ac:dyDescent="0.25">
      <c r="Z17267"/>
    </row>
    <row r="17268" spans="26:26" x14ac:dyDescent="0.25">
      <c r="Z17268"/>
    </row>
    <row r="17269" spans="26:26" x14ac:dyDescent="0.25">
      <c r="Z17269"/>
    </row>
    <row r="17270" spans="26:26" x14ac:dyDescent="0.25">
      <c r="Z17270"/>
    </row>
    <row r="17271" spans="26:26" x14ac:dyDescent="0.25">
      <c r="Z17271"/>
    </row>
    <row r="17272" spans="26:26" x14ac:dyDescent="0.25">
      <c r="Z17272"/>
    </row>
    <row r="17273" spans="26:26" x14ac:dyDescent="0.25">
      <c r="Z17273"/>
    </row>
    <row r="17274" spans="26:26" x14ac:dyDescent="0.25">
      <c r="Z17274"/>
    </row>
    <row r="17275" spans="26:26" x14ac:dyDescent="0.25">
      <c r="Z17275"/>
    </row>
    <row r="17276" spans="26:26" x14ac:dyDescent="0.25">
      <c r="Z17276"/>
    </row>
    <row r="17277" spans="26:26" x14ac:dyDescent="0.25">
      <c r="Z17277"/>
    </row>
    <row r="17278" spans="26:26" x14ac:dyDescent="0.25">
      <c r="Z17278"/>
    </row>
    <row r="17279" spans="26:26" x14ac:dyDescent="0.25">
      <c r="Z17279"/>
    </row>
    <row r="17280" spans="26:26" x14ac:dyDescent="0.25">
      <c r="Z17280"/>
    </row>
    <row r="17281" spans="26:26" x14ac:dyDescent="0.25">
      <c r="Z17281"/>
    </row>
    <row r="17282" spans="26:26" x14ac:dyDescent="0.25">
      <c r="Z17282"/>
    </row>
    <row r="17283" spans="26:26" x14ac:dyDescent="0.25">
      <c r="Z17283"/>
    </row>
    <row r="17284" spans="26:26" x14ac:dyDescent="0.25">
      <c r="Z17284"/>
    </row>
    <row r="17285" spans="26:26" x14ac:dyDescent="0.25">
      <c r="Z17285"/>
    </row>
    <row r="17286" spans="26:26" x14ac:dyDescent="0.25">
      <c r="Z17286"/>
    </row>
    <row r="17287" spans="26:26" x14ac:dyDescent="0.25">
      <c r="Z17287"/>
    </row>
    <row r="17288" spans="26:26" x14ac:dyDescent="0.25">
      <c r="Z17288"/>
    </row>
    <row r="17289" spans="26:26" x14ac:dyDescent="0.25">
      <c r="Z17289"/>
    </row>
    <row r="17290" spans="26:26" x14ac:dyDescent="0.25">
      <c r="Z17290"/>
    </row>
    <row r="17291" spans="26:26" x14ac:dyDescent="0.25">
      <c r="Z17291"/>
    </row>
    <row r="17292" spans="26:26" x14ac:dyDescent="0.25">
      <c r="Z17292"/>
    </row>
    <row r="17293" spans="26:26" x14ac:dyDescent="0.25">
      <c r="Z17293"/>
    </row>
    <row r="17294" spans="26:26" x14ac:dyDescent="0.25">
      <c r="Z17294"/>
    </row>
    <row r="17295" spans="26:26" x14ac:dyDescent="0.25">
      <c r="Z17295"/>
    </row>
    <row r="17296" spans="26:26" x14ac:dyDescent="0.25">
      <c r="Z17296"/>
    </row>
    <row r="17297" spans="26:26" x14ac:dyDescent="0.25">
      <c r="Z17297"/>
    </row>
    <row r="17298" spans="26:26" x14ac:dyDescent="0.25">
      <c r="Z17298"/>
    </row>
    <row r="17299" spans="26:26" x14ac:dyDescent="0.25">
      <c r="Z17299"/>
    </row>
    <row r="17300" spans="26:26" x14ac:dyDescent="0.25">
      <c r="Z17300"/>
    </row>
    <row r="17301" spans="26:26" x14ac:dyDescent="0.25">
      <c r="Z17301"/>
    </row>
    <row r="17302" spans="26:26" x14ac:dyDescent="0.25">
      <c r="Z17302"/>
    </row>
    <row r="17303" spans="26:26" x14ac:dyDescent="0.25">
      <c r="Z17303"/>
    </row>
    <row r="17304" spans="26:26" x14ac:dyDescent="0.25">
      <c r="Z17304"/>
    </row>
    <row r="17305" spans="26:26" x14ac:dyDescent="0.25">
      <c r="Z17305"/>
    </row>
    <row r="17306" spans="26:26" x14ac:dyDescent="0.25">
      <c r="Z17306"/>
    </row>
    <row r="17307" spans="26:26" x14ac:dyDescent="0.25">
      <c r="Z17307"/>
    </row>
    <row r="17308" spans="26:26" x14ac:dyDescent="0.25">
      <c r="Z17308"/>
    </row>
    <row r="17309" spans="26:26" x14ac:dyDescent="0.25">
      <c r="Z17309"/>
    </row>
    <row r="17310" spans="26:26" x14ac:dyDescent="0.25">
      <c r="Z17310"/>
    </row>
    <row r="17311" spans="26:26" x14ac:dyDescent="0.25">
      <c r="Z17311"/>
    </row>
    <row r="17312" spans="26:26" x14ac:dyDescent="0.25">
      <c r="Z17312"/>
    </row>
    <row r="17313" spans="26:26" x14ac:dyDescent="0.25">
      <c r="Z17313"/>
    </row>
    <row r="17314" spans="26:26" x14ac:dyDescent="0.25">
      <c r="Z17314"/>
    </row>
    <row r="17315" spans="26:26" x14ac:dyDescent="0.25">
      <c r="Z17315"/>
    </row>
    <row r="17316" spans="26:26" x14ac:dyDescent="0.25">
      <c r="Z17316"/>
    </row>
    <row r="17317" spans="26:26" x14ac:dyDescent="0.25">
      <c r="Z17317"/>
    </row>
    <row r="17318" spans="26:26" x14ac:dyDescent="0.25">
      <c r="Z17318"/>
    </row>
    <row r="17319" spans="26:26" x14ac:dyDescent="0.25">
      <c r="Z17319"/>
    </row>
    <row r="17320" spans="26:26" x14ac:dyDescent="0.25">
      <c r="Z17320"/>
    </row>
    <row r="17321" spans="26:26" x14ac:dyDescent="0.25">
      <c r="Z17321"/>
    </row>
    <row r="17322" spans="26:26" x14ac:dyDescent="0.25">
      <c r="Z17322"/>
    </row>
    <row r="17323" spans="26:26" x14ac:dyDescent="0.25">
      <c r="Z17323"/>
    </row>
    <row r="17324" spans="26:26" x14ac:dyDescent="0.25">
      <c r="Z17324"/>
    </row>
    <row r="17325" spans="26:26" x14ac:dyDescent="0.25">
      <c r="Z17325"/>
    </row>
    <row r="17326" spans="26:26" x14ac:dyDescent="0.25">
      <c r="Z17326"/>
    </row>
    <row r="17327" spans="26:26" x14ac:dyDescent="0.25">
      <c r="Z17327"/>
    </row>
    <row r="17328" spans="26:26" x14ac:dyDescent="0.25">
      <c r="Z17328"/>
    </row>
    <row r="17329" spans="26:26" x14ac:dyDescent="0.25">
      <c r="Z17329"/>
    </row>
    <row r="17330" spans="26:26" x14ac:dyDescent="0.25">
      <c r="Z17330"/>
    </row>
    <row r="17331" spans="26:26" x14ac:dyDescent="0.25">
      <c r="Z17331"/>
    </row>
    <row r="17332" spans="26:26" x14ac:dyDescent="0.25">
      <c r="Z17332"/>
    </row>
    <row r="17333" spans="26:26" x14ac:dyDescent="0.25">
      <c r="Z17333"/>
    </row>
    <row r="17334" spans="26:26" x14ac:dyDescent="0.25">
      <c r="Z17334"/>
    </row>
    <row r="17335" spans="26:26" x14ac:dyDescent="0.25">
      <c r="Z17335"/>
    </row>
    <row r="17336" spans="26:26" x14ac:dyDescent="0.25">
      <c r="Z17336"/>
    </row>
    <row r="17337" spans="26:26" x14ac:dyDescent="0.25">
      <c r="Z17337"/>
    </row>
    <row r="17338" spans="26:26" x14ac:dyDescent="0.25">
      <c r="Z17338"/>
    </row>
    <row r="17339" spans="26:26" x14ac:dyDescent="0.25">
      <c r="Z17339"/>
    </row>
    <row r="17340" spans="26:26" x14ac:dyDescent="0.25">
      <c r="Z17340"/>
    </row>
    <row r="17341" spans="26:26" x14ac:dyDescent="0.25">
      <c r="Z17341"/>
    </row>
    <row r="17342" spans="26:26" x14ac:dyDescent="0.25">
      <c r="Z17342"/>
    </row>
    <row r="17343" spans="26:26" x14ac:dyDescent="0.25">
      <c r="Z17343"/>
    </row>
    <row r="17344" spans="26:26" x14ac:dyDescent="0.25">
      <c r="Z17344"/>
    </row>
    <row r="17345" spans="26:26" x14ac:dyDescent="0.25">
      <c r="Z17345"/>
    </row>
    <row r="17346" spans="26:26" x14ac:dyDescent="0.25">
      <c r="Z17346"/>
    </row>
    <row r="17347" spans="26:26" x14ac:dyDescent="0.25">
      <c r="Z17347"/>
    </row>
    <row r="17348" spans="26:26" x14ac:dyDescent="0.25">
      <c r="Z17348"/>
    </row>
    <row r="17349" spans="26:26" x14ac:dyDescent="0.25">
      <c r="Z17349"/>
    </row>
    <row r="17350" spans="26:26" x14ac:dyDescent="0.25">
      <c r="Z17350"/>
    </row>
    <row r="17351" spans="26:26" x14ac:dyDescent="0.25">
      <c r="Z17351"/>
    </row>
    <row r="17352" spans="26:26" x14ac:dyDescent="0.25">
      <c r="Z17352"/>
    </row>
    <row r="17353" spans="26:26" x14ac:dyDescent="0.25">
      <c r="Z17353"/>
    </row>
    <row r="17354" spans="26:26" x14ac:dyDescent="0.25">
      <c r="Z17354"/>
    </row>
    <row r="17355" spans="26:26" x14ac:dyDescent="0.25">
      <c r="Z17355"/>
    </row>
    <row r="17356" spans="26:26" x14ac:dyDescent="0.25">
      <c r="Z17356"/>
    </row>
    <row r="17357" spans="26:26" x14ac:dyDescent="0.25">
      <c r="Z17357"/>
    </row>
    <row r="17358" spans="26:26" x14ac:dyDescent="0.25">
      <c r="Z17358"/>
    </row>
    <row r="17359" spans="26:26" x14ac:dyDescent="0.25">
      <c r="Z17359"/>
    </row>
    <row r="17360" spans="26:26" x14ac:dyDescent="0.25">
      <c r="Z17360"/>
    </row>
    <row r="17361" spans="26:26" x14ac:dyDescent="0.25">
      <c r="Z17361"/>
    </row>
    <row r="17362" spans="26:26" x14ac:dyDescent="0.25">
      <c r="Z17362"/>
    </row>
    <row r="17363" spans="26:26" x14ac:dyDescent="0.25">
      <c r="Z17363"/>
    </row>
    <row r="17364" spans="26:26" x14ac:dyDescent="0.25">
      <c r="Z17364"/>
    </row>
    <row r="17365" spans="26:26" x14ac:dyDescent="0.25">
      <c r="Z17365"/>
    </row>
    <row r="17366" spans="26:26" x14ac:dyDescent="0.25">
      <c r="Z17366"/>
    </row>
    <row r="17367" spans="26:26" x14ac:dyDescent="0.25">
      <c r="Z17367"/>
    </row>
    <row r="17368" spans="26:26" x14ac:dyDescent="0.25">
      <c r="Z17368"/>
    </row>
    <row r="17369" spans="26:26" x14ac:dyDescent="0.25">
      <c r="Z17369"/>
    </row>
    <row r="17370" spans="26:26" x14ac:dyDescent="0.25">
      <c r="Z17370"/>
    </row>
    <row r="17371" spans="26:26" x14ac:dyDescent="0.25">
      <c r="Z17371"/>
    </row>
    <row r="17372" spans="26:26" x14ac:dyDescent="0.25">
      <c r="Z17372"/>
    </row>
    <row r="17373" spans="26:26" x14ac:dyDescent="0.25">
      <c r="Z17373"/>
    </row>
    <row r="17374" spans="26:26" x14ac:dyDescent="0.25">
      <c r="Z17374"/>
    </row>
    <row r="17375" spans="26:26" x14ac:dyDescent="0.25">
      <c r="Z17375"/>
    </row>
    <row r="17376" spans="26:26" x14ac:dyDescent="0.25">
      <c r="Z17376"/>
    </row>
    <row r="17377" spans="26:26" x14ac:dyDescent="0.25">
      <c r="Z17377"/>
    </row>
    <row r="17378" spans="26:26" x14ac:dyDescent="0.25">
      <c r="Z17378"/>
    </row>
    <row r="17379" spans="26:26" x14ac:dyDescent="0.25">
      <c r="Z17379"/>
    </row>
    <row r="17380" spans="26:26" x14ac:dyDescent="0.25">
      <c r="Z17380"/>
    </row>
    <row r="17381" spans="26:26" x14ac:dyDescent="0.25">
      <c r="Z17381"/>
    </row>
    <row r="17382" spans="26:26" x14ac:dyDescent="0.25">
      <c r="Z17382"/>
    </row>
    <row r="17383" spans="26:26" x14ac:dyDescent="0.25">
      <c r="Z17383"/>
    </row>
    <row r="17384" spans="26:26" x14ac:dyDescent="0.25">
      <c r="Z17384"/>
    </row>
    <row r="17385" spans="26:26" x14ac:dyDescent="0.25">
      <c r="Z17385"/>
    </row>
    <row r="17386" spans="26:26" x14ac:dyDescent="0.25">
      <c r="Z17386"/>
    </row>
    <row r="17387" spans="26:26" x14ac:dyDescent="0.25">
      <c r="Z17387"/>
    </row>
    <row r="17388" spans="26:26" x14ac:dyDescent="0.25">
      <c r="Z17388"/>
    </row>
    <row r="17389" spans="26:26" x14ac:dyDescent="0.25">
      <c r="Z17389"/>
    </row>
    <row r="17390" spans="26:26" x14ac:dyDescent="0.25">
      <c r="Z17390"/>
    </row>
    <row r="17391" spans="26:26" x14ac:dyDescent="0.25">
      <c r="Z17391"/>
    </row>
    <row r="17392" spans="26:26" x14ac:dyDescent="0.25">
      <c r="Z17392"/>
    </row>
    <row r="17393" spans="26:26" x14ac:dyDescent="0.25">
      <c r="Z17393"/>
    </row>
    <row r="17394" spans="26:26" x14ac:dyDescent="0.25">
      <c r="Z17394"/>
    </row>
    <row r="17395" spans="26:26" x14ac:dyDescent="0.25">
      <c r="Z17395"/>
    </row>
    <row r="17396" spans="26:26" x14ac:dyDescent="0.25">
      <c r="Z17396"/>
    </row>
    <row r="17397" spans="26:26" x14ac:dyDescent="0.25">
      <c r="Z17397"/>
    </row>
    <row r="17398" spans="26:26" x14ac:dyDescent="0.25">
      <c r="Z17398"/>
    </row>
    <row r="17399" spans="26:26" x14ac:dyDescent="0.25">
      <c r="Z17399"/>
    </row>
    <row r="17400" spans="26:26" x14ac:dyDescent="0.25">
      <c r="Z17400"/>
    </row>
    <row r="17401" spans="26:26" x14ac:dyDescent="0.25">
      <c r="Z17401"/>
    </row>
    <row r="17402" spans="26:26" x14ac:dyDescent="0.25">
      <c r="Z17402"/>
    </row>
    <row r="17403" spans="26:26" x14ac:dyDescent="0.25">
      <c r="Z17403"/>
    </row>
    <row r="17404" spans="26:26" x14ac:dyDescent="0.25">
      <c r="Z17404"/>
    </row>
    <row r="17405" spans="26:26" x14ac:dyDescent="0.25">
      <c r="Z17405"/>
    </row>
    <row r="17406" spans="26:26" x14ac:dyDescent="0.25">
      <c r="Z17406"/>
    </row>
    <row r="17407" spans="26:26" x14ac:dyDescent="0.25">
      <c r="Z17407"/>
    </row>
    <row r="17408" spans="26:26" x14ac:dyDescent="0.25">
      <c r="Z17408"/>
    </row>
    <row r="17409" spans="26:26" x14ac:dyDescent="0.25">
      <c r="Z17409"/>
    </row>
    <row r="17410" spans="26:26" x14ac:dyDescent="0.25">
      <c r="Z17410"/>
    </row>
    <row r="17411" spans="26:26" x14ac:dyDescent="0.25">
      <c r="Z17411"/>
    </row>
    <row r="17412" spans="26:26" x14ac:dyDescent="0.25">
      <c r="Z17412"/>
    </row>
    <row r="17413" spans="26:26" x14ac:dyDescent="0.25">
      <c r="Z17413"/>
    </row>
    <row r="17414" spans="26:26" x14ac:dyDescent="0.25">
      <c r="Z17414"/>
    </row>
    <row r="17415" spans="26:26" x14ac:dyDescent="0.25">
      <c r="Z17415"/>
    </row>
    <row r="17416" spans="26:26" x14ac:dyDescent="0.25">
      <c r="Z17416"/>
    </row>
    <row r="17417" spans="26:26" x14ac:dyDescent="0.25">
      <c r="Z17417"/>
    </row>
    <row r="17418" spans="26:26" x14ac:dyDescent="0.25">
      <c r="Z17418"/>
    </row>
    <row r="17419" spans="26:26" x14ac:dyDescent="0.25">
      <c r="Z17419"/>
    </row>
    <row r="17420" spans="26:26" x14ac:dyDescent="0.25">
      <c r="Z17420"/>
    </row>
    <row r="17421" spans="26:26" x14ac:dyDescent="0.25">
      <c r="Z17421"/>
    </row>
    <row r="17422" spans="26:26" x14ac:dyDescent="0.25">
      <c r="Z17422"/>
    </row>
    <row r="17423" spans="26:26" x14ac:dyDescent="0.25">
      <c r="Z17423"/>
    </row>
    <row r="17424" spans="26:26" x14ac:dyDescent="0.25">
      <c r="Z17424"/>
    </row>
    <row r="17425" spans="26:26" x14ac:dyDescent="0.25">
      <c r="Z17425"/>
    </row>
    <row r="17426" spans="26:26" x14ac:dyDescent="0.25">
      <c r="Z17426"/>
    </row>
    <row r="17427" spans="26:26" x14ac:dyDescent="0.25">
      <c r="Z17427"/>
    </row>
    <row r="17428" spans="26:26" x14ac:dyDescent="0.25">
      <c r="Z17428"/>
    </row>
    <row r="17429" spans="26:26" x14ac:dyDescent="0.25">
      <c r="Z17429"/>
    </row>
    <row r="17430" spans="26:26" x14ac:dyDescent="0.25">
      <c r="Z17430"/>
    </row>
    <row r="17431" spans="26:26" x14ac:dyDescent="0.25">
      <c r="Z17431"/>
    </row>
    <row r="17432" spans="26:26" x14ac:dyDescent="0.25">
      <c r="Z17432"/>
    </row>
    <row r="17433" spans="26:26" x14ac:dyDescent="0.25">
      <c r="Z17433"/>
    </row>
    <row r="17434" spans="26:26" x14ac:dyDescent="0.25">
      <c r="Z17434"/>
    </row>
    <row r="17435" spans="26:26" x14ac:dyDescent="0.25">
      <c r="Z17435"/>
    </row>
    <row r="17436" spans="26:26" x14ac:dyDescent="0.25">
      <c r="Z17436"/>
    </row>
    <row r="17437" spans="26:26" x14ac:dyDescent="0.25">
      <c r="Z17437"/>
    </row>
    <row r="17438" spans="26:26" x14ac:dyDescent="0.25">
      <c r="Z17438"/>
    </row>
    <row r="17439" spans="26:26" x14ac:dyDescent="0.25">
      <c r="Z17439"/>
    </row>
    <row r="17440" spans="26:26" x14ac:dyDescent="0.25">
      <c r="Z17440"/>
    </row>
    <row r="17441" spans="26:26" x14ac:dyDescent="0.25">
      <c r="Z17441"/>
    </row>
    <row r="17442" spans="26:26" x14ac:dyDescent="0.25">
      <c r="Z17442"/>
    </row>
    <row r="17443" spans="26:26" x14ac:dyDescent="0.25">
      <c r="Z17443"/>
    </row>
    <row r="17444" spans="26:26" x14ac:dyDescent="0.25">
      <c r="Z17444"/>
    </row>
    <row r="17445" spans="26:26" x14ac:dyDescent="0.25">
      <c r="Z17445"/>
    </row>
    <row r="17446" spans="26:26" x14ac:dyDescent="0.25">
      <c r="Z17446"/>
    </row>
    <row r="17447" spans="26:26" x14ac:dyDescent="0.25">
      <c r="Z17447"/>
    </row>
    <row r="17448" spans="26:26" x14ac:dyDescent="0.25">
      <c r="Z17448"/>
    </row>
    <row r="17449" spans="26:26" x14ac:dyDescent="0.25">
      <c r="Z17449"/>
    </row>
    <row r="17450" spans="26:26" x14ac:dyDescent="0.25">
      <c r="Z17450"/>
    </row>
    <row r="17451" spans="26:26" x14ac:dyDescent="0.25">
      <c r="Z17451"/>
    </row>
    <row r="17452" spans="26:26" x14ac:dyDescent="0.25">
      <c r="Z17452"/>
    </row>
    <row r="17453" spans="26:26" x14ac:dyDescent="0.25">
      <c r="Z17453"/>
    </row>
    <row r="17454" spans="26:26" x14ac:dyDescent="0.25">
      <c r="Z17454"/>
    </row>
    <row r="17455" spans="26:26" x14ac:dyDescent="0.25">
      <c r="Z17455"/>
    </row>
    <row r="17456" spans="26:26" x14ac:dyDescent="0.25">
      <c r="Z17456"/>
    </row>
    <row r="17457" spans="26:26" x14ac:dyDescent="0.25">
      <c r="Z17457"/>
    </row>
    <row r="17458" spans="26:26" x14ac:dyDescent="0.25">
      <c r="Z17458"/>
    </row>
    <row r="17459" spans="26:26" x14ac:dyDescent="0.25">
      <c r="Z17459"/>
    </row>
    <row r="17460" spans="26:26" x14ac:dyDescent="0.25">
      <c r="Z17460"/>
    </row>
    <row r="17461" spans="26:26" x14ac:dyDescent="0.25">
      <c r="Z17461"/>
    </row>
    <row r="17462" spans="26:26" x14ac:dyDescent="0.25">
      <c r="Z17462"/>
    </row>
    <row r="17463" spans="26:26" x14ac:dyDescent="0.25">
      <c r="Z17463"/>
    </row>
    <row r="17464" spans="26:26" x14ac:dyDescent="0.25">
      <c r="Z17464"/>
    </row>
    <row r="17465" spans="26:26" x14ac:dyDescent="0.25">
      <c r="Z17465"/>
    </row>
    <row r="17466" spans="26:26" x14ac:dyDescent="0.25">
      <c r="Z17466"/>
    </row>
    <row r="17467" spans="26:26" x14ac:dyDescent="0.25">
      <c r="Z17467"/>
    </row>
    <row r="17468" spans="26:26" x14ac:dyDescent="0.25">
      <c r="Z17468"/>
    </row>
    <row r="17469" spans="26:26" x14ac:dyDescent="0.25">
      <c r="Z17469"/>
    </row>
    <row r="17470" spans="26:26" x14ac:dyDescent="0.25">
      <c r="Z17470"/>
    </row>
    <row r="17471" spans="26:26" x14ac:dyDescent="0.25">
      <c r="Z17471"/>
    </row>
    <row r="17472" spans="26:26" x14ac:dyDescent="0.25">
      <c r="Z17472"/>
    </row>
    <row r="17473" spans="26:26" x14ac:dyDescent="0.25">
      <c r="Z17473"/>
    </row>
    <row r="17474" spans="26:26" x14ac:dyDescent="0.25">
      <c r="Z17474"/>
    </row>
    <row r="17475" spans="26:26" x14ac:dyDescent="0.25">
      <c r="Z17475"/>
    </row>
    <row r="17476" spans="26:26" x14ac:dyDescent="0.25">
      <c r="Z17476"/>
    </row>
    <row r="17477" spans="26:26" x14ac:dyDescent="0.25">
      <c r="Z17477"/>
    </row>
    <row r="17478" spans="26:26" x14ac:dyDescent="0.25">
      <c r="Z17478"/>
    </row>
    <row r="17479" spans="26:26" x14ac:dyDescent="0.25">
      <c r="Z17479"/>
    </row>
    <row r="17480" spans="26:26" x14ac:dyDescent="0.25">
      <c r="Z17480"/>
    </row>
    <row r="17481" spans="26:26" x14ac:dyDescent="0.25">
      <c r="Z17481"/>
    </row>
    <row r="17482" spans="26:26" x14ac:dyDescent="0.25">
      <c r="Z17482"/>
    </row>
    <row r="17483" spans="26:26" x14ac:dyDescent="0.25">
      <c r="Z17483"/>
    </row>
    <row r="17484" spans="26:26" x14ac:dyDescent="0.25">
      <c r="Z17484"/>
    </row>
    <row r="17485" spans="26:26" x14ac:dyDescent="0.25">
      <c r="Z17485"/>
    </row>
    <row r="17486" spans="26:26" x14ac:dyDescent="0.25">
      <c r="Z17486"/>
    </row>
    <row r="17487" spans="26:26" x14ac:dyDescent="0.25">
      <c r="Z17487"/>
    </row>
    <row r="17488" spans="26:26" x14ac:dyDescent="0.25">
      <c r="Z17488"/>
    </row>
    <row r="17489" spans="26:26" x14ac:dyDescent="0.25">
      <c r="Z17489"/>
    </row>
    <row r="17490" spans="26:26" x14ac:dyDescent="0.25">
      <c r="Z17490"/>
    </row>
    <row r="17491" spans="26:26" x14ac:dyDescent="0.25">
      <c r="Z17491"/>
    </row>
    <row r="17492" spans="26:26" x14ac:dyDescent="0.25">
      <c r="Z17492"/>
    </row>
    <row r="17493" spans="26:26" x14ac:dyDescent="0.25">
      <c r="Z17493"/>
    </row>
    <row r="17494" spans="26:26" x14ac:dyDescent="0.25">
      <c r="Z17494"/>
    </row>
    <row r="17495" spans="26:26" x14ac:dyDescent="0.25">
      <c r="Z17495"/>
    </row>
    <row r="17496" spans="26:26" x14ac:dyDescent="0.25">
      <c r="Z17496"/>
    </row>
    <row r="17497" spans="26:26" x14ac:dyDescent="0.25">
      <c r="Z17497"/>
    </row>
    <row r="17498" spans="26:26" x14ac:dyDescent="0.25">
      <c r="Z17498"/>
    </row>
    <row r="17499" spans="26:26" x14ac:dyDescent="0.25">
      <c r="Z17499"/>
    </row>
    <row r="17500" spans="26:26" x14ac:dyDescent="0.25">
      <c r="Z17500"/>
    </row>
    <row r="17501" spans="26:26" x14ac:dyDescent="0.25">
      <c r="Z17501"/>
    </row>
    <row r="17502" spans="26:26" x14ac:dyDescent="0.25">
      <c r="Z17502"/>
    </row>
    <row r="17503" spans="26:26" x14ac:dyDescent="0.25">
      <c r="Z17503"/>
    </row>
    <row r="17504" spans="26:26" x14ac:dyDescent="0.25">
      <c r="Z17504"/>
    </row>
    <row r="17505" spans="26:26" x14ac:dyDescent="0.25">
      <c r="Z17505"/>
    </row>
    <row r="17506" spans="26:26" x14ac:dyDescent="0.25">
      <c r="Z17506"/>
    </row>
    <row r="17507" spans="26:26" x14ac:dyDescent="0.25">
      <c r="Z17507"/>
    </row>
    <row r="17508" spans="26:26" x14ac:dyDescent="0.25">
      <c r="Z17508"/>
    </row>
    <row r="17509" spans="26:26" x14ac:dyDescent="0.25">
      <c r="Z17509"/>
    </row>
    <row r="17510" spans="26:26" x14ac:dyDescent="0.25">
      <c r="Z17510"/>
    </row>
    <row r="17511" spans="26:26" x14ac:dyDescent="0.25">
      <c r="Z17511"/>
    </row>
    <row r="17512" spans="26:26" x14ac:dyDescent="0.25">
      <c r="Z17512"/>
    </row>
    <row r="17513" spans="26:26" x14ac:dyDescent="0.25">
      <c r="Z17513"/>
    </row>
    <row r="17514" spans="26:26" x14ac:dyDescent="0.25">
      <c r="Z17514"/>
    </row>
    <row r="17515" spans="26:26" x14ac:dyDescent="0.25">
      <c r="Z17515"/>
    </row>
    <row r="17516" spans="26:26" x14ac:dyDescent="0.25">
      <c r="Z17516"/>
    </row>
    <row r="17517" spans="26:26" x14ac:dyDescent="0.25">
      <c r="Z17517"/>
    </row>
    <row r="17518" spans="26:26" x14ac:dyDescent="0.25">
      <c r="Z17518"/>
    </row>
    <row r="17519" spans="26:26" x14ac:dyDescent="0.25">
      <c r="Z17519"/>
    </row>
    <row r="17520" spans="26:26" x14ac:dyDescent="0.25">
      <c r="Z17520"/>
    </row>
    <row r="17521" spans="26:26" x14ac:dyDescent="0.25">
      <c r="Z17521"/>
    </row>
    <row r="17522" spans="26:26" x14ac:dyDescent="0.25">
      <c r="Z17522"/>
    </row>
    <row r="17523" spans="26:26" x14ac:dyDescent="0.25">
      <c r="Z17523"/>
    </row>
    <row r="17524" spans="26:26" x14ac:dyDescent="0.25">
      <c r="Z17524"/>
    </row>
    <row r="17525" spans="26:26" x14ac:dyDescent="0.25">
      <c r="Z17525"/>
    </row>
    <row r="17526" spans="26:26" x14ac:dyDescent="0.25">
      <c r="Z17526"/>
    </row>
    <row r="17527" spans="26:26" x14ac:dyDescent="0.25">
      <c r="Z17527"/>
    </row>
    <row r="17528" spans="26:26" x14ac:dyDescent="0.25">
      <c r="Z17528"/>
    </row>
    <row r="17529" spans="26:26" x14ac:dyDescent="0.25">
      <c r="Z17529"/>
    </row>
    <row r="17530" spans="26:26" x14ac:dyDescent="0.25">
      <c r="Z17530"/>
    </row>
    <row r="17531" spans="26:26" x14ac:dyDescent="0.25">
      <c r="Z17531"/>
    </row>
    <row r="17532" spans="26:26" x14ac:dyDescent="0.25">
      <c r="Z17532"/>
    </row>
    <row r="17533" spans="26:26" x14ac:dyDescent="0.25">
      <c r="Z17533"/>
    </row>
    <row r="17534" spans="26:26" x14ac:dyDescent="0.25">
      <c r="Z17534"/>
    </row>
    <row r="17535" spans="26:26" x14ac:dyDescent="0.25">
      <c r="Z17535"/>
    </row>
    <row r="17536" spans="26:26" x14ac:dyDescent="0.25">
      <c r="Z17536"/>
    </row>
    <row r="17537" spans="26:26" x14ac:dyDescent="0.25">
      <c r="Z17537"/>
    </row>
    <row r="17538" spans="26:26" x14ac:dyDescent="0.25">
      <c r="Z17538"/>
    </row>
    <row r="17539" spans="26:26" x14ac:dyDescent="0.25">
      <c r="Z17539"/>
    </row>
    <row r="17540" spans="26:26" x14ac:dyDescent="0.25">
      <c r="Z17540"/>
    </row>
    <row r="17541" spans="26:26" x14ac:dyDescent="0.25">
      <c r="Z17541"/>
    </row>
    <row r="17542" spans="26:26" x14ac:dyDescent="0.25">
      <c r="Z17542"/>
    </row>
    <row r="17543" spans="26:26" x14ac:dyDescent="0.25">
      <c r="Z17543"/>
    </row>
    <row r="17544" spans="26:26" x14ac:dyDescent="0.25">
      <c r="Z17544"/>
    </row>
    <row r="17545" spans="26:26" x14ac:dyDescent="0.25">
      <c r="Z17545"/>
    </row>
    <row r="17546" spans="26:26" x14ac:dyDescent="0.25">
      <c r="Z17546"/>
    </row>
    <row r="17547" spans="26:26" x14ac:dyDescent="0.25">
      <c r="Z17547"/>
    </row>
    <row r="17548" spans="26:26" x14ac:dyDescent="0.25">
      <c r="Z17548"/>
    </row>
    <row r="17549" spans="26:26" x14ac:dyDescent="0.25">
      <c r="Z17549"/>
    </row>
    <row r="17550" spans="26:26" x14ac:dyDescent="0.25">
      <c r="Z17550"/>
    </row>
    <row r="17551" spans="26:26" x14ac:dyDescent="0.25">
      <c r="Z17551"/>
    </row>
    <row r="17552" spans="26:26" x14ac:dyDescent="0.25">
      <c r="Z17552"/>
    </row>
    <row r="17553" spans="26:26" x14ac:dyDescent="0.25">
      <c r="Z17553"/>
    </row>
    <row r="17554" spans="26:26" x14ac:dyDescent="0.25">
      <c r="Z17554"/>
    </row>
    <row r="17555" spans="26:26" x14ac:dyDescent="0.25">
      <c r="Z17555"/>
    </row>
    <row r="17556" spans="26:26" x14ac:dyDescent="0.25">
      <c r="Z17556"/>
    </row>
    <row r="17557" spans="26:26" x14ac:dyDescent="0.25">
      <c r="Z17557"/>
    </row>
    <row r="17558" spans="26:26" x14ac:dyDescent="0.25">
      <c r="Z17558"/>
    </row>
    <row r="17559" spans="26:26" x14ac:dyDescent="0.25">
      <c r="Z17559"/>
    </row>
    <row r="17560" spans="26:26" x14ac:dyDescent="0.25">
      <c r="Z17560"/>
    </row>
    <row r="17561" spans="26:26" x14ac:dyDescent="0.25">
      <c r="Z17561"/>
    </row>
    <row r="17562" spans="26:26" x14ac:dyDescent="0.25">
      <c r="Z17562"/>
    </row>
    <row r="17563" spans="26:26" x14ac:dyDescent="0.25">
      <c r="Z17563"/>
    </row>
    <row r="17564" spans="26:26" x14ac:dyDescent="0.25">
      <c r="Z17564"/>
    </row>
    <row r="17565" spans="26:26" x14ac:dyDescent="0.25">
      <c r="Z17565"/>
    </row>
    <row r="17566" spans="26:26" x14ac:dyDescent="0.25">
      <c r="Z17566"/>
    </row>
    <row r="17567" spans="26:26" x14ac:dyDescent="0.25">
      <c r="Z17567"/>
    </row>
    <row r="17568" spans="26:26" x14ac:dyDescent="0.25">
      <c r="Z17568"/>
    </row>
    <row r="17569" spans="26:26" x14ac:dyDescent="0.25">
      <c r="Z17569"/>
    </row>
    <row r="17570" spans="26:26" x14ac:dyDescent="0.25">
      <c r="Z17570"/>
    </row>
    <row r="17571" spans="26:26" x14ac:dyDescent="0.25">
      <c r="Z17571"/>
    </row>
    <row r="17572" spans="26:26" x14ac:dyDescent="0.25">
      <c r="Z17572"/>
    </row>
    <row r="17573" spans="26:26" x14ac:dyDescent="0.25">
      <c r="Z17573"/>
    </row>
    <row r="17574" spans="26:26" x14ac:dyDescent="0.25">
      <c r="Z17574"/>
    </row>
    <row r="17575" spans="26:26" x14ac:dyDescent="0.25">
      <c r="Z17575"/>
    </row>
    <row r="17576" spans="26:26" x14ac:dyDescent="0.25">
      <c r="Z17576"/>
    </row>
    <row r="17577" spans="26:26" x14ac:dyDescent="0.25">
      <c r="Z17577"/>
    </row>
    <row r="17578" spans="26:26" x14ac:dyDescent="0.25">
      <c r="Z17578"/>
    </row>
    <row r="17579" spans="26:26" x14ac:dyDescent="0.25">
      <c r="Z17579"/>
    </row>
    <row r="17580" spans="26:26" x14ac:dyDescent="0.25">
      <c r="Z17580"/>
    </row>
    <row r="17581" spans="26:26" x14ac:dyDescent="0.25">
      <c r="Z17581"/>
    </row>
    <row r="17582" spans="26:26" x14ac:dyDescent="0.25">
      <c r="Z17582"/>
    </row>
    <row r="17583" spans="26:26" x14ac:dyDescent="0.25">
      <c r="Z17583"/>
    </row>
    <row r="17584" spans="26:26" x14ac:dyDescent="0.25">
      <c r="Z17584"/>
    </row>
    <row r="17585" spans="26:26" x14ac:dyDescent="0.25">
      <c r="Z17585"/>
    </row>
    <row r="17586" spans="26:26" x14ac:dyDescent="0.25">
      <c r="Z17586"/>
    </row>
    <row r="17587" spans="26:26" x14ac:dyDescent="0.25">
      <c r="Z17587"/>
    </row>
    <row r="17588" spans="26:26" x14ac:dyDescent="0.25">
      <c r="Z17588"/>
    </row>
    <row r="17589" spans="26:26" x14ac:dyDescent="0.25">
      <c r="Z17589"/>
    </row>
    <row r="17590" spans="26:26" x14ac:dyDescent="0.25">
      <c r="Z17590"/>
    </row>
    <row r="17591" spans="26:26" x14ac:dyDescent="0.25">
      <c r="Z17591"/>
    </row>
    <row r="17592" spans="26:26" x14ac:dyDescent="0.25">
      <c r="Z17592"/>
    </row>
    <row r="17593" spans="26:26" x14ac:dyDescent="0.25">
      <c r="Z17593"/>
    </row>
    <row r="17594" spans="26:26" x14ac:dyDescent="0.25">
      <c r="Z17594"/>
    </row>
    <row r="17595" spans="26:26" x14ac:dyDescent="0.25">
      <c r="Z17595"/>
    </row>
    <row r="17596" spans="26:26" x14ac:dyDescent="0.25">
      <c r="Z17596"/>
    </row>
    <row r="17597" spans="26:26" x14ac:dyDescent="0.25">
      <c r="Z17597"/>
    </row>
    <row r="17598" spans="26:26" x14ac:dyDescent="0.25">
      <c r="Z17598"/>
    </row>
    <row r="17599" spans="26:26" x14ac:dyDescent="0.25">
      <c r="Z17599"/>
    </row>
    <row r="17600" spans="26:26" x14ac:dyDescent="0.25">
      <c r="Z17600"/>
    </row>
    <row r="17601" spans="26:26" x14ac:dyDescent="0.25">
      <c r="Z17601"/>
    </row>
    <row r="17602" spans="26:26" x14ac:dyDescent="0.25">
      <c r="Z17602"/>
    </row>
    <row r="17603" spans="26:26" x14ac:dyDescent="0.25">
      <c r="Z17603"/>
    </row>
    <row r="17604" spans="26:26" x14ac:dyDescent="0.25">
      <c r="Z17604"/>
    </row>
    <row r="17605" spans="26:26" x14ac:dyDescent="0.25">
      <c r="Z17605"/>
    </row>
    <row r="17606" spans="26:26" x14ac:dyDescent="0.25">
      <c r="Z17606"/>
    </row>
    <row r="17607" spans="26:26" x14ac:dyDescent="0.25">
      <c r="Z17607"/>
    </row>
    <row r="17608" spans="26:26" x14ac:dyDescent="0.25">
      <c r="Z17608"/>
    </row>
    <row r="17609" spans="26:26" x14ac:dyDescent="0.25">
      <c r="Z17609"/>
    </row>
    <row r="17610" spans="26:26" x14ac:dyDescent="0.25">
      <c r="Z17610"/>
    </row>
    <row r="17611" spans="26:26" x14ac:dyDescent="0.25">
      <c r="Z17611"/>
    </row>
    <row r="17612" spans="26:26" x14ac:dyDescent="0.25">
      <c r="Z17612"/>
    </row>
    <row r="17613" spans="26:26" x14ac:dyDescent="0.25">
      <c r="Z17613"/>
    </row>
    <row r="17614" spans="26:26" x14ac:dyDescent="0.25">
      <c r="Z17614"/>
    </row>
    <row r="17615" spans="26:26" x14ac:dyDescent="0.25">
      <c r="Z17615"/>
    </row>
    <row r="17616" spans="26:26" x14ac:dyDescent="0.25">
      <c r="Z17616"/>
    </row>
    <row r="17617" spans="26:26" x14ac:dyDescent="0.25">
      <c r="Z17617"/>
    </row>
    <row r="17618" spans="26:26" x14ac:dyDescent="0.25">
      <c r="Z17618"/>
    </row>
    <row r="17619" spans="26:26" x14ac:dyDescent="0.25">
      <c r="Z17619"/>
    </row>
    <row r="17620" spans="26:26" x14ac:dyDescent="0.25">
      <c r="Z17620"/>
    </row>
    <row r="17621" spans="26:26" x14ac:dyDescent="0.25">
      <c r="Z17621"/>
    </row>
    <row r="17622" spans="26:26" x14ac:dyDescent="0.25">
      <c r="Z17622"/>
    </row>
    <row r="17623" spans="26:26" x14ac:dyDescent="0.25">
      <c r="Z17623"/>
    </row>
    <row r="17624" spans="26:26" x14ac:dyDescent="0.25">
      <c r="Z17624"/>
    </row>
    <row r="17625" spans="26:26" x14ac:dyDescent="0.25">
      <c r="Z17625"/>
    </row>
    <row r="17626" spans="26:26" x14ac:dyDescent="0.25">
      <c r="Z17626"/>
    </row>
    <row r="17627" spans="26:26" x14ac:dyDescent="0.25">
      <c r="Z17627"/>
    </row>
    <row r="17628" spans="26:26" x14ac:dyDescent="0.25">
      <c r="Z17628"/>
    </row>
    <row r="17629" spans="26:26" x14ac:dyDescent="0.25">
      <c r="Z17629"/>
    </row>
    <row r="17630" spans="26:26" x14ac:dyDescent="0.25">
      <c r="Z17630"/>
    </row>
    <row r="17631" spans="26:26" x14ac:dyDescent="0.25">
      <c r="Z17631"/>
    </row>
    <row r="17632" spans="26:26" x14ac:dyDescent="0.25">
      <c r="Z17632"/>
    </row>
    <row r="17633" spans="26:26" x14ac:dyDescent="0.25">
      <c r="Z17633"/>
    </row>
    <row r="17634" spans="26:26" x14ac:dyDescent="0.25">
      <c r="Z17634"/>
    </row>
    <row r="17635" spans="26:26" x14ac:dyDescent="0.25">
      <c r="Z17635"/>
    </row>
    <row r="17636" spans="26:26" x14ac:dyDescent="0.25">
      <c r="Z17636"/>
    </row>
    <row r="17637" spans="26:26" x14ac:dyDescent="0.25">
      <c r="Z17637"/>
    </row>
    <row r="17638" spans="26:26" x14ac:dyDescent="0.25">
      <c r="Z17638"/>
    </row>
    <row r="17639" spans="26:26" x14ac:dyDescent="0.25">
      <c r="Z17639"/>
    </row>
    <row r="17640" spans="26:26" x14ac:dyDescent="0.25">
      <c r="Z17640"/>
    </row>
    <row r="17641" spans="26:26" x14ac:dyDescent="0.25">
      <c r="Z17641"/>
    </row>
    <row r="17642" spans="26:26" x14ac:dyDescent="0.25">
      <c r="Z17642"/>
    </row>
    <row r="17643" spans="26:26" x14ac:dyDescent="0.25">
      <c r="Z17643"/>
    </row>
    <row r="17644" spans="26:26" x14ac:dyDescent="0.25">
      <c r="Z17644"/>
    </row>
    <row r="17645" spans="26:26" x14ac:dyDescent="0.25">
      <c r="Z17645"/>
    </row>
    <row r="17646" spans="26:26" x14ac:dyDescent="0.25">
      <c r="Z17646"/>
    </row>
    <row r="17647" spans="26:26" x14ac:dyDescent="0.25">
      <c r="Z17647"/>
    </row>
    <row r="17648" spans="26:26" x14ac:dyDescent="0.25">
      <c r="Z17648"/>
    </row>
    <row r="17649" spans="26:26" x14ac:dyDescent="0.25">
      <c r="Z17649"/>
    </row>
    <row r="17650" spans="26:26" x14ac:dyDescent="0.25">
      <c r="Z17650"/>
    </row>
    <row r="17651" spans="26:26" x14ac:dyDescent="0.25">
      <c r="Z17651"/>
    </row>
    <row r="17652" spans="26:26" x14ac:dyDescent="0.25">
      <c r="Z17652"/>
    </row>
    <row r="17653" spans="26:26" x14ac:dyDescent="0.25">
      <c r="Z17653"/>
    </row>
    <row r="17654" spans="26:26" x14ac:dyDescent="0.25">
      <c r="Z17654"/>
    </row>
    <row r="17655" spans="26:26" x14ac:dyDescent="0.25">
      <c r="Z17655"/>
    </row>
    <row r="17656" spans="26:26" x14ac:dyDescent="0.25">
      <c r="Z17656"/>
    </row>
    <row r="17657" spans="26:26" x14ac:dyDescent="0.25">
      <c r="Z17657"/>
    </row>
    <row r="17658" spans="26:26" x14ac:dyDescent="0.25">
      <c r="Z17658"/>
    </row>
    <row r="17659" spans="26:26" x14ac:dyDescent="0.25">
      <c r="Z17659"/>
    </row>
    <row r="17660" spans="26:26" x14ac:dyDescent="0.25">
      <c r="Z17660"/>
    </row>
    <row r="17661" spans="26:26" x14ac:dyDescent="0.25">
      <c r="Z17661"/>
    </row>
    <row r="17662" spans="26:26" x14ac:dyDescent="0.25">
      <c r="Z17662"/>
    </row>
    <row r="17663" spans="26:26" x14ac:dyDescent="0.25">
      <c r="Z17663"/>
    </row>
    <row r="17664" spans="26:26" x14ac:dyDescent="0.25">
      <c r="Z17664"/>
    </row>
    <row r="17665" spans="26:26" x14ac:dyDescent="0.25">
      <c r="Z17665"/>
    </row>
    <row r="17666" spans="26:26" x14ac:dyDescent="0.25">
      <c r="Z17666"/>
    </row>
    <row r="17667" spans="26:26" x14ac:dyDescent="0.25">
      <c r="Z17667"/>
    </row>
    <row r="17668" spans="26:26" x14ac:dyDescent="0.25">
      <c r="Z17668"/>
    </row>
    <row r="17669" spans="26:26" x14ac:dyDescent="0.25">
      <c r="Z17669"/>
    </row>
    <row r="17670" spans="26:26" x14ac:dyDescent="0.25">
      <c r="Z17670"/>
    </row>
    <row r="17671" spans="26:26" x14ac:dyDescent="0.25">
      <c r="Z17671"/>
    </row>
    <row r="17672" spans="26:26" x14ac:dyDescent="0.25">
      <c r="Z17672"/>
    </row>
    <row r="17673" spans="26:26" x14ac:dyDescent="0.25">
      <c r="Z17673"/>
    </row>
    <row r="17674" spans="26:26" x14ac:dyDescent="0.25">
      <c r="Z17674"/>
    </row>
    <row r="17675" spans="26:26" x14ac:dyDescent="0.25">
      <c r="Z17675"/>
    </row>
    <row r="17676" spans="26:26" x14ac:dyDescent="0.25">
      <c r="Z17676"/>
    </row>
    <row r="17677" spans="26:26" x14ac:dyDescent="0.25">
      <c r="Z17677"/>
    </row>
    <row r="17678" spans="26:26" x14ac:dyDescent="0.25">
      <c r="Z17678"/>
    </row>
    <row r="17679" spans="26:26" x14ac:dyDescent="0.25">
      <c r="Z17679"/>
    </row>
    <row r="17680" spans="26:26" x14ac:dyDescent="0.25">
      <c r="Z17680"/>
    </row>
    <row r="17681" spans="26:26" x14ac:dyDescent="0.25">
      <c r="Z17681"/>
    </row>
    <row r="17682" spans="26:26" x14ac:dyDescent="0.25">
      <c r="Z17682"/>
    </row>
    <row r="17683" spans="26:26" x14ac:dyDescent="0.25">
      <c r="Z17683"/>
    </row>
    <row r="17684" spans="26:26" x14ac:dyDescent="0.25">
      <c r="Z17684"/>
    </row>
    <row r="17685" spans="26:26" x14ac:dyDescent="0.25">
      <c r="Z17685"/>
    </row>
    <row r="17686" spans="26:26" x14ac:dyDescent="0.25">
      <c r="Z17686"/>
    </row>
    <row r="17687" spans="26:26" x14ac:dyDescent="0.25">
      <c r="Z17687"/>
    </row>
    <row r="17688" spans="26:26" x14ac:dyDescent="0.25">
      <c r="Z17688"/>
    </row>
    <row r="17689" spans="26:26" x14ac:dyDescent="0.25">
      <c r="Z17689"/>
    </row>
    <row r="17690" spans="26:26" x14ac:dyDescent="0.25">
      <c r="Z17690"/>
    </row>
    <row r="17691" spans="26:26" x14ac:dyDescent="0.25">
      <c r="Z17691"/>
    </row>
    <row r="17692" spans="26:26" x14ac:dyDescent="0.25">
      <c r="Z17692"/>
    </row>
    <row r="17693" spans="26:26" x14ac:dyDescent="0.25">
      <c r="Z17693"/>
    </row>
    <row r="17694" spans="26:26" x14ac:dyDescent="0.25">
      <c r="Z17694"/>
    </row>
    <row r="17695" spans="26:26" x14ac:dyDescent="0.25">
      <c r="Z17695"/>
    </row>
    <row r="17696" spans="26:26" x14ac:dyDescent="0.25">
      <c r="Z17696"/>
    </row>
    <row r="17697" spans="26:26" x14ac:dyDescent="0.25">
      <c r="Z17697"/>
    </row>
    <row r="17698" spans="26:26" x14ac:dyDescent="0.25">
      <c r="Z17698"/>
    </row>
    <row r="17699" spans="26:26" x14ac:dyDescent="0.25">
      <c r="Z17699"/>
    </row>
    <row r="17700" spans="26:26" x14ac:dyDescent="0.25">
      <c r="Z17700"/>
    </row>
    <row r="17701" spans="26:26" x14ac:dyDescent="0.25">
      <c r="Z17701"/>
    </row>
    <row r="17702" spans="26:26" x14ac:dyDescent="0.25">
      <c r="Z17702"/>
    </row>
    <row r="17703" spans="26:26" x14ac:dyDescent="0.25">
      <c r="Z17703"/>
    </row>
    <row r="17704" spans="26:26" x14ac:dyDescent="0.25">
      <c r="Z17704"/>
    </row>
    <row r="17705" spans="26:26" x14ac:dyDescent="0.25">
      <c r="Z17705"/>
    </row>
    <row r="17706" spans="26:26" x14ac:dyDescent="0.25">
      <c r="Z17706"/>
    </row>
    <row r="17707" spans="26:26" x14ac:dyDescent="0.25">
      <c r="Z17707"/>
    </row>
    <row r="17708" spans="26:26" x14ac:dyDescent="0.25">
      <c r="Z17708"/>
    </row>
    <row r="17709" spans="26:26" x14ac:dyDescent="0.25">
      <c r="Z17709"/>
    </row>
    <row r="17710" spans="26:26" x14ac:dyDescent="0.25">
      <c r="Z17710"/>
    </row>
    <row r="17711" spans="26:26" x14ac:dyDescent="0.25">
      <c r="Z17711"/>
    </row>
    <row r="17712" spans="26:26" x14ac:dyDescent="0.25">
      <c r="Z17712"/>
    </row>
    <row r="17713" spans="26:26" x14ac:dyDescent="0.25">
      <c r="Z17713"/>
    </row>
    <row r="17714" spans="26:26" x14ac:dyDescent="0.25">
      <c r="Z17714"/>
    </row>
    <row r="17715" spans="26:26" x14ac:dyDescent="0.25">
      <c r="Z17715"/>
    </row>
    <row r="17716" spans="26:26" x14ac:dyDescent="0.25">
      <c r="Z17716"/>
    </row>
    <row r="17717" spans="26:26" x14ac:dyDescent="0.25">
      <c r="Z17717"/>
    </row>
    <row r="17718" spans="26:26" x14ac:dyDescent="0.25">
      <c r="Z17718"/>
    </row>
    <row r="17719" spans="26:26" x14ac:dyDescent="0.25">
      <c r="Z17719"/>
    </row>
    <row r="17720" spans="26:26" x14ac:dyDescent="0.25">
      <c r="Z17720"/>
    </row>
    <row r="17721" spans="26:26" x14ac:dyDescent="0.25">
      <c r="Z17721"/>
    </row>
    <row r="17722" spans="26:26" x14ac:dyDescent="0.25">
      <c r="Z17722"/>
    </row>
    <row r="17723" spans="26:26" x14ac:dyDescent="0.25">
      <c r="Z17723"/>
    </row>
    <row r="17724" spans="26:26" x14ac:dyDescent="0.25">
      <c r="Z17724"/>
    </row>
    <row r="17725" spans="26:26" x14ac:dyDescent="0.25">
      <c r="Z17725"/>
    </row>
    <row r="17726" spans="26:26" x14ac:dyDescent="0.25">
      <c r="Z17726"/>
    </row>
    <row r="17727" spans="26:26" x14ac:dyDescent="0.25">
      <c r="Z17727"/>
    </row>
    <row r="17728" spans="26:26" x14ac:dyDescent="0.25">
      <c r="Z17728"/>
    </row>
    <row r="17729" spans="26:26" x14ac:dyDescent="0.25">
      <c r="Z17729"/>
    </row>
    <row r="17730" spans="26:26" x14ac:dyDescent="0.25">
      <c r="Z17730"/>
    </row>
    <row r="17731" spans="26:26" x14ac:dyDescent="0.25">
      <c r="Z17731"/>
    </row>
    <row r="17732" spans="26:26" x14ac:dyDescent="0.25">
      <c r="Z17732"/>
    </row>
    <row r="17733" spans="26:26" x14ac:dyDescent="0.25">
      <c r="Z17733"/>
    </row>
    <row r="17734" spans="26:26" x14ac:dyDescent="0.25">
      <c r="Z17734"/>
    </row>
    <row r="17735" spans="26:26" x14ac:dyDescent="0.25">
      <c r="Z17735"/>
    </row>
    <row r="17736" spans="26:26" x14ac:dyDescent="0.25">
      <c r="Z17736"/>
    </row>
    <row r="17737" spans="26:26" x14ac:dyDescent="0.25">
      <c r="Z17737"/>
    </row>
    <row r="17738" spans="26:26" x14ac:dyDescent="0.25">
      <c r="Z17738"/>
    </row>
    <row r="17739" spans="26:26" x14ac:dyDescent="0.25">
      <c r="Z17739"/>
    </row>
    <row r="17740" spans="26:26" x14ac:dyDescent="0.25">
      <c r="Z17740"/>
    </row>
    <row r="17741" spans="26:26" x14ac:dyDescent="0.25">
      <c r="Z17741"/>
    </row>
    <row r="17742" spans="26:26" x14ac:dyDescent="0.25">
      <c r="Z17742"/>
    </row>
    <row r="17743" spans="26:26" x14ac:dyDescent="0.25">
      <c r="Z17743"/>
    </row>
    <row r="17744" spans="26:26" x14ac:dyDescent="0.25">
      <c r="Z17744"/>
    </row>
    <row r="17745" spans="26:26" x14ac:dyDescent="0.25">
      <c r="Z17745"/>
    </row>
    <row r="17746" spans="26:26" x14ac:dyDescent="0.25">
      <c r="Z17746"/>
    </row>
    <row r="17747" spans="26:26" x14ac:dyDescent="0.25">
      <c r="Z17747"/>
    </row>
    <row r="17748" spans="26:26" x14ac:dyDescent="0.25">
      <c r="Z17748"/>
    </row>
    <row r="17749" spans="26:26" x14ac:dyDescent="0.25">
      <c r="Z17749"/>
    </row>
    <row r="17750" spans="26:26" x14ac:dyDescent="0.25">
      <c r="Z17750"/>
    </row>
    <row r="17751" spans="26:26" x14ac:dyDescent="0.25">
      <c r="Z17751"/>
    </row>
    <row r="17752" spans="26:26" x14ac:dyDescent="0.25">
      <c r="Z17752"/>
    </row>
    <row r="17753" spans="26:26" x14ac:dyDescent="0.25">
      <c r="Z17753"/>
    </row>
    <row r="17754" spans="26:26" x14ac:dyDescent="0.25">
      <c r="Z17754"/>
    </row>
    <row r="17755" spans="26:26" x14ac:dyDescent="0.25">
      <c r="Z17755"/>
    </row>
    <row r="17756" spans="26:26" x14ac:dyDescent="0.25">
      <c r="Z17756"/>
    </row>
    <row r="17757" spans="26:26" x14ac:dyDescent="0.25">
      <c r="Z17757"/>
    </row>
    <row r="17758" spans="26:26" x14ac:dyDescent="0.25">
      <c r="Z17758"/>
    </row>
    <row r="17759" spans="26:26" x14ac:dyDescent="0.25">
      <c r="Z17759"/>
    </row>
    <row r="17760" spans="26:26" x14ac:dyDescent="0.25">
      <c r="Z17760"/>
    </row>
    <row r="17761" spans="26:26" x14ac:dyDescent="0.25">
      <c r="Z17761"/>
    </row>
    <row r="17762" spans="26:26" x14ac:dyDescent="0.25">
      <c r="Z17762"/>
    </row>
    <row r="17763" spans="26:26" x14ac:dyDescent="0.25">
      <c r="Z17763"/>
    </row>
    <row r="17764" spans="26:26" x14ac:dyDescent="0.25">
      <c r="Z17764"/>
    </row>
    <row r="17765" spans="26:26" x14ac:dyDescent="0.25">
      <c r="Z17765"/>
    </row>
    <row r="17766" spans="26:26" x14ac:dyDescent="0.25">
      <c r="Z17766"/>
    </row>
    <row r="17767" spans="26:26" x14ac:dyDescent="0.25">
      <c r="Z17767"/>
    </row>
    <row r="17768" spans="26:26" x14ac:dyDescent="0.25">
      <c r="Z17768"/>
    </row>
    <row r="17769" spans="26:26" x14ac:dyDescent="0.25">
      <c r="Z17769"/>
    </row>
    <row r="17770" spans="26:26" x14ac:dyDescent="0.25">
      <c r="Z17770"/>
    </row>
    <row r="17771" spans="26:26" x14ac:dyDescent="0.25">
      <c r="Z17771"/>
    </row>
    <row r="17772" spans="26:26" x14ac:dyDescent="0.25">
      <c r="Z17772"/>
    </row>
    <row r="17773" spans="26:26" x14ac:dyDescent="0.25">
      <c r="Z17773"/>
    </row>
    <row r="17774" spans="26:26" x14ac:dyDescent="0.25">
      <c r="Z17774"/>
    </row>
    <row r="17775" spans="26:26" x14ac:dyDescent="0.25">
      <c r="Z17775"/>
    </row>
    <row r="17776" spans="26:26" x14ac:dyDescent="0.25">
      <c r="Z17776"/>
    </row>
    <row r="17777" spans="26:26" x14ac:dyDescent="0.25">
      <c r="Z17777"/>
    </row>
    <row r="17778" spans="26:26" x14ac:dyDescent="0.25">
      <c r="Z17778"/>
    </row>
    <row r="17779" spans="26:26" x14ac:dyDescent="0.25">
      <c r="Z17779"/>
    </row>
    <row r="17780" spans="26:26" x14ac:dyDescent="0.25">
      <c r="Z17780"/>
    </row>
    <row r="17781" spans="26:26" x14ac:dyDescent="0.25">
      <c r="Z17781"/>
    </row>
    <row r="17782" spans="26:26" x14ac:dyDescent="0.25">
      <c r="Z17782"/>
    </row>
    <row r="17783" spans="26:26" x14ac:dyDescent="0.25">
      <c r="Z17783"/>
    </row>
    <row r="17784" spans="26:26" x14ac:dyDescent="0.25">
      <c r="Z17784"/>
    </row>
    <row r="17785" spans="26:26" x14ac:dyDescent="0.25">
      <c r="Z17785"/>
    </row>
    <row r="17786" spans="26:26" x14ac:dyDescent="0.25">
      <c r="Z17786"/>
    </row>
    <row r="17787" spans="26:26" x14ac:dyDescent="0.25">
      <c r="Z17787"/>
    </row>
    <row r="17788" spans="26:26" x14ac:dyDescent="0.25">
      <c r="Z17788"/>
    </row>
    <row r="17789" spans="26:26" x14ac:dyDescent="0.25">
      <c r="Z17789"/>
    </row>
    <row r="17790" spans="26:26" x14ac:dyDescent="0.25">
      <c r="Z17790"/>
    </row>
    <row r="17791" spans="26:26" x14ac:dyDescent="0.25">
      <c r="Z17791"/>
    </row>
    <row r="17792" spans="26:26" x14ac:dyDescent="0.25">
      <c r="Z17792"/>
    </row>
    <row r="17793" spans="26:26" x14ac:dyDescent="0.25">
      <c r="Z17793"/>
    </row>
    <row r="17794" spans="26:26" x14ac:dyDescent="0.25">
      <c r="Z17794"/>
    </row>
    <row r="17795" spans="26:26" x14ac:dyDescent="0.25">
      <c r="Z17795"/>
    </row>
    <row r="17796" spans="26:26" x14ac:dyDescent="0.25">
      <c r="Z17796"/>
    </row>
    <row r="17797" spans="26:26" x14ac:dyDescent="0.25">
      <c r="Z17797"/>
    </row>
    <row r="17798" spans="26:26" x14ac:dyDescent="0.25">
      <c r="Z17798"/>
    </row>
    <row r="17799" spans="26:26" x14ac:dyDescent="0.25">
      <c r="Z17799"/>
    </row>
    <row r="17800" spans="26:26" x14ac:dyDescent="0.25">
      <c r="Z17800"/>
    </row>
    <row r="17801" spans="26:26" x14ac:dyDescent="0.25">
      <c r="Z17801"/>
    </row>
    <row r="17802" spans="26:26" x14ac:dyDescent="0.25">
      <c r="Z17802"/>
    </row>
    <row r="17803" spans="26:26" x14ac:dyDescent="0.25">
      <c r="Z17803"/>
    </row>
    <row r="17804" spans="26:26" x14ac:dyDescent="0.25">
      <c r="Z17804"/>
    </row>
    <row r="17805" spans="26:26" x14ac:dyDescent="0.25">
      <c r="Z17805"/>
    </row>
    <row r="17806" spans="26:26" x14ac:dyDescent="0.25">
      <c r="Z17806"/>
    </row>
    <row r="17807" spans="26:26" x14ac:dyDescent="0.25">
      <c r="Z17807"/>
    </row>
    <row r="17808" spans="26:26" x14ac:dyDescent="0.25">
      <c r="Z17808"/>
    </row>
    <row r="17809" spans="26:26" x14ac:dyDescent="0.25">
      <c r="Z17809"/>
    </row>
    <row r="17810" spans="26:26" x14ac:dyDescent="0.25">
      <c r="Z17810"/>
    </row>
    <row r="17811" spans="26:26" x14ac:dyDescent="0.25">
      <c r="Z17811"/>
    </row>
    <row r="17812" spans="26:26" x14ac:dyDescent="0.25">
      <c r="Z17812"/>
    </row>
    <row r="17813" spans="26:26" x14ac:dyDescent="0.25">
      <c r="Z17813"/>
    </row>
    <row r="17814" spans="26:26" x14ac:dyDescent="0.25">
      <c r="Z17814"/>
    </row>
    <row r="17815" spans="26:26" x14ac:dyDescent="0.25">
      <c r="Z17815"/>
    </row>
    <row r="17816" spans="26:26" x14ac:dyDescent="0.25">
      <c r="Z17816"/>
    </row>
    <row r="17817" spans="26:26" x14ac:dyDescent="0.25">
      <c r="Z17817"/>
    </row>
    <row r="17818" spans="26:26" x14ac:dyDescent="0.25">
      <c r="Z17818"/>
    </row>
    <row r="17819" spans="26:26" x14ac:dyDescent="0.25">
      <c r="Z17819"/>
    </row>
    <row r="17820" spans="26:26" x14ac:dyDescent="0.25">
      <c r="Z17820"/>
    </row>
    <row r="17821" spans="26:26" x14ac:dyDescent="0.25">
      <c r="Z17821"/>
    </row>
    <row r="17822" spans="26:26" x14ac:dyDescent="0.25">
      <c r="Z17822"/>
    </row>
    <row r="17823" spans="26:26" x14ac:dyDescent="0.25">
      <c r="Z17823"/>
    </row>
    <row r="17824" spans="26:26" x14ac:dyDescent="0.25">
      <c r="Z17824"/>
    </row>
    <row r="17825" spans="26:26" x14ac:dyDescent="0.25">
      <c r="Z17825"/>
    </row>
    <row r="17826" spans="26:26" x14ac:dyDescent="0.25">
      <c r="Z17826"/>
    </row>
    <row r="17827" spans="26:26" x14ac:dyDescent="0.25">
      <c r="Z17827"/>
    </row>
    <row r="17828" spans="26:26" x14ac:dyDescent="0.25">
      <c r="Z17828"/>
    </row>
    <row r="17829" spans="26:26" x14ac:dyDescent="0.25">
      <c r="Z17829"/>
    </row>
    <row r="17830" spans="26:26" x14ac:dyDescent="0.25">
      <c r="Z17830"/>
    </row>
    <row r="17831" spans="26:26" x14ac:dyDescent="0.25">
      <c r="Z17831"/>
    </row>
    <row r="17832" spans="26:26" x14ac:dyDescent="0.25">
      <c r="Z17832"/>
    </row>
    <row r="17833" spans="26:26" x14ac:dyDescent="0.25">
      <c r="Z17833"/>
    </row>
    <row r="17834" spans="26:26" x14ac:dyDescent="0.25">
      <c r="Z17834"/>
    </row>
    <row r="17835" spans="26:26" x14ac:dyDescent="0.25">
      <c r="Z17835"/>
    </row>
    <row r="17836" spans="26:26" x14ac:dyDescent="0.25">
      <c r="Z17836"/>
    </row>
    <row r="17837" spans="26:26" x14ac:dyDescent="0.25">
      <c r="Z17837"/>
    </row>
    <row r="17838" spans="26:26" x14ac:dyDescent="0.25">
      <c r="Z17838"/>
    </row>
    <row r="17839" spans="26:26" x14ac:dyDescent="0.25">
      <c r="Z17839"/>
    </row>
    <row r="17840" spans="26:26" x14ac:dyDescent="0.25">
      <c r="Z17840"/>
    </row>
    <row r="17841" spans="26:26" x14ac:dyDescent="0.25">
      <c r="Z17841"/>
    </row>
    <row r="17842" spans="26:26" x14ac:dyDescent="0.25">
      <c r="Z17842"/>
    </row>
    <row r="17843" spans="26:26" x14ac:dyDescent="0.25">
      <c r="Z17843"/>
    </row>
    <row r="17844" spans="26:26" x14ac:dyDescent="0.25">
      <c r="Z17844"/>
    </row>
    <row r="17845" spans="26:26" x14ac:dyDescent="0.25">
      <c r="Z17845"/>
    </row>
    <row r="17846" spans="26:26" x14ac:dyDescent="0.25">
      <c r="Z17846"/>
    </row>
    <row r="17847" spans="26:26" x14ac:dyDescent="0.25">
      <c r="Z17847"/>
    </row>
    <row r="17848" spans="26:26" x14ac:dyDescent="0.25">
      <c r="Z17848"/>
    </row>
    <row r="17849" spans="26:26" x14ac:dyDescent="0.25">
      <c r="Z17849"/>
    </row>
    <row r="17850" spans="26:26" x14ac:dyDescent="0.25">
      <c r="Z17850"/>
    </row>
    <row r="17851" spans="26:26" x14ac:dyDescent="0.25">
      <c r="Z17851"/>
    </row>
    <row r="17852" spans="26:26" x14ac:dyDescent="0.25">
      <c r="Z17852"/>
    </row>
    <row r="17853" spans="26:26" x14ac:dyDescent="0.25">
      <c r="Z17853"/>
    </row>
    <row r="17854" spans="26:26" x14ac:dyDescent="0.25">
      <c r="Z17854"/>
    </row>
    <row r="17855" spans="26:26" x14ac:dyDescent="0.25">
      <c r="Z17855"/>
    </row>
    <row r="17856" spans="26:26" x14ac:dyDescent="0.25">
      <c r="Z17856"/>
    </row>
    <row r="17857" spans="26:26" x14ac:dyDescent="0.25">
      <c r="Z17857"/>
    </row>
    <row r="17858" spans="26:26" x14ac:dyDescent="0.25">
      <c r="Z17858"/>
    </row>
    <row r="17859" spans="26:26" x14ac:dyDescent="0.25">
      <c r="Z17859"/>
    </row>
    <row r="17860" spans="26:26" x14ac:dyDescent="0.25">
      <c r="Z17860"/>
    </row>
    <row r="17861" spans="26:26" x14ac:dyDescent="0.25">
      <c r="Z17861"/>
    </row>
    <row r="17862" spans="26:26" x14ac:dyDescent="0.25">
      <c r="Z17862"/>
    </row>
    <row r="17863" spans="26:26" x14ac:dyDescent="0.25">
      <c r="Z17863"/>
    </row>
    <row r="17864" spans="26:26" x14ac:dyDescent="0.25">
      <c r="Z17864"/>
    </row>
    <row r="17865" spans="26:26" x14ac:dyDescent="0.25">
      <c r="Z17865"/>
    </row>
    <row r="17866" spans="26:26" x14ac:dyDescent="0.25">
      <c r="Z17866"/>
    </row>
    <row r="17867" spans="26:26" x14ac:dyDescent="0.25">
      <c r="Z17867"/>
    </row>
    <row r="17868" spans="26:26" x14ac:dyDescent="0.25">
      <c r="Z17868"/>
    </row>
    <row r="17869" spans="26:26" x14ac:dyDescent="0.25">
      <c r="Z17869"/>
    </row>
    <row r="17870" spans="26:26" x14ac:dyDescent="0.25">
      <c r="Z17870"/>
    </row>
    <row r="17871" spans="26:26" x14ac:dyDescent="0.25">
      <c r="Z17871"/>
    </row>
    <row r="17872" spans="26:26" x14ac:dyDescent="0.25">
      <c r="Z17872"/>
    </row>
    <row r="17873" spans="26:26" x14ac:dyDescent="0.25">
      <c r="Z17873"/>
    </row>
    <row r="17874" spans="26:26" x14ac:dyDescent="0.25">
      <c r="Z17874"/>
    </row>
    <row r="17875" spans="26:26" x14ac:dyDescent="0.25">
      <c r="Z17875"/>
    </row>
    <row r="17876" spans="26:26" x14ac:dyDescent="0.25">
      <c r="Z17876"/>
    </row>
    <row r="17877" spans="26:26" x14ac:dyDescent="0.25">
      <c r="Z17877"/>
    </row>
    <row r="17878" spans="26:26" x14ac:dyDescent="0.25">
      <c r="Z17878"/>
    </row>
    <row r="17879" spans="26:26" x14ac:dyDescent="0.25">
      <c r="Z17879"/>
    </row>
    <row r="17880" spans="26:26" x14ac:dyDescent="0.25">
      <c r="Z17880"/>
    </row>
    <row r="17881" spans="26:26" x14ac:dyDescent="0.25">
      <c r="Z17881"/>
    </row>
    <row r="17882" spans="26:26" x14ac:dyDescent="0.25">
      <c r="Z17882"/>
    </row>
    <row r="17883" spans="26:26" x14ac:dyDescent="0.25">
      <c r="Z17883"/>
    </row>
    <row r="17884" spans="26:26" x14ac:dyDescent="0.25">
      <c r="Z17884"/>
    </row>
    <row r="17885" spans="26:26" x14ac:dyDescent="0.25">
      <c r="Z17885"/>
    </row>
    <row r="17886" spans="26:26" x14ac:dyDescent="0.25">
      <c r="Z17886"/>
    </row>
    <row r="17887" spans="26:26" x14ac:dyDescent="0.25">
      <c r="Z17887"/>
    </row>
    <row r="17888" spans="26:26" x14ac:dyDescent="0.25">
      <c r="Z17888"/>
    </row>
    <row r="17889" spans="26:26" x14ac:dyDescent="0.25">
      <c r="Z17889"/>
    </row>
    <row r="17890" spans="26:26" x14ac:dyDescent="0.25">
      <c r="Z17890"/>
    </row>
    <row r="17891" spans="26:26" x14ac:dyDescent="0.25">
      <c r="Z17891"/>
    </row>
    <row r="17892" spans="26:26" x14ac:dyDescent="0.25">
      <c r="Z17892"/>
    </row>
    <row r="17893" spans="26:26" x14ac:dyDescent="0.25">
      <c r="Z17893"/>
    </row>
    <row r="17894" spans="26:26" x14ac:dyDescent="0.25">
      <c r="Z17894"/>
    </row>
    <row r="17895" spans="26:26" x14ac:dyDescent="0.25">
      <c r="Z17895"/>
    </row>
    <row r="17896" spans="26:26" x14ac:dyDescent="0.25">
      <c r="Z17896"/>
    </row>
    <row r="17897" spans="26:26" x14ac:dyDescent="0.25">
      <c r="Z17897"/>
    </row>
    <row r="17898" spans="26:26" x14ac:dyDescent="0.25">
      <c r="Z17898"/>
    </row>
    <row r="17899" spans="26:26" x14ac:dyDescent="0.25">
      <c r="Z17899"/>
    </row>
    <row r="17900" spans="26:26" x14ac:dyDescent="0.25">
      <c r="Z17900"/>
    </row>
    <row r="17901" spans="26:26" x14ac:dyDescent="0.25">
      <c r="Z17901"/>
    </row>
    <row r="17902" spans="26:26" x14ac:dyDescent="0.25">
      <c r="Z17902"/>
    </row>
    <row r="17903" spans="26:26" x14ac:dyDescent="0.25">
      <c r="Z17903"/>
    </row>
    <row r="17904" spans="26:26" x14ac:dyDescent="0.25">
      <c r="Z17904"/>
    </row>
    <row r="17905" spans="26:26" x14ac:dyDescent="0.25">
      <c r="Z17905"/>
    </row>
    <row r="17906" spans="26:26" x14ac:dyDescent="0.25">
      <c r="Z17906"/>
    </row>
    <row r="17907" spans="26:26" x14ac:dyDescent="0.25">
      <c r="Z17907"/>
    </row>
    <row r="17908" spans="26:26" x14ac:dyDescent="0.25">
      <c r="Z17908"/>
    </row>
    <row r="17909" spans="26:26" x14ac:dyDescent="0.25">
      <c r="Z17909"/>
    </row>
    <row r="17910" spans="26:26" x14ac:dyDescent="0.25">
      <c r="Z17910"/>
    </row>
    <row r="17911" spans="26:26" x14ac:dyDescent="0.25">
      <c r="Z17911"/>
    </row>
    <row r="17912" spans="26:26" x14ac:dyDescent="0.25">
      <c r="Z17912"/>
    </row>
    <row r="17913" spans="26:26" x14ac:dyDescent="0.25">
      <c r="Z17913"/>
    </row>
    <row r="17914" spans="26:26" x14ac:dyDescent="0.25">
      <c r="Z17914"/>
    </row>
    <row r="17915" spans="26:26" x14ac:dyDescent="0.25">
      <c r="Z17915"/>
    </row>
    <row r="17916" spans="26:26" x14ac:dyDescent="0.25">
      <c r="Z17916"/>
    </row>
    <row r="17917" spans="26:26" x14ac:dyDescent="0.25">
      <c r="Z17917"/>
    </row>
    <row r="17918" spans="26:26" x14ac:dyDescent="0.25">
      <c r="Z17918"/>
    </row>
    <row r="17919" spans="26:26" x14ac:dyDescent="0.25">
      <c r="Z17919"/>
    </row>
    <row r="17920" spans="26:26" x14ac:dyDescent="0.25">
      <c r="Z17920"/>
    </row>
    <row r="17921" spans="26:26" x14ac:dyDescent="0.25">
      <c r="Z17921"/>
    </row>
    <row r="17922" spans="26:26" x14ac:dyDescent="0.25">
      <c r="Z17922"/>
    </row>
    <row r="17923" spans="26:26" x14ac:dyDescent="0.25">
      <c r="Z17923"/>
    </row>
    <row r="17924" spans="26:26" x14ac:dyDescent="0.25">
      <c r="Z17924"/>
    </row>
    <row r="17925" spans="26:26" x14ac:dyDescent="0.25">
      <c r="Z17925"/>
    </row>
    <row r="17926" spans="26:26" x14ac:dyDescent="0.25">
      <c r="Z17926"/>
    </row>
    <row r="17927" spans="26:26" x14ac:dyDescent="0.25">
      <c r="Z17927"/>
    </row>
    <row r="17928" spans="26:26" x14ac:dyDescent="0.25">
      <c r="Z17928"/>
    </row>
    <row r="17929" spans="26:26" x14ac:dyDescent="0.25">
      <c r="Z17929"/>
    </row>
    <row r="17930" spans="26:26" x14ac:dyDescent="0.25">
      <c r="Z17930"/>
    </row>
    <row r="17931" spans="26:26" x14ac:dyDescent="0.25">
      <c r="Z17931"/>
    </row>
    <row r="17932" spans="26:26" x14ac:dyDescent="0.25">
      <c r="Z17932"/>
    </row>
    <row r="17933" spans="26:26" x14ac:dyDescent="0.25">
      <c r="Z17933"/>
    </row>
    <row r="17934" spans="26:26" x14ac:dyDescent="0.25">
      <c r="Z17934"/>
    </row>
    <row r="17935" spans="26:26" x14ac:dyDescent="0.25">
      <c r="Z17935"/>
    </row>
    <row r="17936" spans="26:26" x14ac:dyDescent="0.25">
      <c r="Z17936"/>
    </row>
    <row r="17937" spans="26:26" x14ac:dyDescent="0.25">
      <c r="Z17937"/>
    </row>
    <row r="17938" spans="26:26" x14ac:dyDescent="0.25">
      <c r="Z17938"/>
    </row>
    <row r="17939" spans="26:26" x14ac:dyDescent="0.25">
      <c r="Z17939"/>
    </row>
    <row r="17940" spans="26:26" x14ac:dyDescent="0.25">
      <c r="Z17940"/>
    </row>
    <row r="17941" spans="26:26" x14ac:dyDescent="0.25">
      <c r="Z17941"/>
    </row>
    <row r="17942" spans="26:26" x14ac:dyDescent="0.25">
      <c r="Z17942"/>
    </row>
    <row r="17943" spans="26:26" x14ac:dyDescent="0.25">
      <c r="Z17943"/>
    </row>
    <row r="17944" spans="26:26" x14ac:dyDescent="0.25">
      <c r="Z17944"/>
    </row>
    <row r="17945" spans="26:26" x14ac:dyDescent="0.25">
      <c r="Z17945"/>
    </row>
    <row r="17946" spans="26:26" x14ac:dyDescent="0.25">
      <c r="Z17946"/>
    </row>
    <row r="17947" spans="26:26" x14ac:dyDescent="0.25">
      <c r="Z17947"/>
    </row>
    <row r="17948" spans="26:26" x14ac:dyDescent="0.25">
      <c r="Z17948"/>
    </row>
    <row r="17949" spans="26:26" x14ac:dyDescent="0.25">
      <c r="Z17949"/>
    </row>
    <row r="17950" spans="26:26" x14ac:dyDescent="0.25">
      <c r="Z17950"/>
    </row>
    <row r="17951" spans="26:26" x14ac:dyDescent="0.25">
      <c r="Z17951"/>
    </row>
    <row r="17952" spans="26:26" x14ac:dyDescent="0.25">
      <c r="Z17952"/>
    </row>
    <row r="17953" spans="26:26" x14ac:dyDescent="0.25">
      <c r="Z17953"/>
    </row>
    <row r="17954" spans="26:26" x14ac:dyDescent="0.25">
      <c r="Z17954"/>
    </row>
    <row r="17955" spans="26:26" x14ac:dyDescent="0.25">
      <c r="Z17955"/>
    </row>
    <row r="17956" spans="26:26" x14ac:dyDescent="0.25">
      <c r="Z17956"/>
    </row>
    <row r="17957" spans="26:26" x14ac:dyDescent="0.25">
      <c r="Z17957"/>
    </row>
    <row r="17958" spans="26:26" x14ac:dyDescent="0.25">
      <c r="Z17958"/>
    </row>
    <row r="17959" spans="26:26" x14ac:dyDescent="0.25">
      <c r="Z17959"/>
    </row>
    <row r="17960" spans="26:26" x14ac:dyDescent="0.25">
      <c r="Z17960"/>
    </row>
    <row r="17961" spans="26:26" x14ac:dyDescent="0.25">
      <c r="Z17961"/>
    </row>
    <row r="17962" spans="26:26" x14ac:dyDescent="0.25">
      <c r="Z17962"/>
    </row>
    <row r="17963" spans="26:26" x14ac:dyDescent="0.25">
      <c r="Z17963"/>
    </row>
    <row r="17964" spans="26:26" x14ac:dyDescent="0.25">
      <c r="Z17964"/>
    </row>
    <row r="17965" spans="26:26" x14ac:dyDescent="0.25">
      <c r="Z17965"/>
    </row>
    <row r="17966" spans="26:26" x14ac:dyDescent="0.25">
      <c r="Z17966"/>
    </row>
    <row r="17967" spans="26:26" x14ac:dyDescent="0.25">
      <c r="Z17967"/>
    </row>
    <row r="17968" spans="26:26" x14ac:dyDescent="0.25">
      <c r="Z17968"/>
    </row>
    <row r="17969" spans="26:26" x14ac:dyDescent="0.25">
      <c r="Z17969"/>
    </row>
    <row r="17970" spans="26:26" x14ac:dyDescent="0.25">
      <c r="Z17970"/>
    </row>
    <row r="17971" spans="26:26" x14ac:dyDescent="0.25">
      <c r="Z17971"/>
    </row>
    <row r="17972" spans="26:26" x14ac:dyDescent="0.25">
      <c r="Z17972"/>
    </row>
    <row r="17973" spans="26:26" x14ac:dyDescent="0.25">
      <c r="Z17973"/>
    </row>
    <row r="17974" spans="26:26" x14ac:dyDescent="0.25">
      <c r="Z17974"/>
    </row>
    <row r="17975" spans="26:26" x14ac:dyDescent="0.25">
      <c r="Z17975"/>
    </row>
    <row r="17976" spans="26:26" x14ac:dyDescent="0.25">
      <c r="Z17976"/>
    </row>
    <row r="17977" spans="26:26" x14ac:dyDescent="0.25">
      <c r="Z17977"/>
    </row>
    <row r="17978" spans="26:26" x14ac:dyDescent="0.25">
      <c r="Z17978"/>
    </row>
    <row r="17979" spans="26:26" x14ac:dyDescent="0.25">
      <c r="Z17979"/>
    </row>
    <row r="17980" spans="26:26" x14ac:dyDescent="0.25">
      <c r="Z17980"/>
    </row>
    <row r="17981" spans="26:26" x14ac:dyDescent="0.25">
      <c r="Z17981"/>
    </row>
    <row r="17982" spans="26:26" x14ac:dyDescent="0.25">
      <c r="Z17982"/>
    </row>
    <row r="17983" spans="26:26" x14ac:dyDescent="0.25">
      <c r="Z17983"/>
    </row>
    <row r="17984" spans="26:26" x14ac:dyDescent="0.25">
      <c r="Z17984"/>
    </row>
    <row r="17985" spans="26:26" x14ac:dyDescent="0.25">
      <c r="Z17985"/>
    </row>
    <row r="17986" spans="26:26" x14ac:dyDescent="0.25">
      <c r="Z17986"/>
    </row>
    <row r="17987" spans="26:26" x14ac:dyDescent="0.25">
      <c r="Z17987"/>
    </row>
    <row r="17988" spans="26:26" x14ac:dyDescent="0.25">
      <c r="Z17988"/>
    </row>
    <row r="17989" spans="26:26" x14ac:dyDescent="0.25">
      <c r="Z17989"/>
    </row>
    <row r="17990" spans="26:26" x14ac:dyDescent="0.25">
      <c r="Z17990"/>
    </row>
    <row r="17991" spans="26:26" x14ac:dyDescent="0.25">
      <c r="Z17991"/>
    </row>
    <row r="17992" spans="26:26" x14ac:dyDescent="0.25">
      <c r="Z17992"/>
    </row>
    <row r="17993" spans="26:26" x14ac:dyDescent="0.25">
      <c r="Z17993"/>
    </row>
    <row r="17994" spans="26:26" x14ac:dyDescent="0.25">
      <c r="Z17994"/>
    </row>
    <row r="17995" spans="26:26" x14ac:dyDescent="0.25">
      <c r="Z17995"/>
    </row>
    <row r="17996" spans="26:26" x14ac:dyDescent="0.25">
      <c r="Z17996"/>
    </row>
    <row r="17997" spans="26:26" x14ac:dyDescent="0.25">
      <c r="Z17997"/>
    </row>
    <row r="17998" spans="26:26" x14ac:dyDescent="0.25">
      <c r="Z17998"/>
    </row>
    <row r="17999" spans="26:26" x14ac:dyDescent="0.25">
      <c r="Z17999"/>
    </row>
    <row r="18000" spans="26:26" x14ac:dyDescent="0.25">
      <c r="Z18000"/>
    </row>
    <row r="18001" spans="26:26" x14ac:dyDescent="0.25">
      <c r="Z18001"/>
    </row>
    <row r="18002" spans="26:26" x14ac:dyDescent="0.25">
      <c r="Z18002"/>
    </row>
    <row r="18003" spans="26:26" x14ac:dyDescent="0.25">
      <c r="Z18003"/>
    </row>
    <row r="18004" spans="26:26" x14ac:dyDescent="0.25">
      <c r="Z18004"/>
    </row>
    <row r="18005" spans="26:26" x14ac:dyDescent="0.25">
      <c r="Z18005"/>
    </row>
    <row r="18006" spans="26:26" x14ac:dyDescent="0.25">
      <c r="Z18006"/>
    </row>
    <row r="18007" spans="26:26" x14ac:dyDescent="0.25">
      <c r="Z18007"/>
    </row>
    <row r="18008" spans="26:26" x14ac:dyDescent="0.25">
      <c r="Z18008"/>
    </row>
    <row r="18009" spans="26:26" x14ac:dyDescent="0.25">
      <c r="Z18009"/>
    </row>
    <row r="18010" spans="26:26" x14ac:dyDescent="0.25">
      <c r="Z18010"/>
    </row>
    <row r="18011" spans="26:26" x14ac:dyDescent="0.25">
      <c r="Z18011"/>
    </row>
    <row r="18012" spans="26:26" x14ac:dyDescent="0.25">
      <c r="Z18012"/>
    </row>
    <row r="18013" spans="26:26" x14ac:dyDescent="0.25">
      <c r="Z18013"/>
    </row>
    <row r="18014" spans="26:26" x14ac:dyDescent="0.25">
      <c r="Z18014"/>
    </row>
    <row r="18015" spans="26:26" x14ac:dyDescent="0.25">
      <c r="Z18015"/>
    </row>
    <row r="18016" spans="26:26" x14ac:dyDescent="0.25">
      <c r="Z18016"/>
    </row>
    <row r="18017" spans="26:26" x14ac:dyDescent="0.25">
      <c r="Z18017"/>
    </row>
    <row r="18018" spans="26:26" x14ac:dyDescent="0.25">
      <c r="Z18018"/>
    </row>
    <row r="18019" spans="26:26" x14ac:dyDescent="0.25">
      <c r="Z18019"/>
    </row>
    <row r="18020" spans="26:26" x14ac:dyDescent="0.25">
      <c r="Z18020"/>
    </row>
    <row r="18021" spans="26:26" x14ac:dyDescent="0.25">
      <c r="Z18021"/>
    </row>
    <row r="18022" spans="26:26" x14ac:dyDescent="0.25">
      <c r="Z18022"/>
    </row>
    <row r="18023" spans="26:26" x14ac:dyDescent="0.25">
      <c r="Z18023"/>
    </row>
    <row r="18024" spans="26:26" x14ac:dyDescent="0.25">
      <c r="Z18024"/>
    </row>
    <row r="18025" spans="26:26" x14ac:dyDescent="0.25">
      <c r="Z18025"/>
    </row>
    <row r="18026" spans="26:26" x14ac:dyDescent="0.25">
      <c r="Z18026"/>
    </row>
    <row r="18027" spans="26:26" x14ac:dyDescent="0.25">
      <c r="Z18027"/>
    </row>
    <row r="18028" spans="26:26" x14ac:dyDescent="0.25">
      <c r="Z18028"/>
    </row>
    <row r="18029" spans="26:26" x14ac:dyDescent="0.25">
      <c r="Z18029"/>
    </row>
    <row r="18030" spans="26:26" x14ac:dyDescent="0.25">
      <c r="Z18030"/>
    </row>
    <row r="18031" spans="26:26" x14ac:dyDescent="0.25">
      <c r="Z18031"/>
    </row>
    <row r="18032" spans="26:26" x14ac:dyDescent="0.25">
      <c r="Z18032"/>
    </row>
    <row r="18033" spans="26:26" x14ac:dyDescent="0.25">
      <c r="Z18033"/>
    </row>
    <row r="18034" spans="26:26" x14ac:dyDescent="0.25">
      <c r="Z18034"/>
    </row>
    <row r="18035" spans="26:26" x14ac:dyDescent="0.25">
      <c r="Z18035"/>
    </row>
    <row r="18036" spans="26:26" x14ac:dyDescent="0.25">
      <c r="Z18036"/>
    </row>
    <row r="18037" spans="26:26" x14ac:dyDescent="0.25">
      <c r="Z18037"/>
    </row>
    <row r="18038" spans="26:26" x14ac:dyDescent="0.25">
      <c r="Z18038"/>
    </row>
    <row r="18039" spans="26:26" x14ac:dyDescent="0.25">
      <c r="Z18039"/>
    </row>
    <row r="18040" spans="26:26" x14ac:dyDescent="0.25">
      <c r="Z18040"/>
    </row>
    <row r="18041" spans="26:26" x14ac:dyDescent="0.25">
      <c r="Z18041"/>
    </row>
    <row r="18042" spans="26:26" x14ac:dyDescent="0.25">
      <c r="Z18042"/>
    </row>
    <row r="18043" spans="26:26" x14ac:dyDescent="0.25">
      <c r="Z18043"/>
    </row>
    <row r="18044" spans="26:26" x14ac:dyDescent="0.25">
      <c r="Z18044"/>
    </row>
    <row r="18045" spans="26:26" x14ac:dyDescent="0.25">
      <c r="Z18045"/>
    </row>
    <row r="18046" spans="26:26" x14ac:dyDescent="0.25">
      <c r="Z18046"/>
    </row>
    <row r="18047" spans="26:26" x14ac:dyDescent="0.25">
      <c r="Z18047"/>
    </row>
    <row r="18048" spans="26:26" x14ac:dyDescent="0.25">
      <c r="Z18048"/>
    </row>
    <row r="18049" spans="26:26" x14ac:dyDescent="0.25">
      <c r="Z18049"/>
    </row>
    <row r="18050" spans="26:26" x14ac:dyDescent="0.25">
      <c r="Z18050"/>
    </row>
    <row r="18051" spans="26:26" x14ac:dyDescent="0.25">
      <c r="Z18051"/>
    </row>
    <row r="18052" spans="26:26" x14ac:dyDescent="0.25">
      <c r="Z18052"/>
    </row>
    <row r="18053" spans="26:26" x14ac:dyDescent="0.25">
      <c r="Z18053"/>
    </row>
    <row r="18054" spans="26:26" x14ac:dyDescent="0.25">
      <c r="Z18054"/>
    </row>
    <row r="18055" spans="26:26" x14ac:dyDescent="0.25">
      <c r="Z18055"/>
    </row>
    <row r="18056" spans="26:26" x14ac:dyDescent="0.25">
      <c r="Z18056"/>
    </row>
    <row r="18057" spans="26:26" x14ac:dyDescent="0.25">
      <c r="Z18057"/>
    </row>
    <row r="18058" spans="26:26" x14ac:dyDescent="0.25">
      <c r="Z18058"/>
    </row>
    <row r="18059" spans="26:26" x14ac:dyDescent="0.25">
      <c r="Z18059"/>
    </row>
    <row r="18060" spans="26:26" x14ac:dyDescent="0.25">
      <c r="Z18060"/>
    </row>
    <row r="18061" spans="26:26" x14ac:dyDescent="0.25">
      <c r="Z18061"/>
    </row>
    <row r="18062" spans="26:26" x14ac:dyDescent="0.25">
      <c r="Z18062"/>
    </row>
    <row r="18063" spans="26:26" x14ac:dyDescent="0.25">
      <c r="Z18063"/>
    </row>
    <row r="18064" spans="26:26" x14ac:dyDescent="0.25">
      <c r="Z18064"/>
    </row>
    <row r="18065" spans="26:26" x14ac:dyDescent="0.25">
      <c r="Z18065"/>
    </row>
    <row r="18066" spans="26:26" x14ac:dyDescent="0.25">
      <c r="Z18066"/>
    </row>
    <row r="18067" spans="26:26" x14ac:dyDescent="0.25">
      <c r="Z18067"/>
    </row>
    <row r="18068" spans="26:26" x14ac:dyDescent="0.25">
      <c r="Z18068"/>
    </row>
    <row r="18069" spans="26:26" x14ac:dyDescent="0.25">
      <c r="Z18069"/>
    </row>
    <row r="18070" spans="26:26" x14ac:dyDescent="0.25">
      <c r="Z18070"/>
    </row>
    <row r="18071" spans="26:26" x14ac:dyDescent="0.25">
      <c r="Z18071"/>
    </row>
    <row r="18072" spans="26:26" x14ac:dyDescent="0.25">
      <c r="Z18072"/>
    </row>
    <row r="18073" spans="26:26" x14ac:dyDescent="0.25">
      <c r="Z18073"/>
    </row>
    <row r="18074" spans="26:26" x14ac:dyDescent="0.25">
      <c r="Z18074"/>
    </row>
    <row r="18075" spans="26:26" x14ac:dyDescent="0.25">
      <c r="Z18075"/>
    </row>
    <row r="18076" spans="26:26" x14ac:dyDescent="0.25">
      <c r="Z18076"/>
    </row>
    <row r="18077" spans="26:26" x14ac:dyDescent="0.25">
      <c r="Z18077"/>
    </row>
    <row r="18078" spans="26:26" x14ac:dyDescent="0.25">
      <c r="Z18078"/>
    </row>
    <row r="18079" spans="26:26" x14ac:dyDescent="0.25">
      <c r="Z18079"/>
    </row>
    <row r="18080" spans="26:26" x14ac:dyDescent="0.25">
      <c r="Z18080"/>
    </row>
    <row r="18081" spans="26:26" x14ac:dyDescent="0.25">
      <c r="Z18081"/>
    </row>
    <row r="18082" spans="26:26" x14ac:dyDescent="0.25">
      <c r="Z18082"/>
    </row>
    <row r="18083" spans="26:26" x14ac:dyDescent="0.25">
      <c r="Z18083"/>
    </row>
    <row r="18084" spans="26:26" x14ac:dyDescent="0.25">
      <c r="Z18084"/>
    </row>
    <row r="18085" spans="26:26" x14ac:dyDescent="0.25">
      <c r="Z18085"/>
    </row>
    <row r="18086" spans="26:26" x14ac:dyDescent="0.25">
      <c r="Z18086"/>
    </row>
    <row r="18087" spans="26:26" x14ac:dyDescent="0.25">
      <c r="Z18087"/>
    </row>
    <row r="18088" spans="26:26" x14ac:dyDescent="0.25">
      <c r="Z18088"/>
    </row>
    <row r="18089" spans="26:26" x14ac:dyDescent="0.25">
      <c r="Z18089"/>
    </row>
    <row r="18090" spans="26:26" x14ac:dyDescent="0.25">
      <c r="Z18090"/>
    </row>
    <row r="18091" spans="26:26" x14ac:dyDescent="0.25">
      <c r="Z18091"/>
    </row>
    <row r="18092" spans="26:26" x14ac:dyDescent="0.25">
      <c r="Z18092"/>
    </row>
    <row r="18093" spans="26:26" x14ac:dyDescent="0.25">
      <c r="Z18093"/>
    </row>
    <row r="18094" spans="26:26" x14ac:dyDescent="0.25">
      <c r="Z18094"/>
    </row>
    <row r="18095" spans="26:26" x14ac:dyDescent="0.25">
      <c r="Z18095"/>
    </row>
    <row r="18096" spans="26:26" x14ac:dyDescent="0.25">
      <c r="Z18096"/>
    </row>
    <row r="18097" spans="26:26" x14ac:dyDescent="0.25">
      <c r="Z18097"/>
    </row>
    <row r="18098" spans="26:26" x14ac:dyDescent="0.25">
      <c r="Z18098"/>
    </row>
    <row r="18099" spans="26:26" x14ac:dyDescent="0.25">
      <c r="Z18099"/>
    </row>
    <row r="18100" spans="26:26" x14ac:dyDescent="0.25">
      <c r="Z18100"/>
    </row>
    <row r="18101" spans="26:26" x14ac:dyDescent="0.25">
      <c r="Z18101"/>
    </row>
    <row r="18102" spans="26:26" x14ac:dyDescent="0.25">
      <c r="Z18102"/>
    </row>
    <row r="18103" spans="26:26" x14ac:dyDescent="0.25">
      <c r="Z18103"/>
    </row>
    <row r="18104" spans="26:26" x14ac:dyDescent="0.25">
      <c r="Z18104"/>
    </row>
    <row r="18105" spans="26:26" x14ac:dyDescent="0.25">
      <c r="Z18105"/>
    </row>
    <row r="18106" spans="26:26" x14ac:dyDescent="0.25">
      <c r="Z18106"/>
    </row>
    <row r="18107" spans="26:26" x14ac:dyDescent="0.25">
      <c r="Z18107"/>
    </row>
    <row r="18108" spans="26:26" x14ac:dyDescent="0.25">
      <c r="Z18108"/>
    </row>
    <row r="18109" spans="26:26" x14ac:dyDescent="0.25">
      <c r="Z18109"/>
    </row>
    <row r="18110" spans="26:26" x14ac:dyDescent="0.25">
      <c r="Z18110"/>
    </row>
    <row r="18111" spans="26:26" x14ac:dyDescent="0.25">
      <c r="Z18111"/>
    </row>
    <row r="18112" spans="26:26" x14ac:dyDescent="0.25">
      <c r="Z18112"/>
    </row>
    <row r="18113" spans="26:26" x14ac:dyDescent="0.25">
      <c r="Z18113"/>
    </row>
    <row r="18114" spans="26:26" x14ac:dyDescent="0.25">
      <c r="Z18114"/>
    </row>
    <row r="18115" spans="26:26" x14ac:dyDescent="0.25">
      <c r="Z18115"/>
    </row>
    <row r="18116" spans="26:26" x14ac:dyDescent="0.25">
      <c r="Z18116"/>
    </row>
    <row r="18117" spans="26:26" x14ac:dyDescent="0.25">
      <c r="Z18117"/>
    </row>
    <row r="18118" spans="26:26" x14ac:dyDescent="0.25">
      <c r="Z18118"/>
    </row>
    <row r="18119" spans="26:26" x14ac:dyDescent="0.25">
      <c r="Z18119"/>
    </row>
    <row r="18120" spans="26:26" x14ac:dyDescent="0.25">
      <c r="Z18120"/>
    </row>
    <row r="18121" spans="26:26" x14ac:dyDescent="0.25">
      <c r="Z18121"/>
    </row>
    <row r="18122" spans="26:26" x14ac:dyDescent="0.25">
      <c r="Z18122"/>
    </row>
    <row r="18123" spans="26:26" x14ac:dyDescent="0.25">
      <c r="Z18123"/>
    </row>
    <row r="18124" spans="26:26" x14ac:dyDescent="0.25">
      <c r="Z18124"/>
    </row>
    <row r="18125" spans="26:26" x14ac:dyDescent="0.25">
      <c r="Z18125"/>
    </row>
    <row r="18126" spans="26:26" x14ac:dyDescent="0.25">
      <c r="Z18126"/>
    </row>
    <row r="18127" spans="26:26" x14ac:dyDescent="0.25">
      <c r="Z18127"/>
    </row>
    <row r="18128" spans="26:26" x14ac:dyDescent="0.25">
      <c r="Z18128"/>
    </row>
    <row r="18129" spans="26:26" x14ac:dyDescent="0.25">
      <c r="Z18129"/>
    </row>
    <row r="18130" spans="26:26" x14ac:dyDescent="0.25">
      <c r="Z18130"/>
    </row>
    <row r="18131" spans="26:26" x14ac:dyDescent="0.25">
      <c r="Z18131"/>
    </row>
    <row r="18132" spans="26:26" x14ac:dyDescent="0.25">
      <c r="Z18132"/>
    </row>
    <row r="18133" spans="26:26" x14ac:dyDescent="0.25">
      <c r="Z18133"/>
    </row>
    <row r="18134" spans="26:26" x14ac:dyDescent="0.25">
      <c r="Z18134"/>
    </row>
    <row r="18135" spans="26:26" x14ac:dyDescent="0.25">
      <c r="Z18135"/>
    </row>
    <row r="18136" spans="26:26" x14ac:dyDescent="0.25">
      <c r="Z18136"/>
    </row>
    <row r="18137" spans="26:26" x14ac:dyDescent="0.25">
      <c r="Z18137"/>
    </row>
    <row r="18138" spans="26:26" x14ac:dyDescent="0.25">
      <c r="Z18138"/>
    </row>
    <row r="18139" spans="26:26" x14ac:dyDescent="0.25">
      <c r="Z18139"/>
    </row>
    <row r="18140" spans="26:26" x14ac:dyDescent="0.25">
      <c r="Z18140"/>
    </row>
    <row r="18141" spans="26:26" x14ac:dyDescent="0.25">
      <c r="Z18141"/>
    </row>
    <row r="18142" spans="26:26" x14ac:dyDescent="0.25">
      <c r="Z18142"/>
    </row>
    <row r="18143" spans="26:26" x14ac:dyDescent="0.25">
      <c r="Z18143"/>
    </row>
    <row r="18144" spans="26:26" x14ac:dyDescent="0.25">
      <c r="Z18144"/>
    </row>
    <row r="18145" spans="26:26" x14ac:dyDescent="0.25">
      <c r="Z18145"/>
    </row>
    <row r="18146" spans="26:26" x14ac:dyDescent="0.25">
      <c r="Z18146"/>
    </row>
    <row r="18147" spans="26:26" x14ac:dyDescent="0.25">
      <c r="Z18147"/>
    </row>
    <row r="18148" spans="26:26" x14ac:dyDescent="0.25">
      <c r="Z18148"/>
    </row>
    <row r="18149" spans="26:26" x14ac:dyDescent="0.25">
      <c r="Z18149"/>
    </row>
    <row r="18150" spans="26:26" x14ac:dyDescent="0.25">
      <c r="Z18150"/>
    </row>
    <row r="18151" spans="26:26" x14ac:dyDescent="0.25">
      <c r="Z18151"/>
    </row>
    <row r="18152" spans="26:26" x14ac:dyDescent="0.25">
      <c r="Z18152"/>
    </row>
    <row r="18153" spans="26:26" x14ac:dyDescent="0.25">
      <c r="Z18153"/>
    </row>
    <row r="18154" spans="26:26" x14ac:dyDescent="0.25">
      <c r="Z18154"/>
    </row>
    <row r="18155" spans="26:26" x14ac:dyDescent="0.25">
      <c r="Z18155"/>
    </row>
    <row r="18156" spans="26:26" x14ac:dyDescent="0.25">
      <c r="Z18156"/>
    </row>
    <row r="18157" spans="26:26" x14ac:dyDescent="0.25">
      <c r="Z18157"/>
    </row>
    <row r="18158" spans="26:26" x14ac:dyDescent="0.25">
      <c r="Z18158"/>
    </row>
    <row r="18159" spans="26:26" x14ac:dyDescent="0.25">
      <c r="Z18159"/>
    </row>
    <row r="18160" spans="26:26" x14ac:dyDescent="0.25">
      <c r="Z18160"/>
    </row>
    <row r="18161" spans="26:26" x14ac:dyDescent="0.25">
      <c r="Z18161"/>
    </row>
    <row r="18162" spans="26:26" x14ac:dyDescent="0.25">
      <c r="Z18162"/>
    </row>
    <row r="18163" spans="26:26" x14ac:dyDescent="0.25">
      <c r="Z18163"/>
    </row>
    <row r="18164" spans="26:26" x14ac:dyDescent="0.25">
      <c r="Z18164"/>
    </row>
    <row r="18165" spans="26:26" x14ac:dyDescent="0.25">
      <c r="Z18165"/>
    </row>
    <row r="18166" spans="26:26" x14ac:dyDescent="0.25">
      <c r="Z18166"/>
    </row>
    <row r="18167" spans="26:26" x14ac:dyDescent="0.25">
      <c r="Z18167"/>
    </row>
    <row r="18168" spans="26:26" x14ac:dyDescent="0.25">
      <c r="Z18168"/>
    </row>
    <row r="18169" spans="26:26" x14ac:dyDescent="0.25">
      <c r="Z18169"/>
    </row>
    <row r="18170" spans="26:26" x14ac:dyDescent="0.25">
      <c r="Z18170"/>
    </row>
    <row r="18171" spans="26:26" x14ac:dyDescent="0.25">
      <c r="Z18171"/>
    </row>
    <row r="18172" spans="26:26" x14ac:dyDescent="0.25">
      <c r="Z18172"/>
    </row>
    <row r="18173" spans="26:26" x14ac:dyDescent="0.25">
      <c r="Z18173"/>
    </row>
    <row r="18174" spans="26:26" x14ac:dyDescent="0.25">
      <c r="Z18174"/>
    </row>
    <row r="18175" spans="26:26" x14ac:dyDescent="0.25">
      <c r="Z18175"/>
    </row>
    <row r="18176" spans="26:26" x14ac:dyDescent="0.25">
      <c r="Z18176"/>
    </row>
    <row r="18177" spans="26:26" x14ac:dyDescent="0.25">
      <c r="Z18177"/>
    </row>
    <row r="18178" spans="26:26" x14ac:dyDescent="0.25">
      <c r="Z18178"/>
    </row>
    <row r="18179" spans="26:26" x14ac:dyDescent="0.25">
      <c r="Z18179"/>
    </row>
    <row r="18180" spans="26:26" x14ac:dyDescent="0.25">
      <c r="Z18180"/>
    </row>
    <row r="18181" spans="26:26" x14ac:dyDescent="0.25">
      <c r="Z18181"/>
    </row>
    <row r="18182" spans="26:26" x14ac:dyDescent="0.25">
      <c r="Z18182"/>
    </row>
    <row r="18183" spans="26:26" x14ac:dyDescent="0.25">
      <c r="Z18183"/>
    </row>
    <row r="18184" spans="26:26" x14ac:dyDescent="0.25">
      <c r="Z18184"/>
    </row>
    <row r="18185" spans="26:26" x14ac:dyDescent="0.25">
      <c r="Z18185"/>
    </row>
    <row r="18186" spans="26:26" x14ac:dyDescent="0.25">
      <c r="Z18186"/>
    </row>
    <row r="18187" spans="26:26" x14ac:dyDescent="0.25">
      <c r="Z18187"/>
    </row>
    <row r="18188" spans="26:26" x14ac:dyDescent="0.25">
      <c r="Z18188"/>
    </row>
    <row r="18189" spans="26:26" x14ac:dyDescent="0.25">
      <c r="Z18189"/>
    </row>
    <row r="18190" spans="26:26" x14ac:dyDescent="0.25">
      <c r="Z18190"/>
    </row>
    <row r="18191" spans="26:26" x14ac:dyDescent="0.25">
      <c r="Z18191"/>
    </row>
    <row r="18192" spans="26:26" x14ac:dyDescent="0.25">
      <c r="Z18192"/>
    </row>
    <row r="18193" spans="26:26" x14ac:dyDescent="0.25">
      <c r="Z18193"/>
    </row>
    <row r="18194" spans="26:26" x14ac:dyDescent="0.25">
      <c r="Z18194"/>
    </row>
    <row r="18195" spans="26:26" x14ac:dyDescent="0.25">
      <c r="Z18195"/>
    </row>
    <row r="18196" spans="26:26" x14ac:dyDescent="0.25">
      <c r="Z18196"/>
    </row>
    <row r="18197" spans="26:26" x14ac:dyDescent="0.25">
      <c r="Z18197"/>
    </row>
    <row r="18198" spans="26:26" x14ac:dyDescent="0.25">
      <c r="Z18198"/>
    </row>
    <row r="18199" spans="26:26" x14ac:dyDescent="0.25">
      <c r="Z18199"/>
    </row>
    <row r="18200" spans="26:26" x14ac:dyDescent="0.25">
      <c r="Z18200"/>
    </row>
    <row r="18201" spans="26:26" x14ac:dyDescent="0.25">
      <c r="Z18201"/>
    </row>
    <row r="18202" spans="26:26" x14ac:dyDescent="0.25">
      <c r="Z18202"/>
    </row>
    <row r="18203" spans="26:26" x14ac:dyDescent="0.25">
      <c r="Z18203"/>
    </row>
    <row r="18204" spans="26:26" x14ac:dyDescent="0.25">
      <c r="Z18204"/>
    </row>
    <row r="18205" spans="26:26" x14ac:dyDescent="0.25">
      <c r="Z18205"/>
    </row>
    <row r="18206" spans="26:26" x14ac:dyDescent="0.25">
      <c r="Z18206"/>
    </row>
    <row r="18207" spans="26:26" x14ac:dyDescent="0.25">
      <c r="Z18207"/>
    </row>
    <row r="18208" spans="26:26" x14ac:dyDescent="0.25">
      <c r="Z18208"/>
    </row>
    <row r="18209" spans="26:26" x14ac:dyDescent="0.25">
      <c r="Z18209"/>
    </row>
    <row r="18210" spans="26:26" x14ac:dyDescent="0.25">
      <c r="Z18210"/>
    </row>
    <row r="18211" spans="26:26" x14ac:dyDescent="0.25">
      <c r="Z18211"/>
    </row>
    <row r="18212" spans="26:26" x14ac:dyDescent="0.25">
      <c r="Z18212"/>
    </row>
    <row r="18213" spans="26:26" x14ac:dyDescent="0.25">
      <c r="Z18213"/>
    </row>
    <row r="18214" spans="26:26" x14ac:dyDescent="0.25">
      <c r="Z18214"/>
    </row>
    <row r="18215" spans="26:26" x14ac:dyDescent="0.25">
      <c r="Z18215"/>
    </row>
    <row r="18216" spans="26:26" x14ac:dyDescent="0.25">
      <c r="Z18216"/>
    </row>
    <row r="18217" spans="26:26" x14ac:dyDescent="0.25">
      <c r="Z18217"/>
    </row>
    <row r="18218" spans="26:26" x14ac:dyDescent="0.25">
      <c r="Z18218"/>
    </row>
    <row r="18219" spans="26:26" x14ac:dyDescent="0.25">
      <c r="Z18219"/>
    </row>
    <row r="18220" spans="26:26" x14ac:dyDescent="0.25">
      <c r="Z18220"/>
    </row>
    <row r="18221" spans="26:26" x14ac:dyDescent="0.25">
      <c r="Z18221"/>
    </row>
    <row r="18222" spans="26:26" x14ac:dyDescent="0.25">
      <c r="Z18222"/>
    </row>
    <row r="18223" spans="26:26" x14ac:dyDescent="0.25">
      <c r="Z18223"/>
    </row>
    <row r="18224" spans="26:26" x14ac:dyDescent="0.25">
      <c r="Z18224"/>
    </row>
    <row r="18225" spans="26:26" x14ac:dyDescent="0.25">
      <c r="Z18225"/>
    </row>
    <row r="18226" spans="26:26" x14ac:dyDescent="0.25">
      <c r="Z18226"/>
    </row>
    <row r="18227" spans="26:26" x14ac:dyDescent="0.25">
      <c r="Z18227"/>
    </row>
    <row r="18228" spans="26:26" x14ac:dyDescent="0.25">
      <c r="Z18228"/>
    </row>
    <row r="18229" spans="26:26" x14ac:dyDescent="0.25">
      <c r="Z18229"/>
    </row>
    <row r="18230" spans="26:26" x14ac:dyDescent="0.25">
      <c r="Z18230"/>
    </row>
    <row r="18231" spans="26:26" x14ac:dyDescent="0.25">
      <c r="Z18231"/>
    </row>
    <row r="18232" spans="26:26" x14ac:dyDescent="0.25">
      <c r="Z18232"/>
    </row>
    <row r="18233" spans="26:26" x14ac:dyDescent="0.25">
      <c r="Z18233"/>
    </row>
    <row r="18234" spans="26:26" x14ac:dyDescent="0.25">
      <c r="Z18234"/>
    </row>
    <row r="18235" spans="26:26" x14ac:dyDescent="0.25">
      <c r="Z18235"/>
    </row>
    <row r="18236" spans="26:26" x14ac:dyDescent="0.25">
      <c r="Z18236"/>
    </row>
    <row r="18237" spans="26:26" x14ac:dyDescent="0.25">
      <c r="Z18237"/>
    </row>
    <row r="18238" spans="26:26" x14ac:dyDescent="0.25">
      <c r="Z18238"/>
    </row>
    <row r="18239" spans="26:26" x14ac:dyDescent="0.25">
      <c r="Z18239"/>
    </row>
    <row r="18240" spans="26:26" x14ac:dyDescent="0.25">
      <c r="Z18240"/>
    </row>
    <row r="18241" spans="26:26" x14ac:dyDescent="0.25">
      <c r="Z18241"/>
    </row>
    <row r="18242" spans="26:26" x14ac:dyDescent="0.25">
      <c r="Z18242"/>
    </row>
    <row r="18243" spans="26:26" x14ac:dyDescent="0.25">
      <c r="Z18243"/>
    </row>
    <row r="18244" spans="26:26" x14ac:dyDescent="0.25">
      <c r="Z18244"/>
    </row>
    <row r="18245" spans="26:26" x14ac:dyDescent="0.25">
      <c r="Z18245"/>
    </row>
    <row r="18246" spans="26:26" x14ac:dyDescent="0.25">
      <c r="Z18246"/>
    </row>
    <row r="18247" spans="26:26" x14ac:dyDescent="0.25">
      <c r="Z18247"/>
    </row>
    <row r="18248" spans="26:26" x14ac:dyDescent="0.25">
      <c r="Z18248"/>
    </row>
    <row r="18249" spans="26:26" x14ac:dyDescent="0.25">
      <c r="Z18249"/>
    </row>
    <row r="18250" spans="26:26" x14ac:dyDescent="0.25">
      <c r="Z18250"/>
    </row>
    <row r="18251" spans="26:26" x14ac:dyDescent="0.25">
      <c r="Z18251"/>
    </row>
    <row r="18252" spans="26:26" x14ac:dyDescent="0.25">
      <c r="Z18252"/>
    </row>
    <row r="18253" spans="26:26" x14ac:dyDescent="0.25">
      <c r="Z18253"/>
    </row>
    <row r="18254" spans="26:26" x14ac:dyDescent="0.25">
      <c r="Z18254"/>
    </row>
    <row r="18255" spans="26:26" x14ac:dyDescent="0.25">
      <c r="Z18255"/>
    </row>
    <row r="18256" spans="26:26" x14ac:dyDescent="0.25">
      <c r="Z18256"/>
    </row>
    <row r="18257" spans="26:26" x14ac:dyDescent="0.25">
      <c r="Z18257"/>
    </row>
    <row r="18258" spans="26:26" x14ac:dyDescent="0.25">
      <c r="Z18258"/>
    </row>
    <row r="18259" spans="26:26" x14ac:dyDescent="0.25">
      <c r="Z18259"/>
    </row>
    <row r="18260" spans="26:26" x14ac:dyDescent="0.25">
      <c r="Z18260"/>
    </row>
    <row r="18261" spans="26:26" x14ac:dyDescent="0.25">
      <c r="Z18261"/>
    </row>
    <row r="18262" spans="26:26" x14ac:dyDescent="0.25">
      <c r="Z18262"/>
    </row>
    <row r="18263" spans="26:26" x14ac:dyDescent="0.25">
      <c r="Z18263"/>
    </row>
    <row r="18264" spans="26:26" x14ac:dyDescent="0.25">
      <c r="Z18264"/>
    </row>
    <row r="18265" spans="26:26" x14ac:dyDescent="0.25">
      <c r="Z18265"/>
    </row>
    <row r="18266" spans="26:26" x14ac:dyDescent="0.25">
      <c r="Z18266"/>
    </row>
    <row r="18267" spans="26:26" x14ac:dyDescent="0.25">
      <c r="Z18267"/>
    </row>
    <row r="18268" spans="26:26" x14ac:dyDescent="0.25">
      <c r="Z18268"/>
    </row>
    <row r="18269" spans="26:26" x14ac:dyDescent="0.25">
      <c r="Z18269"/>
    </row>
    <row r="18270" spans="26:26" x14ac:dyDescent="0.25">
      <c r="Z18270"/>
    </row>
    <row r="18271" spans="26:26" x14ac:dyDescent="0.25">
      <c r="Z18271"/>
    </row>
    <row r="18272" spans="26:26" x14ac:dyDescent="0.25">
      <c r="Z18272"/>
    </row>
    <row r="18273" spans="26:26" x14ac:dyDescent="0.25">
      <c r="Z18273"/>
    </row>
    <row r="18274" spans="26:26" x14ac:dyDescent="0.25">
      <c r="Z18274"/>
    </row>
    <row r="18275" spans="26:26" x14ac:dyDescent="0.25">
      <c r="Z18275"/>
    </row>
    <row r="18276" spans="26:26" x14ac:dyDescent="0.25">
      <c r="Z18276"/>
    </row>
    <row r="18277" spans="26:26" x14ac:dyDescent="0.25">
      <c r="Z18277"/>
    </row>
    <row r="18278" spans="26:26" x14ac:dyDescent="0.25">
      <c r="Z18278"/>
    </row>
    <row r="18279" spans="26:26" x14ac:dyDescent="0.25">
      <c r="Z18279"/>
    </row>
    <row r="18280" spans="26:26" x14ac:dyDescent="0.25">
      <c r="Z18280"/>
    </row>
    <row r="18281" spans="26:26" x14ac:dyDescent="0.25">
      <c r="Z18281"/>
    </row>
    <row r="18282" spans="26:26" x14ac:dyDescent="0.25">
      <c r="Z18282"/>
    </row>
    <row r="18283" spans="26:26" x14ac:dyDescent="0.25">
      <c r="Z18283"/>
    </row>
    <row r="18284" spans="26:26" x14ac:dyDescent="0.25">
      <c r="Z18284"/>
    </row>
    <row r="18285" spans="26:26" x14ac:dyDescent="0.25">
      <c r="Z18285"/>
    </row>
    <row r="18286" spans="26:26" x14ac:dyDescent="0.25">
      <c r="Z18286"/>
    </row>
    <row r="18287" spans="26:26" x14ac:dyDescent="0.25">
      <c r="Z18287"/>
    </row>
    <row r="18288" spans="26:26" x14ac:dyDescent="0.25">
      <c r="Z18288"/>
    </row>
    <row r="18289" spans="26:26" x14ac:dyDescent="0.25">
      <c r="Z18289"/>
    </row>
    <row r="18290" spans="26:26" x14ac:dyDescent="0.25">
      <c r="Z18290"/>
    </row>
    <row r="18291" spans="26:26" x14ac:dyDescent="0.25">
      <c r="Z18291"/>
    </row>
    <row r="18292" spans="26:26" x14ac:dyDescent="0.25">
      <c r="Z18292"/>
    </row>
    <row r="18293" spans="26:26" x14ac:dyDescent="0.25">
      <c r="Z18293"/>
    </row>
    <row r="18294" spans="26:26" x14ac:dyDescent="0.25">
      <c r="Z18294"/>
    </row>
    <row r="18295" spans="26:26" x14ac:dyDescent="0.25">
      <c r="Z18295"/>
    </row>
    <row r="18296" spans="26:26" x14ac:dyDescent="0.25">
      <c r="Z18296"/>
    </row>
    <row r="18297" spans="26:26" x14ac:dyDescent="0.25">
      <c r="Z18297"/>
    </row>
    <row r="18298" spans="26:26" x14ac:dyDescent="0.25">
      <c r="Z18298"/>
    </row>
    <row r="18299" spans="26:26" x14ac:dyDescent="0.25">
      <c r="Z18299"/>
    </row>
    <row r="18300" spans="26:26" x14ac:dyDescent="0.25">
      <c r="Z18300"/>
    </row>
    <row r="18301" spans="26:26" x14ac:dyDescent="0.25">
      <c r="Z18301"/>
    </row>
    <row r="18302" spans="26:26" x14ac:dyDescent="0.25">
      <c r="Z18302"/>
    </row>
    <row r="18303" spans="26:26" x14ac:dyDescent="0.25">
      <c r="Z18303"/>
    </row>
    <row r="18304" spans="26:26" x14ac:dyDescent="0.25">
      <c r="Z18304"/>
    </row>
    <row r="18305" spans="26:26" x14ac:dyDescent="0.25">
      <c r="Z18305"/>
    </row>
    <row r="18306" spans="26:26" x14ac:dyDescent="0.25">
      <c r="Z18306"/>
    </row>
    <row r="18307" spans="26:26" x14ac:dyDescent="0.25">
      <c r="Z18307"/>
    </row>
    <row r="18308" spans="26:26" x14ac:dyDescent="0.25">
      <c r="Z18308"/>
    </row>
    <row r="18309" spans="26:26" x14ac:dyDescent="0.25">
      <c r="Z18309"/>
    </row>
    <row r="18310" spans="26:26" x14ac:dyDescent="0.25">
      <c r="Z18310"/>
    </row>
    <row r="18311" spans="26:26" x14ac:dyDescent="0.25">
      <c r="Z18311"/>
    </row>
    <row r="18312" spans="26:26" x14ac:dyDescent="0.25">
      <c r="Z18312"/>
    </row>
    <row r="18313" spans="26:26" x14ac:dyDescent="0.25">
      <c r="Z18313"/>
    </row>
    <row r="18314" spans="26:26" x14ac:dyDescent="0.25">
      <c r="Z18314"/>
    </row>
    <row r="18315" spans="26:26" x14ac:dyDescent="0.25">
      <c r="Z18315"/>
    </row>
    <row r="18316" spans="26:26" x14ac:dyDescent="0.25">
      <c r="Z18316"/>
    </row>
    <row r="18317" spans="26:26" x14ac:dyDescent="0.25">
      <c r="Z18317"/>
    </row>
    <row r="18318" spans="26:26" x14ac:dyDescent="0.25">
      <c r="Z18318"/>
    </row>
    <row r="18319" spans="26:26" x14ac:dyDescent="0.25">
      <c r="Z18319"/>
    </row>
    <row r="18320" spans="26:26" x14ac:dyDescent="0.25">
      <c r="Z18320"/>
    </row>
    <row r="18321" spans="26:26" x14ac:dyDescent="0.25">
      <c r="Z18321"/>
    </row>
    <row r="18322" spans="26:26" x14ac:dyDescent="0.25">
      <c r="Z18322"/>
    </row>
    <row r="18323" spans="26:26" x14ac:dyDescent="0.25">
      <c r="Z18323"/>
    </row>
    <row r="18324" spans="26:26" x14ac:dyDescent="0.25">
      <c r="Z18324"/>
    </row>
    <row r="18325" spans="26:26" x14ac:dyDescent="0.25">
      <c r="Z18325"/>
    </row>
    <row r="18326" spans="26:26" x14ac:dyDescent="0.25">
      <c r="Z18326"/>
    </row>
    <row r="18327" spans="26:26" x14ac:dyDescent="0.25">
      <c r="Z18327"/>
    </row>
    <row r="18328" spans="26:26" x14ac:dyDescent="0.25">
      <c r="Z18328"/>
    </row>
    <row r="18329" spans="26:26" x14ac:dyDescent="0.25">
      <c r="Z18329"/>
    </row>
    <row r="18330" spans="26:26" x14ac:dyDescent="0.25">
      <c r="Z18330"/>
    </row>
    <row r="18331" spans="26:26" x14ac:dyDescent="0.25">
      <c r="Z18331"/>
    </row>
    <row r="18332" spans="26:26" x14ac:dyDescent="0.25">
      <c r="Z18332"/>
    </row>
    <row r="18333" spans="26:26" x14ac:dyDescent="0.25">
      <c r="Z18333"/>
    </row>
    <row r="18334" spans="26:26" x14ac:dyDescent="0.25">
      <c r="Z18334"/>
    </row>
    <row r="18335" spans="26:26" x14ac:dyDescent="0.25">
      <c r="Z18335"/>
    </row>
    <row r="18336" spans="26:26" x14ac:dyDescent="0.25">
      <c r="Z18336"/>
    </row>
    <row r="18337" spans="26:26" x14ac:dyDescent="0.25">
      <c r="Z18337"/>
    </row>
    <row r="18338" spans="26:26" x14ac:dyDescent="0.25">
      <c r="Z18338"/>
    </row>
    <row r="18339" spans="26:26" x14ac:dyDescent="0.25">
      <c r="Z18339"/>
    </row>
    <row r="18340" spans="26:26" x14ac:dyDescent="0.25">
      <c r="Z18340"/>
    </row>
    <row r="18341" spans="26:26" x14ac:dyDescent="0.25">
      <c r="Z18341"/>
    </row>
    <row r="18342" spans="26:26" x14ac:dyDescent="0.25">
      <c r="Z18342"/>
    </row>
    <row r="18343" spans="26:26" x14ac:dyDescent="0.25">
      <c r="Z18343"/>
    </row>
    <row r="18344" spans="26:26" x14ac:dyDescent="0.25">
      <c r="Z18344"/>
    </row>
    <row r="18345" spans="26:26" x14ac:dyDescent="0.25">
      <c r="Z18345"/>
    </row>
    <row r="18346" spans="26:26" x14ac:dyDescent="0.25">
      <c r="Z18346"/>
    </row>
    <row r="18347" spans="26:26" x14ac:dyDescent="0.25">
      <c r="Z18347"/>
    </row>
    <row r="18348" spans="26:26" x14ac:dyDescent="0.25">
      <c r="Z18348"/>
    </row>
    <row r="18349" spans="26:26" x14ac:dyDescent="0.25">
      <c r="Z18349"/>
    </row>
    <row r="18350" spans="26:26" x14ac:dyDescent="0.25">
      <c r="Z18350"/>
    </row>
    <row r="18351" spans="26:26" x14ac:dyDescent="0.25">
      <c r="Z18351"/>
    </row>
    <row r="18352" spans="26:26" x14ac:dyDescent="0.25">
      <c r="Z18352"/>
    </row>
    <row r="18353" spans="26:26" x14ac:dyDescent="0.25">
      <c r="Z18353"/>
    </row>
    <row r="18354" spans="26:26" x14ac:dyDescent="0.25">
      <c r="Z18354"/>
    </row>
    <row r="18355" spans="26:26" x14ac:dyDescent="0.25">
      <c r="Z18355"/>
    </row>
    <row r="18356" spans="26:26" x14ac:dyDescent="0.25">
      <c r="Z18356"/>
    </row>
    <row r="18357" spans="26:26" x14ac:dyDescent="0.25">
      <c r="Z18357"/>
    </row>
    <row r="18358" spans="26:26" x14ac:dyDescent="0.25">
      <c r="Z18358"/>
    </row>
    <row r="18359" spans="26:26" x14ac:dyDescent="0.25">
      <c r="Z18359"/>
    </row>
    <row r="18360" spans="26:26" x14ac:dyDescent="0.25">
      <c r="Z18360"/>
    </row>
    <row r="18361" spans="26:26" x14ac:dyDescent="0.25">
      <c r="Z18361"/>
    </row>
    <row r="18362" spans="26:26" x14ac:dyDescent="0.25">
      <c r="Z18362"/>
    </row>
    <row r="18363" spans="26:26" x14ac:dyDescent="0.25">
      <c r="Z18363"/>
    </row>
    <row r="18364" spans="26:26" x14ac:dyDescent="0.25">
      <c r="Z18364"/>
    </row>
    <row r="18365" spans="26:26" x14ac:dyDescent="0.25">
      <c r="Z18365"/>
    </row>
    <row r="18366" spans="26:26" x14ac:dyDescent="0.25">
      <c r="Z18366"/>
    </row>
    <row r="18367" spans="26:26" x14ac:dyDescent="0.25">
      <c r="Z18367"/>
    </row>
    <row r="18368" spans="26:26" x14ac:dyDescent="0.25">
      <c r="Z18368"/>
    </row>
    <row r="18369" spans="26:26" x14ac:dyDescent="0.25">
      <c r="Z18369"/>
    </row>
    <row r="18370" spans="26:26" x14ac:dyDescent="0.25">
      <c r="Z18370"/>
    </row>
    <row r="18371" spans="26:26" x14ac:dyDescent="0.25">
      <c r="Z18371"/>
    </row>
    <row r="18372" spans="26:26" x14ac:dyDescent="0.25">
      <c r="Z18372"/>
    </row>
    <row r="18373" spans="26:26" x14ac:dyDescent="0.25">
      <c r="Z18373"/>
    </row>
    <row r="18374" spans="26:26" x14ac:dyDescent="0.25">
      <c r="Z18374"/>
    </row>
    <row r="18375" spans="26:26" x14ac:dyDescent="0.25">
      <c r="Z18375"/>
    </row>
    <row r="18376" spans="26:26" x14ac:dyDescent="0.25">
      <c r="Z18376"/>
    </row>
    <row r="18377" spans="26:26" x14ac:dyDescent="0.25">
      <c r="Z18377"/>
    </row>
    <row r="18378" spans="26:26" x14ac:dyDescent="0.25">
      <c r="Z18378"/>
    </row>
    <row r="18379" spans="26:26" x14ac:dyDescent="0.25">
      <c r="Z18379"/>
    </row>
    <row r="18380" spans="26:26" x14ac:dyDescent="0.25">
      <c r="Z18380"/>
    </row>
    <row r="18381" spans="26:26" x14ac:dyDescent="0.25">
      <c r="Z18381"/>
    </row>
    <row r="18382" spans="26:26" x14ac:dyDescent="0.25">
      <c r="Z18382"/>
    </row>
    <row r="18383" spans="26:26" x14ac:dyDescent="0.25">
      <c r="Z18383"/>
    </row>
    <row r="18384" spans="26:26" x14ac:dyDescent="0.25">
      <c r="Z18384"/>
    </row>
    <row r="18385" spans="26:26" x14ac:dyDescent="0.25">
      <c r="Z18385"/>
    </row>
    <row r="18386" spans="26:26" x14ac:dyDescent="0.25">
      <c r="Z18386"/>
    </row>
    <row r="18387" spans="26:26" x14ac:dyDescent="0.25">
      <c r="Z18387"/>
    </row>
    <row r="18388" spans="26:26" x14ac:dyDescent="0.25">
      <c r="Z18388"/>
    </row>
    <row r="18389" spans="26:26" x14ac:dyDescent="0.25">
      <c r="Z18389"/>
    </row>
    <row r="18390" spans="26:26" x14ac:dyDescent="0.25">
      <c r="Z18390"/>
    </row>
    <row r="18391" spans="26:26" x14ac:dyDescent="0.25">
      <c r="Z18391"/>
    </row>
    <row r="18392" spans="26:26" x14ac:dyDescent="0.25">
      <c r="Z18392"/>
    </row>
    <row r="18393" spans="26:26" x14ac:dyDescent="0.25">
      <c r="Z18393"/>
    </row>
    <row r="18394" spans="26:26" x14ac:dyDescent="0.25">
      <c r="Z18394"/>
    </row>
    <row r="18395" spans="26:26" x14ac:dyDescent="0.25">
      <c r="Z18395"/>
    </row>
    <row r="18396" spans="26:26" x14ac:dyDescent="0.25">
      <c r="Z18396"/>
    </row>
    <row r="18397" spans="26:26" x14ac:dyDescent="0.25">
      <c r="Z18397"/>
    </row>
    <row r="18398" spans="26:26" x14ac:dyDescent="0.25">
      <c r="Z18398"/>
    </row>
    <row r="18399" spans="26:26" x14ac:dyDescent="0.25">
      <c r="Z18399"/>
    </row>
    <row r="18400" spans="26:26" x14ac:dyDescent="0.25">
      <c r="Z18400"/>
    </row>
    <row r="18401" spans="26:26" x14ac:dyDescent="0.25">
      <c r="Z18401"/>
    </row>
    <row r="18402" spans="26:26" x14ac:dyDescent="0.25">
      <c r="Z18402"/>
    </row>
    <row r="18403" spans="26:26" x14ac:dyDescent="0.25">
      <c r="Z18403"/>
    </row>
    <row r="18404" spans="26:26" x14ac:dyDescent="0.25">
      <c r="Z18404"/>
    </row>
    <row r="18405" spans="26:26" x14ac:dyDescent="0.25">
      <c r="Z18405"/>
    </row>
    <row r="18406" spans="26:26" x14ac:dyDescent="0.25">
      <c r="Z18406"/>
    </row>
    <row r="18407" spans="26:26" x14ac:dyDescent="0.25">
      <c r="Z18407"/>
    </row>
    <row r="18408" spans="26:26" x14ac:dyDescent="0.25">
      <c r="Z18408"/>
    </row>
    <row r="18409" spans="26:26" x14ac:dyDescent="0.25">
      <c r="Z18409"/>
    </row>
    <row r="18410" spans="26:26" x14ac:dyDescent="0.25">
      <c r="Z18410"/>
    </row>
    <row r="18411" spans="26:26" x14ac:dyDescent="0.25">
      <c r="Z18411"/>
    </row>
    <row r="18412" spans="26:26" x14ac:dyDescent="0.25">
      <c r="Z18412"/>
    </row>
    <row r="18413" spans="26:26" x14ac:dyDescent="0.25">
      <c r="Z18413"/>
    </row>
    <row r="18414" spans="26:26" x14ac:dyDescent="0.25">
      <c r="Z18414"/>
    </row>
    <row r="18415" spans="26:26" x14ac:dyDescent="0.25">
      <c r="Z18415"/>
    </row>
    <row r="18416" spans="26:26" x14ac:dyDescent="0.25">
      <c r="Z18416"/>
    </row>
    <row r="18417" spans="26:26" x14ac:dyDescent="0.25">
      <c r="Z18417"/>
    </row>
    <row r="18418" spans="26:26" x14ac:dyDescent="0.25">
      <c r="Z18418"/>
    </row>
    <row r="18419" spans="26:26" x14ac:dyDescent="0.25">
      <c r="Z18419"/>
    </row>
    <row r="18420" spans="26:26" x14ac:dyDescent="0.25">
      <c r="Z18420"/>
    </row>
    <row r="18421" spans="26:26" x14ac:dyDescent="0.25">
      <c r="Z18421"/>
    </row>
    <row r="18422" spans="26:26" x14ac:dyDescent="0.25">
      <c r="Z18422"/>
    </row>
    <row r="18423" spans="26:26" x14ac:dyDescent="0.25">
      <c r="Z18423"/>
    </row>
    <row r="18424" spans="26:26" x14ac:dyDescent="0.25">
      <c r="Z18424"/>
    </row>
    <row r="18425" spans="26:26" x14ac:dyDescent="0.25">
      <c r="Z18425"/>
    </row>
    <row r="18426" spans="26:26" x14ac:dyDescent="0.25">
      <c r="Z18426"/>
    </row>
    <row r="18427" spans="26:26" x14ac:dyDescent="0.25">
      <c r="Z18427"/>
    </row>
    <row r="18428" spans="26:26" x14ac:dyDescent="0.25">
      <c r="Z18428"/>
    </row>
    <row r="18429" spans="26:26" x14ac:dyDescent="0.25">
      <c r="Z18429"/>
    </row>
    <row r="18430" spans="26:26" x14ac:dyDescent="0.25">
      <c r="Z18430"/>
    </row>
    <row r="18431" spans="26:26" x14ac:dyDescent="0.25">
      <c r="Z18431"/>
    </row>
    <row r="18432" spans="26:26" x14ac:dyDescent="0.25">
      <c r="Z18432"/>
    </row>
    <row r="18433" spans="26:26" x14ac:dyDescent="0.25">
      <c r="Z18433"/>
    </row>
    <row r="18434" spans="26:26" x14ac:dyDescent="0.25">
      <c r="Z18434"/>
    </row>
    <row r="18435" spans="26:26" x14ac:dyDescent="0.25">
      <c r="Z18435"/>
    </row>
    <row r="18436" spans="26:26" x14ac:dyDescent="0.25">
      <c r="Z18436"/>
    </row>
    <row r="18437" spans="26:26" x14ac:dyDescent="0.25">
      <c r="Z18437"/>
    </row>
    <row r="18438" spans="26:26" x14ac:dyDescent="0.25">
      <c r="Z18438"/>
    </row>
    <row r="18439" spans="26:26" x14ac:dyDescent="0.25">
      <c r="Z18439"/>
    </row>
    <row r="18440" spans="26:26" x14ac:dyDescent="0.25">
      <c r="Z18440"/>
    </row>
    <row r="18441" spans="26:26" x14ac:dyDescent="0.25">
      <c r="Z18441"/>
    </row>
    <row r="18442" spans="26:26" x14ac:dyDescent="0.25">
      <c r="Z18442"/>
    </row>
    <row r="18443" spans="26:26" x14ac:dyDescent="0.25">
      <c r="Z18443"/>
    </row>
    <row r="18444" spans="26:26" x14ac:dyDescent="0.25">
      <c r="Z18444"/>
    </row>
    <row r="18445" spans="26:26" x14ac:dyDescent="0.25">
      <c r="Z18445"/>
    </row>
    <row r="18446" spans="26:26" x14ac:dyDescent="0.25">
      <c r="Z18446"/>
    </row>
    <row r="18447" spans="26:26" x14ac:dyDescent="0.25">
      <c r="Z18447"/>
    </row>
    <row r="18448" spans="26:26" x14ac:dyDescent="0.25">
      <c r="Z18448"/>
    </row>
    <row r="18449" spans="26:26" x14ac:dyDescent="0.25">
      <c r="Z18449"/>
    </row>
    <row r="18450" spans="26:26" x14ac:dyDescent="0.25">
      <c r="Z18450"/>
    </row>
    <row r="18451" spans="26:26" x14ac:dyDescent="0.25">
      <c r="Z18451"/>
    </row>
    <row r="18452" spans="26:26" x14ac:dyDescent="0.25">
      <c r="Z18452"/>
    </row>
    <row r="18453" spans="26:26" x14ac:dyDescent="0.25">
      <c r="Z18453"/>
    </row>
    <row r="18454" spans="26:26" x14ac:dyDescent="0.25">
      <c r="Z18454"/>
    </row>
    <row r="18455" spans="26:26" x14ac:dyDescent="0.25">
      <c r="Z18455"/>
    </row>
    <row r="18456" spans="26:26" x14ac:dyDescent="0.25">
      <c r="Z18456"/>
    </row>
    <row r="18457" spans="26:26" x14ac:dyDescent="0.25">
      <c r="Z18457"/>
    </row>
    <row r="18458" spans="26:26" x14ac:dyDescent="0.25">
      <c r="Z18458"/>
    </row>
    <row r="18459" spans="26:26" x14ac:dyDescent="0.25">
      <c r="Z18459"/>
    </row>
    <row r="18460" spans="26:26" x14ac:dyDescent="0.25">
      <c r="Z18460"/>
    </row>
    <row r="18461" spans="26:26" x14ac:dyDescent="0.25">
      <c r="Z18461"/>
    </row>
    <row r="18462" spans="26:26" x14ac:dyDescent="0.25">
      <c r="Z18462"/>
    </row>
    <row r="18463" spans="26:26" x14ac:dyDescent="0.25">
      <c r="Z18463"/>
    </row>
    <row r="18464" spans="26:26" x14ac:dyDescent="0.25">
      <c r="Z18464"/>
    </row>
    <row r="18465" spans="26:26" x14ac:dyDescent="0.25">
      <c r="Z18465"/>
    </row>
    <row r="18466" spans="26:26" x14ac:dyDescent="0.25">
      <c r="Z18466"/>
    </row>
    <row r="18467" spans="26:26" x14ac:dyDescent="0.25">
      <c r="Z18467"/>
    </row>
    <row r="18468" spans="26:26" x14ac:dyDescent="0.25">
      <c r="Z18468"/>
    </row>
    <row r="18469" spans="26:26" x14ac:dyDescent="0.25">
      <c r="Z18469"/>
    </row>
    <row r="18470" spans="26:26" x14ac:dyDescent="0.25">
      <c r="Z18470"/>
    </row>
    <row r="18471" spans="26:26" x14ac:dyDescent="0.25">
      <c r="Z18471"/>
    </row>
    <row r="18472" spans="26:26" x14ac:dyDescent="0.25">
      <c r="Z18472"/>
    </row>
    <row r="18473" spans="26:26" x14ac:dyDescent="0.25">
      <c r="Z18473"/>
    </row>
    <row r="18474" spans="26:26" x14ac:dyDescent="0.25">
      <c r="Z18474"/>
    </row>
    <row r="18475" spans="26:26" x14ac:dyDescent="0.25">
      <c r="Z18475"/>
    </row>
    <row r="18476" spans="26:26" x14ac:dyDescent="0.25">
      <c r="Z18476"/>
    </row>
    <row r="18477" spans="26:26" x14ac:dyDescent="0.25">
      <c r="Z18477"/>
    </row>
    <row r="18478" spans="26:26" x14ac:dyDescent="0.25">
      <c r="Z18478"/>
    </row>
    <row r="18479" spans="26:26" x14ac:dyDescent="0.25">
      <c r="Z18479"/>
    </row>
    <row r="18480" spans="26:26" x14ac:dyDescent="0.25">
      <c r="Z18480"/>
    </row>
    <row r="18481" spans="26:26" x14ac:dyDescent="0.25">
      <c r="Z18481"/>
    </row>
    <row r="18482" spans="26:26" x14ac:dyDescent="0.25">
      <c r="Z18482"/>
    </row>
    <row r="18483" spans="26:26" x14ac:dyDescent="0.25">
      <c r="Z18483"/>
    </row>
    <row r="18484" spans="26:26" x14ac:dyDescent="0.25">
      <c r="Z18484"/>
    </row>
    <row r="18485" spans="26:26" x14ac:dyDescent="0.25">
      <c r="Z18485"/>
    </row>
    <row r="18486" spans="26:26" x14ac:dyDescent="0.25">
      <c r="Z18486"/>
    </row>
    <row r="18487" spans="26:26" x14ac:dyDescent="0.25">
      <c r="Z18487"/>
    </row>
    <row r="18488" spans="26:26" x14ac:dyDescent="0.25">
      <c r="Z18488"/>
    </row>
    <row r="18489" spans="26:26" x14ac:dyDescent="0.25">
      <c r="Z18489"/>
    </row>
    <row r="18490" spans="26:26" x14ac:dyDescent="0.25">
      <c r="Z18490"/>
    </row>
    <row r="18491" spans="26:26" x14ac:dyDescent="0.25">
      <c r="Z18491"/>
    </row>
    <row r="18492" spans="26:26" x14ac:dyDescent="0.25">
      <c r="Z18492"/>
    </row>
    <row r="18493" spans="26:26" x14ac:dyDescent="0.25">
      <c r="Z18493"/>
    </row>
    <row r="18494" spans="26:26" x14ac:dyDescent="0.25">
      <c r="Z18494"/>
    </row>
    <row r="18495" spans="26:26" x14ac:dyDescent="0.25">
      <c r="Z18495"/>
    </row>
    <row r="18496" spans="26:26" x14ac:dyDescent="0.25">
      <c r="Z18496"/>
    </row>
    <row r="18497" spans="26:26" x14ac:dyDescent="0.25">
      <c r="Z18497"/>
    </row>
    <row r="18498" spans="26:26" x14ac:dyDescent="0.25">
      <c r="Z18498"/>
    </row>
    <row r="18499" spans="26:26" x14ac:dyDescent="0.25">
      <c r="Z18499"/>
    </row>
    <row r="18500" spans="26:26" x14ac:dyDescent="0.25">
      <c r="Z18500"/>
    </row>
    <row r="18501" spans="26:26" x14ac:dyDescent="0.25">
      <c r="Z18501"/>
    </row>
    <row r="18502" spans="26:26" x14ac:dyDescent="0.25">
      <c r="Z18502"/>
    </row>
    <row r="18503" spans="26:26" x14ac:dyDescent="0.25">
      <c r="Z18503"/>
    </row>
    <row r="18504" spans="26:26" x14ac:dyDescent="0.25">
      <c r="Z18504"/>
    </row>
    <row r="18505" spans="26:26" x14ac:dyDescent="0.25">
      <c r="Z18505"/>
    </row>
    <row r="18506" spans="26:26" x14ac:dyDescent="0.25">
      <c r="Z18506"/>
    </row>
    <row r="18507" spans="26:26" x14ac:dyDescent="0.25">
      <c r="Z18507"/>
    </row>
    <row r="18508" spans="26:26" x14ac:dyDescent="0.25">
      <c r="Z18508"/>
    </row>
    <row r="18509" spans="26:26" x14ac:dyDescent="0.25">
      <c r="Z18509"/>
    </row>
    <row r="18510" spans="26:26" x14ac:dyDescent="0.25">
      <c r="Z18510"/>
    </row>
    <row r="18511" spans="26:26" x14ac:dyDescent="0.25">
      <c r="Z18511"/>
    </row>
    <row r="18512" spans="26:26" x14ac:dyDescent="0.25">
      <c r="Z18512"/>
    </row>
    <row r="18513" spans="26:26" x14ac:dyDescent="0.25">
      <c r="Z18513"/>
    </row>
    <row r="18514" spans="26:26" x14ac:dyDescent="0.25">
      <c r="Z18514"/>
    </row>
    <row r="18515" spans="26:26" x14ac:dyDescent="0.25">
      <c r="Z18515"/>
    </row>
    <row r="18516" spans="26:26" x14ac:dyDescent="0.25">
      <c r="Z18516"/>
    </row>
    <row r="18517" spans="26:26" x14ac:dyDescent="0.25">
      <c r="Z18517"/>
    </row>
    <row r="18518" spans="26:26" x14ac:dyDescent="0.25">
      <c r="Z18518"/>
    </row>
    <row r="18519" spans="26:26" x14ac:dyDescent="0.25">
      <c r="Z18519"/>
    </row>
    <row r="18520" spans="26:26" x14ac:dyDescent="0.25">
      <c r="Z18520"/>
    </row>
    <row r="18521" spans="26:26" x14ac:dyDescent="0.25">
      <c r="Z18521"/>
    </row>
    <row r="18522" spans="26:26" x14ac:dyDescent="0.25">
      <c r="Z18522"/>
    </row>
    <row r="18523" spans="26:26" x14ac:dyDescent="0.25">
      <c r="Z18523"/>
    </row>
    <row r="18524" spans="26:26" x14ac:dyDescent="0.25">
      <c r="Z18524"/>
    </row>
    <row r="18525" spans="26:26" x14ac:dyDescent="0.25">
      <c r="Z18525"/>
    </row>
    <row r="18526" spans="26:26" x14ac:dyDescent="0.25">
      <c r="Z18526"/>
    </row>
    <row r="18527" spans="26:26" x14ac:dyDescent="0.25">
      <c r="Z18527"/>
    </row>
    <row r="18528" spans="26:26" x14ac:dyDescent="0.25">
      <c r="Z18528"/>
    </row>
    <row r="18529" spans="26:26" x14ac:dyDescent="0.25">
      <c r="Z18529"/>
    </row>
    <row r="18530" spans="26:26" x14ac:dyDescent="0.25">
      <c r="Z18530"/>
    </row>
    <row r="18531" spans="26:26" x14ac:dyDescent="0.25">
      <c r="Z18531"/>
    </row>
    <row r="18532" spans="26:26" x14ac:dyDescent="0.25">
      <c r="Z18532"/>
    </row>
    <row r="18533" spans="26:26" x14ac:dyDescent="0.25">
      <c r="Z18533"/>
    </row>
    <row r="18534" spans="26:26" x14ac:dyDescent="0.25">
      <c r="Z18534"/>
    </row>
    <row r="18535" spans="26:26" x14ac:dyDescent="0.25">
      <c r="Z18535"/>
    </row>
    <row r="18536" spans="26:26" x14ac:dyDescent="0.25">
      <c r="Z18536"/>
    </row>
    <row r="18537" spans="26:26" x14ac:dyDescent="0.25">
      <c r="Z18537"/>
    </row>
    <row r="18538" spans="26:26" x14ac:dyDescent="0.25">
      <c r="Z18538"/>
    </row>
    <row r="18539" spans="26:26" x14ac:dyDescent="0.25">
      <c r="Z18539"/>
    </row>
    <row r="18540" spans="26:26" x14ac:dyDescent="0.25">
      <c r="Z18540"/>
    </row>
    <row r="18541" spans="26:26" x14ac:dyDescent="0.25">
      <c r="Z18541"/>
    </row>
    <row r="18542" spans="26:26" x14ac:dyDescent="0.25">
      <c r="Z18542"/>
    </row>
    <row r="18543" spans="26:26" x14ac:dyDescent="0.25">
      <c r="Z18543"/>
    </row>
    <row r="18544" spans="26:26" x14ac:dyDescent="0.25">
      <c r="Z18544"/>
    </row>
    <row r="18545" spans="26:26" x14ac:dyDescent="0.25">
      <c r="Z18545"/>
    </row>
    <row r="18546" spans="26:26" x14ac:dyDescent="0.25">
      <c r="Z18546"/>
    </row>
    <row r="18547" spans="26:26" x14ac:dyDescent="0.25">
      <c r="Z18547"/>
    </row>
    <row r="18548" spans="26:26" x14ac:dyDescent="0.25">
      <c r="Z18548"/>
    </row>
    <row r="18549" spans="26:26" x14ac:dyDescent="0.25">
      <c r="Z18549"/>
    </row>
    <row r="18550" spans="26:26" x14ac:dyDescent="0.25">
      <c r="Z18550"/>
    </row>
    <row r="18551" spans="26:26" x14ac:dyDescent="0.25">
      <c r="Z18551"/>
    </row>
    <row r="18552" spans="26:26" x14ac:dyDescent="0.25">
      <c r="Z18552"/>
    </row>
    <row r="18553" spans="26:26" x14ac:dyDescent="0.25">
      <c r="Z18553"/>
    </row>
    <row r="18554" spans="26:26" x14ac:dyDescent="0.25">
      <c r="Z18554"/>
    </row>
    <row r="18555" spans="26:26" x14ac:dyDescent="0.25">
      <c r="Z18555"/>
    </row>
    <row r="18556" spans="26:26" x14ac:dyDescent="0.25">
      <c r="Z18556"/>
    </row>
    <row r="18557" spans="26:26" x14ac:dyDescent="0.25">
      <c r="Z18557"/>
    </row>
    <row r="18558" spans="26:26" x14ac:dyDescent="0.25">
      <c r="Z18558"/>
    </row>
    <row r="18559" spans="26:26" x14ac:dyDescent="0.25">
      <c r="Z18559"/>
    </row>
    <row r="18560" spans="26:26" x14ac:dyDescent="0.25">
      <c r="Z18560"/>
    </row>
    <row r="18561" spans="26:26" x14ac:dyDescent="0.25">
      <c r="Z18561"/>
    </row>
    <row r="18562" spans="26:26" x14ac:dyDescent="0.25">
      <c r="Z18562"/>
    </row>
    <row r="18563" spans="26:26" x14ac:dyDescent="0.25">
      <c r="Z18563"/>
    </row>
    <row r="18564" spans="26:26" x14ac:dyDescent="0.25">
      <c r="Z18564"/>
    </row>
    <row r="18565" spans="26:26" x14ac:dyDescent="0.25">
      <c r="Z18565"/>
    </row>
    <row r="18566" spans="26:26" x14ac:dyDescent="0.25">
      <c r="Z18566"/>
    </row>
    <row r="18567" spans="26:26" x14ac:dyDescent="0.25">
      <c r="Z18567"/>
    </row>
    <row r="18568" spans="26:26" x14ac:dyDescent="0.25">
      <c r="Z18568"/>
    </row>
    <row r="18569" spans="26:26" x14ac:dyDescent="0.25">
      <c r="Z18569"/>
    </row>
    <row r="18570" spans="26:26" x14ac:dyDescent="0.25">
      <c r="Z18570"/>
    </row>
    <row r="18571" spans="26:26" x14ac:dyDescent="0.25">
      <c r="Z18571"/>
    </row>
    <row r="18572" spans="26:26" x14ac:dyDescent="0.25">
      <c r="Z18572"/>
    </row>
    <row r="18573" spans="26:26" x14ac:dyDescent="0.25">
      <c r="Z18573"/>
    </row>
    <row r="18574" spans="26:26" x14ac:dyDescent="0.25">
      <c r="Z18574"/>
    </row>
    <row r="18575" spans="26:26" x14ac:dyDescent="0.25">
      <c r="Z18575"/>
    </row>
    <row r="18576" spans="26:26" x14ac:dyDescent="0.25">
      <c r="Z18576"/>
    </row>
    <row r="18577" spans="26:26" x14ac:dyDescent="0.25">
      <c r="Z18577"/>
    </row>
    <row r="18578" spans="26:26" x14ac:dyDescent="0.25">
      <c r="Z18578"/>
    </row>
    <row r="18579" spans="26:26" x14ac:dyDescent="0.25">
      <c r="Z18579"/>
    </row>
    <row r="18580" spans="26:26" x14ac:dyDescent="0.25">
      <c r="Z18580"/>
    </row>
    <row r="18581" spans="26:26" x14ac:dyDescent="0.25">
      <c r="Z18581"/>
    </row>
    <row r="18582" spans="26:26" x14ac:dyDescent="0.25">
      <c r="Z18582"/>
    </row>
    <row r="18583" spans="26:26" x14ac:dyDescent="0.25">
      <c r="Z18583"/>
    </row>
    <row r="18584" spans="26:26" x14ac:dyDescent="0.25">
      <c r="Z18584"/>
    </row>
    <row r="18585" spans="26:26" x14ac:dyDescent="0.25">
      <c r="Z18585"/>
    </row>
    <row r="18586" spans="26:26" x14ac:dyDescent="0.25">
      <c r="Z18586"/>
    </row>
    <row r="18587" spans="26:26" x14ac:dyDescent="0.25">
      <c r="Z18587"/>
    </row>
    <row r="18588" spans="26:26" x14ac:dyDescent="0.25">
      <c r="Z18588"/>
    </row>
    <row r="18589" spans="26:26" x14ac:dyDescent="0.25">
      <c r="Z18589"/>
    </row>
    <row r="18590" spans="26:26" x14ac:dyDescent="0.25">
      <c r="Z18590"/>
    </row>
    <row r="18591" spans="26:26" x14ac:dyDescent="0.25">
      <c r="Z18591"/>
    </row>
    <row r="18592" spans="26:26" x14ac:dyDescent="0.25">
      <c r="Z18592"/>
    </row>
    <row r="18593" spans="26:26" x14ac:dyDescent="0.25">
      <c r="Z18593"/>
    </row>
    <row r="18594" spans="26:26" x14ac:dyDescent="0.25">
      <c r="Z18594"/>
    </row>
    <row r="18595" spans="26:26" x14ac:dyDescent="0.25">
      <c r="Z18595"/>
    </row>
    <row r="18596" spans="26:26" x14ac:dyDescent="0.25">
      <c r="Z18596"/>
    </row>
    <row r="18597" spans="26:26" x14ac:dyDescent="0.25">
      <c r="Z18597"/>
    </row>
    <row r="18598" spans="26:26" x14ac:dyDescent="0.25">
      <c r="Z18598"/>
    </row>
    <row r="18599" spans="26:26" x14ac:dyDescent="0.25">
      <c r="Z18599"/>
    </row>
    <row r="18600" spans="26:26" x14ac:dyDescent="0.25">
      <c r="Z18600"/>
    </row>
    <row r="18601" spans="26:26" x14ac:dyDescent="0.25">
      <c r="Z18601"/>
    </row>
    <row r="18602" spans="26:26" x14ac:dyDescent="0.25">
      <c r="Z18602"/>
    </row>
    <row r="18603" spans="26:26" x14ac:dyDescent="0.25">
      <c r="Z18603"/>
    </row>
    <row r="18604" spans="26:26" x14ac:dyDescent="0.25">
      <c r="Z18604"/>
    </row>
    <row r="18605" spans="26:26" x14ac:dyDescent="0.25">
      <c r="Z18605"/>
    </row>
    <row r="18606" spans="26:26" x14ac:dyDescent="0.25">
      <c r="Z18606"/>
    </row>
    <row r="18607" spans="26:26" x14ac:dyDescent="0.25">
      <c r="Z18607"/>
    </row>
    <row r="18608" spans="26:26" x14ac:dyDescent="0.25">
      <c r="Z18608"/>
    </row>
    <row r="18609" spans="26:26" x14ac:dyDescent="0.25">
      <c r="Z18609"/>
    </row>
    <row r="18610" spans="26:26" x14ac:dyDescent="0.25">
      <c r="Z18610"/>
    </row>
    <row r="18611" spans="26:26" x14ac:dyDescent="0.25">
      <c r="Z18611"/>
    </row>
    <row r="18612" spans="26:26" x14ac:dyDescent="0.25">
      <c r="Z18612"/>
    </row>
    <row r="18613" spans="26:26" x14ac:dyDescent="0.25">
      <c r="Z18613"/>
    </row>
    <row r="18614" spans="26:26" x14ac:dyDescent="0.25">
      <c r="Z18614"/>
    </row>
    <row r="18615" spans="26:26" x14ac:dyDescent="0.25">
      <c r="Z18615"/>
    </row>
    <row r="18616" spans="26:26" x14ac:dyDescent="0.25">
      <c r="Z18616"/>
    </row>
    <row r="18617" spans="26:26" x14ac:dyDescent="0.25">
      <c r="Z18617"/>
    </row>
    <row r="18618" spans="26:26" x14ac:dyDescent="0.25">
      <c r="Z18618"/>
    </row>
    <row r="18619" spans="26:26" x14ac:dyDescent="0.25">
      <c r="Z18619"/>
    </row>
    <row r="18620" spans="26:26" x14ac:dyDescent="0.25">
      <c r="Z18620"/>
    </row>
    <row r="18621" spans="26:26" x14ac:dyDescent="0.25">
      <c r="Z18621"/>
    </row>
    <row r="18622" spans="26:26" x14ac:dyDescent="0.25">
      <c r="Z18622"/>
    </row>
    <row r="18623" spans="26:26" x14ac:dyDescent="0.25">
      <c r="Z18623"/>
    </row>
    <row r="18624" spans="26:26" x14ac:dyDescent="0.25">
      <c r="Z18624"/>
    </row>
    <row r="18625" spans="26:26" x14ac:dyDescent="0.25">
      <c r="Z18625"/>
    </row>
    <row r="18626" spans="26:26" x14ac:dyDescent="0.25">
      <c r="Z18626"/>
    </row>
    <row r="18627" spans="26:26" x14ac:dyDescent="0.25">
      <c r="Z18627"/>
    </row>
    <row r="18628" spans="26:26" x14ac:dyDescent="0.25">
      <c r="Z18628"/>
    </row>
    <row r="18629" spans="26:26" x14ac:dyDescent="0.25">
      <c r="Z18629"/>
    </row>
    <row r="18630" spans="26:26" x14ac:dyDescent="0.25">
      <c r="Z18630"/>
    </row>
    <row r="18631" spans="26:26" x14ac:dyDescent="0.25">
      <c r="Z18631"/>
    </row>
    <row r="18632" spans="26:26" x14ac:dyDescent="0.25">
      <c r="Z18632"/>
    </row>
    <row r="18633" spans="26:26" x14ac:dyDescent="0.25">
      <c r="Z18633"/>
    </row>
    <row r="18634" spans="26:26" x14ac:dyDescent="0.25">
      <c r="Z18634"/>
    </row>
    <row r="18635" spans="26:26" x14ac:dyDescent="0.25">
      <c r="Z18635"/>
    </row>
    <row r="18636" spans="26:26" x14ac:dyDescent="0.25">
      <c r="Z18636"/>
    </row>
    <row r="18637" spans="26:26" x14ac:dyDescent="0.25">
      <c r="Z18637"/>
    </row>
    <row r="18638" spans="26:26" x14ac:dyDescent="0.25">
      <c r="Z18638"/>
    </row>
    <row r="18639" spans="26:26" x14ac:dyDescent="0.25">
      <c r="Z18639"/>
    </row>
    <row r="18640" spans="26:26" x14ac:dyDescent="0.25">
      <c r="Z18640"/>
    </row>
    <row r="18641" spans="26:26" x14ac:dyDescent="0.25">
      <c r="Z18641"/>
    </row>
    <row r="18642" spans="26:26" x14ac:dyDescent="0.25">
      <c r="Z18642"/>
    </row>
    <row r="18643" spans="26:26" x14ac:dyDescent="0.25">
      <c r="Z18643"/>
    </row>
    <row r="18644" spans="26:26" x14ac:dyDescent="0.25">
      <c r="Z18644"/>
    </row>
    <row r="18645" spans="26:26" x14ac:dyDescent="0.25">
      <c r="Z18645"/>
    </row>
    <row r="18646" spans="26:26" x14ac:dyDescent="0.25">
      <c r="Z18646"/>
    </row>
    <row r="18647" spans="26:26" x14ac:dyDescent="0.25">
      <c r="Z18647"/>
    </row>
    <row r="18648" spans="26:26" x14ac:dyDescent="0.25">
      <c r="Z18648"/>
    </row>
    <row r="18649" spans="26:26" x14ac:dyDescent="0.25">
      <c r="Z18649"/>
    </row>
    <row r="18650" spans="26:26" x14ac:dyDescent="0.25">
      <c r="Z18650"/>
    </row>
    <row r="18651" spans="26:26" x14ac:dyDescent="0.25">
      <c r="Z18651"/>
    </row>
    <row r="18652" spans="26:26" x14ac:dyDescent="0.25">
      <c r="Z18652"/>
    </row>
    <row r="18653" spans="26:26" x14ac:dyDescent="0.25">
      <c r="Z18653"/>
    </row>
    <row r="18654" spans="26:26" x14ac:dyDescent="0.25">
      <c r="Z18654"/>
    </row>
    <row r="18655" spans="26:26" x14ac:dyDescent="0.25">
      <c r="Z18655"/>
    </row>
    <row r="18656" spans="26:26" x14ac:dyDescent="0.25">
      <c r="Z18656"/>
    </row>
    <row r="18657" spans="26:26" x14ac:dyDescent="0.25">
      <c r="Z18657"/>
    </row>
    <row r="18658" spans="26:26" x14ac:dyDescent="0.25">
      <c r="Z18658"/>
    </row>
    <row r="18659" spans="26:26" x14ac:dyDescent="0.25">
      <c r="Z18659"/>
    </row>
    <row r="18660" spans="26:26" x14ac:dyDescent="0.25">
      <c r="Z18660"/>
    </row>
    <row r="18661" spans="26:26" x14ac:dyDescent="0.25">
      <c r="Z18661"/>
    </row>
    <row r="18662" spans="26:26" x14ac:dyDescent="0.25">
      <c r="Z18662"/>
    </row>
    <row r="18663" spans="26:26" x14ac:dyDescent="0.25">
      <c r="Z18663"/>
    </row>
    <row r="18664" spans="26:26" x14ac:dyDescent="0.25">
      <c r="Z18664"/>
    </row>
    <row r="18665" spans="26:26" x14ac:dyDescent="0.25">
      <c r="Z18665"/>
    </row>
    <row r="18666" spans="26:26" x14ac:dyDescent="0.25">
      <c r="Z18666"/>
    </row>
    <row r="18667" spans="26:26" x14ac:dyDescent="0.25">
      <c r="Z18667"/>
    </row>
    <row r="18668" spans="26:26" x14ac:dyDescent="0.25">
      <c r="Z18668"/>
    </row>
    <row r="18669" spans="26:26" x14ac:dyDescent="0.25">
      <c r="Z18669"/>
    </row>
    <row r="18670" spans="26:26" x14ac:dyDescent="0.25">
      <c r="Z18670"/>
    </row>
    <row r="18671" spans="26:26" x14ac:dyDescent="0.25">
      <c r="Z18671"/>
    </row>
    <row r="18672" spans="26:26" x14ac:dyDescent="0.25">
      <c r="Z18672"/>
    </row>
    <row r="18673" spans="26:26" x14ac:dyDescent="0.25">
      <c r="Z18673"/>
    </row>
    <row r="18674" spans="26:26" x14ac:dyDescent="0.25">
      <c r="Z18674"/>
    </row>
    <row r="18675" spans="26:26" x14ac:dyDescent="0.25">
      <c r="Z18675"/>
    </row>
    <row r="18676" spans="26:26" x14ac:dyDescent="0.25">
      <c r="Z18676"/>
    </row>
    <row r="18677" spans="26:26" x14ac:dyDescent="0.25">
      <c r="Z18677"/>
    </row>
    <row r="18678" spans="26:26" x14ac:dyDescent="0.25">
      <c r="Z18678"/>
    </row>
    <row r="18679" spans="26:26" x14ac:dyDescent="0.25">
      <c r="Z18679"/>
    </row>
    <row r="18680" spans="26:26" x14ac:dyDescent="0.25">
      <c r="Z18680"/>
    </row>
    <row r="18681" spans="26:26" x14ac:dyDescent="0.25">
      <c r="Z18681"/>
    </row>
    <row r="18682" spans="26:26" x14ac:dyDescent="0.25">
      <c r="Z18682"/>
    </row>
    <row r="18683" spans="26:26" x14ac:dyDescent="0.25">
      <c r="Z18683"/>
    </row>
    <row r="18684" spans="26:26" x14ac:dyDescent="0.25">
      <c r="Z18684"/>
    </row>
    <row r="18685" spans="26:26" x14ac:dyDescent="0.25">
      <c r="Z18685"/>
    </row>
    <row r="18686" spans="26:26" x14ac:dyDescent="0.25">
      <c r="Z18686"/>
    </row>
    <row r="18687" spans="26:26" x14ac:dyDescent="0.25">
      <c r="Z18687"/>
    </row>
    <row r="18688" spans="26:26" x14ac:dyDescent="0.25">
      <c r="Z18688"/>
    </row>
    <row r="18689" spans="26:26" x14ac:dyDescent="0.25">
      <c r="Z18689"/>
    </row>
    <row r="18690" spans="26:26" x14ac:dyDescent="0.25">
      <c r="Z18690"/>
    </row>
    <row r="18691" spans="26:26" x14ac:dyDescent="0.25">
      <c r="Z18691"/>
    </row>
    <row r="18692" spans="26:26" x14ac:dyDescent="0.25">
      <c r="Z18692"/>
    </row>
    <row r="18693" spans="26:26" x14ac:dyDescent="0.25">
      <c r="Z18693"/>
    </row>
    <row r="18694" spans="26:26" x14ac:dyDescent="0.25">
      <c r="Z18694"/>
    </row>
    <row r="18695" spans="26:26" x14ac:dyDescent="0.25">
      <c r="Z18695"/>
    </row>
    <row r="18696" spans="26:26" x14ac:dyDescent="0.25">
      <c r="Z18696"/>
    </row>
    <row r="18697" spans="26:26" x14ac:dyDescent="0.25">
      <c r="Z18697"/>
    </row>
    <row r="18698" spans="26:26" x14ac:dyDescent="0.25">
      <c r="Z18698"/>
    </row>
    <row r="18699" spans="26:26" x14ac:dyDescent="0.25">
      <c r="Z18699"/>
    </row>
    <row r="18700" spans="26:26" x14ac:dyDescent="0.25">
      <c r="Z18700"/>
    </row>
    <row r="18701" spans="26:26" x14ac:dyDescent="0.25">
      <c r="Z18701"/>
    </row>
    <row r="18702" spans="26:26" x14ac:dyDescent="0.25">
      <c r="Z18702"/>
    </row>
    <row r="18703" spans="26:26" x14ac:dyDescent="0.25">
      <c r="Z18703"/>
    </row>
    <row r="18704" spans="26:26" x14ac:dyDescent="0.25">
      <c r="Z18704"/>
    </row>
    <row r="18705" spans="26:26" x14ac:dyDescent="0.25">
      <c r="Z18705"/>
    </row>
    <row r="18706" spans="26:26" x14ac:dyDescent="0.25">
      <c r="Z18706"/>
    </row>
    <row r="18707" spans="26:26" x14ac:dyDescent="0.25">
      <c r="Z18707"/>
    </row>
    <row r="18708" spans="26:26" x14ac:dyDescent="0.25">
      <c r="Z18708"/>
    </row>
    <row r="18709" spans="26:26" x14ac:dyDescent="0.25">
      <c r="Z18709"/>
    </row>
    <row r="18710" spans="26:26" x14ac:dyDescent="0.25">
      <c r="Z18710"/>
    </row>
    <row r="18711" spans="26:26" x14ac:dyDescent="0.25">
      <c r="Z18711"/>
    </row>
    <row r="18712" spans="26:26" x14ac:dyDescent="0.25">
      <c r="Z18712"/>
    </row>
    <row r="18713" spans="26:26" x14ac:dyDescent="0.25">
      <c r="Z18713"/>
    </row>
    <row r="18714" spans="26:26" x14ac:dyDescent="0.25">
      <c r="Z18714"/>
    </row>
    <row r="18715" spans="26:26" x14ac:dyDescent="0.25">
      <c r="Z18715"/>
    </row>
    <row r="18716" spans="26:26" x14ac:dyDescent="0.25">
      <c r="Z18716"/>
    </row>
    <row r="18717" spans="26:26" x14ac:dyDescent="0.25">
      <c r="Z18717"/>
    </row>
    <row r="18718" spans="26:26" x14ac:dyDescent="0.25">
      <c r="Z18718"/>
    </row>
    <row r="18719" spans="26:26" x14ac:dyDescent="0.25">
      <c r="Z18719"/>
    </row>
    <row r="18720" spans="26:26" x14ac:dyDescent="0.25">
      <c r="Z18720"/>
    </row>
    <row r="18721" spans="26:26" x14ac:dyDescent="0.25">
      <c r="Z18721"/>
    </row>
    <row r="18722" spans="26:26" x14ac:dyDescent="0.25">
      <c r="Z18722"/>
    </row>
    <row r="18723" spans="26:26" x14ac:dyDescent="0.25">
      <c r="Z18723"/>
    </row>
    <row r="18724" spans="26:26" x14ac:dyDescent="0.25">
      <c r="Z18724"/>
    </row>
    <row r="18725" spans="26:26" x14ac:dyDescent="0.25">
      <c r="Z18725"/>
    </row>
    <row r="18726" spans="26:26" x14ac:dyDescent="0.25">
      <c r="Z18726"/>
    </row>
    <row r="18727" spans="26:26" x14ac:dyDescent="0.25">
      <c r="Z18727"/>
    </row>
    <row r="18728" spans="26:26" x14ac:dyDescent="0.25">
      <c r="Z18728"/>
    </row>
    <row r="18729" spans="26:26" x14ac:dyDescent="0.25">
      <c r="Z18729"/>
    </row>
    <row r="18730" spans="26:26" x14ac:dyDescent="0.25">
      <c r="Z18730"/>
    </row>
    <row r="18731" spans="26:26" x14ac:dyDescent="0.25">
      <c r="Z18731"/>
    </row>
    <row r="18732" spans="26:26" x14ac:dyDescent="0.25">
      <c r="Z18732"/>
    </row>
    <row r="18733" spans="26:26" x14ac:dyDescent="0.25">
      <c r="Z18733"/>
    </row>
    <row r="18734" spans="26:26" x14ac:dyDescent="0.25">
      <c r="Z18734"/>
    </row>
    <row r="18735" spans="26:26" x14ac:dyDescent="0.25">
      <c r="Z18735"/>
    </row>
    <row r="18736" spans="26:26" x14ac:dyDescent="0.25">
      <c r="Z18736"/>
    </row>
    <row r="18737" spans="26:26" x14ac:dyDescent="0.25">
      <c r="Z18737"/>
    </row>
    <row r="18738" spans="26:26" x14ac:dyDescent="0.25">
      <c r="Z18738"/>
    </row>
    <row r="18739" spans="26:26" x14ac:dyDescent="0.25">
      <c r="Z18739"/>
    </row>
    <row r="18740" spans="26:26" x14ac:dyDescent="0.25">
      <c r="Z18740"/>
    </row>
    <row r="18741" spans="26:26" x14ac:dyDescent="0.25">
      <c r="Z18741"/>
    </row>
    <row r="18742" spans="26:26" x14ac:dyDescent="0.25">
      <c r="Z18742"/>
    </row>
    <row r="18743" spans="26:26" x14ac:dyDescent="0.25">
      <c r="Z18743"/>
    </row>
    <row r="18744" spans="26:26" x14ac:dyDescent="0.25">
      <c r="Z18744"/>
    </row>
    <row r="18745" spans="26:26" x14ac:dyDescent="0.25">
      <c r="Z18745"/>
    </row>
    <row r="18746" spans="26:26" x14ac:dyDescent="0.25">
      <c r="Z18746"/>
    </row>
    <row r="18747" spans="26:26" x14ac:dyDescent="0.25">
      <c r="Z18747"/>
    </row>
    <row r="18748" spans="26:26" x14ac:dyDescent="0.25">
      <c r="Z18748"/>
    </row>
    <row r="18749" spans="26:26" x14ac:dyDescent="0.25">
      <c r="Z18749"/>
    </row>
    <row r="18750" spans="26:26" x14ac:dyDescent="0.25">
      <c r="Z18750"/>
    </row>
    <row r="18751" spans="26:26" x14ac:dyDescent="0.25">
      <c r="Z18751"/>
    </row>
    <row r="18752" spans="26:26" x14ac:dyDescent="0.25">
      <c r="Z18752"/>
    </row>
    <row r="18753" spans="26:26" x14ac:dyDescent="0.25">
      <c r="Z18753"/>
    </row>
    <row r="18754" spans="26:26" x14ac:dyDescent="0.25">
      <c r="Z18754"/>
    </row>
    <row r="18755" spans="26:26" x14ac:dyDescent="0.25">
      <c r="Z18755"/>
    </row>
    <row r="18756" spans="26:26" x14ac:dyDescent="0.25">
      <c r="Z18756"/>
    </row>
    <row r="18757" spans="26:26" x14ac:dyDescent="0.25">
      <c r="Z18757"/>
    </row>
    <row r="18758" spans="26:26" x14ac:dyDescent="0.25">
      <c r="Z18758"/>
    </row>
    <row r="18759" spans="26:26" x14ac:dyDescent="0.25">
      <c r="Z18759"/>
    </row>
    <row r="18760" spans="26:26" x14ac:dyDescent="0.25">
      <c r="Z18760"/>
    </row>
    <row r="18761" spans="26:26" x14ac:dyDescent="0.25">
      <c r="Z18761"/>
    </row>
    <row r="18762" spans="26:26" x14ac:dyDescent="0.25">
      <c r="Z18762"/>
    </row>
    <row r="18763" spans="26:26" x14ac:dyDescent="0.25">
      <c r="Z18763"/>
    </row>
    <row r="18764" spans="26:26" x14ac:dyDescent="0.25">
      <c r="Z18764"/>
    </row>
    <row r="18765" spans="26:26" x14ac:dyDescent="0.25">
      <c r="Z18765"/>
    </row>
    <row r="18766" spans="26:26" x14ac:dyDescent="0.25">
      <c r="Z18766"/>
    </row>
    <row r="18767" spans="26:26" x14ac:dyDescent="0.25">
      <c r="Z18767"/>
    </row>
    <row r="18768" spans="26:26" x14ac:dyDescent="0.25">
      <c r="Z18768"/>
    </row>
    <row r="18769" spans="26:26" x14ac:dyDescent="0.25">
      <c r="Z18769"/>
    </row>
    <row r="18770" spans="26:26" x14ac:dyDescent="0.25">
      <c r="Z18770"/>
    </row>
    <row r="18771" spans="26:26" x14ac:dyDescent="0.25">
      <c r="Z18771"/>
    </row>
    <row r="18772" spans="26:26" x14ac:dyDescent="0.25">
      <c r="Z18772"/>
    </row>
    <row r="18773" spans="26:26" x14ac:dyDescent="0.25">
      <c r="Z18773"/>
    </row>
    <row r="18774" spans="26:26" x14ac:dyDescent="0.25">
      <c r="Z18774"/>
    </row>
    <row r="18775" spans="26:26" x14ac:dyDescent="0.25">
      <c r="Z18775"/>
    </row>
    <row r="18776" spans="26:26" x14ac:dyDescent="0.25">
      <c r="Z18776"/>
    </row>
    <row r="18777" spans="26:26" x14ac:dyDescent="0.25">
      <c r="Z18777"/>
    </row>
    <row r="18778" spans="26:26" x14ac:dyDescent="0.25">
      <c r="Z18778"/>
    </row>
    <row r="18779" spans="26:26" x14ac:dyDescent="0.25">
      <c r="Z18779"/>
    </row>
    <row r="18780" spans="26:26" x14ac:dyDescent="0.25">
      <c r="Z18780"/>
    </row>
    <row r="18781" spans="26:26" x14ac:dyDescent="0.25">
      <c r="Z18781"/>
    </row>
    <row r="18782" spans="26:26" x14ac:dyDescent="0.25">
      <c r="Z18782"/>
    </row>
    <row r="18783" spans="26:26" x14ac:dyDescent="0.25">
      <c r="Z18783"/>
    </row>
    <row r="18784" spans="26:26" x14ac:dyDescent="0.25">
      <c r="Z18784"/>
    </row>
    <row r="18785" spans="26:26" x14ac:dyDescent="0.25">
      <c r="Z18785"/>
    </row>
    <row r="18786" spans="26:26" x14ac:dyDescent="0.25">
      <c r="Z18786"/>
    </row>
    <row r="18787" spans="26:26" x14ac:dyDescent="0.25">
      <c r="Z18787"/>
    </row>
    <row r="18788" spans="26:26" x14ac:dyDescent="0.25">
      <c r="Z18788"/>
    </row>
    <row r="18789" spans="26:26" x14ac:dyDescent="0.25">
      <c r="Z18789"/>
    </row>
    <row r="18790" spans="26:26" x14ac:dyDescent="0.25">
      <c r="Z18790"/>
    </row>
    <row r="18791" spans="26:26" x14ac:dyDescent="0.25">
      <c r="Z18791"/>
    </row>
    <row r="18792" spans="26:26" x14ac:dyDescent="0.25">
      <c r="Z18792"/>
    </row>
    <row r="18793" spans="26:26" x14ac:dyDescent="0.25">
      <c r="Z18793"/>
    </row>
    <row r="18794" spans="26:26" x14ac:dyDescent="0.25">
      <c r="Z18794"/>
    </row>
    <row r="18795" spans="26:26" x14ac:dyDescent="0.25">
      <c r="Z18795"/>
    </row>
    <row r="18796" spans="26:26" x14ac:dyDescent="0.25">
      <c r="Z18796"/>
    </row>
    <row r="18797" spans="26:26" x14ac:dyDescent="0.25">
      <c r="Z18797"/>
    </row>
    <row r="18798" spans="26:26" x14ac:dyDescent="0.25">
      <c r="Z18798"/>
    </row>
    <row r="18799" spans="26:26" x14ac:dyDescent="0.25">
      <c r="Z18799"/>
    </row>
    <row r="18800" spans="26:26" x14ac:dyDescent="0.25">
      <c r="Z18800"/>
    </row>
    <row r="18801" spans="26:26" x14ac:dyDescent="0.25">
      <c r="Z18801"/>
    </row>
    <row r="18802" spans="26:26" x14ac:dyDescent="0.25">
      <c r="Z18802"/>
    </row>
    <row r="18803" spans="26:26" x14ac:dyDescent="0.25">
      <c r="Z18803"/>
    </row>
    <row r="18804" spans="26:26" x14ac:dyDescent="0.25">
      <c r="Z18804"/>
    </row>
    <row r="18805" spans="26:26" x14ac:dyDescent="0.25">
      <c r="Z18805"/>
    </row>
    <row r="18806" spans="26:26" x14ac:dyDescent="0.25">
      <c r="Z18806"/>
    </row>
    <row r="18807" spans="26:26" x14ac:dyDescent="0.25">
      <c r="Z18807"/>
    </row>
    <row r="18808" spans="26:26" x14ac:dyDescent="0.25">
      <c r="Z18808"/>
    </row>
    <row r="18809" spans="26:26" x14ac:dyDescent="0.25">
      <c r="Z18809"/>
    </row>
    <row r="18810" spans="26:26" x14ac:dyDescent="0.25">
      <c r="Z18810"/>
    </row>
    <row r="18811" spans="26:26" x14ac:dyDescent="0.25">
      <c r="Z18811"/>
    </row>
    <row r="18812" spans="26:26" x14ac:dyDescent="0.25">
      <c r="Z18812"/>
    </row>
    <row r="18813" spans="26:26" x14ac:dyDescent="0.25">
      <c r="Z18813"/>
    </row>
    <row r="18814" spans="26:26" x14ac:dyDescent="0.25">
      <c r="Z18814"/>
    </row>
    <row r="18815" spans="26:26" x14ac:dyDescent="0.25">
      <c r="Z18815"/>
    </row>
    <row r="18816" spans="26:26" x14ac:dyDescent="0.25">
      <c r="Z18816"/>
    </row>
    <row r="18817" spans="26:26" x14ac:dyDescent="0.25">
      <c r="Z18817"/>
    </row>
    <row r="18818" spans="26:26" x14ac:dyDescent="0.25">
      <c r="Z18818"/>
    </row>
    <row r="18819" spans="26:26" x14ac:dyDescent="0.25">
      <c r="Z18819"/>
    </row>
    <row r="18820" spans="26:26" x14ac:dyDescent="0.25">
      <c r="Z18820"/>
    </row>
    <row r="18821" spans="26:26" x14ac:dyDescent="0.25">
      <c r="Z18821"/>
    </row>
    <row r="18822" spans="26:26" x14ac:dyDescent="0.25">
      <c r="Z18822"/>
    </row>
    <row r="18823" spans="26:26" x14ac:dyDescent="0.25">
      <c r="Z18823"/>
    </row>
    <row r="18824" spans="26:26" x14ac:dyDescent="0.25">
      <c r="Z18824"/>
    </row>
    <row r="18825" spans="26:26" x14ac:dyDescent="0.25">
      <c r="Z18825"/>
    </row>
    <row r="18826" spans="26:26" x14ac:dyDescent="0.25">
      <c r="Z18826"/>
    </row>
    <row r="18827" spans="26:26" x14ac:dyDescent="0.25">
      <c r="Z18827"/>
    </row>
    <row r="18828" spans="26:26" x14ac:dyDescent="0.25">
      <c r="Z18828"/>
    </row>
    <row r="18829" spans="26:26" x14ac:dyDescent="0.25">
      <c r="Z18829"/>
    </row>
    <row r="18830" spans="26:26" x14ac:dyDescent="0.25">
      <c r="Z18830"/>
    </row>
    <row r="18831" spans="26:26" x14ac:dyDescent="0.25">
      <c r="Z18831"/>
    </row>
    <row r="18832" spans="26:26" x14ac:dyDescent="0.25">
      <c r="Z18832"/>
    </row>
    <row r="18833" spans="26:26" x14ac:dyDescent="0.25">
      <c r="Z18833"/>
    </row>
    <row r="18834" spans="26:26" x14ac:dyDescent="0.25">
      <c r="Z18834"/>
    </row>
    <row r="18835" spans="26:26" x14ac:dyDescent="0.25">
      <c r="Z18835"/>
    </row>
    <row r="18836" spans="26:26" x14ac:dyDescent="0.25">
      <c r="Z18836"/>
    </row>
    <row r="18837" spans="26:26" x14ac:dyDescent="0.25">
      <c r="Z18837"/>
    </row>
    <row r="18838" spans="26:26" x14ac:dyDescent="0.25">
      <c r="Z18838"/>
    </row>
    <row r="18839" spans="26:26" x14ac:dyDescent="0.25">
      <c r="Z18839"/>
    </row>
    <row r="18840" spans="26:26" x14ac:dyDescent="0.25">
      <c r="Z18840"/>
    </row>
    <row r="18841" spans="26:26" x14ac:dyDescent="0.25">
      <c r="Z18841"/>
    </row>
    <row r="18842" spans="26:26" x14ac:dyDescent="0.25">
      <c r="Z18842"/>
    </row>
    <row r="18843" spans="26:26" x14ac:dyDescent="0.25">
      <c r="Z18843"/>
    </row>
    <row r="18844" spans="26:26" x14ac:dyDescent="0.25">
      <c r="Z18844"/>
    </row>
    <row r="18845" spans="26:26" x14ac:dyDescent="0.25">
      <c r="Z18845"/>
    </row>
    <row r="18846" spans="26:26" x14ac:dyDescent="0.25">
      <c r="Z18846"/>
    </row>
    <row r="18847" spans="26:26" x14ac:dyDescent="0.25">
      <c r="Z18847"/>
    </row>
    <row r="18848" spans="26:26" x14ac:dyDescent="0.25">
      <c r="Z18848"/>
    </row>
    <row r="18849" spans="26:26" x14ac:dyDescent="0.25">
      <c r="Z18849"/>
    </row>
    <row r="18850" spans="26:26" x14ac:dyDescent="0.25">
      <c r="Z18850"/>
    </row>
    <row r="18851" spans="26:26" x14ac:dyDescent="0.25">
      <c r="Z18851"/>
    </row>
    <row r="18852" spans="26:26" x14ac:dyDescent="0.25">
      <c r="Z18852"/>
    </row>
    <row r="18853" spans="26:26" x14ac:dyDescent="0.25">
      <c r="Z18853"/>
    </row>
    <row r="18854" spans="26:26" x14ac:dyDescent="0.25">
      <c r="Z18854"/>
    </row>
    <row r="18855" spans="26:26" x14ac:dyDescent="0.25">
      <c r="Z18855"/>
    </row>
    <row r="18856" spans="26:26" x14ac:dyDescent="0.25">
      <c r="Z18856"/>
    </row>
    <row r="18857" spans="26:26" x14ac:dyDescent="0.25">
      <c r="Z18857"/>
    </row>
    <row r="18858" spans="26:26" x14ac:dyDescent="0.25">
      <c r="Z18858"/>
    </row>
    <row r="18859" spans="26:26" x14ac:dyDescent="0.25">
      <c r="Z18859"/>
    </row>
    <row r="18860" spans="26:26" x14ac:dyDescent="0.25">
      <c r="Z18860"/>
    </row>
    <row r="18861" spans="26:26" x14ac:dyDescent="0.25">
      <c r="Z18861"/>
    </row>
    <row r="18862" spans="26:26" x14ac:dyDescent="0.25">
      <c r="Z18862"/>
    </row>
    <row r="18863" spans="26:26" x14ac:dyDescent="0.25">
      <c r="Z18863"/>
    </row>
    <row r="18864" spans="26:26" x14ac:dyDescent="0.25">
      <c r="Z18864"/>
    </row>
    <row r="18865" spans="26:26" x14ac:dyDescent="0.25">
      <c r="Z18865"/>
    </row>
    <row r="18866" spans="26:26" x14ac:dyDescent="0.25">
      <c r="Z18866"/>
    </row>
    <row r="18867" spans="26:26" x14ac:dyDescent="0.25">
      <c r="Z18867"/>
    </row>
    <row r="18868" spans="26:26" x14ac:dyDescent="0.25">
      <c r="Z18868"/>
    </row>
    <row r="18869" spans="26:26" x14ac:dyDescent="0.25">
      <c r="Z18869"/>
    </row>
    <row r="18870" spans="26:26" x14ac:dyDescent="0.25">
      <c r="Z18870"/>
    </row>
    <row r="18871" spans="26:26" x14ac:dyDescent="0.25">
      <c r="Z18871"/>
    </row>
    <row r="18872" spans="26:26" x14ac:dyDescent="0.25">
      <c r="Z18872"/>
    </row>
    <row r="18873" spans="26:26" x14ac:dyDescent="0.25">
      <c r="Z18873"/>
    </row>
    <row r="18874" spans="26:26" x14ac:dyDescent="0.25">
      <c r="Z18874"/>
    </row>
    <row r="18875" spans="26:26" x14ac:dyDescent="0.25">
      <c r="Z18875"/>
    </row>
    <row r="18876" spans="26:26" x14ac:dyDescent="0.25">
      <c r="Z18876"/>
    </row>
    <row r="18877" spans="26:26" x14ac:dyDescent="0.25">
      <c r="Z18877"/>
    </row>
    <row r="18878" spans="26:26" x14ac:dyDescent="0.25">
      <c r="Z18878"/>
    </row>
    <row r="18879" spans="26:26" x14ac:dyDescent="0.25">
      <c r="Z18879"/>
    </row>
    <row r="18880" spans="26:26" x14ac:dyDescent="0.25">
      <c r="Z18880"/>
    </row>
    <row r="18881" spans="26:26" x14ac:dyDescent="0.25">
      <c r="Z18881"/>
    </row>
    <row r="18882" spans="26:26" x14ac:dyDescent="0.25">
      <c r="Z18882"/>
    </row>
    <row r="18883" spans="26:26" x14ac:dyDescent="0.25">
      <c r="Z18883"/>
    </row>
    <row r="18884" spans="26:26" x14ac:dyDescent="0.25">
      <c r="Z18884"/>
    </row>
    <row r="18885" spans="26:26" x14ac:dyDescent="0.25">
      <c r="Z18885"/>
    </row>
    <row r="18886" spans="26:26" x14ac:dyDescent="0.25">
      <c r="Z18886"/>
    </row>
    <row r="18887" spans="26:26" x14ac:dyDescent="0.25">
      <c r="Z18887"/>
    </row>
    <row r="18888" spans="26:26" x14ac:dyDescent="0.25">
      <c r="Z18888"/>
    </row>
    <row r="18889" spans="26:26" x14ac:dyDescent="0.25">
      <c r="Z18889"/>
    </row>
    <row r="18890" spans="26:26" x14ac:dyDescent="0.25">
      <c r="Z18890"/>
    </row>
    <row r="18891" spans="26:26" x14ac:dyDescent="0.25">
      <c r="Z18891"/>
    </row>
    <row r="18892" spans="26:26" x14ac:dyDescent="0.25">
      <c r="Z18892"/>
    </row>
    <row r="18893" spans="26:26" x14ac:dyDescent="0.25">
      <c r="Z18893"/>
    </row>
    <row r="18894" spans="26:26" x14ac:dyDescent="0.25">
      <c r="Z18894"/>
    </row>
    <row r="18895" spans="26:26" x14ac:dyDescent="0.25">
      <c r="Z18895"/>
    </row>
    <row r="18896" spans="26:26" x14ac:dyDescent="0.25">
      <c r="Z18896"/>
    </row>
    <row r="18897" spans="26:26" x14ac:dyDescent="0.25">
      <c r="Z18897"/>
    </row>
    <row r="18898" spans="26:26" x14ac:dyDescent="0.25">
      <c r="Z18898"/>
    </row>
    <row r="18899" spans="26:26" x14ac:dyDescent="0.25">
      <c r="Z18899"/>
    </row>
    <row r="18900" spans="26:26" x14ac:dyDescent="0.25">
      <c r="Z18900"/>
    </row>
    <row r="18901" spans="26:26" x14ac:dyDescent="0.25">
      <c r="Z18901"/>
    </row>
    <row r="18902" spans="26:26" x14ac:dyDescent="0.25">
      <c r="Z18902"/>
    </row>
    <row r="18903" spans="26:26" x14ac:dyDescent="0.25">
      <c r="Z18903"/>
    </row>
    <row r="18904" spans="26:26" x14ac:dyDescent="0.25">
      <c r="Z18904"/>
    </row>
    <row r="18905" spans="26:26" x14ac:dyDescent="0.25">
      <c r="Z18905"/>
    </row>
    <row r="18906" spans="26:26" x14ac:dyDescent="0.25">
      <c r="Z18906"/>
    </row>
    <row r="18907" spans="26:26" x14ac:dyDescent="0.25">
      <c r="Z18907"/>
    </row>
    <row r="18908" spans="26:26" x14ac:dyDescent="0.25">
      <c r="Z18908"/>
    </row>
    <row r="18909" spans="26:26" x14ac:dyDescent="0.25">
      <c r="Z18909"/>
    </row>
    <row r="18910" spans="26:26" x14ac:dyDescent="0.25">
      <c r="Z18910"/>
    </row>
    <row r="18911" spans="26:26" x14ac:dyDescent="0.25">
      <c r="Z18911"/>
    </row>
    <row r="18912" spans="26:26" x14ac:dyDescent="0.25">
      <c r="Z18912"/>
    </row>
    <row r="18913" spans="26:26" x14ac:dyDescent="0.25">
      <c r="Z18913"/>
    </row>
    <row r="18914" spans="26:26" x14ac:dyDescent="0.25">
      <c r="Z18914"/>
    </row>
    <row r="18915" spans="26:26" x14ac:dyDescent="0.25">
      <c r="Z18915"/>
    </row>
    <row r="18916" spans="26:26" x14ac:dyDescent="0.25">
      <c r="Z18916"/>
    </row>
    <row r="18917" spans="26:26" x14ac:dyDescent="0.25">
      <c r="Z18917"/>
    </row>
    <row r="18918" spans="26:26" x14ac:dyDescent="0.25">
      <c r="Z18918"/>
    </row>
    <row r="18919" spans="26:26" x14ac:dyDescent="0.25">
      <c r="Z18919"/>
    </row>
    <row r="18920" spans="26:26" x14ac:dyDescent="0.25">
      <c r="Z18920"/>
    </row>
    <row r="18921" spans="26:26" x14ac:dyDescent="0.25">
      <c r="Z18921"/>
    </row>
    <row r="18922" spans="26:26" x14ac:dyDescent="0.25">
      <c r="Z18922"/>
    </row>
    <row r="18923" spans="26:26" x14ac:dyDescent="0.25">
      <c r="Z18923"/>
    </row>
    <row r="18924" spans="26:26" x14ac:dyDescent="0.25">
      <c r="Z18924"/>
    </row>
    <row r="18925" spans="26:26" x14ac:dyDescent="0.25">
      <c r="Z18925"/>
    </row>
    <row r="18926" spans="26:26" x14ac:dyDescent="0.25">
      <c r="Z18926"/>
    </row>
    <row r="18927" spans="26:26" x14ac:dyDescent="0.25">
      <c r="Z18927"/>
    </row>
    <row r="18928" spans="26:26" x14ac:dyDescent="0.25">
      <c r="Z18928"/>
    </row>
    <row r="18929" spans="26:26" x14ac:dyDescent="0.25">
      <c r="Z18929"/>
    </row>
    <row r="18930" spans="26:26" x14ac:dyDescent="0.25">
      <c r="Z18930"/>
    </row>
    <row r="18931" spans="26:26" x14ac:dyDescent="0.25">
      <c r="Z18931"/>
    </row>
    <row r="18932" spans="26:26" x14ac:dyDescent="0.25">
      <c r="Z18932"/>
    </row>
    <row r="18933" spans="26:26" x14ac:dyDescent="0.25">
      <c r="Z18933"/>
    </row>
    <row r="18934" spans="26:26" x14ac:dyDescent="0.25">
      <c r="Z18934"/>
    </row>
    <row r="18935" spans="26:26" x14ac:dyDescent="0.25">
      <c r="Z18935"/>
    </row>
    <row r="18936" spans="26:26" x14ac:dyDescent="0.25">
      <c r="Z18936"/>
    </row>
    <row r="18937" spans="26:26" x14ac:dyDescent="0.25">
      <c r="Z18937"/>
    </row>
    <row r="18938" spans="26:26" x14ac:dyDescent="0.25">
      <c r="Z18938"/>
    </row>
    <row r="18939" spans="26:26" x14ac:dyDescent="0.25">
      <c r="Z18939"/>
    </row>
    <row r="18940" spans="26:26" x14ac:dyDescent="0.25">
      <c r="Z18940"/>
    </row>
    <row r="18941" spans="26:26" x14ac:dyDescent="0.25">
      <c r="Z18941"/>
    </row>
    <row r="18942" spans="26:26" x14ac:dyDescent="0.25">
      <c r="Z18942"/>
    </row>
    <row r="18943" spans="26:26" x14ac:dyDescent="0.25">
      <c r="Z18943"/>
    </row>
    <row r="18944" spans="26:26" x14ac:dyDescent="0.25">
      <c r="Z18944"/>
    </row>
    <row r="18945" spans="26:26" x14ac:dyDescent="0.25">
      <c r="Z18945"/>
    </row>
    <row r="18946" spans="26:26" x14ac:dyDescent="0.25">
      <c r="Z18946"/>
    </row>
    <row r="18947" spans="26:26" x14ac:dyDescent="0.25">
      <c r="Z18947"/>
    </row>
    <row r="18948" spans="26:26" x14ac:dyDescent="0.25">
      <c r="Z18948"/>
    </row>
    <row r="18949" spans="26:26" x14ac:dyDescent="0.25">
      <c r="Z18949"/>
    </row>
    <row r="18950" spans="26:26" x14ac:dyDescent="0.25">
      <c r="Z18950"/>
    </row>
    <row r="18951" spans="26:26" x14ac:dyDescent="0.25">
      <c r="Z18951"/>
    </row>
    <row r="18952" spans="26:26" x14ac:dyDescent="0.25">
      <c r="Z18952"/>
    </row>
    <row r="18953" spans="26:26" x14ac:dyDescent="0.25">
      <c r="Z18953"/>
    </row>
    <row r="18954" spans="26:26" x14ac:dyDescent="0.25">
      <c r="Z18954"/>
    </row>
    <row r="18955" spans="26:26" x14ac:dyDescent="0.25">
      <c r="Z18955"/>
    </row>
    <row r="18956" spans="26:26" x14ac:dyDescent="0.25">
      <c r="Z18956"/>
    </row>
    <row r="18957" spans="26:26" x14ac:dyDescent="0.25">
      <c r="Z18957"/>
    </row>
    <row r="18958" spans="26:26" x14ac:dyDescent="0.25">
      <c r="Z18958"/>
    </row>
    <row r="18959" spans="26:26" x14ac:dyDescent="0.25">
      <c r="Z18959"/>
    </row>
    <row r="18960" spans="26:26" x14ac:dyDescent="0.25">
      <c r="Z18960"/>
    </row>
    <row r="18961" spans="26:26" x14ac:dyDescent="0.25">
      <c r="Z18961"/>
    </row>
    <row r="18962" spans="26:26" x14ac:dyDescent="0.25">
      <c r="Z18962"/>
    </row>
    <row r="18963" spans="26:26" x14ac:dyDescent="0.25">
      <c r="Z18963"/>
    </row>
    <row r="18964" spans="26:26" x14ac:dyDescent="0.25">
      <c r="Z18964"/>
    </row>
    <row r="18965" spans="26:26" x14ac:dyDescent="0.25">
      <c r="Z18965"/>
    </row>
    <row r="18966" spans="26:26" x14ac:dyDescent="0.25">
      <c r="Z18966"/>
    </row>
    <row r="18967" spans="26:26" x14ac:dyDescent="0.25">
      <c r="Z18967"/>
    </row>
    <row r="18968" spans="26:26" x14ac:dyDescent="0.25">
      <c r="Z18968"/>
    </row>
    <row r="18969" spans="26:26" x14ac:dyDescent="0.25">
      <c r="Z18969"/>
    </row>
    <row r="18970" spans="26:26" x14ac:dyDescent="0.25">
      <c r="Z18970"/>
    </row>
    <row r="18971" spans="26:26" x14ac:dyDescent="0.25">
      <c r="Z18971"/>
    </row>
    <row r="18972" spans="26:26" x14ac:dyDescent="0.25">
      <c r="Z18972"/>
    </row>
    <row r="18973" spans="26:26" x14ac:dyDescent="0.25">
      <c r="Z18973"/>
    </row>
    <row r="18974" spans="26:26" x14ac:dyDescent="0.25">
      <c r="Z18974"/>
    </row>
    <row r="18975" spans="26:26" x14ac:dyDescent="0.25">
      <c r="Z18975"/>
    </row>
    <row r="18976" spans="26:26" x14ac:dyDescent="0.25">
      <c r="Z18976"/>
    </row>
    <row r="18977" spans="26:26" x14ac:dyDescent="0.25">
      <c r="Z18977"/>
    </row>
    <row r="18978" spans="26:26" x14ac:dyDescent="0.25">
      <c r="Z18978"/>
    </row>
    <row r="18979" spans="26:26" x14ac:dyDescent="0.25">
      <c r="Z18979"/>
    </row>
    <row r="18980" spans="26:26" x14ac:dyDescent="0.25">
      <c r="Z18980"/>
    </row>
    <row r="18981" spans="26:26" x14ac:dyDescent="0.25">
      <c r="Z18981"/>
    </row>
    <row r="18982" spans="26:26" x14ac:dyDescent="0.25">
      <c r="Z18982"/>
    </row>
    <row r="18983" spans="26:26" x14ac:dyDescent="0.25">
      <c r="Z18983"/>
    </row>
    <row r="18984" spans="26:26" x14ac:dyDescent="0.25">
      <c r="Z18984"/>
    </row>
    <row r="18985" spans="26:26" x14ac:dyDescent="0.25">
      <c r="Z18985"/>
    </row>
    <row r="18986" spans="26:26" x14ac:dyDescent="0.25">
      <c r="Z18986"/>
    </row>
    <row r="18987" spans="26:26" x14ac:dyDescent="0.25">
      <c r="Z18987"/>
    </row>
    <row r="18988" spans="26:26" x14ac:dyDescent="0.25">
      <c r="Z18988"/>
    </row>
    <row r="18989" spans="26:26" x14ac:dyDescent="0.25">
      <c r="Z18989"/>
    </row>
    <row r="18990" spans="26:26" x14ac:dyDescent="0.25">
      <c r="Z18990"/>
    </row>
    <row r="18991" spans="26:26" x14ac:dyDescent="0.25">
      <c r="Z18991"/>
    </row>
    <row r="18992" spans="26:26" x14ac:dyDescent="0.25">
      <c r="Z18992"/>
    </row>
    <row r="18993" spans="26:26" x14ac:dyDescent="0.25">
      <c r="Z18993"/>
    </row>
    <row r="18994" spans="26:26" x14ac:dyDescent="0.25">
      <c r="Z18994"/>
    </row>
    <row r="18995" spans="26:26" x14ac:dyDescent="0.25">
      <c r="Z18995"/>
    </row>
    <row r="18996" spans="26:26" x14ac:dyDescent="0.25">
      <c r="Z18996"/>
    </row>
    <row r="18997" spans="26:26" x14ac:dyDescent="0.25">
      <c r="Z18997"/>
    </row>
    <row r="18998" spans="26:26" x14ac:dyDescent="0.25">
      <c r="Z18998"/>
    </row>
    <row r="18999" spans="26:26" x14ac:dyDescent="0.25">
      <c r="Z18999"/>
    </row>
    <row r="19000" spans="26:26" x14ac:dyDescent="0.25">
      <c r="Z19000"/>
    </row>
    <row r="19001" spans="26:26" x14ac:dyDescent="0.25">
      <c r="Z19001"/>
    </row>
    <row r="19002" spans="26:26" x14ac:dyDescent="0.25">
      <c r="Z19002"/>
    </row>
    <row r="19003" spans="26:26" x14ac:dyDescent="0.25">
      <c r="Z19003"/>
    </row>
    <row r="19004" spans="26:26" x14ac:dyDescent="0.25">
      <c r="Z19004"/>
    </row>
    <row r="19005" spans="26:26" x14ac:dyDescent="0.25">
      <c r="Z19005"/>
    </row>
    <row r="19006" spans="26:26" x14ac:dyDescent="0.25">
      <c r="Z19006"/>
    </row>
    <row r="19007" spans="26:26" x14ac:dyDescent="0.25">
      <c r="Z19007"/>
    </row>
    <row r="19008" spans="26:26" x14ac:dyDescent="0.25">
      <c r="Z19008"/>
    </row>
    <row r="19009" spans="26:26" x14ac:dyDescent="0.25">
      <c r="Z19009"/>
    </row>
    <row r="19010" spans="26:26" x14ac:dyDescent="0.25">
      <c r="Z19010"/>
    </row>
    <row r="19011" spans="26:26" x14ac:dyDescent="0.25">
      <c r="Z19011"/>
    </row>
    <row r="19012" spans="26:26" x14ac:dyDescent="0.25">
      <c r="Z19012"/>
    </row>
    <row r="19013" spans="26:26" x14ac:dyDescent="0.25">
      <c r="Z19013"/>
    </row>
    <row r="19014" spans="26:26" x14ac:dyDescent="0.25">
      <c r="Z19014"/>
    </row>
    <row r="19015" spans="26:26" x14ac:dyDescent="0.25">
      <c r="Z19015"/>
    </row>
    <row r="19016" spans="26:26" x14ac:dyDescent="0.25">
      <c r="Z19016"/>
    </row>
    <row r="19017" spans="26:26" x14ac:dyDescent="0.25">
      <c r="Z19017"/>
    </row>
    <row r="19018" spans="26:26" x14ac:dyDescent="0.25">
      <c r="Z19018"/>
    </row>
    <row r="19019" spans="26:26" x14ac:dyDescent="0.25">
      <c r="Z19019"/>
    </row>
    <row r="19020" spans="26:26" x14ac:dyDescent="0.25">
      <c r="Z19020"/>
    </row>
    <row r="19021" spans="26:26" x14ac:dyDescent="0.25">
      <c r="Z19021"/>
    </row>
    <row r="19022" spans="26:26" x14ac:dyDescent="0.25">
      <c r="Z19022"/>
    </row>
    <row r="19023" spans="26:26" x14ac:dyDescent="0.25">
      <c r="Z19023"/>
    </row>
    <row r="19024" spans="26:26" x14ac:dyDescent="0.25">
      <c r="Z19024"/>
    </row>
    <row r="19025" spans="26:26" x14ac:dyDescent="0.25">
      <c r="Z19025"/>
    </row>
    <row r="19026" spans="26:26" x14ac:dyDescent="0.25">
      <c r="Z19026"/>
    </row>
    <row r="19027" spans="26:26" x14ac:dyDescent="0.25">
      <c r="Z19027"/>
    </row>
    <row r="19028" spans="26:26" x14ac:dyDescent="0.25">
      <c r="Z19028"/>
    </row>
    <row r="19029" spans="26:26" x14ac:dyDescent="0.25">
      <c r="Z19029"/>
    </row>
    <row r="19030" spans="26:26" x14ac:dyDescent="0.25">
      <c r="Z19030"/>
    </row>
    <row r="19031" spans="26:26" x14ac:dyDescent="0.25">
      <c r="Z19031"/>
    </row>
    <row r="19032" spans="26:26" x14ac:dyDescent="0.25">
      <c r="Z19032"/>
    </row>
    <row r="19033" spans="26:26" x14ac:dyDescent="0.25">
      <c r="Z19033"/>
    </row>
    <row r="19034" spans="26:26" x14ac:dyDescent="0.25">
      <c r="Z19034"/>
    </row>
    <row r="19035" spans="26:26" x14ac:dyDescent="0.25">
      <c r="Z19035"/>
    </row>
    <row r="19036" spans="26:26" x14ac:dyDescent="0.25">
      <c r="Z19036"/>
    </row>
    <row r="19037" spans="26:26" x14ac:dyDescent="0.25">
      <c r="Z19037"/>
    </row>
    <row r="19038" spans="26:26" x14ac:dyDescent="0.25">
      <c r="Z19038"/>
    </row>
    <row r="19039" spans="26:26" x14ac:dyDescent="0.25">
      <c r="Z19039"/>
    </row>
    <row r="19040" spans="26:26" x14ac:dyDescent="0.25">
      <c r="Z19040"/>
    </row>
    <row r="19041" spans="26:26" x14ac:dyDescent="0.25">
      <c r="Z19041"/>
    </row>
    <row r="19042" spans="26:26" x14ac:dyDescent="0.25">
      <c r="Z19042"/>
    </row>
    <row r="19043" spans="26:26" x14ac:dyDescent="0.25">
      <c r="Z19043"/>
    </row>
    <row r="19044" spans="26:26" x14ac:dyDescent="0.25">
      <c r="Z19044"/>
    </row>
    <row r="19045" spans="26:26" x14ac:dyDescent="0.25">
      <c r="Z19045"/>
    </row>
    <row r="19046" spans="26:26" x14ac:dyDescent="0.25">
      <c r="Z19046"/>
    </row>
    <row r="19047" spans="26:26" x14ac:dyDescent="0.25">
      <c r="Z19047"/>
    </row>
    <row r="19048" spans="26:26" x14ac:dyDescent="0.25">
      <c r="Z19048"/>
    </row>
    <row r="19049" spans="26:26" x14ac:dyDescent="0.25">
      <c r="Z19049"/>
    </row>
    <row r="19050" spans="26:26" x14ac:dyDescent="0.25">
      <c r="Z19050"/>
    </row>
    <row r="19051" spans="26:26" x14ac:dyDescent="0.25">
      <c r="Z19051"/>
    </row>
    <row r="19052" spans="26:26" x14ac:dyDescent="0.25">
      <c r="Z19052"/>
    </row>
    <row r="19053" spans="26:26" x14ac:dyDescent="0.25">
      <c r="Z19053"/>
    </row>
    <row r="19054" spans="26:26" x14ac:dyDescent="0.25">
      <c r="Z19054"/>
    </row>
    <row r="19055" spans="26:26" x14ac:dyDescent="0.25">
      <c r="Z19055"/>
    </row>
    <row r="19056" spans="26:26" x14ac:dyDescent="0.25">
      <c r="Z19056"/>
    </row>
    <row r="19057" spans="26:26" x14ac:dyDescent="0.25">
      <c r="Z19057"/>
    </row>
    <row r="19058" spans="26:26" x14ac:dyDescent="0.25">
      <c r="Z19058"/>
    </row>
    <row r="19059" spans="26:26" x14ac:dyDescent="0.25">
      <c r="Z19059"/>
    </row>
    <row r="19060" spans="26:26" x14ac:dyDescent="0.25">
      <c r="Z19060"/>
    </row>
    <row r="19061" spans="26:26" x14ac:dyDescent="0.25">
      <c r="Z19061"/>
    </row>
    <row r="19062" spans="26:26" x14ac:dyDescent="0.25">
      <c r="Z19062"/>
    </row>
    <row r="19063" spans="26:26" x14ac:dyDescent="0.25">
      <c r="Z19063"/>
    </row>
    <row r="19064" spans="26:26" x14ac:dyDescent="0.25">
      <c r="Z19064"/>
    </row>
    <row r="19065" spans="26:26" x14ac:dyDescent="0.25">
      <c r="Z19065"/>
    </row>
    <row r="19066" spans="26:26" x14ac:dyDescent="0.25">
      <c r="Z19066"/>
    </row>
    <row r="19067" spans="26:26" x14ac:dyDescent="0.25">
      <c r="Z19067"/>
    </row>
    <row r="19068" spans="26:26" x14ac:dyDescent="0.25">
      <c r="Z19068"/>
    </row>
    <row r="19069" spans="26:26" x14ac:dyDescent="0.25">
      <c r="Z19069"/>
    </row>
    <row r="19070" spans="26:26" x14ac:dyDescent="0.25">
      <c r="Z19070"/>
    </row>
    <row r="19071" spans="26:26" x14ac:dyDescent="0.25">
      <c r="Z19071"/>
    </row>
    <row r="19072" spans="26:26" x14ac:dyDescent="0.25">
      <c r="Z19072"/>
    </row>
    <row r="19073" spans="26:26" x14ac:dyDescent="0.25">
      <c r="Z19073"/>
    </row>
    <row r="19074" spans="26:26" x14ac:dyDescent="0.25">
      <c r="Z19074"/>
    </row>
    <row r="19075" spans="26:26" x14ac:dyDescent="0.25">
      <c r="Z19075"/>
    </row>
    <row r="19076" spans="26:26" x14ac:dyDescent="0.25">
      <c r="Z19076"/>
    </row>
    <row r="19077" spans="26:26" x14ac:dyDescent="0.25">
      <c r="Z19077"/>
    </row>
    <row r="19078" spans="26:26" x14ac:dyDescent="0.25">
      <c r="Z19078"/>
    </row>
    <row r="19079" spans="26:26" x14ac:dyDescent="0.25">
      <c r="Z19079"/>
    </row>
    <row r="19080" spans="26:26" x14ac:dyDescent="0.25">
      <c r="Z19080"/>
    </row>
    <row r="19081" spans="26:26" x14ac:dyDescent="0.25">
      <c r="Z19081"/>
    </row>
    <row r="19082" spans="26:26" x14ac:dyDescent="0.25">
      <c r="Z19082"/>
    </row>
    <row r="19083" spans="26:26" x14ac:dyDescent="0.25">
      <c r="Z19083"/>
    </row>
    <row r="19084" spans="26:26" x14ac:dyDescent="0.25">
      <c r="Z19084"/>
    </row>
    <row r="19085" spans="26:26" x14ac:dyDescent="0.25">
      <c r="Z19085"/>
    </row>
    <row r="19086" spans="26:26" x14ac:dyDescent="0.25">
      <c r="Z19086"/>
    </row>
    <row r="19087" spans="26:26" x14ac:dyDescent="0.25">
      <c r="Z19087"/>
    </row>
    <row r="19088" spans="26:26" x14ac:dyDescent="0.25">
      <c r="Z19088"/>
    </row>
    <row r="19089" spans="26:26" x14ac:dyDescent="0.25">
      <c r="Z19089"/>
    </row>
    <row r="19090" spans="26:26" x14ac:dyDescent="0.25">
      <c r="Z19090"/>
    </row>
    <row r="19091" spans="26:26" x14ac:dyDescent="0.25">
      <c r="Z19091"/>
    </row>
    <row r="19092" spans="26:26" x14ac:dyDescent="0.25">
      <c r="Z19092"/>
    </row>
    <row r="19093" spans="26:26" x14ac:dyDescent="0.25">
      <c r="Z19093"/>
    </row>
    <row r="19094" spans="26:26" x14ac:dyDescent="0.25">
      <c r="Z19094"/>
    </row>
    <row r="19095" spans="26:26" x14ac:dyDescent="0.25">
      <c r="Z19095"/>
    </row>
    <row r="19096" spans="26:26" x14ac:dyDescent="0.25">
      <c r="Z19096"/>
    </row>
    <row r="19097" spans="26:26" x14ac:dyDescent="0.25">
      <c r="Z19097"/>
    </row>
    <row r="19098" spans="26:26" x14ac:dyDescent="0.25">
      <c r="Z19098"/>
    </row>
    <row r="19099" spans="26:26" x14ac:dyDescent="0.25">
      <c r="Z19099"/>
    </row>
    <row r="19100" spans="26:26" x14ac:dyDescent="0.25">
      <c r="Z19100"/>
    </row>
    <row r="19101" spans="26:26" x14ac:dyDescent="0.25">
      <c r="Z19101"/>
    </row>
    <row r="19102" spans="26:26" x14ac:dyDescent="0.25">
      <c r="Z19102"/>
    </row>
    <row r="19103" spans="26:26" x14ac:dyDescent="0.25">
      <c r="Z19103"/>
    </row>
    <row r="19104" spans="26:26" x14ac:dyDescent="0.25">
      <c r="Z19104"/>
    </row>
    <row r="19105" spans="26:26" x14ac:dyDescent="0.25">
      <c r="Z19105"/>
    </row>
    <row r="19106" spans="26:26" x14ac:dyDescent="0.25">
      <c r="Z19106"/>
    </row>
    <row r="19107" spans="26:26" x14ac:dyDescent="0.25">
      <c r="Z19107"/>
    </row>
    <row r="19108" spans="26:26" x14ac:dyDescent="0.25">
      <c r="Z19108"/>
    </row>
    <row r="19109" spans="26:26" x14ac:dyDescent="0.25">
      <c r="Z19109"/>
    </row>
    <row r="19110" spans="26:26" x14ac:dyDescent="0.25">
      <c r="Z19110"/>
    </row>
    <row r="19111" spans="26:26" x14ac:dyDescent="0.25">
      <c r="Z19111"/>
    </row>
    <row r="19112" spans="26:26" x14ac:dyDescent="0.25">
      <c r="Z19112"/>
    </row>
    <row r="19113" spans="26:26" x14ac:dyDescent="0.25">
      <c r="Z19113"/>
    </row>
    <row r="19114" spans="26:26" x14ac:dyDescent="0.25">
      <c r="Z19114"/>
    </row>
    <row r="19115" spans="26:26" x14ac:dyDescent="0.25">
      <c r="Z19115"/>
    </row>
    <row r="19116" spans="26:26" x14ac:dyDescent="0.25">
      <c r="Z19116"/>
    </row>
    <row r="19117" spans="26:26" x14ac:dyDescent="0.25">
      <c r="Z19117"/>
    </row>
    <row r="19118" spans="26:26" x14ac:dyDescent="0.25">
      <c r="Z19118"/>
    </row>
    <row r="19119" spans="26:26" x14ac:dyDescent="0.25">
      <c r="Z19119"/>
    </row>
    <row r="19120" spans="26:26" x14ac:dyDescent="0.25">
      <c r="Z19120"/>
    </row>
    <row r="19121" spans="26:26" x14ac:dyDescent="0.25">
      <c r="Z19121"/>
    </row>
    <row r="19122" spans="26:26" x14ac:dyDescent="0.25">
      <c r="Z19122"/>
    </row>
    <row r="19123" spans="26:26" x14ac:dyDescent="0.25">
      <c r="Z19123"/>
    </row>
    <row r="19124" spans="26:26" x14ac:dyDescent="0.25">
      <c r="Z19124"/>
    </row>
    <row r="19125" spans="26:26" x14ac:dyDescent="0.25">
      <c r="Z19125"/>
    </row>
    <row r="19126" spans="26:26" x14ac:dyDescent="0.25">
      <c r="Z19126"/>
    </row>
    <row r="19127" spans="26:26" x14ac:dyDescent="0.25">
      <c r="Z19127"/>
    </row>
    <row r="19128" spans="26:26" x14ac:dyDescent="0.25">
      <c r="Z19128"/>
    </row>
    <row r="19129" spans="26:26" x14ac:dyDescent="0.25">
      <c r="Z19129"/>
    </row>
    <row r="19130" spans="26:26" x14ac:dyDescent="0.25">
      <c r="Z19130"/>
    </row>
    <row r="19131" spans="26:26" x14ac:dyDescent="0.25">
      <c r="Z19131"/>
    </row>
    <row r="19132" spans="26:26" x14ac:dyDescent="0.25">
      <c r="Z19132"/>
    </row>
    <row r="19133" spans="26:26" x14ac:dyDescent="0.25">
      <c r="Z19133"/>
    </row>
    <row r="19134" spans="26:26" x14ac:dyDescent="0.25">
      <c r="Z19134"/>
    </row>
    <row r="19135" spans="26:26" x14ac:dyDescent="0.25">
      <c r="Z19135"/>
    </row>
    <row r="19136" spans="26:26" x14ac:dyDescent="0.25">
      <c r="Z19136"/>
    </row>
    <row r="19137" spans="26:26" x14ac:dyDescent="0.25">
      <c r="Z19137"/>
    </row>
    <row r="19138" spans="26:26" x14ac:dyDescent="0.25">
      <c r="Z19138"/>
    </row>
    <row r="19139" spans="26:26" x14ac:dyDescent="0.25">
      <c r="Z19139"/>
    </row>
    <row r="19140" spans="26:26" x14ac:dyDescent="0.25">
      <c r="Z19140"/>
    </row>
    <row r="19141" spans="26:26" x14ac:dyDescent="0.25">
      <c r="Z19141"/>
    </row>
    <row r="19142" spans="26:26" x14ac:dyDescent="0.25">
      <c r="Z19142"/>
    </row>
    <row r="19143" spans="26:26" x14ac:dyDescent="0.25">
      <c r="Z19143"/>
    </row>
    <row r="19144" spans="26:26" x14ac:dyDescent="0.25">
      <c r="Z19144"/>
    </row>
    <row r="19145" spans="26:26" x14ac:dyDescent="0.25">
      <c r="Z19145"/>
    </row>
    <row r="19146" spans="26:26" x14ac:dyDescent="0.25">
      <c r="Z19146"/>
    </row>
    <row r="19147" spans="26:26" x14ac:dyDescent="0.25">
      <c r="Z19147"/>
    </row>
    <row r="19148" spans="26:26" x14ac:dyDescent="0.25">
      <c r="Z19148"/>
    </row>
    <row r="19149" spans="26:26" x14ac:dyDescent="0.25">
      <c r="Z19149"/>
    </row>
    <row r="19150" spans="26:26" x14ac:dyDescent="0.25">
      <c r="Z19150"/>
    </row>
    <row r="19151" spans="26:26" x14ac:dyDescent="0.25">
      <c r="Z19151"/>
    </row>
    <row r="19152" spans="26:26" x14ac:dyDescent="0.25">
      <c r="Z19152"/>
    </row>
    <row r="19153" spans="26:26" x14ac:dyDescent="0.25">
      <c r="Z19153"/>
    </row>
    <row r="19154" spans="26:26" x14ac:dyDescent="0.25">
      <c r="Z19154"/>
    </row>
    <row r="19155" spans="26:26" x14ac:dyDescent="0.25">
      <c r="Z19155"/>
    </row>
    <row r="19156" spans="26:26" x14ac:dyDescent="0.25">
      <c r="Z19156"/>
    </row>
    <row r="19157" spans="26:26" x14ac:dyDescent="0.25">
      <c r="Z19157"/>
    </row>
    <row r="19158" spans="26:26" x14ac:dyDescent="0.25">
      <c r="Z19158"/>
    </row>
    <row r="19159" spans="26:26" x14ac:dyDescent="0.25">
      <c r="Z19159"/>
    </row>
    <row r="19160" spans="26:26" x14ac:dyDescent="0.25">
      <c r="Z19160"/>
    </row>
    <row r="19161" spans="26:26" x14ac:dyDescent="0.25">
      <c r="Z19161"/>
    </row>
    <row r="19162" spans="26:26" x14ac:dyDescent="0.25">
      <c r="Z19162"/>
    </row>
    <row r="19163" spans="26:26" x14ac:dyDescent="0.25">
      <c r="Z19163"/>
    </row>
    <row r="19164" spans="26:26" x14ac:dyDescent="0.25">
      <c r="Z19164"/>
    </row>
    <row r="19165" spans="26:26" x14ac:dyDescent="0.25">
      <c r="Z19165"/>
    </row>
    <row r="19166" spans="26:26" x14ac:dyDescent="0.25">
      <c r="Z19166"/>
    </row>
    <row r="19167" spans="26:26" x14ac:dyDescent="0.25">
      <c r="Z19167"/>
    </row>
    <row r="19168" spans="26:26" x14ac:dyDescent="0.25">
      <c r="Z19168"/>
    </row>
    <row r="19169" spans="26:26" x14ac:dyDescent="0.25">
      <c r="Z19169"/>
    </row>
    <row r="19170" spans="26:26" x14ac:dyDescent="0.25">
      <c r="Z19170"/>
    </row>
    <row r="19171" spans="26:26" x14ac:dyDescent="0.25">
      <c r="Z19171"/>
    </row>
    <row r="19172" spans="26:26" x14ac:dyDescent="0.25">
      <c r="Z19172"/>
    </row>
    <row r="19173" spans="26:26" x14ac:dyDescent="0.25">
      <c r="Z19173"/>
    </row>
    <row r="19174" spans="26:26" x14ac:dyDescent="0.25">
      <c r="Z19174"/>
    </row>
    <row r="19175" spans="26:26" x14ac:dyDescent="0.25">
      <c r="Z19175"/>
    </row>
    <row r="19176" spans="26:26" x14ac:dyDescent="0.25">
      <c r="Z19176"/>
    </row>
    <row r="19177" spans="26:26" x14ac:dyDescent="0.25">
      <c r="Z19177"/>
    </row>
    <row r="19178" spans="26:26" x14ac:dyDescent="0.25">
      <c r="Z19178"/>
    </row>
    <row r="19179" spans="26:26" x14ac:dyDescent="0.25">
      <c r="Z19179"/>
    </row>
    <row r="19180" spans="26:26" x14ac:dyDescent="0.25">
      <c r="Z19180"/>
    </row>
    <row r="19181" spans="26:26" x14ac:dyDescent="0.25">
      <c r="Z19181"/>
    </row>
    <row r="19182" spans="26:26" x14ac:dyDescent="0.25">
      <c r="Z19182"/>
    </row>
    <row r="19183" spans="26:26" x14ac:dyDescent="0.25">
      <c r="Z19183"/>
    </row>
    <row r="19184" spans="26:26" x14ac:dyDescent="0.25">
      <c r="Z19184"/>
    </row>
    <row r="19185" spans="26:26" x14ac:dyDescent="0.25">
      <c r="Z19185"/>
    </row>
    <row r="19186" spans="26:26" x14ac:dyDescent="0.25">
      <c r="Z19186"/>
    </row>
    <row r="19187" spans="26:26" x14ac:dyDescent="0.25">
      <c r="Z19187"/>
    </row>
    <row r="19188" spans="26:26" x14ac:dyDescent="0.25">
      <c r="Z19188"/>
    </row>
    <row r="19189" spans="26:26" x14ac:dyDescent="0.25">
      <c r="Z19189"/>
    </row>
    <row r="19190" spans="26:26" x14ac:dyDescent="0.25">
      <c r="Z19190"/>
    </row>
    <row r="19191" spans="26:26" x14ac:dyDescent="0.25">
      <c r="Z19191"/>
    </row>
    <row r="19192" spans="26:26" x14ac:dyDescent="0.25">
      <c r="Z19192"/>
    </row>
    <row r="19193" spans="26:26" x14ac:dyDescent="0.25">
      <c r="Z19193"/>
    </row>
    <row r="19194" spans="26:26" x14ac:dyDescent="0.25">
      <c r="Z19194"/>
    </row>
    <row r="19195" spans="26:26" x14ac:dyDescent="0.25">
      <c r="Z19195"/>
    </row>
    <row r="19196" spans="26:26" x14ac:dyDescent="0.25">
      <c r="Z19196"/>
    </row>
    <row r="19197" spans="26:26" x14ac:dyDescent="0.25">
      <c r="Z19197"/>
    </row>
    <row r="19198" spans="26:26" x14ac:dyDescent="0.25">
      <c r="Z19198"/>
    </row>
    <row r="19199" spans="26:26" x14ac:dyDescent="0.25">
      <c r="Z19199"/>
    </row>
    <row r="19200" spans="26:26" x14ac:dyDescent="0.25">
      <c r="Z19200"/>
    </row>
    <row r="19201" spans="26:26" x14ac:dyDescent="0.25">
      <c r="Z19201"/>
    </row>
    <row r="19202" spans="26:26" x14ac:dyDescent="0.25">
      <c r="Z19202"/>
    </row>
    <row r="19203" spans="26:26" x14ac:dyDescent="0.25">
      <c r="Z19203"/>
    </row>
    <row r="19204" spans="26:26" x14ac:dyDescent="0.25">
      <c r="Z19204"/>
    </row>
    <row r="19205" spans="26:26" x14ac:dyDescent="0.25">
      <c r="Z19205"/>
    </row>
    <row r="19206" spans="26:26" x14ac:dyDescent="0.25">
      <c r="Z19206"/>
    </row>
    <row r="19207" spans="26:26" x14ac:dyDescent="0.25">
      <c r="Z19207"/>
    </row>
    <row r="19208" spans="26:26" x14ac:dyDescent="0.25">
      <c r="Z19208"/>
    </row>
    <row r="19209" spans="26:26" x14ac:dyDescent="0.25">
      <c r="Z19209"/>
    </row>
    <row r="19210" spans="26:26" x14ac:dyDescent="0.25">
      <c r="Z19210"/>
    </row>
    <row r="19211" spans="26:26" x14ac:dyDescent="0.25">
      <c r="Z19211"/>
    </row>
    <row r="19212" spans="26:26" x14ac:dyDescent="0.25">
      <c r="Z19212"/>
    </row>
    <row r="19213" spans="26:26" x14ac:dyDescent="0.25">
      <c r="Z19213"/>
    </row>
    <row r="19214" spans="26:26" x14ac:dyDescent="0.25">
      <c r="Z19214"/>
    </row>
    <row r="19215" spans="26:26" x14ac:dyDescent="0.25">
      <c r="Z19215"/>
    </row>
    <row r="19216" spans="26:26" x14ac:dyDescent="0.25">
      <c r="Z19216"/>
    </row>
    <row r="19217" spans="26:26" x14ac:dyDescent="0.25">
      <c r="Z19217"/>
    </row>
    <row r="19218" spans="26:26" x14ac:dyDescent="0.25">
      <c r="Z19218"/>
    </row>
    <row r="19219" spans="26:26" x14ac:dyDescent="0.25">
      <c r="Z19219"/>
    </row>
    <row r="19220" spans="26:26" x14ac:dyDescent="0.25">
      <c r="Z19220"/>
    </row>
    <row r="19221" spans="26:26" x14ac:dyDescent="0.25">
      <c r="Z19221"/>
    </row>
    <row r="19222" spans="26:26" x14ac:dyDescent="0.25">
      <c r="Z19222"/>
    </row>
    <row r="19223" spans="26:26" x14ac:dyDescent="0.25">
      <c r="Z19223"/>
    </row>
    <row r="19224" spans="26:26" x14ac:dyDescent="0.25">
      <c r="Z19224"/>
    </row>
    <row r="19225" spans="26:26" x14ac:dyDescent="0.25">
      <c r="Z19225"/>
    </row>
    <row r="19226" spans="26:26" x14ac:dyDescent="0.25">
      <c r="Z19226"/>
    </row>
    <row r="19227" spans="26:26" x14ac:dyDescent="0.25">
      <c r="Z19227"/>
    </row>
    <row r="19228" spans="26:26" x14ac:dyDescent="0.25">
      <c r="Z19228"/>
    </row>
    <row r="19229" spans="26:26" x14ac:dyDescent="0.25">
      <c r="Z19229"/>
    </row>
    <row r="19230" spans="26:26" x14ac:dyDescent="0.25">
      <c r="Z19230"/>
    </row>
    <row r="19231" spans="26:26" x14ac:dyDescent="0.25">
      <c r="Z19231"/>
    </row>
    <row r="19232" spans="26:26" x14ac:dyDescent="0.25">
      <c r="Z19232"/>
    </row>
    <row r="19233" spans="26:26" x14ac:dyDescent="0.25">
      <c r="Z19233"/>
    </row>
    <row r="19234" spans="26:26" x14ac:dyDescent="0.25">
      <c r="Z19234"/>
    </row>
    <row r="19235" spans="26:26" x14ac:dyDescent="0.25">
      <c r="Z19235"/>
    </row>
    <row r="19236" spans="26:26" x14ac:dyDescent="0.25">
      <c r="Z19236"/>
    </row>
    <row r="19237" spans="26:26" x14ac:dyDescent="0.25">
      <c r="Z19237"/>
    </row>
    <row r="19238" spans="26:26" x14ac:dyDescent="0.25">
      <c r="Z19238"/>
    </row>
    <row r="19239" spans="26:26" x14ac:dyDescent="0.25">
      <c r="Z19239"/>
    </row>
    <row r="19240" spans="26:26" x14ac:dyDescent="0.25">
      <c r="Z19240"/>
    </row>
    <row r="19241" spans="26:26" x14ac:dyDescent="0.25">
      <c r="Z19241"/>
    </row>
    <row r="19242" spans="26:26" x14ac:dyDescent="0.25">
      <c r="Z19242"/>
    </row>
    <row r="19243" spans="26:26" x14ac:dyDescent="0.25">
      <c r="Z19243"/>
    </row>
    <row r="19244" spans="26:26" x14ac:dyDescent="0.25">
      <c r="Z19244"/>
    </row>
    <row r="19245" spans="26:26" x14ac:dyDescent="0.25">
      <c r="Z19245"/>
    </row>
    <row r="19246" spans="26:26" x14ac:dyDescent="0.25">
      <c r="Z19246"/>
    </row>
    <row r="19247" spans="26:26" x14ac:dyDescent="0.25">
      <c r="Z19247"/>
    </row>
    <row r="19248" spans="26:26" x14ac:dyDescent="0.25">
      <c r="Z19248"/>
    </row>
    <row r="19249" spans="26:26" x14ac:dyDescent="0.25">
      <c r="Z19249"/>
    </row>
    <row r="19250" spans="26:26" x14ac:dyDescent="0.25">
      <c r="Z19250"/>
    </row>
    <row r="19251" spans="26:26" x14ac:dyDescent="0.25">
      <c r="Z19251"/>
    </row>
    <row r="19252" spans="26:26" x14ac:dyDescent="0.25">
      <c r="Z19252"/>
    </row>
    <row r="19253" spans="26:26" x14ac:dyDescent="0.25">
      <c r="Z19253"/>
    </row>
    <row r="19254" spans="26:26" x14ac:dyDescent="0.25">
      <c r="Z19254"/>
    </row>
    <row r="19255" spans="26:26" x14ac:dyDescent="0.25">
      <c r="Z19255"/>
    </row>
    <row r="19256" spans="26:26" x14ac:dyDescent="0.25">
      <c r="Z19256"/>
    </row>
    <row r="19257" spans="26:26" x14ac:dyDescent="0.25">
      <c r="Z19257"/>
    </row>
    <row r="19258" spans="26:26" x14ac:dyDescent="0.25">
      <c r="Z19258"/>
    </row>
    <row r="19259" spans="26:26" x14ac:dyDescent="0.25">
      <c r="Z19259"/>
    </row>
    <row r="19260" spans="26:26" x14ac:dyDescent="0.25">
      <c r="Z19260"/>
    </row>
    <row r="19261" spans="26:26" x14ac:dyDescent="0.25">
      <c r="Z19261"/>
    </row>
    <row r="19262" spans="26:26" x14ac:dyDescent="0.25">
      <c r="Z19262"/>
    </row>
    <row r="19263" spans="26:26" x14ac:dyDescent="0.25">
      <c r="Z19263"/>
    </row>
    <row r="19264" spans="26:26" x14ac:dyDescent="0.25">
      <c r="Z19264"/>
    </row>
    <row r="19265" spans="26:26" x14ac:dyDescent="0.25">
      <c r="Z19265"/>
    </row>
    <row r="19266" spans="26:26" x14ac:dyDescent="0.25">
      <c r="Z19266"/>
    </row>
    <row r="19267" spans="26:26" x14ac:dyDescent="0.25">
      <c r="Z19267"/>
    </row>
    <row r="19268" spans="26:26" x14ac:dyDescent="0.25">
      <c r="Z19268"/>
    </row>
    <row r="19269" spans="26:26" x14ac:dyDescent="0.25">
      <c r="Z19269"/>
    </row>
    <row r="19270" spans="26:26" x14ac:dyDescent="0.25">
      <c r="Z19270"/>
    </row>
    <row r="19271" spans="26:26" x14ac:dyDescent="0.25">
      <c r="Z19271"/>
    </row>
    <row r="19272" spans="26:26" x14ac:dyDescent="0.25">
      <c r="Z19272"/>
    </row>
    <row r="19273" spans="26:26" x14ac:dyDescent="0.25">
      <c r="Z19273"/>
    </row>
    <row r="19274" spans="26:26" x14ac:dyDescent="0.25">
      <c r="Z19274"/>
    </row>
    <row r="19275" spans="26:26" x14ac:dyDescent="0.25">
      <c r="Z19275"/>
    </row>
    <row r="19276" spans="26:26" x14ac:dyDescent="0.25">
      <c r="Z19276"/>
    </row>
    <row r="19277" spans="26:26" x14ac:dyDescent="0.25">
      <c r="Z19277"/>
    </row>
    <row r="19278" spans="26:26" x14ac:dyDescent="0.25">
      <c r="Z19278"/>
    </row>
    <row r="19279" spans="26:26" x14ac:dyDescent="0.25">
      <c r="Z19279"/>
    </row>
    <row r="19280" spans="26:26" x14ac:dyDescent="0.25">
      <c r="Z19280"/>
    </row>
    <row r="19281" spans="26:26" x14ac:dyDescent="0.25">
      <c r="Z19281"/>
    </row>
    <row r="19282" spans="26:26" x14ac:dyDescent="0.25">
      <c r="Z19282"/>
    </row>
    <row r="19283" spans="26:26" x14ac:dyDescent="0.25">
      <c r="Z19283"/>
    </row>
    <row r="19284" spans="26:26" x14ac:dyDescent="0.25">
      <c r="Z19284"/>
    </row>
    <row r="19285" spans="26:26" x14ac:dyDescent="0.25">
      <c r="Z19285"/>
    </row>
    <row r="19286" spans="26:26" x14ac:dyDescent="0.25">
      <c r="Z19286"/>
    </row>
    <row r="19287" spans="26:26" x14ac:dyDescent="0.25">
      <c r="Z19287"/>
    </row>
    <row r="19288" spans="26:26" x14ac:dyDescent="0.25">
      <c r="Z19288"/>
    </row>
    <row r="19289" spans="26:26" x14ac:dyDescent="0.25">
      <c r="Z19289"/>
    </row>
    <row r="19290" spans="26:26" x14ac:dyDescent="0.25">
      <c r="Z19290"/>
    </row>
    <row r="19291" spans="26:26" x14ac:dyDescent="0.25">
      <c r="Z19291"/>
    </row>
    <row r="19292" spans="26:26" x14ac:dyDescent="0.25">
      <c r="Z19292"/>
    </row>
    <row r="19293" spans="26:26" x14ac:dyDescent="0.25">
      <c r="Z19293"/>
    </row>
    <row r="19294" spans="26:26" x14ac:dyDescent="0.25">
      <c r="Z19294"/>
    </row>
    <row r="19295" spans="26:26" x14ac:dyDescent="0.25">
      <c r="Z19295"/>
    </row>
    <row r="19296" spans="26:26" x14ac:dyDescent="0.25">
      <c r="Z19296"/>
    </row>
    <row r="19297" spans="26:26" x14ac:dyDescent="0.25">
      <c r="Z19297"/>
    </row>
    <row r="19298" spans="26:26" x14ac:dyDescent="0.25">
      <c r="Z19298"/>
    </row>
    <row r="19299" spans="26:26" x14ac:dyDescent="0.25">
      <c r="Z19299"/>
    </row>
    <row r="19300" spans="26:26" x14ac:dyDescent="0.25">
      <c r="Z19300"/>
    </row>
    <row r="19301" spans="26:26" x14ac:dyDescent="0.25">
      <c r="Z19301"/>
    </row>
    <row r="19302" spans="26:26" x14ac:dyDescent="0.25">
      <c r="Z19302"/>
    </row>
    <row r="19303" spans="26:26" x14ac:dyDescent="0.25">
      <c r="Z19303"/>
    </row>
    <row r="19304" spans="26:26" x14ac:dyDescent="0.25">
      <c r="Z19304"/>
    </row>
    <row r="19305" spans="26:26" x14ac:dyDescent="0.25">
      <c r="Z19305"/>
    </row>
    <row r="19306" spans="26:26" x14ac:dyDescent="0.25">
      <c r="Z19306"/>
    </row>
    <row r="19307" spans="26:26" x14ac:dyDescent="0.25">
      <c r="Z19307"/>
    </row>
    <row r="19308" spans="26:26" x14ac:dyDescent="0.25">
      <c r="Z19308"/>
    </row>
    <row r="19309" spans="26:26" x14ac:dyDescent="0.25">
      <c r="Z19309"/>
    </row>
    <row r="19310" spans="26:26" x14ac:dyDescent="0.25">
      <c r="Z19310"/>
    </row>
    <row r="19311" spans="26:26" x14ac:dyDescent="0.25">
      <c r="Z19311"/>
    </row>
    <row r="19312" spans="26:26" x14ac:dyDescent="0.25">
      <c r="Z19312"/>
    </row>
    <row r="19313" spans="26:26" x14ac:dyDescent="0.25">
      <c r="Z19313"/>
    </row>
    <row r="19314" spans="26:26" x14ac:dyDescent="0.25">
      <c r="Z19314"/>
    </row>
    <row r="19315" spans="26:26" x14ac:dyDescent="0.25">
      <c r="Z19315"/>
    </row>
    <row r="19316" spans="26:26" x14ac:dyDescent="0.25">
      <c r="Z19316"/>
    </row>
    <row r="19317" spans="26:26" x14ac:dyDescent="0.25">
      <c r="Z19317"/>
    </row>
    <row r="19318" spans="26:26" x14ac:dyDescent="0.25">
      <c r="Z19318"/>
    </row>
    <row r="19319" spans="26:26" x14ac:dyDescent="0.25">
      <c r="Z19319"/>
    </row>
    <row r="19320" spans="26:26" x14ac:dyDescent="0.25">
      <c r="Z19320"/>
    </row>
    <row r="19321" spans="26:26" x14ac:dyDescent="0.25">
      <c r="Z19321"/>
    </row>
    <row r="19322" spans="26:26" x14ac:dyDescent="0.25">
      <c r="Z19322"/>
    </row>
    <row r="19323" spans="26:26" x14ac:dyDescent="0.25">
      <c r="Z19323"/>
    </row>
    <row r="19324" spans="26:26" x14ac:dyDescent="0.25">
      <c r="Z19324"/>
    </row>
    <row r="19325" spans="26:26" x14ac:dyDescent="0.25">
      <c r="Z19325"/>
    </row>
    <row r="19326" spans="26:26" x14ac:dyDescent="0.25">
      <c r="Z19326"/>
    </row>
    <row r="19327" spans="26:26" x14ac:dyDescent="0.25">
      <c r="Z19327"/>
    </row>
    <row r="19328" spans="26:26" x14ac:dyDescent="0.25">
      <c r="Z19328"/>
    </row>
    <row r="19329" spans="26:26" x14ac:dyDescent="0.25">
      <c r="Z19329"/>
    </row>
    <row r="19330" spans="26:26" x14ac:dyDescent="0.25">
      <c r="Z19330"/>
    </row>
    <row r="19331" spans="26:26" x14ac:dyDescent="0.25">
      <c r="Z19331"/>
    </row>
    <row r="19332" spans="26:26" x14ac:dyDescent="0.25">
      <c r="Z19332"/>
    </row>
    <row r="19333" spans="26:26" x14ac:dyDescent="0.25">
      <c r="Z19333"/>
    </row>
    <row r="19334" spans="26:26" x14ac:dyDescent="0.25">
      <c r="Z19334"/>
    </row>
    <row r="19335" spans="26:26" x14ac:dyDescent="0.25">
      <c r="Z19335"/>
    </row>
    <row r="19336" spans="26:26" x14ac:dyDescent="0.25">
      <c r="Z19336"/>
    </row>
    <row r="19337" spans="26:26" x14ac:dyDescent="0.25">
      <c r="Z19337"/>
    </row>
    <row r="19338" spans="26:26" x14ac:dyDescent="0.25">
      <c r="Z19338"/>
    </row>
    <row r="19339" spans="26:26" x14ac:dyDescent="0.25">
      <c r="Z19339"/>
    </row>
    <row r="19340" spans="26:26" x14ac:dyDescent="0.25">
      <c r="Z19340"/>
    </row>
    <row r="19341" spans="26:26" x14ac:dyDescent="0.25">
      <c r="Z19341"/>
    </row>
    <row r="19342" spans="26:26" x14ac:dyDescent="0.25">
      <c r="Z19342"/>
    </row>
    <row r="19343" spans="26:26" x14ac:dyDescent="0.25">
      <c r="Z19343"/>
    </row>
    <row r="19344" spans="26:26" x14ac:dyDescent="0.25">
      <c r="Z19344"/>
    </row>
    <row r="19345" spans="26:26" x14ac:dyDescent="0.25">
      <c r="Z19345"/>
    </row>
    <row r="19346" spans="26:26" x14ac:dyDescent="0.25">
      <c r="Z19346"/>
    </row>
    <row r="19347" spans="26:26" x14ac:dyDescent="0.25">
      <c r="Z19347"/>
    </row>
    <row r="19348" spans="26:26" x14ac:dyDescent="0.25">
      <c r="Z19348"/>
    </row>
    <row r="19349" spans="26:26" x14ac:dyDescent="0.25">
      <c r="Z19349"/>
    </row>
    <row r="19350" spans="26:26" x14ac:dyDescent="0.25">
      <c r="Z19350"/>
    </row>
    <row r="19351" spans="26:26" x14ac:dyDescent="0.25">
      <c r="Z19351"/>
    </row>
    <row r="19352" spans="26:26" x14ac:dyDescent="0.25">
      <c r="Z19352"/>
    </row>
    <row r="19353" spans="26:26" x14ac:dyDescent="0.25">
      <c r="Z19353"/>
    </row>
    <row r="19354" spans="26:26" x14ac:dyDescent="0.25">
      <c r="Z19354"/>
    </row>
    <row r="19355" spans="26:26" x14ac:dyDescent="0.25">
      <c r="Z19355"/>
    </row>
    <row r="19356" spans="26:26" x14ac:dyDescent="0.25">
      <c r="Z19356"/>
    </row>
    <row r="19357" spans="26:26" x14ac:dyDescent="0.25">
      <c r="Z19357"/>
    </row>
    <row r="19358" spans="26:26" x14ac:dyDescent="0.25">
      <c r="Z19358"/>
    </row>
    <row r="19359" spans="26:26" x14ac:dyDescent="0.25">
      <c r="Z19359"/>
    </row>
    <row r="19360" spans="26:26" x14ac:dyDescent="0.25">
      <c r="Z19360"/>
    </row>
    <row r="19361" spans="26:26" x14ac:dyDescent="0.25">
      <c r="Z19361"/>
    </row>
    <row r="19362" spans="26:26" x14ac:dyDescent="0.25">
      <c r="Z19362"/>
    </row>
    <row r="19363" spans="26:26" x14ac:dyDescent="0.25">
      <c r="Z19363"/>
    </row>
    <row r="19364" spans="26:26" x14ac:dyDescent="0.25">
      <c r="Z19364"/>
    </row>
    <row r="19365" spans="26:26" x14ac:dyDescent="0.25">
      <c r="Z19365"/>
    </row>
    <row r="19366" spans="26:26" x14ac:dyDescent="0.25">
      <c r="Z19366"/>
    </row>
    <row r="19367" spans="26:26" x14ac:dyDescent="0.25">
      <c r="Z19367"/>
    </row>
    <row r="19368" spans="26:26" x14ac:dyDescent="0.25">
      <c r="Z19368"/>
    </row>
    <row r="19369" spans="26:26" x14ac:dyDescent="0.25">
      <c r="Z19369"/>
    </row>
    <row r="19370" spans="26:26" x14ac:dyDescent="0.25">
      <c r="Z19370"/>
    </row>
    <row r="19371" spans="26:26" x14ac:dyDescent="0.25">
      <c r="Z19371"/>
    </row>
    <row r="19372" spans="26:26" x14ac:dyDescent="0.25">
      <c r="Z19372"/>
    </row>
    <row r="19373" spans="26:26" x14ac:dyDescent="0.25">
      <c r="Z19373"/>
    </row>
    <row r="19374" spans="26:26" x14ac:dyDescent="0.25">
      <c r="Z19374"/>
    </row>
    <row r="19375" spans="26:26" x14ac:dyDescent="0.25">
      <c r="Z19375"/>
    </row>
    <row r="19376" spans="26:26" x14ac:dyDescent="0.25">
      <c r="Z19376"/>
    </row>
    <row r="19377" spans="26:26" x14ac:dyDescent="0.25">
      <c r="Z19377"/>
    </row>
    <row r="19378" spans="26:26" x14ac:dyDescent="0.25">
      <c r="Z19378"/>
    </row>
    <row r="19379" spans="26:26" x14ac:dyDescent="0.25">
      <c r="Z19379"/>
    </row>
    <row r="19380" spans="26:26" x14ac:dyDescent="0.25">
      <c r="Z19380"/>
    </row>
    <row r="19381" spans="26:26" x14ac:dyDescent="0.25">
      <c r="Z19381"/>
    </row>
    <row r="19382" spans="26:26" x14ac:dyDescent="0.25">
      <c r="Z19382"/>
    </row>
    <row r="19383" spans="26:26" x14ac:dyDescent="0.25">
      <c r="Z19383"/>
    </row>
    <row r="19384" spans="26:26" x14ac:dyDescent="0.25">
      <c r="Z19384"/>
    </row>
    <row r="19385" spans="26:26" x14ac:dyDescent="0.25">
      <c r="Z19385"/>
    </row>
    <row r="19386" spans="26:26" x14ac:dyDescent="0.25">
      <c r="Z19386"/>
    </row>
    <row r="19387" spans="26:26" x14ac:dyDescent="0.25">
      <c r="Z19387"/>
    </row>
    <row r="19388" spans="26:26" x14ac:dyDescent="0.25">
      <c r="Z19388"/>
    </row>
    <row r="19389" spans="26:26" x14ac:dyDescent="0.25">
      <c r="Z19389"/>
    </row>
    <row r="19390" spans="26:26" x14ac:dyDescent="0.25">
      <c r="Z19390"/>
    </row>
    <row r="19391" spans="26:26" x14ac:dyDescent="0.25">
      <c r="Z19391"/>
    </row>
    <row r="19392" spans="26:26" x14ac:dyDescent="0.25">
      <c r="Z19392"/>
    </row>
    <row r="19393" spans="26:26" x14ac:dyDescent="0.25">
      <c r="Z19393"/>
    </row>
    <row r="19394" spans="26:26" x14ac:dyDescent="0.25">
      <c r="Z19394"/>
    </row>
    <row r="19395" spans="26:26" x14ac:dyDescent="0.25">
      <c r="Z19395"/>
    </row>
    <row r="19396" spans="26:26" x14ac:dyDescent="0.25">
      <c r="Z19396"/>
    </row>
    <row r="19397" spans="26:26" x14ac:dyDescent="0.25">
      <c r="Z19397"/>
    </row>
    <row r="19398" spans="26:26" x14ac:dyDescent="0.25">
      <c r="Z19398"/>
    </row>
    <row r="19399" spans="26:26" x14ac:dyDescent="0.25">
      <c r="Z19399"/>
    </row>
    <row r="19400" spans="26:26" x14ac:dyDescent="0.25">
      <c r="Z19400"/>
    </row>
    <row r="19401" spans="26:26" x14ac:dyDescent="0.25">
      <c r="Z19401"/>
    </row>
    <row r="19402" spans="26:26" x14ac:dyDescent="0.25">
      <c r="Z19402"/>
    </row>
    <row r="19403" spans="26:26" x14ac:dyDescent="0.25">
      <c r="Z19403"/>
    </row>
    <row r="19404" spans="26:26" x14ac:dyDescent="0.25">
      <c r="Z19404"/>
    </row>
    <row r="19405" spans="26:26" x14ac:dyDescent="0.25">
      <c r="Z19405"/>
    </row>
    <row r="19406" spans="26:26" x14ac:dyDescent="0.25">
      <c r="Z19406"/>
    </row>
    <row r="19407" spans="26:26" x14ac:dyDescent="0.25">
      <c r="Z19407"/>
    </row>
    <row r="19408" spans="26:26" x14ac:dyDescent="0.25">
      <c r="Z19408"/>
    </row>
    <row r="19409" spans="26:26" x14ac:dyDescent="0.25">
      <c r="Z19409"/>
    </row>
    <row r="19410" spans="26:26" x14ac:dyDescent="0.25">
      <c r="Z19410"/>
    </row>
    <row r="19411" spans="26:26" x14ac:dyDescent="0.25">
      <c r="Z19411"/>
    </row>
    <row r="19412" spans="26:26" x14ac:dyDescent="0.25">
      <c r="Z19412"/>
    </row>
    <row r="19413" spans="26:26" x14ac:dyDescent="0.25">
      <c r="Z19413"/>
    </row>
    <row r="19414" spans="26:26" x14ac:dyDescent="0.25">
      <c r="Z19414"/>
    </row>
    <row r="19415" spans="26:26" x14ac:dyDescent="0.25">
      <c r="Z19415"/>
    </row>
    <row r="19416" spans="26:26" x14ac:dyDescent="0.25">
      <c r="Z19416"/>
    </row>
    <row r="19417" spans="26:26" x14ac:dyDescent="0.25">
      <c r="Z19417"/>
    </row>
    <row r="19418" spans="26:26" x14ac:dyDescent="0.25">
      <c r="Z19418"/>
    </row>
    <row r="19419" spans="26:26" x14ac:dyDescent="0.25">
      <c r="Z19419"/>
    </row>
    <row r="19420" spans="26:26" x14ac:dyDescent="0.25">
      <c r="Z19420"/>
    </row>
    <row r="19421" spans="26:26" x14ac:dyDescent="0.25">
      <c r="Z19421"/>
    </row>
    <row r="19422" spans="26:26" x14ac:dyDescent="0.25">
      <c r="Z19422"/>
    </row>
    <row r="19423" spans="26:26" x14ac:dyDescent="0.25">
      <c r="Z19423"/>
    </row>
    <row r="19424" spans="26:26" x14ac:dyDescent="0.25">
      <c r="Z19424"/>
    </row>
    <row r="19425" spans="26:26" x14ac:dyDescent="0.25">
      <c r="Z19425"/>
    </row>
    <row r="19426" spans="26:26" x14ac:dyDescent="0.25">
      <c r="Z19426"/>
    </row>
    <row r="19427" spans="26:26" x14ac:dyDescent="0.25">
      <c r="Z19427"/>
    </row>
    <row r="19428" spans="26:26" x14ac:dyDescent="0.25">
      <c r="Z19428"/>
    </row>
    <row r="19429" spans="26:26" x14ac:dyDescent="0.25">
      <c r="Z19429"/>
    </row>
    <row r="19430" spans="26:26" x14ac:dyDescent="0.25">
      <c r="Z19430"/>
    </row>
    <row r="19431" spans="26:26" x14ac:dyDescent="0.25">
      <c r="Z19431"/>
    </row>
    <row r="19432" spans="26:26" x14ac:dyDescent="0.25">
      <c r="Z19432"/>
    </row>
    <row r="19433" spans="26:26" x14ac:dyDescent="0.25">
      <c r="Z19433"/>
    </row>
    <row r="19434" spans="26:26" x14ac:dyDescent="0.25">
      <c r="Z19434"/>
    </row>
    <row r="19435" spans="26:26" x14ac:dyDescent="0.25">
      <c r="Z19435"/>
    </row>
    <row r="19436" spans="26:26" x14ac:dyDescent="0.25">
      <c r="Z19436"/>
    </row>
    <row r="19437" spans="26:26" x14ac:dyDescent="0.25">
      <c r="Z19437"/>
    </row>
    <row r="19438" spans="26:26" x14ac:dyDescent="0.25">
      <c r="Z19438"/>
    </row>
    <row r="19439" spans="26:26" x14ac:dyDescent="0.25">
      <c r="Z19439"/>
    </row>
    <row r="19440" spans="26:26" x14ac:dyDescent="0.25">
      <c r="Z19440"/>
    </row>
    <row r="19441" spans="26:26" x14ac:dyDescent="0.25">
      <c r="Z19441"/>
    </row>
    <row r="19442" spans="26:26" x14ac:dyDescent="0.25">
      <c r="Z19442"/>
    </row>
    <row r="19443" spans="26:26" x14ac:dyDescent="0.25">
      <c r="Z19443"/>
    </row>
    <row r="19444" spans="26:26" x14ac:dyDescent="0.25">
      <c r="Z19444"/>
    </row>
    <row r="19445" spans="26:26" x14ac:dyDescent="0.25">
      <c r="Z19445"/>
    </row>
    <row r="19446" spans="26:26" x14ac:dyDescent="0.25">
      <c r="Z19446"/>
    </row>
    <row r="19447" spans="26:26" x14ac:dyDescent="0.25">
      <c r="Z19447"/>
    </row>
    <row r="19448" spans="26:26" x14ac:dyDescent="0.25">
      <c r="Z19448"/>
    </row>
    <row r="19449" spans="26:26" x14ac:dyDescent="0.25">
      <c r="Z19449"/>
    </row>
    <row r="19450" spans="26:26" x14ac:dyDescent="0.25">
      <c r="Z19450"/>
    </row>
    <row r="19451" spans="26:26" x14ac:dyDescent="0.25">
      <c r="Z19451"/>
    </row>
    <row r="19452" spans="26:26" x14ac:dyDescent="0.25">
      <c r="Z19452"/>
    </row>
    <row r="19453" spans="26:26" x14ac:dyDescent="0.25">
      <c r="Z19453"/>
    </row>
    <row r="19454" spans="26:26" x14ac:dyDescent="0.25">
      <c r="Z19454"/>
    </row>
    <row r="19455" spans="26:26" x14ac:dyDescent="0.25">
      <c r="Z19455"/>
    </row>
    <row r="19456" spans="26:26" x14ac:dyDescent="0.25">
      <c r="Z19456"/>
    </row>
    <row r="19457" spans="26:26" x14ac:dyDescent="0.25">
      <c r="Z19457"/>
    </row>
    <row r="19458" spans="26:26" x14ac:dyDescent="0.25">
      <c r="Z19458"/>
    </row>
    <row r="19459" spans="26:26" x14ac:dyDescent="0.25">
      <c r="Z19459"/>
    </row>
    <row r="19460" spans="26:26" x14ac:dyDescent="0.25">
      <c r="Z19460"/>
    </row>
    <row r="19461" spans="26:26" x14ac:dyDescent="0.25">
      <c r="Z19461"/>
    </row>
    <row r="19462" spans="26:26" x14ac:dyDescent="0.25">
      <c r="Z19462"/>
    </row>
    <row r="19463" spans="26:26" x14ac:dyDescent="0.25">
      <c r="Z19463"/>
    </row>
    <row r="19464" spans="26:26" x14ac:dyDescent="0.25">
      <c r="Z19464"/>
    </row>
    <row r="19465" spans="26:26" x14ac:dyDescent="0.25">
      <c r="Z19465"/>
    </row>
    <row r="19466" spans="26:26" x14ac:dyDescent="0.25">
      <c r="Z19466"/>
    </row>
    <row r="19467" spans="26:26" x14ac:dyDescent="0.25">
      <c r="Z19467"/>
    </row>
    <row r="19468" spans="26:26" x14ac:dyDescent="0.25">
      <c r="Z19468"/>
    </row>
    <row r="19469" spans="26:26" x14ac:dyDescent="0.25">
      <c r="Z19469"/>
    </row>
    <row r="19470" spans="26:26" x14ac:dyDescent="0.25">
      <c r="Z19470"/>
    </row>
    <row r="19471" spans="26:26" x14ac:dyDescent="0.25">
      <c r="Z19471"/>
    </row>
    <row r="19472" spans="26:26" x14ac:dyDescent="0.25">
      <c r="Z19472"/>
    </row>
    <row r="19473" spans="26:26" x14ac:dyDescent="0.25">
      <c r="Z19473"/>
    </row>
    <row r="19474" spans="26:26" x14ac:dyDescent="0.25">
      <c r="Z19474"/>
    </row>
    <row r="19475" spans="26:26" x14ac:dyDescent="0.25">
      <c r="Z19475"/>
    </row>
    <row r="19476" spans="26:26" x14ac:dyDescent="0.25">
      <c r="Z19476"/>
    </row>
    <row r="19477" spans="26:26" x14ac:dyDescent="0.25">
      <c r="Z19477"/>
    </row>
    <row r="19478" spans="26:26" x14ac:dyDescent="0.25">
      <c r="Z19478"/>
    </row>
    <row r="19479" spans="26:26" x14ac:dyDescent="0.25">
      <c r="Z19479"/>
    </row>
    <row r="19480" spans="26:26" x14ac:dyDescent="0.25">
      <c r="Z19480"/>
    </row>
    <row r="19481" spans="26:26" x14ac:dyDescent="0.25">
      <c r="Z19481"/>
    </row>
    <row r="19482" spans="26:26" x14ac:dyDescent="0.25">
      <c r="Z19482"/>
    </row>
    <row r="19483" spans="26:26" x14ac:dyDescent="0.25">
      <c r="Z19483"/>
    </row>
    <row r="19484" spans="26:26" x14ac:dyDescent="0.25">
      <c r="Z19484"/>
    </row>
    <row r="19485" spans="26:26" x14ac:dyDescent="0.25">
      <c r="Z19485"/>
    </row>
    <row r="19486" spans="26:26" x14ac:dyDescent="0.25">
      <c r="Z19486"/>
    </row>
    <row r="19487" spans="26:26" x14ac:dyDescent="0.25">
      <c r="Z19487"/>
    </row>
    <row r="19488" spans="26:26" x14ac:dyDescent="0.25">
      <c r="Z19488"/>
    </row>
    <row r="19489" spans="26:26" x14ac:dyDescent="0.25">
      <c r="Z19489"/>
    </row>
    <row r="19490" spans="26:26" x14ac:dyDescent="0.25">
      <c r="Z19490"/>
    </row>
    <row r="19491" spans="26:26" x14ac:dyDescent="0.25">
      <c r="Z19491"/>
    </row>
    <row r="19492" spans="26:26" x14ac:dyDescent="0.25">
      <c r="Z19492"/>
    </row>
    <row r="19493" spans="26:26" x14ac:dyDescent="0.25">
      <c r="Z19493"/>
    </row>
    <row r="19494" spans="26:26" x14ac:dyDescent="0.25">
      <c r="Z19494"/>
    </row>
    <row r="19495" spans="26:26" x14ac:dyDescent="0.25">
      <c r="Z19495"/>
    </row>
    <row r="19496" spans="26:26" x14ac:dyDescent="0.25">
      <c r="Z19496"/>
    </row>
    <row r="19497" spans="26:26" x14ac:dyDescent="0.25">
      <c r="Z19497"/>
    </row>
    <row r="19498" spans="26:26" x14ac:dyDescent="0.25">
      <c r="Z19498"/>
    </row>
    <row r="19499" spans="26:26" x14ac:dyDescent="0.25">
      <c r="Z19499"/>
    </row>
    <row r="19500" spans="26:26" x14ac:dyDescent="0.25">
      <c r="Z19500"/>
    </row>
    <row r="19501" spans="26:26" x14ac:dyDescent="0.25">
      <c r="Z19501"/>
    </row>
    <row r="19502" spans="26:26" x14ac:dyDescent="0.25">
      <c r="Z19502"/>
    </row>
    <row r="19503" spans="26:26" x14ac:dyDescent="0.25">
      <c r="Z19503"/>
    </row>
    <row r="19504" spans="26:26" x14ac:dyDescent="0.25">
      <c r="Z19504"/>
    </row>
    <row r="19505" spans="26:26" x14ac:dyDescent="0.25">
      <c r="Z19505"/>
    </row>
    <row r="19506" spans="26:26" x14ac:dyDescent="0.25">
      <c r="Z19506"/>
    </row>
    <row r="19507" spans="26:26" x14ac:dyDescent="0.25">
      <c r="Z19507"/>
    </row>
    <row r="19508" spans="26:26" x14ac:dyDescent="0.25">
      <c r="Z19508"/>
    </row>
    <row r="19509" spans="26:26" x14ac:dyDescent="0.25">
      <c r="Z19509"/>
    </row>
    <row r="19510" spans="26:26" x14ac:dyDescent="0.25">
      <c r="Z19510"/>
    </row>
    <row r="19511" spans="26:26" x14ac:dyDescent="0.25">
      <c r="Z19511"/>
    </row>
    <row r="19512" spans="26:26" x14ac:dyDescent="0.25">
      <c r="Z19512"/>
    </row>
    <row r="19513" spans="26:26" x14ac:dyDescent="0.25">
      <c r="Z19513"/>
    </row>
    <row r="19514" spans="26:26" x14ac:dyDescent="0.25">
      <c r="Z19514"/>
    </row>
    <row r="19515" spans="26:26" x14ac:dyDescent="0.25">
      <c r="Z19515"/>
    </row>
    <row r="19516" spans="26:26" x14ac:dyDescent="0.25">
      <c r="Z19516"/>
    </row>
    <row r="19517" spans="26:26" x14ac:dyDescent="0.25">
      <c r="Z19517"/>
    </row>
    <row r="19518" spans="26:26" x14ac:dyDescent="0.25">
      <c r="Z19518"/>
    </row>
    <row r="19519" spans="26:26" x14ac:dyDescent="0.25">
      <c r="Z19519"/>
    </row>
    <row r="19520" spans="26:26" x14ac:dyDescent="0.25">
      <c r="Z19520"/>
    </row>
    <row r="19521" spans="26:26" x14ac:dyDescent="0.25">
      <c r="Z19521"/>
    </row>
    <row r="19522" spans="26:26" x14ac:dyDescent="0.25">
      <c r="Z19522"/>
    </row>
    <row r="19523" spans="26:26" x14ac:dyDescent="0.25">
      <c r="Z19523"/>
    </row>
    <row r="19524" spans="26:26" x14ac:dyDescent="0.25">
      <c r="Z19524"/>
    </row>
    <row r="19525" spans="26:26" x14ac:dyDescent="0.25">
      <c r="Z19525"/>
    </row>
    <row r="19526" spans="26:26" x14ac:dyDescent="0.25">
      <c r="Z19526"/>
    </row>
    <row r="19527" spans="26:26" x14ac:dyDescent="0.25">
      <c r="Z19527"/>
    </row>
    <row r="19528" spans="26:26" x14ac:dyDescent="0.25">
      <c r="Z19528"/>
    </row>
    <row r="19529" spans="26:26" x14ac:dyDescent="0.25">
      <c r="Z19529"/>
    </row>
    <row r="19530" spans="26:26" x14ac:dyDescent="0.25">
      <c r="Z19530"/>
    </row>
    <row r="19531" spans="26:26" x14ac:dyDescent="0.25">
      <c r="Z19531"/>
    </row>
    <row r="19532" spans="26:26" x14ac:dyDescent="0.25">
      <c r="Z19532"/>
    </row>
    <row r="19533" spans="26:26" x14ac:dyDescent="0.25">
      <c r="Z19533"/>
    </row>
    <row r="19534" spans="26:26" x14ac:dyDescent="0.25">
      <c r="Z19534"/>
    </row>
    <row r="19535" spans="26:26" x14ac:dyDescent="0.25">
      <c r="Z19535"/>
    </row>
    <row r="19536" spans="26:26" x14ac:dyDescent="0.25">
      <c r="Z19536"/>
    </row>
    <row r="19537" spans="26:26" x14ac:dyDescent="0.25">
      <c r="Z19537"/>
    </row>
    <row r="19538" spans="26:26" x14ac:dyDescent="0.25">
      <c r="Z19538"/>
    </row>
    <row r="19539" spans="26:26" x14ac:dyDescent="0.25">
      <c r="Z19539"/>
    </row>
    <row r="19540" spans="26:26" x14ac:dyDescent="0.25">
      <c r="Z19540"/>
    </row>
    <row r="19541" spans="26:26" x14ac:dyDescent="0.25">
      <c r="Z19541"/>
    </row>
    <row r="19542" spans="26:26" x14ac:dyDescent="0.25">
      <c r="Z19542"/>
    </row>
    <row r="19543" spans="26:26" x14ac:dyDescent="0.25">
      <c r="Z19543"/>
    </row>
    <row r="19544" spans="26:26" x14ac:dyDescent="0.25">
      <c r="Z19544"/>
    </row>
    <row r="19545" spans="26:26" x14ac:dyDescent="0.25">
      <c r="Z19545"/>
    </row>
    <row r="19546" spans="26:26" x14ac:dyDescent="0.25">
      <c r="Z19546"/>
    </row>
    <row r="19547" spans="26:26" x14ac:dyDescent="0.25">
      <c r="Z19547"/>
    </row>
    <row r="19548" spans="26:26" x14ac:dyDescent="0.25">
      <c r="Z19548"/>
    </row>
    <row r="19549" spans="26:26" x14ac:dyDescent="0.25">
      <c r="Z19549"/>
    </row>
    <row r="19550" spans="26:26" x14ac:dyDescent="0.25">
      <c r="Z19550"/>
    </row>
    <row r="19551" spans="26:26" x14ac:dyDescent="0.25">
      <c r="Z19551"/>
    </row>
    <row r="19552" spans="26:26" x14ac:dyDescent="0.25">
      <c r="Z19552"/>
    </row>
    <row r="19553" spans="26:26" x14ac:dyDescent="0.25">
      <c r="Z19553"/>
    </row>
    <row r="19554" spans="26:26" x14ac:dyDescent="0.25">
      <c r="Z19554"/>
    </row>
    <row r="19555" spans="26:26" x14ac:dyDescent="0.25">
      <c r="Z19555"/>
    </row>
    <row r="19556" spans="26:26" x14ac:dyDescent="0.25">
      <c r="Z19556"/>
    </row>
    <row r="19557" spans="26:26" x14ac:dyDescent="0.25">
      <c r="Z19557"/>
    </row>
    <row r="19558" spans="26:26" x14ac:dyDescent="0.25">
      <c r="Z19558"/>
    </row>
    <row r="19559" spans="26:26" x14ac:dyDescent="0.25">
      <c r="Z19559"/>
    </row>
    <row r="19560" spans="26:26" x14ac:dyDescent="0.25">
      <c r="Z19560"/>
    </row>
    <row r="19561" spans="26:26" x14ac:dyDescent="0.25">
      <c r="Z19561"/>
    </row>
    <row r="19562" spans="26:26" x14ac:dyDescent="0.25">
      <c r="Z19562"/>
    </row>
    <row r="19563" spans="26:26" x14ac:dyDescent="0.25">
      <c r="Z19563"/>
    </row>
    <row r="19564" spans="26:26" x14ac:dyDescent="0.25">
      <c r="Z19564"/>
    </row>
    <row r="19565" spans="26:26" x14ac:dyDescent="0.25">
      <c r="Z19565"/>
    </row>
    <row r="19566" spans="26:26" x14ac:dyDescent="0.25">
      <c r="Z19566"/>
    </row>
    <row r="19567" spans="26:26" x14ac:dyDescent="0.25">
      <c r="Z19567"/>
    </row>
    <row r="19568" spans="26:26" x14ac:dyDescent="0.25">
      <c r="Z19568"/>
    </row>
    <row r="19569" spans="26:26" x14ac:dyDescent="0.25">
      <c r="Z19569"/>
    </row>
    <row r="19570" spans="26:26" x14ac:dyDescent="0.25">
      <c r="Z19570"/>
    </row>
    <row r="19571" spans="26:26" x14ac:dyDescent="0.25">
      <c r="Z19571"/>
    </row>
    <row r="19572" spans="26:26" x14ac:dyDescent="0.25">
      <c r="Z19572"/>
    </row>
    <row r="19573" spans="26:26" x14ac:dyDescent="0.25">
      <c r="Z19573"/>
    </row>
    <row r="19574" spans="26:26" x14ac:dyDescent="0.25">
      <c r="Z19574"/>
    </row>
    <row r="19575" spans="26:26" x14ac:dyDescent="0.25">
      <c r="Z19575"/>
    </row>
    <row r="19576" spans="26:26" x14ac:dyDescent="0.25">
      <c r="Z19576"/>
    </row>
    <row r="19577" spans="26:26" x14ac:dyDescent="0.25">
      <c r="Z19577"/>
    </row>
    <row r="19578" spans="26:26" x14ac:dyDescent="0.25">
      <c r="Z19578"/>
    </row>
    <row r="19579" spans="26:26" x14ac:dyDescent="0.25">
      <c r="Z19579"/>
    </row>
    <row r="19580" spans="26:26" x14ac:dyDescent="0.25">
      <c r="Z19580"/>
    </row>
    <row r="19581" spans="26:26" x14ac:dyDescent="0.25">
      <c r="Z19581"/>
    </row>
    <row r="19582" spans="26:26" x14ac:dyDescent="0.25">
      <c r="Z19582"/>
    </row>
    <row r="19583" spans="26:26" x14ac:dyDescent="0.25">
      <c r="Z19583"/>
    </row>
    <row r="19584" spans="26:26" x14ac:dyDescent="0.25">
      <c r="Z19584"/>
    </row>
    <row r="19585" spans="26:26" x14ac:dyDescent="0.25">
      <c r="Z19585"/>
    </row>
    <row r="19586" spans="26:26" x14ac:dyDescent="0.25">
      <c r="Z19586"/>
    </row>
    <row r="19587" spans="26:26" x14ac:dyDescent="0.25">
      <c r="Z19587"/>
    </row>
    <row r="19588" spans="26:26" x14ac:dyDescent="0.25">
      <c r="Z19588"/>
    </row>
    <row r="19589" spans="26:26" x14ac:dyDescent="0.25">
      <c r="Z19589"/>
    </row>
    <row r="19590" spans="26:26" x14ac:dyDescent="0.25">
      <c r="Z19590"/>
    </row>
    <row r="19591" spans="26:26" x14ac:dyDescent="0.25">
      <c r="Z19591"/>
    </row>
    <row r="19592" spans="26:26" x14ac:dyDescent="0.25">
      <c r="Z19592"/>
    </row>
    <row r="19593" spans="26:26" x14ac:dyDescent="0.25">
      <c r="Z19593"/>
    </row>
    <row r="19594" spans="26:26" x14ac:dyDescent="0.25">
      <c r="Z19594"/>
    </row>
    <row r="19595" spans="26:26" x14ac:dyDescent="0.25">
      <c r="Z19595"/>
    </row>
    <row r="19596" spans="26:26" x14ac:dyDescent="0.25">
      <c r="Z19596"/>
    </row>
    <row r="19597" spans="26:26" x14ac:dyDescent="0.25">
      <c r="Z19597"/>
    </row>
    <row r="19598" spans="26:26" x14ac:dyDescent="0.25">
      <c r="Z19598"/>
    </row>
    <row r="19599" spans="26:26" x14ac:dyDescent="0.25">
      <c r="Z19599"/>
    </row>
    <row r="19600" spans="26:26" x14ac:dyDescent="0.25">
      <c r="Z19600"/>
    </row>
    <row r="19601" spans="26:26" x14ac:dyDescent="0.25">
      <c r="Z19601"/>
    </row>
    <row r="19602" spans="26:26" x14ac:dyDescent="0.25">
      <c r="Z19602"/>
    </row>
    <row r="19603" spans="26:26" x14ac:dyDescent="0.25">
      <c r="Z19603"/>
    </row>
    <row r="19604" spans="26:26" x14ac:dyDescent="0.25">
      <c r="Z19604"/>
    </row>
    <row r="19605" spans="26:26" x14ac:dyDescent="0.25">
      <c r="Z19605"/>
    </row>
    <row r="19606" spans="26:26" x14ac:dyDescent="0.25">
      <c r="Z19606"/>
    </row>
    <row r="19607" spans="26:26" x14ac:dyDescent="0.25">
      <c r="Z19607"/>
    </row>
    <row r="19608" spans="26:26" x14ac:dyDescent="0.25">
      <c r="Z19608"/>
    </row>
    <row r="19609" spans="26:26" x14ac:dyDescent="0.25">
      <c r="Z19609"/>
    </row>
    <row r="19610" spans="26:26" x14ac:dyDescent="0.25">
      <c r="Z19610"/>
    </row>
    <row r="19611" spans="26:26" x14ac:dyDescent="0.25">
      <c r="Z19611"/>
    </row>
    <row r="19612" spans="26:26" x14ac:dyDescent="0.25">
      <c r="Z19612"/>
    </row>
    <row r="19613" spans="26:26" x14ac:dyDescent="0.25">
      <c r="Z19613"/>
    </row>
    <row r="19614" spans="26:26" x14ac:dyDescent="0.25">
      <c r="Z19614"/>
    </row>
    <row r="19615" spans="26:26" x14ac:dyDescent="0.25">
      <c r="Z19615"/>
    </row>
    <row r="19616" spans="26:26" x14ac:dyDescent="0.25">
      <c r="Z19616"/>
    </row>
    <row r="19617" spans="26:26" x14ac:dyDescent="0.25">
      <c r="Z19617"/>
    </row>
    <row r="19618" spans="26:26" x14ac:dyDescent="0.25">
      <c r="Z19618"/>
    </row>
    <row r="19619" spans="26:26" x14ac:dyDescent="0.25">
      <c r="Z19619"/>
    </row>
    <row r="19620" spans="26:26" x14ac:dyDescent="0.25">
      <c r="Z19620"/>
    </row>
    <row r="19621" spans="26:26" x14ac:dyDescent="0.25">
      <c r="Z19621"/>
    </row>
    <row r="19622" spans="26:26" x14ac:dyDescent="0.25">
      <c r="Z19622"/>
    </row>
    <row r="19623" spans="26:26" x14ac:dyDescent="0.25">
      <c r="Z19623"/>
    </row>
    <row r="19624" spans="26:26" x14ac:dyDescent="0.25">
      <c r="Z19624"/>
    </row>
    <row r="19625" spans="26:26" x14ac:dyDescent="0.25">
      <c r="Z19625"/>
    </row>
    <row r="19626" spans="26:26" x14ac:dyDescent="0.25">
      <c r="Z19626"/>
    </row>
    <row r="19627" spans="26:26" x14ac:dyDescent="0.25">
      <c r="Z19627"/>
    </row>
    <row r="19628" spans="26:26" x14ac:dyDescent="0.25">
      <c r="Z19628"/>
    </row>
    <row r="19629" spans="26:26" x14ac:dyDescent="0.25">
      <c r="Z19629"/>
    </row>
    <row r="19630" spans="26:26" x14ac:dyDescent="0.25">
      <c r="Z19630"/>
    </row>
    <row r="19631" spans="26:26" x14ac:dyDescent="0.25">
      <c r="Z19631"/>
    </row>
    <row r="19632" spans="26:26" x14ac:dyDescent="0.25">
      <c r="Z19632"/>
    </row>
    <row r="19633" spans="26:26" x14ac:dyDescent="0.25">
      <c r="Z19633"/>
    </row>
    <row r="19634" spans="26:26" x14ac:dyDescent="0.25">
      <c r="Z19634"/>
    </row>
    <row r="19635" spans="26:26" x14ac:dyDescent="0.25">
      <c r="Z19635"/>
    </row>
    <row r="19636" spans="26:26" x14ac:dyDescent="0.25">
      <c r="Z19636"/>
    </row>
    <row r="19637" spans="26:26" x14ac:dyDescent="0.25">
      <c r="Z19637"/>
    </row>
    <row r="19638" spans="26:26" x14ac:dyDescent="0.25">
      <c r="Z19638"/>
    </row>
    <row r="19639" spans="26:26" x14ac:dyDescent="0.25">
      <c r="Z19639"/>
    </row>
    <row r="19640" spans="26:26" x14ac:dyDescent="0.25">
      <c r="Z19640"/>
    </row>
    <row r="19641" spans="26:26" x14ac:dyDescent="0.25">
      <c r="Z19641"/>
    </row>
    <row r="19642" spans="26:26" x14ac:dyDescent="0.25">
      <c r="Z19642"/>
    </row>
    <row r="19643" spans="26:26" x14ac:dyDescent="0.25">
      <c r="Z19643"/>
    </row>
    <row r="19644" spans="26:26" x14ac:dyDescent="0.25">
      <c r="Z19644"/>
    </row>
    <row r="19645" spans="26:26" x14ac:dyDescent="0.25">
      <c r="Z19645"/>
    </row>
    <row r="19646" spans="26:26" x14ac:dyDescent="0.25">
      <c r="Z19646"/>
    </row>
    <row r="19647" spans="26:26" x14ac:dyDescent="0.25">
      <c r="Z19647"/>
    </row>
    <row r="19648" spans="26:26" x14ac:dyDescent="0.25">
      <c r="Z19648"/>
    </row>
    <row r="19649" spans="26:26" x14ac:dyDescent="0.25">
      <c r="Z19649"/>
    </row>
    <row r="19650" spans="26:26" x14ac:dyDescent="0.25">
      <c r="Z19650"/>
    </row>
    <row r="19651" spans="26:26" x14ac:dyDescent="0.25">
      <c r="Z19651"/>
    </row>
    <row r="19652" spans="26:26" x14ac:dyDescent="0.25">
      <c r="Z19652"/>
    </row>
    <row r="19653" spans="26:26" x14ac:dyDescent="0.25">
      <c r="Z19653"/>
    </row>
    <row r="19654" spans="26:26" x14ac:dyDescent="0.25">
      <c r="Z19654"/>
    </row>
    <row r="19655" spans="26:26" x14ac:dyDescent="0.25">
      <c r="Z19655"/>
    </row>
    <row r="19656" spans="26:26" x14ac:dyDescent="0.25">
      <c r="Z19656"/>
    </row>
    <row r="19657" spans="26:26" x14ac:dyDescent="0.25">
      <c r="Z19657"/>
    </row>
    <row r="19658" spans="26:26" x14ac:dyDescent="0.25">
      <c r="Z19658"/>
    </row>
    <row r="19659" spans="26:26" x14ac:dyDescent="0.25">
      <c r="Z19659"/>
    </row>
    <row r="19660" spans="26:26" x14ac:dyDescent="0.25">
      <c r="Z19660"/>
    </row>
    <row r="19661" spans="26:26" x14ac:dyDescent="0.25">
      <c r="Z19661"/>
    </row>
    <row r="19662" spans="26:26" x14ac:dyDescent="0.25">
      <c r="Z19662"/>
    </row>
    <row r="19663" spans="26:26" x14ac:dyDescent="0.25">
      <c r="Z19663"/>
    </row>
    <row r="19664" spans="26:26" x14ac:dyDescent="0.25">
      <c r="Z19664"/>
    </row>
    <row r="19665" spans="26:26" x14ac:dyDescent="0.25">
      <c r="Z19665"/>
    </row>
    <row r="19666" spans="26:26" x14ac:dyDescent="0.25">
      <c r="Z19666"/>
    </row>
    <row r="19667" spans="26:26" x14ac:dyDescent="0.25">
      <c r="Z19667"/>
    </row>
    <row r="19668" spans="26:26" x14ac:dyDescent="0.25">
      <c r="Z19668"/>
    </row>
    <row r="19669" spans="26:26" x14ac:dyDescent="0.25">
      <c r="Z19669"/>
    </row>
    <row r="19670" spans="26:26" x14ac:dyDescent="0.25">
      <c r="Z19670"/>
    </row>
    <row r="19671" spans="26:26" x14ac:dyDescent="0.25">
      <c r="Z19671"/>
    </row>
    <row r="19672" spans="26:26" x14ac:dyDescent="0.25">
      <c r="Z19672"/>
    </row>
    <row r="19673" spans="26:26" x14ac:dyDescent="0.25">
      <c r="Z19673"/>
    </row>
    <row r="19674" spans="26:26" x14ac:dyDescent="0.25">
      <c r="Z19674"/>
    </row>
    <row r="19675" spans="26:26" x14ac:dyDescent="0.25">
      <c r="Z19675"/>
    </row>
    <row r="19676" spans="26:26" x14ac:dyDescent="0.25">
      <c r="Z19676"/>
    </row>
    <row r="19677" spans="26:26" x14ac:dyDescent="0.25">
      <c r="Z19677"/>
    </row>
    <row r="19678" spans="26:26" x14ac:dyDescent="0.25">
      <c r="Z19678"/>
    </row>
    <row r="19679" spans="26:26" x14ac:dyDescent="0.25">
      <c r="Z19679"/>
    </row>
    <row r="19680" spans="26:26" x14ac:dyDescent="0.25">
      <c r="Z19680"/>
    </row>
    <row r="19681" spans="26:26" x14ac:dyDescent="0.25">
      <c r="Z19681"/>
    </row>
    <row r="19682" spans="26:26" x14ac:dyDescent="0.25">
      <c r="Z19682"/>
    </row>
    <row r="19683" spans="26:26" x14ac:dyDescent="0.25">
      <c r="Z19683"/>
    </row>
    <row r="19684" spans="26:26" x14ac:dyDescent="0.25">
      <c r="Z19684"/>
    </row>
    <row r="19685" spans="26:26" x14ac:dyDescent="0.25">
      <c r="Z19685"/>
    </row>
    <row r="19686" spans="26:26" x14ac:dyDescent="0.25">
      <c r="Z19686"/>
    </row>
    <row r="19687" spans="26:26" x14ac:dyDescent="0.25">
      <c r="Z19687"/>
    </row>
    <row r="19688" spans="26:26" x14ac:dyDescent="0.25">
      <c r="Z19688"/>
    </row>
    <row r="19689" spans="26:26" x14ac:dyDescent="0.25">
      <c r="Z19689"/>
    </row>
    <row r="19690" spans="26:26" x14ac:dyDescent="0.25">
      <c r="Z19690"/>
    </row>
    <row r="19691" spans="26:26" x14ac:dyDescent="0.25">
      <c r="Z19691"/>
    </row>
    <row r="19692" spans="26:26" x14ac:dyDescent="0.25">
      <c r="Z19692"/>
    </row>
    <row r="19693" spans="26:26" x14ac:dyDescent="0.25">
      <c r="Z19693"/>
    </row>
    <row r="19694" spans="26:26" x14ac:dyDescent="0.25">
      <c r="Z19694"/>
    </row>
    <row r="19695" spans="26:26" x14ac:dyDescent="0.25">
      <c r="Z19695"/>
    </row>
    <row r="19696" spans="26:26" x14ac:dyDescent="0.25">
      <c r="Z19696"/>
    </row>
    <row r="19697" spans="26:26" x14ac:dyDescent="0.25">
      <c r="Z19697"/>
    </row>
    <row r="19698" spans="26:26" x14ac:dyDescent="0.25">
      <c r="Z19698"/>
    </row>
    <row r="19699" spans="26:26" x14ac:dyDescent="0.25">
      <c r="Z19699"/>
    </row>
    <row r="19700" spans="26:26" x14ac:dyDescent="0.25">
      <c r="Z19700"/>
    </row>
    <row r="19701" spans="26:26" x14ac:dyDescent="0.25">
      <c r="Z19701"/>
    </row>
    <row r="19702" spans="26:26" x14ac:dyDescent="0.25">
      <c r="Z19702"/>
    </row>
    <row r="19703" spans="26:26" x14ac:dyDescent="0.25">
      <c r="Z19703"/>
    </row>
    <row r="19704" spans="26:26" x14ac:dyDescent="0.25">
      <c r="Z19704"/>
    </row>
    <row r="19705" spans="26:26" x14ac:dyDescent="0.25">
      <c r="Z19705"/>
    </row>
    <row r="19706" spans="26:26" x14ac:dyDescent="0.25">
      <c r="Z19706"/>
    </row>
    <row r="19707" spans="26:26" x14ac:dyDescent="0.25">
      <c r="Z19707"/>
    </row>
    <row r="19708" spans="26:26" x14ac:dyDescent="0.25">
      <c r="Z19708"/>
    </row>
    <row r="19709" spans="26:26" x14ac:dyDescent="0.25">
      <c r="Z19709"/>
    </row>
    <row r="19710" spans="26:26" x14ac:dyDescent="0.25">
      <c r="Z19710"/>
    </row>
    <row r="19711" spans="26:26" x14ac:dyDescent="0.25">
      <c r="Z19711"/>
    </row>
    <row r="19712" spans="26:26" x14ac:dyDescent="0.25">
      <c r="Z19712"/>
    </row>
    <row r="19713" spans="26:26" x14ac:dyDescent="0.25">
      <c r="Z19713"/>
    </row>
    <row r="19714" spans="26:26" x14ac:dyDescent="0.25">
      <c r="Z19714"/>
    </row>
    <row r="19715" spans="26:26" x14ac:dyDescent="0.25">
      <c r="Z19715"/>
    </row>
    <row r="19716" spans="26:26" x14ac:dyDescent="0.25">
      <c r="Z19716"/>
    </row>
    <row r="19717" spans="26:26" x14ac:dyDescent="0.25">
      <c r="Z19717"/>
    </row>
    <row r="19718" spans="26:26" x14ac:dyDescent="0.25">
      <c r="Z19718"/>
    </row>
    <row r="19719" spans="26:26" x14ac:dyDescent="0.25">
      <c r="Z19719"/>
    </row>
    <row r="19720" spans="26:26" x14ac:dyDescent="0.25">
      <c r="Z19720"/>
    </row>
    <row r="19721" spans="26:26" x14ac:dyDescent="0.25">
      <c r="Z19721"/>
    </row>
    <row r="19722" spans="26:26" x14ac:dyDescent="0.25">
      <c r="Z19722"/>
    </row>
    <row r="19723" spans="26:26" x14ac:dyDescent="0.25">
      <c r="Z19723"/>
    </row>
    <row r="19724" spans="26:26" x14ac:dyDescent="0.25">
      <c r="Z19724"/>
    </row>
    <row r="19725" spans="26:26" x14ac:dyDescent="0.25">
      <c r="Z19725"/>
    </row>
    <row r="19726" spans="26:26" x14ac:dyDescent="0.25">
      <c r="Z19726"/>
    </row>
    <row r="19727" spans="26:26" x14ac:dyDescent="0.25">
      <c r="Z19727"/>
    </row>
    <row r="19728" spans="26:26" x14ac:dyDescent="0.25">
      <c r="Z19728"/>
    </row>
    <row r="19729" spans="26:26" x14ac:dyDescent="0.25">
      <c r="Z19729"/>
    </row>
    <row r="19730" spans="26:26" x14ac:dyDescent="0.25">
      <c r="Z19730"/>
    </row>
    <row r="19731" spans="26:26" x14ac:dyDescent="0.25">
      <c r="Z19731"/>
    </row>
    <row r="19732" spans="26:26" x14ac:dyDescent="0.25">
      <c r="Z19732"/>
    </row>
    <row r="19733" spans="26:26" x14ac:dyDescent="0.25">
      <c r="Z19733"/>
    </row>
    <row r="19734" spans="26:26" x14ac:dyDescent="0.25">
      <c r="Z19734"/>
    </row>
    <row r="19735" spans="26:26" x14ac:dyDescent="0.25">
      <c r="Z19735"/>
    </row>
    <row r="19736" spans="26:26" x14ac:dyDescent="0.25">
      <c r="Z19736"/>
    </row>
    <row r="19737" spans="26:26" x14ac:dyDescent="0.25">
      <c r="Z19737"/>
    </row>
    <row r="19738" spans="26:26" x14ac:dyDescent="0.25">
      <c r="Z19738"/>
    </row>
    <row r="19739" spans="26:26" x14ac:dyDescent="0.25">
      <c r="Z19739"/>
    </row>
    <row r="19740" spans="26:26" x14ac:dyDescent="0.25">
      <c r="Z19740"/>
    </row>
    <row r="19741" spans="26:26" x14ac:dyDescent="0.25">
      <c r="Z19741"/>
    </row>
    <row r="19742" spans="26:26" x14ac:dyDescent="0.25">
      <c r="Z19742"/>
    </row>
    <row r="19743" spans="26:26" x14ac:dyDescent="0.25">
      <c r="Z19743"/>
    </row>
    <row r="19744" spans="26:26" x14ac:dyDescent="0.25">
      <c r="Z19744"/>
    </row>
    <row r="19745" spans="26:26" x14ac:dyDescent="0.25">
      <c r="Z19745"/>
    </row>
    <row r="19746" spans="26:26" x14ac:dyDescent="0.25">
      <c r="Z19746"/>
    </row>
    <row r="19747" spans="26:26" x14ac:dyDescent="0.25">
      <c r="Z19747"/>
    </row>
    <row r="19748" spans="26:26" x14ac:dyDescent="0.25">
      <c r="Z19748"/>
    </row>
    <row r="19749" spans="26:26" x14ac:dyDescent="0.25">
      <c r="Z19749"/>
    </row>
    <row r="19750" spans="26:26" x14ac:dyDescent="0.25">
      <c r="Z19750"/>
    </row>
    <row r="19751" spans="26:26" x14ac:dyDescent="0.25">
      <c r="Z19751"/>
    </row>
    <row r="19752" spans="26:26" x14ac:dyDescent="0.25">
      <c r="Z19752"/>
    </row>
    <row r="19753" spans="26:26" x14ac:dyDescent="0.25">
      <c r="Z19753"/>
    </row>
    <row r="19754" spans="26:26" x14ac:dyDescent="0.25">
      <c r="Z19754"/>
    </row>
    <row r="19755" spans="26:26" x14ac:dyDescent="0.25">
      <c r="Z19755"/>
    </row>
    <row r="19756" spans="26:26" x14ac:dyDescent="0.25">
      <c r="Z19756"/>
    </row>
    <row r="19757" spans="26:26" x14ac:dyDescent="0.25">
      <c r="Z19757"/>
    </row>
    <row r="19758" spans="26:26" x14ac:dyDescent="0.25">
      <c r="Z19758"/>
    </row>
    <row r="19759" spans="26:26" x14ac:dyDescent="0.25">
      <c r="Z19759"/>
    </row>
    <row r="19760" spans="26:26" x14ac:dyDescent="0.25">
      <c r="Z19760"/>
    </row>
    <row r="19761" spans="26:26" x14ac:dyDescent="0.25">
      <c r="Z19761"/>
    </row>
    <row r="19762" spans="26:26" x14ac:dyDescent="0.25">
      <c r="Z19762"/>
    </row>
    <row r="19763" spans="26:26" x14ac:dyDescent="0.25">
      <c r="Z19763"/>
    </row>
    <row r="19764" spans="26:26" x14ac:dyDescent="0.25">
      <c r="Z19764"/>
    </row>
    <row r="19765" spans="26:26" x14ac:dyDescent="0.25">
      <c r="Z19765"/>
    </row>
    <row r="19766" spans="26:26" x14ac:dyDescent="0.25">
      <c r="Z19766"/>
    </row>
    <row r="19767" spans="26:26" x14ac:dyDescent="0.25">
      <c r="Z19767"/>
    </row>
    <row r="19768" spans="26:26" x14ac:dyDescent="0.25">
      <c r="Z19768"/>
    </row>
    <row r="19769" spans="26:26" x14ac:dyDescent="0.25">
      <c r="Z19769"/>
    </row>
    <row r="19770" spans="26:26" x14ac:dyDescent="0.25">
      <c r="Z19770"/>
    </row>
    <row r="19771" spans="26:26" x14ac:dyDescent="0.25">
      <c r="Z19771"/>
    </row>
    <row r="19772" spans="26:26" x14ac:dyDescent="0.25">
      <c r="Z19772"/>
    </row>
    <row r="19773" spans="26:26" x14ac:dyDescent="0.25">
      <c r="Z19773"/>
    </row>
    <row r="19774" spans="26:26" x14ac:dyDescent="0.25">
      <c r="Z19774"/>
    </row>
    <row r="19775" spans="26:26" x14ac:dyDescent="0.25">
      <c r="Z19775"/>
    </row>
    <row r="19776" spans="26:26" x14ac:dyDescent="0.25">
      <c r="Z19776"/>
    </row>
    <row r="19777" spans="26:26" x14ac:dyDescent="0.25">
      <c r="Z19777"/>
    </row>
    <row r="19778" spans="26:26" x14ac:dyDescent="0.25">
      <c r="Z19778"/>
    </row>
    <row r="19779" spans="26:26" x14ac:dyDescent="0.25">
      <c r="Z19779"/>
    </row>
    <row r="19780" spans="26:26" x14ac:dyDescent="0.25">
      <c r="Z19780"/>
    </row>
    <row r="19781" spans="26:26" x14ac:dyDescent="0.25">
      <c r="Z19781"/>
    </row>
    <row r="19782" spans="26:26" x14ac:dyDescent="0.25">
      <c r="Z19782"/>
    </row>
    <row r="19783" spans="26:26" x14ac:dyDescent="0.25">
      <c r="Z19783"/>
    </row>
    <row r="19784" spans="26:26" x14ac:dyDescent="0.25">
      <c r="Z19784"/>
    </row>
    <row r="19785" spans="26:26" x14ac:dyDescent="0.25">
      <c r="Z19785"/>
    </row>
    <row r="19786" spans="26:26" x14ac:dyDescent="0.25">
      <c r="Z19786"/>
    </row>
    <row r="19787" spans="26:26" x14ac:dyDescent="0.25">
      <c r="Z19787"/>
    </row>
    <row r="19788" spans="26:26" x14ac:dyDescent="0.25">
      <c r="Z19788"/>
    </row>
    <row r="19789" spans="26:26" x14ac:dyDescent="0.25">
      <c r="Z19789"/>
    </row>
    <row r="19790" spans="26:26" x14ac:dyDescent="0.25">
      <c r="Z19790"/>
    </row>
    <row r="19791" spans="26:26" x14ac:dyDescent="0.25">
      <c r="Z19791"/>
    </row>
    <row r="19792" spans="26:26" x14ac:dyDescent="0.25">
      <c r="Z19792"/>
    </row>
    <row r="19793" spans="26:26" x14ac:dyDescent="0.25">
      <c r="Z19793"/>
    </row>
    <row r="19794" spans="26:26" x14ac:dyDescent="0.25">
      <c r="Z19794"/>
    </row>
    <row r="19795" spans="26:26" x14ac:dyDescent="0.25">
      <c r="Z19795"/>
    </row>
    <row r="19796" spans="26:26" x14ac:dyDescent="0.25">
      <c r="Z19796"/>
    </row>
    <row r="19797" spans="26:26" x14ac:dyDescent="0.25">
      <c r="Z19797"/>
    </row>
    <row r="19798" spans="26:26" x14ac:dyDescent="0.25">
      <c r="Z19798"/>
    </row>
    <row r="19799" spans="26:26" x14ac:dyDescent="0.25">
      <c r="Z19799"/>
    </row>
    <row r="19800" spans="26:26" x14ac:dyDescent="0.25">
      <c r="Z19800"/>
    </row>
    <row r="19801" spans="26:26" x14ac:dyDescent="0.25">
      <c r="Z19801"/>
    </row>
    <row r="19802" spans="26:26" x14ac:dyDescent="0.25">
      <c r="Z19802"/>
    </row>
    <row r="19803" spans="26:26" x14ac:dyDescent="0.25">
      <c r="Z19803"/>
    </row>
    <row r="19804" spans="26:26" x14ac:dyDescent="0.25">
      <c r="Z19804"/>
    </row>
    <row r="19805" spans="26:26" x14ac:dyDescent="0.25">
      <c r="Z19805"/>
    </row>
    <row r="19806" spans="26:26" x14ac:dyDescent="0.25">
      <c r="Z19806"/>
    </row>
    <row r="19807" spans="26:26" x14ac:dyDescent="0.25">
      <c r="Z19807"/>
    </row>
    <row r="19808" spans="26:26" x14ac:dyDescent="0.25">
      <c r="Z19808"/>
    </row>
    <row r="19809" spans="26:26" x14ac:dyDescent="0.25">
      <c r="Z19809"/>
    </row>
    <row r="19810" spans="26:26" x14ac:dyDescent="0.25">
      <c r="Z19810"/>
    </row>
    <row r="19811" spans="26:26" x14ac:dyDescent="0.25">
      <c r="Z19811"/>
    </row>
    <row r="19812" spans="26:26" x14ac:dyDescent="0.25">
      <c r="Z19812"/>
    </row>
    <row r="19813" spans="26:26" x14ac:dyDescent="0.25">
      <c r="Z19813"/>
    </row>
    <row r="19814" spans="26:26" x14ac:dyDescent="0.25">
      <c r="Z19814"/>
    </row>
    <row r="19815" spans="26:26" x14ac:dyDescent="0.25">
      <c r="Z19815"/>
    </row>
    <row r="19816" spans="26:26" x14ac:dyDescent="0.25">
      <c r="Z19816"/>
    </row>
    <row r="19817" spans="26:26" x14ac:dyDescent="0.25">
      <c r="Z19817"/>
    </row>
    <row r="19818" spans="26:26" x14ac:dyDescent="0.25">
      <c r="Z19818"/>
    </row>
    <row r="19819" spans="26:26" x14ac:dyDescent="0.25">
      <c r="Z19819"/>
    </row>
    <row r="19820" spans="26:26" x14ac:dyDescent="0.25">
      <c r="Z19820"/>
    </row>
    <row r="19821" spans="26:26" x14ac:dyDescent="0.25">
      <c r="Z19821"/>
    </row>
    <row r="19822" spans="26:26" x14ac:dyDescent="0.25">
      <c r="Z19822"/>
    </row>
    <row r="19823" spans="26:26" x14ac:dyDescent="0.25">
      <c r="Z19823"/>
    </row>
    <row r="19824" spans="26:26" x14ac:dyDescent="0.25">
      <c r="Z19824"/>
    </row>
    <row r="19825" spans="26:26" x14ac:dyDescent="0.25">
      <c r="Z19825"/>
    </row>
    <row r="19826" spans="26:26" x14ac:dyDescent="0.25">
      <c r="Z19826"/>
    </row>
    <row r="19827" spans="26:26" x14ac:dyDescent="0.25">
      <c r="Z19827"/>
    </row>
    <row r="19828" spans="26:26" x14ac:dyDescent="0.25">
      <c r="Z19828"/>
    </row>
    <row r="19829" spans="26:26" x14ac:dyDescent="0.25">
      <c r="Z19829"/>
    </row>
    <row r="19830" spans="26:26" x14ac:dyDescent="0.25">
      <c r="Z19830"/>
    </row>
    <row r="19831" spans="26:26" x14ac:dyDescent="0.25">
      <c r="Z19831"/>
    </row>
    <row r="19832" spans="26:26" x14ac:dyDescent="0.25">
      <c r="Z19832"/>
    </row>
    <row r="19833" spans="26:26" x14ac:dyDescent="0.25">
      <c r="Z19833"/>
    </row>
    <row r="19834" spans="26:26" x14ac:dyDescent="0.25">
      <c r="Z19834"/>
    </row>
    <row r="19835" spans="26:26" x14ac:dyDescent="0.25">
      <c r="Z19835"/>
    </row>
    <row r="19836" spans="26:26" x14ac:dyDescent="0.25">
      <c r="Z19836"/>
    </row>
    <row r="19837" spans="26:26" x14ac:dyDescent="0.25">
      <c r="Z19837"/>
    </row>
    <row r="19838" spans="26:26" x14ac:dyDescent="0.25">
      <c r="Z19838"/>
    </row>
    <row r="19839" spans="26:26" x14ac:dyDescent="0.25">
      <c r="Z19839"/>
    </row>
    <row r="19840" spans="26:26" x14ac:dyDescent="0.25">
      <c r="Z19840"/>
    </row>
    <row r="19841" spans="26:26" x14ac:dyDescent="0.25">
      <c r="Z19841"/>
    </row>
    <row r="19842" spans="26:26" x14ac:dyDescent="0.25">
      <c r="Z19842"/>
    </row>
    <row r="19843" spans="26:26" x14ac:dyDescent="0.25">
      <c r="Z19843"/>
    </row>
    <row r="19844" spans="26:26" x14ac:dyDescent="0.25">
      <c r="Z19844"/>
    </row>
    <row r="19845" spans="26:26" x14ac:dyDescent="0.25">
      <c r="Z19845"/>
    </row>
    <row r="19846" spans="26:26" x14ac:dyDescent="0.25">
      <c r="Z19846"/>
    </row>
    <row r="19847" spans="26:26" x14ac:dyDescent="0.25">
      <c r="Z19847"/>
    </row>
    <row r="19848" spans="26:26" x14ac:dyDescent="0.25">
      <c r="Z19848"/>
    </row>
    <row r="19849" spans="26:26" x14ac:dyDescent="0.25">
      <c r="Z19849"/>
    </row>
    <row r="19850" spans="26:26" x14ac:dyDescent="0.25">
      <c r="Z19850"/>
    </row>
    <row r="19851" spans="26:26" x14ac:dyDescent="0.25">
      <c r="Z19851"/>
    </row>
    <row r="19852" spans="26:26" x14ac:dyDescent="0.25">
      <c r="Z19852"/>
    </row>
    <row r="19853" spans="26:26" x14ac:dyDescent="0.25">
      <c r="Z19853"/>
    </row>
    <row r="19854" spans="26:26" x14ac:dyDescent="0.25">
      <c r="Z19854"/>
    </row>
    <row r="19855" spans="26:26" x14ac:dyDescent="0.25">
      <c r="Z19855"/>
    </row>
    <row r="19856" spans="26:26" x14ac:dyDescent="0.25">
      <c r="Z19856"/>
    </row>
    <row r="19857" spans="26:26" x14ac:dyDescent="0.25">
      <c r="Z19857"/>
    </row>
    <row r="19858" spans="26:26" x14ac:dyDescent="0.25">
      <c r="Z19858"/>
    </row>
    <row r="19859" spans="26:26" x14ac:dyDescent="0.25">
      <c r="Z19859"/>
    </row>
    <row r="19860" spans="26:26" x14ac:dyDescent="0.25">
      <c r="Z19860"/>
    </row>
    <row r="19861" spans="26:26" x14ac:dyDescent="0.25">
      <c r="Z19861"/>
    </row>
    <row r="19862" spans="26:26" x14ac:dyDescent="0.25">
      <c r="Z19862"/>
    </row>
    <row r="19863" spans="26:26" x14ac:dyDescent="0.25">
      <c r="Z19863"/>
    </row>
    <row r="19864" spans="26:26" x14ac:dyDescent="0.25">
      <c r="Z19864"/>
    </row>
    <row r="19865" spans="26:26" x14ac:dyDescent="0.25">
      <c r="Z19865"/>
    </row>
    <row r="19866" spans="26:26" x14ac:dyDescent="0.25">
      <c r="Z19866"/>
    </row>
    <row r="19867" spans="26:26" x14ac:dyDescent="0.25">
      <c r="Z19867"/>
    </row>
    <row r="19868" spans="26:26" x14ac:dyDescent="0.25">
      <c r="Z19868"/>
    </row>
    <row r="19869" spans="26:26" x14ac:dyDescent="0.25">
      <c r="Z19869"/>
    </row>
    <row r="19870" spans="26:26" x14ac:dyDescent="0.25">
      <c r="Z19870"/>
    </row>
    <row r="19871" spans="26:26" x14ac:dyDescent="0.25">
      <c r="Z19871"/>
    </row>
    <row r="19872" spans="26:26" x14ac:dyDescent="0.25">
      <c r="Z19872"/>
    </row>
    <row r="19873" spans="26:26" x14ac:dyDescent="0.25">
      <c r="Z19873"/>
    </row>
    <row r="19874" spans="26:26" x14ac:dyDescent="0.25">
      <c r="Z19874"/>
    </row>
    <row r="19875" spans="26:26" x14ac:dyDescent="0.25">
      <c r="Z19875"/>
    </row>
    <row r="19876" spans="26:26" x14ac:dyDescent="0.25">
      <c r="Z19876"/>
    </row>
    <row r="19877" spans="26:26" x14ac:dyDescent="0.25">
      <c r="Z19877"/>
    </row>
    <row r="19878" spans="26:26" x14ac:dyDescent="0.25">
      <c r="Z19878"/>
    </row>
    <row r="19879" spans="26:26" x14ac:dyDescent="0.25">
      <c r="Z19879"/>
    </row>
    <row r="19880" spans="26:26" x14ac:dyDescent="0.25">
      <c r="Z19880"/>
    </row>
    <row r="19881" spans="26:26" x14ac:dyDescent="0.25">
      <c r="Z19881"/>
    </row>
    <row r="19882" spans="26:26" x14ac:dyDescent="0.25">
      <c r="Z19882"/>
    </row>
    <row r="19883" spans="26:26" x14ac:dyDescent="0.25">
      <c r="Z19883"/>
    </row>
    <row r="19884" spans="26:26" x14ac:dyDescent="0.25">
      <c r="Z19884"/>
    </row>
    <row r="19885" spans="26:26" x14ac:dyDescent="0.25">
      <c r="Z19885"/>
    </row>
    <row r="19886" spans="26:26" x14ac:dyDescent="0.25">
      <c r="Z19886"/>
    </row>
    <row r="19887" spans="26:26" x14ac:dyDescent="0.25">
      <c r="Z19887"/>
    </row>
    <row r="19888" spans="26:26" x14ac:dyDescent="0.25">
      <c r="Z19888"/>
    </row>
    <row r="19889" spans="26:26" x14ac:dyDescent="0.25">
      <c r="Z19889"/>
    </row>
    <row r="19890" spans="26:26" x14ac:dyDescent="0.25">
      <c r="Z19890"/>
    </row>
    <row r="19891" spans="26:26" x14ac:dyDescent="0.25">
      <c r="Z19891"/>
    </row>
    <row r="19892" spans="26:26" x14ac:dyDescent="0.25">
      <c r="Z19892"/>
    </row>
    <row r="19893" spans="26:26" x14ac:dyDescent="0.25">
      <c r="Z19893"/>
    </row>
    <row r="19894" spans="26:26" x14ac:dyDescent="0.25">
      <c r="Z19894"/>
    </row>
    <row r="19895" spans="26:26" x14ac:dyDescent="0.25">
      <c r="Z19895"/>
    </row>
    <row r="19896" spans="26:26" x14ac:dyDescent="0.25">
      <c r="Z19896"/>
    </row>
    <row r="19897" spans="26:26" x14ac:dyDescent="0.25">
      <c r="Z19897"/>
    </row>
    <row r="19898" spans="26:26" x14ac:dyDescent="0.25">
      <c r="Z19898"/>
    </row>
    <row r="19899" spans="26:26" x14ac:dyDescent="0.25">
      <c r="Z19899"/>
    </row>
    <row r="19900" spans="26:26" x14ac:dyDescent="0.25">
      <c r="Z19900"/>
    </row>
    <row r="19901" spans="26:26" x14ac:dyDescent="0.25">
      <c r="Z19901"/>
    </row>
    <row r="19902" spans="26:26" x14ac:dyDescent="0.25">
      <c r="Z19902"/>
    </row>
    <row r="19903" spans="26:26" x14ac:dyDescent="0.25">
      <c r="Z19903"/>
    </row>
    <row r="19904" spans="26:26" x14ac:dyDescent="0.25">
      <c r="Z19904"/>
    </row>
    <row r="19905" spans="26:26" x14ac:dyDescent="0.25">
      <c r="Z19905"/>
    </row>
    <row r="19906" spans="26:26" x14ac:dyDescent="0.25">
      <c r="Z19906"/>
    </row>
    <row r="19907" spans="26:26" x14ac:dyDescent="0.25">
      <c r="Z19907"/>
    </row>
    <row r="19908" spans="26:26" x14ac:dyDescent="0.25">
      <c r="Z19908"/>
    </row>
    <row r="19909" spans="26:26" x14ac:dyDescent="0.25">
      <c r="Z19909"/>
    </row>
    <row r="19910" spans="26:26" x14ac:dyDescent="0.25">
      <c r="Z19910"/>
    </row>
    <row r="19911" spans="26:26" x14ac:dyDescent="0.25">
      <c r="Z19911"/>
    </row>
    <row r="19912" spans="26:26" x14ac:dyDescent="0.25">
      <c r="Z19912"/>
    </row>
    <row r="19913" spans="26:26" x14ac:dyDescent="0.25">
      <c r="Z19913"/>
    </row>
    <row r="19914" spans="26:26" x14ac:dyDescent="0.25">
      <c r="Z19914"/>
    </row>
    <row r="19915" spans="26:26" x14ac:dyDescent="0.25">
      <c r="Z19915"/>
    </row>
    <row r="19916" spans="26:26" x14ac:dyDescent="0.25">
      <c r="Z19916"/>
    </row>
    <row r="19917" spans="26:26" x14ac:dyDescent="0.25">
      <c r="Z19917"/>
    </row>
    <row r="19918" spans="26:26" x14ac:dyDescent="0.25">
      <c r="Z19918"/>
    </row>
    <row r="19919" spans="26:26" x14ac:dyDescent="0.25">
      <c r="Z19919"/>
    </row>
    <row r="19920" spans="26:26" x14ac:dyDescent="0.25">
      <c r="Z19920"/>
    </row>
    <row r="19921" spans="26:26" x14ac:dyDescent="0.25">
      <c r="Z19921"/>
    </row>
    <row r="19922" spans="26:26" x14ac:dyDescent="0.25">
      <c r="Z19922"/>
    </row>
    <row r="19923" spans="26:26" x14ac:dyDescent="0.25">
      <c r="Z19923"/>
    </row>
    <row r="19924" spans="26:26" x14ac:dyDescent="0.25">
      <c r="Z19924"/>
    </row>
    <row r="19925" spans="26:26" x14ac:dyDescent="0.25">
      <c r="Z19925"/>
    </row>
    <row r="19926" spans="26:26" x14ac:dyDescent="0.25">
      <c r="Z19926"/>
    </row>
    <row r="19927" spans="26:26" x14ac:dyDescent="0.25">
      <c r="Z19927"/>
    </row>
    <row r="19928" spans="26:26" x14ac:dyDescent="0.25">
      <c r="Z19928"/>
    </row>
    <row r="19929" spans="26:26" x14ac:dyDescent="0.25">
      <c r="Z19929"/>
    </row>
    <row r="19930" spans="26:26" x14ac:dyDescent="0.25">
      <c r="Z19930"/>
    </row>
    <row r="19931" spans="26:26" x14ac:dyDescent="0.25">
      <c r="Z19931"/>
    </row>
    <row r="19932" spans="26:26" x14ac:dyDescent="0.25">
      <c r="Z19932"/>
    </row>
    <row r="19933" spans="26:26" x14ac:dyDescent="0.25">
      <c r="Z19933"/>
    </row>
    <row r="19934" spans="26:26" x14ac:dyDescent="0.25">
      <c r="Z19934"/>
    </row>
    <row r="19935" spans="26:26" x14ac:dyDescent="0.25">
      <c r="Z19935"/>
    </row>
    <row r="19936" spans="26:26" x14ac:dyDescent="0.25">
      <c r="Z19936"/>
    </row>
    <row r="19937" spans="26:26" x14ac:dyDescent="0.25">
      <c r="Z19937"/>
    </row>
    <row r="19938" spans="26:26" x14ac:dyDescent="0.25">
      <c r="Z19938"/>
    </row>
    <row r="19939" spans="26:26" x14ac:dyDescent="0.25">
      <c r="Z19939"/>
    </row>
    <row r="19940" spans="26:26" x14ac:dyDescent="0.25">
      <c r="Z19940"/>
    </row>
    <row r="19941" spans="26:26" x14ac:dyDescent="0.25">
      <c r="Z19941"/>
    </row>
    <row r="19942" spans="26:26" x14ac:dyDescent="0.25">
      <c r="Z19942"/>
    </row>
    <row r="19943" spans="26:26" x14ac:dyDescent="0.25">
      <c r="Z19943"/>
    </row>
    <row r="19944" spans="26:26" x14ac:dyDescent="0.25">
      <c r="Z19944"/>
    </row>
    <row r="19945" spans="26:26" x14ac:dyDescent="0.25">
      <c r="Z19945"/>
    </row>
    <row r="19946" spans="26:26" x14ac:dyDescent="0.25">
      <c r="Z19946"/>
    </row>
    <row r="19947" spans="26:26" x14ac:dyDescent="0.25">
      <c r="Z19947"/>
    </row>
    <row r="19948" spans="26:26" x14ac:dyDescent="0.25">
      <c r="Z19948"/>
    </row>
    <row r="19949" spans="26:26" x14ac:dyDescent="0.25">
      <c r="Z19949"/>
    </row>
    <row r="19950" spans="26:26" x14ac:dyDescent="0.25">
      <c r="Z19950"/>
    </row>
    <row r="19951" spans="26:26" x14ac:dyDescent="0.25">
      <c r="Z19951"/>
    </row>
    <row r="19952" spans="26:26" x14ac:dyDescent="0.25">
      <c r="Z19952"/>
    </row>
    <row r="19953" spans="26:26" x14ac:dyDescent="0.25">
      <c r="Z19953"/>
    </row>
    <row r="19954" spans="26:26" x14ac:dyDescent="0.25">
      <c r="Z19954"/>
    </row>
    <row r="19955" spans="26:26" x14ac:dyDescent="0.25">
      <c r="Z19955"/>
    </row>
    <row r="19956" spans="26:26" x14ac:dyDescent="0.25">
      <c r="Z19956"/>
    </row>
    <row r="19957" spans="26:26" x14ac:dyDescent="0.25">
      <c r="Z19957"/>
    </row>
    <row r="19958" spans="26:26" x14ac:dyDescent="0.25">
      <c r="Z19958"/>
    </row>
    <row r="19959" spans="26:26" x14ac:dyDescent="0.25">
      <c r="Z19959"/>
    </row>
    <row r="19960" spans="26:26" x14ac:dyDescent="0.25">
      <c r="Z19960"/>
    </row>
    <row r="19961" spans="26:26" x14ac:dyDescent="0.25">
      <c r="Z19961"/>
    </row>
    <row r="19962" spans="26:26" x14ac:dyDescent="0.25">
      <c r="Z19962"/>
    </row>
    <row r="19963" spans="26:26" x14ac:dyDescent="0.25">
      <c r="Z19963"/>
    </row>
    <row r="19964" spans="26:26" x14ac:dyDescent="0.25">
      <c r="Z19964"/>
    </row>
    <row r="19965" spans="26:26" x14ac:dyDescent="0.25">
      <c r="Z19965"/>
    </row>
    <row r="19966" spans="26:26" x14ac:dyDescent="0.25">
      <c r="Z19966"/>
    </row>
    <row r="19967" spans="26:26" x14ac:dyDescent="0.25">
      <c r="Z19967"/>
    </row>
    <row r="19968" spans="26:26" x14ac:dyDescent="0.25">
      <c r="Z19968"/>
    </row>
    <row r="19969" spans="26:26" x14ac:dyDescent="0.25">
      <c r="Z19969"/>
    </row>
    <row r="19970" spans="26:26" x14ac:dyDescent="0.25">
      <c r="Z19970"/>
    </row>
    <row r="19971" spans="26:26" x14ac:dyDescent="0.25">
      <c r="Z19971"/>
    </row>
    <row r="19972" spans="26:26" x14ac:dyDescent="0.25">
      <c r="Z19972"/>
    </row>
    <row r="19973" spans="26:26" x14ac:dyDescent="0.25">
      <c r="Z19973"/>
    </row>
    <row r="19974" spans="26:26" x14ac:dyDescent="0.25">
      <c r="Z19974"/>
    </row>
    <row r="19975" spans="26:26" x14ac:dyDescent="0.25">
      <c r="Z19975"/>
    </row>
    <row r="19976" spans="26:26" x14ac:dyDescent="0.25">
      <c r="Z19976"/>
    </row>
    <row r="19977" spans="26:26" x14ac:dyDescent="0.25">
      <c r="Z19977"/>
    </row>
    <row r="19978" spans="26:26" x14ac:dyDescent="0.25">
      <c r="Z19978"/>
    </row>
    <row r="19979" spans="26:26" x14ac:dyDescent="0.25">
      <c r="Z19979"/>
    </row>
    <row r="19980" spans="26:26" x14ac:dyDescent="0.25">
      <c r="Z19980"/>
    </row>
    <row r="19981" spans="26:26" x14ac:dyDescent="0.25">
      <c r="Z19981"/>
    </row>
    <row r="19982" spans="26:26" x14ac:dyDescent="0.25">
      <c r="Z19982"/>
    </row>
    <row r="19983" spans="26:26" x14ac:dyDescent="0.25">
      <c r="Z19983"/>
    </row>
    <row r="19984" spans="26:26" x14ac:dyDescent="0.25">
      <c r="Z19984"/>
    </row>
    <row r="19985" spans="26:26" x14ac:dyDescent="0.25">
      <c r="Z19985"/>
    </row>
    <row r="19986" spans="26:26" x14ac:dyDescent="0.25">
      <c r="Z19986"/>
    </row>
    <row r="19987" spans="26:26" x14ac:dyDescent="0.25">
      <c r="Z19987"/>
    </row>
    <row r="19988" spans="26:26" x14ac:dyDescent="0.25">
      <c r="Z19988"/>
    </row>
    <row r="19989" spans="26:26" x14ac:dyDescent="0.25">
      <c r="Z19989"/>
    </row>
    <row r="19990" spans="26:26" x14ac:dyDescent="0.25">
      <c r="Z19990"/>
    </row>
    <row r="19991" spans="26:26" x14ac:dyDescent="0.25">
      <c r="Z19991"/>
    </row>
    <row r="19992" spans="26:26" x14ac:dyDescent="0.25">
      <c r="Z19992"/>
    </row>
    <row r="19993" spans="26:26" x14ac:dyDescent="0.25">
      <c r="Z19993"/>
    </row>
    <row r="19994" spans="26:26" x14ac:dyDescent="0.25">
      <c r="Z19994"/>
    </row>
    <row r="19995" spans="26:26" x14ac:dyDescent="0.25">
      <c r="Z19995"/>
    </row>
    <row r="19996" spans="26:26" x14ac:dyDescent="0.25">
      <c r="Z19996"/>
    </row>
    <row r="19997" spans="26:26" x14ac:dyDescent="0.25">
      <c r="Z19997"/>
    </row>
    <row r="19998" spans="26:26" x14ac:dyDescent="0.25">
      <c r="Z19998"/>
    </row>
    <row r="19999" spans="26:26" x14ac:dyDescent="0.25">
      <c r="Z19999"/>
    </row>
    <row r="20000" spans="26:26" x14ac:dyDescent="0.25">
      <c r="Z20000"/>
    </row>
    <row r="20001" spans="26:26" x14ac:dyDescent="0.25">
      <c r="Z20001"/>
    </row>
    <row r="20002" spans="26:26" x14ac:dyDescent="0.25">
      <c r="Z20002"/>
    </row>
    <row r="20003" spans="26:26" x14ac:dyDescent="0.25">
      <c r="Z20003"/>
    </row>
    <row r="20004" spans="26:26" x14ac:dyDescent="0.25">
      <c r="Z20004"/>
    </row>
    <row r="20005" spans="26:26" x14ac:dyDescent="0.25">
      <c r="Z20005"/>
    </row>
    <row r="20006" spans="26:26" x14ac:dyDescent="0.25">
      <c r="Z20006"/>
    </row>
    <row r="20007" spans="26:26" x14ac:dyDescent="0.25">
      <c r="Z20007"/>
    </row>
    <row r="20008" spans="26:26" x14ac:dyDescent="0.25">
      <c r="Z20008"/>
    </row>
    <row r="20009" spans="26:26" x14ac:dyDescent="0.25">
      <c r="Z20009"/>
    </row>
    <row r="20010" spans="26:26" x14ac:dyDescent="0.25">
      <c r="Z20010"/>
    </row>
    <row r="20011" spans="26:26" x14ac:dyDescent="0.25">
      <c r="Z20011"/>
    </row>
    <row r="20012" spans="26:26" x14ac:dyDescent="0.25">
      <c r="Z20012"/>
    </row>
    <row r="20013" spans="26:26" x14ac:dyDescent="0.25">
      <c r="Z20013"/>
    </row>
    <row r="20014" spans="26:26" x14ac:dyDescent="0.25">
      <c r="Z20014"/>
    </row>
    <row r="20015" spans="26:26" x14ac:dyDescent="0.25">
      <c r="Z20015"/>
    </row>
    <row r="20016" spans="26:26" x14ac:dyDescent="0.25">
      <c r="Z20016"/>
    </row>
    <row r="20017" spans="26:26" x14ac:dyDescent="0.25">
      <c r="Z20017"/>
    </row>
    <row r="20018" spans="26:26" x14ac:dyDescent="0.25">
      <c r="Z20018"/>
    </row>
    <row r="20019" spans="26:26" x14ac:dyDescent="0.25">
      <c r="Z20019"/>
    </row>
    <row r="20020" spans="26:26" x14ac:dyDescent="0.25">
      <c r="Z20020"/>
    </row>
    <row r="20021" spans="26:26" x14ac:dyDescent="0.25">
      <c r="Z20021"/>
    </row>
    <row r="20022" spans="26:26" x14ac:dyDescent="0.25">
      <c r="Z20022"/>
    </row>
    <row r="20023" spans="26:26" x14ac:dyDescent="0.25">
      <c r="Z20023"/>
    </row>
    <row r="20024" spans="26:26" x14ac:dyDescent="0.25">
      <c r="Z20024"/>
    </row>
    <row r="20025" spans="26:26" x14ac:dyDescent="0.25">
      <c r="Z20025"/>
    </row>
    <row r="20026" spans="26:26" x14ac:dyDescent="0.25">
      <c r="Z20026"/>
    </row>
    <row r="20027" spans="26:26" x14ac:dyDescent="0.25">
      <c r="Z20027"/>
    </row>
    <row r="20028" spans="26:26" x14ac:dyDescent="0.25">
      <c r="Z20028"/>
    </row>
    <row r="20029" spans="26:26" x14ac:dyDescent="0.25">
      <c r="Z20029"/>
    </row>
    <row r="20030" spans="26:26" x14ac:dyDescent="0.25">
      <c r="Z20030"/>
    </row>
    <row r="20031" spans="26:26" x14ac:dyDescent="0.25">
      <c r="Z20031"/>
    </row>
    <row r="20032" spans="26:26" x14ac:dyDescent="0.25">
      <c r="Z20032"/>
    </row>
    <row r="20033" spans="26:26" x14ac:dyDescent="0.25">
      <c r="Z20033"/>
    </row>
    <row r="20034" spans="26:26" x14ac:dyDescent="0.25">
      <c r="Z20034"/>
    </row>
    <row r="20035" spans="26:26" x14ac:dyDescent="0.25">
      <c r="Z20035"/>
    </row>
    <row r="20036" spans="26:26" x14ac:dyDescent="0.25">
      <c r="Z20036"/>
    </row>
    <row r="20037" spans="26:26" x14ac:dyDescent="0.25">
      <c r="Z20037"/>
    </row>
    <row r="20038" spans="26:26" x14ac:dyDescent="0.25">
      <c r="Z20038"/>
    </row>
    <row r="20039" spans="26:26" x14ac:dyDescent="0.25">
      <c r="Z20039"/>
    </row>
    <row r="20040" spans="26:26" x14ac:dyDescent="0.25">
      <c r="Z20040"/>
    </row>
    <row r="20041" spans="26:26" x14ac:dyDescent="0.25">
      <c r="Z20041"/>
    </row>
    <row r="20042" spans="26:26" x14ac:dyDescent="0.25">
      <c r="Z20042"/>
    </row>
    <row r="20043" spans="26:26" x14ac:dyDescent="0.25">
      <c r="Z20043"/>
    </row>
    <row r="20044" spans="26:26" x14ac:dyDescent="0.25">
      <c r="Z20044"/>
    </row>
    <row r="20045" spans="26:26" x14ac:dyDescent="0.25">
      <c r="Z20045"/>
    </row>
    <row r="20046" spans="26:26" x14ac:dyDescent="0.25">
      <c r="Z20046"/>
    </row>
    <row r="20047" spans="26:26" x14ac:dyDescent="0.25">
      <c r="Z20047"/>
    </row>
    <row r="20048" spans="26:26" x14ac:dyDescent="0.25">
      <c r="Z20048"/>
    </row>
    <row r="20049" spans="26:26" x14ac:dyDescent="0.25">
      <c r="Z20049"/>
    </row>
    <row r="20050" spans="26:26" x14ac:dyDescent="0.25">
      <c r="Z20050"/>
    </row>
    <row r="20051" spans="26:26" x14ac:dyDescent="0.25">
      <c r="Z20051"/>
    </row>
    <row r="20052" spans="26:26" x14ac:dyDescent="0.25">
      <c r="Z20052"/>
    </row>
    <row r="20053" spans="26:26" x14ac:dyDescent="0.25">
      <c r="Z20053"/>
    </row>
    <row r="20054" spans="26:26" x14ac:dyDescent="0.25">
      <c r="Z20054"/>
    </row>
    <row r="20055" spans="26:26" x14ac:dyDescent="0.25">
      <c r="Z20055"/>
    </row>
    <row r="20056" spans="26:26" x14ac:dyDescent="0.25">
      <c r="Z20056"/>
    </row>
    <row r="20057" spans="26:26" x14ac:dyDescent="0.25">
      <c r="Z20057"/>
    </row>
    <row r="20058" spans="26:26" x14ac:dyDescent="0.25">
      <c r="Z20058"/>
    </row>
    <row r="20059" spans="26:26" x14ac:dyDescent="0.25">
      <c r="Z20059"/>
    </row>
    <row r="20060" spans="26:26" x14ac:dyDescent="0.25">
      <c r="Z20060"/>
    </row>
    <row r="20061" spans="26:26" x14ac:dyDescent="0.25">
      <c r="Z20061"/>
    </row>
    <row r="20062" spans="26:26" x14ac:dyDescent="0.25">
      <c r="Z20062"/>
    </row>
    <row r="20063" spans="26:26" x14ac:dyDescent="0.25">
      <c r="Z20063"/>
    </row>
    <row r="20064" spans="26:26" x14ac:dyDescent="0.25">
      <c r="Z20064"/>
    </row>
    <row r="20065" spans="26:26" x14ac:dyDescent="0.25">
      <c r="Z20065"/>
    </row>
    <row r="20066" spans="26:26" x14ac:dyDescent="0.25">
      <c r="Z20066"/>
    </row>
    <row r="20067" spans="26:26" x14ac:dyDescent="0.25">
      <c r="Z20067"/>
    </row>
    <row r="20068" spans="26:26" x14ac:dyDescent="0.25">
      <c r="Z20068"/>
    </row>
    <row r="20069" spans="26:26" x14ac:dyDescent="0.25">
      <c r="Z20069"/>
    </row>
    <row r="20070" spans="26:26" x14ac:dyDescent="0.25">
      <c r="Z20070"/>
    </row>
    <row r="20071" spans="26:26" x14ac:dyDescent="0.25">
      <c r="Z20071"/>
    </row>
    <row r="20072" spans="26:26" x14ac:dyDescent="0.25">
      <c r="Z20072"/>
    </row>
    <row r="20073" spans="26:26" x14ac:dyDescent="0.25">
      <c r="Z20073"/>
    </row>
    <row r="20074" spans="26:26" x14ac:dyDescent="0.25">
      <c r="Z20074"/>
    </row>
    <row r="20075" spans="26:26" x14ac:dyDescent="0.25">
      <c r="Z20075"/>
    </row>
    <row r="20076" spans="26:26" x14ac:dyDescent="0.25">
      <c r="Z20076"/>
    </row>
    <row r="20077" spans="26:26" x14ac:dyDescent="0.25">
      <c r="Z20077"/>
    </row>
    <row r="20078" spans="26:26" x14ac:dyDescent="0.25">
      <c r="Z20078"/>
    </row>
    <row r="20079" spans="26:26" x14ac:dyDescent="0.25">
      <c r="Z20079"/>
    </row>
    <row r="20080" spans="26:26" x14ac:dyDescent="0.25">
      <c r="Z20080"/>
    </row>
    <row r="20081" spans="26:26" x14ac:dyDescent="0.25">
      <c r="Z20081"/>
    </row>
    <row r="20082" spans="26:26" x14ac:dyDescent="0.25">
      <c r="Z20082"/>
    </row>
    <row r="20083" spans="26:26" x14ac:dyDescent="0.25">
      <c r="Z20083"/>
    </row>
    <row r="20084" spans="26:26" x14ac:dyDescent="0.25">
      <c r="Z20084"/>
    </row>
    <row r="20085" spans="26:26" x14ac:dyDescent="0.25">
      <c r="Z20085"/>
    </row>
    <row r="20086" spans="26:26" x14ac:dyDescent="0.25">
      <c r="Z20086"/>
    </row>
    <row r="20087" spans="26:26" x14ac:dyDescent="0.25">
      <c r="Z20087"/>
    </row>
    <row r="20088" spans="26:26" x14ac:dyDescent="0.25">
      <c r="Z20088"/>
    </row>
    <row r="20089" spans="26:26" x14ac:dyDescent="0.25">
      <c r="Z20089"/>
    </row>
    <row r="20090" spans="26:26" x14ac:dyDescent="0.25">
      <c r="Z20090"/>
    </row>
    <row r="20091" spans="26:26" x14ac:dyDescent="0.25">
      <c r="Z20091"/>
    </row>
    <row r="20092" spans="26:26" x14ac:dyDescent="0.25">
      <c r="Z20092"/>
    </row>
    <row r="20093" spans="26:26" x14ac:dyDescent="0.25">
      <c r="Z20093"/>
    </row>
    <row r="20094" spans="26:26" x14ac:dyDescent="0.25">
      <c r="Z20094"/>
    </row>
    <row r="20095" spans="26:26" x14ac:dyDescent="0.25">
      <c r="Z20095"/>
    </row>
    <row r="20096" spans="26:26" x14ac:dyDescent="0.25">
      <c r="Z20096"/>
    </row>
    <row r="20097" spans="26:26" x14ac:dyDescent="0.25">
      <c r="Z20097"/>
    </row>
    <row r="20098" spans="26:26" x14ac:dyDescent="0.25">
      <c r="Z20098"/>
    </row>
    <row r="20099" spans="26:26" x14ac:dyDescent="0.25">
      <c r="Z20099"/>
    </row>
    <row r="20100" spans="26:26" x14ac:dyDescent="0.25">
      <c r="Z20100"/>
    </row>
    <row r="20101" spans="26:26" x14ac:dyDescent="0.25">
      <c r="Z20101"/>
    </row>
    <row r="20102" spans="26:26" x14ac:dyDescent="0.25">
      <c r="Z20102"/>
    </row>
    <row r="20103" spans="26:26" x14ac:dyDescent="0.25">
      <c r="Z20103"/>
    </row>
    <row r="20104" spans="26:26" x14ac:dyDescent="0.25">
      <c r="Z20104"/>
    </row>
    <row r="20105" spans="26:26" x14ac:dyDescent="0.25">
      <c r="Z20105"/>
    </row>
    <row r="20106" spans="26:26" x14ac:dyDescent="0.25">
      <c r="Z20106"/>
    </row>
    <row r="20107" spans="26:26" x14ac:dyDescent="0.25">
      <c r="Z20107"/>
    </row>
    <row r="20108" spans="26:26" x14ac:dyDescent="0.25">
      <c r="Z20108"/>
    </row>
    <row r="20109" spans="26:26" x14ac:dyDescent="0.25">
      <c r="Z20109"/>
    </row>
    <row r="20110" spans="26:26" x14ac:dyDescent="0.25">
      <c r="Z20110"/>
    </row>
    <row r="20111" spans="26:26" x14ac:dyDescent="0.25">
      <c r="Z20111"/>
    </row>
    <row r="20112" spans="26:26" x14ac:dyDescent="0.25">
      <c r="Z20112"/>
    </row>
    <row r="20113" spans="26:26" x14ac:dyDescent="0.25">
      <c r="Z20113"/>
    </row>
    <row r="20114" spans="26:26" x14ac:dyDescent="0.25">
      <c r="Z20114"/>
    </row>
    <row r="20115" spans="26:26" x14ac:dyDescent="0.25">
      <c r="Z20115"/>
    </row>
    <row r="20116" spans="26:26" x14ac:dyDescent="0.25">
      <c r="Z20116"/>
    </row>
    <row r="20117" spans="26:26" x14ac:dyDescent="0.25">
      <c r="Z20117"/>
    </row>
    <row r="20118" spans="26:26" x14ac:dyDescent="0.25">
      <c r="Z20118"/>
    </row>
    <row r="20119" spans="26:26" x14ac:dyDescent="0.25">
      <c r="Z20119"/>
    </row>
    <row r="20120" spans="26:26" x14ac:dyDescent="0.25">
      <c r="Z20120"/>
    </row>
    <row r="20121" spans="26:26" x14ac:dyDescent="0.25">
      <c r="Z20121"/>
    </row>
    <row r="20122" spans="26:26" x14ac:dyDescent="0.25">
      <c r="Z20122"/>
    </row>
    <row r="20123" spans="26:26" x14ac:dyDescent="0.25">
      <c r="Z20123"/>
    </row>
    <row r="20124" spans="26:26" x14ac:dyDescent="0.25">
      <c r="Z20124"/>
    </row>
    <row r="20125" spans="26:26" x14ac:dyDescent="0.25">
      <c r="Z20125"/>
    </row>
    <row r="20126" spans="26:26" x14ac:dyDescent="0.25">
      <c r="Z20126"/>
    </row>
    <row r="20127" spans="26:26" x14ac:dyDescent="0.25">
      <c r="Z20127"/>
    </row>
    <row r="20128" spans="26:26" x14ac:dyDescent="0.25">
      <c r="Z20128"/>
    </row>
    <row r="20129" spans="26:26" x14ac:dyDescent="0.25">
      <c r="Z20129"/>
    </row>
    <row r="20130" spans="26:26" x14ac:dyDescent="0.25">
      <c r="Z20130"/>
    </row>
    <row r="20131" spans="26:26" x14ac:dyDescent="0.25">
      <c r="Z20131"/>
    </row>
    <row r="20132" spans="26:26" x14ac:dyDescent="0.25">
      <c r="Z20132"/>
    </row>
    <row r="20133" spans="26:26" x14ac:dyDescent="0.25">
      <c r="Z20133"/>
    </row>
    <row r="20134" spans="26:26" x14ac:dyDescent="0.25">
      <c r="Z20134"/>
    </row>
    <row r="20135" spans="26:26" x14ac:dyDescent="0.25">
      <c r="Z20135"/>
    </row>
    <row r="20136" spans="26:26" x14ac:dyDescent="0.25">
      <c r="Z20136"/>
    </row>
    <row r="20137" spans="26:26" x14ac:dyDescent="0.25">
      <c r="Z20137"/>
    </row>
    <row r="20138" spans="26:26" x14ac:dyDescent="0.25">
      <c r="Z20138"/>
    </row>
    <row r="20139" spans="26:26" x14ac:dyDescent="0.25">
      <c r="Z20139"/>
    </row>
    <row r="20140" spans="26:26" x14ac:dyDescent="0.25">
      <c r="Z20140"/>
    </row>
    <row r="20141" spans="26:26" x14ac:dyDescent="0.25">
      <c r="Z20141"/>
    </row>
    <row r="20142" spans="26:26" x14ac:dyDescent="0.25">
      <c r="Z20142"/>
    </row>
    <row r="20143" spans="26:26" x14ac:dyDescent="0.25">
      <c r="Z20143"/>
    </row>
    <row r="20144" spans="26:26" x14ac:dyDescent="0.25">
      <c r="Z20144"/>
    </row>
    <row r="20145" spans="26:26" x14ac:dyDescent="0.25">
      <c r="Z20145"/>
    </row>
    <row r="20146" spans="26:26" x14ac:dyDescent="0.25">
      <c r="Z20146"/>
    </row>
    <row r="20147" spans="26:26" x14ac:dyDescent="0.25">
      <c r="Z20147"/>
    </row>
    <row r="20148" spans="26:26" x14ac:dyDescent="0.25">
      <c r="Z20148"/>
    </row>
    <row r="20149" spans="26:26" x14ac:dyDescent="0.25">
      <c r="Z20149"/>
    </row>
    <row r="20150" spans="26:26" x14ac:dyDescent="0.25">
      <c r="Z20150"/>
    </row>
    <row r="20151" spans="26:26" x14ac:dyDescent="0.25">
      <c r="Z20151"/>
    </row>
    <row r="20152" spans="26:26" x14ac:dyDescent="0.25">
      <c r="Z20152"/>
    </row>
    <row r="20153" spans="26:26" x14ac:dyDescent="0.25">
      <c r="Z20153"/>
    </row>
    <row r="20154" spans="26:26" x14ac:dyDescent="0.25">
      <c r="Z20154"/>
    </row>
    <row r="20155" spans="26:26" x14ac:dyDescent="0.25">
      <c r="Z20155"/>
    </row>
    <row r="20156" spans="26:26" x14ac:dyDescent="0.25">
      <c r="Z20156"/>
    </row>
    <row r="20157" spans="26:26" x14ac:dyDescent="0.25">
      <c r="Z20157"/>
    </row>
    <row r="20158" spans="26:26" x14ac:dyDescent="0.25">
      <c r="Z20158"/>
    </row>
    <row r="20159" spans="26:26" x14ac:dyDescent="0.25">
      <c r="Z20159"/>
    </row>
    <row r="20160" spans="26:26" x14ac:dyDescent="0.25">
      <c r="Z20160"/>
    </row>
    <row r="20161" spans="26:26" x14ac:dyDescent="0.25">
      <c r="Z20161"/>
    </row>
    <row r="20162" spans="26:26" x14ac:dyDescent="0.25">
      <c r="Z20162"/>
    </row>
    <row r="20163" spans="26:26" x14ac:dyDescent="0.25">
      <c r="Z20163"/>
    </row>
    <row r="20164" spans="26:26" x14ac:dyDescent="0.25">
      <c r="Z20164"/>
    </row>
    <row r="20165" spans="26:26" x14ac:dyDescent="0.25">
      <c r="Z20165"/>
    </row>
    <row r="20166" spans="26:26" x14ac:dyDescent="0.25">
      <c r="Z20166"/>
    </row>
    <row r="20167" spans="26:26" x14ac:dyDescent="0.25">
      <c r="Z20167"/>
    </row>
    <row r="20168" spans="26:26" x14ac:dyDescent="0.25">
      <c r="Z20168"/>
    </row>
    <row r="20169" spans="26:26" x14ac:dyDescent="0.25">
      <c r="Z20169"/>
    </row>
    <row r="20170" spans="26:26" x14ac:dyDescent="0.25">
      <c r="Z20170"/>
    </row>
    <row r="20171" spans="26:26" x14ac:dyDescent="0.25">
      <c r="Z20171"/>
    </row>
    <row r="20172" spans="26:26" x14ac:dyDescent="0.25">
      <c r="Z20172"/>
    </row>
    <row r="20173" spans="26:26" x14ac:dyDescent="0.25">
      <c r="Z20173"/>
    </row>
    <row r="20174" spans="26:26" x14ac:dyDescent="0.25">
      <c r="Z20174"/>
    </row>
    <row r="20175" spans="26:26" x14ac:dyDescent="0.25">
      <c r="Z20175"/>
    </row>
    <row r="20176" spans="26:26" x14ac:dyDescent="0.25">
      <c r="Z20176"/>
    </row>
    <row r="20177" spans="26:26" x14ac:dyDescent="0.25">
      <c r="Z20177"/>
    </row>
    <row r="20178" spans="26:26" x14ac:dyDescent="0.25">
      <c r="Z20178"/>
    </row>
    <row r="20179" spans="26:26" x14ac:dyDescent="0.25">
      <c r="Z20179"/>
    </row>
    <row r="20180" spans="26:26" x14ac:dyDescent="0.25">
      <c r="Z20180"/>
    </row>
    <row r="20181" spans="26:26" x14ac:dyDescent="0.25">
      <c r="Z20181"/>
    </row>
    <row r="20182" spans="26:26" x14ac:dyDescent="0.25">
      <c r="Z20182"/>
    </row>
    <row r="20183" spans="26:26" x14ac:dyDescent="0.25">
      <c r="Z20183"/>
    </row>
    <row r="20184" spans="26:26" x14ac:dyDescent="0.25">
      <c r="Z20184"/>
    </row>
    <row r="20185" spans="26:26" x14ac:dyDescent="0.25">
      <c r="Z20185"/>
    </row>
    <row r="20186" spans="26:26" x14ac:dyDescent="0.25">
      <c r="Z20186"/>
    </row>
    <row r="20187" spans="26:26" x14ac:dyDescent="0.25">
      <c r="Z20187"/>
    </row>
    <row r="20188" spans="26:26" x14ac:dyDescent="0.25">
      <c r="Z20188"/>
    </row>
    <row r="20189" spans="26:26" x14ac:dyDescent="0.25">
      <c r="Z20189"/>
    </row>
    <row r="20190" spans="26:26" x14ac:dyDescent="0.25">
      <c r="Z20190"/>
    </row>
    <row r="20191" spans="26:26" x14ac:dyDescent="0.25">
      <c r="Z20191"/>
    </row>
    <row r="20192" spans="26:26" x14ac:dyDescent="0.25">
      <c r="Z20192"/>
    </row>
    <row r="20193" spans="26:26" x14ac:dyDescent="0.25">
      <c r="Z20193"/>
    </row>
    <row r="20194" spans="26:26" x14ac:dyDescent="0.25">
      <c r="Z20194"/>
    </row>
    <row r="20195" spans="26:26" x14ac:dyDescent="0.25">
      <c r="Z20195"/>
    </row>
    <row r="20196" spans="26:26" x14ac:dyDescent="0.25">
      <c r="Z20196"/>
    </row>
    <row r="20197" spans="26:26" x14ac:dyDescent="0.25">
      <c r="Z20197"/>
    </row>
    <row r="20198" spans="26:26" x14ac:dyDescent="0.25">
      <c r="Z20198"/>
    </row>
    <row r="20199" spans="26:26" x14ac:dyDescent="0.25">
      <c r="Z20199"/>
    </row>
    <row r="20200" spans="26:26" x14ac:dyDescent="0.25">
      <c r="Z20200"/>
    </row>
    <row r="20201" spans="26:26" x14ac:dyDescent="0.25">
      <c r="Z20201"/>
    </row>
    <row r="20202" spans="26:26" x14ac:dyDescent="0.25">
      <c r="Z20202"/>
    </row>
    <row r="20203" spans="26:26" x14ac:dyDescent="0.25">
      <c r="Z20203"/>
    </row>
    <row r="20204" spans="26:26" x14ac:dyDescent="0.25">
      <c r="Z20204"/>
    </row>
    <row r="20205" spans="26:26" x14ac:dyDescent="0.25">
      <c r="Z20205"/>
    </row>
    <row r="20206" spans="26:26" x14ac:dyDescent="0.25">
      <c r="Z20206"/>
    </row>
    <row r="20207" spans="26:26" x14ac:dyDescent="0.25">
      <c r="Z20207"/>
    </row>
    <row r="20208" spans="26:26" x14ac:dyDescent="0.25">
      <c r="Z20208"/>
    </row>
    <row r="20209" spans="26:26" x14ac:dyDescent="0.25">
      <c r="Z20209"/>
    </row>
    <row r="20210" spans="26:26" x14ac:dyDescent="0.25">
      <c r="Z20210"/>
    </row>
    <row r="20211" spans="26:26" x14ac:dyDescent="0.25">
      <c r="Z20211"/>
    </row>
    <row r="20212" spans="26:26" x14ac:dyDescent="0.25">
      <c r="Z20212"/>
    </row>
    <row r="20213" spans="26:26" x14ac:dyDescent="0.25">
      <c r="Z20213"/>
    </row>
    <row r="20214" spans="26:26" x14ac:dyDescent="0.25">
      <c r="Z20214"/>
    </row>
    <row r="20215" spans="26:26" x14ac:dyDescent="0.25">
      <c r="Z20215"/>
    </row>
    <row r="20216" spans="26:26" x14ac:dyDescent="0.25">
      <c r="Z20216"/>
    </row>
    <row r="20217" spans="26:26" x14ac:dyDescent="0.25">
      <c r="Z20217"/>
    </row>
    <row r="20218" spans="26:26" x14ac:dyDescent="0.25">
      <c r="Z20218"/>
    </row>
    <row r="20219" spans="26:26" x14ac:dyDescent="0.25">
      <c r="Z20219"/>
    </row>
    <row r="20220" spans="26:26" x14ac:dyDescent="0.25">
      <c r="Z20220"/>
    </row>
    <row r="20221" spans="26:26" x14ac:dyDescent="0.25">
      <c r="Z20221"/>
    </row>
    <row r="20222" spans="26:26" x14ac:dyDescent="0.25">
      <c r="Z20222"/>
    </row>
    <row r="20223" spans="26:26" x14ac:dyDescent="0.25">
      <c r="Z20223"/>
    </row>
    <row r="20224" spans="26:26" x14ac:dyDescent="0.25">
      <c r="Z20224"/>
    </row>
    <row r="20225" spans="26:26" x14ac:dyDescent="0.25">
      <c r="Z20225"/>
    </row>
    <row r="20226" spans="26:26" x14ac:dyDescent="0.25">
      <c r="Z20226"/>
    </row>
    <row r="20227" spans="26:26" x14ac:dyDescent="0.25">
      <c r="Z20227"/>
    </row>
    <row r="20228" spans="26:26" x14ac:dyDescent="0.25">
      <c r="Z20228"/>
    </row>
    <row r="20229" spans="26:26" x14ac:dyDescent="0.25">
      <c r="Z20229"/>
    </row>
    <row r="20230" spans="26:26" x14ac:dyDescent="0.25">
      <c r="Z20230"/>
    </row>
    <row r="20231" spans="26:26" x14ac:dyDescent="0.25">
      <c r="Z20231"/>
    </row>
    <row r="20232" spans="26:26" x14ac:dyDescent="0.25">
      <c r="Z20232"/>
    </row>
    <row r="20233" spans="26:26" x14ac:dyDescent="0.25">
      <c r="Z20233"/>
    </row>
    <row r="20234" spans="26:26" x14ac:dyDescent="0.25">
      <c r="Z20234"/>
    </row>
    <row r="20235" spans="26:26" x14ac:dyDescent="0.25">
      <c r="Z20235"/>
    </row>
    <row r="20236" spans="26:26" x14ac:dyDescent="0.25">
      <c r="Z20236"/>
    </row>
    <row r="20237" spans="26:26" x14ac:dyDescent="0.25">
      <c r="Z20237"/>
    </row>
    <row r="20238" spans="26:26" x14ac:dyDescent="0.25">
      <c r="Z20238"/>
    </row>
    <row r="20239" spans="26:26" x14ac:dyDescent="0.25">
      <c r="Z20239"/>
    </row>
    <row r="20240" spans="26:26" x14ac:dyDescent="0.25">
      <c r="Z20240"/>
    </row>
    <row r="20241" spans="26:26" x14ac:dyDescent="0.25">
      <c r="Z20241"/>
    </row>
    <row r="20242" spans="26:26" x14ac:dyDescent="0.25">
      <c r="Z20242"/>
    </row>
    <row r="20243" spans="26:26" x14ac:dyDescent="0.25">
      <c r="Z20243"/>
    </row>
    <row r="20244" spans="26:26" x14ac:dyDescent="0.25">
      <c r="Z20244"/>
    </row>
    <row r="20245" spans="26:26" x14ac:dyDescent="0.25">
      <c r="Z20245"/>
    </row>
    <row r="20246" spans="26:26" x14ac:dyDescent="0.25">
      <c r="Z20246"/>
    </row>
    <row r="20247" spans="26:26" x14ac:dyDescent="0.25">
      <c r="Z20247"/>
    </row>
    <row r="20248" spans="26:26" x14ac:dyDescent="0.25">
      <c r="Z20248"/>
    </row>
    <row r="20249" spans="26:26" x14ac:dyDescent="0.25">
      <c r="Z20249"/>
    </row>
    <row r="20250" spans="26:26" x14ac:dyDescent="0.25">
      <c r="Z20250"/>
    </row>
    <row r="20251" spans="26:26" x14ac:dyDescent="0.25">
      <c r="Z20251"/>
    </row>
    <row r="20252" spans="26:26" x14ac:dyDescent="0.25">
      <c r="Z20252"/>
    </row>
    <row r="20253" spans="26:26" x14ac:dyDescent="0.25">
      <c r="Z20253"/>
    </row>
    <row r="20254" spans="26:26" x14ac:dyDescent="0.25">
      <c r="Z20254"/>
    </row>
    <row r="20255" spans="26:26" x14ac:dyDescent="0.25">
      <c r="Z20255"/>
    </row>
    <row r="20256" spans="26:26" x14ac:dyDescent="0.25">
      <c r="Z20256"/>
    </row>
    <row r="20257" spans="26:26" x14ac:dyDescent="0.25">
      <c r="Z20257"/>
    </row>
    <row r="20258" spans="26:26" x14ac:dyDescent="0.25">
      <c r="Z20258"/>
    </row>
    <row r="20259" spans="26:26" x14ac:dyDescent="0.25">
      <c r="Z20259"/>
    </row>
    <row r="20260" spans="26:26" x14ac:dyDescent="0.25">
      <c r="Z20260"/>
    </row>
    <row r="20261" spans="26:26" x14ac:dyDescent="0.25">
      <c r="Z20261"/>
    </row>
    <row r="20262" spans="26:26" x14ac:dyDescent="0.25">
      <c r="Z20262"/>
    </row>
    <row r="20263" spans="26:26" x14ac:dyDescent="0.25">
      <c r="Z20263"/>
    </row>
    <row r="20264" spans="26:26" x14ac:dyDescent="0.25">
      <c r="Z20264"/>
    </row>
    <row r="20265" spans="26:26" x14ac:dyDescent="0.25">
      <c r="Z20265"/>
    </row>
    <row r="20266" spans="26:26" x14ac:dyDescent="0.25">
      <c r="Z20266"/>
    </row>
    <row r="20267" spans="26:26" x14ac:dyDescent="0.25">
      <c r="Z20267"/>
    </row>
    <row r="20268" spans="26:26" x14ac:dyDescent="0.25">
      <c r="Z20268"/>
    </row>
    <row r="20269" spans="26:26" x14ac:dyDescent="0.25">
      <c r="Z20269"/>
    </row>
    <row r="20270" spans="26:26" x14ac:dyDescent="0.25">
      <c r="Z20270"/>
    </row>
    <row r="20271" spans="26:26" x14ac:dyDescent="0.25">
      <c r="Z20271"/>
    </row>
    <row r="20272" spans="26:26" x14ac:dyDescent="0.25">
      <c r="Z20272"/>
    </row>
    <row r="20273" spans="26:26" x14ac:dyDescent="0.25">
      <c r="Z20273"/>
    </row>
    <row r="20274" spans="26:26" x14ac:dyDescent="0.25">
      <c r="Z20274"/>
    </row>
    <row r="20275" spans="26:26" x14ac:dyDescent="0.25">
      <c r="Z20275"/>
    </row>
    <row r="20276" spans="26:26" x14ac:dyDescent="0.25">
      <c r="Z20276"/>
    </row>
    <row r="20277" spans="26:26" x14ac:dyDescent="0.25">
      <c r="Z20277"/>
    </row>
    <row r="20278" spans="26:26" x14ac:dyDescent="0.25">
      <c r="Z20278"/>
    </row>
    <row r="20279" spans="26:26" x14ac:dyDescent="0.25">
      <c r="Z20279"/>
    </row>
    <row r="20280" spans="26:26" x14ac:dyDescent="0.25">
      <c r="Z20280"/>
    </row>
    <row r="20281" spans="26:26" x14ac:dyDescent="0.25">
      <c r="Z20281"/>
    </row>
    <row r="20282" spans="26:26" x14ac:dyDescent="0.25">
      <c r="Z20282"/>
    </row>
    <row r="20283" spans="26:26" x14ac:dyDescent="0.25">
      <c r="Z20283"/>
    </row>
    <row r="20284" spans="26:26" x14ac:dyDescent="0.25">
      <c r="Z20284"/>
    </row>
    <row r="20285" spans="26:26" x14ac:dyDescent="0.25">
      <c r="Z20285"/>
    </row>
    <row r="20286" spans="26:26" x14ac:dyDescent="0.25">
      <c r="Z20286"/>
    </row>
    <row r="20287" spans="26:26" x14ac:dyDescent="0.25">
      <c r="Z20287"/>
    </row>
    <row r="20288" spans="26:26" x14ac:dyDescent="0.25">
      <c r="Z20288"/>
    </row>
    <row r="20289" spans="26:26" x14ac:dyDescent="0.25">
      <c r="Z20289"/>
    </row>
    <row r="20290" spans="26:26" x14ac:dyDescent="0.25">
      <c r="Z20290"/>
    </row>
    <row r="20291" spans="26:26" x14ac:dyDescent="0.25">
      <c r="Z20291"/>
    </row>
    <row r="20292" spans="26:26" x14ac:dyDescent="0.25">
      <c r="Z20292"/>
    </row>
    <row r="20293" spans="26:26" x14ac:dyDescent="0.25">
      <c r="Z20293"/>
    </row>
    <row r="20294" spans="26:26" x14ac:dyDescent="0.25">
      <c r="Z20294"/>
    </row>
    <row r="20295" spans="26:26" x14ac:dyDescent="0.25">
      <c r="Z20295"/>
    </row>
    <row r="20296" spans="26:26" x14ac:dyDescent="0.25">
      <c r="Z20296"/>
    </row>
    <row r="20297" spans="26:26" x14ac:dyDescent="0.25">
      <c r="Z20297"/>
    </row>
    <row r="20298" spans="26:26" x14ac:dyDescent="0.25">
      <c r="Z20298"/>
    </row>
    <row r="20299" spans="26:26" x14ac:dyDescent="0.25">
      <c r="Z20299"/>
    </row>
    <row r="20300" spans="26:26" x14ac:dyDescent="0.25">
      <c r="Z20300"/>
    </row>
    <row r="20301" spans="26:26" x14ac:dyDescent="0.25">
      <c r="Z20301"/>
    </row>
    <row r="20302" spans="26:26" x14ac:dyDescent="0.25">
      <c r="Z20302"/>
    </row>
    <row r="20303" spans="26:26" x14ac:dyDescent="0.25">
      <c r="Z20303"/>
    </row>
    <row r="20304" spans="26:26" x14ac:dyDescent="0.25">
      <c r="Z20304"/>
    </row>
    <row r="20305" spans="26:26" x14ac:dyDescent="0.25">
      <c r="Z20305"/>
    </row>
    <row r="20306" spans="26:26" x14ac:dyDescent="0.25">
      <c r="Z20306"/>
    </row>
    <row r="20307" spans="26:26" x14ac:dyDescent="0.25">
      <c r="Z20307"/>
    </row>
    <row r="20308" spans="26:26" x14ac:dyDescent="0.25">
      <c r="Z20308"/>
    </row>
    <row r="20309" spans="26:26" x14ac:dyDescent="0.25">
      <c r="Z20309"/>
    </row>
    <row r="20310" spans="26:26" x14ac:dyDescent="0.25">
      <c r="Z20310"/>
    </row>
    <row r="20311" spans="26:26" x14ac:dyDescent="0.25">
      <c r="Z20311"/>
    </row>
    <row r="20312" spans="26:26" x14ac:dyDescent="0.25">
      <c r="Z20312"/>
    </row>
    <row r="20313" spans="26:26" x14ac:dyDescent="0.25">
      <c r="Z20313"/>
    </row>
    <row r="20314" spans="26:26" x14ac:dyDescent="0.25">
      <c r="Z20314"/>
    </row>
    <row r="20315" spans="26:26" x14ac:dyDescent="0.25">
      <c r="Z20315"/>
    </row>
    <row r="20316" spans="26:26" x14ac:dyDescent="0.25">
      <c r="Z20316"/>
    </row>
    <row r="20317" spans="26:26" x14ac:dyDescent="0.25">
      <c r="Z20317"/>
    </row>
    <row r="20318" spans="26:26" x14ac:dyDescent="0.25">
      <c r="Z20318"/>
    </row>
    <row r="20319" spans="26:26" x14ac:dyDescent="0.25">
      <c r="Z20319"/>
    </row>
    <row r="20320" spans="26:26" x14ac:dyDescent="0.25">
      <c r="Z20320"/>
    </row>
    <row r="20321" spans="26:26" x14ac:dyDescent="0.25">
      <c r="Z20321"/>
    </row>
    <row r="20322" spans="26:26" x14ac:dyDescent="0.25">
      <c r="Z20322"/>
    </row>
    <row r="20323" spans="26:26" x14ac:dyDescent="0.25">
      <c r="Z20323"/>
    </row>
    <row r="20324" spans="26:26" x14ac:dyDescent="0.25">
      <c r="Z20324"/>
    </row>
    <row r="20325" spans="26:26" x14ac:dyDescent="0.25">
      <c r="Z20325"/>
    </row>
    <row r="20326" spans="26:26" x14ac:dyDescent="0.25">
      <c r="Z20326"/>
    </row>
    <row r="20327" spans="26:26" x14ac:dyDescent="0.25">
      <c r="Z20327"/>
    </row>
    <row r="20328" spans="26:26" x14ac:dyDescent="0.25">
      <c r="Z20328"/>
    </row>
    <row r="20329" spans="26:26" x14ac:dyDescent="0.25">
      <c r="Z20329"/>
    </row>
    <row r="20330" spans="26:26" x14ac:dyDescent="0.25">
      <c r="Z20330"/>
    </row>
    <row r="20331" spans="26:26" x14ac:dyDescent="0.25">
      <c r="Z20331"/>
    </row>
    <row r="20332" spans="26:26" x14ac:dyDescent="0.25">
      <c r="Z20332"/>
    </row>
    <row r="20333" spans="26:26" x14ac:dyDescent="0.25">
      <c r="Z20333"/>
    </row>
    <row r="20334" spans="26:26" x14ac:dyDescent="0.25">
      <c r="Z20334"/>
    </row>
    <row r="20335" spans="26:26" x14ac:dyDescent="0.25">
      <c r="Z20335"/>
    </row>
    <row r="20336" spans="26:26" x14ac:dyDescent="0.25">
      <c r="Z20336"/>
    </row>
    <row r="20337" spans="26:26" x14ac:dyDescent="0.25">
      <c r="Z20337"/>
    </row>
    <row r="20338" spans="26:26" x14ac:dyDescent="0.25">
      <c r="Z20338"/>
    </row>
    <row r="20339" spans="26:26" x14ac:dyDescent="0.25">
      <c r="Z20339"/>
    </row>
    <row r="20340" spans="26:26" x14ac:dyDescent="0.25">
      <c r="Z20340"/>
    </row>
    <row r="20341" spans="26:26" x14ac:dyDescent="0.25">
      <c r="Z20341"/>
    </row>
    <row r="20342" spans="26:26" x14ac:dyDescent="0.25">
      <c r="Z20342"/>
    </row>
    <row r="20343" spans="26:26" x14ac:dyDescent="0.25">
      <c r="Z20343"/>
    </row>
    <row r="20344" spans="26:26" x14ac:dyDescent="0.25">
      <c r="Z20344"/>
    </row>
    <row r="20345" spans="26:26" x14ac:dyDescent="0.25">
      <c r="Z20345"/>
    </row>
    <row r="20346" spans="26:26" x14ac:dyDescent="0.25">
      <c r="Z20346"/>
    </row>
    <row r="20347" spans="26:26" x14ac:dyDescent="0.25">
      <c r="Z20347"/>
    </row>
    <row r="20348" spans="26:26" x14ac:dyDescent="0.25">
      <c r="Z20348"/>
    </row>
    <row r="20349" spans="26:26" x14ac:dyDescent="0.25">
      <c r="Z20349"/>
    </row>
    <row r="20350" spans="26:26" x14ac:dyDescent="0.25">
      <c r="Z20350"/>
    </row>
    <row r="20351" spans="26:26" x14ac:dyDescent="0.25">
      <c r="Z20351"/>
    </row>
    <row r="20352" spans="26:26" x14ac:dyDescent="0.25">
      <c r="Z20352"/>
    </row>
    <row r="20353" spans="26:26" x14ac:dyDescent="0.25">
      <c r="Z20353"/>
    </row>
    <row r="20354" spans="26:26" x14ac:dyDescent="0.25">
      <c r="Z20354"/>
    </row>
    <row r="20355" spans="26:26" x14ac:dyDescent="0.25">
      <c r="Z20355"/>
    </row>
    <row r="20356" spans="26:26" x14ac:dyDescent="0.25">
      <c r="Z20356"/>
    </row>
    <row r="20357" spans="26:26" x14ac:dyDescent="0.25">
      <c r="Z20357"/>
    </row>
    <row r="20358" spans="26:26" x14ac:dyDescent="0.25">
      <c r="Z20358"/>
    </row>
    <row r="20359" spans="26:26" x14ac:dyDescent="0.25">
      <c r="Z20359"/>
    </row>
    <row r="20360" spans="26:26" x14ac:dyDescent="0.25">
      <c r="Z20360"/>
    </row>
    <row r="20361" spans="26:26" x14ac:dyDescent="0.25">
      <c r="Z20361"/>
    </row>
    <row r="20362" spans="26:26" x14ac:dyDescent="0.25">
      <c r="Z20362"/>
    </row>
    <row r="20363" spans="26:26" x14ac:dyDescent="0.25">
      <c r="Z20363"/>
    </row>
    <row r="20364" spans="26:26" x14ac:dyDescent="0.25">
      <c r="Z20364"/>
    </row>
    <row r="20365" spans="26:26" x14ac:dyDescent="0.25">
      <c r="Z20365"/>
    </row>
    <row r="20366" spans="26:26" x14ac:dyDescent="0.25">
      <c r="Z20366"/>
    </row>
    <row r="20367" spans="26:26" x14ac:dyDescent="0.25">
      <c r="Z20367"/>
    </row>
    <row r="20368" spans="26:26" x14ac:dyDescent="0.25">
      <c r="Z20368"/>
    </row>
    <row r="20369" spans="26:26" x14ac:dyDescent="0.25">
      <c r="Z20369"/>
    </row>
    <row r="20370" spans="26:26" x14ac:dyDescent="0.25">
      <c r="Z20370"/>
    </row>
    <row r="20371" spans="26:26" x14ac:dyDescent="0.25">
      <c r="Z20371"/>
    </row>
    <row r="20372" spans="26:26" x14ac:dyDescent="0.25">
      <c r="Z20372"/>
    </row>
    <row r="20373" spans="26:26" x14ac:dyDescent="0.25">
      <c r="Z20373"/>
    </row>
    <row r="20374" spans="26:26" x14ac:dyDescent="0.25">
      <c r="Z20374"/>
    </row>
    <row r="20375" spans="26:26" x14ac:dyDescent="0.25">
      <c r="Z20375"/>
    </row>
    <row r="20376" spans="26:26" x14ac:dyDescent="0.25">
      <c r="Z20376"/>
    </row>
    <row r="20377" spans="26:26" x14ac:dyDescent="0.25">
      <c r="Z20377"/>
    </row>
    <row r="20378" spans="26:26" x14ac:dyDescent="0.25">
      <c r="Z20378"/>
    </row>
    <row r="20379" spans="26:26" x14ac:dyDescent="0.25">
      <c r="Z20379"/>
    </row>
    <row r="20380" spans="26:26" x14ac:dyDescent="0.25">
      <c r="Z20380"/>
    </row>
    <row r="20381" spans="26:26" x14ac:dyDescent="0.25">
      <c r="Z20381"/>
    </row>
    <row r="20382" spans="26:26" x14ac:dyDescent="0.25">
      <c r="Z20382"/>
    </row>
    <row r="20383" spans="26:26" x14ac:dyDescent="0.25">
      <c r="Z20383"/>
    </row>
    <row r="20384" spans="26:26" x14ac:dyDescent="0.25">
      <c r="Z20384"/>
    </row>
    <row r="20385" spans="26:26" x14ac:dyDescent="0.25">
      <c r="Z20385"/>
    </row>
    <row r="20386" spans="26:26" x14ac:dyDescent="0.25">
      <c r="Z20386"/>
    </row>
    <row r="20387" spans="26:26" x14ac:dyDescent="0.25">
      <c r="Z20387"/>
    </row>
    <row r="20388" spans="26:26" x14ac:dyDescent="0.25">
      <c r="Z20388"/>
    </row>
    <row r="20389" spans="26:26" x14ac:dyDescent="0.25">
      <c r="Z20389"/>
    </row>
    <row r="20390" spans="26:26" x14ac:dyDescent="0.25">
      <c r="Z20390"/>
    </row>
    <row r="20391" spans="26:26" x14ac:dyDescent="0.25">
      <c r="Z20391"/>
    </row>
    <row r="20392" spans="26:26" x14ac:dyDescent="0.25">
      <c r="Z20392"/>
    </row>
    <row r="20393" spans="26:26" x14ac:dyDescent="0.25">
      <c r="Z20393"/>
    </row>
    <row r="20394" spans="26:26" x14ac:dyDescent="0.25">
      <c r="Z20394"/>
    </row>
    <row r="20395" spans="26:26" x14ac:dyDescent="0.25">
      <c r="Z20395"/>
    </row>
    <row r="20396" spans="26:26" x14ac:dyDescent="0.25">
      <c r="Z20396"/>
    </row>
    <row r="20397" spans="26:26" x14ac:dyDescent="0.25">
      <c r="Z20397"/>
    </row>
    <row r="20398" spans="26:26" x14ac:dyDescent="0.25">
      <c r="Z20398"/>
    </row>
    <row r="20399" spans="26:26" x14ac:dyDescent="0.25">
      <c r="Z20399"/>
    </row>
    <row r="20400" spans="26:26" x14ac:dyDescent="0.25">
      <c r="Z20400"/>
    </row>
    <row r="20401" spans="26:26" x14ac:dyDescent="0.25">
      <c r="Z20401"/>
    </row>
    <row r="20402" spans="26:26" x14ac:dyDescent="0.25">
      <c r="Z20402"/>
    </row>
    <row r="20403" spans="26:26" x14ac:dyDescent="0.25">
      <c r="Z20403"/>
    </row>
    <row r="20404" spans="26:26" x14ac:dyDescent="0.25">
      <c r="Z20404"/>
    </row>
    <row r="20405" spans="26:26" x14ac:dyDescent="0.25">
      <c r="Z20405"/>
    </row>
    <row r="20406" spans="26:26" x14ac:dyDescent="0.25">
      <c r="Z20406"/>
    </row>
    <row r="20407" spans="26:26" x14ac:dyDescent="0.25">
      <c r="Z20407"/>
    </row>
    <row r="20408" spans="26:26" x14ac:dyDescent="0.25">
      <c r="Z20408"/>
    </row>
    <row r="20409" spans="26:26" x14ac:dyDescent="0.25">
      <c r="Z20409"/>
    </row>
    <row r="20410" spans="26:26" x14ac:dyDescent="0.25">
      <c r="Z20410"/>
    </row>
    <row r="20411" spans="26:26" x14ac:dyDescent="0.25">
      <c r="Z20411"/>
    </row>
    <row r="20412" spans="26:26" x14ac:dyDescent="0.25">
      <c r="Z20412"/>
    </row>
    <row r="20413" spans="26:26" x14ac:dyDescent="0.25">
      <c r="Z20413"/>
    </row>
    <row r="20414" spans="26:26" x14ac:dyDescent="0.25">
      <c r="Z20414"/>
    </row>
    <row r="20415" spans="26:26" x14ac:dyDescent="0.25">
      <c r="Z20415"/>
    </row>
    <row r="20416" spans="26:26" x14ac:dyDescent="0.25">
      <c r="Z20416"/>
    </row>
    <row r="20417" spans="26:26" x14ac:dyDescent="0.25">
      <c r="Z20417"/>
    </row>
    <row r="20418" spans="26:26" x14ac:dyDescent="0.25">
      <c r="Z20418"/>
    </row>
    <row r="20419" spans="26:26" x14ac:dyDescent="0.25">
      <c r="Z20419"/>
    </row>
    <row r="20420" spans="26:26" x14ac:dyDescent="0.25">
      <c r="Z20420"/>
    </row>
    <row r="20421" spans="26:26" x14ac:dyDescent="0.25">
      <c r="Z20421"/>
    </row>
    <row r="20422" spans="26:26" x14ac:dyDescent="0.25">
      <c r="Z20422"/>
    </row>
    <row r="20423" spans="26:26" x14ac:dyDescent="0.25">
      <c r="Z20423"/>
    </row>
    <row r="20424" spans="26:26" x14ac:dyDescent="0.25">
      <c r="Z20424"/>
    </row>
    <row r="20425" spans="26:26" x14ac:dyDescent="0.25">
      <c r="Z20425"/>
    </row>
    <row r="20426" spans="26:26" x14ac:dyDescent="0.25">
      <c r="Z20426"/>
    </row>
    <row r="20427" spans="26:26" x14ac:dyDescent="0.25">
      <c r="Z20427"/>
    </row>
    <row r="20428" spans="26:26" x14ac:dyDescent="0.25">
      <c r="Z20428"/>
    </row>
    <row r="20429" spans="26:26" x14ac:dyDescent="0.25">
      <c r="Z20429"/>
    </row>
    <row r="20430" spans="26:26" x14ac:dyDescent="0.25">
      <c r="Z20430"/>
    </row>
    <row r="20431" spans="26:26" x14ac:dyDescent="0.25">
      <c r="Z20431"/>
    </row>
    <row r="20432" spans="26:26" x14ac:dyDescent="0.25">
      <c r="Z20432"/>
    </row>
    <row r="20433" spans="26:26" x14ac:dyDescent="0.25">
      <c r="Z20433"/>
    </row>
    <row r="20434" spans="26:26" x14ac:dyDescent="0.25">
      <c r="Z20434"/>
    </row>
    <row r="20435" spans="26:26" x14ac:dyDescent="0.25">
      <c r="Z20435"/>
    </row>
    <row r="20436" spans="26:26" x14ac:dyDescent="0.25">
      <c r="Z20436"/>
    </row>
    <row r="20437" spans="26:26" x14ac:dyDescent="0.25">
      <c r="Z20437"/>
    </row>
    <row r="20438" spans="26:26" x14ac:dyDescent="0.25">
      <c r="Z20438"/>
    </row>
    <row r="20439" spans="26:26" x14ac:dyDescent="0.25">
      <c r="Z20439"/>
    </row>
    <row r="20440" spans="26:26" x14ac:dyDescent="0.25">
      <c r="Z20440"/>
    </row>
    <row r="20441" spans="26:26" x14ac:dyDescent="0.25">
      <c r="Z20441"/>
    </row>
    <row r="20442" spans="26:26" x14ac:dyDescent="0.25">
      <c r="Z20442"/>
    </row>
    <row r="20443" spans="26:26" x14ac:dyDescent="0.25">
      <c r="Z20443"/>
    </row>
    <row r="20444" spans="26:26" x14ac:dyDescent="0.25">
      <c r="Z20444"/>
    </row>
    <row r="20445" spans="26:26" x14ac:dyDescent="0.25">
      <c r="Z20445"/>
    </row>
    <row r="20446" spans="26:26" x14ac:dyDescent="0.25">
      <c r="Z20446"/>
    </row>
    <row r="20447" spans="26:26" x14ac:dyDescent="0.25">
      <c r="Z20447"/>
    </row>
    <row r="20448" spans="26:26" x14ac:dyDescent="0.25">
      <c r="Z20448"/>
    </row>
    <row r="20449" spans="26:26" x14ac:dyDescent="0.25">
      <c r="Z20449"/>
    </row>
    <row r="20450" spans="26:26" x14ac:dyDescent="0.25">
      <c r="Z20450"/>
    </row>
    <row r="20451" spans="26:26" x14ac:dyDescent="0.25">
      <c r="Z20451"/>
    </row>
    <row r="20452" spans="26:26" x14ac:dyDescent="0.25">
      <c r="Z20452"/>
    </row>
    <row r="20453" spans="26:26" x14ac:dyDescent="0.25">
      <c r="Z20453"/>
    </row>
    <row r="20454" spans="26:26" x14ac:dyDescent="0.25">
      <c r="Z20454"/>
    </row>
    <row r="20455" spans="26:26" x14ac:dyDescent="0.25">
      <c r="Z20455"/>
    </row>
    <row r="20456" spans="26:26" x14ac:dyDescent="0.25">
      <c r="Z20456"/>
    </row>
    <row r="20457" spans="26:26" x14ac:dyDescent="0.25">
      <c r="Z20457"/>
    </row>
    <row r="20458" spans="26:26" x14ac:dyDescent="0.25">
      <c r="Z20458"/>
    </row>
    <row r="20459" spans="26:26" x14ac:dyDescent="0.25">
      <c r="Z20459"/>
    </row>
    <row r="20460" spans="26:26" x14ac:dyDescent="0.25">
      <c r="Z20460"/>
    </row>
    <row r="20461" spans="26:26" x14ac:dyDescent="0.25">
      <c r="Z20461"/>
    </row>
    <row r="20462" spans="26:26" x14ac:dyDescent="0.25">
      <c r="Z20462"/>
    </row>
    <row r="20463" spans="26:26" x14ac:dyDescent="0.25">
      <c r="Z20463"/>
    </row>
    <row r="20464" spans="26:26" x14ac:dyDescent="0.25">
      <c r="Z20464"/>
    </row>
    <row r="20465" spans="26:26" x14ac:dyDescent="0.25">
      <c r="Z20465"/>
    </row>
    <row r="20466" spans="26:26" x14ac:dyDescent="0.25">
      <c r="Z20466"/>
    </row>
    <row r="20467" spans="26:26" x14ac:dyDescent="0.25">
      <c r="Z20467"/>
    </row>
    <row r="20468" spans="26:26" x14ac:dyDescent="0.25">
      <c r="Z20468"/>
    </row>
    <row r="20469" spans="26:26" x14ac:dyDescent="0.25">
      <c r="Z20469"/>
    </row>
    <row r="20470" spans="26:26" x14ac:dyDescent="0.25">
      <c r="Z20470"/>
    </row>
    <row r="20471" spans="26:26" x14ac:dyDescent="0.25">
      <c r="Z20471"/>
    </row>
    <row r="20472" spans="26:26" x14ac:dyDescent="0.25">
      <c r="Z20472"/>
    </row>
    <row r="20473" spans="26:26" x14ac:dyDescent="0.25">
      <c r="Z20473"/>
    </row>
    <row r="20474" spans="26:26" x14ac:dyDescent="0.25">
      <c r="Z20474"/>
    </row>
    <row r="20475" spans="26:26" x14ac:dyDescent="0.25">
      <c r="Z20475"/>
    </row>
    <row r="20476" spans="26:26" x14ac:dyDescent="0.25">
      <c r="Z20476"/>
    </row>
    <row r="20477" spans="26:26" x14ac:dyDescent="0.25">
      <c r="Z20477"/>
    </row>
    <row r="20478" spans="26:26" x14ac:dyDescent="0.25">
      <c r="Z20478"/>
    </row>
    <row r="20479" spans="26:26" x14ac:dyDescent="0.25">
      <c r="Z20479"/>
    </row>
    <row r="20480" spans="26:26" x14ac:dyDescent="0.25">
      <c r="Z20480"/>
    </row>
    <row r="20481" spans="26:26" x14ac:dyDescent="0.25">
      <c r="Z20481"/>
    </row>
    <row r="20482" spans="26:26" x14ac:dyDescent="0.25">
      <c r="Z20482"/>
    </row>
    <row r="20483" spans="26:26" x14ac:dyDescent="0.25">
      <c r="Z20483"/>
    </row>
    <row r="20484" spans="26:26" x14ac:dyDescent="0.25">
      <c r="Z20484"/>
    </row>
    <row r="20485" spans="26:26" x14ac:dyDescent="0.25">
      <c r="Z20485"/>
    </row>
    <row r="20486" spans="26:26" x14ac:dyDescent="0.25">
      <c r="Z20486"/>
    </row>
    <row r="20487" spans="26:26" x14ac:dyDescent="0.25">
      <c r="Z20487"/>
    </row>
    <row r="20488" spans="26:26" x14ac:dyDescent="0.25">
      <c r="Z20488"/>
    </row>
    <row r="20489" spans="26:26" x14ac:dyDescent="0.25">
      <c r="Z20489"/>
    </row>
    <row r="20490" spans="26:26" x14ac:dyDescent="0.25">
      <c r="Z20490"/>
    </row>
    <row r="20491" spans="26:26" x14ac:dyDescent="0.25">
      <c r="Z20491"/>
    </row>
    <row r="20492" spans="26:26" x14ac:dyDescent="0.25">
      <c r="Z20492"/>
    </row>
    <row r="20493" spans="26:26" x14ac:dyDescent="0.25">
      <c r="Z20493"/>
    </row>
    <row r="20494" spans="26:26" x14ac:dyDescent="0.25">
      <c r="Z20494"/>
    </row>
    <row r="20495" spans="26:26" x14ac:dyDescent="0.25">
      <c r="Z20495"/>
    </row>
    <row r="20496" spans="26:26" x14ac:dyDescent="0.25">
      <c r="Z20496"/>
    </row>
    <row r="20497" spans="26:26" x14ac:dyDescent="0.25">
      <c r="Z20497"/>
    </row>
    <row r="20498" spans="26:26" x14ac:dyDescent="0.25">
      <c r="Z20498"/>
    </row>
    <row r="20499" spans="26:26" x14ac:dyDescent="0.25">
      <c r="Z20499"/>
    </row>
    <row r="20500" spans="26:26" x14ac:dyDescent="0.25">
      <c r="Z20500"/>
    </row>
    <row r="20501" spans="26:26" x14ac:dyDescent="0.25">
      <c r="Z20501"/>
    </row>
    <row r="20502" spans="26:26" x14ac:dyDescent="0.25">
      <c r="Z20502"/>
    </row>
    <row r="20503" spans="26:26" x14ac:dyDescent="0.25">
      <c r="Z20503"/>
    </row>
    <row r="20504" spans="26:26" x14ac:dyDescent="0.25">
      <c r="Z20504"/>
    </row>
    <row r="20505" spans="26:26" x14ac:dyDescent="0.25">
      <c r="Z20505"/>
    </row>
    <row r="20506" spans="26:26" x14ac:dyDescent="0.25">
      <c r="Z20506"/>
    </row>
    <row r="20507" spans="26:26" x14ac:dyDescent="0.25">
      <c r="Z20507"/>
    </row>
    <row r="20508" spans="26:26" x14ac:dyDescent="0.25">
      <c r="Z20508"/>
    </row>
    <row r="20509" spans="26:26" x14ac:dyDescent="0.25">
      <c r="Z20509"/>
    </row>
    <row r="20510" spans="26:26" x14ac:dyDescent="0.25">
      <c r="Z20510"/>
    </row>
    <row r="20511" spans="26:26" x14ac:dyDescent="0.25">
      <c r="Z20511"/>
    </row>
    <row r="20512" spans="26:26" x14ac:dyDescent="0.25">
      <c r="Z20512"/>
    </row>
    <row r="20513" spans="26:26" x14ac:dyDescent="0.25">
      <c r="Z20513"/>
    </row>
    <row r="20514" spans="26:26" x14ac:dyDescent="0.25">
      <c r="Z20514"/>
    </row>
    <row r="20515" spans="26:26" x14ac:dyDescent="0.25">
      <c r="Z20515"/>
    </row>
    <row r="20516" spans="26:26" x14ac:dyDescent="0.25">
      <c r="Z20516"/>
    </row>
    <row r="20517" spans="26:26" x14ac:dyDescent="0.25">
      <c r="Z20517"/>
    </row>
    <row r="20518" spans="26:26" x14ac:dyDescent="0.25">
      <c r="Z20518"/>
    </row>
    <row r="20519" spans="26:26" x14ac:dyDescent="0.25">
      <c r="Z20519"/>
    </row>
    <row r="20520" spans="26:26" x14ac:dyDescent="0.25">
      <c r="Z20520"/>
    </row>
    <row r="20521" spans="26:26" x14ac:dyDescent="0.25">
      <c r="Z20521"/>
    </row>
    <row r="20522" spans="26:26" x14ac:dyDescent="0.25">
      <c r="Z20522"/>
    </row>
    <row r="20523" spans="26:26" x14ac:dyDescent="0.25">
      <c r="Z20523"/>
    </row>
    <row r="20524" spans="26:26" x14ac:dyDescent="0.25">
      <c r="Z20524"/>
    </row>
    <row r="20525" spans="26:26" x14ac:dyDescent="0.25">
      <c r="Z20525"/>
    </row>
    <row r="20526" spans="26:26" x14ac:dyDescent="0.25">
      <c r="Z20526"/>
    </row>
    <row r="20527" spans="26:26" x14ac:dyDescent="0.25">
      <c r="Z20527"/>
    </row>
    <row r="20528" spans="26:26" x14ac:dyDescent="0.25">
      <c r="Z20528"/>
    </row>
    <row r="20529" spans="26:26" x14ac:dyDescent="0.25">
      <c r="Z20529"/>
    </row>
    <row r="20530" spans="26:26" x14ac:dyDescent="0.25">
      <c r="Z20530"/>
    </row>
    <row r="20531" spans="26:26" x14ac:dyDescent="0.25">
      <c r="Z20531"/>
    </row>
    <row r="20532" spans="26:26" x14ac:dyDescent="0.25">
      <c r="Z20532"/>
    </row>
    <row r="20533" spans="26:26" x14ac:dyDescent="0.25">
      <c r="Z20533"/>
    </row>
    <row r="20534" spans="26:26" x14ac:dyDescent="0.25">
      <c r="Z20534"/>
    </row>
    <row r="20535" spans="26:26" x14ac:dyDescent="0.25">
      <c r="Z20535"/>
    </row>
    <row r="20536" spans="26:26" x14ac:dyDescent="0.25">
      <c r="Z20536"/>
    </row>
    <row r="20537" spans="26:26" x14ac:dyDescent="0.25">
      <c r="Z20537"/>
    </row>
    <row r="20538" spans="26:26" x14ac:dyDescent="0.25">
      <c r="Z20538"/>
    </row>
    <row r="20539" spans="26:26" x14ac:dyDescent="0.25">
      <c r="Z20539"/>
    </row>
    <row r="20540" spans="26:26" x14ac:dyDescent="0.25">
      <c r="Z20540"/>
    </row>
    <row r="20541" spans="26:26" x14ac:dyDescent="0.25">
      <c r="Z20541"/>
    </row>
    <row r="20542" spans="26:26" x14ac:dyDescent="0.25">
      <c r="Z20542"/>
    </row>
    <row r="20543" spans="26:26" x14ac:dyDescent="0.25">
      <c r="Z20543"/>
    </row>
    <row r="20544" spans="26:26" x14ac:dyDescent="0.25">
      <c r="Z20544"/>
    </row>
    <row r="20545" spans="26:26" x14ac:dyDescent="0.25">
      <c r="Z20545"/>
    </row>
    <row r="20546" spans="26:26" x14ac:dyDescent="0.25">
      <c r="Z20546"/>
    </row>
    <row r="20547" spans="26:26" x14ac:dyDescent="0.25">
      <c r="Z20547"/>
    </row>
    <row r="20548" spans="26:26" x14ac:dyDescent="0.25">
      <c r="Z20548"/>
    </row>
    <row r="20549" spans="26:26" x14ac:dyDescent="0.25">
      <c r="Z20549"/>
    </row>
    <row r="20550" spans="26:26" x14ac:dyDescent="0.25">
      <c r="Z20550"/>
    </row>
    <row r="20551" spans="26:26" x14ac:dyDescent="0.25">
      <c r="Z20551"/>
    </row>
    <row r="20552" spans="26:26" x14ac:dyDescent="0.25">
      <c r="Z20552"/>
    </row>
    <row r="20553" spans="26:26" x14ac:dyDescent="0.25">
      <c r="Z20553"/>
    </row>
    <row r="20554" spans="26:26" x14ac:dyDescent="0.25">
      <c r="Z20554"/>
    </row>
    <row r="20555" spans="26:26" x14ac:dyDescent="0.25">
      <c r="Z20555"/>
    </row>
    <row r="20556" spans="26:26" x14ac:dyDescent="0.25">
      <c r="Z20556"/>
    </row>
    <row r="20557" spans="26:26" x14ac:dyDescent="0.25">
      <c r="Z20557"/>
    </row>
    <row r="20558" spans="26:26" x14ac:dyDescent="0.25">
      <c r="Z20558"/>
    </row>
    <row r="20559" spans="26:26" x14ac:dyDescent="0.25">
      <c r="Z20559"/>
    </row>
    <row r="20560" spans="26:26" x14ac:dyDescent="0.25">
      <c r="Z20560"/>
    </row>
    <row r="20561" spans="26:26" x14ac:dyDescent="0.25">
      <c r="Z20561"/>
    </row>
    <row r="20562" spans="26:26" x14ac:dyDescent="0.25">
      <c r="Z20562"/>
    </row>
    <row r="20563" spans="26:26" x14ac:dyDescent="0.25">
      <c r="Z20563"/>
    </row>
    <row r="20564" spans="26:26" x14ac:dyDescent="0.25">
      <c r="Z20564"/>
    </row>
    <row r="20565" spans="26:26" x14ac:dyDescent="0.25">
      <c r="Z20565"/>
    </row>
    <row r="20566" spans="26:26" x14ac:dyDescent="0.25">
      <c r="Z20566"/>
    </row>
    <row r="20567" spans="26:26" x14ac:dyDescent="0.25">
      <c r="Z20567"/>
    </row>
    <row r="20568" spans="26:26" x14ac:dyDescent="0.25">
      <c r="Z20568"/>
    </row>
    <row r="20569" spans="26:26" x14ac:dyDescent="0.25">
      <c r="Z20569"/>
    </row>
    <row r="20570" spans="26:26" x14ac:dyDescent="0.25">
      <c r="Z20570"/>
    </row>
    <row r="20571" spans="26:26" x14ac:dyDescent="0.25">
      <c r="Z20571"/>
    </row>
    <row r="20572" spans="26:26" x14ac:dyDescent="0.25">
      <c r="Z20572"/>
    </row>
    <row r="20573" spans="26:26" x14ac:dyDescent="0.25">
      <c r="Z20573"/>
    </row>
    <row r="20574" spans="26:26" x14ac:dyDescent="0.25">
      <c r="Z20574"/>
    </row>
    <row r="20575" spans="26:26" x14ac:dyDescent="0.25">
      <c r="Z20575"/>
    </row>
    <row r="20576" spans="26:26" x14ac:dyDescent="0.25">
      <c r="Z20576"/>
    </row>
    <row r="20577" spans="26:26" x14ac:dyDescent="0.25">
      <c r="Z20577"/>
    </row>
    <row r="20578" spans="26:26" x14ac:dyDescent="0.25">
      <c r="Z20578"/>
    </row>
    <row r="20579" spans="26:26" x14ac:dyDescent="0.25">
      <c r="Z20579"/>
    </row>
    <row r="20580" spans="26:26" x14ac:dyDescent="0.25">
      <c r="Z20580"/>
    </row>
    <row r="20581" spans="26:26" x14ac:dyDescent="0.25">
      <c r="Z20581"/>
    </row>
    <row r="20582" spans="26:26" x14ac:dyDescent="0.25">
      <c r="Z20582"/>
    </row>
    <row r="20583" spans="26:26" x14ac:dyDescent="0.25">
      <c r="Z20583"/>
    </row>
    <row r="20584" spans="26:26" x14ac:dyDescent="0.25">
      <c r="Z20584"/>
    </row>
    <row r="20585" spans="26:26" x14ac:dyDescent="0.25">
      <c r="Z20585"/>
    </row>
    <row r="20586" spans="26:26" x14ac:dyDescent="0.25">
      <c r="Z20586"/>
    </row>
    <row r="20587" spans="26:26" x14ac:dyDescent="0.25">
      <c r="Z20587"/>
    </row>
    <row r="20588" spans="26:26" x14ac:dyDescent="0.25">
      <c r="Z20588"/>
    </row>
    <row r="20589" spans="26:26" x14ac:dyDescent="0.25">
      <c r="Z20589"/>
    </row>
    <row r="20590" spans="26:26" x14ac:dyDescent="0.25">
      <c r="Z20590"/>
    </row>
    <row r="20591" spans="26:26" x14ac:dyDescent="0.25">
      <c r="Z20591"/>
    </row>
    <row r="20592" spans="26:26" x14ac:dyDescent="0.25">
      <c r="Z20592"/>
    </row>
    <row r="20593" spans="26:26" x14ac:dyDescent="0.25">
      <c r="Z20593"/>
    </row>
    <row r="20594" spans="26:26" x14ac:dyDescent="0.25">
      <c r="Z20594"/>
    </row>
    <row r="20595" spans="26:26" x14ac:dyDescent="0.25">
      <c r="Z20595"/>
    </row>
    <row r="20596" spans="26:26" x14ac:dyDescent="0.25">
      <c r="Z20596"/>
    </row>
    <row r="20597" spans="26:26" x14ac:dyDescent="0.25">
      <c r="Z20597"/>
    </row>
    <row r="20598" spans="26:26" x14ac:dyDescent="0.25">
      <c r="Z20598"/>
    </row>
    <row r="20599" spans="26:26" x14ac:dyDescent="0.25">
      <c r="Z20599"/>
    </row>
    <row r="20600" spans="26:26" x14ac:dyDescent="0.25">
      <c r="Z20600"/>
    </row>
    <row r="20601" spans="26:26" x14ac:dyDescent="0.25">
      <c r="Z20601"/>
    </row>
    <row r="20602" spans="26:26" x14ac:dyDescent="0.25">
      <c r="Z20602"/>
    </row>
    <row r="20603" spans="26:26" x14ac:dyDescent="0.25">
      <c r="Z20603"/>
    </row>
    <row r="20604" spans="26:26" x14ac:dyDescent="0.25">
      <c r="Z20604"/>
    </row>
    <row r="20605" spans="26:26" x14ac:dyDescent="0.25">
      <c r="Z20605"/>
    </row>
    <row r="20606" spans="26:26" x14ac:dyDescent="0.25">
      <c r="Z20606"/>
    </row>
    <row r="20607" spans="26:26" x14ac:dyDescent="0.25">
      <c r="Z20607"/>
    </row>
    <row r="20608" spans="26:26" x14ac:dyDescent="0.25">
      <c r="Z20608"/>
    </row>
    <row r="20609" spans="26:26" x14ac:dyDescent="0.25">
      <c r="Z20609"/>
    </row>
    <row r="20610" spans="26:26" x14ac:dyDescent="0.25">
      <c r="Z20610"/>
    </row>
    <row r="20611" spans="26:26" x14ac:dyDescent="0.25">
      <c r="Z20611"/>
    </row>
    <row r="20612" spans="26:26" x14ac:dyDescent="0.25">
      <c r="Z20612"/>
    </row>
    <row r="20613" spans="26:26" x14ac:dyDescent="0.25">
      <c r="Z20613"/>
    </row>
    <row r="20614" spans="26:26" x14ac:dyDescent="0.25">
      <c r="Z20614"/>
    </row>
    <row r="20615" spans="26:26" x14ac:dyDescent="0.25">
      <c r="Z20615"/>
    </row>
    <row r="20616" spans="26:26" x14ac:dyDescent="0.25">
      <c r="Z20616"/>
    </row>
    <row r="20617" spans="26:26" x14ac:dyDescent="0.25">
      <c r="Z20617"/>
    </row>
    <row r="20618" spans="26:26" x14ac:dyDescent="0.25">
      <c r="Z20618"/>
    </row>
    <row r="20619" spans="26:26" x14ac:dyDescent="0.25">
      <c r="Z20619"/>
    </row>
    <row r="20620" spans="26:26" x14ac:dyDescent="0.25">
      <c r="Z20620"/>
    </row>
    <row r="20621" spans="26:26" x14ac:dyDescent="0.25">
      <c r="Z20621"/>
    </row>
    <row r="20622" spans="26:26" x14ac:dyDescent="0.25">
      <c r="Z20622"/>
    </row>
    <row r="20623" spans="26:26" x14ac:dyDescent="0.25">
      <c r="Z20623"/>
    </row>
    <row r="20624" spans="26:26" x14ac:dyDescent="0.25">
      <c r="Z20624"/>
    </row>
    <row r="20625" spans="26:26" x14ac:dyDescent="0.25">
      <c r="Z20625"/>
    </row>
    <row r="20626" spans="26:26" x14ac:dyDescent="0.25">
      <c r="Z20626"/>
    </row>
    <row r="20627" spans="26:26" x14ac:dyDescent="0.25">
      <c r="Z20627"/>
    </row>
    <row r="20628" spans="26:26" x14ac:dyDescent="0.25">
      <c r="Z20628"/>
    </row>
    <row r="20629" spans="26:26" x14ac:dyDescent="0.25">
      <c r="Z20629"/>
    </row>
    <row r="20630" spans="26:26" x14ac:dyDescent="0.25">
      <c r="Z20630"/>
    </row>
    <row r="20631" spans="26:26" x14ac:dyDescent="0.25">
      <c r="Z20631"/>
    </row>
    <row r="20632" spans="26:26" x14ac:dyDescent="0.25">
      <c r="Z20632"/>
    </row>
    <row r="20633" spans="26:26" x14ac:dyDescent="0.25">
      <c r="Z20633"/>
    </row>
    <row r="20634" spans="26:26" x14ac:dyDescent="0.25">
      <c r="Z20634"/>
    </row>
    <row r="20635" spans="26:26" x14ac:dyDescent="0.25">
      <c r="Z20635"/>
    </row>
    <row r="20636" spans="26:26" x14ac:dyDescent="0.25">
      <c r="Z20636"/>
    </row>
    <row r="20637" spans="26:26" x14ac:dyDescent="0.25">
      <c r="Z20637"/>
    </row>
    <row r="20638" spans="26:26" x14ac:dyDescent="0.25">
      <c r="Z20638"/>
    </row>
    <row r="20639" spans="26:26" x14ac:dyDescent="0.25">
      <c r="Z20639"/>
    </row>
    <row r="20640" spans="26:26" x14ac:dyDescent="0.25">
      <c r="Z20640"/>
    </row>
    <row r="20641" spans="26:26" x14ac:dyDescent="0.25">
      <c r="Z20641"/>
    </row>
    <row r="20642" spans="26:26" x14ac:dyDescent="0.25">
      <c r="Z20642"/>
    </row>
    <row r="20643" spans="26:26" x14ac:dyDescent="0.25">
      <c r="Z20643"/>
    </row>
    <row r="20644" spans="26:26" x14ac:dyDescent="0.25">
      <c r="Z20644"/>
    </row>
    <row r="20645" spans="26:26" x14ac:dyDescent="0.25">
      <c r="Z20645"/>
    </row>
    <row r="20646" spans="26:26" x14ac:dyDescent="0.25">
      <c r="Z20646"/>
    </row>
    <row r="20647" spans="26:26" x14ac:dyDescent="0.25">
      <c r="Z20647"/>
    </row>
    <row r="20648" spans="26:26" x14ac:dyDescent="0.25">
      <c r="Z20648"/>
    </row>
    <row r="20649" spans="26:26" x14ac:dyDescent="0.25">
      <c r="Z20649"/>
    </row>
    <row r="20650" spans="26:26" x14ac:dyDescent="0.25">
      <c r="Z20650"/>
    </row>
    <row r="20651" spans="26:26" x14ac:dyDescent="0.25">
      <c r="Z20651"/>
    </row>
    <row r="20652" spans="26:26" x14ac:dyDescent="0.25">
      <c r="Z20652"/>
    </row>
    <row r="20653" spans="26:26" x14ac:dyDescent="0.25">
      <c r="Z20653"/>
    </row>
    <row r="20654" spans="26:26" x14ac:dyDescent="0.25">
      <c r="Z20654"/>
    </row>
    <row r="20655" spans="26:26" x14ac:dyDescent="0.25">
      <c r="Z20655"/>
    </row>
    <row r="20656" spans="26:26" x14ac:dyDescent="0.25">
      <c r="Z20656"/>
    </row>
    <row r="20657" spans="26:26" x14ac:dyDescent="0.25">
      <c r="Z20657"/>
    </row>
    <row r="20658" spans="26:26" x14ac:dyDescent="0.25">
      <c r="Z20658"/>
    </row>
    <row r="20659" spans="26:26" x14ac:dyDescent="0.25">
      <c r="Z20659"/>
    </row>
    <row r="20660" spans="26:26" x14ac:dyDescent="0.25">
      <c r="Z20660"/>
    </row>
    <row r="20661" spans="26:26" x14ac:dyDescent="0.25">
      <c r="Z20661"/>
    </row>
    <row r="20662" spans="26:26" x14ac:dyDescent="0.25">
      <c r="Z20662"/>
    </row>
    <row r="20663" spans="26:26" x14ac:dyDescent="0.25">
      <c r="Z20663"/>
    </row>
    <row r="20664" spans="26:26" x14ac:dyDescent="0.25">
      <c r="Z20664"/>
    </row>
    <row r="20665" spans="26:26" x14ac:dyDescent="0.25">
      <c r="Z20665"/>
    </row>
    <row r="20666" spans="26:26" x14ac:dyDescent="0.25">
      <c r="Z20666"/>
    </row>
    <row r="20667" spans="26:26" x14ac:dyDescent="0.25">
      <c r="Z20667"/>
    </row>
    <row r="20668" spans="26:26" x14ac:dyDescent="0.25">
      <c r="Z20668"/>
    </row>
    <row r="20669" spans="26:26" x14ac:dyDescent="0.25">
      <c r="Z20669"/>
    </row>
    <row r="20670" spans="26:26" x14ac:dyDescent="0.25">
      <c r="Z20670"/>
    </row>
    <row r="20671" spans="26:26" x14ac:dyDescent="0.25">
      <c r="Z20671"/>
    </row>
    <row r="20672" spans="26:26" x14ac:dyDescent="0.25">
      <c r="Z20672"/>
    </row>
    <row r="20673" spans="26:26" x14ac:dyDescent="0.25">
      <c r="Z20673"/>
    </row>
    <row r="20674" spans="26:26" x14ac:dyDescent="0.25">
      <c r="Z20674"/>
    </row>
    <row r="20675" spans="26:26" x14ac:dyDescent="0.25">
      <c r="Z20675"/>
    </row>
    <row r="20676" spans="26:26" x14ac:dyDescent="0.25">
      <c r="Z20676"/>
    </row>
    <row r="20677" spans="26:26" x14ac:dyDescent="0.25">
      <c r="Z20677"/>
    </row>
    <row r="20678" spans="26:26" x14ac:dyDescent="0.25">
      <c r="Z20678"/>
    </row>
    <row r="20679" spans="26:26" x14ac:dyDescent="0.25">
      <c r="Z20679"/>
    </row>
    <row r="20680" spans="26:26" x14ac:dyDescent="0.25">
      <c r="Z20680"/>
    </row>
    <row r="20681" spans="26:26" x14ac:dyDescent="0.25">
      <c r="Z20681"/>
    </row>
    <row r="20682" spans="26:26" x14ac:dyDescent="0.25">
      <c r="Z20682"/>
    </row>
    <row r="20683" spans="26:26" x14ac:dyDescent="0.25">
      <c r="Z20683"/>
    </row>
    <row r="20684" spans="26:26" x14ac:dyDescent="0.25">
      <c r="Z20684"/>
    </row>
    <row r="20685" spans="26:26" x14ac:dyDescent="0.25">
      <c r="Z20685"/>
    </row>
    <row r="20686" spans="26:26" x14ac:dyDescent="0.25">
      <c r="Z20686"/>
    </row>
    <row r="20687" spans="26:26" x14ac:dyDescent="0.25">
      <c r="Z20687"/>
    </row>
    <row r="20688" spans="26:26" x14ac:dyDescent="0.25">
      <c r="Z20688"/>
    </row>
    <row r="20689" spans="26:26" x14ac:dyDescent="0.25">
      <c r="Z20689"/>
    </row>
    <row r="20690" spans="26:26" x14ac:dyDescent="0.25">
      <c r="Z20690"/>
    </row>
    <row r="20691" spans="26:26" x14ac:dyDescent="0.25">
      <c r="Z20691"/>
    </row>
    <row r="20692" spans="26:26" x14ac:dyDescent="0.25">
      <c r="Z20692"/>
    </row>
    <row r="20693" spans="26:26" x14ac:dyDescent="0.25">
      <c r="Z20693"/>
    </row>
    <row r="20694" spans="26:26" x14ac:dyDescent="0.25">
      <c r="Z20694"/>
    </row>
    <row r="20695" spans="26:26" x14ac:dyDescent="0.25">
      <c r="Z20695"/>
    </row>
    <row r="20696" spans="26:26" x14ac:dyDescent="0.25">
      <c r="Z20696"/>
    </row>
    <row r="20697" spans="26:26" x14ac:dyDescent="0.25">
      <c r="Z20697"/>
    </row>
    <row r="20698" spans="26:26" x14ac:dyDescent="0.25">
      <c r="Z20698"/>
    </row>
    <row r="20699" spans="26:26" x14ac:dyDescent="0.25">
      <c r="Z20699"/>
    </row>
    <row r="20700" spans="26:26" x14ac:dyDescent="0.25">
      <c r="Z20700"/>
    </row>
    <row r="20701" spans="26:26" x14ac:dyDescent="0.25">
      <c r="Z20701"/>
    </row>
    <row r="20702" spans="26:26" x14ac:dyDescent="0.25">
      <c r="Z20702"/>
    </row>
    <row r="20703" spans="26:26" x14ac:dyDescent="0.25">
      <c r="Z20703"/>
    </row>
    <row r="20704" spans="26:26" x14ac:dyDescent="0.25">
      <c r="Z20704"/>
    </row>
    <row r="20705" spans="26:26" x14ac:dyDescent="0.25">
      <c r="Z20705"/>
    </row>
    <row r="20706" spans="26:26" x14ac:dyDescent="0.25">
      <c r="Z20706"/>
    </row>
    <row r="20707" spans="26:26" x14ac:dyDescent="0.25">
      <c r="Z20707"/>
    </row>
    <row r="20708" spans="26:26" x14ac:dyDescent="0.25">
      <c r="Z20708"/>
    </row>
    <row r="20709" spans="26:26" x14ac:dyDescent="0.25">
      <c r="Z20709"/>
    </row>
    <row r="20710" spans="26:26" x14ac:dyDescent="0.25">
      <c r="Z20710"/>
    </row>
    <row r="20711" spans="26:26" x14ac:dyDescent="0.25">
      <c r="Z20711"/>
    </row>
    <row r="20712" spans="26:26" x14ac:dyDescent="0.25">
      <c r="Z20712"/>
    </row>
    <row r="20713" spans="26:26" x14ac:dyDescent="0.25">
      <c r="Z20713"/>
    </row>
    <row r="20714" spans="26:26" x14ac:dyDescent="0.25">
      <c r="Z20714"/>
    </row>
    <row r="20715" spans="26:26" x14ac:dyDescent="0.25">
      <c r="Z20715"/>
    </row>
    <row r="20716" spans="26:26" x14ac:dyDescent="0.25">
      <c r="Z20716"/>
    </row>
    <row r="20717" spans="26:26" x14ac:dyDescent="0.25">
      <c r="Z20717"/>
    </row>
    <row r="20718" spans="26:26" x14ac:dyDescent="0.25">
      <c r="Z20718"/>
    </row>
    <row r="20719" spans="26:26" x14ac:dyDescent="0.25">
      <c r="Z20719"/>
    </row>
    <row r="20720" spans="26:26" x14ac:dyDescent="0.25">
      <c r="Z20720"/>
    </row>
    <row r="20721" spans="26:26" x14ac:dyDescent="0.25">
      <c r="Z20721"/>
    </row>
    <row r="20722" spans="26:26" x14ac:dyDescent="0.25">
      <c r="Z20722"/>
    </row>
    <row r="20723" spans="26:26" x14ac:dyDescent="0.25">
      <c r="Z20723"/>
    </row>
    <row r="20724" spans="26:26" x14ac:dyDescent="0.25">
      <c r="Z20724"/>
    </row>
    <row r="20725" spans="26:26" x14ac:dyDescent="0.25">
      <c r="Z20725"/>
    </row>
    <row r="20726" spans="26:26" x14ac:dyDescent="0.25">
      <c r="Z20726"/>
    </row>
    <row r="20727" spans="26:26" x14ac:dyDescent="0.25">
      <c r="Z20727"/>
    </row>
    <row r="20728" spans="26:26" x14ac:dyDescent="0.25">
      <c r="Z20728"/>
    </row>
    <row r="20729" spans="26:26" x14ac:dyDescent="0.25">
      <c r="Z20729"/>
    </row>
    <row r="20730" spans="26:26" x14ac:dyDescent="0.25">
      <c r="Z20730"/>
    </row>
    <row r="20731" spans="26:26" x14ac:dyDescent="0.25">
      <c r="Z20731"/>
    </row>
    <row r="20732" spans="26:26" x14ac:dyDescent="0.25">
      <c r="Z20732"/>
    </row>
    <row r="20733" spans="26:26" x14ac:dyDescent="0.25">
      <c r="Z20733"/>
    </row>
    <row r="20734" spans="26:26" x14ac:dyDescent="0.25">
      <c r="Z20734"/>
    </row>
    <row r="20735" spans="26:26" x14ac:dyDescent="0.25">
      <c r="Z20735"/>
    </row>
    <row r="20736" spans="26:26" x14ac:dyDescent="0.25">
      <c r="Z20736"/>
    </row>
    <row r="20737" spans="26:26" x14ac:dyDescent="0.25">
      <c r="Z20737"/>
    </row>
    <row r="20738" spans="26:26" x14ac:dyDescent="0.25">
      <c r="Z20738"/>
    </row>
    <row r="20739" spans="26:26" x14ac:dyDescent="0.25">
      <c r="Z20739"/>
    </row>
    <row r="20740" spans="26:26" x14ac:dyDescent="0.25">
      <c r="Z20740"/>
    </row>
    <row r="20741" spans="26:26" x14ac:dyDescent="0.25">
      <c r="Z20741"/>
    </row>
    <row r="20742" spans="26:26" x14ac:dyDescent="0.25">
      <c r="Z20742"/>
    </row>
    <row r="20743" spans="26:26" x14ac:dyDescent="0.25">
      <c r="Z20743"/>
    </row>
    <row r="20744" spans="26:26" x14ac:dyDescent="0.25">
      <c r="Z20744"/>
    </row>
    <row r="20745" spans="26:26" x14ac:dyDescent="0.25">
      <c r="Z20745"/>
    </row>
    <row r="20746" spans="26:26" x14ac:dyDescent="0.25">
      <c r="Z20746"/>
    </row>
    <row r="20747" spans="26:26" x14ac:dyDescent="0.25">
      <c r="Z20747"/>
    </row>
    <row r="20748" spans="26:26" x14ac:dyDescent="0.25">
      <c r="Z20748"/>
    </row>
    <row r="20749" spans="26:26" x14ac:dyDescent="0.25">
      <c r="Z20749"/>
    </row>
    <row r="20750" spans="26:26" x14ac:dyDescent="0.25">
      <c r="Z20750"/>
    </row>
    <row r="20751" spans="26:26" x14ac:dyDescent="0.25">
      <c r="Z20751"/>
    </row>
    <row r="20752" spans="26:26" x14ac:dyDescent="0.25">
      <c r="Z20752"/>
    </row>
    <row r="20753" spans="26:26" x14ac:dyDescent="0.25">
      <c r="Z20753"/>
    </row>
    <row r="20754" spans="26:26" x14ac:dyDescent="0.25">
      <c r="Z20754"/>
    </row>
    <row r="20755" spans="26:26" x14ac:dyDescent="0.25">
      <c r="Z20755"/>
    </row>
    <row r="20756" spans="26:26" x14ac:dyDescent="0.25">
      <c r="Z20756"/>
    </row>
    <row r="20757" spans="26:26" x14ac:dyDescent="0.25">
      <c r="Z20757"/>
    </row>
    <row r="20758" spans="26:26" x14ac:dyDescent="0.25">
      <c r="Z20758"/>
    </row>
    <row r="20759" spans="26:26" x14ac:dyDescent="0.25">
      <c r="Z20759"/>
    </row>
    <row r="20760" spans="26:26" x14ac:dyDescent="0.25">
      <c r="Z20760"/>
    </row>
    <row r="20761" spans="26:26" x14ac:dyDescent="0.25">
      <c r="Z20761"/>
    </row>
    <row r="20762" spans="26:26" x14ac:dyDescent="0.25">
      <c r="Z20762"/>
    </row>
    <row r="20763" spans="26:26" x14ac:dyDescent="0.25">
      <c r="Z20763"/>
    </row>
    <row r="20764" spans="26:26" x14ac:dyDescent="0.25">
      <c r="Z20764"/>
    </row>
    <row r="20765" spans="26:26" x14ac:dyDescent="0.25">
      <c r="Z20765"/>
    </row>
    <row r="20766" spans="26:26" x14ac:dyDescent="0.25">
      <c r="Z20766"/>
    </row>
    <row r="20767" spans="26:26" x14ac:dyDescent="0.25">
      <c r="Z20767"/>
    </row>
    <row r="20768" spans="26:26" x14ac:dyDescent="0.25">
      <c r="Z20768"/>
    </row>
    <row r="20769" spans="26:26" x14ac:dyDescent="0.25">
      <c r="Z20769"/>
    </row>
    <row r="20770" spans="26:26" x14ac:dyDescent="0.25">
      <c r="Z20770"/>
    </row>
    <row r="20771" spans="26:26" x14ac:dyDescent="0.25">
      <c r="Z20771"/>
    </row>
    <row r="20772" spans="26:26" x14ac:dyDescent="0.25">
      <c r="Z20772"/>
    </row>
    <row r="20773" spans="26:26" x14ac:dyDescent="0.25">
      <c r="Z20773"/>
    </row>
    <row r="20774" spans="26:26" x14ac:dyDescent="0.25">
      <c r="Z20774"/>
    </row>
    <row r="20775" spans="26:26" x14ac:dyDescent="0.25">
      <c r="Z20775"/>
    </row>
    <row r="20776" spans="26:26" x14ac:dyDescent="0.25">
      <c r="Z20776"/>
    </row>
    <row r="20777" spans="26:26" x14ac:dyDescent="0.25">
      <c r="Z20777"/>
    </row>
    <row r="20778" spans="26:26" x14ac:dyDescent="0.25">
      <c r="Z20778"/>
    </row>
    <row r="20779" spans="26:26" x14ac:dyDescent="0.25">
      <c r="Z20779"/>
    </row>
    <row r="20780" spans="26:26" x14ac:dyDescent="0.25">
      <c r="Z20780"/>
    </row>
    <row r="20781" spans="26:26" x14ac:dyDescent="0.25">
      <c r="Z20781"/>
    </row>
    <row r="20782" spans="26:26" x14ac:dyDescent="0.25">
      <c r="Z20782"/>
    </row>
    <row r="20783" spans="26:26" x14ac:dyDescent="0.25">
      <c r="Z20783"/>
    </row>
    <row r="20784" spans="26:26" x14ac:dyDescent="0.25">
      <c r="Z20784"/>
    </row>
    <row r="20785" spans="26:26" x14ac:dyDescent="0.25">
      <c r="Z20785"/>
    </row>
    <row r="20786" spans="26:26" x14ac:dyDescent="0.25">
      <c r="Z20786"/>
    </row>
    <row r="20787" spans="26:26" x14ac:dyDescent="0.25">
      <c r="Z20787"/>
    </row>
    <row r="20788" spans="26:26" x14ac:dyDescent="0.25">
      <c r="Z20788"/>
    </row>
    <row r="20789" spans="26:26" x14ac:dyDescent="0.25">
      <c r="Z20789"/>
    </row>
    <row r="20790" spans="26:26" x14ac:dyDescent="0.25">
      <c r="Z20790"/>
    </row>
    <row r="20791" spans="26:26" x14ac:dyDescent="0.25">
      <c r="Z20791"/>
    </row>
    <row r="20792" spans="26:26" x14ac:dyDescent="0.25">
      <c r="Z20792"/>
    </row>
    <row r="20793" spans="26:26" x14ac:dyDescent="0.25">
      <c r="Z20793"/>
    </row>
    <row r="20794" spans="26:26" x14ac:dyDescent="0.25">
      <c r="Z20794"/>
    </row>
    <row r="20795" spans="26:26" x14ac:dyDescent="0.25">
      <c r="Z20795"/>
    </row>
    <row r="20796" spans="26:26" x14ac:dyDescent="0.25">
      <c r="Z20796"/>
    </row>
    <row r="20797" spans="26:26" x14ac:dyDescent="0.25">
      <c r="Z20797"/>
    </row>
    <row r="20798" spans="26:26" x14ac:dyDescent="0.25">
      <c r="Z20798"/>
    </row>
    <row r="20799" spans="26:26" x14ac:dyDescent="0.25">
      <c r="Z20799"/>
    </row>
    <row r="20800" spans="26:26" x14ac:dyDescent="0.25">
      <c r="Z20800"/>
    </row>
    <row r="20801" spans="26:26" x14ac:dyDescent="0.25">
      <c r="Z20801"/>
    </row>
    <row r="20802" spans="26:26" x14ac:dyDescent="0.25">
      <c r="Z20802"/>
    </row>
    <row r="20803" spans="26:26" x14ac:dyDescent="0.25">
      <c r="Z20803"/>
    </row>
    <row r="20804" spans="26:26" x14ac:dyDescent="0.25">
      <c r="Z20804"/>
    </row>
    <row r="20805" spans="26:26" x14ac:dyDescent="0.25">
      <c r="Z20805"/>
    </row>
    <row r="20806" spans="26:26" x14ac:dyDescent="0.25">
      <c r="Z20806"/>
    </row>
    <row r="20807" spans="26:26" x14ac:dyDescent="0.25">
      <c r="Z20807"/>
    </row>
    <row r="20808" spans="26:26" x14ac:dyDescent="0.25">
      <c r="Z20808"/>
    </row>
    <row r="20809" spans="26:26" x14ac:dyDescent="0.25">
      <c r="Z20809"/>
    </row>
    <row r="20810" spans="26:26" x14ac:dyDescent="0.25">
      <c r="Z20810"/>
    </row>
    <row r="20811" spans="26:26" x14ac:dyDescent="0.25">
      <c r="Z20811"/>
    </row>
    <row r="20812" spans="26:26" x14ac:dyDescent="0.25">
      <c r="Z20812"/>
    </row>
    <row r="20813" spans="26:26" x14ac:dyDescent="0.25">
      <c r="Z20813"/>
    </row>
    <row r="20814" spans="26:26" x14ac:dyDescent="0.25">
      <c r="Z20814"/>
    </row>
    <row r="20815" spans="26:26" x14ac:dyDescent="0.25">
      <c r="Z20815"/>
    </row>
    <row r="20816" spans="26:26" x14ac:dyDescent="0.25">
      <c r="Z20816"/>
    </row>
    <row r="20817" spans="26:26" x14ac:dyDescent="0.25">
      <c r="Z20817"/>
    </row>
    <row r="20818" spans="26:26" x14ac:dyDescent="0.25">
      <c r="Z20818"/>
    </row>
    <row r="20819" spans="26:26" x14ac:dyDescent="0.25">
      <c r="Z20819"/>
    </row>
    <row r="20820" spans="26:26" x14ac:dyDescent="0.25">
      <c r="Z20820"/>
    </row>
    <row r="20821" spans="26:26" x14ac:dyDescent="0.25">
      <c r="Z20821"/>
    </row>
    <row r="20822" spans="26:26" x14ac:dyDescent="0.25">
      <c r="Z20822"/>
    </row>
    <row r="20823" spans="26:26" x14ac:dyDescent="0.25">
      <c r="Z20823"/>
    </row>
    <row r="20824" spans="26:26" x14ac:dyDescent="0.25">
      <c r="Z20824"/>
    </row>
    <row r="20825" spans="26:26" x14ac:dyDescent="0.25">
      <c r="Z20825"/>
    </row>
    <row r="20826" spans="26:26" x14ac:dyDescent="0.25">
      <c r="Z20826"/>
    </row>
    <row r="20827" spans="26:26" x14ac:dyDescent="0.25">
      <c r="Z20827"/>
    </row>
    <row r="20828" spans="26:26" x14ac:dyDescent="0.25">
      <c r="Z20828"/>
    </row>
    <row r="20829" spans="26:26" x14ac:dyDescent="0.25">
      <c r="Z20829"/>
    </row>
    <row r="20830" spans="26:26" x14ac:dyDescent="0.25">
      <c r="Z20830"/>
    </row>
    <row r="20831" spans="26:26" x14ac:dyDescent="0.25">
      <c r="Z20831"/>
    </row>
    <row r="20832" spans="26:26" x14ac:dyDescent="0.25">
      <c r="Z20832"/>
    </row>
    <row r="20833" spans="26:26" x14ac:dyDescent="0.25">
      <c r="Z20833"/>
    </row>
    <row r="20834" spans="26:26" x14ac:dyDescent="0.25">
      <c r="Z20834"/>
    </row>
    <row r="20835" spans="26:26" x14ac:dyDescent="0.25">
      <c r="Z20835"/>
    </row>
    <row r="20836" spans="26:26" x14ac:dyDescent="0.25">
      <c r="Z20836"/>
    </row>
    <row r="20837" spans="26:26" x14ac:dyDescent="0.25">
      <c r="Z20837"/>
    </row>
    <row r="20838" spans="26:26" x14ac:dyDescent="0.25">
      <c r="Z20838"/>
    </row>
    <row r="20839" spans="26:26" x14ac:dyDescent="0.25">
      <c r="Z20839"/>
    </row>
    <row r="20840" spans="26:26" x14ac:dyDescent="0.25">
      <c r="Z20840"/>
    </row>
    <row r="20841" spans="26:26" x14ac:dyDescent="0.25">
      <c r="Z20841"/>
    </row>
    <row r="20842" spans="26:26" x14ac:dyDescent="0.25">
      <c r="Z20842"/>
    </row>
    <row r="20843" spans="26:26" x14ac:dyDescent="0.25">
      <c r="Z20843"/>
    </row>
    <row r="20844" spans="26:26" x14ac:dyDescent="0.25">
      <c r="Z20844"/>
    </row>
    <row r="20845" spans="26:26" x14ac:dyDescent="0.25">
      <c r="Z20845"/>
    </row>
    <row r="20846" spans="26:26" x14ac:dyDescent="0.25">
      <c r="Z20846"/>
    </row>
    <row r="20847" spans="26:26" x14ac:dyDescent="0.25">
      <c r="Z20847"/>
    </row>
    <row r="20848" spans="26:26" x14ac:dyDescent="0.25">
      <c r="Z20848"/>
    </row>
    <row r="20849" spans="26:26" x14ac:dyDescent="0.25">
      <c r="Z20849"/>
    </row>
    <row r="20850" spans="26:26" x14ac:dyDescent="0.25">
      <c r="Z20850"/>
    </row>
    <row r="20851" spans="26:26" x14ac:dyDescent="0.25">
      <c r="Z20851"/>
    </row>
    <row r="20852" spans="26:26" x14ac:dyDescent="0.25">
      <c r="Z20852"/>
    </row>
    <row r="20853" spans="26:26" x14ac:dyDescent="0.25">
      <c r="Z20853"/>
    </row>
    <row r="20854" spans="26:26" x14ac:dyDescent="0.25">
      <c r="Z20854"/>
    </row>
    <row r="20855" spans="26:26" x14ac:dyDescent="0.25">
      <c r="Z20855"/>
    </row>
    <row r="20856" spans="26:26" x14ac:dyDescent="0.25">
      <c r="Z20856"/>
    </row>
    <row r="20857" spans="26:26" x14ac:dyDescent="0.25">
      <c r="Z20857"/>
    </row>
    <row r="20858" spans="26:26" x14ac:dyDescent="0.25">
      <c r="Z20858"/>
    </row>
    <row r="20859" spans="26:26" x14ac:dyDescent="0.25">
      <c r="Z20859"/>
    </row>
    <row r="20860" spans="26:26" x14ac:dyDescent="0.25">
      <c r="Z20860"/>
    </row>
    <row r="20861" spans="26:26" x14ac:dyDescent="0.25">
      <c r="Z20861"/>
    </row>
    <row r="20862" spans="26:26" x14ac:dyDescent="0.25">
      <c r="Z20862"/>
    </row>
    <row r="20863" spans="26:26" x14ac:dyDescent="0.25">
      <c r="Z20863"/>
    </row>
    <row r="20864" spans="26:26" x14ac:dyDescent="0.25">
      <c r="Z20864"/>
    </row>
    <row r="20865" spans="26:26" x14ac:dyDescent="0.25">
      <c r="Z20865"/>
    </row>
    <row r="20866" spans="26:26" x14ac:dyDescent="0.25">
      <c r="Z20866"/>
    </row>
    <row r="20867" spans="26:26" x14ac:dyDescent="0.25">
      <c r="Z20867"/>
    </row>
    <row r="20868" spans="26:26" x14ac:dyDescent="0.25">
      <c r="Z20868"/>
    </row>
    <row r="20869" spans="26:26" x14ac:dyDescent="0.25">
      <c r="Z20869"/>
    </row>
    <row r="20870" spans="26:26" x14ac:dyDescent="0.25">
      <c r="Z20870"/>
    </row>
    <row r="20871" spans="26:26" x14ac:dyDescent="0.25">
      <c r="Z20871"/>
    </row>
    <row r="20872" spans="26:26" x14ac:dyDescent="0.25">
      <c r="Z20872"/>
    </row>
    <row r="20873" spans="26:26" x14ac:dyDescent="0.25">
      <c r="Z20873"/>
    </row>
    <row r="20874" spans="26:26" x14ac:dyDescent="0.25">
      <c r="Z20874"/>
    </row>
    <row r="20875" spans="26:26" x14ac:dyDescent="0.25">
      <c r="Z20875"/>
    </row>
    <row r="20876" spans="26:26" x14ac:dyDescent="0.25">
      <c r="Z20876"/>
    </row>
    <row r="20877" spans="26:26" x14ac:dyDescent="0.25">
      <c r="Z20877"/>
    </row>
    <row r="20878" spans="26:26" x14ac:dyDescent="0.25">
      <c r="Z20878"/>
    </row>
    <row r="20879" spans="26:26" x14ac:dyDescent="0.25">
      <c r="Z20879"/>
    </row>
    <row r="20880" spans="26:26" x14ac:dyDescent="0.25">
      <c r="Z20880"/>
    </row>
    <row r="20881" spans="26:26" x14ac:dyDescent="0.25">
      <c r="Z20881"/>
    </row>
    <row r="20882" spans="26:26" x14ac:dyDescent="0.25">
      <c r="Z20882"/>
    </row>
    <row r="20883" spans="26:26" x14ac:dyDescent="0.25">
      <c r="Z20883"/>
    </row>
    <row r="20884" spans="26:26" x14ac:dyDescent="0.25">
      <c r="Z20884"/>
    </row>
    <row r="20885" spans="26:26" x14ac:dyDescent="0.25">
      <c r="Z20885"/>
    </row>
    <row r="20886" spans="26:26" x14ac:dyDescent="0.25">
      <c r="Z20886"/>
    </row>
    <row r="20887" spans="26:26" x14ac:dyDescent="0.25">
      <c r="Z20887"/>
    </row>
    <row r="20888" spans="26:26" x14ac:dyDescent="0.25">
      <c r="Z20888"/>
    </row>
    <row r="20889" spans="26:26" x14ac:dyDescent="0.25">
      <c r="Z20889"/>
    </row>
    <row r="20890" spans="26:26" x14ac:dyDescent="0.25">
      <c r="Z20890"/>
    </row>
    <row r="20891" spans="26:26" x14ac:dyDescent="0.25">
      <c r="Z20891"/>
    </row>
    <row r="20892" spans="26:26" x14ac:dyDescent="0.25">
      <c r="Z20892"/>
    </row>
    <row r="20893" spans="26:26" x14ac:dyDescent="0.25">
      <c r="Z20893"/>
    </row>
    <row r="20894" spans="26:26" x14ac:dyDescent="0.25">
      <c r="Z20894"/>
    </row>
    <row r="20895" spans="26:26" x14ac:dyDescent="0.25">
      <c r="Z20895"/>
    </row>
    <row r="20896" spans="26:26" x14ac:dyDescent="0.25">
      <c r="Z20896"/>
    </row>
    <row r="20897" spans="26:26" x14ac:dyDescent="0.25">
      <c r="Z20897"/>
    </row>
    <row r="20898" spans="26:26" x14ac:dyDescent="0.25">
      <c r="Z20898"/>
    </row>
    <row r="20899" spans="26:26" x14ac:dyDescent="0.25">
      <c r="Z20899"/>
    </row>
    <row r="20900" spans="26:26" x14ac:dyDescent="0.25">
      <c r="Z20900"/>
    </row>
    <row r="20901" spans="26:26" x14ac:dyDescent="0.25">
      <c r="Z20901"/>
    </row>
    <row r="20902" spans="26:26" x14ac:dyDescent="0.25">
      <c r="Z20902"/>
    </row>
    <row r="20903" spans="26:26" x14ac:dyDescent="0.25">
      <c r="Z20903"/>
    </row>
    <row r="20904" spans="26:26" x14ac:dyDescent="0.25">
      <c r="Z20904"/>
    </row>
    <row r="20905" spans="26:26" x14ac:dyDescent="0.25">
      <c r="Z20905"/>
    </row>
    <row r="20906" spans="26:26" x14ac:dyDescent="0.25">
      <c r="Z20906"/>
    </row>
    <row r="20907" spans="26:26" x14ac:dyDescent="0.25">
      <c r="Z20907"/>
    </row>
    <row r="20908" spans="26:26" x14ac:dyDescent="0.25">
      <c r="Z20908"/>
    </row>
    <row r="20909" spans="26:26" x14ac:dyDescent="0.25">
      <c r="Z20909"/>
    </row>
    <row r="20910" spans="26:26" x14ac:dyDescent="0.25">
      <c r="Z20910"/>
    </row>
    <row r="20911" spans="26:26" x14ac:dyDescent="0.25">
      <c r="Z20911"/>
    </row>
    <row r="20912" spans="26:26" x14ac:dyDescent="0.25">
      <c r="Z20912"/>
    </row>
    <row r="20913" spans="26:26" x14ac:dyDescent="0.25">
      <c r="Z20913"/>
    </row>
    <row r="20914" spans="26:26" x14ac:dyDescent="0.25">
      <c r="Z20914"/>
    </row>
    <row r="20915" spans="26:26" x14ac:dyDescent="0.25">
      <c r="Z20915"/>
    </row>
    <row r="20916" spans="26:26" x14ac:dyDescent="0.25">
      <c r="Z20916"/>
    </row>
    <row r="20917" spans="26:26" x14ac:dyDescent="0.25">
      <c r="Z20917"/>
    </row>
    <row r="20918" spans="26:26" x14ac:dyDescent="0.25">
      <c r="Z20918"/>
    </row>
    <row r="20919" spans="26:26" x14ac:dyDescent="0.25">
      <c r="Z20919"/>
    </row>
    <row r="20920" spans="26:26" x14ac:dyDescent="0.25">
      <c r="Z20920"/>
    </row>
    <row r="20921" spans="26:26" x14ac:dyDescent="0.25">
      <c r="Z20921"/>
    </row>
    <row r="20922" spans="26:26" x14ac:dyDescent="0.25">
      <c r="Z20922"/>
    </row>
    <row r="20923" spans="26:26" x14ac:dyDescent="0.25">
      <c r="Z20923"/>
    </row>
    <row r="20924" spans="26:26" x14ac:dyDescent="0.25">
      <c r="Z20924"/>
    </row>
    <row r="20925" spans="26:26" x14ac:dyDescent="0.25">
      <c r="Z20925"/>
    </row>
    <row r="20926" spans="26:26" x14ac:dyDescent="0.25">
      <c r="Z20926"/>
    </row>
    <row r="20927" spans="26:26" x14ac:dyDescent="0.25">
      <c r="Z20927"/>
    </row>
    <row r="20928" spans="26:26" x14ac:dyDescent="0.25">
      <c r="Z20928"/>
    </row>
    <row r="20929" spans="26:26" x14ac:dyDescent="0.25">
      <c r="Z20929"/>
    </row>
    <row r="20930" spans="26:26" x14ac:dyDescent="0.25">
      <c r="Z20930"/>
    </row>
    <row r="20931" spans="26:26" x14ac:dyDescent="0.25">
      <c r="Z20931"/>
    </row>
    <row r="20932" spans="26:26" x14ac:dyDescent="0.25">
      <c r="Z20932"/>
    </row>
    <row r="20933" spans="26:26" x14ac:dyDescent="0.25">
      <c r="Z20933"/>
    </row>
    <row r="20934" spans="26:26" x14ac:dyDescent="0.25">
      <c r="Z20934"/>
    </row>
    <row r="20935" spans="26:26" x14ac:dyDescent="0.25">
      <c r="Z20935"/>
    </row>
    <row r="20936" spans="26:26" x14ac:dyDescent="0.25">
      <c r="Z20936"/>
    </row>
    <row r="20937" spans="26:26" x14ac:dyDescent="0.25">
      <c r="Z20937"/>
    </row>
    <row r="20938" spans="26:26" x14ac:dyDescent="0.25">
      <c r="Z20938"/>
    </row>
    <row r="20939" spans="26:26" x14ac:dyDescent="0.25">
      <c r="Z20939"/>
    </row>
    <row r="20940" spans="26:26" x14ac:dyDescent="0.25">
      <c r="Z20940"/>
    </row>
    <row r="20941" spans="26:26" x14ac:dyDescent="0.25">
      <c r="Z20941"/>
    </row>
    <row r="20942" spans="26:26" x14ac:dyDescent="0.25">
      <c r="Z20942"/>
    </row>
    <row r="20943" spans="26:26" x14ac:dyDescent="0.25">
      <c r="Z20943"/>
    </row>
    <row r="20944" spans="26:26" x14ac:dyDescent="0.25">
      <c r="Z20944"/>
    </row>
    <row r="20945" spans="26:26" x14ac:dyDescent="0.25">
      <c r="Z20945"/>
    </row>
    <row r="20946" spans="26:26" x14ac:dyDescent="0.25">
      <c r="Z20946"/>
    </row>
    <row r="20947" spans="26:26" x14ac:dyDescent="0.25">
      <c r="Z20947"/>
    </row>
    <row r="20948" spans="26:26" x14ac:dyDescent="0.25">
      <c r="Z20948"/>
    </row>
    <row r="20949" spans="26:26" x14ac:dyDescent="0.25">
      <c r="Z20949"/>
    </row>
    <row r="20950" spans="26:26" x14ac:dyDescent="0.25">
      <c r="Z20950"/>
    </row>
    <row r="20951" spans="26:26" x14ac:dyDescent="0.25">
      <c r="Z20951"/>
    </row>
    <row r="20952" spans="26:26" x14ac:dyDescent="0.25">
      <c r="Z20952"/>
    </row>
    <row r="20953" spans="26:26" x14ac:dyDescent="0.25">
      <c r="Z20953"/>
    </row>
    <row r="20954" spans="26:26" x14ac:dyDescent="0.25">
      <c r="Z20954"/>
    </row>
    <row r="20955" spans="26:26" x14ac:dyDescent="0.25">
      <c r="Z20955"/>
    </row>
    <row r="20956" spans="26:26" x14ac:dyDescent="0.25">
      <c r="Z20956"/>
    </row>
    <row r="20957" spans="26:26" x14ac:dyDescent="0.25">
      <c r="Z20957"/>
    </row>
    <row r="20958" spans="26:26" x14ac:dyDescent="0.25">
      <c r="Z20958"/>
    </row>
    <row r="20959" spans="26:26" x14ac:dyDescent="0.25">
      <c r="Z20959"/>
    </row>
    <row r="20960" spans="26:26" x14ac:dyDescent="0.25">
      <c r="Z20960"/>
    </row>
    <row r="20961" spans="26:26" x14ac:dyDescent="0.25">
      <c r="Z20961"/>
    </row>
    <row r="20962" spans="26:26" x14ac:dyDescent="0.25">
      <c r="Z20962"/>
    </row>
    <row r="20963" spans="26:26" x14ac:dyDescent="0.25">
      <c r="Z20963"/>
    </row>
    <row r="20964" spans="26:26" x14ac:dyDescent="0.25">
      <c r="Z20964"/>
    </row>
    <row r="20965" spans="26:26" x14ac:dyDescent="0.25">
      <c r="Z20965"/>
    </row>
    <row r="20966" spans="26:26" x14ac:dyDescent="0.25">
      <c r="Z20966"/>
    </row>
    <row r="20967" spans="26:26" x14ac:dyDescent="0.25">
      <c r="Z20967"/>
    </row>
    <row r="20968" spans="26:26" x14ac:dyDescent="0.25">
      <c r="Z20968"/>
    </row>
    <row r="20969" spans="26:26" x14ac:dyDescent="0.25">
      <c r="Z20969"/>
    </row>
    <row r="20970" spans="26:26" x14ac:dyDescent="0.25">
      <c r="Z20970"/>
    </row>
    <row r="20971" spans="26:26" x14ac:dyDescent="0.25">
      <c r="Z20971"/>
    </row>
    <row r="20972" spans="26:26" x14ac:dyDescent="0.25">
      <c r="Z20972"/>
    </row>
    <row r="20973" spans="26:26" x14ac:dyDescent="0.25">
      <c r="Z20973"/>
    </row>
    <row r="20974" spans="26:26" x14ac:dyDescent="0.25">
      <c r="Z20974"/>
    </row>
    <row r="20975" spans="26:26" x14ac:dyDescent="0.25">
      <c r="Z20975"/>
    </row>
    <row r="20976" spans="26:26" x14ac:dyDescent="0.25">
      <c r="Z20976"/>
    </row>
    <row r="20977" spans="26:26" x14ac:dyDescent="0.25">
      <c r="Z20977"/>
    </row>
    <row r="20978" spans="26:26" x14ac:dyDescent="0.25">
      <c r="Z20978"/>
    </row>
    <row r="20979" spans="26:26" x14ac:dyDescent="0.25">
      <c r="Z20979"/>
    </row>
    <row r="20980" spans="26:26" x14ac:dyDescent="0.25">
      <c r="Z20980"/>
    </row>
    <row r="20981" spans="26:26" x14ac:dyDescent="0.25">
      <c r="Z20981"/>
    </row>
    <row r="20982" spans="26:26" x14ac:dyDescent="0.25">
      <c r="Z20982"/>
    </row>
    <row r="20983" spans="26:26" x14ac:dyDescent="0.25">
      <c r="Z20983"/>
    </row>
    <row r="20984" spans="26:26" x14ac:dyDescent="0.25">
      <c r="Z20984"/>
    </row>
    <row r="20985" spans="26:26" x14ac:dyDescent="0.25">
      <c r="Z20985"/>
    </row>
    <row r="20986" spans="26:26" x14ac:dyDescent="0.25">
      <c r="Z20986"/>
    </row>
    <row r="20987" spans="26:26" x14ac:dyDescent="0.25">
      <c r="Z20987"/>
    </row>
    <row r="20988" spans="26:26" x14ac:dyDescent="0.25">
      <c r="Z20988"/>
    </row>
    <row r="20989" spans="26:26" x14ac:dyDescent="0.25">
      <c r="Z20989"/>
    </row>
    <row r="20990" spans="26:26" x14ac:dyDescent="0.25">
      <c r="Z20990"/>
    </row>
    <row r="20991" spans="26:26" x14ac:dyDescent="0.25">
      <c r="Z20991"/>
    </row>
    <row r="20992" spans="26:26" x14ac:dyDescent="0.25">
      <c r="Z20992"/>
    </row>
    <row r="20993" spans="26:26" x14ac:dyDescent="0.25">
      <c r="Z20993"/>
    </row>
    <row r="20994" spans="26:26" x14ac:dyDescent="0.25">
      <c r="Z20994"/>
    </row>
    <row r="20995" spans="26:26" x14ac:dyDescent="0.25">
      <c r="Z20995"/>
    </row>
    <row r="20996" spans="26:26" x14ac:dyDescent="0.25">
      <c r="Z20996"/>
    </row>
    <row r="20997" spans="26:26" x14ac:dyDescent="0.25">
      <c r="Z20997"/>
    </row>
    <row r="20998" spans="26:26" x14ac:dyDescent="0.25">
      <c r="Z20998"/>
    </row>
    <row r="20999" spans="26:26" x14ac:dyDescent="0.25">
      <c r="Z20999"/>
    </row>
    <row r="21000" spans="26:26" x14ac:dyDescent="0.25">
      <c r="Z21000"/>
    </row>
    <row r="21001" spans="26:26" x14ac:dyDescent="0.25">
      <c r="Z21001"/>
    </row>
    <row r="21002" spans="26:26" x14ac:dyDescent="0.25">
      <c r="Z21002"/>
    </row>
    <row r="21003" spans="26:26" x14ac:dyDescent="0.25">
      <c r="Z21003"/>
    </row>
    <row r="21004" spans="26:26" x14ac:dyDescent="0.25">
      <c r="Z21004"/>
    </row>
    <row r="21005" spans="26:26" x14ac:dyDescent="0.25">
      <c r="Z21005"/>
    </row>
    <row r="21006" spans="26:26" x14ac:dyDescent="0.25">
      <c r="Z21006"/>
    </row>
    <row r="21007" spans="26:26" x14ac:dyDescent="0.25">
      <c r="Z21007"/>
    </row>
    <row r="21008" spans="26:26" x14ac:dyDescent="0.25">
      <c r="Z21008"/>
    </row>
    <row r="21009" spans="26:26" x14ac:dyDescent="0.25">
      <c r="Z21009"/>
    </row>
    <row r="21010" spans="26:26" x14ac:dyDescent="0.25">
      <c r="Z21010"/>
    </row>
    <row r="21011" spans="26:26" x14ac:dyDescent="0.25">
      <c r="Z21011"/>
    </row>
    <row r="21012" spans="26:26" x14ac:dyDescent="0.25">
      <c r="Z21012"/>
    </row>
    <row r="21013" spans="26:26" x14ac:dyDescent="0.25">
      <c r="Z21013"/>
    </row>
    <row r="21014" spans="26:26" x14ac:dyDescent="0.25">
      <c r="Z21014"/>
    </row>
    <row r="21015" spans="26:26" x14ac:dyDescent="0.25">
      <c r="Z21015"/>
    </row>
    <row r="21016" spans="26:26" x14ac:dyDescent="0.25">
      <c r="Z21016"/>
    </row>
    <row r="21017" spans="26:26" x14ac:dyDescent="0.25">
      <c r="Z21017"/>
    </row>
    <row r="21018" spans="26:26" x14ac:dyDescent="0.25">
      <c r="Z21018"/>
    </row>
    <row r="21019" spans="26:26" x14ac:dyDescent="0.25">
      <c r="Z21019"/>
    </row>
    <row r="21020" spans="26:26" x14ac:dyDescent="0.25">
      <c r="Z21020"/>
    </row>
    <row r="21021" spans="26:26" x14ac:dyDescent="0.25">
      <c r="Z21021"/>
    </row>
    <row r="21022" spans="26:26" x14ac:dyDescent="0.25">
      <c r="Z21022"/>
    </row>
    <row r="21023" spans="26:26" x14ac:dyDescent="0.25">
      <c r="Z21023"/>
    </row>
    <row r="21024" spans="26:26" x14ac:dyDescent="0.25">
      <c r="Z21024"/>
    </row>
    <row r="21025" spans="26:26" x14ac:dyDescent="0.25">
      <c r="Z21025"/>
    </row>
    <row r="21026" spans="26:26" x14ac:dyDescent="0.25">
      <c r="Z21026"/>
    </row>
    <row r="21027" spans="26:26" x14ac:dyDescent="0.25">
      <c r="Z21027"/>
    </row>
    <row r="21028" spans="26:26" x14ac:dyDescent="0.25">
      <c r="Z21028"/>
    </row>
    <row r="21029" spans="26:26" x14ac:dyDescent="0.25">
      <c r="Z21029"/>
    </row>
    <row r="21030" spans="26:26" x14ac:dyDescent="0.25">
      <c r="Z21030"/>
    </row>
    <row r="21031" spans="26:26" x14ac:dyDescent="0.25">
      <c r="Z21031"/>
    </row>
    <row r="21032" spans="26:26" x14ac:dyDescent="0.25">
      <c r="Z21032"/>
    </row>
    <row r="21033" spans="26:26" x14ac:dyDescent="0.25">
      <c r="Z21033"/>
    </row>
    <row r="21034" spans="26:26" x14ac:dyDescent="0.25">
      <c r="Z21034"/>
    </row>
    <row r="21035" spans="26:26" x14ac:dyDescent="0.25">
      <c r="Z21035"/>
    </row>
    <row r="21036" spans="26:26" x14ac:dyDescent="0.25">
      <c r="Z21036"/>
    </row>
    <row r="21037" spans="26:26" x14ac:dyDescent="0.25">
      <c r="Z21037"/>
    </row>
    <row r="21038" spans="26:26" x14ac:dyDescent="0.25">
      <c r="Z21038"/>
    </row>
    <row r="21039" spans="26:26" x14ac:dyDescent="0.25">
      <c r="Z21039"/>
    </row>
    <row r="21040" spans="26:26" x14ac:dyDescent="0.25">
      <c r="Z21040"/>
    </row>
    <row r="21041" spans="26:26" x14ac:dyDescent="0.25">
      <c r="Z21041"/>
    </row>
    <row r="21042" spans="26:26" x14ac:dyDescent="0.25">
      <c r="Z21042"/>
    </row>
    <row r="21043" spans="26:26" x14ac:dyDescent="0.25">
      <c r="Z21043"/>
    </row>
    <row r="21044" spans="26:26" x14ac:dyDescent="0.25">
      <c r="Z21044"/>
    </row>
    <row r="21045" spans="26:26" x14ac:dyDescent="0.25">
      <c r="Z21045"/>
    </row>
    <row r="21046" spans="26:26" x14ac:dyDescent="0.25">
      <c r="Z21046"/>
    </row>
    <row r="21047" spans="26:26" x14ac:dyDescent="0.25">
      <c r="Z21047"/>
    </row>
    <row r="21048" spans="26:26" x14ac:dyDescent="0.25">
      <c r="Z21048"/>
    </row>
    <row r="21049" spans="26:26" x14ac:dyDescent="0.25">
      <c r="Z21049"/>
    </row>
    <row r="21050" spans="26:26" x14ac:dyDescent="0.25">
      <c r="Z21050"/>
    </row>
    <row r="21051" spans="26:26" x14ac:dyDescent="0.25">
      <c r="Z21051"/>
    </row>
    <row r="21052" spans="26:26" x14ac:dyDescent="0.25">
      <c r="Z21052"/>
    </row>
    <row r="21053" spans="26:26" x14ac:dyDescent="0.25">
      <c r="Z21053"/>
    </row>
    <row r="21054" spans="26:26" x14ac:dyDescent="0.25">
      <c r="Z21054"/>
    </row>
    <row r="21055" spans="26:26" x14ac:dyDescent="0.25">
      <c r="Z21055"/>
    </row>
    <row r="21056" spans="26:26" x14ac:dyDescent="0.25">
      <c r="Z21056"/>
    </row>
    <row r="21057" spans="26:26" x14ac:dyDescent="0.25">
      <c r="Z21057"/>
    </row>
    <row r="21058" spans="26:26" x14ac:dyDescent="0.25">
      <c r="Z21058"/>
    </row>
    <row r="21059" spans="26:26" x14ac:dyDescent="0.25">
      <c r="Z21059"/>
    </row>
    <row r="21060" spans="26:26" x14ac:dyDescent="0.25">
      <c r="Z21060"/>
    </row>
    <row r="21061" spans="26:26" x14ac:dyDescent="0.25">
      <c r="Z21061"/>
    </row>
    <row r="21062" spans="26:26" x14ac:dyDescent="0.25">
      <c r="Z21062"/>
    </row>
    <row r="21063" spans="26:26" x14ac:dyDescent="0.25">
      <c r="Z21063"/>
    </row>
    <row r="21064" spans="26:26" x14ac:dyDescent="0.25">
      <c r="Z21064"/>
    </row>
    <row r="21065" spans="26:26" x14ac:dyDescent="0.25">
      <c r="Z21065"/>
    </row>
    <row r="21066" spans="26:26" x14ac:dyDescent="0.25">
      <c r="Z21066"/>
    </row>
    <row r="21067" spans="26:26" x14ac:dyDescent="0.25">
      <c r="Z21067"/>
    </row>
    <row r="21068" spans="26:26" x14ac:dyDescent="0.25">
      <c r="Z21068"/>
    </row>
    <row r="21069" spans="26:26" x14ac:dyDescent="0.25">
      <c r="Z21069"/>
    </row>
    <row r="21070" spans="26:26" x14ac:dyDescent="0.25">
      <c r="Z21070"/>
    </row>
    <row r="21071" spans="26:26" x14ac:dyDescent="0.25">
      <c r="Z21071"/>
    </row>
    <row r="21072" spans="26:26" x14ac:dyDescent="0.25">
      <c r="Z21072"/>
    </row>
    <row r="21073" spans="26:26" x14ac:dyDescent="0.25">
      <c r="Z21073"/>
    </row>
    <row r="21074" spans="26:26" x14ac:dyDescent="0.25">
      <c r="Z21074"/>
    </row>
    <row r="21075" spans="26:26" x14ac:dyDescent="0.25">
      <c r="Z21075"/>
    </row>
    <row r="21076" spans="26:26" x14ac:dyDescent="0.25">
      <c r="Z21076"/>
    </row>
    <row r="21077" spans="26:26" x14ac:dyDescent="0.25">
      <c r="Z21077"/>
    </row>
    <row r="21078" spans="26:26" x14ac:dyDescent="0.25">
      <c r="Z21078"/>
    </row>
    <row r="21079" spans="26:26" x14ac:dyDescent="0.25">
      <c r="Z21079"/>
    </row>
    <row r="21080" spans="26:26" x14ac:dyDescent="0.25">
      <c r="Z21080"/>
    </row>
    <row r="21081" spans="26:26" x14ac:dyDescent="0.25">
      <c r="Z21081"/>
    </row>
    <row r="21082" spans="26:26" x14ac:dyDescent="0.25">
      <c r="Z21082"/>
    </row>
    <row r="21083" spans="26:26" x14ac:dyDescent="0.25">
      <c r="Z21083"/>
    </row>
    <row r="21084" spans="26:26" x14ac:dyDescent="0.25">
      <c r="Z21084"/>
    </row>
    <row r="21085" spans="26:26" x14ac:dyDescent="0.25">
      <c r="Z21085"/>
    </row>
    <row r="21086" spans="26:26" x14ac:dyDescent="0.25">
      <c r="Z21086"/>
    </row>
    <row r="21087" spans="26:26" x14ac:dyDescent="0.25">
      <c r="Z21087"/>
    </row>
    <row r="21088" spans="26:26" x14ac:dyDescent="0.25">
      <c r="Z21088"/>
    </row>
    <row r="21089" spans="26:26" x14ac:dyDescent="0.25">
      <c r="Z21089"/>
    </row>
    <row r="21090" spans="26:26" x14ac:dyDescent="0.25">
      <c r="Z21090"/>
    </row>
    <row r="21091" spans="26:26" x14ac:dyDescent="0.25">
      <c r="Z21091"/>
    </row>
    <row r="21092" spans="26:26" x14ac:dyDescent="0.25">
      <c r="Z21092"/>
    </row>
    <row r="21093" spans="26:26" x14ac:dyDescent="0.25">
      <c r="Z21093"/>
    </row>
    <row r="21094" spans="26:26" x14ac:dyDescent="0.25">
      <c r="Z21094"/>
    </row>
    <row r="21095" spans="26:26" x14ac:dyDescent="0.25">
      <c r="Z21095"/>
    </row>
    <row r="21096" spans="26:26" x14ac:dyDescent="0.25">
      <c r="Z21096"/>
    </row>
    <row r="21097" spans="26:26" x14ac:dyDescent="0.25">
      <c r="Z21097"/>
    </row>
    <row r="21098" spans="26:26" x14ac:dyDescent="0.25">
      <c r="Z21098"/>
    </row>
    <row r="21099" spans="26:26" x14ac:dyDescent="0.25">
      <c r="Z21099"/>
    </row>
    <row r="21100" spans="26:26" x14ac:dyDescent="0.25">
      <c r="Z21100"/>
    </row>
    <row r="21101" spans="26:26" x14ac:dyDescent="0.25">
      <c r="Z21101"/>
    </row>
    <row r="21102" spans="26:26" x14ac:dyDescent="0.25">
      <c r="Z21102"/>
    </row>
    <row r="21103" spans="26:26" x14ac:dyDescent="0.25">
      <c r="Z21103"/>
    </row>
    <row r="21104" spans="26:26" x14ac:dyDescent="0.25">
      <c r="Z21104"/>
    </row>
    <row r="21105" spans="26:26" x14ac:dyDescent="0.25">
      <c r="Z21105"/>
    </row>
    <row r="21106" spans="26:26" x14ac:dyDescent="0.25">
      <c r="Z21106"/>
    </row>
    <row r="21107" spans="26:26" x14ac:dyDescent="0.25">
      <c r="Z21107"/>
    </row>
    <row r="21108" spans="26:26" x14ac:dyDescent="0.25">
      <c r="Z21108"/>
    </row>
    <row r="21109" spans="26:26" x14ac:dyDescent="0.25">
      <c r="Z21109"/>
    </row>
    <row r="21110" spans="26:26" x14ac:dyDescent="0.25">
      <c r="Z21110"/>
    </row>
    <row r="21111" spans="26:26" x14ac:dyDescent="0.25">
      <c r="Z21111"/>
    </row>
    <row r="21112" spans="26:26" x14ac:dyDescent="0.25">
      <c r="Z21112"/>
    </row>
    <row r="21113" spans="26:26" x14ac:dyDescent="0.25">
      <c r="Z21113"/>
    </row>
    <row r="21114" spans="26:26" x14ac:dyDescent="0.25">
      <c r="Z21114"/>
    </row>
    <row r="21115" spans="26:26" x14ac:dyDescent="0.25">
      <c r="Z21115"/>
    </row>
    <row r="21116" spans="26:26" x14ac:dyDescent="0.25">
      <c r="Z21116"/>
    </row>
    <row r="21117" spans="26:26" x14ac:dyDescent="0.25">
      <c r="Z21117"/>
    </row>
    <row r="21118" spans="26:26" x14ac:dyDescent="0.25">
      <c r="Z21118"/>
    </row>
    <row r="21119" spans="26:26" x14ac:dyDescent="0.25">
      <c r="Z21119"/>
    </row>
    <row r="21120" spans="26:26" x14ac:dyDescent="0.25">
      <c r="Z21120"/>
    </row>
    <row r="21121" spans="26:26" x14ac:dyDescent="0.25">
      <c r="Z21121"/>
    </row>
    <row r="21122" spans="26:26" x14ac:dyDescent="0.25">
      <c r="Z21122"/>
    </row>
    <row r="21123" spans="26:26" x14ac:dyDescent="0.25">
      <c r="Z21123"/>
    </row>
    <row r="21124" spans="26:26" x14ac:dyDescent="0.25">
      <c r="Z21124"/>
    </row>
    <row r="21125" spans="26:26" x14ac:dyDescent="0.25">
      <c r="Z21125"/>
    </row>
    <row r="21126" spans="26:26" x14ac:dyDescent="0.25">
      <c r="Z21126"/>
    </row>
    <row r="21127" spans="26:26" x14ac:dyDescent="0.25">
      <c r="Z21127"/>
    </row>
    <row r="21128" spans="26:26" x14ac:dyDescent="0.25">
      <c r="Z21128"/>
    </row>
    <row r="21129" spans="26:26" x14ac:dyDescent="0.25">
      <c r="Z21129"/>
    </row>
    <row r="21130" spans="26:26" x14ac:dyDescent="0.25">
      <c r="Z21130"/>
    </row>
    <row r="21131" spans="26:26" x14ac:dyDescent="0.25">
      <c r="Z21131"/>
    </row>
    <row r="21132" spans="26:26" x14ac:dyDescent="0.25">
      <c r="Z21132"/>
    </row>
    <row r="21133" spans="26:26" x14ac:dyDescent="0.25">
      <c r="Z21133"/>
    </row>
    <row r="21134" spans="26:26" x14ac:dyDescent="0.25">
      <c r="Z21134"/>
    </row>
    <row r="21135" spans="26:26" x14ac:dyDescent="0.25">
      <c r="Z21135"/>
    </row>
    <row r="21136" spans="26:26" x14ac:dyDescent="0.25">
      <c r="Z21136"/>
    </row>
    <row r="21137" spans="26:26" x14ac:dyDescent="0.25">
      <c r="Z21137"/>
    </row>
    <row r="21138" spans="26:26" x14ac:dyDescent="0.25">
      <c r="Z21138"/>
    </row>
    <row r="21139" spans="26:26" x14ac:dyDescent="0.25">
      <c r="Z21139"/>
    </row>
    <row r="21140" spans="26:26" x14ac:dyDescent="0.25">
      <c r="Z21140"/>
    </row>
    <row r="21141" spans="26:26" x14ac:dyDescent="0.25">
      <c r="Z21141"/>
    </row>
    <row r="21142" spans="26:26" x14ac:dyDescent="0.25">
      <c r="Z21142"/>
    </row>
    <row r="21143" spans="26:26" x14ac:dyDescent="0.25">
      <c r="Z21143"/>
    </row>
    <row r="21144" spans="26:26" x14ac:dyDescent="0.25">
      <c r="Z21144"/>
    </row>
    <row r="21145" spans="26:26" x14ac:dyDescent="0.25">
      <c r="Z21145"/>
    </row>
    <row r="21146" spans="26:26" x14ac:dyDescent="0.25">
      <c r="Z21146"/>
    </row>
    <row r="21147" spans="26:26" x14ac:dyDescent="0.25">
      <c r="Z21147"/>
    </row>
    <row r="21148" spans="26:26" x14ac:dyDescent="0.25">
      <c r="Z21148"/>
    </row>
    <row r="21149" spans="26:26" x14ac:dyDescent="0.25">
      <c r="Z21149"/>
    </row>
    <row r="21150" spans="26:26" x14ac:dyDescent="0.25">
      <c r="Z21150"/>
    </row>
    <row r="21151" spans="26:26" x14ac:dyDescent="0.25">
      <c r="Z21151"/>
    </row>
    <row r="21152" spans="26:26" x14ac:dyDescent="0.25">
      <c r="Z21152"/>
    </row>
    <row r="21153" spans="26:26" x14ac:dyDescent="0.25">
      <c r="Z21153"/>
    </row>
    <row r="21154" spans="26:26" x14ac:dyDescent="0.25">
      <c r="Z21154"/>
    </row>
    <row r="21155" spans="26:26" x14ac:dyDescent="0.25">
      <c r="Z21155"/>
    </row>
    <row r="21156" spans="26:26" x14ac:dyDescent="0.25">
      <c r="Z21156"/>
    </row>
    <row r="21157" spans="26:26" x14ac:dyDescent="0.25">
      <c r="Z21157"/>
    </row>
    <row r="21158" spans="26:26" x14ac:dyDescent="0.25">
      <c r="Z21158"/>
    </row>
    <row r="21159" spans="26:26" x14ac:dyDescent="0.25">
      <c r="Z21159"/>
    </row>
    <row r="21160" spans="26:26" x14ac:dyDescent="0.25">
      <c r="Z21160"/>
    </row>
    <row r="21161" spans="26:26" x14ac:dyDescent="0.25">
      <c r="Z21161"/>
    </row>
    <row r="21162" spans="26:26" x14ac:dyDescent="0.25">
      <c r="Z21162"/>
    </row>
    <row r="21163" spans="26:26" x14ac:dyDescent="0.25">
      <c r="Z21163"/>
    </row>
    <row r="21164" spans="26:26" x14ac:dyDescent="0.25">
      <c r="Z21164"/>
    </row>
    <row r="21165" spans="26:26" x14ac:dyDescent="0.25">
      <c r="Z21165"/>
    </row>
    <row r="21166" spans="26:26" x14ac:dyDescent="0.25">
      <c r="Z21166"/>
    </row>
    <row r="21167" spans="26:26" x14ac:dyDescent="0.25">
      <c r="Z21167"/>
    </row>
    <row r="21168" spans="26:26" x14ac:dyDescent="0.25">
      <c r="Z21168"/>
    </row>
    <row r="21169" spans="26:26" x14ac:dyDescent="0.25">
      <c r="Z21169"/>
    </row>
    <row r="21170" spans="26:26" x14ac:dyDescent="0.25">
      <c r="Z21170"/>
    </row>
    <row r="21171" spans="26:26" x14ac:dyDescent="0.25">
      <c r="Z21171"/>
    </row>
    <row r="21172" spans="26:26" x14ac:dyDescent="0.25">
      <c r="Z21172"/>
    </row>
    <row r="21173" spans="26:26" x14ac:dyDescent="0.25">
      <c r="Z21173"/>
    </row>
    <row r="21174" spans="26:26" x14ac:dyDescent="0.25">
      <c r="Z21174"/>
    </row>
    <row r="21175" spans="26:26" x14ac:dyDescent="0.25">
      <c r="Z21175"/>
    </row>
    <row r="21176" spans="26:26" x14ac:dyDescent="0.25">
      <c r="Z21176"/>
    </row>
    <row r="21177" spans="26:26" x14ac:dyDescent="0.25">
      <c r="Z21177"/>
    </row>
    <row r="21178" spans="26:26" x14ac:dyDescent="0.25">
      <c r="Z21178"/>
    </row>
    <row r="21179" spans="26:26" x14ac:dyDescent="0.25">
      <c r="Z21179"/>
    </row>
    <row r="21180" spans="26:26" x14ac:dyDescent="0.25">
      <c r="Z21180"/>
    </row>
    <row r="21181" spans="26:26" x14ac:dyDescent="0.25">
      <c r="Z21181"/>
    </row>
    <row r="21182" spans="26:26" x14ac:dyDescent="0.25">
      <c r="Z21182"/>
    </row>
    <row r="21183" spans="26:26" x14ac:dyDescent="0.25">
      <c r="Z21183"/>
    </row>
    <row r="21184" spans="26:26" x14ac:dyDescent="0.25">
      <c r="Z21184"/>
    </row>
    <row r="21185" spans="26:26" x14ac:dyDescent="0.25">
      <c r="Z21185"/>
    </row>
    <row r="21186" spans="26:26" x14ac:dyDescent="0.25">
      <c r="Z21186"/>
    </row>
    <row r="21187" spans="26:26" x14ac:dyDescent="0.25">
      <c r="Z21187"/>
    </row>
    <row r="21188" spans="26:26" x14ac:dyDescent="0.25">
      <c r="Z21188"/>
    </row>
    <row r="21189" spans="26:26" x14ac:dyDescent="0.25">
      <c r="Z21189"/>
    </row>
    <row r="21190" spans="26:26" x14ac:dyDescent="0.25">
      <c r="Z21190"/>
    </row>
    <row r="21191" spans="26:26" x14ac:dyDescent="0.25">
      <c r="Z21191"/>
    </row>
    <row r="21192" spans="26:26" x14ac:dyDescent="0.25">
      <c r="Z21192"/>
    </row>
    <row r="21193" spans="26:26" x14ac:dyDescent="0.25">
      <c r="Z21193"/>
    </row>
    <row r="21194" spans="26:26" x14ac:dyDescent="0.25">
      <c r="Z21194"/>
    </row>
    <row r="21195" spans="26:26" x14ac:dyDescent="0.25">
      <c r="Z21195"/>
    </row>
    <row r="21196" spans="26:26" x14ac:dyDescent="0.25">
      <c r="Z21196"/>
    </row>
    <row r="21197" spans="26:26" x14ac:dyDescent="0.25">
      <c r="Z21197"/>
    </row>
    <row r="21198" spans="26:26" x14ac:dyDescent="0.25">
      <c r="Z21198"/>
    </row>
    <row r="21199" spans="26:26" x14ac:dyDescent="0.25">
      <c r="Z21199"/>
    </row>
    <row r="21200" spans="26:26" x14ac:dyDescent="0.25">
      <c r="Z21200"/>
    </row>
    <row r="21201" spans="26:26" x14ac:dyDescent="0.25">
      <c r="Z21201"/>
    </row>
    <row r="21202" spans="26:26" x14ac:dyDescent="0.25">
      <c r="Z21202"/>
    </row>
    <row r="21203" spans="26:26" x14ac:dyDescent="0.25">
      <c r="Z21203"/>
    </row>
    <row r="21204" spans="26:26" x14ac:dyDescent="0.25">
      <c r="Z21204"/>
    </row>
    <row r="21205" spans="26:26" x14ac:dyDescent="0.25">
      <c r="Z21205"/>
    </row>
    <row r="21206" spans="26:26" x14ac:dyDescent="0.25">
      <c r="Z21206"/>
    </row>
    <row r="21207" spans="26:26" x14ac:dyDescent="0.25">
      <c r="Z21207"/>
    </row>
    <row r="21208" spans="26:26" x14ac:dyDescent="0.25">
      <c r="Z21208"/>
    </row>
    <row r="21209" spans="26:26" x14ac:dyDescent="0.25">
      <c r="Z21209"/>
    </row>
    <row r="21210" spans="26:26" x14ac:dyDescent="0.25">
      <c r="Z21210"/>
    </row>
    <row r="21211" spans="26:26" x14ac:dyDescent="0.25">
      <c r="Z21211"/>
    </row>
    <row r="21212" spans="26:26" x14ac:dyDescent="0.25">
      <c r="Z21212"/>
    </row>
    <row r="21213" spans="26:26" x14ac:dyDescent="0.25">
      <c r="Z21213"/>
    </row>
    <row r="21214" spans="26:26" x14ac:dyDescent="0.25">
      <c r="Z21214"/>
    </row>
    <row r="21215" spans="26:26" x14ac:dyDescent="0.25">
      <c r="Z21215"/>
    </row>
    <row r="21216" spans="26:26" x14ac:dyDescent="0.25">
      <c r="Z21216"/>
    </row>
    <row r="21217" spans="26:26" x14ac:dyDescent="0.25">
      <c r="Z21217"/>
    </row>
    <row r="21218" spans="26:26" x14ac:dyDescent="0.25">
      <c r="Z21218"/>
    </row>
    <row r="21219" spans="26:26" x14ac:dyDescent="0.25">
      <c r="Z21219"/>
    </row>
    <row r="21220" spans="26:26" x14ac:dyDescent="0.25">
      <c r="Z21220"/>
    </row>
    <row r="21221" spans="26:26" x14ac:dyDescent="0.25">
      <c r="Z21221"/>
    </row>
    <row r="21222" spans="26:26" x14ac:dyDescent="0.25">
      <c r="Z21222"/>
    </row>
    <row r="21223" spans="26:26" x14ac:dyDescent="0.25">
      <c r="Z21223"/>
    </row>
    <row r="21224" spans="26:26" x14ac:dyDescent="0.25">
      <c r="Z21224"/>
    </row>
    <row r="21225" spans="26:26" x14ac:dyDescent="0.25">
      <c r="Z21225"/>
    </row>
    <row r="21226" spans="26:26" x14ac:dyDescent="0.25">
      <c r="Z21226"/>
    </row>
    <row r="21227" spans="26:26" x14ac:dyDescent="0.25">
      <c r="Z21227"/>
    </row>
    <row r="21228" spans="26:26" x14ac:dyDescent="0.25">
      <c r="Z21228"/>
    </row>
    <row r="21229" spans="26:26" x14ac:dyDescent="0.25">
      <c r="Z21229"/>
    </row>
    <row r="21230" spans="26:26" x14ac:dyDescent="0.25">
      <c r="Z21230"/>
    </row>
    <row r="21231" spans="26:26" x14ac:dyDescent="0.25">
      <c r="Z21231"/>
    </row>
    <row r="21232" spans="26:26" x14ac:dyDescent="0.25">
      <c r="Z21232"/>
    </row>
    <row r="21233" spans="26:26" x14ac:dyDescent="0.25">
      <c r="Z21233"/>
    </row>
    <row r="21234" spans="26:26" x14ac:dyDescent="0.25">
      <c r="Z21234"/>
    </row>
    <row r="21235" spans="26:26" x14ac:dyDescent="0.25">
      <c r="Z21235"/>
    </row>
    <row r="21236" spans="26:26" x14ac:dyDescent="0.25">
      <c r="Z21236"/>
    </row>
    <row r="21237" spans="26:26" x14ac:dyDescent="0.25">
      <c r="Z21237"/>
    </row>
    <row r="21238" spans="26:26" x14ac:dyDescent="0.25">
      <c r="Z21238"/>
    </row>
    <row r="21239" spans="26:26" x14ac:dyDescent="0.25">
      <c r="Z21239"/>
    </row>
    <row r="21240" spans="26:26" x14ac:dyDescent="0.25">
      <c r="Z21240"/>
    </row>
    <row r="21241" spans="26:26" x14ac:dyDescent="0.25">
      <c r="Z21241"/>
    </row>
    <row r="21242" spans="26:26" x14ac:dyDescent="0.25">
      <c r="Z21242"/>
    </row>
    <row r="21243" spans="26:26" x14ac:dyDescent="0.25">
      <c r="Z21243"/>
    </row>
    <row r="21244" spans="26:26" x14ac:dyDescent="0.25">
      <c r="Z21244"/>
    </row>
    <row r="21245" spans="26:26" x14ac:dyDescent="0.25">
      <c r="Z21245"/>
    </row>
    <row r="21246" spans="26:26" x14ac:dyDescent="0.25">
      <c r="Z21246"/>
    </row>
    <row r="21247" spans="26:26" x14ac:dyDescent="0.25">
      <c r="Z21247"/>
    </row>
    <row r="21248" spans="26:26" x14ac:dyDescent="0.25">
      <c r="Z21248"/>
    </row>
    <row r="21249" spans="26:26" x14ac:dyDescent="0.25">
      <c r="Z21249"/>
    </row>
    <row r="21250" spans="26:26" x14ac:dyDescent="0.25">
      <c r="Z21250"/>
    </row>
    <row r="21251" spans="26:26" x14ac:dyDescent="0.25">
      <c r="Z21251"/>
    </row>
    <row r="21252" spans="26:26" x14ac:dyDescent="0.25">
      <c r="Z21252"/>
    </row>
    <row r="21253" spans="26:26" x14ac:dyDescent="0.25">
      <c r="Z21253"/>
    </row>
    <row r="21254" spans="26:26" x14ac:dyDescent="0.25">
      <c r="Z21254"/>
    </row>
    <row r="21255" spans="26:26" x14ac:dyDescent="0.25">
      <c r="Z21255"/>
    </row>
    <row r="21256" spans="26:26" x14ac:dyDescent="0.25">
      <c r="Z21256"/>
    </row>
    <row r="21257" spans="26:26" x14ac:dyDescent="0.25">
      <c r="Z21257"/>
    </row>
    <row r="21258" spans="26:26" x14ac:dyDescent="0.25">
      <c r="Z21258"/>
    </row>
    <row r="21259" spans="26:26" x14ac:dyDescent="0.25">
      <c r="Z21259"/>
    </row>
    <row r="21260" spans="26:26" x14ac:dyDescent="0.25">
      <c r="Z21260"/>
    </row>
    <row r="21261" spans="26:26" x14ac:dyDescent="0.25">
      <c r="Z21261"/>
    </row>
    <row r="21262" spans="26:26" x14ac:dyDescent="0.25">
      <c r="Z21262"/>
    </row>
    <row r="21263" spans="26:26" x14ac:dyDescent="0.25">
      <c r="Z21263"/>
    </row>
    <row r="21264" spans="26:26" x14ac:dyDescent="0.25">
      <c r="Z21264"/>
    </row>
    <row r="21265" spans="26:26" x14ac:dyDescent="0.25">
      <c r="Z21265"/>
    </row>
    <row r="21266" spans="26:26" x14ac:dyDescent="0.25">
      <c r="Z21266"/>
    </row>
    <row r="21267" spans="26:26" x14ac:dyDescent="0.25">
      <c r="Z21267"/>
    </row>
    <row r="21268" spans="26:26" x14ac:dyDescent="0.25">
      <c r="Z21268"/>
    </row>
    <row r="21269" spans="26:26" x14ac:dyDescent="0.25">
      <c r="Z21269"/>
    </row>
    <row r="21270" spans="26:26" x14ac:dyDescent="0.25">
      <c r="Z21270"/>
    </row>
    <row r="21271" spans="26:26" x14ac:dyDescent="0.25">
      <c r="Z21271"/>
    </row>
    <row r="21272" spans="26:26" x14ac:dyDescent="0.25">
      <c r="Z21272"/>
    </row>
    <row r="21273" spans="26:26" x14ac:dyDescent="0.25">
      <c r="Z21273"/>
    </row>
    <row r="21274" spans="26:26" x14ac:dyDescent="0.25">
      <c r="Z21274"/>
    </row>
    <row r="21275" spans="26:26" x14ac:dyDescent="0.25">
      <c r="Z21275"/>
    </row>
    <row r="21276" spans="26:26" x14ac:dyDescent="0.25">
      <c r="Z21276"/>
    </row>
    <row r="21277" spans="26:26" x14ac:dyDescent="0.25">
      <c r="Z21277"/>
    </row>
    <row r="21278" spans="26:26" x14ac:dyDescent="0.25">
      <c r="Z21278"/>
    </row>
    <row r="21279" spans="26:26" x14ac:dyDescent="0.25">
      <c r="Z21279"/>
    </row>
    <row r="21280" spans="26:26" x14ac:dyDescent="0.25">
      <c r="Z21280"/>
    </row>
    <row r="21281" spans="26:26" x14ac:dyDescent="0.25">
      <c r="Z21281"/>
    </row>
    <row r="21282" spans="26:26" x14ac:dyDescent="0.25">
      <c r="Z21282"/>
    </row>
    <row r="21283" spans="26:26" x14ac:dyDescent="0.25">
      <c r="Z21283"/>
    </row>
    <row r="21284" spans="26:26" x14ac:dyDescent="0.25">
      <c r="Z21284"/>
    </row>
    <row r="21285" spans="26:26" x14ac:dyDescent="0.25">
      <c r="Z21285"/>
    </row>
    <row r="21286" spans="26:26" x14ac:dyDescent="0.25">
      <c r="Z21286"/>
    </row>
    <row r="21287" spans="26:26" x14ac:dyDescent="0.25">
      <c r="Z21287"/>
    </row>
    <row r="21288" spans="26:26" x14ac:dyDescent="0.25">
      <c r="Z21288"/>
    </row>
    <row r="21289" spans="26:26" x14ac:dyDescent="0.25">
      <c r="Z21289"/>
    </row>
    <row r="21290" spans="26:26" x14ac:dyDescent="0.25">
      <c r="Z21290"/>
    </row>
    <row r="21291" spans="26:26" x14ac:dyDescent="0.25">
      <c r="Z21291"/>
    </row>
    <row r="21292" spans="26:26" x14ac:dyDescent="0.25">
      <c r="Z21292"/>
    </row>
    <row r="21293" spans="26:26" x14ac:dyDescent="0.25">
      <c r="Z21293"/>
    </row>
    <row r="21294" spans="26:26" x14ac:dyDescent="0.25">
      <c r="Z21294"/>
    </row>
    <row r="21295" spans="26:26" x14ac:dyDescent="0.25">
      <c r="Z21295"/>
    </row>
    <row r="21296" spans="26:26" x14ac:dyDescent="0.25">
      <c r="Z21296"/>
    </row>
    <row r="21297" spans="26:26" x14ac:dyDescent="0.25">
      <c r="Z21297"/>
    </row>
    <row r="21298" spans="26:26" x14ac:dyDescent="0.25">
      <c r="Z21298"/>
    </row>
    <row r="21299" spans="26:26" x14ac:dyDescent="0.25">
      <c r="Z21299"/>
    </row>
    <row r="21300" spans="26:26" x14ac:dyDescent="0.25">
      <c r="Z21300"/>
    </row>
    <row r="21301" spans="26:26" x14ac:dyDescent="0.25">
      <c r="Z21301"/>
    </row>
    <row r="21302" spans="26:26" x14ac:dyDescent="0.25">
      <c r="Z21302"/>
    </row>
    <row r="21303" spans="26:26" x14ac:dyDescent="0.25">
      <c r="Z21303"/>
    </row>
    <row r="21304" spans="26:26" x14ac:dyDescent="0.25">
      <c r="Z21304"/>
    </row>
    <row r="21305" spans="26:26" x14ac:dyDescent="0.25">
      <c r="Z21305"/>
    </row>
    <row r="21306" spans="26:26" x14ac:dyDescent="0.25">
      <c r="Z21306"/>
    </row>
    <row r="21307" spans="26:26" x14ac:dyDescent="0.25">
      <c r="Z21307"/>
    </row>
    <row r="21308" spans="26:26" x14ac:dyDescent="0.25">
      <c r="Z21308"/>
    </row>
    <row r="21309" spans="26:26" x14ac:dyDescent="0.25">
      <c r="Z21309"/>
    </row>
    <row r="21310" spans="26:26" x14ac:dyDescent="0.25">
      <c r="Z21310"/>
    </row>
    <row r="21311" spans="26:26" x14ac:dyDescent="0.25">
      <c r="Z21311"/>
    </row>
    <row r="21312" spans="26:26" x14ac:dyDescent="0.25">
      <c r="Z21312"/>
    </row>
    <row r="21313" spans="26:26" x14ac:dyDescent="0.25">
      <c r="Z21313"/>
    </row>
    <row r="21314" spans="26:26" x14ac:dyDescent="0.25">
      <c r="Z21314"/>
    </row>
    <row r="21315" spans="26:26" x14ac:dyDescent="0.25">
      <c r="Z21315"/>
    </row>
    <row r="21316" spans="26:26" x14ac:dyDescent="0.25">
      <c r="Z21316"/>
    </row>
    <row r="21317" spans="26:26" x14ac:dyDescent="0.25">
      <c r="Z21317"/>
    </row>
    <row r="21318" spans="26:26" x14ac:dyDescent="0.25">
      <c r="Z21318"/>
    </row>
    <row r="21319" spans="26:26" x14ac:dyDescent="0.25">
      <c r="Z21319"/>
    </row>
    <row r="21320" spans="26:26" x14ac:dyDescent="0.25">
      <c r="Z21320"/>
    </row>
    <row r="21321" spans="26:26" x14ac:dyDescent="0.25">
      <c r="Z21321"/>
    </row>
    <row r="21322" spans="26:26" x14ac:dyDescent="0.25">
      <c r="Z21322"/>
    </row>
    <row r="21323" spans="26:26" x14ac:dyDescent="0.25">
      <c r="Z21323"/>
    </row>
    <row r="21324" spans="26:26" x14ac:dyDescent="0.25">
      <c r="Z21324"/>
    </row>
    <row r="21325" spans="26:26" x14ac:dyDescent="0.25">
      <c r="Z21325"/>
    </row>
    <row r="21326" spans="26:26" x14ac:dyDescent="0.25">
      <c r="Z21326"/>
    </row>
    <row r="21327" spans="26:26" x14ac:dyDescent="0.25">
      <c r="Z21327"/>
    </row>
    <row r="21328" spans="26:26" x14ac:dyDescent="0.25">
      <c r="Z21328"/>
    </row>
    <row r="21329" spans="26:26" x14ac:dyDescent="0.25">
      <c r="Z21329"/>
    </row>
    <row r="21330" spans="26:26" x14ac:dyDescent="0.25">
      <c r="Z21330"/>
    </row>
    <row r="21331" spans="26:26" x14ac:dyDescent="0.25">
      <c r="Z21331"/>
    </row>
    <row r="21332" spans="26:26" x14ac:dyDescent="0.25">
      <c r="Z21332"/>
    </row>
    <row r="21333" spans="26:26" x14ac:dyDescent="0.25">
      <c r="Z21333"/>
    </row>
    <row r="21334" spans="26:26" x14ac:dyDescent="0.25">
      <c r="Z21334"/>
    </row>
    <row r="21335" spans="26:26" x14ac:dyDescent="0.25">
      <c r="Z21335"/>
    </row>
    <row r="21336" spans="26:26" x14ac:dyDescent="0.25">
      <c r="Z21336"/>
    </row>
    <row r="21337" spans="26:26" x14ac:dyDescent="0.25">
      <c r="Z21337"/>
    </row>
    <row r="21338" spans="26:26" x14ac:dyDescent="0.25">
      <c r="Z21338"/>
    </row>
    <row r="21339" spans="26:26" x14ac:dyDescent="0.25">
      <c r="Z21339"/>
    </row>
    <row r="21340" spans="26:26" x14ac:dyDescent="0.25">
      <c r="Z21340"/>
    </row>
    <row r="21341" spans="26:26" x14ac:dyDescent="0.25">
      <c r="Z21341"/>
    </row>
    <row r="21342" spans="26:26" x14ac:dyDescent="0.25">
      <c r="Z21342"/>
    </row>
    <row r="21343" spans="26:26" x14ac:dyDescent="0.25">
      <c r="Z21343"/>
    </row>
    <row r="21344" spans="26:26" x14ac:dyDescent="0.25">
      <c r="Z21344"/>
    </row>
    <row r="21345" spans="26:26" x14ac:dyDescent="0.25">
      <c r="Z21345"/>
    </row>
    <row r="21346" spans="26:26" x14ac:dyDescent="0.25">
      <c r="Z21346"/>
    </row>
    <row r="21347" spans="26:26" x14ac:dyDescent="0.25">
      <c r="Z21347"/>
    </row>
    <row r="21348" spans="26:26" x14ac:dyDescent="0.25">
      <c r="Z21348"/>
    </row>
    <row r="21349" spans="26:26" x14ac:dyDescent="0.25">
      <c r="Z21349"/>
    </row>
    <row r="21350" spans="26:26" x14ac:dyDescent="0.25">
      <c r="Z21350"/>
    </row>
    <row r="21351" spans="26:26" x14ac:dyDescent="0.25">
      <c r="Z21351"/>
    </row>
    <row r="21352" spans="26:26" x14ac:dyDescent="0.25">
      <c r="Z21352"/>
    </row>
    <row r="21353" spans="26:26" x14ac:dyDescent="0.25">
      <c r="Z21353"/>
    </row>
    <row r="21354" spans="26:26" x14ac:dyDescent="0.25">
      <c r="Z21354"/>
    </row>
    <row r="21355" spans="26:26" x14ac:dyDescent="0.25">
      <c r="Z21355"/>
    </row>
    <row r="21356" spans="26:26" x14ac:dyDescent="0.25">
      <c r="Z21356"/>
    </row>
    <row r="21357" spans="26:26" x14ac:dyDescent="0.25">
      <c r="Z21357"/>
    </row>
    <row r="21358" spans="26:26" x14ac:dyDescent="0.25">
      <c r="Z21358"/>
    </row>
    <row r="21359" spans="26:26" x14ac:dyDescent="0.25">
      <c r="Z21359"/>
    </row>
    <row r="21360" spans="26:26" x14ac:dyDescent="0.25">
      <c r="Z21360"/>
    </row>
    <row r="21361" spans="26:26" x14ac:dyDescent="0.25">
      <c r="Z21361"/>
    </row>
    <row r="21362" spans="26:26" x14ac:dyDescent="0.25">
      <c r="Z21362"/>
    </row>
    <row r="21363" spans="26:26" x14ac:dyDescent="0.25">
      <c r="Z21363"/>
    </row>
    <row r="21364" spans="26:26" x14ac:dyDescent="0.25">
      <c r="Z21364"/>
    </row>
    <row r="21365" spans="26:26" x14ac:dyDescent="0.25">
      <c r="Z21365"/>
    </row>
    <row r="21366" spans="26:26" x14ac:dyDescent="0.25">
      <c r="Z21366"/>
    </row>
    <row r="21367" spans="26:26" x14ac:dyDescent="0.25">
      <c r="Z21367"/>
    </row>
    <row r="21368" spans="26:26" x14ac:dyDescent="0.25">
      <c r="Z21368"/>
    </row>
    <row r="21369" spans="26:26" x14ac:dyDescent="0.25">
      <c r="Z21369"/>
    </row>
    <row r="21370" spans="26:26" x14ac:dyDescent="0.25">
      <c r="Z21370"/>
    </row>
    <row r="21371" spans="26:26" x14ac:dyDescent="0.25">
      <c r="Z21371"/>
    </row>
    <row r="21372" spans="26:26" x14ac:dyDescent="0.25">
      <c r="Z21372"/>
    </row>
    <row r="21373" spans="26:26" x14ac:dyDescent="0.25">
      <c r="Z21373"/>
    </row>
    <row r="21374" spans="26:26" x14ac:dyDescent="0.25">
      <c r="Z21374"/>
    </row>
    <row r="21375" spans="26:26" x14ac:dyDescent="0.25">
      <c r="Z21375"/>
    </row>
    <row r="21376" spans="26:26" x14ac:dyDescent="0.25">
      <c r="Z21376"/>
    </row>
    <row r="21377" spans="26:26" x14ac:dyDescent="0.25">
      <c r="Z21377"/>
    </row>
    <row r="21378" spans="26:26" x14ac:dyDescent="0.25">
      <c r="Z21378"/>
    </row>
    <row r="21379" spans="26:26" x14ac:dyDescent="0.25">
      <c r="Z21379"/>
    </row>
    <row r="21380" spans="26:26" x14ac:dyDescent="0.25">
      <c r="Z21380"/>
    </row>
    <row r="21381" spans="26:26" x14ac:dyDescent="0.25">
      <c r="Z21381"/>
    </row>
    <row r="21382" spans="26:26" x14ac:dyDescent="0.25">
      <c r="Z21382"/>
    </row>
    <row r="21383" spans="26:26" x14ac:dyDescent="0.25">
      <c r="Z21383"/>
    </row>
    <row r="21384" spans="26:26" x14ac:dyDescent="0.25">
      <c r="Z21384"/>
    </row>
    <row r="21385" spans="26:26" x14ac:dyDescent="0.25">
      <c r="Z21385"/>
    </row>
    <row r="21386" spans="26:26" x14ac:dyDescent="0.25">
      <c r="Z21386"/>
    </row>
    <row r="21387" spans="26:26" x14ac:dyDescent="0.25">
      <c r="Z21387"/>
    </row>
    <row r="21388" spans="26:26" x14ac:dyDescent="0.25">
      <c r="Z21388"/>
    </row>
    <row r="21389" spans="26:26" x14ac:dyDescent="0.25">
      <c r="Z21389"/>
    </row>
    <row r="21390" spans="26:26" x14ac:dyDescent="0.25">
      <c r="Z21390"/>
    </row>
    <row r="21391" spans="26:26" x14ac:dyDescent="0.25">
      <c r="Z21391"/>
    </row>
    <row r="21392" spans="26:26" x14ac:dyDescent="0.25">
      <c r="Z21392"/>
    </row>
    <row r="21393" spans="26:26" x14ac:dyDescent="0.25">
      <c r="Z21393"/>
    </row>
    <row r="21394" spans="26:26" x14ac:dyDescent="0.25">
      <c r="Z21394"/>
    </row>
    <row r="21395" spans="26:26" x14ac:dyDescent="0.25">
      <c r="Z21395"/>
    </row>
    <row r="21396" spans="26:26" x14ac:dyDescent="0.25">
      <c r="Z21396"/>
    </row>
    <row r="21397" spans="26:26" x14ac:dyDescent="0.25">
      <c r="Z21397"/>
    </row>
    <row r="21398" spans="26:26" x14ac:dyDescent="0.25">
      <c r="Z21398"/>
    </row>
    <row r="21399" spans="26:26" x14ac:dyDescent="0.25">
      <c r="Z21399"/>
    </row>
    <row r="21400" spans="26:26" x14ac:dyDescent="0.25">
      <c r="Z21400"/>
    </row>
    <row r="21401" spans="26:26" x14ac:dyDescent="0.25">
      <c r="Z21401"/>
    </row>
    <row r="21402" spans="26:26" x14ac:dyDescent="0.25">
      <c r="Z21402"/>
    </row>
    <row r="21403" spans="26:26" x14ac:dyDescent="0.25">
      <c r="Z21403"/>
    </row>
    <row r="21404" spans="26:26" x14ac:dyDescent="0.25">
      <c r="Z21404"/>
    </row>
    <row r="21405" spans="26:26" x14ac:dyDescent="0.25">
      <c r="Z21405"/>
    </row>
    <row r="21406" spans="26:26" x14ac:dyDescent="0.25">
      <c r="Z21406"/>
    </row>
    <row r="21407" spans="26:26" x14ac:dyDescent="0.25">
      <c r="Z21407"/>
    </row>
    <row r="21408" spans="26:26" x14ac:dyDescent="0.25">
      <c r="Z21408"/>
    </row>
    <row r="21409" spans="26:26" x14ac:dyDescent="0.25">
      <c r="Z21409"/>
    </row>
    <row r="21410" spans="26:26" x14ac:dyDescent="0.25">
      <c r="Z21410"/>
    </row>
    <row r="21411" spans="26:26" x14ac:dyDescent="0.25">
      <c r="Z21411"/>
    </row>
    <row r="21412" spans="26:26" x14ac:dyDescent="0.25">
      <c r="Z21412"/>
    </row>
    <row r="21413" spans="26:26" x14ac:dyDescent="0.25">
      <c r="Z21413"/>
    </row>
    <row r="21414" spans="26:26" x14ac:dyDescent="0.25">
      <c r="Z21414"/>
    </row>
    <row r="21415" spans="26:26" x14ac:dyDescent="0.25">
      <c r="Z21415"/>
    </row>
    <row r="21416" spans="26:26" x14ac:dyDescent="0.25">
      <c r="Z21416"/>
    </row>
    <row r="21417" spans="26:26" x14ac:dyDescent="0.25">
      <c r="Z21417"/>
    </row>
    <row r="21418" spans="26:26" x14ac:dyDescent="0.25">
      <c r="Z21418"/>
    </row>
    <row r="21419" spans="26:26" x14ac:dyDescent="0.25">
      <c r="Z21419"/>
    </row>
    <row r="21420" spans="26:26" x14ac:dyDescent="0.25">
      <c r="Z21420"/>
    </row>
    <row r="21421" spans="26:26" x14ac:dyDescent="0.25">
      <c r="Z21421"/>
    </row>
    <row r="21422" spans="26:26" x14ac:dyDescent="0.25">
      <c r="Z21422"/>
    </row>
    <row r="21423" spans="26:26" x14ac:dyDescent="0.25">
      <c r="Z21423"/>
    </row>
    <row r="21424" spans="26:26" x14ac:dyDescent="0.25">
      <c r="Z21424"/>
    </row>
    <row r="21425" spans="26:26" x14ac:dyDescent="0.25">
      <c r="Z21425"/>
    </row>
    <row r="21426" spans="26:26" x14ac:dyDescent="0.25">
      <c r="Z21426"/>
    </row>
    <row r="21427" spans="26:26" x14ac:dyDescent="0.25">
      <c r="Z21427"/>
    </row>
    <row r="21428" spans="26:26" x14ac:dyDescent="0.25">
      <c r="Z21428"/>
    </row>
    <row r="21429" spans="26:26" x14ac:dyDescent="0.25">
      <c r="Z21429"/>
    </row>
    <row r="21430" spans="26:26" x14ac:dyDescent="0.25">
      <c r="Z21430"/>
    </row>
    <row r="21431" spans="26:26" x14ac:dyDescent="0.25">
      <c r="Z21431"/>
    </row>
    <row r="21432" spans="26:26" x14ac:dyDescent="0.25">
      <c r="Z21432"/>
    </row>
    <row r="21433" spans="26:26" x14ac:dyDescent="0.25">
      <c r="Z21433"/>
    </row>
    <row r="21434" spans="26:26" x14ac:dyDescent="0.25">
      <c r="Z21434"/>
    </row>
    <row r="21435" spans="26:26" x14ac:dyDescent="0.25">
      <c r="Z21435"/>
    </row>
    <row r="21436" spans="26:26" x14ac:dyDescent="0.25">
      <c r="Z21436"/>
    </row>
    <row r="21437" spans="26:26" x14ac:dyDescent="0.25">
      <c r="Z21437"/>
    </row>
    <row r="21438" spans="26:26" x14ac:dyDescent="0.25">
      <c r="Z21438"/>
    </row>
    <row r="21439" spans="26:26" x14ac:dyDescent="0.25">
      <c r="Z21439"/>
    </row>
    <row r="21440" spans="26:26" x14ac:dyDescent="0.25">
      <c r="Z21440"/>
    </row>
    <row r="21441" spans="26:26" x14ac:dyDescent="0.25">
      <c r="Z21441"/>
    </row>
    <row r="21442" spans="26:26" x14ac:dyDescent="0.25">
      <c r="Z21442"/>
    </row>
    <row r="21443" spans="26:26" x14ac:dyDescent="0.25">
      <c r="Z21443"/>
    </row>
    <row r="21444" spans="26:26" x14ac:dyDescent="0.25">
      <c r="Z21444"/>
    </row>
    <row r="21445" spans="26:26" x14ac:dyDescent="0.25">
      <c r="Z21445"/>
    </row>
    <row r="21446" spans="26:26" x14ac:dyDescent="0.25">
      <c r="Z21446"/>
    </row>
    <row r="21447" spans="26:26" x14ac:dyDescent="0.25">
      <c r="Z21447"/>
    </row>
    <row r="21448" spans="26:26" x14ac:dyDescent="0.25">
      <c r="Z21448"/>
    </row>
    <row r="21449" spans="26:26" x14ac:dyDescent="0.25">
      <c r="Z21449"/>
    </row>
    <row r="21450" spans="26:26" x14ac:dyDescent="0.25">
      <c r="Z21450"/>
    </row>
    <row r="21451" spans="26:26" x14ac:dyDescent="0.25">
      <c r="Z21451"/>
    </row>
    <row r="21452" spans="26:26" x14ac:dyDescent="0.25">
      <c r="Z21452"/>
    </row>
    <row r="21453" spans="26:26" x14ac:dyDescent="0.25">
      <c r="Z21453"/>
    </row>
    <row r="21454" spans="26:26" x14ac:dyDescent="0.25">
      <c r="Z21454"/>
    </row>
    <row r="21455" spans="26:26" x14ac:dyDescent="0.25">
      <c r="Z21455"/>
    </row>
    <row r="21456" spans="26:26" x14ac:dyDescent="0.25">
      <c r="Z21456"/>
    </row>
    <row r="21457" spans="26:26" x14ac:dyDescent="0.25">
      <c r="Z21457"/>
    </row>
    <row r="21458" spans="26:26" x14ac:dyDescent="0.25">
      <c r="Z21458"/>
    </row>
    <row r="21459" spans="26:26" x14ac:dyDescent="0.25">
      <c r="Z21459"/>
    </row>
    <row r="21460" spans="26:26" x14ac:dyDescent="0.25">
      <c r="Z21460"/>
    </row>
    <row r="21461" spans="26:26" x14ac:dyDescent="0.25">
      <c r="Z21461"/>
    </row>
    <row r="21462" spans="26:26" x14ac:dyDescent="0.25">
      <c r="Z21462"/>
    </row>
    <row r="21463" spans="26:26" x14ac:dyDescent="0.25">
      <c r="Z21463"/>
    </row>
    <row r="21464" spans="26:26" x14ac:dyDescent="0.25">
      <c r="Z21464"/>
    </row>
    <row r="21465" spans="26:26" x14ac:dyDescent="0.25">
      <c r="Z21465"/>
    </row>
    <row r="21466" spans="26:26" x14ac:dyDescent="0.25">
      <c r="Z21466"/>
    </row>
    <row r="21467" spans="26:26" x14ac:dyDescent="0.25">
      <c r="Z21467"/>
    </row>
    <row r="21468" spans="26:26" x14ac:dyDescent="0.25">
      <c r="Z21468"/>
    </row>
    <row r="21469" spans="26:26" x14ac:dyDescent="0.25">
      <c r="Z21469"/>
    </row>
    <row r="21470" spans="26:26" x14ac:dyDescent="0.25">
      <c r="Z21470"/>
    </row>
    <row r="21471" spans="26:26" x14ac:dyDescent="0.25">
      <c r="Z21471"/>
    </row>
    <row r="21472" spans="26:26" x14ac:dyDescent="0.25">
      <c r="Z21472"/>
    </row>
    <row r="21473" spans="26:26" x14ac:dyDescent="0.25">
      <c r="Z21473"/>
    </row>
    <row r="21474" spans="26:26" x14ac:dyDescent="0.25">
      <c r="Z21474"/>
    </row>
    <row r="21475" spans="26:26" x14ac:dyDescent="0.25">
      <c r="Z21475"/>
    </row>
    <row r="21476" spans="26:26" x14ac:dyDescent="0.25">
      <c r="Z21476"/>
    </row>
    <row r="21477" spans="26:26" x14ac:dyDescent="0.25">
      <c r="Z21477"/>
    </row>
    <row r="21478" spans="26:26" x14ac:dyDescent="0.25">
      <c r="Z21478"/>
    </row>
    <row r="21479" spans="26:26" x14ac:dyDescent="0.25">
      <c r="Z21479"/>
    </row>
    <row r="21480" spans="26:26" x14ac:dyDescent="0.25">
      <c r="Z21480"/>
    </row>
    <row r="21481" spans="26:26" x14ac:dyDescent="0.25">
      <c r="Z21481"/>
    </row>
    <row r="21482" spans="26:26" x14ac:dyDescent="0.25">
      <c r="Z21482"/>
    </row>
    <row r="21483" spans="26:26" x14ac:dyDescent="0.25">
      <c r="Z21483"/>
    </row>
    <row r="21484" spans="26:26" x14ac:dyDescent="0.25">
      <c r="Z21484"/>
    </row>
    <row r="21485" spans="26:26" x14ac:dyDescent="0.25">
      <c r="Z21485"/>
    </row>
    <row r="21486" spans="26:26" x14ac:dyDescent="0.25">
      <c r="Z21486"/>
    </row>
    <row r="21487" spans="26:26" x14ac:dyDescent="0.25">
      <c r="Z21487"/>
    </row>
    <row r="21488" spans="26:26" x14ac:dyDescent="0.25">
      <c r="Z21488"/>
    </row>
    <row r="21489" spans="26:26" x14ac:dyDescent="0.25">
      <c r="Z21489"/>
    </row>
    <row r="21490" spans="26:26" x14ac:dyDescent="0.25">
      <c r="Z21490"/>
    </row>
    <row r="21491" spans="26:26" x14ac:dyDescent="0.25">
      <c r="Z21491"/>
    </row>
    <row r="21492" spans="26:26" x14ac:dyDescent="0.25">
      <c r="Z21492"/>
    </row>
    <row r="21493" spans="26:26" x14ac:dyDescent="0.25">
      <c r="Z21493"/>
    </row>
    <row r="21494" spans="26:26" x14ac:dyDescent="0.25">
      <c r="Z21494"/>
    </row>
    <row r="21495" spans="26:26" x14ac:dyDescent="0.25">
      <c r="Z21495"/>
    </row>
    <row r="21496" spans="26:26" x14ac:dyDescent="0.25">
      <c r="Z21496"/>
    </row>
    <row r="21497" spans="26:26" x14ac:dyDescent="0.25">
      <c r="Z21497"/>
    </row>
    <row r="21498" spans="26:26" x14ac:dyDescent="0.25">
      <c r="Z21498"/>
    </row>
    <row r="21499" spans="26:26" x14ac:dyDescent="0.25">
      <c r="Z21499"/>
    </row>
    <row r="21500" spans="26:26" x14ac:dyDescent="0.25">
      <c r="Z21500"/>
    </row>
    <row r="21501" spans="26:26" x14ac:dyDescent="0.25">
      <c r="Z21501"/>
    </row>
    <row r="21502" spans="26:26" x14ac:dyDescent="0.25">
      <c r="Z21502"/>
    </row>
    <row r="21503" spans="26:26" x14ac:dyDescent="0.25">
      <c r="Z21503"/>
    </row>
    <row r="21504" spans="26:26" x14ac:dyDescent="0.25">
      <c r="Z21504"/>
    </row>
    <row r="21505" spans="26:26" x14ac:dyDescent="0.25">
      <c r="Z21505"/>
    </row>
    <row r="21506" spans="26:26" x14ac:dyDescent="0.25">
      <c r="Z21506"/>
    </row>
    <row r="21507" spans="26:26" x14ac:dyDescent="0.25">
      <c r="Z21507"/>
    </row>
    <row r="21508" spans="26:26" x14ac:dyDescent="0.25">
      <c r="Z21508"/>
    </row>
    <row r="21509" spans="26:26" x14ac:dyDescent="0.25">
      <c r="Z21509"/>
    </row>
    <row r="21510" spans="26:26" x14ac:dyDescent="0.25">
      <c r="Z21510"/>
    </row>
    <row r="21511" spans="26:26" x14ac:dyDescent="0.25">
      <c r="Z21511"/>
    </row>
    <row r="21512" spans="26:26" x14ac:dyDescent="0.25">
      <c r="Z21512"/>
    </row>
    <row r="21513" spans="26:26" x14ac:dyDescent="0.25">
      <c r="Z21513"/>
    </row>
    <row r="21514" spans="26:26" x14ac:dyDescent="0.25">
      <c r="Z21514"/>
    </row>
    <row r="21515" spans="26:26" x14ac:dyDescent="0.25">
      <c r="Z21515"/>
    </row>
    <row r="21516" spans="26:26" x14ac:dyDescent="0.25">
      <c r="Z21516"/>
    </row>
    <row r="21517" spans="26:26" x14ac:dyDescent="0.25">
      <c r="Z21517"/>
    </row>
    <row r="21518" spans="26:26" x14ac:dyDescent="0.25">
      <c r="Z21518"/>
    </row>
    <row r="21519" spans="26:26" x14ac:dyDescent="0.25">
      <c r="Z21519"/>
    </row>
    <row r="21520" spans="26:26" x14ac:dyDescent="0.25">
      <c r="Z21520"/>
    </row>
    <row r="21521" spans="26:26" x14ac:dyDescent="0.25">
      <c r="Z21521"/>
    </row>
    <row r="21522" spans="26:26" x14ac:dyDescent="0.25">
      <c r="Z21522"/>
    </row>
    <row r="21523" spans="26:26" x14ac:dyDescent="0.25">
      <c r="Z21523"/>
    </row>
    <row r="21524" spans="26:26" x14ac:dyDescent="0.25">
      <c r="Z21524"/>
    </row>
    <row r="21525" spans="26:26" x14ac:dyDescent="0.25">
      <c r="Z21525"/>
    </row>
    <row r="21526" spans="26:26" x14ac:dyDescent="0.25">
      <c r="Z21526"/>
    </row>
    <row r="21527" spans="26:26" x14ac:dyDescent="0.25">
      <c r="Z21527"/>
    </row>
    <row r="21528" spans="26:26" x14ac:dyDescent="0.25">
      <c r="Z21528"/>
    </row>
    <row r="21529" spans="26:26" x14ac:dyDescent="0.25">
      <c r="Z21529"/>
    </row>
    <row r="21530" spans="26:26" x14ac:dyDescent="0.25">
      <c r="Z21530"/>
    </row>
    <row r="21531" spans="26:26" x14ac:dyDescent="0.25">
      <c r="Z21531"/>
    </row>
    <row r="21532" spans="26:26" x14ac:dyDescent="0.25">
      <c r="Z21532"/>
    </row>
    <row r="21533" spans="26:26" x14ac:dyDescent="0.25">
      <c r="Z21533"/>
    </row>
    <row r="21534" spans="26:26" x14ac:dyDescent="0.25">
      <c r="Z21534"/>
    </row>
    <row r="21535" spans="26:26" x14ac:dyDescent="0.25">
      <c r="Z21535"/>
    </row>
    <row r="21536" spans="26:26" x14ac:dyDescent="0.25">
      <c r="Z21536"/>
    </row>
    <row r="21537" spans="26:26" x14ac:dyDescent="0.25">
      <c r="Z21537"/>
    </row>
    <row r="21538" spans="26:26" x14ac:dyDescent="0.25">
      <c r="Z21538"/>
    </row>
    <row r="21539" spans="26:26" x14ac:dyDescent="0.25">
      <c r="Z21539"/>
    </row>
    <row r="21540" spans="26:26" x14ac:dyDescent="0.25">
      <c r="Z21540"/>
    </row>
    <row r="21541" spans="26:26" x14ac:dyDescent="0.25">
      <c r="Z21541"/>
    </row>
    <row r="21542" spans="26:26" x14ac:dyDescent="0.25">
      <c r="Z21542"/>
    </row>
    <row r="21543" spans="26:26" x14ac:dyDescent="0.25">
      <c r="Z21543"/>
    </row>
    <row r="21544" spans="26:26" x14ac:dyDescent="0.25">
      <c r="Z21544"/>
    </row>
    <row r="21545" spans="26:26" x14ac:dyDescent="0.25">
      <c r="Z21545"/>
    </row>
    <row r="21546" spans="26:26" x14ac:dyDescent="0.25">
      <c r="Z21546"/>
    </row>
    <row r="21547" spans="26:26" x14ac:dyDescent="0.25">
      <c r="Z21547"/>
    </row>
    <row r="21548" spans="26:26" x14ac:dyDescent="0.25">
      <c r="Z21548"/>
    </row>
    <row r="21549" spans="26:26" x14ac:dyDescent="0.25">
      <c r="Z21549"/>
    </row>
    <row r="21550" spans="26:26" x14ac:dyDescent="0.25">
      <c r="Z21550"/>
    </row>
    <row r="21551" spans="26:26" x14ac:dyDescent="0.25">
      <c r="Z21551"/>
    </row>
    <row r="21552" spans="26:26" x14ac:dyDescent="0.25">
      <c r="Z21552"/>
    </row>
    <row r="21553" spans="26:26" x14ac:dyDescent="0.25">
      <c r="Z21553"/>
    </row>
    <row r="21554" spans="26:26" x14ac:dyDescent="0.25">
      <c r="Z21554"/>
    </row>
    <row r="21555" spans="26:26" x14ac:dyDescent="0.25">
      <c r="Z21555"/>
    </row>
    <row r="21556" spans="26:26" x14ac:dyDescent="0.25">
      <c r="Z21556"/>
    </row>
    <row r="21557" spans="26:26" x14ac:dyDescent="0.25">
      <c r="Z21557"/>
    </row>
    <row r="21558" spans="26:26" x14ac:dyDescent="0.25">
      <c r="Z21558"/>
    </row>
    <row r="21559" spans="26:26" x14ac:dyDescent="0.25">
      <c r="Z21559"/>
    </row>
    <row r="21560" spans="26:26" x14ac:dyDescent="0.25">
      <c r="Z21560"/>
    </row>
    <row r="21561" spans="26:26" x14ac:dyDescent="0.25">
      <c r="Z21561"/>
    </row>
    <row r="21562" spans="26:26" x14ac:dyDescent="0.25">
      <c r="Z21562"/>
    </row>
    <row r="21563" spans="26:26" x14ac:dyDescent="0.25">
      <c r="Z21563"/>
    </row>
    <row r="21564" spans="26:26" x14ac:dyDescent="0.25">
      <c r="Z21564"/>
    </row>
    <row r="21565" spans="26:26" x14ac:dyDescent="0.25">
      <c r="Z21565"/>
    </row>
    <row r="21566" spans="26:26" x14ac:dyDescent="0.25">
      <c r="Z21566"/>
    </row>
    <row r="21567" spans="26:26" x14ac:dyDescent="0.25">
      <c r="Z21567"/>
    </row>
    <row r="21568" spans="26:26" x14ac:dyDescent="0.25">
      <c r="Z21568"/>
    </row>
    <row r="21569" spans="26:26" x14ac:dyDescent="0.25">
      <c r="Z21569"/>
    </row>
    <row r="21570" spans="26:26" x14ac:dyDescent="0.25">
      <c r="Z21570"/>
    </row>
    <row r="21571" spans="26:26" x14ac:dyDescent="0.25">
      <c r="Z21571"/>
    </row>
    <row r="21572" spans="26:26" x14ac:dyDescent="0.25">
      <c r="Z21572"/>
    </row>
    <row r="21573" spans="26:26" x14ac:dyDescent="0.25">
      <c r="Z21573"/>
    </row>
    <row r="21574" spans="26:26" x14ac:dyDescent="0.25">
      <c r="Z21574"/>
    </row>
    <row r="21575" spans="26:26" x14ac:dyDescent="0.25">
      <c r="Z21575"/>
    </row>
    <row r="21576" spans="26:26" x14ac:dyDescent="0.25">
      <c r="Z21576"/>
    </row>
    <row r="21577" spans="26:26" x14ac:dyDescent="0.25">
      <c r="Z21577"/>
    </row>
    <row r="21578" spans="26:26" x14ac:dyDescent="0.25">
      <c r="Z21578"/>
    </row>
    <row r="21579" spans="26:26" x14ac:dyDescent="0.25">
      <c r="Z21579"/>
    </row>
    <row r="21580" spans="26:26" x14ac:dyDescent="0.25">
      <c r="Z21580"/>
    </row>
    <row r="21581" spans="26:26" x14ac:dyDescent="0.25">
      <c r="Z21581"/>
    </row>
    <row r="21582" spans="26:26" x14ac:dyDescent="0.25">
      <c r="Z21582"/>
    </row>
    <row r="21583" spans="26:26" x14ac:dyDescent="0.25">
      <c r="Z21583"/>
    </row>
    <row r="21584" spans="26:26" x14ac:dyDescent="0.25">
      <c r="Z21584"/>
    </row>
    <row r="21585" spans="26:26" x14ac:dyDescent="0.25">
      <c r="Z21585"/>
    </row>
    <row r="21586" spans="26:26" x14ac:dyDescent="0.25">
      <c r="Z21586"/>
    </row>
    <row r="21587" spans="26:26" x14ac:dyDescent="0.25">
      <c r="Z21587"/>
    </row>
    <row r="21588" spans="26:26" x14ac:dyDescent="0.25">
      <c r="Z21588"/>
    </row>
    <row r="21589" spans="26:26" x14ac:dyDescent="0.25">
      <c r="Z21589"/>
    </row>
    <row r="21590" spans="26:26" x14ac:dyDescent="0.25">
      <c r="Z21590"/>
    </row>
    <row r="21591" spans="26:26" x14ac:dyDescent="0.25">
      <c r="Z21591"/>
    </row>
    <row r="21592" spans="26:26" x14ac:dyDescent="0.25">
      <c r="Z21592"/>
    </row>
    <row r="21593" spans="26:26" x14ac:dyDescent="0.25">
      <c r="Z21593"/>
    </row>
    <row r="21594" spans="26:26" x14ac:dyDescent="0.25">
      <c r="Z21594"/>
    </row>
    <row r="21595" spans="26:26" x14ac:dyDescent="0.25">
      <c r="Z21595"/>
    </row>
    <row r="21596" spans="26:26" x14ac:dyDescent="0.25">
      <c r="Z21596"/>
    </row>
    <row r="21597" spans="26:26" x14ac:dyDescent="0.25">
      <c r="Z21597"/>
    </row>
    <row r="21598" spans="26:26" x14ac:dyDescent="0.25">
      <c r="Z21598"/>
    </row>
    <row r="21599" spans="26:26" x14ac:dyDescent="0.25">
      <c r="Z21599"/>
    </row>
    <row r="21600" spans="26:26" x14ac:dyDescent="0.25">
      <c r="Z21600"/>
    </row>
    <row r="21601" spans="26:26" x14ac:dyDescent="0.25">
      <c r="Z21601"/>
    </row>
    <row r="21602" spans="26:26" x14ac:dyDescent="0.25">
      <c r="Z21602"/>
    </row>
    <row r="21603" spans="26:26" x14ac:dyDescent="0.25">
      <c r="Z21603"/>
    </row>
    <row r="21604" spans="26:26" x14ac:dyDescent="0.25">
      <c r="Z21604"/>
    </row>
    <row r="21605" spans="26:26" x14ac:dyDescent="0.25">
      <c r="Z21605"/>
    </row>
    <row r="21606" spans="26:26" x14ac:dyDescent="0.25">
      <c r="Z21606"/>
    </row>
    <row r="21607" spans="26:26" x14ac:dyDescent="0.25">
      <c r="Z21607"/>
    </row>
    <row r="21608" spans="26:26" x14ac:dyDescent="0.25">
      <c r="Z21608"/>
    </row>
    <row r="21609" spans="26:26" x14ac:dyDescent="0.25">
      <c r="Z21609"/>
    </row>
    <row r="21610" spans="26:26" x14ac:dyDescent="0.25">
      <c r="Z21610"/>
    </row>
    <row r="21611" spans="26:26" x14ac:dyDescent="0.25">
      <c r="Z21611"/>
    </row>
    <row r="21612" spans="26:26" x14ac:dyDescent="0.25">
      <c r="Z21612"/>
    </row>
    <row r="21613" spans="26:26" x14ac:dyDescent="0.25">
      <c r="Z21613"/>
    </row>
    <row r="21614" spans="26:26" x14ac:dyDescent="0.25">
      <c r="Z21614"/>
    </row>
    <row r="21615" spans="26:26" x14ac:dyDescent="0.25">
      <c r="Z21615"/>
    </row>
    <row r="21616" spans="26:26" x14ac:dyDescent="0.25">
      <c r="Z21616"/>
    </row>
    <row r="21617" spans="26:26" x14ac:dyDescent="0.25">
      <c r="Z21617"/>
    </row>
    <row r="21618" spans="26:26" x14ac:dyDescent="0.25">
      <c r="Z21618"/>
    </row>
    <row r="21619" spans="26:26" x14ac:dyDescent="0.25">
      <c r="Z21619"/>
    </row>
    <row r="21620" spans="26:26" x14ac:dyDescent="0.25">
      <c r="Z21620"/>
    </row>
    <row r="21621" spans="26:26" x14ac:dyDescent="0.25">
      <c r="Z21621"/>
    </row>
    <row r="21622" spans="26:26" x14ac:dyDescent="0.25">
      <c r="Z21622"/>
    </row>
    <row r="21623" spans="26:26" x14ac:dyDescent="0.25">
      <c r="Z21623"/>
    </row>
    <row r="21624" spans="26:26" x14ac:dyDescent="0.25">
      <c r="Z21624"/>
    </row>
    <row r="21625" spans="26:26" x14ac:dyDescent="0.25">
      <c r="Z21625"/>
    </row>
    <row r="21626" spans="26:26" x14ac:dyDescent="0.25">
      <c r="Z21626"/>
    </row>
    <row r="21627" spans="26:26" x14ac:dyDescent="0.25">
      <c r="Z21627"/>
    </row>
    <row r="21628" spans="26:26" x14ac:dyDescent="0.25">
      <c r="Z21628"/>
    </row>
    <row r="21629" spans="26:26" x14ac:dyDescent="0.25">
      <c r="Z21629"/>
    </row>
    <row r="21630" spans="26:26" x14ac:dyDescent="0.25">
      <c r="Z21630"/>
    </row>
    <row r="21631" spans="26:26" x14ac:dyDescent="0.25">
      <c r="Z21631"/>
    </row>
    <row r="21632" spans="26:26" x14ac:dyDescent="0.25">
      <c r="Z21632"/>
    </row>
    <row r="21633" spans="26:26" x14ac:dyDescent="0.25">
      <c r="Z21633"/>
    </row>
    <row r="21634" spans="26:26" x14ac:dyDescent="0.25">
      <c r="Z21634"/>
    </row>
    <row r="21635" spans="26:26" x14ac:dyDescent="0.25">
      <c r="Z21635"/>
    </row>
    <row r="21636" spans="26:26" x14ac:dyDescent="0.25">
      <c r="Z21636"/>
    </row>
    <row r="21637" spans="26:26" x14ac:dyDescent="0.25">
      <c r="Z21637"/>
    </row>
    <row r="21638" spans="26:26" x14ac:dyDescent="0.25">
      <c r="Z21638"/>
    </row>
    <row r="21639" spans="26:26" x14ac:dyDescent="0.25">
      <c r="Z21639"/>
    </row>
    <row r="21640" spans="26:26" x14ac:dyDescent="0.25">
      <c r="Z21640"/>
    </row>
    <row r="21641" spans="26:26" x14ac:dyDescent="0.25">
      <c r="Z21641"/>
    </row>
    <row r="21642" spans="26:26" x14ac:dyDescent="0.25">
      <c r="Z21642"/>
    </row>
    <row r="21643" spans="26:26" x14ac:dyDescent="0.25">
      <c r="Z21643"/>
    </row>
    <row r="21644" spans="26:26" x14ac:dyDescent="0.25">
      <c r="Z21644"/>
    </row>
    <row r="21645" spans="26:26" x14ac:dyDescent="0.25">
      <c r="Z21645"/>
    </row>
    <row r="21646" spans="26:26" x14ac:dyDescent="0.25">
      <c r="Z21646"/>
    </row>
    <row r="21647" spans="26:26" x14ac:dyDescent="0.25">
      <c r="Z21647"/>
    </row>
    <row r="21648" spans="26:26" x14ac:dyDescent="0.25">
      <c r="Z21648"/>
    </row>
    <row r="21649" spans="26:26" x14ac:dyDescent="0.25">
      <c r="Z21649"/>
    </row>
    <row r="21650" spans="26:26" x14ac:dyDescent="0.25">
      <c r="Z21650"/>
    </row>
    <row r="21651" spans="26:26" x14ac:dyDescent="0.25">
      <c r="Z21651"/>
    </row>
    <row r="21652" spans="26:26" x14ac:dyDescent="0.25">
      <c r="Z21652"/>
    </row>
    <row r="21653" spans="26:26" x14ac:dyDescent="0.25">
      <c r="Z21653"/>
    </row>
    <row r="21654" spans="26:26" x14ac:dyDescent="0.25">
      <c r="Z21654"/>
    </row>
    <row r="21655" spans="26:26" x14ac:dyDescent="0.25">
      <c r="Z21655"/>
    </row>
    <row r="21656" spans="26:26" x14ac:dyDescent="0.25">
      <c r="Z21656"/>
    </row>
    <row r="21657" spans="26:26" x14ac:dyDescent="0.25">
      <c r="Z21657"/>
    </row>
    <row r="21658" spans="26:26" x14ac:dyDescent="0.25">
      <c r="Z21658"/>
    </row>
    <row r="21659" spans="26:26" x14ac:dyDescent="0.25">
      <c r="Z21659"/>
    </row>
    <row r="21660" spans="26:26" x14ac:dyDescent="0.25">
      <c r="Z21660"/>
    </row>
    <row r="21661" spans="26:26" x14ac:dyDescent="0.25">
      <c r="Z21661"/>
    </row>
    <row r="21662" spans="26:26" x14ac:dyDescent="0.25">
      <c r="Z21662"/>
    </row>
    <row r="21663" spans="26:26" x14ac:dyDescent="0.25">
      <c r="Z21663"/>
    </row>
    <row r="21664" spans="26:26" x14ac:dyDescent="0.25">
      <c r="Z21664"/>
    </row>
    <row r="21665" spans="26:26" x14ac:dyDescent="0.25">
      <c r="Z21665"/>
    </row>
    <row r="21666" spans="26:26" x14ac:dyDescent="0.25">
      <c r="Z21666"/>
    </row>
    <row r="21667" spans="26:26" x14ac:dyDescent="0.25">
      <c r="Z21667"/>
    </row>
    <row r="21668" spans="26:26" x14ac:dyDescent="0.25">
      <c r="Z21668"/>
    </row>
    <row r="21669" spans="26:26" x14ac:dyDescent="0.25">
      <c r="Z21669"/>
    </row>
    <row r="21670" spans="26:26" x14ac:dyDescent="0.25">
      <c r="Z21670"/>
    </row>
    <row r="21671" spans="26:26" x14ac:dyDescent="0.25">
      <c r="Z21671"/>
    </row>
    <row r="21672" spans="26:26" x14ac:dyDescent="0.25">
      <c r="Z21672"/>
    </row>
    <row r="21673" spans="26:26" x14ac:dyDescent="0.25">
      <c r="Z21673"/>
    </row>
    <row r="21674" spans="26:26" x14ac:dyDescent="0.25">
      <c r="Z21674"/>
    </row>
    <row r="21675" spans="26:26" x14ac:dyDescent="0.25">
      <c r="Z21675"/>
    </row>
    <row r="21676" spans="26:26" x14ac:dyDescent="0.25">
      <c r="Z21676"/>
    </row>
    <row r="21677" spans="26:26" x14ac:dyDescent="0.25">
      <c r="Z21677"/>
    </row>
    <row r="21678" spans="26:26" x14ac:dyDescent="0.25">
      <c r="Z21678"/>
    </row>
    <row r="21679" spans="26:26" x14ac:dyDescent="0.25">
      <c r="Z21679"/>
    </row>
    <row r="21680" spans="26:26" x14ac:dyDescent="0.25">
      <c r="Z21680"/>
    </row>
    <row r="21681" spans="26:26" x14ac:dyDescent="0.25">
      <c r="Z21681"/>
    </row>
    <row r="21682" spans="26:26" x14ac:dyDescent="0.25">
      <c r="Z21682"/>
    </row>
    <row r="21683" spans="26:26" x14ac:dyDescent="0.25">
      <c r="Z21683"/>
    </row>
    <row r="21684" spans="26:26" x14ac:dyDescent="0.25">
      <c r="Z21684"/>
    </row>
    <row r="21685" spans="26:26" x14ac:dyDescent="0.25">
      <c r="Z21685"/>
    </row>
    <row r="21686" spans="26:26" x14ac:dyDescent="0.25">
      <c r="Z21686"/>
    </row>
    <row r="21687" spans="26:26" x14ac:dyDescent="0.25">
      <c r="Z21687"/>
    </row>
    <row r="21688" spans="26:26" x14ac:dyDescent="0.25">
      <c r="Z21688"/>
    </row>
    <row r="21689" spans="26:26" x14ac:dyDescent="0.25">
      <c r="Z21689"/>
    </row>
    <row r="21690" spans="26:26" x14ac:dyDescent="0.25">
      <c r="Z21690"/>
    </row>
    <row r="21691" spans="26:26" x14ac:dyDescent="0.25">
      <c r="Z21691"/>
    </row>
    <row r="21692" spans="26:26" x14ac:dyDescent="0.25">
      <c r="Z21692"/>
    </row>
    <row r="21693" spans="26:26" x14ac:dyDescent="0.25">
      <c r="Z21693"/>
    </row>
    <row r="21694" spans="26:26" x14ac:dyDescent="0.25">
      <c r="Z21694"/>
    </row>
    <row r="21695" spans="26:26" x14ac:dyDescent="0.25">
      <c r="Z21695"/>
    </row>
    <row r="21696" spans="26:26" x14ac:dyDescent="0.25">
      <c r="Z21696"/>
    </row>
    <row r="21697" spans="26:26" x14ac:dyDescent="0.25">
      <c r="Z21697"/>
    </row>
    <row r="21698" spans="26:26" x14ac:dyDescent="0.25">
      <c r="Z21698"/>
    </row>
    <row r="21699" spans="26:26" x14ac:dyDescent="0.25">
      <c r="Z21699"/>
    </row>
    <row r="21700" spans="26:26" x14ac:dyDescent="0.25">
      <c r="Z21700"/>
    </row>
    <row r="21701" spans="26:26" x14ac:dyDescent="0.25">
      <c r="Z21701"/>
    </row>
    <row r="21702" spans="26:26" x14ac:dyDescent="0.25">
      <c r="Z21702"/>
    </row>
    <row r="21703" spans="26:26" x14ac:dyDescent="0.25">
      <c r="Z21703"/>
    </row>
    <row r="21704" spans="26:26" x14ac:dyDescent="0.25">
      <c r="Z21704"/>
    </row>
    <row r="21705" spans="26:26" x14ac:dyDescent="0.25">
      <c r="Z21705"/>
    </row>
    <row r="21706" spans="26:26" x14ac:dyDescent="0.25">
      <c r="Z21706"/>
    </row>
    <row r="21707" spans="26:26" x14ac:dyDescent="0.25">
      <c r="Z21707"/>
    </row>
    <row r="21708" spans="26:26" x14ac:dyDescent="0.25">
      <c r="Z21708"/>
    </row>
    <row r="21709" spans="26:26" x14ac:dyDescent="0.25">
      <c r="Z21709"/>
    </row>
    <row r="21710" spans="26:26" x14ac:dyDescent="0.25">
      <c r="Z21710"/>
    </row>
    <row r="21711" spans="26:26" x14ac:dyDescent="0.25">
      <c r="Z21711"/>
    </row>
    <row r="21712" spans="26:26" x14ac:dyDescent="0.25">
      <c r="Z21712"/>
    </row>
    <row r="21713" spans="26:26" x14ac:dyDescent="0.25">
      <c r="Z21713"/>
    </row>
    <row r="21714" spans="26:26" x14ac:dyDescent="0.25">
      <c r="Z21714"/>
    </row>
    <row r="21715" spans="26:26" x14ac:dyDescent="0.25">
      <c r="Z21715"/>
    </row>
    <row r="21716" spans="26:26" x14ac:dyDescent="0.25">
      <c r="Z21716"/>
    </row>
    <row r="21717" spans="26:26" x14ac:dyDescent="0.25">
      <c r="Z21717"/>
    </row>
    <row r="21718" spans="26:26" x14ac:dyDescent="0.25">
      <c r="Z21718"/>
    </row>
    <row r="21719" spans="26:26" x14ac:dyDescent="0.25">
      <c r="Z21719"/>
    </row>
    <row r="21720" spans="26:26" x14ac:dyDescent="0.25">
      <c r="Z21720"/>
    </row>
    <row r="21721" spans="26:26" x14ac:dyDescent="0.25">
      <c r="Z21721"/>
    </row>
    <row r="21722" spans="26:26" x14ac:dyDescent="0.25">
      <c r="Z21722"/>
    </row>
    <row r="21723" spans="26:26" x14ac:dyDescent="0.25">
      <c r="Z21723"/>
    </row>
    <row r="21724" spans="26:26" x14ac:dyDescent="0.25">
      <c r="Z21724"/>
    </row>
    <row r="21725" spans="26:26" x14ac:dyDescent="0.25">
      <c r="Z21725"/>
    </row>
    <row r="21726" spans="26:26" x14ac:dyDescent="0.25">
      <c r="Z21726"/>
    </row>
    <row r="21727" spans="26:26" x14ac:dyDescent="0.25">
      <c r="Z21727"/>
    </row>
    <row r="21728" spans="26:26" x14ac:dyDescent="0.25">
      <c r="Z21728"/>
    </row>
    <row r="21729" spans="26:26" x14ac:dyDescent="0.25">
      <c r="Z21729"/>
    </row>
    <row r="21730" spans="26:26" x14ac:dyDescent="0.25">
      <c r="Z21730"/>
    </row>
    <row r="21731" spans="26:26" x14ac:dyDescent="0.25">
      <c r="Z21731"/>
    </row>
    <row r="21732" spans="26:26" x14ac:dyDescent="0.25">
      <c r="Z21732"/>
    </row>
    <row r="21733" spans="26:26" x14ac:dyDescent="0.25">
      <c r="Z21733"/>
    </row>
    <row r="21734" spans="26:26" x14ac:dyDescent="0.25">
      <c r="Z21734"/>
    </row>
    <row r="21735" spans="26:26" x14ac:dyDescent="0.25">
      <c r="Z21735"/>
    </row>
    <row r="21736" spans="26:26" x14ac:dyDescent="0.25">
      <c r="Z21736"/>
    </row>
    <row r="21737" spans="26:26" x14ac:dyDescent="0.25">
      <c r="Z21737"/>
    </row>
    <row r="21738" spans="26:26" x14ac:dyDescent="0.25">
      <c r="Z21738"/>
    </row>
    <row r="21739" spans="26:26" x14ac:dyDescent="0.25">
      <c r="Z21739"/>
    </row>
    <row r="21740" spans="26:26" x14ac:dyDescent="0.25">
      <c r="Z21740"/>
    </row>
    <row r="21741" spans="26:26" x14ac:dyDescent="0.25">
      <c r="Z21741"/>
    </row>
    <row r="21742" spans="26:26" x14ac:dyDescent="0.25">
      <c r="Z21742"/>
    </row>
    <row r="21743" spans="26:26" x14ac:dyDescent="0.25">
      <c r="Z21743"/>
    </row>
    <row r="21744" spans="26:26" x14ac:dyDescent="0.25">
      <c r="Z21744"/>
    </row>
    <row r="21745" spans="26:26" x14ac:dyDescent="0.25">
      <c r="Z21745"/>
    </row>
    <row r="21746" spans="26:26" x14ac:dyDescent="0.25">
      <c r="Z21746"/>
    </row>
    <row r="21747" spans="26:26" x14ac:dyDescent="0.25">
      <c r="Z21747"/>
    </row>
    <row r="21748" spans="26:26" x14ac:dyDescent="0.25">
      <c r="Z21748"/>
    </row>
    <row r="21749" spans="26:26" x14ac:dyDescent="0.25">
      <c r="Z21749"/>
    </row>
    <row r="21750" spans="26:26" x14ac:dyDescent="0.25">
      <c r="Z21750"/>
    </row>
    <row r="21751" spans="26:26" x14ac:dyDescent="0.25">
      <c r="Z21751"/>
    </row>
    <row r="21752" spans="26:26" x14ac:dyDescent="0.25">
      <c r="Z21752"/>
    </row>
    <row r="21753" spans="26:26" x14ac:dyDescent="0.25">
      <c r="Z21753"/>
    </row>
    <row r="21754" spans="26:26" x14ac:dyDescent="0.25">
      <c r="Z21754"/>
    </row>
    <row r="21755" spans="26:26" x14ac:dyDescent="0.25">
      <c r="Z21755"/>
    </row>
    <row r="21756" spans="26:26" x14ac:dyDescent="0.25">
      <c r="Z21756"/>
    </row>
    <row r="21757" spans="26:26" x14ac:dyDescent="0.25">
      <c r="Z21757"/>
    </row>
    <row r="21758" spans="26:26" x14ac:dyDescent="0.25">
      <c r="Z21758"/>
    </row>
    <row r="21759" spans="26:26" x14ac:dyDescent="0.25">
      <c r="Z21759"/>
    </row>
    <row r="21760" spans="26:26" x14ac:dyDescent="0.25">
      <c r="Z21760"/>
    </row>
    <row r="21761" spans="26:26" x14ac:dyDescent="0.25">
      <c r="Z21761"/>
    </row>
    <row r="21762" spans="26:26" x14ac:dyDescent="0.25">
      <c r="Z21762"/>
    </row>
    <row r="21763" spans="26:26" x14ac:dyDescent="0.25">
      <c r="Z21763"/>
    </row>
    <row r="21764" spans="26:26" x14ac:dyDescent="0.25">
      <c r="Z21764"/>
    </row>
    <row r="21765" spans="26:26" x14ac:dyDescent="0.25">
      <c r="Z21765"/>
    </row>
    <row r="21766" spans="26:26" x14ac:dyDescent="0.25">
      <c r="Z21766"/>
    </row>
    <row r="21767" spans="26:26" x14ac:dyDescent="0.25">
      <c r="Z21767"/>
    </row>
    <row r="21768" spans="26:26" x14ac:dyDescent="0.25">
      <c r="Z21768"/>
    </row>
    <row r="21769" spans="26:26" x14ac:dyDescent="0.25">
      <c r="Z21769"/>
    </row>
    <row r="21770" spans="26:26" x14ac:dyDescent="0.25">
      <c r="Z21770"/>
    </row>
    <row r="21771" spans="26:26" x14ac:dyDescent="0.25">
      <c r="Z21771"/>
    </row>
    <row r="21772" spans="26:26" x14ac:dyDescent="0.25">
      <c r="Z21772"/>
    </row>
    <row r="21773" spans="26:26" x14ac:dyDescent="0.25">
      <c r="Z21773"/>
    </row>
    <row r="21774" spans="26:26" x14ac:dyDescent="0.25">
      <c r="Z21774"/>
    </row>
    <row r="21775" spans="26:26" x14ac:dyDescent="0.25">
      <c r="Z21775"/>
    </row>
    <row r="21776" spans="26:26" x14ac:dyDescent="0.25">
      <c r="Z21776"/>
    </row>
    <row r="21777" spans="26:26" x14ac:dyDescent="0.25">
      <c r="Z21777"/>
    </row>
    <row r="21778" spans="26:26" x14ac:dyDescent="0.25">
      <c r="Z21778"/>
    </row>
    <row r="21779" spans="26:26" x14ac:dyDescent="0.25">
      <c r="Z21779"/>
    </row>
    <row r="21780" spans="26:26" x14ac:dyDescent="0.25">
      <c r="Z21780"/>
    </row>
    <row r="21781" spans="26:26" x14ac:dyDescent="0.25">
      <c r="Z21781"/>
    </row>
    <row r="21782" spans="26:26" x14ac:dyDescent="0.25">
      <c r="Z21782"/>
    </row>
    <row r="21783" spans="26:26" x14ac:dyDescent="0.25">
      <c r="Z21783"/>
    </row>
    <row r="21784" spans="26:26" x14ac:dyDescent="0.25">
      <c r="Z21784"/>
    </row>
    <row r="21785" spans="26:26" x14ac:dyDescent="0.25">
      <c r="Z21785"/>
    </row>
    <row r="21786" spans="26:26" x14ac:dyDescent="0.25">
      <c r="Z21786"/>
    </row>
    <row r="21787" spans="26:26" x14ac:dyDescent="0.25">
      <c r="Z21787"/>
    </row>
    <row r="21788" spans="26:26" x14ac:dyDescent="0.25">
      <c r="Z21788"/>
    </row>
    <row r="21789" spans="26:26" x14ac:dyDescent="0.25">
      <c r="Z21789"/>
    </row>
    <row r="21790" spans="26:26" x14ac:dyDescent="0.25">
      <c r="Z21790"/>
    </row>
    <row r="21791" spans="26:26" x14ac:dyDescent="0.25">
      <c r="Z21791"/>
    </row>
    <row r="21792" spans="26:26" x14ac:dyDescent="0.25">
      <c r="Z21792"/>
    </row>
    <row r="21793" spans="26:26" x14ac:dyDescent="0.25">
      <c r="Z21793"/>
    </row>
    <row r="21794" spans="26:26" x14ac:dyDescent="0.25">
      <c r="Z21794"/>
    </row>
    <row r="21795" spans="26:26" x14ac:dyDescent="0.25">
      <c r="Z21795"/>
    </row>
    <row r="21796" spans="26:26" x14ac:dyDescent="0.25">
      <c r="Z21796"/>
    </row>
    <row r="21797" spans="26:26" x14ac:dyDescent="0.25">
      <c r="Z21797"/>
    </row>
    <row r="21798" spans="26:26" x14ac:dyDescent="0.25">
      <c r="Z21798"/>
    </row>
    <row r="21799" spans="26:26" x14ac:dyDescent="0.25">
      <c r="Z21799"/>
    </row>
    <row r="21800" spans="26:26" x14ac:dyDescent="0.25">
      <c r="Z21800"/>
    </row>
    <row r="21801" spans="26:26" x14ac:dyDescent="0.25">
      <c r="Z21801"/>
    </row>
    <row r="21802" spans="26:26" x14ac:dyDescent="0.25">
      <c r="Z21802"/>
    </row>
    <row r="21803" spans="26:26" x14ac:dyDescent="0.25">
      <c r="Z21803"/>
    </row>
    <row r="21804" spans="26:26" x14ac:dyDescent="0.25">
      <c r="Z21804"/>
    </row>
    <row r="21805" spans="26:26" x14ac:dyDescent="0.25">
      <c r="Z21805"/>
    </row>
    <row r="21806" spans="26:26" x14ac:dyDescent="0.25">
      <c r="Z21806"/>
    </row>
    <row r="21807" spans="26:26" x14ac:dyDescent="0.25">
      <c r="Z21807"/>
    </row>
    <row r="21808" spans="26:26" x14ac:dyDescent="0.25">
      <c r="Z21808"/>
    </row>
    <row r="21809" spans="26:26" x14ac:dyDescent="0.25">
      <c r="Z21809"/>
    </row>
    <row r="21810" spans="26:26" x14ac:dyDescent="0.25">
      <c r="Z21810"/>
    </row>
    <row r="21811" spans="26:26" x14ac:dyDescent="0.25">
      <c r="Z21811"/>
    </row>
    <row r="21812" spans="26:26" x14ac:dyDescent="0.25">
      <c r="Z21812"/>
    </row>
    <row r="21813" spans="26:26" x14ac:dyDescent="0.25">
      <c r="Z21813"/>
    </row>
    <row r="21814" spans="26:26" x14ac:dyDescent="0.25">
      <c r="Z21814"/>
    </row>
    <row r="21815" spans="26:26" x14ac:dyDescent="0.25">
      <c r="Z21815"/>
    </row>
    <row r="21816" spans="26:26" x14ac:dyDescent="0.25">
      <c r="Z21816"/>
    </row>
    <row r="21817" spans="26:26" x14ac:dyDescent="0.25">
      <c r="Z21817"/>
    </row>
    <row r="21818" spans="26:26" x14ac:dyDescent="0.25">
      <c r="Z21818"/>
    </row>
    <row r="21819" spans="26:26" x14ac:dyDescent="0.25">
      <c r="Z21819"/>
    </row>
    <row r="21820" spans="26:26" x14ac:dyDescent="0.25">
      <c r="Z21820"/>
    </row>
    <row r="21821" spans="26:26" x14ac:dyDescent="0.25">
      <c r="Z21821"/>
    </row>
    <row r="21822" spans="26:26" x14ac:dyDescent="0.25">
      <c r="Z21822"/>
    </row>
    <row r="21823" spans="26:26" x14ac:dyDescent="0.25">
      <c r="Z21823"/>
    </row>
    <row r="21824" spans="26:26" x14ac:dyDescent="0.25">
      <c r="Z21824"/>
    </row>
    <row r="21825" spans="26:26" x14ac:dyDescent="0.25">
      <c r="Z21825"/>
    </row>
    <row r="21826" spans="26:26" x14ac:dyDescent="0.25">
      <c r="Z21826"/>
    </row>
    <row r="21827" spans="26:26" x14ac:dyDescent="0.25">
      <c r="Z21827"/>
    </row>
    <row r="21828" spans="26:26" x14ac:dyDescent="0.25">
      <c r="Z21828"/>
    </row>
    <row r="21829" spans="26:26" x14ac:dyDescent="0.25">
      <c r="Z21829"/>
    </row>
    <row r="21830" spans="26:26" x14ac:dyDescent="0.25">
      <c r="Z21830"/>
    </row>
    <row r="21831" spans="26:26" x14ac:dyDescent="0.25">
      <c r="Z21831"/>
    </row>
    <row r="21832" spans="26:26" x14ac:dyDescent="0.25">
      <c r="Z21832"/>
    </row>
    <row r="21833" spans="26:26" x14ac:dyDescent="0.25">
      <c r="Z21833"/>
    </row>
    <row r="21834" spans="26:26" x14ac:dyDescent="0.25">
      <c r="Z21834"/>
    </row>
    <row r="21835" spans="26:26" x14ac:dyDescent="0.25">
      <c r="Z21835"/>
    </row>
    <row r="21836" spans="26:26" x14ac:dyDescent="0.25">
      <c r="Z21836"/>
    </row>
    <row r="21837" spans="26:26" x14ac:dyDescent="0.25">
      <c r="Z21837"/>
    </row>
    <row r="21838" spans="26:26" x14ac:dyDescent="0.25">
      <c r="Z21838"/>
    </row>
    <row r="21839" spans="26:26" x14ac:dyDescent="0.25">
      <c r="Z21839"/>
    </row>
    <row r="21840" spans="26:26" x14ac:dyDescent="0.25">
      <c r="Z21840"/>
    </row>
    <row r="21841" spans="26:26" x14ac:dyDescent="0.25">
      <c r="Z21841"/>
    </row>
    <row r="21842" spans="26:26" x14ac:dyDescent="0.25">
      <c r="Z21842"/>
    </row>
    <row r="21843" spans="26:26" x14ac:dyDescent="0.25">
      <c r="Z21843"/>
    </row>
    <row r="21844" spans="26:26" x14ac:dyDescent="0.25">
      <c r="Z21844"/>
    </row>
    <row r="21845" spans="26:26" x14ac:dyDescent="0.25">
      <c r="Z21845"/>
    </row>
    <row r="21846" spans="26:26" x14ac:dyDescent="0.25">
      <c r="Z21846"/>
    </row>
    <row r="21847" spans="26:26" x14ac:dyDescent="0.25">
      <c r="Z21847"/>
    </row>
    <row r="21848" spans="26:26" x14ac:dyDescent="0.25">
      <c r="Z21848"/>
    </row>
    <row r="21849" spans="26:26" x14ac:dyDescent="0.25">
      <c r="Z21849"/>
    </row>
    <row r="21850" spans="26:26" x14ac:dyDescent="0.25">
      <c r="Z21850"/>
    </row>
    <row r="21851" spans="26:26" x14ac:dyDescent="0.25">
      <c r="Z21851"/>
    </row>
    <row r="21852" spans="26:26" x14ac:dyDescent="0.25">
      <c r="Z21852"/>
    </row>
    <row r="21853" spans="26:26" x14ac:dyDescent="0.25">
      <c r="Z21853"/>
    </row>
    <row r="21854" spans="26:26" x14ac:dyDescent="0.25">
      <c r="Z21854"/>
    </row>
    <row r="21855" spans="26:26" x14ac:dyDescent="0.25">
      <c r="Z21855"/>
    </row>
    <row r="21856" spans="26:26" x14ac:dyDescent="0.25">
      <c r="Z21856"/>
    </row>
    <row r="21857" spans="26:26" x14ac:dyDescent="0.25">
      <c r="Z21857"/>
    </row>
    <row r="21858" spans="26:26" x14ac:dyDescent="0.25">
      <c r="Z21858"/>
    </row>
    <row r="21859" spans="26:26" x14ac:dyDescent="0.25">
      <c r="Z21859"/>
    </row>
    <row r="21860" spans="26:26" x14ac:dyDescent="0.25">
      <c r="Z21860"/>
    </row>
    <row r="21861" spans="26:26" x14ac:dyDescent="0.25">
      <c r="Z21861"/>
    </row>
    <row r="21862" spans="26:26" x14ac:dyDescent="0.25">
      <c r="Z21862"/>
    </row>
    <row r="21863" spans="26:26" x14ac:dyDescent="0.25">
      <c r="Z21863"/>
    </row>
    <row r="21864" spans="26:26" x14ac:dyDescent="0.25">
      <c r="Z21864"/>
    </row>
    <row r="21865" spans="26:26" x14ac:dyDescent="0.25">
      <c r="Z21865"/>
    </row>
    <row r="21866" spans="26:26" x14ac:dyDescent="0.25">
      <c r="Z21866"/>
    </row>
    <row r="21867" spans="26:26" x14ac:dyDescent="0.25">
      <c r="Z21867"/>
    </row>
    <row r="21868" spans="26:26" x14ac:dyDescent="0.25">
      <c r="Z21868"/>
    </row>
    <row r="21869" spans="26:26" x14ac:dyDescent="0.25">
      <c r="Z21869"/>
    </row>
    <row r="21870" spans="26:26" x14ac:dyDescent="0.25">
      <c r="Z21870"/>
    </row>
    <row r="21871" spans="26:26" x14ac:dyDescent="0.25">
      <c r="Z21871"/>
    </row>
    <row r="21872" spans="26:26" x14ac:dyDescent="0.25">
      <c r="Z21872"/>
    </row>
    <row r="21873" spans="26:26" x14ac:dyDescent="0.25">
      <c r="Z21873"/>
    </row>
    <row r="21874" spans="26:26" x14ac:dyDescent="0.25">
      <c r="Z21874"/>
    </row>
    <row r="21875" spans="26:26" x14ac:dyDescent="0.25">
      <c r="Z21875"/>
    </row>
    <row r="21876" spans="26:26" x14ac:dyDescent="0.25">
      <c r="Z21876"/>
    </row>
    <row r="21877" spans="26:26" x14ac:dyDescent="0.25">
      <c r="Z21877"/>
    </row>
    <row r="21878" spans="26:26" x14ac:dyDescent="0.25">
      <c r="Z21878"/>
    </row>
    <row r="21879" spans="26:26" x14ac:dyDescent="0.25">
      <c r="Z21879"/>
    </row>
    <row r="21880" spans="26:26" x14ac:dyDescent="0.25">
      <c r="Z21880"/>
    </row>
    <row r="21881" spans="26:26" x14ac:dyDescent="0.25">
      <c r="Z21881"/>
    </row>
    <row r="21882" spans="26:26" x14ac:dyDescent="0.25">
      <c r="Z21882"/>
    </row>
    <row r="21883" spans="26:26" x14ac:dyDescent="0.25">
      <c r="Z21883"/>
    </row>
    <row r="21884" spans="26:26" x14ac:dyDescent="0.25">
      <c r="Z21884"/>
    </row>
    <row r="21885" spans="26:26" x14ac:dyDescent="0.25">
      <c r="Z21885"/>
    </row>
    <row r="21886" spans="26:26" x14ac:dyDescent="0.25">
      <c r="Z21886"/>
    </row>
    <row r="21887" spans="26:26" x14ac:dyDescent="0.25">
      <c r="Z21887"/>
    </row>
    <row r="21888" spans="26:26" x14ac:dyDescent="0.25">
      <c r="Z21888"/>
    </row>
    <row r="21889" spans="26:26" x14ac:dyDescent="0.25">
      <c r="Z21889"/>
    </row>
    <row r="21890" spans="26:26" x14ac:dyDescent="0.25">
      <c r="Z21890"/>
    </row>
    <row r="21891" spans="26:26" x14ac:dyDescent="0.25">
      <c r="Z21891"/>
    </row>
    <row r="21892" spans="26:26" x14ac:dyDescent="0.25">
      <c r="Z21892"/>
    </row>
    <row r="21893" spans="26:26" x14ac:dyDescent="0.25">
      <c r="Z21893"/>
    </row>
    <row r="21894" spans="26:26" x14ac:dyDescent="0.25">
      <c r="Z21894"/>
    </row>
    <row r="21895" spans="26:26" x14ac:dyDescent="0.25">
      <c r="Z21895"/>
    </row>
    <row r="21896" spans="26:26" x14ac:dyDescent="0.25">
      <c r="Z21896"/>
    </row>
    <row r="21897" spans="26:26" x14ac:dyDescent="0.25">
      <c r="Z21897"/>
    </row>
    <row r="21898" spans="26:26" x14ac:dyDescent="0.25">
      <c r="Z21898"/>
    </row>
    <row r="21899" spans="26:26" x14ac:dyDescent="0.25">
      <c r="Z21899"/>
    </row>
    <row r="21900" spans="26:26" x14ac:dyDescent="0.25">
      <c r="Z21900"/>
    </row>
    <row r="21901" spans="26:26" x14ac:dyDescent="0.25">
      <c r="Z21901"/>
    </row>
    <row r="21902" spans="26:26" x14ac:dyDescent="0.25">
      <c r="Z21902"/>
    </row>
    <row r="21903" spans="26:26" x14ac:dyDescent="0.25">
      <c r="Z21903"/>
    </row>
    <row r="21904" spans="26:26" x14ac:dyDescent="0.25">
      <c r="Z21904"/>
    </row>
    <row r="21905" spans="26:26" x14ac:dyDescent="0.25">
      <c r="Z21905"/>
    </row>
    <row r="21906" spans="26:26" x14ac:dyDescent="0.25">
      <c r="Z21906"/>
    </row>
    <row r="21907" spans="26:26" x14ac:dyDescent="0.25">
      <c r="Z21907"/>
    </row>
    <row r="21908" spans="26:26" x14ac:dyDescent="0.25">
      <c r="Z21908"/>
    </row>
    <row r="21909" spans="26:26" x14ac:dyDescent="0.25">
      <c r="Z21909"/>
    </row>
    <row r="21910" spans="26:26" x14ac:dyDescent="0.25">
      <c r="Z21910"/>
    </row>
    <row r="21911" spans="26:26" x14ac:dyDescent="0.25">
      <c r="Z21911"/>
    </row>
    <row r="21912" spans="26:26" x14ac:dyDescent="0.25">
      <c r="Z21912"/>
    </row>
    <row r="21913" spans="26:26" x14ac:dyDescent="0.25">
      <c r="Z21913"/>
    </row>
    <row r="21914" spans="26:26" x14ac:dyDescent="0.25">
      <c r="Z21914"/>
    </row>
    <row r="21915" spans="26:26" x14ac:dyDescent="0.25">
      <c r="Z21915"/>
    </row>
    <row r="21916" spans="26:26" x14ac:dyDescent="0.25">
      <c r="Z21916"/>
    </row>
    <row r="21917" spans="26:26" x14ac:dyDescent="0.25">
      <c r="Z21917"/>
    </row>
    <row r="21918" spans="26:26" x14ac:dyDescent="0.25">
      <c r="Z21918"/>
    </row>
    <row r="21919" spans="26:26" x14ac:dyDescent="0.25">
      <c r="Z21919"/>
    </row>
    <row r="21920" spans="26:26" x14ac:dyDescent="0.25">
      <c r="Z21920"/>
    </row>
    <row r="21921" spans="26:26" x14ac:dyDescent="0.25">
      <c r="Z21921"/>
    </row>
    <row r="21922" spans="26:26" x14ac:dyDescent="0.25">
      <c r="Z21922"/>
    </row>
    <row r="21923" spans="26:26" x14ac:dyDescent="0.25">
      <c r="Z21923"/>
    </row>
    <row r="21924" spans="26:26" x14ac:dyDescent="0.25">
      <c r="Z21924"/>
    </row>
    <row r="21925" spans="26:26" x14ac:dyDescent="0.25">
      <c r="Z21925"/>
    </row>
    <row r="21926" spans="26:26" x14ac:dyDescent="0.25">
      <c r="Z21926"/>
    </row>
    <row r="21927" spans="26:26" x14ac:dyDescent="0.25">
      <c r="Z21927"/>
    </row>
    <row r="21928" spans="26:26" x14ac:dyDescent="0.25">
      <c r="Z21928"/>
    </row>
    <row r="21929" spans="26:26" x14ac:dyDescent="0.25">
      <c r="Z21929"/>
    </row>
    <row r="21930" spans="26:26" x14ac:dyDescent="0.25">
      <c r="Z21930"/>
    </row>
    <row r="21931" spans="26:26" x14ac:dyDescent="0.25">
      <c r="Z21931"/>
    </row>
    <row r="21932" spans="26:26" x14ac:dyDescent="0.25">
      <c r="Z21932"/>
    </row>
    <row r="21933" spans="26:26" x14ac:dyDescent="0.25">
      <c r="Z21933"/>
    </row>
    <row r="21934" spans="26:26" x14ac:dyDescent="0.25">
      <c r="Z21934"/>
    </row>
    <row r="21935" spans="26:26" x14ac:dyDescent="0.25">
      <c r="Z21935"/>
    </row>
    <row r="21936" spans="26:26" x14ac:dyDescent="0.25">
      <c r="Z21936"/>
    </row>
    <row r="21937" spans="26:26" x14ac:dyDescent="0.25">
      <c r="Z21937"/>
    </row>
    <row r="21938" spans="26:26" x14ac:dyDescent="0.25">
      <c r="Z21938"/>
    </row>
    <row r="21939" spans="26:26" x14ac:dyDescent="0.25">
      <c r="Z21939"/>
    </row>
    <row r="21940" spans="26:26" x14ac:dyDescent="0.25">
      <c r="Z21940"/>
    </row>
    <row r="21941" spans="26:26" x14ac:dyDescent="0.25">
      <c r="Z21941"/>
    </row>
    <row r="21942" spans="26:26" x14ac:dyDescent="0.25">
      <c r="Z21942"/>
    </row>
    <row r="21943" spans="26:26" x14ac:dyDescent="0.25">
      <c r="Z21943"/>
    </row>
    <row r="21944" spans="26:26" x14ac:dyDescent="0.25">
      <c r="Z21944"/>
    </row>
    <row r="21945" spans="26:26" x14ac:dyDescent="0.25">
      <c r="Z21945"/>
    </row>
    <row r="21946" spans="26:26" x14ac:dyDescent="0.25">
      <c r="Z21946"/>
    </row>
    <row r="21947" spans="26:26" x14ac:dyDescent="0.25">
      <c r="Z21947"/>
    </row>
    <row r="21948" spans="26:26" x14ac:dyDescent="0.25">
      <c r="Z21948"/>
    </row>
    <row r="21949" spans="26:26" x14ac:dyDescent="0.25">
      <c r="Z21949"/>
    </row>
    <row r="21950" spans="26:26" x14ac:dyDescent="0.25">
      <c r="Z21950"/>
    </row>
    <row r="21951" spans="26:26" x14ac:dyDescent="0.25">
      <c r="Z21951"/>
    </row>
    <row r="21952" spans="26:26" x14ac:dyDescent="0.25">
      <c r="Z21952"/>
    </row>
    <row r="21953" spans="26:26" x14ac:dyDescent="0.25">
      <c r="Z21953"/>
    </row>
    <row r="21954" spans="26:26" x14ac:dyDescent="0.25">
      <c r="Z21954"/>
    </row>
    <row r="21955" spans="26:26" x14ac:dyDescent="0.25">
      <c r="Z21955"/>
    </row>
    <row r="21956" spans="26:26" x14ac:dyDescent="0.25">
      <c r="Z21956"/>
    </row>
    <row r="21957" spans="26:26" x14ac:dyDescent="0.25">
      <c r="Z21957"/>
    </row>
    <row r="21958" spans="26:26" x14ac:dyDescent="0.25">
      <c r="Z21958"/>
    </row>
    <row r="21959" spans="26:26" x14ac:dyDescent="0.25">
      <c r="Z21959"/>
    </row>
    <row r="21960" spans="26:26" x14ac:dyDescent="0.25">
      <c r="Z21960"/>
    </row>
    <row r="21961" spans="26:26" x14ac:dyDescent="0.25">
      <c r="Z21961"/>
    </row>
    <row r="21962" spans="26:26" x14ac:dyDescent="0.25">
      <c r="Z21962"/>
    </row>
    <row r="21963" spans="26:26" x14ac:dyDescent="0.25">
      <c r="Z21963"/>
    </row>
    <row r="21964" spans="26:26" x14ac:dyDescent="0.25">
      <c r="Z21964"/>
    </row>
    <row r="21965" spans="26:26" x14ac:dyDescent="0.25">
      <c r="Z21965"/>
    </row>
    <row r="21966" spans="26:26" x14ac:dyDescent="0.25">
      <c r="Z21966"/>
    </row>
    <row r="21967" spans="26:26" x14ac:dyDescent="0.25">
      <c r="Z21967"/>
    </row>
    <row r="21968" spans="26:26" x14ac:dyDescent="0.25">
      <c r="Z21968"/>
    </row>
    <row r="21969" spans="26:26" x14ac:dyDescent="0.25">
      <c r="Z21969"/>
    </row>
    <row r="21970" spans="26:26" x14ac:dyDescent="0.25">
      <c r="Z21970"/>
    </row>
    <row r="21971" spans="26:26" x14ac:dyDescent="0.25">
      <c r="Z21971"/>
    </row>
    <row r="21972" spans="26:26" x14ac:dyDescent="0.25">
      <c r="Z21972"/>
    </row>
    <row r="21973" spans="26:26" x14ac:dyDescent="0.25">
      <c r="Z21973"/>
    </row>
    <row r="21974" spans="26:26" x14ac:dyDescent="0.25">
      <c r="Z21974"/>
    </row>
    <row r="21975" spans="26:26" x14ac:dyDescent="0.25">
      <c r="Z21975"/>
    </row>
    <row r="21976" spans="26:26" x14ac:dyDescent="0.25">
      <c r="Z21976"/>
    </row>
    <row r="21977" spans="26:26" x14ac:dyDescent="0.25">
      <c r="Z21977"/>
    </row>
    <row r="21978" spans="26:26" x14ac:dyDescent="0.25">
      <c r="Z21978"/>
    </row>
    <row r="21979" spans="26:26" x14ac:dyDescent="0.25">
      <c r="Z21979"/>
    </row>
    <row r="21980" spans="26:26" x14ac:dyDescent="0.25">
      <c r="Z21980"/>
    </row>
    <row r="21981" spans="26:26" x14ac:dyDescent="0.25">
      <c r="Z21981"/>
    </row>
    <row r="21982" spans="26:26" x14ac:dyDescent="0.25">
      <c r="Z21982"/>
    </row>
    <row r="21983" spans="26:26" x14ac:dyDescent="0.25">
      <c r="Z21983"/>
    </row>
    <row r="21984" spans="26:26" x14ac:dyDescent="0.25">
      <c r="Z21984"/>
    </row>
    <row r="21985" spans="26:26" x14ac:dyDescent="0.25">
      <c r="Z21985"/>
    </row>
    <row r="21986" spans="26:26" x14ac:dyDescent="0.25">
      <c r="Z21986"/>
    </row>
    <row r="21987" spans="26:26" x14ac:dyDescent="0.25">
      <c r="Z21987"/>
    </row>
    <row r="21988" spans="26:26" x14ac:dyDescent="0.25">
      <c r="Z21988"/>
    </row>
    <row r="21989" spans="26:26" x14ac:dyDescent="0.25">
      <c r="Z21989"/>
    </row>
    <row r="21990" spans="26:26" x14ac:dyDescent="0.25">
      <c r="Z21990"/>
    </row>
    <row r="21991" spans="26:26" x14ac:dyDescent="0.25">
      <c r="Z21991"/>
    </row>
    <row r="21992" spans="26:26" x14ac:dyDescent="0.25">
      <c r="Z21992"/>
    </row>
    <row r="21993" spans="26:26" x14ac:dyDescent="0.25">
      <c r="Z21993"/>
    </row>
    <row r="21994" spans="26:26" x14ac:dyDescent="0.25">
      <c r="Z21994"/>
    </row>
    <row r="21995" spans="26:26" x14ac:dyDescent="0.25">
      <c r="Z21995"/>
    </row>
    <row r="21996" spans="26:26" x14ac:dyDescent="0.25">
      <c r="Z21996"/>
    </row>
    <row r="21997" spans="26:26" x14ac:dyDescent="0.25">
      <c r="Z21997"/>
    </row>
    <row r="21998" spans="26:26" x14ac:dyDescent="0.25">
      <c r="Z21998"/>
    </row>
    <row r="21999" spans="26:26" x14ac:dyDescent="0.25">
      <c r="Z21999"/>
    </row>
    <row r="22000" spans="26:26" x14ac:dyDescent="0.25">
      <c r="Z22000"/>
    </row>
    <row r="22001" spans="26:26" x14ac:dyDescent="0.25">
      <c r="Z22001"/>
    </row>
    <row r="22002" spans="26:26" x14ac:dyDescent="0.25">
      <c r="Z22002"/>
    </row>
    <row r="22003" spans="26:26" x14ac:dyDescent="0.25">
      <c r="Z22003"/>
    </row>
    <row r="22004" spans="26:26" x14ac:dyDescent="0.25">
      <c r="Z22004"/>
    </row>
    <row r="22005" spans="26:26" x14ac:dyDescent="0.25">
      <c r="Z22005"/>
    </row>
    <row r="22006" spans="26:26" x14ac:dyDescent="0.25">
      <c r="Z22006"/>
    </row>
    <row r="22007" spans="26:26" x14ac:dyDescent="0.25">
      <c r="Z22007"/>
    </row>
    <row r="22008" spans="26:26" x14ac:dyDescent="0.25">
      <c r="Z22008"/>
    </row>
    <row r="22009" spans="26:26" x14ac:dyDescent="0.25">
      <c r="Z22009"/>
    </row>
    <row r="22010" spans="26:26" x14ac:dyDescent="0.25">
      <c r="Z22010"/>
    </row>
    <row r="22011" spans="26:26" x14ac:dyDescent="0.25">
      <c r="Z22011"/>
    </row>
    <row r="22012" spans="26:26" x14ac:dyDescent="0.25">
      <c r="Z22012"/>
    </row>
    <row r="22013" spans="26:26" x14ac:dyDescent="0.25">
      <c r="Z22013"/>
    </row>
    <row r="22014" spans="26:26" x14ac:dyDescent="0.25">
      <c r="Z22014"/>
    </row>
    <row r="22015" spans="26:26" x14ac:dyDescent="0.25">
      <c r="Z22015"/>
    </row>
    <row r="22016" spans="26:26" x14ac:dyDescent="0.25">
      <c r="Z22016"/>
    </row>
    <row r="22017" spans="26:26" x14ac:dyDescent="0.25">
      <c r="Z22017"/>
    </row>
    <row r="22018" spans="26:26" x14ac:dyDescent="0.25">
      <c r="Z22018"/>
    </row>
    <row r="22019" spans="26:26" x14ac:dyDescent="0.25">
      <c r="Z22019"/>
    </row>
    <row r="22020" spans="26:26" x14ac:dyDescent="0.25">
      <c r="Z22020"/>
    </row>
    <row r="22021" spans="26:26" x14ac:dyDescent="0.25">
      <c r="Z22021"/>
    </row>
    <row r="22022" spans="26:26" x14ac:dyDescent="0.25">
      <c r="Z22022"/>
    </row>
    <row r="22023" spans="26:26" x14ac:dyDescent="0.25">
      <c r="Z22023"/>
    </row>
    <row r="22024" spans="26:26" x14ac:dyDescent="0.25">
      <c r="Z22024"/>
    </row>
    <row r="22025" spans="26:26" x14ac:dyDescent="0.25">
      <c r="Z22025"/>
    </row>
    <row r="22026" spans="26:26" x14ac:dyDescent="0.25">
      <c r="Z22026"/>
    </row>
    <row r="22027" spans="26:26" x14ac:dyDescent="0.25">
      <c r="Z22027"/>
    </row>
    <row r="22028" spans="26:26" x14ac:dyDescent="0.25">
      <c r="Z22028"/>
    </row>
    <row r="22029" spans="26:26" x14ac:dyDescent="0.25">
      <c r="Z22029"/>
    </row>
    <row r="22030" spans="26:26" x14ac:dyDescent="0.25">
      <c r="Z22030"/>
    </row>
    <row r="22031" spans="26:26" x14ac:dyDescent="0.25">
      <c r="Z22031"/>
    </row>
    <row r="22032" spans="26:26" x14ac:dyDescent="0.25">
      <c r="Z22032"/>
    </row>
    <row r="22033" spans="26:26" x14ac:dyDescent="0.25">
      <c r="Z22033"/>
    </row>
    <row r="22034" spans="26:26" x14ac:dyDescent="0.25">
      <c r="Z22034"/>
    </row>
    <row r="22035" spans="26:26" x14ac:dyDescent="0.25">
      <c r="Z22035"/>
    </row>
    <row r="22036" spans="26:26" x14ac:dyDescent="0.25">
      <c r="Z22036"/>
    </row>
    <row r="22037" spans="26:26" x14ac:dyDescent="0.25">
      <c r="Z22037"/>
    </row>
    <row r="22038" spans="26:26" x14ac:dyDescent="0.25">
      <c r="Z22038"/>
    </row>
    <row r="22039" spans="26:26" x14ac:dyDescent="0.25">
      <c r="Z22039"/>
    </row>
    <row r="22040" spans="26:26" x14ac:dyDescent="0.25">
      <c r="Z22040"/>
    </row>
    <row r="22041" spans="26:26" x14ac:dyDescent="0.25">
      <c r="Z22041"/>
    </row>
    <row r="22042" spans="26:26" x14ac:dyDescent="0.25">
      <c r="Z22042"/>
    </row>
    <row r="22043" spans="26:26" x14ac:dyDescent="0.25">
      <c r="Z22043"/>
    </row>
    <row r="22044" spans="26:26" x14ac:dyDescent="0.25">
      <c r="Z22044"/>
    </row>
    <row r="22045" spans="26:26" x14ac:dyDescent="0.25">
      <c r="Z22045"/>
    </row>
    <row r="22046" spans="26:26" x14ac:dyDescent="0.25">
      <c r="Z22046"/>
    </row>
    <row r="22047" spans="26:26" x14ac:dyDescent="0.25">
      <c r="Z22047"/>
    </row>
    <row r="22048" spans="26:26" x14ac:dyDescent="0.25">
      <c r="Z22048"/>
    </row>
    <row r="22049" spans="26:26" x14ac:dyDescent="0.25">
      <c r="Z22049"/>
    </row>
    <row r="22050" spans="26:26" x14ac:dyDescent="0.25">
      <c r="Z22050"/>
    </row>
    <row r="22051" spans="26:26" x14ac:dyDescent="0.25">
      <c r="Z22051"/>
    </row>
    <row r="22052" spans="26:26" x14ac:dyDescent="0.25">
      <c r="Z22052"/>
    </row>
    <row r="22053" spans="26:26" x14ac:dyDescent="0.25">
      <c r="Z22053"/>
    </row>
    <row r="22054" spans="26:26" x14ac:dyDescent="0.25">
      <c r="Z22054"/>
    </row>
    <row r="22055" spans="26:26" x14ac:dyDescent="0.25">
      <c r="Z22055"/>
    </row>
    <row r="22056" spans="26:26" x14ac:dyDescent="0.25">
      <c r="Z22056"/>
    </row>
    <row r="22057" spans="26:26" x14ac:dyDescent="0.25">
      <c r="Z22057"/>
    </row>
    <row r="22058" spans="26:26" x14ac:dyDescent="0.25">
      <c r="Z22058"/>
    </row>
    <row r="22059" spans="26:26" x14ac:dyDescent="0.25">
      <c r="Z22059"/>
    </row>
    <row r="22060" spans="26:26" x14ac:dyDescent="0.25">
      <c r="Z22060"/>
    </row>
    <row r="22061" spans="26:26" x14ac:dyDescent="0.25">
      <c r="Z22061"/>
    </row>
    <row r="22062" spans="26:26" x14ac:dyDescent="0.25">
      <c r="Z22062"/>
    </row>
    <row r="22063" spans="26:26" x14ac:dyDescent="0.25">
      <c r="Z22063"/>
    </row>
    <row r="22064" spans="26:26" x14ac:dyDescent="0.25">
      <c r="Z22064"/>
    </row>
    <row r="22065" spans="26:26" x14ac:dyDescent="0.25">
      <c r="Z22065"/>
    </row>
    <row r="22066" spans="26:26" x14ac:dyDescent="0.25">
      <c r="Z22066"/>
    </row>
    <row r="22067" spans="26:26" x14ac:dyDescent="0.25">
      <c r="Z22067"/>
    </row>
    <row r="22068" spans="26:26" x14ac:dyDescent="0.25">
      <c r="Z22068"/>
    </row>
    <row r="22069" spans="26:26" x14ac:dyDescent="0.25">
      <c r="Z22069"/>
    </row>
    <row r="22070" spans="26:26" x14ac:dyDescent="0.25">
      <c r="Z22070"/>
    </row>
    <row r="22071" spans="26:26" x14ac:dyDescent="0.25">
      <c r="Z22071"/>
    </row>
    <row r="22072" spans="26:26" x14ac:dyDescent="0.25">
      <c r="Z22072"/>
    </row>
    <row r="22073" spans="26:26" x14ac:dyDescent="0.25">
      <c r="Z22073"/>
    </row>
    <row r="22074" spans="26:26" x14ac:dyDescent="0.25">
      <c r="Z22074"/>
    </row>
    <row r="22075" spans="26:26" x14ac:dyDescent="0.25">
      <c r="Z22075"/>
    </row>
    <row r="22076" spans="26:26" x14ac:dyDescent="0.25">
      <c r="Z22076"/>
    </row>
    <row r="22077" spans="26:26" x14ac:dyDescent="0.25">
      <c r="Z22077"/>
    </row>
    <row r="22078" spans="26:26" x14ac:dyDescent="0.25">
      <c r="Z22078"/>
    </row>
    <row r="22079" spans="26:26" x14ac:dyDescent="0.25">
      <c r="Z22079"/>
    </row>
    <row r="22080" spans="26:26" x14ac:dyDescent="0.25">
      <c r="Z22080"/>
    </row>
    <row r="22081" spans="26:26" x14ac:dyDescent="0.25">
      <c r="Z22081"/>
    </row>
    <row r="22082" spans="26:26" x14ac:dyDescent="0.25">
      <c r="Z22082"/>
    </row>
    <row r="22083" spans="26:26" x14ac:dyDescent="0.25">
      <c r="Z22083"/>
    </row>
    <row r="22084" spans="26:26" x14ac:dyDescent="0.25">
      <c r="Z22084"/>
    </row>
    <row r="22085" spans="26:26" x14ac:dyDescent="0.25">
      <c r="Z22085"/>
    </row>
    <row r="22086" spans="26:26" x14ac:dyDescent="0.25">
      <c r="Z22086"/>
    </row>
    <row r="22087" spans="26:26" x14ac:dyDescent="0.25">
      <c r="Z22087"/>
    </row>
    <row r="22088" spans="26:26" x14ac:dyDescent="0.25">
      <c r="Z22088"/>
    </row>
    <row r="22089" spans="26:26" x14ac:dyDescent="0.25">
      <c r="Z22089"/>
    </row>
    <row r="22090" spans="26:26" x14ac:dyDescent="0.25">
      <c r="Z22090"/>
    </row>
    <row r="22091" spans="26:26" x14ac:dyDescent="0.25">
      <c r="Z22091"/>
    </row>
    <row r="22092" spans="26:26" x14ac:dyDescent="0.25">
      <c r="Z22092"/>
    </row>
    <row r="22093" spans="26:26" x14ac:dyDescent="0.25">
      <c r="Z22093"/>
    </row>
    <row r="22094" spans="26:26" x14ac:dyDescent="0.25">
      <c r="Z22094"/>
    </row>
    <row r="22095" spans="26:26" x14ac:dyDescent="0.25">
      <c r="Z22095"/>
    </row>
    <row r="22096" spans="26:26" x14ac:dyDescent="0.25">
      <c r="Z22096"/>
    </row>
    <row r="22097" spans="26:26" x14ac:dyDescent="0.25">
      <c r="Z22097"/>
    </row>
    <row r="22098" spans="26:26" x14ac:dyDescent="0.25">
      <c r="Z22098"/>
    </row>
    <row r="22099" spans="26:26" x14ac:dyDescent="0.25">
      <c r="Z22099"/>
    </row>
    <row r="22100" spans="26:26" x14ac:dyDescent="0.25">
      <c r="Z22100"/>
    </row>
    <row r="22101" spans="26:26" x14ac:dyDescent="0.25">
      <c r="Z22101"/>
    </row>
    <row r="22102" spans="26:26" x14ac:dyDescent="0.25">
      <c r="Z22102"/>
    </row>
    <row r="22103" spans="26:26" x14ac:dyDescent="0.25">
      <c r="Z22103"/>
    </row>
    <row r="22104" spans="26:26" x14ac:dyDescent="0.25">
      <c r="Z22104"/>
    </row>
    <row r="22105" spans="26:26" x14ac:dyDescent="0.25">
      <c r="Z22105"/>
    </row>
    <row r="22106" spans="26:26" x14ac:dyDescent="0.25">
      <c r="Z22106"/>
    </row>
    <row r="22107" spans="26:26" x14ac:dyDescent="0.25">
      <c r="Z22107"/>
    </row>
    <row r="22108" spans="26:26" x14ac:dyDescent="0.25">
      <c r="Z22108"/>
    </row>
    <row r="22109" spans="26:26" x14ac:dyDescent="0.25">
      <c r="Z22109"/>
    </row>
    <row r="22110" spans="26:26" x14ac:dyDescent="0.25">
      <c r="Z22110"/>
    </row>
    <row r="22111" spans="26:26" x14ac:dyDescent="0.25">
      <c r="Z22111"/>
    </row>
    <row r="22112" spans="26:26" x14ac:dyDescent="0.25">
      <c r="Z22112"/>
    </row>
    <row r="22113" spans="26:26" x14ac:dyDescent="0.25">
      <c r="Z22113"/>
    </row>
    <row r="22114" spans="26:26" x14ac:dyDescent="0.25">
      <c r="Z22114"/>
    </row>
    <row r="22115" spans="26:26" x14ac:dyDescent="0.25">
      <c r="Z22115"/>
    </row>
    <row r="22116" spans="26:26" x14ac:dyDescent="0.25">
      <c r="Z22116"/>
    </row>
    <row r="22117" spans="26:26" x14ac:dyDescent="0.25">
      <c r="Z22117"/>
    </row>
    <row r="22118" spans="26:26" x14ac:dyDescent="0.25">
      <c r="Z22118"/>
    </row>
    <row r="22119" spans="26:26" x14ac:dyDescent="0.25">
      <c r="Z22119"/>
    </row>
    <row r="22120" spans="26:26" x14ac:dyDescent="0.25">
      <c r="Z22120"/>
    </row>
    <row r="22121" spans="26:26" x14ac:dyDescent="0.25">
      <c r="Z22121"/>
    </row>
    <row r="22122" spans="26:26" x14ac:dyDescent="0.25">
      <c r="Z22122"/>
    </row>
    <row r="22123" spans="26:26" x14ac:dyDescent="0.25">
      <c r="Z22123"/>
    </row>
    <row r="22124" spans="26:26" x14ac:dyDescent="0.25">
      <c r="Z22124"/>
    </row>
    <row r="22125" spans="26:26" x14ac:dyDescent="0.25">
      <c r="Z22125"/>
    </row>
    <row r="22126" spans="26:26" x14ac:dyDescent="0.25">
      <c r="Z22126"/>
    </row>
    <row r="22127" spans="26:26" x14ac:dyDescent="0.25">
      <c r="Z22127"/>
    </row>
    <row r="22128" spans="26:26" x14ac:dyDescent="0.25">
      <c r="Z22128"/>
    </row>
    <row r="22129" spans="26:26" x14ac:dyDescent="0.25">
      <c r="Z22129"/>
    </row>
    <row r="22130" spans="26:26" x14ac:dyDescent="0.25">
      <c r="Z22130"/>
    </row>
    <row r="22131" spans="26:26" x14ac:dyDescent="0.25">
      <c r="Z22131"/>
    </row>
    <row r="22132" spans="26:26" x14ac:dyDescent="0.25">
      <c r="Z22132"/>
    </row>
    <row r="22133" spans="26:26" x14ac:dyDescent="0.25">
      <c r="Z22133"/>
    </row>
    <row r="22134" spans="26:26" x14ac:dyDescent="0.25">
      <c r="Z22134"/>
    </row>
    <row r="22135" spans="26:26" x14ac:dyDescent="0.25">
      <c r="Z22135"/>
    </row>
    <row r="22136" spans="26:26" x14ac:dyDescent="0.25">
      <c r="Z22136"/>
    </row>
    <row r="22137" spans="26:26" x14ac:dyDescent="0.25">
      <c r="Z22137"/>
    </row>
    <row r="22138" spans="26:26" x14ac:dyDescent="0.25">
      <c r="Z22138"/>
    </row>
    <row r="22139" spans="26:26" x14ac:dyDescent="0.25">
      <c r="Z22139"/>
    </row>
    <row r="22140" spans="26:26" x14ac:dyDescent="0.25">
      <c r="Z22140"/>
    </row>
    <row r="22141" spans="26:26" x14ac:dyDescent="0.25">
      <c r="Z22141"/>
    </row>
    <row r="22142" spans="26:26" x14ac:dyDescent="0.25">
      <c r="Z22142"/>
    </row>
    <row r="22143" spans="26:26" x14ac:dyDescent="0.25">
      <c r="Z22143"/>
    </row>
    <row r="22144" spans="26:26" x14ac:dyDescent="0.25">
      <c r="Z22144"/>
    </row>
    <row r="22145" spans="26:26" x14ac:dyDescent="0.25">
      <c r="Z22145"/>
    </row>
    <row r="22146" spans="26:26" x14ac:dyDescent="0.25">
      <c r="Z22146"/>
    </row>
    <row r="22147" spans="26:26" x14ac:dyDescent="0.25">
      <c r="Z22147"/>
    </row>
    <row r="22148" spans="26:26" x14ac:dyDescent="0.25">
      <c r="Z22148"/>
    </row>
    <row r="22149" spans="26:26" x14ac:dyDescent="0.25">
      <c r="Z22149"/>
    </row>
    <row r="22150" spans="26:26" x14ac:dyDescent="0.25">
      <c r="Z22150"/>
    </row>
    <row r="22151" spans="26:26" x14ac:dyDescent="0.25">
      <c r="Z22151"/>
    </row>
    <row r="22152" spans="26:26" x14ac:dyDescent="0.25">
      <c r="Z22152"/>
    </row>
    <row r="22153" spans="26:26" x14ac:dyDescent="0.25">
      <c r="Z22153"/>
    </row>
    <row r="22154" spans="26:26" x14ac:dyDescent="0.25">
      <c r="Z22154"/>
    </row>
    <row r="22155" spans="26:26" x14ac:dyDescent="0.25">
      <c r="Z22155"/>
    </row>
    <row r="22156" spans="26:26" x14ac:dyDescent="0.25">
      <c r="Z22156"/>
    </row>
    <row r="22157" spans="26:26" x14ac:dyDescent="0.25">
      <c r="Z22157"/>
    </row>
    <row r="22158" spans="26:26" x14ac:dyDescent="0.25">
      <c r="Z22158"/>
    </row>
    <row r="22159" spans="26:26" x14ac:dyDescent="0.25">
      <c r="Z22159"/>
    </row>
    <row r="22160" spans="26:26" x14ac:dyDescent="0.25">
      <c r="Z22160"/>
    </row>
    <row r="22161" spans="26:26" x14ac:dyDescent="0.25">
      <c r="Z22161"/>
    </row>
    <row r="22162" spans="26:26" x14ac:dyDescent="0.25">
      <c r="Z22162"/>
    </row>
    <row r="22163" spans="26:26" x14ac:dyDescent="0.25">
      <c r="Z22163"/>
    </row>
    <row r="22164" spans="26:26" x14ac:dyDescent="0.25">
      <c r="Z22164"/>
    </row>
    <row r="22165" spans="26:26" x14ac:dyDescent="0.25">
      <c r="Z22165"/>
    </row>
    <row r="22166" spans="26:26" x14ac:dyDescent="0.25">
      <c r="Z22166"/>
    </row>
    <row r="22167" spans="26:26" x14ac:dyDescent="0.25">
      <c r="Z22167"/>
    </row>
    <row r="22168" spans="26:26" x14ac:dyDescent="0.25">
      <c r="Z22168"/>
    </row>
    <row r="22169" spans="26:26" x14ac:dyDescent="0.25">
      <c r="Z22169"/>
    </row>
    <row r="22170" spans="26:26" x14ac:dyDescent="0.25">
      <c r="Z22170"/>
    </row>
    <row r="22171" spans="26:26" x14ac:dyDescent="0.25">
      <c r="Z22171"/>
    </row>
    <row r="22172" spans="26:26" x14ac:dyDescent="0.25">
      <c r="Z22172"/>
    </row>
    <row r="22173" spans="26:26" x14ac:dyDescent="0.25">
      <c r="Z22173"/>
    </row>
    <row r="22174" spans="26:26" x14ac:dyDescent="0.25">
      <c r="Z22174"/>
    </row>
    <row r="22175" spans="26:26" x14ac:dyDescent="0.25">
      <c r="Z22175"/>
    </row>
    <row r="22176" spans="26:26" x14ac:dyDescent="0.25">
      <c r="Z22176"/>
    </row>
    <row r="22177" spans="26:26" x14ac:dyDescent="0.25">
      <c r="Z22177"/>
    </row>
    <row r="22178" spans="26:26" x14ac:dyDescent="0.25">
      <c r="Z22178"/>
    </row>
    <row r="22179" spans="26:26" x14ac:dyDescent="0.25">
      <c r="Z22179"/>
    </row>
    <row r="22180" spans="26:26" x14ac:dyDescent="0.25">
      <c r="Z22180"/>
    </row>
    <row r="22181" spans="26:26" x14ac:dyDescent="0.25">
      <c r="Z22181"/>
    </row>
    <row r="22182" spans="26:26" x14ac:dyDescent="0.25">
      <c r="Z22182"/>
    </row>
    <row r="22183" spans="26:26" x14ac:dyDescent="0.25">
      <c r="Z22183"/>
    </row>
    <row r="22184" spans="26:26" x14ac:dyDescent="0.25">
      <c r="Z22184"/>
    </row>
    <row r="22185" spans="26:26" x14ac:dyDescent="0.25">
      <c r="Z22185"/>
    </row>
    <row r="22186" spans="26:26" x14ac:dyDescent="0.25">
      <c r="Z22186"/>
    </row>
    <row r="22187" spans="26:26" x14ac:dyDescent="0.25">
      <c r="Z22187"/>
    </row>
    <row r="22188" spans="26:26" x14ac:dyDescent="0.25">
      <c r="Z22188"/>
    </row>
    <row r="22189" spans="26:26" x14ac:dyDescent="0.25">
      <c r="Z22189"/>
    </row>
    <row r="22190" spans="26:26" x14ac:dyDescent="0.25">
      <c r="Z22190"/>
    </row>
    <row r="22191" spans="26:26" x14ac:dyDescent="0.25">
      <c r="Z22191"/>
    </row>
    <row r="22192" spans="26:26" x14ac:dyDescent="0.25">
      <c r="Z22192"/>
    </row>
    <row r="22193" spans="26:26" x14ac:dyDescent="0.25">
      <c r="Z22193"/>
    </row>
    <row r="22194" spans="26:26" x14ac:dyDescent="0.25">
      <c r="Z22194"/>
    </row>
    <row r="22195" spans="26:26" x14ac:dyDescent="0.25">
      <c r="Z22195"/>
    </row>
    <row r="22196" spans="26:26" x14ac:dyDescent="0.25">
      <c r="Z22196"/>
    </row>
    <row r="22197" spans="26:26" x14ac:dyDescent="0.25">
      <c r="Z22197"/>
    </row>
    <row r="22198" spans="26:26" x14ac:dyDescent="0.25">
      <c r="Z22198"/>
    </row>
    <row r="22199" spans="26:26" x14ac:dyDescent="0.25">
      <c r="Z22199"/>
    </row>
    <row r="22200" spans="26:26" x14ac:dyDescent="0.25">
      <c r="Z22200"/>
    </row>
    <row r="22201" spans="26:26" x14ac:dyDescent="0.25">
      <c r="Z22201"/>
    </row>
    <row r="22202" spans="26:26" x14ac:dyDescent="0.25">
      <c r="Z22202"/>
    </row>
    <row r="22203" spans="26:26" x14ac:dyDescent="0.25">
      <c r="Z22203"/>
    </row>
    <row r="22204" spans="26:26" x14ac:dyDescent="0.25">
      <c r="Z22204"/>
    </row>
    <row r="22205" spans="26:26" x14ac:dyDescent="0.25">
      <c r="Z22205"/>
    </row>
    <row r="22206" spans="26:26" x14ac:dyDescent="0.25">
      <c r="Z22206"/>
    </row>
    <row r="22207" spans="26:26" x14ac:dyDescent="0.25">
      <c r="Z22207"/>
    </row>
    <row r="22208" spans="26:26" x14ac:dyDescent="0.25">
      <c r="Z22208"/>
    </row>
    <row r="22209" spans="26:26" x14ac:dyDescent="0.25">
      <c r="Z22209"/>
    </row>
    <row r="22210" spans="26:26" x14ac:dyDescent="0.25">
      <c r="Z22210"/>
    </row>
    <row r="22211" spans="26:26" x14ac:dyDescent="0.25">
      <c r="Z22211"/>
    </row>
    <row r="22212" spans="26:26" x14ac:dyDescent="0.25">
      <c r="Z22212"/>
    </row>
    <row r="22213" spans="26:26" x14ac:dyDescent="0.25">
      <c r="Z22213"/>
    </row>
    <row r="22214" spans="26:26" x14ac:dyDescent="0.25">
      <c r="Z22214"/>
    </row>
    <row r="22215" spans="26:26" x14ac:dyDescent="0.25">
      <c r="Z22215"/>
    </row>
    <row r="22216" spans="26:26" x14ac:dyDescent="0.25">
      <c r="Z22216"/>
    </row>
    <row r="22217" spans="26:26" x14ac:dyDescent="0.25">
      <c r="Z22217"/>
    </row>
    <row r="22218" spans="26:26" x14ac:dyDescent="0.25">
      <c r="Z22218"/>
    </row>
    <row r="22219" spans="26:26" x14ac:dyDescent="0.25">
      <c r="Z22219"/>
    </row>
    <row r="22220" spans="26:26" x14ac:dyDescent="0.25">
      <c r="Z22220"/>
    </row>
    <row r="22221" spans="26:26" x14ac:dyDescent="0.25">
      <c r="Z22221"/>
    </row>
    <row r="22222" spans="26:26" x14ac:dyDescent="0.25">
      <c r="Z22222"/>
    </row>
    <row r="22223" spans="26:26" x14ac:dyDescent="0.25">
      <c r="Z22223"/>
    </row>
    <row r="22224" spans="26:26" x14ac:dyDescent="0.25">
      <c r="Z22224"/>
    </row>
    <row r="22225" spans="26:26" x14ac:dyDescent="0.25">
      <c r="Z22225"/>
    </row>
    <row r="22226" spans="26:26" x14ac:dyDescent="0.25">
      <c r="Z22226"/>
    </row>
    <row r="22227" spans="26:26" x14ac:dyDescent="0.25">
      <c r="Z22227"/>
    </row>
    <row r="22228" spans="26:26" x14ac:dyDescent="0.25">
      <c r="Z22228"/>
    </row>
    <row r="22229" spans="26:26" x14ac:dyDescent="0.25">
      <c r="Z22229"/>
    </row>
    <row r="22230" spans="26:26" x14ac:dyDescent="0.25">
      <c r="Z22230"/>
    </row>
    <row r="22231" spans="26:26" x14ac:dyDescent="0.25">
      <c r="Z22231"/>
    </row>
    <row r="22232" spans="26:26" x14ac:dyDescent="0.25">
      <c r="Z22232"/>
    </row>
    <row r="22233" spans="26:26" x14ac:dyDescent="0.25">
      <c r="Z22233"/>
    </row>
    <row r="22234" spans="26:26" x14ac:dyDescent="0.25">
      <c r="Z22234"/>
    </row>
    <row r="22235" spans="26:26" x14ac:dyDescent="0.25">
      <c r="Z22235"/>
    </row>
    <row r="22236" spans="26:26" x14ac:dyDescent="0.25">
      <c r="Z22236"/>
    </row>
    <row r="22237" spans="26:26" x14ac:dyDescent="0.25">
      <c r="Z22237"/>
    </row>
    <row r="22238" spans="26:26" x14ac:dyDescent="0.25">
      <c r="Z22238"/>
    </row>
    <row r="22239" spans="26:26" x14ac:dyDescent="0.25">
      <c r="Z22239"/>
    </row>
    <row r="22240" spans="26:26" x14ac:dyDescent="0.25">
      <c r="Z22240"/>
    </row>
    <row r="22241" spans="26:26" x14ac:dyDescent="0.25">
      <c r="Z22241"/>
    </row>
    <row r="22242" spans="26:26" x14ac:dyDescent="0.25">
      <c r="Z22242"/>
    </row>
    <row r="22243" spans="26:26" x14ac:dyDescent="0.25">
      <c r="Z22243"/>
    </row>
    <row r="22244" spans="26:26" x14ac:dyDescent="0.25">
      <c r="Z22244"/>
    </row>
    <row r="22245" spans="26:26" x14ac:dyDescent="0.25">
      <c r="Z22245"/>
    </row>
    <row r="22246" spans="26:26" x14ac:dyDescent="0.25">
      <c r="Z22246"/>
    </row>
    <row r="22247" spans="26:26" x14ac:dyDescent="0.25">
      <c r="Z22247"/>
    </row>
    <row r="22248" spans="26:26" x14ac:dyDescent="0.25">
      <c r="Z22248"/>
    </row>
    <row r="22249" spans="26:26" x14ac:dyDescent="0.25">
      <c r="Z22249"/>
    </row>
    <row r="22250" spans="26:26" x14ac:dyDescent="0.25">
      <c r="Z22250"/>
    </row>
    <row r="22251" spans="26:26" x14ac:dyDescent="0.25">
      <c r="Z22251"/>
    </row>
    <row r="22252" spans="26:26" x14ac:dyDescent="0.25">
      <c r="Z22252"/>
    </row>
    <row r="22253" spans="26:26" x14ac:dyDescent="0.25">
      <c r="Z22253"/>
    </row>
    <row r="22254" spans="26:26" x14ac:dyDescent="0.25">
      <c r="Z22254"/>
    </row>
    <row r="22255" spans="26:26" x14ac:dyDescent="0.25">
      <c r="Z22255"/>
    </row>
    <row r="22256" spans="26:26" x14ac:dyDescent="0.25">
      <c r="Z22256"/>
    </row>
    <row r="22257" spans="26:26" x14ac:dyDescent="0.25">
      <c r="Z22257"/>
    </row>
    <row r="22258" spans="26:26" x14ac:dyDescent="0.25">
      <c r="Z22258"/>
    </row>
    <row r="22259" spans="26:26" x14ac:dyDescent="0.25">
      <c r="Z22259"/>
    </row>
    <row r="22260" spans="26:26" x14ac:dyDescent="0.25">
      <c r="Z22260"/>
    </row>
    <row r="22261" spans="26:26" x14ac:dyDescent="0.25">
      <c r="Z22261"/>
    </row>
    <row r="22262" spans="26:26" x14ac:dyDescent="0.25">
      <c r="Z22262"/>
    </row>
    <row r="22263" spans="26:26" x14ac:dyDescent="0.25">
      <c r="Z22263"/>
    </row>
    <row r="22264" spans="26:26" x14ac:dyDescent="0.25">
      <c r="Z22264"/>
    </row>
    <row r="22265" spans="26:26" x14ac:dyDescent="0.25">
      <c r="Z22265"/>
    </row>
    <row r="22266" spans="26:26" x14ac:dyDescent="0.25">
      <c r="Z22266"/>
    </row>
    <row r="22267" spans="26:26" x14ac:dyDescent="0.25">
      <c r="Z22267"/>
    </row>
    <row r="22268" spans="26:26" x14ac:dyDescent="0.25">
      <c r="Z22268"/>
    </row>
    <row r="22269" spans="26:26" x14ac:dyDescent="0.25">
      <c r="Z22269"/>
    </row>
    <row r="22270" spans="26:26" x14ac:dyDescent="0.25">
      <c r="Z22270"/>
    </row>
    <row r="22271" spans="26:26" x14ac:dyDescent="0.25">
      <c r="Z22271"/>
    </row>
    <row r="22272" spans="26:26" x14ac:dyDescent="0.25">
      <c r="Z22272"/>
    </row>
    <row r="22273" spans="26:26" x14ac:dyDescent="0.25">
      <c r="Z22273"/>
    </row>
    <row r="22274" spans="26:26" x14ac:dyDescent="0.25">
      <c r="Z22274"/>
    </row>
    <row r="22275" spans="26:26" x14ac:dyDescent="0.25">
      <c r="Z22275"/>
    </row>
    <row r="22276" spans="26:26" x14ac:dyDescent="0.25">
      <c r="Z22276"/>
    </row>
    <row r="22277" spans="26:26" x14ac:dyDescent="0.25">
      <c r="Z22277"/>
    </row>
    <row r="22278" spans="26:26" x14ac:dyDescent="0.25">
      <c r="Z22278"/>
    </row>
    <row r="22279" spans="26:26" x14ac:dyDescent="0.25">
      <c r="Z22279"/>
    </row>
    <row r="22280" spans="26:26" x14ac:dyDescent="0.25">
      <c r="Z22280"/>
    </row>
    <row r="22281" spans="26:26" x14ac:dyDescent="0.25">
      <c r="Z22281"/>
    </row>
    <row r="22282" spans="26:26" x14ac:dyDescent="0.25">
      <c r="Z22282"/>
    </row>
    <row r="22283" spans="26:26" x14ac:dyDescent="0.25">
      <c r="Z22283"/>
    </row>
    <row r="22284" spans="26:26" x14ac:dyDescent="0.25">
      <c r="Z22284"/>
    </row>
    <row r="22285" spans="26:26" x14ac:dyDescent="0.25">
      <c r="Z22285"/>
    </row>
    <row r="22286" spans="26:26" x14ac:dyDescent="0.25">
      <c r="Z22286"/>
    </row>
    <row r="22287" spans="26:26" x14ac:dyDescent="0.25">
      <c r="Z22287"/>
    </row>
    <row r="22288" spans="26:26" x14ac:dyDescent="0.25">
      <c r="Z22288"/>
    </row>
    <row r="22289" spans="26:26" x14ac:dyDescent="0.25">
      <c r="Z22289"/>
    </row>
    <row r="22290" spans="26:26" x14ac:dyDescent="0.25">
      <c r="Z22290"/>
    </row>
    <row r="22291" spans="26:26" x14ac:dyDescent="0.25">
      <c r="Z22291"/>
    </row>
    <row r="22292" spans="26:26" x14ac:dyDescent="0.25">
      <c r="Z22292"/>
    </row>
    <row r="22293" spans="26:26" x14ac:dyDescent="0.25">
      <c r="Z22293"/>
    </row>
    <row r="22294" spans="26:26" x14ac:dyDescent="0.25">
      <c r="Z22294"/>
    </row>
    <row r="22295" spans="26:26" x14ac:dyDescent="0.25">
      <c r="Z22295"/>
    </row>
    <row r="22296" spans="26:26" x14ac:dyDescent="0.25">
      <c r="Z22296"/>
    </row>
    <row r="22297" spans="26:26" x14ac:dyDescent="0.25">
      <c r="Z22297"/>
    </row>
    <row r="22298" spans="26:26" x14ac:dyDescent="0.25">
      <c r="Z22298"/>
    </row>
    <row r="22299" spans="26:26" x14ac:dyDescent="0.25">
      <c r="Z22299"/>
    </row>
    <row r="22300" spans="26:26" x14ac:dyDescent="0.25">
      <c r="Z22300"/>
    </row>
    <row r="22301" spans="26:26" x14ac:dyDescent="0.25">
      <c r="Z22301"/>
    </row>
    <row r="22302" spans="26:26" x14ac:dyDescent="0.25">
      <c r="Z22302"/>
    </row>
    <row r="22303" spans="26:26" x14ac:dyDescent="0.25">
      <c r="Z22303"/>
    </row>
    <row r="22304" spans="26:26" x14ac:dyDescent="0.25">
      <c r="Z22304"/>
    </row>
    <row r="22305" spans="26:26" x14ac:dyDescent="0.25">
      <c r="Z22305"/>
    </row>
    <row r="22306" spans="26:26" x14ac:dyDescent="0.25">
      <c r="Z22306"/>
    </row>
    <row r="22307" spans="26:26" x14ac:dyDescent="0.25">
      <c r="Z22307"/>
    </row>
    <row r="22308" spans="26:26" x14ac:dyDescent="0.25">
      <c r="Z22308"/>
    </row>
    <row r="22309" spans="26:26" x14ac:dyDescent="0.25">
      <c r="Z22309"/>
    </row>
    <row r="22310" spans="26:26" x14ac:dyDescent="0.25">
      <c r="Z22310"/>
    </row>
    <row r="22311" spans="26:26" x14ac:dyDescent="0.25">
      <c r="Z22311"/>
    </row>
    <row r="22312" spans="26:26" x14ac:dyDescent="0.25">
      <c r="Z22312"/>
    </row>
    <row r="22313" spans="26:26" x14ac:dyDescent="0.25">
      <c r="Z22313"/>
    </row>
    <row r="22314" spans="26:26" x14ac:dyDescent="0.25">
      <c r="Z22314"/>
    </row>
    <row r="22315" spans="26:26" x14ac:dyDescent="0.25">
      <c r="Z22315"/>
    </row>
    <row r="22316" spans="26:26" x14ac:dyDescent="0.25">
      <c r="Z22316"/>
    </row>
    <row r="22317" spans="26:26" x14ac:dyDescent="0.25">
      <c r="Z22317"/>
    </row>
    <row r="22318" spans="26:26" x14ac:dyDescent="0.25">
      <c r="Z22318"/>
    </row>
    <row r="22319" spans="26:26" x14ac:dyDescent="0.25">
      <c r="Z22319"/>
    </row>
    <row r="22320" spans="26:26" x14ac:dyDescent="0.25">
      <c r="Z22320"/>
    </row>
    <row r="22321" spans="26:26" x14ac:dyDescent="0.25">
      <c r="Z22321"/>
    </row>
    <row r="22322" spans="26:26" x14ac:dyDescent="0.25">
      <c r="Z22322"/>
    </row>
    <row r="22323" spans="26:26" x14ac:dyDescent="0.25">
      <c r="Z22323"/>
    </row>
    <row r="22324" spans="26:26" x14ac:dyDescent="0.25">
      <c r="Z22324"/>
    </row>
    <row r="22325" spans="26:26" x14ac:dyDescent="0.25">
      <c r="Z22325"/>
    </row>
    <row r="22326" spans="26:26" x14ac:dyDescent="0.25">
      <c r="Z22326"/>
    </row>
    <row r="22327" spans="26:26" x14ac:dyDescent="0.25">
      <c r="Z22327"/>
    </row>
    <row r="22328" spans="26:26" x14ac:dyDescent="0.25">
      <c r="Z22328"/>
    </row>
    <row r="22329" spans="26:26" x14ac:dyDescent="0.25">
      <c r="Z22329"/>
    </row>
    <row r="22330" spans="26:26" x14ac:dyDescent="0.25">
      <c r="Z22330"/>
    </row>
    <row r="22331" spans="26:26" x14ac:dyDescent="0.25">
      <c r="Z22331"/>
    </row>
    <row r="22332" spans="26:26" x14ac:dyDescent="0.25">
      <c r="Z22332"/>
    </row>
    <row r="22333" spans="26:26" x14ac:dyDescent="0.25">
      <c r="Z22333"/>
    </row>
    <row r="22334" spans="26:26" x14ac:dyDescent="0.25">
      <c r="Z22334"/>
    </row>
    <row r="22335" spans="26:26" x14ac:dyDescent="0.25">
      <c r="Z22335"/>
    </row>
    <row r="22336" spans="26:26" x14ac:dyDescent="0.25">
      <c r="Z22336"/>
    </row>
    <row r="22337" spans="26:26" x14ac:dyDescent="0.25">
      <c r="Z22337"/>
    </row>
    <row r="22338" spans="26:26" x14ac:dyDescent="0.25">
      <c r="Z22338"/>
    </row>
    <row r="22339" spans="26:26" x14ac:dyDescent="0.25">
      <c r="Z22339"/>
    </row>
    <row r="22340" spans="26:26" x14ac:dyDescent="0.25">
      <c r="Z22340"/>
    </row>
    <row r="22341" spans="26:26" x14ac:dyDescent="0.25">
      <c r="Z22341"/>
    </row>
    <row r="22342" spans="26:26" x14ac:dyDescent="0.25">
      <c r="Z22342"/>
    </row>
    <row r="22343" spans="26:26" x14ac:dyDescent="0.25">
      <c r="Z22343"/>
    </row>
    <row r="22344" spans="26:26" x14ac:dyDescent="0.25">
      <c r="Z22344"/>
    </row>
    <row r="22345" spans="26:26" x14ac:dyDescent="0.25">
      <c r="Z22345"/>
    </row>
    <row r="22346" spans="26:26" x14ac:dyDescent="0.25">
      <c r="Z22346"/>
    </row>
    <row r="22347" spans="26:26" x14ac:dyDescent="0.25">
      <c r="Z22347"/>
    </row>
    <row r="22348" spans="26:26" x14ac:dyDescent="0.25">
      <c r="Z22348"/>
    </row>
    <row r="22349" spans="26:26" x14ac:dyDescent="0.25">
      <c r="Z22349"/>
    </row>
    <row r="22350" spans="26:26" x14ac:dyDescent="0.25">
      <c r="Z22350"/>
    </row>
    <row r="22351" spans="26:26" x14ac:dyDescent="0.25">
      <c r="Z22351"/>
    </row>
    <row r="22352" spans="26:26" x14ac:dyDescent="0.25">
      <c r="Z22352"/>
    </row>
    <row r="22353" spans="26:26" x14ac:dyDescent="0.25">
      <c r="Z22353"/>
    </row>
    <row r="22354" spans="26:26" x14ac:dyDescent="0.25">
      <c r="Z22354"/>
    </row>
    <row r="22355" spans="26:26" x14ac:dyDescent="0.25">
      <c r="Z22355"/>
    </row>
    <row r="22356" spans="26:26" x14ac:dyDescent="0.25">
      <c r="Z22356"/>
    </row>
    <row r="22357" spans="26:26" x14ac:dyDescent="0.25">
      <c r="Z22357"/>
    </row>
    <row r="22358" spans="26:26" x14ac:dyDescent="0.25">
      <c r="Z22358"/>
    </row>
    <row r="22359" spans="26:26" x14ac:dyDescent="0.25">
      <c r="Z22359"/>
    </row>
    <row r="22360" spans="26:26" x14ac:dyDescent="0.25">
      <c r="Z22360"/>
    </row>
    <row r="22361" spans="26:26" x14ac:dyDescent="0.25">
      <c r="Z22361"/>
    </row>
    <row r="22362" spans="26:26" x14ac:dyDescent="0.25">
      <c r="Z22362"/>
    </row>
    <row r="22363" spans="26:26" x14ac:dyDescent="0.25">
      <c r="Z22363"/>
    </row>
    <row r="22364" spans="26:26" x14ac:dyDescent="0.25">
      <c r="Z22364"/>
    </row>
    <row r="22365" spans="26:26" x14ac:dyDescent="0.25">
      <c r="Z22365"/>
    </row>
    <row r="22366" spans="26:26" x14ac:dyDescent="0.25">
      <c r="Z22366"/>
    </row>
    <row r="22367" spans="26:26" x14ac:dyDescent="0.25">
      <c r="Z22367"/>
    </row>
    <row r="22368" spans="26:26" x14ac:dyDescent="0.25">
      <c r="Z22368"/>
    </row>
    <row r="22369" spans="26:26" x14ac:dyDescent="0.25">
      <c r="Z22369"/>
    </row>
    <row r="22370" spans="26:26" x14ac:dyDescent="0.25">
      <c r="Z22370"/>
    </row>
    <row r="22371" spans="26:26" x14ac:dyDescent="0.25">
      <c r="Z22371"/>
    </row>
    <row r="22372" spans="26:26" x14ac:dyDescent="0.25">
      <c r="Z22372"/>
    </row>
    <row r="22373" spans="26:26" x14ac:dyDescent="0.25">
      <c r="Z22373"/>
    </row>
    <row r="22374" spans="26:26" x14ac:dyDescent="0.25">
      <c r="Z22374"/>
    </row>
    <row r="22375" spans="26:26" x14ac:dyDescent="0.25">
      <c r="Z22375"/>
    </row>
    <row r="22376" spans="26:26" x14ac:dyDescent="0.25">
      <c r="Z22376"/>
    </row>
    <row r="22377" spans="26:26" x14ac:dyDescent="0.25">
      <c r="Z22377"/>
    </row>
    <row r="22378" spans="26:26" x14ac:dyDescent="0.25">
      <c r="Z22378"/>
    </row>
    <row r="22379" spans="26:26" x14ac:dyDescent="0.25">
      <c r="Z22379"/>
    </row>
    <row r="22380" spans="26:26" x14ac:dyDescent="0.25">
      <c r="Z22380"/>
    </row>
    <row r="22381" spans="26:26" x14ac:dyDescent="0.25">
      <c r="Z22381"/>
    </row>
    <row r="22382" spans="26:26" x14ac:dyDescent="0.25">
      <c r="Z22382"/>
    </row>
    <row r="22383" spans="26:26" x14ac:dyDescent="0.25">
      <c r="Z22383"/>
    </row>
    <row r="22384" spans="26:26" x14ac:dyDescent="0.25">
      <c r="Z22384"/>
    </row>
    <row r="22385" spans="26:26" x14ac:dyDescent="0.25">
      <c r="Z22385"/>
    </row>
    <row r="22386" spans="26:26" x14ac:dyDescent="0.25">
      <c r="Z22386"/>
    </row>
    <row r="22387" spans="26:26" x14ac:dyDescent="0.25">
      <c r="Z22387"/>
    </row>
    <row r="22388" spans="26:26" x14ac:dyDescent="0.25">
      <c r="Z22388"/>
    </row>
    <row r="22389" spans="26:26" x14ac:dyDescent="0.25">
      <c r="Z22389"/>
    </row>
    <row r="22390" spans="26:26" x14ac:dyDescent="0.25">
      <c r="Z22390"/>
    </row>
    <row r="22391" spans="26:26" x14ac:dyDescent="0.25">
      <c r="Z22391"/>
    </row>
    <row r="22392" spans="26:26" x14ac:dyDescent="0.25">
      <c r="Z22392"/>
    </row>
    <row r="22393" spans="26:26" x14ac:dyDescent="0.25">
      <c r="Z22393"/>
    </row>
    <row r="22394" spans="26:26" x14ac:dyDescent="0.25">
      <c r="Z22394"/>
    </row>
    <row r="22395" spans="26:26" x14ac:dyDescent="0.25">
      <c r="Z22395"/>
    </row>
    <row r="22396" spans="26:26" x14ac:dyDescent="0.25">
      <c r="Z22396"/>
    </row>
    <row r="22397" spans="26:26" x14ac:dyDescent="0.25">
      <c r="Z22397"/>
    </row>
    <row r="22398" spans="26:26" x14ac:dyDescent="0.25">
      <c r="Z22398"/>
    </row>
    <row r="22399" spans="26:26" x14ac:dyDescent="0.25">
      <c r="Z22399"/>
    </row>
    <row r="22400" spans="26:26" x14ac:dyDescent="0.25">
      <c r="Z22400"/>
    </row>
    <row r="22401" spans="26:26" x14ac:dyDescent="0.25">
      <c r="Z22401"/>
    </row>
    <row r="22402" spans="26:26" x14ac:dyDescent="0.25">
      <c r="Z22402"/>
    </row>
    <row r="22403" spans="26:26" x14ac:dyDescent="0.25">
      <c r="Z22403"/>
    </row>
    <row r="22404" spans="26:26" x14ac:dyDescent="0.25">
      <c r="Z22404"/>
    </row>
    <row r="22405" spans="26:26" x14ac:dyDescent="0.25">
      <c r="Z22405"/>
    </row>
    <row r="22406" spans="26:26" x14ac:dyDescent="0.25">
      <c r="Z22406"/>
    </row>
    <row r="22407" spans="26:26" x14ac:dyDescent="0.25">
      <c r="Z22407"/>
    </row>
    <row r="22408" spans="26:26" x14ac:dyDescent="0.25">
      <c r="Z22408"/>
    </row>
    <row r="22409" spans="26:26" x14ac:dyDescent="0.25">
      <c r="Z22409"/>
    </row>
    <row r="22410" spans="26:26" x14ac:dyDescent="0.25">
      <c r="Z22410"/>
    </row>
    <row r="22411" spans="26:26" x14ac:dyDescent="0.25">
      <c r="Z22411"/>
    </row>
    <row r="22412" spans="26:26" x14ac:dyDescent="0.25">
      <c r="Z22412"/>
    </row>
    <row r="22413" spans="26:26" x14ac:dyDescent="0.25">
      <c r="Z22413"/>
    </row>
    <row r="22414" spans="26:26" x14ac:dyDescent="0.25">
      <c r="Z22414"/>
    </row>
    <row r="22415" spans="26:26" x14ac:dyDescent="0.25">
      <c r="Z22415"/>
    </row>
    <row r="22416" spans="26:26" x14ac:dyDescent="0.25">
      <c r="Z22416"/>
    </row>
    <row r="22417" spans="26:26" x14ac:dyDescent="0.25">
      <c r="Z22417"/>
    </row>
    <row r="22418" spans="26:26" x14ac:dyDescent="0.25">
      <c r="Z22418"/>
    </row>
    <row r="22419" spans="26:26" x14ac:dyDescent="0.25">
      <c r="Z22419"/>
    </row>
    <row r="22420" spans="26:26" x14ac:dyDescent="0.25">
      <c r="Z22420"/>
    </row>
    <row r="22421" spans="26:26" x14ac:dyDescent="0.25">
      <c r="Z22421"/>
    </row>
    <row r="22422" spans="26:26" x14ac:dyDescent="0.25">
      <c r="Z22422"/>
    </row>
    <row r="22423" spans="26:26" x14ac:dyDescent="0.25">
      <c r="Z22423"/>
    </row>
    <row r="22424" spans="26:26" x14ac:dyDescent="0.25">
      <c r="Z22424"/>
    </row>
    <row r="22425" spans="26:26" x14ac:dyDescent="0.25">
      <c r="Z22425"/>
    </row>
    <row r="22426" spans="26:26" x14ac:dyDescent="0.25">
      <c r="Z22426"/>
    </row>
    <row r="22427" spans="26:26" x14ac:dyDescent="0.25">
      <c r="Z22427"/>
    </row>
    <row r="22428" spans="26:26" x14ac:dyDescent="0.25">
      <c r="Z22428"/>
    </row>
    <row r="22429" spans="26:26" x14ac:dyDescent="0.25">
      <c r="Z22429"/>
    </row>
    <row r="22430" spans="26:26" x14ac:dyDescent="0.25">
      <c r="Z22430"/>
    </row>
    <row r="22431" spans="26:26" x14ac:dyDescent="0.25">
      <c r="Z22431"/>
    </row>
    <row r="22432" spans="26:26" x14ac:dyDescent="0.25">
      <c r="Z22432"/>
    </row>
    <row r="22433" spans="26:26" x14ac:dyDescent="0.25">
      <c r="Z22433"/>
    </row>
    <row r="22434" spans="26:26" x14ac:dyDescent="0.25">
      <c r="Z22434"/>
    </row>
    <row r="22435" spans="26:26" x14ac:dyDescent="0.25">
      <c r="Z22435"/>
    </row>
    <row r="22436" spans="26:26" x14ac:dyDescent="0.25">
      <c r="Z22436"/>
    </row>
    <row r="22437" spans="26:26" x14ac:dyDescent="0.25">
      <c r="Z22437"/>
    </row>
    <row r="22438" spans="26:26" x14ac:dyDescent="0.25">
      <c r="Z22438"/>
    </row>
    <row r="22439" spans="26:26" x14ac:dyDescent="0.25">
      <c r="Z22439"/>
    </row>
    <row r="22440" spans="26:26" x14ac:dyDescent="0.25">
      <c r="Z22440"/>
    </row>
    <row r="22441" spans="26:26" x14ac:dyDescent="0.25">
      <c r="Z22441"/>
    </row>
    <row r="22442" spans="26:26" x14ac:dyDescent="0.25">
      <c r="Z22442"/>
    </row>
    <row r="22443" spans="26:26" x14ac:dyDescent="0.25">
      <c r="Z22443"/>
    </row>
    <row r="22444" spans="26:26" x14ac:dyDescent="0.25">
      <c r="Z22444"/>
    </row>
    <row r="22445" spans="26:26" x14ac:dyDescent="0.25">
      <c r="Z22445"/>
    </row>
    <row r="22446" spans="26:26" x14ac:dyDescent="0.25">
      <c r="Z22446"/>
    </row>
    <row r="22447" spans="26:26" x14ac:dyDescent="0.25">
      <c r="Z22447"/>
    </row>
    <row r="22448" spans="26:26" x14ac:dyDescent="0.25">
      <c r="Z22448"/>
    </row>
    <row r="22449" spans="26:26" x14ac:dyDescent="0.25">
      <c r="Z22449"/>
    </row>
    <row r="22450" spans="26:26" x14ac:dyDescent="0.25">
      <c r="Z22450"/>
    </row>
    <row r="22451" spans="26:26" x14ac:dyDescent="0.25">
      <c r="Z22451"/>
    </row>
    <row r="22452" spans="26:26" x14ac:dyDescent="0.25">
      <c r="Z22452"/>
    </row>
    <row r="22453" spans="26:26" x14ac:dyDescent="0.25">
      <c r="Z22453"/>
    </row>
    <row r="22454" spans="26:26" x14ac:dyDescent="0.25">
      <c r="Z22454"/>
    </row>
    <row r="22455" spans="26:26" x14ac:dyDescent="0.25">
      <c r="Z22455"/>
    </row>
    <row r="22456" spans="26:26" x14ac:dyDescent="0.25">
      <c r="Z22456"/>
    </row>
    <row r="22457" spans="26:26" x14ac:dyDescent="0.25">
      <c r="Z22457"/>
    </row>
    <row r="22458" spans="26:26" x14ac:dyDescent="0.25">
      <c r="Z22458"/>
    </row>
    <row r="22459" spans="26:26" x14ac:dyDescent="0.25">
      <c r="Z22459"/>
    </row>
    <row r="22460" spans="26:26" x14ac:dyDescent="0.25">
      <c r="Z22460"/>
    </row>
    <row r="22461" spans="26:26" x14ac:dyDescent="0.25">
      <c r="Z22461"/>
    </row>
    <row r="22462" spans="26:26" x14ac:dyDescent="0.25">
      <c r="Z22462"/>
    </row>
    <row r="22463" spans="26:26" x14ac:dyDescent="0.25">
      <c r="Z22463"/>
    </row>
    <row r="22464" spans="26:26" x14ac:dyDescent="0.25">
      <c r="Z22464"/>
    </row>
    <row r="22465" spans="26:26" x14ac:dyDescent="0.25">
      <c r="Z22465"/>
    </row>
    <row r="22466" spans="26:26" x14ac:dyDescent="0.25">
      <c r="Z22466"/>
    </row>
    <row r="22467" spans="26:26" x14ac:dyDescent="0.25">
      <c r="Z22467"/>
    </row>
    <row r="22468" spans="26:26" x14ac:dyDescent="0.25">
      <c r="Z22468"/>
    </row>
    <row r="22469" spans="26:26" x14ac:dyDescent="0.25">
      <c r="Z22469"/>
    </row>
    <row r="22470" spans="26:26" x14ac:dyDescent="0.25">
      <c r="Z22470"/>
    </row>
    <row r="22471" spans="26:26" x14ac:dyDescent="0.25">
      <c r="Z22471"/>
    </row>
    <row r="22472" spans="26:26" x14ac:dyDescent="0.25">
      <c r="Z22472"/>
    </row>
    <row r="22473" spans="26:26" x14ac:dyDescent="0.25">
      <c r="Z22473"/>
    </row>
    <row r="22474" spans="26:26" x14ac:dyDescent="0.25">
      <c r="Z22474"/>
    </row>
    <row r="22475" spans="26:26" x14ac:dyDescent="0.25">
      <c r="Z22475"/>
    </row>
    <row r="22476" spans="26:26" x14ac:dyDescent="0.25">
      <c r="Z22476"/>
    </row>
    <row r="22477" spans="26:26" x14ac:dyDescent="0.25">
      <c r="Z22477"/>
    </row>
    <row r="22478" spans="26:26" x14ac:dyDescent="0.25">
      <c r="Z22478"/>
    </row>
    <row r="22479" spans="26:26" x14ac:dyDescent="0.25">
      <c r="Z22479"/>
    </row>
    <row r="22480" spans="26:26" x14ac:dyDescent="0.25">
      <c r="Z22480"/>
    </row>
    <row r="22481" spans="26:26" x14ac:dyDescent="0.25">
      <c r="Z22481"/>
    </row>
    <row r="22482" spans="26:26" x14ac:dyDescent="0.25">
      <c r="Z22482"/>
    </row>
    <row r="22483" spans="26:26" x14ac:dyDescent="0.25">
      <c r="Z22483"/>
    </row>
    <row r="22484" spans="26:26" x14ac:dyDescent="0.25">
      <c r="Z22484"/>
    </row>
    <row r="22485" spans="26:26" x14ac:dyDescent="0.25">
      <c r="Z22485"/>
    </row>
    <row r="22486" spans="26:26" x14ac:dyDescent="0.25">
      <c r="Z22486"/>
    </row>
    <row r="22487" spans="26:26" x14ac:dyDescent="0.25">
      <c r="Z22487"/>
    </row>
    <row r="22488" spans="26:26" x14ac:dyDescent="0.25">
      <c r="Z22488"/>
    </row>
    <row r="22489" spans="26:26" x14ac:dyDescent="0.25">
      <c r="Z22489"/>
    </row>
    <row r="22490" spans="26:26" x14ac:dyDescent="0.25">
      <c r="Z22490"/>
    </row>
    <row r="22491" spans="26:26" x14ac:dyDescent="0.25">
      <c r="Z22491"/>
    </row>
    <row r="22492" spans="26:26" x14ac:dyDescent="0.25">
      <c r="Z22492"/>
    </row>
    <row r="22493" spans="26:26" x14ac:dyDescent="0.25">
      <c r="Z22493"/>
    </row>
    <row r="22494" spans="26:26" x14ac:dyDescent="0.25">
      <c r="Z22494"/>
    </row>
    <row r="22495" spans="26:26" x14ac:dyDescent="0.25">
      <c r="Z22495"/>
    </row>
    <row r="22496" spans="26:26" x14ac:dyDescent="0.25">
      <c r="Z22496"/>
    </row>
    <row r="22497" spans="26:26" x14ac:dyDescent="0.25">
      <c r="Z22497"/>
    </row>
    <row r="22498" spans="26:26" x14ac:dyDescent="0.25">
      <c r="Z22498"/>
    </row>
    <row r="22499" spans="26:26" x14ac:dyDescent="0.25">
      <c r="Z22499"/>
    </row>
    <row r="22500" spans="26:26" x14ac:dyDescent="0.25">
      <c r="Z22500"/>
    </row>
    <row r="22501" spans="26:26" x14ac:dyDescent="0.25">
      <c r="Z22501"/>
    </row>
    <row r="22502" spans="26:26" x14ac:dyDescent="0.25">
      <c r="Z22502"/>
    </row>
    <row r="22503" spans="26:26" x14ac:dyDescent="0.25">
      <c r="Z22503"/>
    </row>
    <row r="22504" spans="26:26" x14ac:dyDescent="0.25">
      <c r="Z22504"/>
    </row>
    <row r="22505" spans="26:26" x14ac:dyDescent="0.25">
      <c r="Z22505"/>
    </row>
    <row r="22506" spans="26:26" x14ac:dyDescent="0.25">
      <c r="Z22506"/>
    </row>
    <row r="22507" spans="26:26" x14ac:dyDescent="0.25">
      <c r="Z22507"/>
    </row>
    <row r="22508" spans="26:26" x14ac:dyDescent="0.25">
      <c r="Z22508"/>
    </row>
    <row r="22509" spans="26:26" x14ac:dyDescent="0.25">
      <c r="Z22509"/>
    </row>
    <row r="22510" spans="26:26" x14ac:dyDescent="0.25">
      <c r="Z22510"/>
    </row>
    <row r="22511" spans="26:26" x14ac:dyDescent="0.25">
      <c r="Z22511"/>
    </row>
    <row r="22512" spans="26:26" x14ac:dyDescent="0.25">
      <c r="Z22512"/>
    </row>
    <row r="22513" spans="26:26" x14ac:dyDescent="0.25">
      <c r="Z22513"/>
    </row>
    <row r="22514" spans="26:26" x14ac:dyDescent="0.25">
      <c r="Z22514"/>
    </row>
    <row r="22515" spans="26:26" x14ac:dyDescent="0.25">
      <c r="Z22515"/>
    </row>
    <row r="22516" spans="26:26" x14ac:dyDescent="0.25">
      <c r="Z22516"/>
    </row>
    <row r="22517" spans="26:26" x14ac:dyDescent="0.25">
      <c r="Z22517"/>
    </row>
    <row r="22518" spans="26:26" x14ac:dyDescent="0.25">
      <c r="Z22518"/>
    </row>
    <row r="22519" spans="26:26" x14ac:dyDescent="0.25">
      <c r="Z22519"/>
    </row>
    <row r="22520" spans="26:26" x14ac:dyDescent="0.25">
      <c r="Z22520"/>
    </row>
    <row r="22521" spans="26:26" x14ac:dyDescent="0.25">
      <c r="Z22521"/>
    </row>
    <row r="22522" spans="26:26" x14ac:dyDescent="0.25">
      <c r="Z22522"/>
    </row>
    <row r="22523" spans="26:26" x14ac:dyDescent="0.25">
      <c r="Z22523"/>
    </row>
    <row r="22524" spans="26:26" x14ac:dyDescent="0.25">
      <c r="Z22524"/>
    </row>
    <row r="22525" spans="26:26" x14ac:dyDescent="0.25">
      <c r="Z22525"/>
    </row>
    <row r="22526" spans="26:26" x14ac:dyDescent="0.25">
      <c r="Z22526"/>
    </row>
    <row r="22527" spans="26:26" x14ac:dyDescent="0.25">
      <c r="Z22527"/>
    </row>
    <row r="22528" spans="26:26" x14ac:dyDescent="0.25">
      <c r="Z22528"/>
    </row>
    <row r="22529" spans="26:26" x14ac:dyDescent="0.25">
      <c r="Z22529"/>
    </row>
    <row r="22530" spans="26:26" x14ac:dyDescent="0.25">
      <c r="Z22530"/>
    </row>
    <row r="22531" spans="26:26" x14ac:dyDescent="0.25">
      <c r="Z22531"/>
    </row>
    <row r="22532" spans="26:26" x14ac:dyDescent="0.25">
      <c r="Z22532"/>
    </row>
    <row r="22533" spans="26:26" x14ac:dyDescent="0.25">
      <c r="Z22533"/>
    </row>
    <row r="22534" spans="26:26" x14ac:dyDescent="0.25">
      <c r="Z22534"/>
    </row>
    <row r="22535" spans="26:26" x14ac:dyDescent="0.25">
      <c r="Z22535"/>
    </row>
    <row r="22536" spans="26:26" x14ac:dyDescent="0.25">
      <c r="Z22536"/>
    </row>
    <row r="22537" spans="26:26" x14ac:dyDescent="0.25">
      <c r="Z22537"/>
    </row>
    <row r="22538" spans="26:26" x14ac:dyDescent="0.25">
      <c r="Z22538"/>
    </row>
    <row r="22539" spans="26:26" x14ac:dyDescent="0.25">
      <c r="Z22539"/>
    </row>
    <row r="22540" spans="26:26" x14ac:dyDescent="0.25">
      <c r="Z22540"/>
    </row>
    <row r="22541" spans="26:26" x14ac:dyDescent="0.25">
      <c r="Z22541"/>
    </row>
    <row r="22542" spans="26:26" x14ac:dyDescent="0.25">
      <c r="Z22542"/>
    </row>
    <row r="22543" spans="26:26" x14ac:dyDescent="0.25">
      <c r="Z22543"/>
    </row>
    <row r="22544" spans="26:26" x14ac:dyDescent="0.25">
      <c r="Z22544"/>
    </row>
    <row r="22545" spans="26:26" x14ac:dyDescent="0.25">
      <c r="Z22545"/>
    </row>
    <row r="22546" spans="26:26" x14ac:dyDescent="0.25">
      <c r="Z22546"/>
    </row>
    <row r="22547" spans="26:26" x14ac:dyDescent="0.25">
      <c r="Z22547"/>
    </row>
    <row r="22548" spans="26:26" x14ac:dyDescent="0.25">
      <c r="Z22548"/>
    </row>
    <row r="22549" spans="26:26" x14ac:dyDescent="0.25">
      <c r="Z22549"/>
    </row>
    <row r="22550" spans="26:26" x14ac:dyDescent="0.25">
      <c r="Z22550"/>
    </row>
    <row r="22551" spans="26:26" x14ac:dyDescent="0.25">
      <c r="Z22551"/>
    </row>
    <row r="22552" spans="26:26" x14ac:dyDescent="0.25">
      <c r="Z22552"/>
    </row>
    <row r="22553" spans="26:26" x14ac:dyDescent="0.25">
      <c r="Z22553"/>
    </row>
    <row r="22554" spans="26:26" x14ac:dyDescent="0.25">
      <c r="Z22554"/>
    </row>
    <row r="22555" spans="26:26" x14ac:dyDescent="0.25">
      <c r="Z22555"/>
    </row>
    <row r="22556" spans="26:26" x14ac:dyDescent="0.25">
      <c r="Z22556"/>
    </row>
    <row r="22557" spans="26:26" x14ac:dyDescent="0.25">
      <c r="Z22557"/>
    </row>
    <row r="22558" spans="26:26" x14ac:dyDescent="0.25">
      <c r="Z22558"/>
    </row>
    <row r="22559" spans="26:26" x14ac:dyDescent="0.25">
      <c r="Z22559"/>
    </row>
    <row r="22560" spans="26:26" x14ac:dyDescent="0.25">
      <c r="Z22560"/>
    </row>
    <row r="22561" spans="26:26" x14ac:dyDescent="0.25">
      <c r="Z22561"/>
    </row>
    <row r="22562" spans="26:26" x14ac:dyDescent="0.25">
      <c r="Z22562"/>
    </row>
    <row r="22563" spans="26:26" x14ac:dyDescent="0.25">
      <c r="Z22563"/>
    </row>
    <row r="22564" spans="26:26" x14ac:dyDescent="0.25">
      <c r="Z22564"/>
    </row>
    <row r="22565" spans="26:26" x14ac:dyDescent="0.25">
      <c r="Z22565"/>
    </row>
    <row r="22566" spans="26:26" x14ac:dyDescent="0.25">
      <c r="Z22566"/>
    </row>
    <row r="22567" spans="26:26" x14ac:dyDescent="0.25">
      <c r="Z22567"/>
    </row>
    <row r="22568" spans="26:26" x14ac:dyDescent="0.25">
      <c r="Z22568"/>
    </row>
    <row r="22569" spans="26:26" x14ac:dyDescent="0.25">
      <c r="Z22569"/>
    </row>
    <row r="22570" spans="26:26" x14ac:dyDescent="0.25">
      <c r="Z22570"/>
    </row>
    <row r="22571" spans="26:26" x14ac:dyDescent="0.25">
      <c r="Z22571"/>
    </row>
    <row r="22572" spans="26:26" x14ac:dyDescent="0.25">
      <c r="Z22572"/>
    </row>
    <row r="22573" spans="26:26" x14ac:dyDescent="0.25">
      <c r="Z22573"/>
    </row>
    <row r="22574" spans="26:26" x14ac:dyDescent="0.25">
      <c r="Z22574"/>
    </row>
    <row r="22575" spans="26:26" x14ac:dyDescent="0.25">
      <c r="Z22575"/>
    </row>
    <row r="22576" spans="26:26" x14ac:dyDescent="0.25">
      <c r="Z22576"/>
    </row>
    <row r="22577" spans="26:26" x14ac:dyDescent="0.25">
      <c r="Z22577"/>
    </row>
    <row r="22578" spans="26:26" x14ac:dyDescent="0.25">
      <c r="Z22578"/>
    </row>
    <row r="22579" spans="26:26" x14ac:dyDescent="0.25">
      <c r="Z22579"/>
    </row>
    <row r="22580" spans="26:26" x14ac:dyDescent="0.25">
      <c r="Z22580"/>
    </row>
    <row r="22581" spans="26:26" x14ac:dyDescent="0.25">
      <c r="Z22581"/>
    </row>
    <row r="22582" spans="26:26" x14ac:dyDescent="0.25">
      <c r="Z22582"/>
    </row>
    <row r="22583" spans="26:26" x14ac:dyDescent="0.25">
      <c r="Z22583"/>
    </row>
    <row r="22584" spans="26:26" x14ac:dyDescent="0.25">
      <c r="Z22584"/>
    </row>
    <row r="22585" spans="26:26" x14ac:dyDescent="0.25">
      <c r="Z22585"/>
    </row>
    <row r="22586" spans="26:26" x14ac:dyDescent="0.25">
      <c r="Z22586"/>
    </row>
    <row r="22587" spans="26:26" x14ac:dyDescent="0.25">
      <c r="Z22587"/>
    </row>
    <row r="22588" spans="26:26" x14ac:dyDescent="0.25">
      <c r="Z22588"/>
    </row>
    <row r="22589" spans="26:26" x14ac:dyDescent="0.25">
      <c r="Z22589"/>
    </row>
    <row r="22590" spans="26:26" x14ac:dyDescent="0.25">
      <c r="Z22590"/>
    </row>
    <row r="22591" spans="26:26" x14ac:dyDescent="0.25">
      <c r="Z22591"/>
    </row>
    <row r="22592" spans="26:26" x14ac:dyDescent="0.25">
      <c r="Z22592"/>
    </row>
    <row r="22593" spans="26:26" x14ac:dyDescent="0.25">
      <c r="Z22593"/>
    </row>
    <row r="22594" spans="26:26" x14ac:dyDescent="0.25">
      <c r="Z22594"/>
    </row>
    <row r="22595" spans="26:26" x14ac:dyDescent="0.25">
      <c r="Z22595"/>
    </row>
    <row r="22596" spans="26:26" x14ac:dyDescent="0.25">
      <c r="Z22596"/>
    </row>
    <row r="22597" spans="26:26" x14ac:dyDescent="0.25">
      <c r="Z22597"/>
    </row>
    <row r="22598" spans="26:26" x14ac:dyDescent="0.25">
      <c r="Z22598"/>
    </row>
    <row r="22599" spans="26:26" x14ac:dyDescent="0.25">
      <c r="Z22599"/>
    </row>
    <row r="22600" spans="26:26" x14ac:dyDescent="0.25">
      <c r="Z22600"/>
    </row>
    <row r="22601" spans="26:26" x14ac:dyDescent="0.25">
      <c r="Z22601"/>
    </row>
    <row r="22602" spans="26:26" x14ac:dyDescent="0.25">
      <c r="Z22602"/>
    </row>
    <row r="22603" spans="26:26" x14ac:dyDescent="0.25">
      <c r="Z22603"/>
    </row>
    <row r="22604" spans="26:26" x14ac:dyDescent="0.25">
      <c r="Z22604"/>
    </row>
    <row r="22605" spans="26:26" x14ac:dyDescent="0.25">
      <c r="Z22605"/>
    </row>
    <row r="22606" spans="26:26" x14ac:dyDescent="0.25">
      <c r="Z22606"/>
    </row>
    <row r="22607" spans="26:26" x14ac:dyDescent="0.25">
      <c r="Z22607"/>
    </row>
    <row r="22608" spans="26:26" x14ac:dyDescent="0.25">
      <c r="Z22608"/>
    </row>
    <row r="22609" spans="26:26" x14ac:dyDescent="0.25">
      <c r="Z22609"/>
    </row>
    <row r="22610" spans="26:26" x14ac:dyDescent="0.25">
      <c r="Z22610"/>
    </row>
    <row r="22611" spans="26:26" x14ac:dyDescent="0.25">
      <c r="Z22611"/>
    </row>
    <row r="22612" spans="26:26" x14ac:dyDescent="0.25">
      <c r="Z22612"/>
    </row>
    <row r="22613" spans="26:26" x14ac:dyDescent="0.25">
      <c r="Z22613"/>
    </row>
    <row r="22614" spans="26:26" x14ac:dyDescent="0.25">
      <c r="Z22614"/>
    </row>
    <row r="22615" spans="26:26" x14ac:dyDescent="0.25">
      <c r="Z22615"/>
    </row>
    <row r="22616" spans="26:26" x14ac:dyDescent="0.25">
      <c r="Z22616"/>
    </row>
    <row r="22617" spans="26:26" x14ac:dyDescent="0.25">
      <c r="Z22617"/>
    </row>
    <row r="22618" spans="26:26" x14ac:dyDescent="0.25">
      <c r="Z22618"/>
    </row>
    <row r="22619" spans="26:26" x14ac:dyDescent="0.25">
      <c r="Z22619"/>
    </row>
    <row r="22620" spans="26:26" x14ac:dyDescent="0.25">
      <c r="Z22620"/>
    </row>
    <row r="22621" spans="26:26" x14ac:dyDescent="0.25">
      <c r="Z22621"/>
    </row>
    <row r="22622" spans="26:26" x14ac:dyDescent="0.25">
      <c r="Z22622"/>
    </row>
    <row r="22623" spans="26:26" x14ac:dyDescent="0.25">
      <c r="Z22623"/>
    </row>
    <row r="22624" spans="26:26" x14ac:dyDescent="0.25">
      <c r="Z22624"/>
    </row>
    <row r="22625" spans="26:26" x14ac:dyDescent="0.25">
      <c r="Z22625"/>
    </row>
    <row r="22626" spans="26:26" x14ac:dyDescent="0.25">
      <c r="Z22626"/>
    </row>
    <row r="22627" spans="26:26" x14ac:dyDescent="0.25">
      <c r="Z22627"/>
    </row>
    <row r="22628" spans="26:26" x14ac:dyDescent="0.25">
      <c r="Z22628"/>
    </row>
    <row r="22629" spans="26:26" x14ac:dyDescent="0.25">
      <c r="Z22629"/>
    </row>
    <row r="22630" spans="26:26" x14ac:dyDescent="0.25">
      <c r="Z22630"/>
    </row>
    <row r="22631" spans="26:26" x14ac:dyDescent="0.25">
      <c r="Z22631"/>
    </row>
    <row r="22632" spans="26:26" x14ac:dyDescent="0.25">
      <c r="Z22632"/>
    </row>
    <row r="22633" spans="26:26" x14ac:dyDescent="0.25">
      <c r="Z22633"/>
    </row>
    <row r="22634" spans="26:26" x14ac:dyDescent="0.25">
      <c r="Z22634"/>
    </row>
    <row r="22635" spans="26:26" x14ac:dyDescent="0.25">
      <c r="Z22635"/>
    </row>
    <row r="22636" spans="26:26" x14ac:dyDescent="0.25">
      <c r="Z22636"/>
    </row>
    <row r="22637" spans="26:26" x14ac:dyDescent="0.25">
      <c r="Z22637"/>
    </row>
    <row r="22638" spans="26:26" x14ac:dyDescent="0.25">
      <c r="Z22638"/>
    </row>
    <row r="22639" spans="26:26" x14ac:dyDescent="0.25">
      <c r="Z22639"/>
    </row>
    <row r="22640" spans="26:26" x14ac:dyDescent="0.25">
      <c r="Z22640"/>
    </row>
    <row r="22641" spans="26:26" x14ac:dyDescent="0.25">
      <c r="Z22641"/>
    </row>
    <row r="22642" spans="26:26" x14ac:dyDescent="0.25">
      <c r="Z22642"/>
    </row>
    <row r="22643" spans="26:26" x14ac:dyDescent="0.25">
      <c r="Z22643"/>
    </row>
    <row r="22644" spans="26:26" x14ac:dyDescent="0.25">
      <c r="Z22644"/>
    </row>
    <row r="22645" spans="26:26" x14ac:dyDescent="0.25">
      <c r="Z22645"/>
    </row>
    <row r="22646" spans="26:26" x14ac:dyDescent="0.25">
      <c r="Z22646"/>
    </row>
    <row r="22647" spans="26:26" x14ac:dyDescent="0.25">
      <c r="Z22647"/>
    </row>
    <row r="22648" spans="26:26" x14ac:dyDescent="0.25">
      <c r="Z22648"/>
    </row>
    <row r="22649" spans="26:26" x14ac:dyDescent="0.25">
      <c r="Z22649"/>
    </row>
    <row r="22650" spans="26:26" x14ac:dyDescent="0.25">
      <c r="Z22650"/>
    </row>
    <row r="22651" spans="26:26" x14ac:dyDescent="0.25">
      <c r="Z22651"/>
    </row>
    <row r="22652" spans="26:26" x14ac:dyDescent="0.25">
      <c r="Z22652"/>
    </row>
    <row r="22653" spans="26:26" x14ac:dyDescent="0.25">
      <c r="Z22653"/>
    </row>
    <row r="22654" spans="26:26" x14ac:dyDescent="0.25">
      <c r="Z22654"/>
    </row>
    <row r="22655" spans="26:26" x14ac:dyDescent="0.25">
      <c r="Z22655"/>
    </row>
    <row r="22656" spans="26:26" x14ac:dyDescent="0.25">
      <c r="Z22656"/>
    </row>
    <row r="22657" spans="26:26" x14ac:dyDescent="0.25">
      <c r="Z22657"/>
    </row>
    <row r="22658" spans="26:26" x14ac:dyDescent="0.25">
      <c r="Z22658"/>
    </row>
    <row r="22659" spans="26:26" x14ac:dyDescent="0.25">
      <c r="Z22659"/>
    </row>
    <row r="22660" spans="26:26" x14ac:dyDescent="0.25">
      <c r="Z22660"/>
    </row>
    <row r="22661" spans="26:26" x14ac:dyDescent="0.25">
      <c r="Z22661"/>
    </row>
    <row r="22662" spans="26:26" x14ac:dyDescent="0.25">
      <c r="Z22662"/>
    </row>
    <row r="22663" spans="26:26" x14ac:dyDescent="0.25">
      <c r="Z22663"/>
    </row>
    <row r="22664" spans="26:26" x14ac:dyDescent="0.25">
      <c r="Z22664"/>
    </row>
    <row r="22665" spans="26:26" x14ac:dyDescent="0.25">
      <c r="Z22665"/>
    </row>
    <row r="22666" spans="26:26" x14ac:dyDescent="0.25">
      <c r="Z22666"/>
    </row>
    <row r="22667" spans="26:26" x14ac:dyDescent="0.25">
      <c r="Z22667"/>
    </row>
    <row r="22668" spans="26:26" x14ac:dyDescent="0.25">
      <c r="Z22668"/>
    </row>
    <row r="22669" spans="26:26" x14ac:dyDescent="0.25">
      <c r="Z22669"/>
    </row>
    <row r="22670" spans="26:26" x14ac:dyDescent="0.25">
      <c r="Z22670"/>
    </row>
    <row r="22671" spans="26:26" x14ac:dyDescent="0.25">
      <c r="Z22671"/>
    </row>
    <row r="22672" spans="26:26" x14ac:dyDescent="0.25">
      <c r="Z22672"/>
    </row>
    <row r="22673" spans="26:26" x14ac:dyDescent="0.25">
      <c r="Z22673"/>
    </row>
    <row r="22674" spans="26:26" x14ac:dyDescent="0.25">
      <c r="Z22674"/>
    </row>
    <row r="22675" spans="26:26" x14ac:dyDescent="0.25">
      <c r="Z22675"/>
    </row>
    <row r="22676" spans="26:26" x14ac:dyDescent="0.25">
      <c r="Z22676"/>
    </row>
    <row r="22677" spans="26:26" x14ac:dyDescent="0.25">
      <c r="Z22677"/>
    </row>
    <row r="22678" spans="26:26" x14ac:dyDescent="0.25">
      <c r="Z22678"/>
    </row>
    <row r="22679" spans="26:26" x14ac:dyDescent="0.25">
      <c r="Z22679"/>
    </row>
    <row r="22680" spans="26:26" x14ac:dyDescent="0.25">
      <c r="Z22680"/>
    </row>
    <row r="22681" spans="26:26" x14ac:dyDescent="0.25">
      <c r="Z22681"/>
    </row>
    <row r="22682" spans="26:26" x14ac:dyDescent="0.25">
      <c r="Z22682"/>
    </row>
    <row r="22683" spans="26:26" x14ac:dyDescent="0.25">
      <c r="Z22683"/>
    </row>
    <row r="22684" spans="26:26" x14ac:dyDescent="0.25">
      <c r="Z22684"/>
    </row>
    <row r="22685" spans="26:26" x14ac:dyDescent="0.25">
      <c r="Z22685"/>
    </row>
    <row r="22686" spans="26:26" x14ac:dyDescent="0.25">
      <c r="Z22686"/>
    </row>
    <row r="22687" spans="26:26" x14ac:dyDescent="0.25">
      <c r="Z22687"/>
    </row>
    <row r="22688" spans="26:26" x14ac:dyDescent="0.25">
      <c r="Z22688"/>
    </row>
    <row r="22689" spans="26:26" x14ac:dyDescent="0.25">
      <c r="Z22689"/>
    </row>
    <row r="22690" spans="26:26" x14ac:dyDescent="0.25">
      <c r="Z22690"/>
    </row>
    <row r="22691" spans="26:26" x14ac:dyDescent="0.25">
      <c r="Z22691"/>
    </row>
    <row r="22692" spans="26:26" x14ac:dyDescent="0.25">
      <c r="Z22692"/>
    </row>
    <row r="22693" spans="26:26" x14ac:dyDescent="0.25">
      <c r="Z22693"/>
    </row>
    <row r="22694" spans="26:26" x14ac:dyDescent="0.25">
      <c r="Z22694"/>
    </row>
    <row r="22695" spans="26:26" x14ac:dyDescent="0.25">
      <c r="Z22695"/>
    </row>
    <row r="22696" spans="26:26" x14ac:dyDescent="0.25">
      <c r="Z22696"/>
    </row>
    <row r="22697" spans="26:26" x14ac:dyDescent="0.25">
      <c r="Z22697"/>
    </row>
    <row r="22698" spans="26:26" x14ac:dyDescent="0.25">
      <c r="Z22698"/>
    </row>
    <row r="22699" spans="26:26" x14ac:dyDescent="0.25">
      <c r="Z22699"/>
    </row>
    <row r="22700" spans="26:26" x14ac:dyDescent="0.25">
      <c r="Z22700"/>
    </row>
    <row r="22701" spans="26:26" x14ac:dyDescent="0.25">
      <c r="Z22701"/>
    </row>
    <row r="22702" spans="26:26" x14ac:dyDescent="0.25">
      <c r="Z22702"/>
    </row>
    <row r="22703" spans="26:26" x14ac:dyDescent="0.25">
      <c r="Z22703"/>
    </row>
    <row r="22704" spans="26:26" x14ac:dyDescent="0.25">
      <c r="Z22704"/>
    </row>
    <row r="22705" spans="26:26" x14ac:dyDescent="0.25">
      <c r="Z22705"/>
    </row>
    <row r="22706" spans="26:26" x14ac:dyDescent="0.25">
      <c r="Z22706"/>
    </row>
    <row r="22707" spans="26:26" x14ac:dyDescent="0.25">
      <c r="Z22707"/>
    </row>
    <row r="22708" spans="26:26" x14ac:dyDescent="0.25">
      <c r="Z22708"/>
    </row>
    <row r="22709" spans="26:26" x14ac:dyDescent="0.25">
      <c r="Z22709"/>
    </row>
    <row r="22710" spans="26:26" x14ac:dyDescent="0.25">
      <c r="Z22710"/>
    </row>
    <row r="22711" spans="26:26" x14ac:dyDescent="0.25">
      <c r="Z22711"/>
    </row>
    <row r="22712" spans="26:26" x14ac:dyDescent="0.25">
      <c r="Z22712"/>
    </row>
    <row r="22713" spans="26:26" x14ac:dyDescent="0.25">
      <c r="Z22713"/>
    </row>
    <row r="22714" spans="26:26" x14ac:dyDescent="0.25">
      <c r="Z22714"/>
    </row>
    <row r="22715" spans="26:26" x14ac:dyDescent="0.25">
      <c r="Z22715"/>
    </row>
    <row r="22716" spans="26:26" x14ac:dyDescent="0.25">
      <c r="Z22716"/>
    </row>
    <row r="22717" spans="26:26" x14ac:dyDescent="0.25">
      <c r="Z22717"/>
    </row>
    <row r="22718" spans="26:26" x14ac:dyDescent="0.25">
      <c r="Z22718"/>
    </row>
    <row r="22719" spans="26:26" x14ac:dyDescent="0.25">
      <c r="Z22719"/>
    </row>
    <row r="22720" spans="26:26" x14ac:dyDescent="0.25">
      <c r="Z22720"/>
    </row>
    <row r="22721" spans="26:26" x14ac:dyDescent="0.25">
      <c r="Z22721"/>
    </row>
    <row r="22722" spans="26:26" x14ac:dyDescent="0.25">
      <c r="Z22722"/>
    </row>
    <row r="22723" spans="26:26" x14ac:dyDescent="0.25">
      <c r="Z22723"/>
    </row>
    <row r="22724" spans="26:26" x14ac:dyDescent="0.25">
      <c r="Z22724"/>
    </row>
    <row r="22725" spans="26:26" x14ac:dyDescent="0.25">
      <c r="Z22725"/>
    </row>
    <row r="22726" spans="26:26" x14ac:dyDescent="0.25">
      <c r="Z22726"/>
    </row>
    <row r="22727" spans="26:26" x14ac:dyDescent="0.25">
      <c r="Z22727"/>
    </row>
    <row r="22728" spans="26:26" x14ac:dyDescent="0.25">
      <c r="Z22728"/>
    </row>
    <row r="22729" spans="26:26" x14ac:dyDescent="0.25">
      <c r="Z22729"/>
    </row>
    <row r="22730" spans="26:26" x14ac:dyDescent="0.25">
      <c r="Z22730"/>
    </row>
    <row r="22731" spans="26:26" x14ac:dyDescent="0.25">
      <c r="Z22731"/>
    </row>
    <row r="22732" spans="26:26" x14ac:dyDescent="0.25">
      <c r="Z22732"/>
    </row>
    <row r="22733" spans="26:26" x14ac:dyDescent="0.25">
      <c r="Z22733"/>
    </row>
    <row r="22734" spans="26:26" x14ac:dyDescent="0.25">
      <c r="Z22734"/>
    </row>
    <row r="22735" spans="26:26" x14ac:dyDescent="0.25">
      <c r="Z22735"/>
    </row>
    <row r="22736" spans="26:26" x14ac:dyDescent="0.25">
      <c r="Z22736"/>
    </row>
    <row r="22737" spans="26:26" x14ac:dyDescent="0.25">
      <c r="Z22737"/>
    </row>
    <row r="22738" spans="26:26" x14ac:dyDescent="0.25">
      <c r="Z22738"/>
    </row>
    <row r="22739" spans="26:26" x14ac:dyDescent="0.25">
      <c r="Z22739"/>
    </row>
    <row r="22740" spans="26:26" x14ac:dyDescent="0.25">
      <c r="Z22740"/>
    </row>
    <row r="22741" spans="26:26" x14ac:dyDescent="0.25">
      <c r="Z22741"/>
    </row>
    <row r="22742" spans="26:26" x14ac:dyDescent="0.25">
      <c r="Z22742"/>
    </row>
    <row r="22743" spans="26:26" x14ac:dyDescent="0.25">
      <c r="Z22743"/>
    </row>
    <row r="22744" spans="26:26" x14ac:dyDescent="0.25">
      <c r="Z22744"/>
    </row>
    <row r="22745" spans="26:26" x14ac:dyDescent="0.25">
      <c r="Z22745"/>
    </row>
    <row r="22746" spans="26:26" x14ac:dyDescent="0.25">
      <c r="Z22746"/>
    </row>
    <row r="22747" spans="26:26" x14ac:dyDescent="0.25">
      <c r="Z22747"/>
    </row>
    <row r="22748" spans="26:26" x14ac:dyDescent="0.25">
      <c r="Z22748"/>
    </row>
    <row r="22749" spans="26:26" x14ac:dyDescent="0.25">
      <c r="Z22749"/>
    </row>
    <row r="22750" spans="26:26" x14ac:dyDescent="0.25">
      <c r="Z22750"/>
    </row>
    <row r="22751" spans="26:26" x14ac:dyDescent="0.25">
      <c r="Z22751"/>
    </row>
    <row r="22752" spans="26:26" x14ac:dyDescent="0.25">
      <c r="Z22752"/>
    </row>
    <row r="22753" spans="26:26" x14ac:dyDescent="0.25">
      <c r="Z22753"/>
    </row>
    <row r="22754" spans="26:26" x14ac:dyDescent="0.25">
      <c r="Z22754"/>
    </row>
    <row r="22755" spans="26:26" x14ac:dyDescent="0.25">
      <c r="Z22755"/>
    </row>
    <row r="22756" spans="26:26" x14ac:dyDescent="0.25">
      <c r="Z22756"/>
    </row>
    <row r="22757" spans="26:26" x14ac:dyDescent="0.25">
      <c r="Z22757"/>
    </row>
    <row r="22758" spans="26:26" x14ac:dyDescent="0.25">
      <c r="Z22758"/>
    </row>
    <row r="22759" spans="26:26" x14ac:dyDescent="0.25">
      <c r="Z22759"/>
    </row>
    <row r="22760" spans="26:26" x14ac:dyDescent="0.25">
      <c r="Z22760"/>
    </row>
    <row r="22761" spans="26:26" x14ac:dyDescent="0.25">
      <c r="Z22761"/>
    </row>
    <row r="22762" spans="26:26" x14ac:dyDescent="0.25">
      <c r="Z22762"/>
    </row>
    <row r="22763" spans="26:26" x14ac:dyDescent="0.25">
      <c r="Z22763"/>
    </row>
    <row r="22764" spans="26:26" x14ac:dyDescent="0.25">
      <c r="Z22764"/>
    </row>
    <row r="22765" spans="26:26" x14ac:dyDescent="0.25">
      <c r="Z22765"/>
    </row>
    <row r="22766" spans="26:26" x14ac:dyDescent="0.25">
      <c r="Z22766"/>
    </row>
    <row r="22767" spans="26:26" x14ac:dyDescent="0.25">
      <c r="Z22767"/>
    </row>
    <row r="22768" spans="26:26" x14ac:dyDescent="0.25">
      <c r="Z22768"/>
    </row>
    <row r="22769" spans="26:26" x14ac:dyDescent="0.25">
      <c r="Z22769"/>
    </row>
    <row r="22770" spans="26:26" x14ac:dyDescent="0.25">
      <c r="Z22770"/>
    </row>
    <row r="22771" spans="26:26" x14ac:dyDescent="0.25">
      <c r="Z22771"/>
    </row>
    <row r="22772" spans="26:26" x14ac:dyDescent="0.25">
      <c r="Z22772"/>
    </row>
    <row r="22773" spans="26:26" x14ac:dyDescent="0.25">
      <c r="Z22773"/>
    </row>
    <row r="22774" spans="26:26" x14ac:dyDescent="0.25">
      <c r="Z22774"/>
    </row>
    <row r="22775" spans="26:26" x14ac:dyDescent="0.25">
      <c r="Z22775"/>
    </row>
    <row r="22776" spans="26:26" x14ac:dyDescent="0.25">
      <c r="Z22776"/>
    </row>
    <row r="22777" spans="26:26" x14ac:dyDescent="0.25">
      <c r="Z22777"/>
    </row>
    <row r="22778" spans="26:26" x14ac:dyDescent="0.25">
      <c r="Z22778"/>
    </row>
    <row r="22779" spans="26:26" x14ac:dyDescent="0.25">
      <c r="Z22779"/>
    </row>
    <row r="22780" spans="26:26" x14ac:dyDescent="0.25">
      <c r="Z22780"/>
    </row>
    <row r="22781" spans="26:26" x14ac:dyDescent="0.25">
      <c r="Z22781"/>
    </row>
    <row r="22782" spans="26:26" x14ac:dyDescent="0.25">
      <c r="Z22782"/>
    </row>
    <row r="22783" spans="26:26" x14ac:dyDescent="0.25">
      <c r="Z22783"/>
    </row>
    <row r="22784" spans="26:26" x14ac:dyDescent="0.25">
      <c r="Z22784"/>
    </row>
    <row r="22785" spans="26:26" x14ac:dyDescent="0.25">
      <c r="Z22785"/>
    </row>
    <row r="22786" spans="26:26" x14ac:dyDescent="0.25">
      <c r="Z22786"/>
    </row>
    <row r="22787" spans="26:26" x14ac:dyDescent="0.25">
      <c r="Z22787"/>
    </row>
    <row r="22788" spans="26:26" x14ac:dyDescent="0.25">
      <c r="Z22788"/>
    </row>
    <row r="22789" spans="26:26" x14ac:dyDescent="0.25">
      <c r="Z22789"/>
    </row>
    <row r="22790" spans="26:26" x14ac:dyDescent="0.25">
      <c r="Z22790"/>
    </row>
    <row r="22791" spans="26:26" x14ac:dyDescent="0.25">
      <c r="Z22791"/>
    </row>
    <row r="22792" spans="26:26" x14ac:dyDescent="0.25">
      <c r="Z22792"/>
    </row>
    <row r="22793" spans="26:26" x14ac:dyDescent="0.25">
      <c r="Z22793"/>
    </row>
    <row r="22794" spans="26:26" x14ac:dyDescent="0.25">
      <c r="Z22794"/>
    </row>
    <row r="22795" spans="26:26" x14ac:dyDescent="0.25">
      <c r="Z22795"/>
    </row>
    <row r="22796" spans="26:26" x14ac:dyDescent="0.25">
      <c r="Z22796"/>
    </row>
    <row r="22797" spans="26:26" x14ac:dyDescent="0.25">
      <c r="Z22797"/>
    </row>
    <row r="22798" spans="26:26" x14ac:dyDescent="0.25">
      <c r="Z22798"/>
    </row>
    <row r="22799" spans="26:26" x14ac:dyDescent="0.25">
      <c r="Z22799"/>
    </row>
    <row r="22800" spans="26:26" x14ac:dyDescent="0.25">
      <c r="Z22800"/>
    </row>
    <row r="22801" spans="26:26" x14ac:dyDescent="0.25">
      <c r="Z22801"/>
    </row>
    <row r="22802" spans="26:26" x14ac:dyDescent="0.25">
      <c r="Z22802"/>
    </row>
    <row r="22803" spans="26:26" x14ac:dyDescent="0.25">
      <c r="Z22803"/>
    </row>
    <row r="22804" spans="26:26" x14ac:dyDescent="0.25">
      <c r="Z22804"/>
    </row>
    <row r="22805" spans="26:26" x14ac:dyDescent="0.25">
      <c r="Z22805"/>
    </row>
    <row r="22806" spans="26:26" x14ac:dyDescent="0.25">
      <c r="Z22806"/>
    </row>
    <row r="22807" spans="26:26" x14ac:dyDescent="0.25">
      <c r="Z22807"/>
    </row>
    <row r="22808" spans="26:26" x14ac:dyDescent="0.25">
      <c r="Z22808"/>
    </row>
    <row r="22809" spans="26:26" x14ac:dyDescent="0.25">
      <c r="Z22809"/>
    </row>
    <row r="22810" spans="26:26" x14ac:dyDescent="0.25">
      <c r="Z22810"/>
    </row>
    <row r="22811" spans="26:26" x14ac:dyDescent="0.25">
      <c r="Z22811"/>
    </row>
    <row r="22812" spans="26:26" x14ac:dyDescent="0.25">
      <c r="Z22812"/>
    </row>
    <row r="22813" spans="26:26" x14ac:dyDescent="0.25">
      <c r="Z22813"/>
    </row>
    <row r="22814" spans="26:26" x14ac:dyDescent="0.25">
      <c r="Z22814"/>
    </row>
    <row r="22815" spans="26:26" x14ac:dyDescent="0.25">
      <c r="Z22815"/>
    </row>
    <row r="22816" spans="26:26" x14ac:dyDescent="0.25">
      <c r="Z22816"/>
    </row>
    <row r="22817" spans="26:26" x14ac:dyDescent="0.25">
      <c r="Z22817"/>
    </row>
    <row r="22818" spans="26:26" x14ac:dyDescent="0.25">
      <c r="Z22818"/>
    </row>
    <row r="22819" spans="26:26" x14ac:dyDescent="0.25">
      <c r="Z22819"/>
    </row>
    <row r="22820" spans="26:26" x14ac:dyDescent="0.25">
      <c r="Z22820"/>
    </row>
    <row r="22821" spans="26:26" x14ac:dyDescent="0.25">
      <c r="Z22821"/>
    </row>
    <row r="22822" spans="26:26" x14ac:dyDescent="0.25">
      <c r="Z22822"/>
    </row>
    <row r="22823" spans="26:26" x14ac:dyDescent="0.25">
      <c r="Z22823"/>
    </row>
    <row r="22824" spans="26:26" x14ac:dyDescent="0.25">
      <c r="Z22824"/>
    </row>
    <row r="22825" spans="26:26" x14ac:dyDescent="0.25">
      <c r="Z22825"/>
    </row>
    <row r="22826" spans="26:26" x14ac:dyDescent="0.25">
      <c r="Z22826"/>
    </row>
    <row r="22827" spans="26:26" x14ac:dyDescent="0.25">
      <c r="Z22827"/>
    </row>
    <row r="22828" spans="26:26" x14ac:dyDescent="0.25">
      <c r="Z22828"/>
    </row>
    <row r="22829" spans="26:26" x14ac:dyDescent="0.25">
      <c r="Z22829"/>
    </row>
    <row r="22830" spans="26:26" x14ac:dyDescent="0.25">
      <c r="Z22830"/>
    </row>
    <row r="22831" spans="26:26" x14ac:dyDescent="0.25">
      <c r="Z22831"/>
    </row>
    <row r="22832" spans="26:26" x14ac:dyDescent="0.25">
      <c r="Z22832"/>
    </row>
    <row r="22833" spans="26:26" x14ac:dyDescent="0.25">
      <c r="Z22833"/>
    </row>
    <row r="22834" spans="26:26" x14ac:dyDescent="0.25">
      <c r="Z22834"/>
    </row>
    <row r="22835" spans="26:26" x14ac:dyDescent="0.25">
      <c r="Z22835"/>
    </row>
    <row r="22836" spans="26:26" x14ac:dyDescent="0.25">
      <c r="Z22836"/>
    </row>
    <row r="22837" spans="26:26" x14ac:dyDescent="0.25">
      <c r="Z22837"/>
    </row>
    <row r="22838" spans="26:26" x14ac:dyDescent="0.25">
      <c r="Z22838"/>
    </row>
    <row r="22839" spans="26:26" x14ac:dyDescent="0.25">
      <c r="Z22839"/>
    </row>
    <row r="22840" spans="26:26" x14ac:dyDescent="0.25">
      <c r="Z22840"/>
    </row>
    <row r="22841" spans="26:26" x14ac:dyDescent="0.25">
      <c r="Z22841"/>
    </row>
    <row r="22842" spans="26:26" x14ac:dyDescent="0.25">
      <c r="Z22842"/>
    </row>
    <row r="22843" spans="26:26" x14ac:dyDescent="0.25">
      <c r="Z22843"/>
    </row>
    <row r="22844" spans="26:26" x14ac:dyDescent="0.25">
      <c r="Z22844"/>
    </row>
    <row r="22845" spans="26:26" x14ac:dyDescent="0.25">
      <c r="Z22845"/>
    </row>
    <row r="22846" spans="26:26" x14ac:dyDescent="0.25">
      <c r="Z22846"/>
    </row>
    <row r="22847" spans="26:26" x14ac:dyDescent="0.25">
      <c r="Z22847"/>
    </row>
    <row r="22848" spans="26:26" x14ac:dyDescent="0.25">
      <c r="Z22848"/>
    </row>
    <row r="22849" spans="26:26" x14ac:dyDescent="0.25">
      <c r="Z22849"/>
    </row>
    <row r="22850" spans="26:26" x14ac:dyDescent="0.25">
      <c r="Z22850"/>
    </row>
    <row r="22851" spans="26:26" x14ac:dyDescent="0.25">
      <c r="Z22851"/>
    </row>
    <row r="22852" spans="26:26" x14ac:dyDescent="0.25">
      <c r="Z22852"/>
    </row>
    <row r="22853" spans="26:26" x14ac:dyDescent="0.25">
      <c r="Z22853"/>
    </row>
    <row r="22854" spans="26:26" x14ac:dyDescent="0.25">
      <c r="Z22854"/>
    </row>
    <row r="22855" spans="26:26" x14ac:dyDescent="0.25">
      <c r="Z22855"/>
    </row>
    <row r="22856" spans="26:26" x14ac:dyDescent="0.25">
      <c r="Z22856"/>
    </row>
    <row r="22857" spans="26:26" x14ac:dyDescent="0.25">
      <c r="Z22857"/>
    </row>
    <row r="22858" spans="26:26" x14ac:dyDescent="0.25">
      <c r="Z22858"/>
    </row>
    <row r="22859" spans="26:26" x14ac:dyDescent="0.25">
      <c r="Z22859"/>
    </row>
    <row r="22860" spans="26:26" x14ac:dyDescent="0.25">
      <c r="Z22860"/>
    </row>
    <row r="22861" spans="26:26" x14ac:dyDescent="0.25">
      <c r="Z22861"/>
    </row>
    <row r="22862" spans="26:26" x14ac:dyDescent="0.25">
      <c r="Z22862"/>
    </row>
    <row r="22863" spans="26:26" x14ac:dyDescent="0.25">
      <c r="Z22863"/>
    </row>
    <row r="22864" spans="26:26" x14ac:dyDescent="0.25">
      <c r="Z22864"/>
    </row>
    <row r="22865" spans="26:26" x14ac:dyDescent="0.25">
      <c r="Z22865"/>
    </row>
    <row r="22866" spans="26:26" x14ac:dyDescent="0.25">
      <c r="Z22866"/>
    </row>
    <row r="22867" spans="26:26" x14ac:dyDescent="0.25">
      <c r="Z22867"/>
    </row>
    <row r="22868" spans="26:26" x14ac:dyDescent="0.25">
      <c r="Z22868"/>
    </row>
    <row r="22869" spans="26:26" x14ac:dyDescent="0.25">
      <c r="Z22869"/>
    </row>
    <row r="22870" spans="26:26" x14ac:dyDescent="0.25">
      <c r="Z22870"/>
    </row>
    <row r="22871" spans="26:26" x14ac:dyDescent="0.25">
      <c r="Z22871"/>
    </row>
    <row r="22872" spans="26:26" x14ac:dyDescent="0.25">
      <c r="Z22872"/>
    </row>
    <row r="22873" spans="26:26" x14ac:dyDescent="0.25">
      <c r="Z22873"/>
    </row>
    <row r="22874" spans="26:26" x14ac:dyDescent="0.25">
      <c r="Z22874"/>
    </row>
    <row r="22875" spans="26:26" x14ac:dyDescent="0.25">
      <c r="Z22875"/>
    </row>
    <row r="22876" spans="26:26" x14ac:dyDescent="0.25">
      <c r="Z22876"/>
    </row>
    <row r="22877" spans="26:26" x14ac:dyDescent="0.25">
      <c r="Z22877"/>
    </row>
    <row r="22878" spans="26:26" x14ac:dyDescent="0.25">
      <c r="Z22878"/>
    </row>
    <row r="22879" spans="26:26" x14ac:dyDescent="0.25">
      <c r="Z22879"/>
    </row>
    <row r="22880" spans="26:26" x14ac:dyDescent="0.25">
      <c r="Z22880"/>
    </row>
    <row r="22881" spans="26:26" x14ac:dyDescent="0.25">
      <c r="Z22881"/>
    </row>
    <row r="22882" spans="26:26" x14ac:dyDescent="0.25">
      <c r="Z22882"/>
    </row>
    <row r="22883" spans="26:26" x14ac:dyDescent="0.25">
      <c r="Z22883"/>
    </row>
    <row r="22884" spans="26:26" x14ac:dyDescent="0.25">
      <c r="Z22884"/>
    </row>
    <row r="22885" spans="26:26" x14ac:dyDescent="0.25">
      <c r="Z22885"/>
    </row>
    <row r="22886" spans="26:26" x14ac:dyDescent="0.25">
      <c r="Z22886"/>
    </row>
    <row r="22887" spans="26:26" x14ac:dyDescent="0.25">
      <c r="Z22887"/>
    </row>
    <row r="22888" spans="26:26" x14ac:dyDescent="0.25">
      <c r="Z22888"/>
    </row>
    <row r="22889" spans="26:26" x14ac:dyDescent="0.25">
      <c r="Z22889"/>
    </row>
    <row r="22890" spans="26:26" x14ac:dyDescent="0.25">
      <c r="Z22890"/>
    </row>
    <row r="22891" spans="26:26" x14ac:dyDescent="0.25">
      <c r="Z22891"/>
    </row>
    <row r="22892" spans="26:26" x14ac:dyDescent="0.25">
      <c r="Z22892"/>
    </row>
    <row r="22893" spans="26:26" x14ac:dyDescent="0.25">
      <c r="Z22893"/>
    </row>
    <row r="22894" spans="26:26" x14ac:dyDescent="0.25">
      <c r="Z22894"/>
    </row>
    <row r="22895" spans="26:26" x14ac:dyDescent="0.25">
      <c r="Z22895"/>
    </row>
    <row r="22896" spans="26:26" x14ac:dyDescent="0.25">
      <c r="Z22896"/>
    </row>
    <row r="22897" spans="26:26" x14ac:dyDescent="0.25">
      <c r="Z22897"/>
    </row>
    <row r="22898" spans="26:26" x14ac:dyDescent="0.25">
      <c r="Z22898"/>
    </row>
    <row r="22899" spans="26:26" x14ac:dyDescent="0.25">
      <c r="Z22899"/>
    </row>
    <row r="22900" spans="26:26" x14ac:dyDescent="0.25">
      <c r="Z22900"/>
    </row>
    <row r="22901" spans="26:26" x14ac:dyDescent="0.25">
      <c r="Z22901"/>
    </row>
    <row r="22902" spans="26:26" x14ac:dyDescent="0.25">
      <c r="Z22902"/>
    </row>
    <row r="22903" spans="26:26" x14ac:dyDescent="0.25">
      <c r="Z22903"/>
    </row>
    <row r="22904" spans="26:26" x14ac:dyDescent="0.25">
      <c r="Z22904"/>
    </row>
    <row r="22905" spans="26:26" x14ac:dyDescent="0.25">
      <c r="Z22905"/>
    </row>
    <row r="22906" spans="26:26" x14ac:dyDescent="0.25">
      <c r="Z22906"/>
    </row>
    <row r="22907" spans="26:26" x14ac:dyDescent="0.25">
      <c r="Z22907"/>
    </row>
    <row r="22908" spans="26:26" x14ac:dyDescent="0.25">
      <c r="Z22908"/>
    </row>
    <row r="22909" spans="26:26" x14ac:dyDescent="0.25">
      <c r="Z22909"/>
    </row>
    <row r="22910" spans="26:26" x14ac:dyDescent="0.25">
      <c r="Z22910"/>
    </row>
    <row r="22911" spans="26:26" x14ac:dyDescent="0.25">
      <c r="Z22911"/>
    </row>
    <row r="22912" spans="26:26" x14ac:dyDescent="0.25">
      <c r="Z22912"/>
    </row>
    <row r="22913" spans="26:26" x14ac:dyDescent="0.25">
      <c r="Z22913"/>
    </row>
    <row r="22914" spans="26:26" x14ac:dyDescent="0.25">
      <c r="Z22914"/>
    </row>
    <row r="22915" spans="26:26" x14ac:dyDescent="0.25">
      <c r="Z22915"/>
    </row>
    <row r="22916" spans="26:26" x14ac:dyDescent="0.25">
      <c r="Z22916"/>
    </row>
    <row r="22917" spans="26:26" x14ac:dyDescent="0.25">
      <c r="Z22917"/>
    </row>
    <row r="22918" spans="26:26" x14ac:dyDescent="0.25">
      <c r="Z22918"/>
    </row>
    <row r="22919" spans="26:26" x14ac:dyDescent="0.25">
      <c r="Z22919"/>
    </row>
    <row r="22920" spans="26:26" x14ac:dyDescent="0.25">
      <c r="Z22920"/>
    </row>
    <row r="22921" spans="26:26" x14ac:dyDescent="0.25">
      <c r="Z22921"/>
    </row>
    <row r="22922" spans="26:26" x14ac:dyDescent="0.25">
      <c r="Z22922"/>
    </row>
    <row r="22923" spans="26:26" x14ac:dyDescent="0.25">
      <c r="Z22923"/>
    </row>
    <row r="22924" spans="26:26" x14ac:dyDescent="0.25">
      <c r="Z22924"/>
    </row>
    <row r="22925" spans="26:26" x14ac:dyDescent="0.25">
      <c r="Z22925"/>
    </row>
    <row r="22926" spans="26:26" x14ac:dyDescent="0.25">
      <c r="Z22926"/>
    </row>
    <row r="22927" spans="26:26" x14ac:dyDescent="0.25">
      <c r="Z22927"/>
    </row>
    <row r="22928" spans="26:26" x14ac:dyDescent="0.25">
      <c r="Z22928"/>
    </row>
    <row r="22929" spans="26:26" x14ac:dyDescent="0.25">
      <c r="Z22929"/>
    </row>
    <row r="22930" spans="26:26" x14ac:dyDescent="0.25">
      <c r="Z22930"/>
    </row>
    <row r="22931" spans="26:26" x14ac:dyDescent="0.25">
      <c r="Z22931"/>
    </row>
    <row r="22932" spans="26:26" x14ac:dyDescent="0.25">
      <c r="Z22932"/>
    </row>
    <row r="22933" spans="26:26" x14ac:dyDescent="0.25">
      <c r="Z22933"/>
    </row>
    <row r="22934" spans="26:26" x14ac:dyDescent="0.25">
      <c r="Z22934"/>
    </row>
    <row r="22935" spans="26:26" x14ac:dyDescent="0.25">
      <c r="Z22935"/>
    </row>
    <row r="22936" spans="26:26" x14ac:dyDescent="0.25">
      <c r="Z22936"/>
    </row>
    <row r="22937" spans="26:26" x14ac:dyDescent="0.25">
      <c r="Z22937"/>
    </row>
    <row r="22938" spans="26:26" x14ac:dyDescent="0.25">
      <c r="Z22938"/>
    </row>
    <row r="22939" spans="26:26" x14ac:dyDescent="0.25">
      <c r="Z22939"/>
    </row>
    <row r="22940" spans="26:26" x14ac:dyDescent="0.25">
      <c r="Z22940"/>
    </row>
    <row r="22941" spans="26:26" x14ac:dyDescent="0.25">
      <c r="Z22941"/>
    </row>
    <row r="22942" spans="26:26" x14ac:dyDescent="0.25">
      <c r="Z22942"/>
    </row>
    <row r="22943" spans="26:26" x14ac:dyDescent="0.25">
      <c r="Z22943"/>
    </row>
    <row r="22944" spans="26:26" x14ac:dyDescent="0.25">
      <c r="Z22944"/>
    </row>
    <row r="22945" spans="26:26" x14ac:dyDescent="0.25">
      <c r="Z22945"/>
    </row>
    <row r="22946" spans="26:26" x14ac:dyDescent="0.25">
      <c r="Z22946"/>
    </row>
    <row r="22947" spans="26:26" x14ac:dyDescent="0.25">
      <c r="Z22947"/>
    </row>
    <row r="22948" spans="26:26" x14ac:dyDescent="0.25">
      <c r="Z22948"/>
    </row>
    <row r="22949" spans="26:26" x14ac:dyDescent="0.25">
      <c r="Z22949"/>
    </row>
    <row r="22950" spans="26:26" x14ac:dyDescent="0.25">
      <c r="Z22950"/>
    </row>
    <row r="22951" spans="26:26" x14ac:dyDescent="0.25">
      <c r="Z22951"/>
    </row>
    <row r="22952" spans="26:26" x14ac:dyDescent="0.25">
      <c r="Z22952"/>
    </row>
    <row r="22953" spans="26:26" x14ac:dyDescent="0.25">
      <c r="Z22953"/>
    </row>
    <row r="22954" spans="26:26" x14ac:dyDescent="0.25">
      <c r="Z22954"/>
    </row>
    <row r="22955" spans="26:26" x14ac:dyDescent="0.25">
      <c r="Z22955"/>
    </row>
    <row r="22956" spans="26:26" x14ac:dyDescent="0.25">
      <c r="Z22956"/>
    </row>
    <row r="22957" spans="26:26" x14ac:dyDescent="0.25">
      <c r="Z22957"/>
    </row>
    <row r="22958" spans="26:26" x14ac:dyDescent="0.25">
      <c r="Z22958"/>
    </row>
    <row r="22959" spans="26:26" x14ac:dyDescent="0.25">
      <c r="Z22959"/>
    </row>
    <row r="22960" spans="26:26" x14ac:dyDescent="0.25">
      <c r="Z22960"/>
    </row>
    <row r="22961" spans="26:26" x14ac:dyDescent="0.25">
      <c r="Z22961"/>
    </row>
    <row r="22962" spans="26:26" x14ac:dyDescent="0.25">
      <c r="Z22962"/>
    </row>
    <row r="22963" spans="26:26" x14ac:dyDescent="0.25">
      <c r="Z22963"/>
    </row>
    <row r="22964" spans="26:26" x14ac:dyDescent="0.25">
      <c r="Z22964"/>
    </row>
    <row r="22965" spans="26:26" x14ac:dyDescent="0.25">
      <c r="Z22965"/>
    </row>
    <row r="22966" spans="26:26" x14ac:dyDescent="0.25">
      <c r="Z22966"/>
    </row>
    <row r="22967" spans="26:26" x14ac:dyDescent="0.25">
      <c r="Z22967"/>
    </row>
    <row r="22968" spans="26:26" x14ac:dyDescent="0.25">
      <c r="Z22968"/>
    </row>
    <row r="22969" spans="26:26" x14ac:dyDescent="0.25">
      <c r="Z22969"/>
    </row>
    <row r="22970" spans="26:26" x14ac:dyDescent="0.25">
      <c r="Z22970"/>
    </row>
    <row r="22971" spans="26:26" x14ac:dyDescent="0.25">
      <c r="Z22971"/>
    </row>
    <row r="22972" spans="26:26" x14ac:dyDescent="0.25">
      <c r="Z22972"/>
    </row>
    <row r="22973" spans="26:26" x14ac:dyDescent="0.25">
      <c r="Z22973"/>
    </row>
    <row r="22974" spans="26:26" x14ac:dyDescent="0.25">
      <c r="Z22974"/>
    </row>
    <row r="22975" spans="26:26" x14ac:dyDescent="0.25">
      <c r="Z22975"/>
    </row>
    <row r="22976" spans="26:26" x14ac:dyDescent="0.25">
      <c r="Z22976"/>
    </row>
    <row r="22977" spans="26:26" x14ac:dyDescent="0.25">
      <c r="Z22977"/>
    </row>
    <row r="22978" spans="26:26" x14ac:dyDescent="0.25">
      <c r="Z22978"/>
    </row>
    <row r="22979" spans="26:26" x14ac:dyDescent="0.25">
      <c r="Z22979"/>
    </row>
    <row r="22980" spans="26:26" x14ac:dyDescent="0.25">
      <c r="Z22980"/>
    </row>
    <row r="22981" spans="26:26" x14ac:dyDescent="0.25">
      <c r="Z22981"/>
    </row>
    <row r="22982" spans="26:26" x14ac:dyDescent="0.25">
      <c r="Z22982"/>
    </row>
    <row r="22983" spans="26:26" x14ac:dyDescent="0.25">
      <c r="Z22983"/>
    </row>
    <row r="22984" spans="26:26" x14ac:dyDescent="0.25">
      <c r="Z22984"/>
    </row>
    <row r="22985" spans="26:26" x14ac:dyDescent="0.25">
      <c r="Z22985"/>
    </row>
    <row r="22986" spans="26:26" x14ac:dyDescent="0.25">
      <c r="Z22986"/>
    </row>
    <row r="22987" spans="26:26" x14ac:dyDescent="0.25">
      <c r="Z22987"/>
    </row>
    <row r="22988" spans="26:26" x14ac:dyDescent="0.25">
      <c r="Z22988"/>
    </row>
    <row r="22989" spans="26:26" x14ac:dyDescent="0.25">
      <c r="Z22989"/>
    </row>
    <row r="22990" spans="26:26" x14ac:dyDescent="0.25">
      <c r="Z22990"/>
    </row>
    <row r="22991" spans="26:26" x14ac:dyDescent="0.25">
      <c r="Z22991"/>
    </row>
    <row r="22992" spans="26:26" x14ac:dyDescent="0.25">
      <c r="Z22992"/>
    </row>
    <row r="22993" spans="26:26" x14ac:dyDescent="0.25">
      <c r="Z22993"/>
    </row>
    <row r="22994" spans="26:26" x14ac:dyDescent="0.25">
      <c r="Z22994"/>
    </row>
    <row r="22995" spans="26:26" x14ac:dyDescent="0.25">
      <c r="Z22995"/>
    </row>
    <row r="22996" spans="26:26" x14ac:dyDescent="0.25">
      <c r="Z22996"/>
    </row>
    <row r="22997" spans="26:26" x14ac:dyDescent="0.25">
      <c r="Z22997"/>
    </row>
    <row r="22998" spans="26:26" x14ac:dyDescent="0.25">
      <c r="Z22998"/>
    </row>
    <row r="22999" spans="26:26" x14ac:dyDescent="0.25">
      <c r="Z22999"/>
    </row>
    <row r="23000" spans="26:26" x14ac:dyDescent="0.25">
      <c r="Z23000"/>
    </row>
    <row r="23001" spans="26:26" x14ac:dyDescent="0.25">
      <c r="Z23001"/>
    </row>
    <row r="23002" spans="26:26" x14ac:dyDescent="0.25">
      <c r="Z23002"/>
    </row>
    <row r="23003" spans="26:26" x14ac:dyDescent="0.25">
      <c r="Z23003"/>
    </row>
    <row r="23004" spans="26:26" x14ac:dyDescent="0.25">
      <c r="Z23004"/>
    </row>
    <row r="23005" spans="26:26" x14ac:dyDescent="0.25">
      <c r="Z23005"/>
    </row>
    <row r="23006" spans="26:26" x14ac:dyDescent="0.25">
      <c r="Z23006"/>
    </row>
    <row r="23007" spans="26:26" x14ac:dyDescent="0.25">
      <c r="Z23007"/>
    </row>
    <row r="23008" spans="26:26" x14ac:dyDescent="0.25">
      <c r="Z23008"/>
    </row>
    <row r="23009" spans="26:26" x14ac:dyDescent="0.25">
      <c r="Z23009"/>
    </row>
    <row r="23010" spans="26:26" x14ac:dyDescent="0.25">
      <c r="Z23010"/>
    </row>
    <row r="23011" spans="26:26" x14ac:dyDescent="0.25">
      <c r="Z23011"/>
    </row>
    <row r="23012" spans="26:26" x14ac:dyDescent="0.25">
      <c r="Z23012"/>
    </row>
    <row r="23013" spans="26:26" x14ac:dyDescent="0.25">
      <c r="Z23013"/>
    </row>
    <row r="23014" spans="26:26" x14ac:dyDescent="0.25">
      <c r="Z23014"/>
    </row>
    <row r="23015" spans="26:26" x14ac:dyDescent="0.25">
      <c r="Z23015"/>
    </row>
    <row r="23016" spans="26:26" x14ac:dyDescent="0.25">
      <c r="Z23016"/>
    </row>
    <row r="23017" spans="26:26" x14ac:dyDescent="0.25">
      <c r="Z23017"/>
    </row>
    <row r="23018" spans="26:26" x14ac:dyDescent="0.25">
      <c r="Z23018"/>
    </row>
    <row r="23019" spans="26:26" x14ac:dyDescent="0.25">
      <c r="Z23019"/>
    </row>
    <row r="23020" spans="26:26" x14ac:dyDescent="0.25">
      <c r="Z23020"/>
    </row>
    <row r="23021" spans="26:26" x14ac:dyDescent="0.25">
      <c r="Z23021"/>
    </row>
    <row r="23022" spans="26:26" x14ac:dyDescent="0.25">
      <c r="Z23022"/>
    </row>
    <row r="23023" spans="26:26" x14ac:dyDescent="0.25">
      <c r="Z23023"/>
    </row>
    <row r="23024" spans="26:26" x14ac:dyDescent="0.25">
      <c r="Z23024"/>
    </row>
    <row r="23025" spans="26:26" x14ac:dyDescent="0.25">
      <c r="Z23025"/>
    </row>
    <row r="23026" spans="26:26" x14ac:dyDescent="0.25">
      <c r="Z23026"/>
    </row>
    <row r="23027" spans="26:26" x14ac:dyDescent="0.25">
      <c r="Z23027"/>
    </row>
    <row r="23028" spans="26:26" x14ac:dyDescent="0.25">
      <c r="Z23028"/>
    </row>
    <row r="23029" spans="26:26" x14ac:dyDescent="0.25">
      <c r="Z23029"/>
    </row>
    <row r="23030" spans="26:26" x14ac:dyDescent="0.25">
      <c r="Z23030"/>
    </row>
    <row r="23031" spans="26:26" x14ac:dyDescent="0.25">
      <c r="Z23031"/>
    </row>
    <row r="23032" spans="26:26" x14ac:dyDescent="0.25">
      <c r="Z23032"/>
    </row>
    <row r="23033" spans="26:26" x14ac:dyDescent="0.25">
      <c r="Z23033"/>
    </row>
    <row r="23034" spans="26:26" x14ac:dyDescent="0.25">
      <c r="Z23034"/>
    </row>
    <row r="23035" spans="26:26" x14ac:dyDescent="0.25">
      <c r="Z23035"/>
    </row>
    <row r="23036" spans="26:26" x14ac:dyDescent="0.25">
      <c r="Z23036"/>
    </row>
    <row r="23037" spans="26:26" x14ac:dyDescent="0.25">
      <c r="Z23037"/>
    </row>
    <row r="23038" spans="26:26" x14ac:dyDescent="0.25">
      <c r="Z23038"/>
    </row>
    <row r="23039" spans="26:26" x14ac:dyDescent="0.25">
      <c r="Z23039"/>
    </row>
    <row r="23040" spans="26:26" x14ac:dyDescent="0.25">
      <c r="Z23040"/>
    </row>
    <row r="23041" spans="26:26" x14ac:dyDescent="0.25">
      <c r="Z23041"/>
    </row>
    <row r="23042" spans="26:26" x14ac:dyDescent="0.25">
      <c r="Z23042"/>
    </row>
    <row r="23043" spans="26:26" x14ac:dyDescent="0.25">
      <c r="Z23043"/>
    </row>
    <row r="23044" spans="26:26" x14ac:dyDescent="0.25">
      <c r="Z23044"/>
    </row>
    <row r="23045" spans="26:26" x14ac:dyDescent="0.25">
      <c r="Z23045"/>
    </row>
    <row r="23046" spans="26:26" x14ac:dyDescent="0.25">
      <c r="Z23046"/>
    </row>
    <row r="23047" spans="26:26" x14ac:dyDescent="0.25">
      <c r="Z23047"/>
    </row>
    <row r="23048" spans="26:26" x14ac:dyDescent="0.25">
      <c r="Z23048"/>
    </row>
    <row r="23049" spans="26:26" x14ac:dyDescent="0.25">
      <c r="Z23049"/>
    </row>
    <row r="23050" spans="26:26" x14ac:dyDescent="0.25">
      <c r="Z23050"/>
    </row>
    <row r="23051" spans="26:26" x14ac:dyDescent="0.25">
      <c r="Z23051"/>
    </row>
    <row r="23052" spans="26:26" x14ac:dyDescent="0.25">
      <c r="Z23052"/>
    </row>
    <row r="23053" spans="26:26" x14ac:dyDescent="0.25">
      <c r="Z23053"/>
    </row>
    <row r="23054" spans="26:26" x14ac:dyDescent="0.25">
      <c r="Z23054"/>
    </row>
    <row r="23055" spans="26:26" x14ac:dyDescent="0.25">
      <c r="Z23055"/>
    </row>
    <row r="23056" spans="26:26" x14ac:dyDescent="0.25">
      <c r="Z23056"/>
    </row>
    <row r="23057" spans="26:26" x14ac:dyDescent="0.25">
      <c r="Z23057"/>
    </row>
    <row r="23058" spans="26:26" x14ac:dyDescent="0.25">
      <c r="Z23058"/>
    </row>
    <row r="23059" spans="26:26" x14ac:dyDescent="0.25">
      <c r="Z23059"/>
    </row>
    <row r="23060" spans="26:26" x14ac:dyDescent="0.25">
      <c r="Z23060"/>
    </row>
    <row r="23061" spans="26:26" x14ac:dyDescent="0.25">
      <c r="Z23061"/>
    </row>
    <row r="23062" spans="26:26" x14ac:dyDescent="0.25">
      <c r="Z23062"/>
    </row>
    <row r="23063" spans="26:26" x14ac:dyDescent="0.25">
      <c r="Z23063"/>
    </row>
    <row r="23064" spans="26:26" x14ac:dyDescent="0.25">
      <c r="Z23064"/>
    </row>
    <row r="23065" spans="26:26" x14ac:dyDescent="0.25">
      <c r="Z23065"/>
    </row>
    <row r="23066" spans="26:26" x14ac:dyDescent="0.25">
      <c r="Z23066"/>
    </row>
    <row r="23067" spans="26:26" x14ac:dyDescent="0.25">
      <c r="Z23067"/>
    </row>
    <row r="23068" spans="26:26" x14ac:dyDescent="0.25">
      <c r="Z23068"/>
    </row>
    <row r="23069" spans="26:26" x14ac:dyDescent="0.25">
      <c r="Z23069"/>
    </row>
    <row r="23070" spans="26:26" x14ac:dyDescent="0.25">
      <c r="Z23070"/>
    </row>
    <row r="23071" spans="26:26" x14ac:dyDescent="0.25">
      <c r="Z23071"/>
    </row>
    <row r="23072" spans="26:26" x14ac:dyDescent="0.25">
      <c r="Z23072"/>
    </row>
    <row r="23073" spans="26:26" x14ac:dyDescent="0.25">
      <c r="Z23073"/>
    </row>
    <row r="23074" spans="26:26" x14ac:dyDescent="0.25">
      <c r="Z23074"/>
    </row>
    <row r="23075" spans="26:26" x14ac:dyDescent="0.25">
      <c r="Z23075"/>
    </row>
    <row r="23076" spans="26:26" x14ac:dyDescent="0.25">
      <c r="Z23076"/>
    </row>
    <row r="23077" spans="26:26" x14ac:dyDescent="0.25">
      <c r="Z23077"/>
    </row>
    <row r="23078" spans="26:26" x14ac:dyDescent="0.25">
      <c r="Z23078"/>
    </row>
    <row r="23079" spans="26:26" x14ac:dyDescent="0.25">
      <c r="Z23079"/>
    </row>
    <row r="23080" spans="26:26" x14ac:dyDescent="0.25">
      <c r="Z23080"/>
    </row>
    <row r="23081" spans="26:26" x14ac:dyDescent="0.25">
      <c r="Z23081"/>
    </row>
    <row r="23082" spans="26:26" x14ac:dyDescent="0.25">
      <c r="Z23082"/>
    </row>
    <row r="23083" spans="26:26" x14ac:dyDescent="0.25">
      <c r="Z23083"/>
    </row>
    <row r="23084" spans="26:26" x14ac:dyDescent="0.25">
      <c r="Z23084"/>
    </row>
    <row r="23085" spans="26:26" x14ac:dyDescent="0.25">
      <c r="Z23085"/>
    </row>
    <row r="23086" spans="26:26" x14ac:dyDescent="0.25">
      <c r="Z23086"/>
    </row>
    <row r="23087" spans="26:26" x14ac:dyDescent="0.25">
      <c r="Z23087"/>
    </row>
    <row r="23088" spans="26:26" x14ac:dyDescent="0.25">
      <c r="Z23088"/>
    </row>
    <row r="23089" spans="26:26" x14ac:dyDescent="0.25">
      <c r="Z23089"/>
    </row>
    <row r="23090" spans="26:26" x14ac:dyDescent="0.25">
      <c r="Z23090"/>
    </row>
    <row r="23091" spans="26:26" x14ac:dyDescent="0.25">
      <c r="Z23091"/>
    </row>
    <row r="23092" spans="26:26" x14ac:dyDescent="0.25">
      <c r="Z23092"/>
    </row>
    <row r="23093" spans="26:26" x14ac:dyDescent="0.25">
      <c r="Z23093"/>
    </row>
    <row r="23094" spans="26:26" x14ac:dyDescent="0.25">
      <c r="Z23094"/>
    </row>
    <row r="23095" spans="26:26" x14ac:dyDescent="0.25">
      <c r="Z23095"/>
    </row>
    <row r="23096" spans="26:26" x14ac:dyDescent="0.25">
      <c r="Z23096"/>
    </row>
    <row r="23097" spans="26:26" x14ac:dyDescent="0.25">
      <c r="Z23097"/>
    </row>
    <row r="23098" spans="26:26" x14ac:dyDescent="0.25">
      <c r="Z23098"/>
    </row>
    <row r="23099" spans="26:26" x14ac:dyDescent="0.25">
      <c r="Z23099"/>
    </row>
    <row r="23100" spans="26:26" x14ac:dyDescent="0.25">
      <c r="Z23100"/>
    </row>
    <row r="23101" spans="26:26" x14ac:dyDescent="0.25">
      <c r="Z23101"/>
    </row>
    <row r="23102" spans="26:26" x14ac:dyDescent="0.25">
      <c r="Z23102"/>
    </row>
    <row r="23103" spans="26:26" x14ac:dyDescent="0.25">
      <c r="Z23103"/>
    </row>
    <row r="23104" spans="26:26" x14ac:dyDescent="0.25">
      <c r="Z23104"/>
    </row>
    <row r="23105" spans="26:26" x14ac:dyDescent="0.25">
      <c r="Z23105"/>
    </row>
    <row r="23106" spans="26:26" x14ac:dyDescent="0.25">
      <c r="Z23106"/>
    </row>
    <row r="23107" spans="26:26" x14ac:dyDescent="0.25">
      <c r="Z23107"/>
    </row>
    <row r="23108" spans="26:26" x14ac:dyDescent="0.25">
      <c r="Z23108"/>
    </row>
    <row r="23109" spans="26:26" x14ac:dyDescent="0.25">
      <c r="Z23109"/>
    </row>
    <row r="23110" spans="26:26" x14ac:dyDescent="0.25">
      <c r="Z23110"/>
    </row>
    <row r="23111" spans="26:26" x14ac:dyDescent="0.25">
      <c r="Z23111"/>
    </row>
    <row r="23112" spans="26:26" x14ac:dyDescent="0.25">
      <c r="Z23112"/>
    </row>
    <row r="23113" spans="26:26" x14ac:dyDescent="0.25">
      <c r="Z23113"/>
    </row>
    <row r="23114" spans="26:26" x14ac:dyDescent="0.25">
      <c r="Z23114"/>
    </row>
    <row r="23115" spans="26:26" x14ac:dyDescent="0.25">
      <c r="Z23115"/>
    </row>
    <row r="23116" spans="26:26" x14ac:dyDescent="0.25">
      <c r="Z23116"/>
    </row>
    <row r="23117" spans="26:26" x14ac:dyDescent="0.25">
      <c r="Z23117"/>
    </row>
    <row r="23118" spans="26:26" x14ac:dyDescent="0.25">
      <c r="Z23118"/>
    </row>
    <row r="23119" spans="26:26" x14ac:dyDescent="0.25">
      <c r="Z23119"/>
    </row>
    <row r="23120" spans="26:26" x14ac:dyDescent="0.25">
      <c r="Z23120"/>
    </row>
    <row r="23121" spans="26:26" x14ac:dyDescent="0.25">
      <c r="Z23121"/>
    </row>
    <row r="23122" spans="26:26" x14ac:dyDescent="0.25">
      <c r="Z23122"/>
    </row>
    <row r="23123" spans="26:26" x14ac:dyDescent="0.25">
      <c r="Z23123"/>
    </row>
    <row r="23124" spans="26:26" x14ac:dyDescent="0.25">
      <c r="Z23124"/>
    </row>
    <row r="23125" spans="26:26" x14ac:dyDescent="0.25">
      <c r="Z23125"/>
    </row>
    <row r="23126" spans="26:26" x14ac:dyDescent="0.25">
      <c r="Z23126"/>
    </row>
    <row r="23127" spans="26:26" x14ac:dyDescent="0.25">
      <c r="Z23127"/>
    </row>
    <row r="23128" spans="26:26" x14ac:dyDescent="0.25">
      <c r="Z23128"/>
    </row>
    <row r="23129" spans="26:26" x14ac:dyDescent="0.25">
      <c r="Z23129"/>
    </row>
    <row r="23130" spans="26:26" x14ac:dyDescent="0.25">
      <c r="Z23130"/>
    </row>
    <row r="23131" spans="26:26" x14ac:dyDescent="0.25">
      <c r="Z23131"/>
    </row>
    <row r="23132" spans="26:26" x14ac:dyDescent="0.25">
      <c r="Z23132"/>
    </row>
    <row r="23133" spans="26:26" x14ac:dyDescent="0.25">
      <c r="Z23133"/>
    </row>
    <row r="23134" spans="26:26" x14ac:dyDescent="0.25">
      <c r="Z23134"/>
    </row>
    <row r="23135" spans="26:26" x14ac:dyDescent="0.25">
      <c r="Z23135"/>
    </row>
    <row r="23136" spans="26:26" x14ac:dyDescent="0.25">
      <c r="Z23136"/>
    </row>
    <row r="23137" spans="26:26" x14ac:dyDescent="0.25">
      <c r="Z23137"/>
    </row>
    <row r="23138" spans="26:26" x14ac:dyDescent="0.25">
      <c r="Z23138"/>
    </row>
    <row r="23139" spans="26:26" x14ac:dyDescent="0.25">
      <c r="Z23139"/>
    </row>
    <row r="23140" spans="26:26" x14ac:dyDescent="0.25">
      <c r="Z23140"/>
    </row>
    <row r="23141" spans="26:26" x14ac:dyDescent="0.25">
      <c r="Z23141"/>
    </row>
    <row r="23142" spans="26:26" x14ac:dyDescent="0.25">
      <c r="Z23142"/>
    </row>
    <row r="23143" spans="26:26" x14ac:dyDescent="0.25">
      <c r="Z23143"/>
    </row>
    <row r="23144" spans="26:26" x14ac:dyDescent="0.25">
      <c r="Z23144"/>
    </row>
    <row r="23145" spans="26:26" x14ac:dyDescent="0.25">
      <c r="Z23145"/>
    </row>
    <row r="23146" spans="26:26" x14ac:dyDescent="0.25">
      <c r="Z23146"/>
    </row>
    <row r="23147" spans="26:26" x14ac:dyDescent="0.25">
      <c r="Z23147"/>
    </row>
    <row r="23148" spans="26:26" x14ac:dyDescent="0.25">
      <c r="Z23148"/>
    </row>
    <row r="23149" spans="26:26" x14ac:dyDescent="0.25">
      <c r="Z23149"/>
    </row>
    <row r="23150" spans="26:26" x14ac:dyDescent="0.25">
      <c r="Z23150"/>
    </row>
    <row r="23151" spans="26:26" x14ac:dyDescent="0.25">
      <c r="Z23151"/>
    </row>
    <row r="23152" spans="26:26" x14ac:dyDescent="0.25">
      <c r="Z23152"/>
    </row>
    <row r="23153" spans="26:26" x14ac:dyDescent="0.25">
      <c r="Z23153"/>
    </row>
    <row r="23154" spans="26:26" x14ac:dyDescent="0.25">
      <c r="Z23154"/>
    </row>
    <row r="23155" spans="26:26" x14ac:dyDescent="0.25">
      <c r="Z23155"/>
    </row>
    <row r="23156" spans="26:26" x14ac:dyDescent="0.25">
      <c r="Z23156"/>
    </row>
    <row r="23157" spans="26:26" x14ac:dyDescent="0.25">
      <c r="Z23157"/>
    </row>
    <row r="23158" spans="26:26" x14ac:dyDescent="0.25">
      <c r="Z23158"/>
    </row>
    <row r="23159" spans="26:26" x14ac:dyDescent="0.25">
      <c r="Z23159"/>
    </row>
    <row r="23160" spans="26:26" x14ac:dyDescent="0.25">
      <c r="Z23160"/>
    </row>
    <row r="23161" spans="26:26" x14ac:dyDescent="0.25">
      <c r="Z23161"/>
    </row>
    <row r="23162" spans="26:26" x14ac:dyDescent="0.25">
      <c r="Z23162"/>
    </row>
    <row r="23163" spans="26:26" x14ac:dyDescent="0.25">
      <c r="Z23163"/>
    </row>
    <row r="23164" spans="26:26" x14ac:dyDescent="0.25">
      <c r="Z23164"/>
    </row>
    <row r="23165" spans="26:26" x14ac:dyDescent="0.25">
      <c r="Z23165"/>
    </row>
    <row r="23166" spans="26:26" x14ac:dyDescent="0.25">
      <c r="Z23166"/>
    </row>
    <row r="23167" spans="26:26" x14ac:dyDescent="0.25">
      <c r="Z23167"/>
    </row>
    <row r="23168" spans="26:26" x14ac:dyDescent="0.25">
      <c r="Z23168"/>
    </row>
    <row r="23169" spans="26:26" x14ac:dyDescent="0.25">
      <c r="Z23169"/>
    </row>
    <row r="23170" spans="26:26" x14ac:dyDescent="0.25">
      <c r="Z23170"/>
    </row>
    <row r="23171" spans="26:26" x14ac:dyDescent="0.25">
      <c r="Z23171"/>
    </row>
    <row r="23172" spans="26:26" x14ac:dyDescent="0.25">
      <c r="Z23172"/>
    </row>
    <row r="23173" spans="26:26" x14ac:dyDescent="0.25">
      <c r="Z23173"/>
    </row>
    <row r="23174" spans="26:26" x14ac:dyDescent="0.25">
      <c r="Z23174"/>
    </row>
    <row r="23175" spans="26:26" x14ac:dyDescent="0.25">
      <c r="Z23175"/>
    </row>
    <row r="23176" spans="26:26" x14ac:dyDescent="0.25">
      <c r="Z23176"/>
    </row>
    <row r="23177" spans="26:26" x14ac:dyDescent="0.25">
      <c r="Z23177"/>
    </row>
    <row r="23178" spans="26:26" x14ac:dyDescent="0.25">
      <c r="Z23178"/>
    </row>
    <row r="23179" spans="26:26" x14ac:dyDescent="0.25">
      <c r="Z23179"/>
    </row>
    <row r="23180" spans="26:26" x14ac:dyDescent="0.25">
      <c r="Z23180"/>
    </row>
    <row r="23181" spans="26:26" x14ac:dyDescent="0.25">
      <c r="Z23181"/>
    </row>
    <row r="23182" spans="26:26" x14ac:dyDescent="0.25">
      <c r="Z23182"/>
    </row>
    <row r="23183" spans="26:26" x14ac:dyDescent="0.25">
      <c r="Z23183"/>
    </row>
    <row r="23184" spans="26:26" x14ac:dyDescent="0.25">
      <c r="Z23184"/>
    </row>
    <row r="23185" spans="26:26" x14ac:dyDescent="0.25">
      <c r="Z23185"/>
    </row>
    <row r="23186" spans="26:26" x14ac:dyDescent="0.25">
      <c r="Z23186"/>
    </row>
    <row r="23187" spans="26:26" x14ac:dyDescent="0.25">
      <c r="Z23187"/>
    </row>
    <row r="23188" spans="26:26" x14ac:dyDescent="0.25">
      <c r="Z23188"/>
    </row>
    <row r="23189" spans="26:26" x14ac:dyDescent="0.25">
      <c r="Z23189"/>
    </row>
    <row r="23190" spans="26:26" x14ac:dyDescent="0.25">
      <c r="Z23190"/>
    </row>
    <row r="23191" spans="26:26" x14ac:dyDescent="0.25">
      <c r="Z23191"/>
    </row>
    <row r="23192" spans="26:26" x14ac:dyDescent="0.25">
      <c r="Z23192"/>
    </row>
    <row r="23193" spans="26:26" x14ac:dyDescent="0.25">
      <c r="Z23193"/>
    </row>
    <row r="23194" spans="26:26" x14ac:dyDescent="0.25">
      <c r="Z23194"/>
    </row>
    <row r="23195" spans="26:26" x14ac:dyDescent="0.25">
      <c r="Z23195"/>
    </row>
    <row r="23196" spans="26:26" x14ac:dyDescent="0.25">
      <c r="Z23196"/>
    </row>
    <row r="23197" spans="26:26" x14ac:dyDescent="0.25">
      <c r="Z23197"/>
    </row>
    <row r="23198" spans="26:26" x14ac:dyDescent="0.25">
      <c r="Z23198"/>
    </row>
    <row r="23199" spans="26:26" x14ac:dyDescent="0.25">
      <c r="Z23199"/>
    </row>
    <row r="23200" spans="26:26" x14ac:dyDescent="0.25">
      <c r="Z23200"/>
    </row>
    <row r="23201" spans="26:26" x14ac:dyDescent="0.25">
      <c r="Z23201"/>
    </row>
    <row r="23202" spans="26:26" x14ac:dyDescent="0.25">
      <c r="Z23202"/>
    </row>
    <row r="23203" spans="26:26" x14ac:dyDescent="0.25">
      <c r="Z23203"/>
    </row>
    <row r="23204" spans="26:26" x14ac:dyDescent="0.25">
      <c r="Z23204"/>
    </row>
    <row r="23205" spans="26:26" x14ac:dyDescent="0.25">
      <c r="Z23205"/>
    </row>
    <row r="23206" spans="26:26" x14ac:dyDescent="0.25">
      <c r="Z23206"/>
    </row>
    <row r="23207" spans="26:26" x14ac:dyDescent="0.25">
      <c r="Z23207"/>
    </row>
    <row r="23208" spans="26:26" x14ac:dyDescent="0.25">
      <c r="Z23208"/>
    </row>
    <row r="23209" spans="26:26" x14ac:dyDescent="0.25">
      <c r="Z23209"/>
    </row>
    <row r="23210" spans="26:26" x14ac:dyDescent="0.25">
      <c r="Z23210"/>
    </row>
    <row r="23211" spans="26:26" x14ac:dyDescent="0.25">
      <c r="Z23211"/>
    </row>
    <row r="23212" spans="26:26" x14ac:dyDescent="0.25">
      <c r="Z23212"/>
    </row>
    <row r="23213" spans="26:26" x14ac:dyDescent="0.25">
      <c r="Z23213"/>
    </row>
    <row r="23214" spans="26:26" x14ac:dyDescent="0.25">
      <c r="Z23214"/>
    </row>
    <row r="23215" spans="26:26" x14ac:dyDescent="0.25">
      <c r="Z23215"/>
    </row>
    <row r="23216" spans="26:26" x14ac:dyDescent="0.25">
      <c r="Z23216"/>
    </row>
    <row r="23217" spans="26:26" x14ac:dyDescent="0.25">
      <c r="Z23217"/>
    </row>
    <row r="23218" spans="26:26" x14ac:dyDescent="0.25">
      <c r="Z23218"/>
    </row>
    <row r="23219" spans="26:26" x14ac:dyDescent="0.25">
      <c r="Z23219"/>
    </row>
    <row r="23220" spans="26:26" x14ac:dyDescent="0.25">
      <c r="Z23220"/>
    </row>
    <row r="23221" spans="26:26" x14ac:dyDescent="0.25">
      <c r="Z23221"/>
    </row>
    <row r="23222" spans="26:26" x14ac:dyDescent="0.25">
      <c r="Z23222"/>
    </row>
    <row r="23223" spans="26:26" x14ac:dyDescent="0.25">
      <c r="Z23223"/>
    </row>
    <row r="23224" spans="26:26" x14ac:dyDescent="0.25">
      <c r="Z23224"/>
    </row>
    <row r="23225" spans="26:26" x14ac:dyDescent="0.25">
      <c r="Z23225"/>
    </row>
    <row r="23226" spans="26:26" x14ac:dyDescent="0.25">
      <c r="Z23226"/>
    </row>
    <row r="23227" spans="26:26" x14ac:dyDescent="0.25">
      <c r="Z23227"/>
    </row>
    <row r="23228" spans="26:26" x14ac:dyDescent="0.25">
      <c r="Z23228"/>
    </row>
    <row r="23229" spans="26:26" x14ac:dyDescent="0.25">
      <c r="Z23229"/>
    </row>
    <row r="23230" spans="26:26" x14ac:dyDescent="0.25">
      <c r="Z23230"/>
    </row>
    <row r="23231" spans="26:26" x14ac:dyDescent="0.25">
      <c r="Z23231"/>
    </row>
    <row r="23232" spans="26:26" x14ac:dyDescent="0.25">
      <c r="Z23232"/>
    </row>
    <row r="23233" spans="26:26" x14ac:dyDescent="0.25">
      <c r="Z23233"/>
    </row>
    <row r="23234" spans="26:26" x14ac:dyDescent="0.25">
      <c r="Z23234"/>
    </row>
    <row r="23235" spans="26:26" x14ac:dyDescent="0.25">
      <c r="Z23235"/>
    </row>
    <row r="23236" spans="26:26" x14ac:dyDescent="0.25">
      <c r="Z23236"/>
    </row>
    <row r="23237" spans="26:26" x14ac:dyDescent="0.25">
      <c r="Z23237"/>
    </row>
    <row r="23238" spans="26:26" x14ac:dyDescent="0.25">
      <c r="Z23238"/>
    </row>
    <row r="23239" spans="26:26" x14ac:dyDescent="0.25">
      <c r="Z23239"/>
    </row>
    <row r="23240" spans="26:26" x14ac:dyDescent="0.25">
      <c r="Z23240"/>
    </row>
    <row r="23241" spans="26:26" x14ac:dyDescent="0.25">
      <c r="Z23241"/>
    </row>
    <row r="23242" spans="26:26" x14ac:dyDescent="0.25">
      <c r="Z23242"/>
    </row>
    <row r="23243" spans="26:26" x14ac:dyDescent="0.25">
      <c r="Z23243"/>
    </row>
    <row r="23244" spans="26:26" x14ac:dyDescent="0.25">
      <c r="Z23244"/>
    </row>
    <row r="23245" spans="26:26" x14ac:dyDescent="0.25">
      <c r="Z23245"/>
    </row>
    <row r="23246" spans="26:26" x14ac:dyDescent="0.25">
      <c r="Z23246"/>
    </row>
    <row r="23247" spans="26:26" x14ac:dyDescent="0.25">
      <c r="Z23247"/>
    </row>
    <row r="23248" spans="26:26" x14ac:dyDescent="0.25">
      <c r="Z23248"/>
    </row>
    <row r="23249" spans="26:26" x14ac:dyDescent="0.25">
      <c r="Z23249"/>
    </row>
    <row r="23250" spans="26:26" x14ac:dyDescent="0.25">
      <c r="Z23250"/>
    </row>
    <row r="23251" spans="26:26" x14ac:dyDescent="0.25">
      <c r="Z23251"/>
    </row>
    <row r="23252" spans="26:26" x14ac:dyDescent="0.25">
      <c r="Z23252"/>
    </row>
    <row r="23253" spans="26:26" x14ac:dyDescent="0.25">
      <c r="Z23253"/>
    </row>
    <row r="23254" spans="26:26" x14ac:dyDescent="0.25">
      <c r="Z23254"/>
    </row>
    <row r="23255" spans="26:26" x14ac:dyDescent="0.25">
      <c r="Z23255"/>
    </row>
    <row r="23256" spans="26:26" x14ac:dyDescent="0.25">
      <c r="Z23256"/>
    </row>
    <row r="23257" spans="26:26" x14ac:dyDescent="0.25">
      <c r="Z23257"/>
    </row>
    <row r="23258" spans="26:26" x14ac:dyDescent="0.25">
      <c r="Z23258"/>
    </row>
    <row r="23259" spans="26:26" x14ac:dyDescent="0.25">
      <c r="Z23259"/>
    </row>
    <row r="23260" spans="26:26" x14ac:dyDescent="0.25">
      <c r="Z23260"/>
    </row>
    <row r="23261" spans="26:26" x14ac:dyDescent="0.25">
      <c r="Z23261"/>
    </row>
    <row r="23262" spans="26:26" x14ac:dyDescent="0.25">
      <c r="Z23262"/>
    </row>
    <row r="23263" spans="26:26" x14ac:dyDescent="0.25">
      <c r="Z23263"/>
    </row>
    <row r="23264" spans="26:26" x14ac:dyDescent="0.25">
      <c r="Z23264"/>
    </row>
    <row r="23265" spans="26:26" x14ac:dyDescent="0.25">
      <c r="Z23265"/>
    </row>
    <row r="23266" spans="26:26" x14ac:dyDescent="0.25">
      <c r="Z23266"/>
    </row>
    <row r="23267" spans="26:26" x14ac:dyDescent="0.25">
      <c r="Z23267"/>
    </row>
    <row r="23268" spans="26:26" x14ac:dyDescent="0.25">
      <c r="Z23268"/>
    </row>
    <row r="23269" spans="26:26" x14ac:dyDescent="0.25">
      <c r="Z23269"/>
    </row>
    <row r="23270" spans="26:26" x14ac:dyDescent="0.25">
      <c r="Z23270"/>
    </row>
    <row r="23271" spans="26:26" x14ac:dyDescent="0.25">
      <c r="Z23271"/>
    </row>
    <row r="23272" spans="26:26" x14ac:dyDescent="0.25">
      <c r="Z23272"/>
    </row>
    <row r="23273" spans="26:26" x14ac:dyDescent="0.25">
      <c r="Z23273"/>
    </row>
    <row r="23274" spans="26:26" x14ac:dyDescent="0.25">
      <c r="Z23274"/>
    </row>
    <row r="23275" spans="26:26" x14ac:dyDescent="0.25">
      <c r="Z23275"/>
    </row>
    <row r="23276" spans="26:26" x14ac:dyDescent="0.25">
      <c r="Z23276"/>
    </row>
    <row r="23277" spans="26:26" x14ac:dyDescent="0.25">
      <c r="Z23277"/>
    </row>
    <row r="23278" spans="26:26" x14ac:dyDescent="0.25">
      <c r="Z23278"/>
    </row>
    <row r="23279" spans="26:26" x14ac:dyDescent="0.25">
      <c r="Z23279"/>
    </row>
    <row r="23280" spans="26:26" x14ac:dyDescent="0.25">
      <c r="Z23280"/>
    </row>
    <row r="23281" spans="26:26" x14ac:dyDescent="0.25">
      <c r="Z23281"/>
    </row>
    <row r="23282" spans="26:26" x14ac:dyDescent="0.25">
      <c r="Z23282"/>
    </row>
    <row r="23283" spans="26:26" x14ac:dyDescent="0.25">
      <c r="Z23283"/>
    </row>
    <row r="23284" spans="26:26" x14ac:dyDescent="0.25">
      <c r="Z23284"/>
    </row>
    <row r="23285" spans="26:26" x14ac:dyDescent="0.25">
      <c r="Z23285"/>
    </row>
    <row r="23286" spans="26:26" x14ac:dyDescent="0.25">
      <c r="Z23286"/>
    </row>
    <row r="23287" spans="26:26" x14ac:dyDescent="0.25">
      <c r="Z23287"/>
    </row>
    <row r="23288" spans="26:26" x14ac:dyDescent="0.25">
      <c r="Z23288"/>
    </row>
    <row r="23289" spans="26:26" x14ac:dyDescent="0.25">
      <c r="Z23289"/>
    </row>
    <row r="23290" spans="26:26" x14ac:dyDescent="0.25">
      <c r="Z23290"/>
    </row>
    <row r="23291" spans="26:26" x14ac:dyDescent="0.25">
      <c r="Z23291"/>
    </row>
    <row r="23292" spans="26:26" x14ac:dyDescent="0.25">
      <c r="Z23292"/>
    </row>
    <row r="23293" spans="26:26" x14ac:dyDescent="0.25">
      <c r="Z23293"/>
    </row>
    <row r="23294" spans="26:26" x14ac:dyDescent="0.25">
      <c r="Z23294"/>
    </row>
    <row r="23295" spans="26:26" x14ac:dyDescent="0.25">
      <c r="Z23295"/>
    </row>
    <row r="23296" spans="26:26" x14ac:dyDescent="0.25">
      <c r="Z23296"/>
    </row>
    <row r="23297" spans="26:26" x14ac:dyDescent="0.25">
      <c r="Z23297"/>
    </row>
    <row r="23298" spans="26:26" x14ac:dyDescent="0.25">
      <c r="Z23298"/>
    </row>
    <row r="23299" spans="26:26" x14ac:dyDescent="0.25">
      <c r="Z23299"/>
    </row>
    <row r="23300" spans="26:26" x14ac:dyDescent="0.25">
      <c r="Z23300"/>
    </row>
    <row r="23301" spans="26:26" x14ac:dyDescent="0.25">
      <c r="Z23301"/>
    </row>
    <row r="23302" spans="26:26" x14ac:dyDescent="0.25">
      <c r="Z23302"/>
    </row>
    <row r="23303" spans="26:26" x14ac:dyDescent="0.25">
      <c r="Z23303"/>
    </row>
    <row r="23304" spans="26:26" x14ac:dyDescent="0.25">
      <c r="Z23304"/>
    </row>
    <row r="23305" spans="26:26" x14ac:dyDescent="0.25">
      <c r="Z23305"/>
    </row>
    <row r="23306" spans="26:26" x14ac:dyDescent="0.25">
      <c r="Z23306"/>
    </row>
    <row r="23307" spans="26:26" x14ac:dyDescent="0.25">
      <c r="Z23307"/>
    </row>
    <row r="23308" spans="26:26" x14ac:dyDescent="0.25">
      <c r="Z23308"/>
    </row>
    <row r="23309" spans="26:26" x14ac:dyDescent="0.25">
      <c r="Z23309"/>
    </row>
    <row r="23310" spans="26:26" x14ac:dyDescent="0.25">
      <c r="Z23310"/>
    </row>
    <row r="23311" spans="26:26" x14ac:dyDescent="0.25">
      <c r="Z23311"/>
    </row>
    <row r="23312" spans="26:26" x14ac:dyDescent="0.25">
      <c r="Z23312"/>
    </row>
    <row r="23313" spans="26:26" x14ac:dyDescent="0.25">
      <c r="Z23313"/>
    </row>
    <row r="23314" spans="26:26" x14ac:dyDescent="0.25">
      <c r="Z23314"/>
    </row>
    <row r="23315" spans="26:26" x14ac:dyDescent="0.25">
      <c r="Z23315"/>
    </row>
    <row r="23316" spans="26:26" x14ac:dyDescent="0.25">
      <c r="Z23316"/>
    </row>
    <row r="23317" spans="26:26" x14ac:dyDescent="0.25">
      <c r="Z23317"/>
    </row>
    <row r="23318" spans="26:26" x14ac:dyDescent="0.25">
      <c r="Z23318"/>
    </row>
    <row r="23319" spans="26:26" x14ac:dyDescent="0.25">
      <c r="Z23319"/>
    </row>
    <row r="23320" spans="26:26" x14ac:dyDescent="0.25">
      <c r="Z23320"/>
    </row>
    <row r="23321" spans="26:26" x14ac:dyDescent="0.25">
      <c r="Z23321"/>
    </row>
    <row r="23322" spans="26:26" x14ac:dyDescent="0.25">
      <c r="Z23322"/>
    </row>
    <row r="23323" spans="26:26" x14ac:dyDescent="0.25">
      <c r="Z23323"/>
    </row>
    <row r="23324" spans="26:26" x14ac:dyDescent="0.25">
      <c r="Z23324"/>
    </row>
    <row r="23325" spans="26:26" x14ac:dyDescent="0.25">
      <c r="Z23325"/>
    </row>
    <row r="23326" spans="26:26" x14ac:dyDescent="0.25">
      <c r="Z23326"/>
    </row>
    <row r="23327" spans="26:26" x14ac:dyDescent="0.25">
      <c r="Z23327"/>
    </row>
    <row r="23328" spans="26:26" x14ac:dyDescent="0.25">
      <c r="Z23328"/>
    </row>
    <row r="23329" spans="26:26" x14ac:dyDescent="0.25">
      <c r="Z23329"/>
    </row>
    <row r="23330" spans="26:26" x14ac:dyDescent="0.25">
      <c r="Z23330"/>
    </row>
    <row r="23331" spans="26:26" x14ac:dyDescent="0.25">
      <c r="Z23331"/>
    </row>
    <row r="23332" spans="26:26" x14ac:dyDescent="0.25">
      <c r="Z23332"/>
    </row>
    <row r="23333" spans="26:26" x14ac:dyDescent="0.25">
      <c r="Z23333"/>
    </row>
    <row r="23334" spans="26:26" x14ac:dyDescent="0.25">
      <c r="Z23334"/>
    </row>
    <row r="23335" spans="26:26" x14ac:dyDescent="0.25">
      <c r="Z23335"/>
    </row>
    <row r="23336" spans="26:26" x14ac:dyDescent="0.25">
      <c r="Z23336"/>
    </row>
    <row r="23337" spans="26:26" x14ac:dyDescent="0.25">
      <c r="Z23337"/>
    </row>
    <row r="23338" spans="26:26" x14ac:dyDescent="0.25">
      <c r="Z23338"/>
    </row>
    <row r="23339" spans="26:26" x14ac:dyDescent="0.25">
      <c r="Z23339"/>
    </row>
    <row r="23340" spans="26:26" x14ac:dyDescent="0.25">
      <c r="Z23340"/>
    </row>
    <row r="23341" spans="26:26" x14ac:dyDescent="0.25">
      <c r="Z23341"/>
    </row>
    <row r="23342" spans="26:26" x14ac:dyDescent="0.25">
      <c r="Z23342"/>
    </row>
    <row r="23343" spans="26:26" x14ac:dyDescent="0.25">
      <c r="Z23343"/>
    </row>
    <row r="23344" spans="26:26" x14ac:dyDescent="0.25">
      <c r="Z23344"/>
    </row>
    <row r="23345" spans="26:26" x14ac:dyDescent="0.25">
      <c r="Z23345"/>
    </row>
    <row r="23346" spans="26:26" x14ac:dyDescent="0.25">
      <c r="Z23346"/>
    </row>
    <row r="23347" spans="26:26" x14ac:dyDescent="0.25">
      <c r="Z23347"/>
    </row>
    <row r="23348" spans="26:26" x14ac:dyDescent="0.25">
      <c r="Z23348"/>
    </row>
    <row r="23349" spans="26:26" x14ac:dyDescent="0.25">
      <c r="Z23349"/>
    </row>
    <row r="23350" spans="26:26" x14ac:dyDescent="0.25">
      <c r="Z23350"/>
    </row>
    <row r="23351" spans="26:26" x14ac:dyDescent="0.25">
      <c r="Z23351"/>
    </row>
    <row r="23352" spans="26:26" x14ac:dyDescent="0.25">
      <c r="Z23352"/>
    </row>
    <row r="23353" spans="26:26" x14ac:dyDescent="0.25">
      <c r="Z23353"/>
    </row>
    <row r="23354" spans="26:26" x14ac:dyDescent="0.25">
      <c r="Z23354"/>
    </row>
    <row r="23355" spans="26:26" x14ac:dyDescent="0.25">
      <c r="Z23355"/>
    </row>
    <row r="23356" spans="26:26" x14ac:dyDescent="0.25">
      <c r="Z23356"/>
    </row>
    <row r="23357" spans="26:26" x14ac:dyDescent="0.25">
      <c r="Z23357"/>
    </row>
    <row r="23358" spans="26:26" x14ac:dyDescent="0.25">
      <c r="Z23358"/>
    </row>
    <row r="23359" spans="26:26" x14ac:dyDescent="0.25">
      <c r="Z23359"/>
    </row>
    <row r="23360" spans="26:26" x14ac:dyDescent="0.25">
      <c r="Z23360"/>
    </row>
    <row r="23361" spans="26:26" x14ac:dyDescent="0.25">
      <c r="Z23361"/>
    </row>
    <row r="23362" spans="26:26" x14ac:dyDescent="0.25">
      <c r="Z23362"/>
    </row>
    <row r="23363" spans="26:26" x14ac:dyDescent="0.25">
      <c r="Z23363"/>
    </row>
    <row r="23364" spans="26:26" x14ac:dyDescent="0.25">
      <c r="Z23364"/>
    </row>
    <row r="23365" spans="26:26" x14ac:dyDescent="0.25">
      <c r="Z23365"/>
    </row>
    <row r="23366" spans="26:26" x14ac:dyDescent="0.25">
      <c r="Z23366"/>
    </row>
    <row r="23367" spans="26:26" x14ac:dyDescent="0.25">
      <c r="Z23367"/>
    </row>
    <row r="23368" spans="26:26" x14ac:dyDescent="0.25">
      <c r="Z23368"/>
    </row>
    <row r="23369" spans="26:26" x14ac:dyDescent="0.25">
      <c r="Z23369"/>
    </row>
    <row r="23370" spans="26:26" x14ac:dyDescent="0.25">
      <c r="Z23370"/>
    </row>
    <row r="23371" spans="26:26" x14ac:dyDescent="0.25">
      <c r="Z23371"/>
    </row>
    <row r="23372" spans="26:26" x14ac:dyDescent="0.25">
      <c r="Z23372"/>
    </row>
    <row r="23373" spans="26:26" x14ac:dyDescent="0.25">
      <c r="Z23373"/>
    </row>
    <row r="23374" spans="26:26" x14ac:dyDescent="0.25">
      <c r="Z23374"/>
    </row>
    <row r="23375" spans="26:26" x14ac:dyDescent="0.25">
      <c r="Z23375"/>
    </row>
    <row r="23376" spans="26:26" x14ac:dyDescent="0.25">
      <c r="Z23376"/>
    </row>
    <row r="23377" spans="26:26" x14ac:dyDescent="0.25">
      <c r="Z23377"/>
    </row>
    <row r="23378" spans="26:26" x14ac:dyDescent="0.25">
      <c r="Z23378"/>
    </row>
    <row r="23379" spans="26:26" x14ac:dyDescent="0.25">
      <c r="Z23379"/>
    </row>
    <row r="23380" spans="26:26" x14ac:dyDescent="0.25">
      <c r="Z23380"/>
    </row>
    <row r="23381" spans="26:26" x14ac:dyDescent="0.25">
      <c r="Z23381"/>
    </row>
    <row r="23382" spans="26:26" x14ac:dyDescent="0.25">
      <c r="Z23382"/>
    </row>
    <row r="23383" spans="26:26" x14ac:dyDescent="0.25">
      <c r="Z23383"/>
    </row>
    <row r="23384" spans="26:26" x14ac:dyDescent="0.25">
      <c r="Z23384"/>
    </row>
    <row r="23385" spans="26:26" x14ac:dyDescent="0.25">
      <c r="Z23385"/>
    </row>
    <row r="23386" spans="26:26" x14ac:dyDescent="0.25">
      <c r="Z23386"/>
    </row>
    <row r="23387" spans="26:26" x14ac:dyDescent="0.25">
      <c r="Z23387"/>
    </row>
    <row r="23388" spans="26:26" x14ac:dyDescent="0.25">
      <c r="Z23388"/>
    </row>
    <row r="23389" spans="26:26" x14ac:dyDescent="0.25">
      <c r="Z23389"/>
    </row>
    <row r="23390" spans="26:26" x14ac:dyDescent="0.25">
      <c r="Z23390"/>
    </row>
    <row r="23391" spans="26:26" x14ac:dyDescent="0.25">
      <c r="Z23391"/>
    </row>
    <row r="23392" spans="26:26" x14ac:dyDescent="0.25">
      <c r="Z23392"/>
    </row>
    <row r="23393" spans="26:26" x14ac:dyDescent="0.25">
      <c r="Z23393"/>
    </row>
    <row r="23394" spans="26:26" x14ac:dyDescent="0.25">
      <c r="Z23394"/>
    </row>
    <row r="23395" spans="26:26" x14ac:dyDescent="0.25">
      <c r="Z23395"/>
    </row>
    <row r="23396" spans="26:26" x14ac:dyDescent="0.25">
      <c r="Z23396"/>
    </row>
    <row r="23397" spans="26:26" x14ac:dyDescent="0.25">
      <c r="Z23397"/>
    </row>
    <row r="23398" spans="26:26" x14ac:dyDescent="0.25">
      <c r="Z23398"/>
    </row>
    <row r="23399" spans="26:26" x14ac:dyDescent="0.25">
      <c r="Z23399"/>
    </row>
    <row r="23400" spans="26:26" x14ac:dyDescent="0.25">
      <c r="Z23400"/>
    </row>
    <row r="23401" spans="26:26" x14ac:dyDescent="0.25">
      <c r="Z23401"/>
    </row>
    <row r="23402" spans="26:26" x14ac:dyDescent="0.25">
      <c r="Z23402"/>
    </row>
    <row r="23403" spans="26:26" x14ac:dyDescent="0.25">
      <c r="Z23403"/>
    </row>
    <row r="23404" spans="26:26" x14ac:dyDescent="0.25">
      <c r="Z23404"/>
    </row>
    <row r="23405" spans="26:26" x14ac:dyDescent="0.25">
      <c r="Z23405"/>
    </row>
    <row r="23406" spans="26:26" x14ac:dyDescent="0.25">
      <c r="Z23406"/>
    </row>
    <row r="23407" spans="26:26" x14ac:dyDescent="0.25">
      <c r="Z23407"/>
    </row>
    <row r="23408" spans="26:26" x14ac:dyDescent="0.25">
      <c r="Z23408"/>
    </row>
    <row r="23409" spans="26:26" x14ac:dyDescent="0.25">
      <c r="Z23409"/>
    </row>
    <row r="23410" spans="26:26" x14ac:dyDescent="0.25">
      <c r="Z23410"/>
    </row>
    <row r="23411" spans="26:26" x14ac:dyDescent="0.25">
      <c r="Z23411"/>
    </row>
    <row r="23412" spans="26:26" x14ac:dyDescent="0.25">
      <c r="Z23412"/>
    </row>
    <row r="23413" spans="26:26" x14ac:dyDescent="0.25">
      <c r="Z23413"/>
    </row>
    <row r="23414" spans="26:26" x14ac:dyDescent="0.25">
      <c r="Z23414"/>
    </row>
    <row r="23415" spans="26:26" x14ac:dyDescent="0.25">
      <c r="Z23415"/>
    </row>
    <row r="23416" spans="26:26" x14ac:dyDescent="0.25">
      <c r="Z23416"/>
    </row>
    <row r="23417" spans="26:26" x14ac:dyDescent="0.25">
      <c r="Z23417"/>
    </row>
    <row r="23418" spans="26:26" x14ac:dyDescent="0.25">
      <c r="Z23418"/>
    </row>
    <row r="23419" spans="26:26" x14ac:dyDescent="0.25">
      <c r="Z23419"/>
    </row>
    <row r="23420" spans="26:26" x14ac:dyDescent="0.25">
      <c r="Z23420"/>
    </row>
    <row r="23421" spans="26:26" x14ac:dyDescent="0.25">
      <c r="Z23421"/>
    </row>
    <row r="23422" spans="26:26" x14ac:dyDescent="0.25">
      <c r="Z23422"/>
    </row>
    <row r="23423" spans="26:26" x14ac:dyDescent="0.25">
      <c r="Z23423"/>
    </row>
    <row r="23424" spans="26:26" x14ac:dyDescent="0.25">
      <c r="Z23424"/>
    </row>
    <row r="23425" spans="26:26" x14ac:dyDescent="0.25">
      <c r="Z23425"/>
    </row>
    <row r="23426" spans="26:26" x14ac:dyDescent="0.25">
      <c r="Z23426"/>
    </row>
    <row r="23427" spans="26:26" x14ac:dyDescent="0.25">
      <c r="Z23427"/>
    </row>
    <row r="23428" spans="26:26" x14ac:dyDescent="0.25">
      <c r="Z23428"/>
    </row>
    <row r="23429" spans="26:26" x14ac:dyDescent="0.25">
      <c r="Z23429"/>
    </row>
    <row r="23430" spans="26:26" x14ac:dyDescent="0.25">
      <c r="Z23430"/>
    </row>
    <row r="23431" spans="26:26" x14ac:dyDescent="0.25">
      <c r="Z23431"/>
    </row>
    <row r="23432" spans="26:26" x14ac:dyDescent="0.25">
      <c r="Z23432"/>
    </row>
    <row r="23433" spans="26:26" x14ac:dyDescent="0.25">
      <c r="Z23433"/>
    </row>
    <row r="23434" spans="26:26" x14ac:dyDescent="0.25">
      <c r="Z23434"/>
    </row>
    <row r="23435" spans="26:26" x14ac:dyDescent="0.25">
      <c r="Z23435"/>
    </row>
    <row r="23436" spans="26:26" x14ac:dyDescent="0.25">
      <c r="Z23436"/>
    </row>
    <row r="23437" spans="26:26" x14ac:dyDescent="0.25">
      <c r="Z23437"/>
    </row>
    <row r="23438" spans="26:26" x14ac:dyDescent="0.25">
      <c r="Z23438"/>
    </row>
    <row r="23439" spans="26:26" x14ac:dyDescent="0.25">
      <c r="Z23439"/>
    </row>
    <row r="23440" spans="26:26" x14ac:dyDescent="0.25">
      <c r="Z23440"/>
    </row>
    <row r="23441" spans="26:26" x14ac:dyDescent="0.25">
      <c r="Z23441"/>
    </row>
    <row r="23442" spans="26:26" x14ac:dyDescent="0.25">
      <c r="Z23442"/>
    </row>
    <row r="23443" spans="26:26" x14ac:dyDescent="0.25">
      <c r="Z23443"/>
    </row>
    <row r="23444" spans="26:26" x14ac:dyDescent="0.25">
      <c r="Z23444"/>
    </row>
    <row r="23445" spans="26:26" x14ac:dyDescent="0.25">
      <c r="Z23445"/>
    </row>
    <row r="23446" spans="26:26" x14ac:dyDescent="0.25">
      <c r="Z23446"/>
    </row>
    <row r="23447" spans="26:26" x14ac:dyDescent="0.25">
      <c r="Z23447"/>
    </row>
    <row r="23448" spans="26:26" x14ac:dyDescent="0.25">
      <c r="Z23448"/>
    </row>
    <row r="23449" spans="26:26" x14ac:dyDescent="0.25">
      <c r="Z23449"/>
    </row>
    <row r="23450" spans="26:26" x14ac:dyDescent="0.25">
      <c r="Z23450"/>
    </row>
    <row r="23451" spans="26:26" x14ac:dyDescent="0.25">
      <c r="Z23451"/>
    </row>
    <row r="23452" spans="26:26" x14ac:dyDescent="0.25">
      <c r="Z23452"/>
    </row>
    <row r="23453" spans="26:26" x14ac:dyDescent="0.25">
      <c r="Z23453"/>
    </row>
    <row r="23454" spans="26:26" x14ac:dyDescent="0.25">
      <c r="Z23454"/>
    </row>
    <row r="23455" spans="26:26" x14ac:dyDescent="0.25">
      <c r="Z23455"/>
    </row>
    <row r="23456" spans="26:26" x14ac:dyDescent="0.25">
      <c r="Z23456"/>
    </row>
    <row r="23457" spans="26:26" x14ac:dyDescent="0.25">
      <c r="Z23457"/>
    </row>
    <row r="23458" spans="26:26" x14ac:dyDescent="0.25">
      <c r="Z23458"/>
    </row>
    <row r="23459" spans="26:26" x14ac:dyDescent="0.25">
      <c r="Z23459"/>
    </row>
    <row r="23460" spans="26:26" x14ac:dyDescent="0.25">
      <c r="Z23460"/>
    </row>
    <row r="23461" spans="26:26" x14ac:dyDescent="0.25">
      <c r="Z23461"/>
    </row>
    <row r="23462" spans="26:26" x14ac:dyDescent="0.25">
      <c r="Z23462"/>
    </row>
    <row r="23463" spans="26:26" x14ac:dyDescent="0.25">
      <c r="Z23463"/>
    </row>
    <row r="23464" spans="26:26" x14ac:dyDescent="0.25">
      <c r="Z23464"/>
    </row>
    <row r="23465" spans="26:26" x14ac:dyDescent="0.25">
      <c r="Z23465"/>
    </row>
    <row r="23466" spans="26:26" x14ac:dyDescent="0.25">
      <c r="Z23466"/>
    </row>
    <row r="23467" spans="26:26" x14ac:dyDescent="0.25">
      <c r="Z23467"/>
    </row>
    <row r="23468" spans="26:26" x14ac:dyDescent="0.25">
      <c r="Z23468"/>
    </row>
    <row r="23469" spans="26:26" x14ac:dyDescent="0.25">
      <c r="Z23469"/>
    </row>
    <row r="23470" spans="26:26" x14ac:dyDescent="0.25">
      <c r="Z23470"/>
    </row>
    <row r="23471" spans="26:26" x14ac:dyDescent="0.25">
      <c r="Z23471"/>
    </row>
    <row r="23472" spans="26:26" x14ac:dyDescent="0.25">
      <c r="Z23472"/>
    </row>
    <row r="23473" spans="26:26" x14ac:dyDescent="0.25">
      <c r="Z23473"/>
    </row>
    <row r="23474" spans="26:26" x14ac:dyDescent="0.25">
      <c r="Z23474"/>
    </row>
    <row r="23475" spans="26:26" x14ac:dyDescent="0.25">
      <c r="Z23475"/>
    </row>
    <row r="23476" spans="26:26" x14ac:dyDescent="0.25">
      <c r="Z23476"/>
    </row>
    <row r="23477" spans="26:26" x14ac:dyDescent="0.25">
      <c r="Z23477"/>
    </row>
    <row r="23478" spans="26:26" x14ac:dyDescent="0.25">
      <c r="Z23478"/>
    </row>
    <row r="23479" spans="26:26" x14ac:dyDescent="0.25">
      <c r="Z23479"/>
    </row>
    <row r="23480" spans="26:26" x14ac:dyDescent="0.25">
      <c r="Z23480"/>
    </row>
    <row r="23481" spans="26:26" x14ac:dyDescent="0.25">
      <c r="Z23481"/>
    </row>
    <row r="23482" spans="26:26" x14ac:dyDescent="0.25">
      <c r="Z23482"/>
    </row>
    <row r="23483" spans="26:26" x14ac:dyDescent="0.25">
      <c r="Z23483"/>
    </row>
    <row r="23484" spans="26:26" x14ac:dyDescent="0.25">
      <c r="Z23484"/>
    </row>
    <row r="23485" spans="26:26" x14ac:dyDescent="0.25">
      <c r="Z23485"/>
    </row>
    <row r="23486" spans="26:26" x14ac:dyDescent="0.25">
      <c r="Z23486"/>
    </row>
    <row r="23487" spans="26:26" x14ac:dyDescent="0.25">
      <c r="Z23487"/>
    </row>
    <row r="23488" spans="26:26" x14ac:dyDescent="0.25">
      <c r="Z23488"/>
    </row>
    <row r="23489" spans="26:26" x14ac:dyDescent="0.25">
      <c r="Z23489"/>
    </row>
    <row r="23490" spans="26:26" x14ac:dyDescent="0.25">
      <c r="Z23490"/>
    </row>
    <row r="23491" spans="26:26" x14ac:dyDescent="0.25">
      <c r="Z23491"/>
    </row>
    <row r="23492" spans="26:26" x14ac:dyDescent="0.25">
      <c r="Z23492"/>
    </row>
    <row r="23493" spans="26:26" x14ac:dyDescent="0.25">
      <c r="Z23493"/>
    </row>
    <row r="23494" spans="26:26" x14ac:dyDescent="0.25">
      <c r="Z23494"/>
    </row>
    <row r="23495" spans="26:26" x14ac:dyDescent="0.25">
      <c r="Z23495"/>
    </row>
    <row r="23496" spans="26:26" x14ac:dyDescent="0.25">
      <c r="Z23496"/>
    </row>
    <row r="23497" spans="26:26" x14ac:dyDescent="0.25">
      <c r="Z23497"/>
    </row>
    <row r="23498" spans="26:26" x14ac:dyDescent="0.25">
      <c r="Z23498"/>
    </row>
    <row r="23499" spans="26:26" x14ac:dyDescent="0.25">
      <c r="Z23499"/>
    </row>
    <row r="23500" spans="26:26" x14ac:dyDescent="0.25">
      <c r="Z23500"/>
    </row>
    <row r="23501" spans="26:26" x14ac:dyDescent="0.25">
      <c r="Z23501"/>
    </row>
    <row r="23502" spans="26:26" x14ac:dyDescent="0.25">
      <c r="Z23502"/>
    </row>
    <row r="23503" spans="26:26" x14ac:dyDescent="0.25">
      <c r="Z23503"/>
    </row>
    <row r="23504" spans="26:26" x14ac:dyDescent="0.25">
      <c r="Z23504"/>
    </row>
    <row r="23505" spans="26:26" x14ac:dyDescent="0.25">
      <c r="Z23505"/>
    </row>
    <row r="23506" spans="26:26" x14ac:dyDescent="0.25">
      <c r="Z23506"/>
    </row>
    <row r="23507" spans="26:26" x14ac:dyDescent="0.25">
      <c r="Z23507"/>
    </row>
    <row r="23508" spans="26:26" x14ac:dyDescent="0.25">
      <c r="Z23508"/>
    </row>
    <row r="23509" spans="26:26" x14ac:dyDescent="0.25">
      <c r="Z23509"/>
    </row>
    <row r="23510" spans="26:26" x14ac:dyDescent="0.25">
      <c r="Z23510"/>
    </row>
    <row r="23511" spans="26:26" x14ac:dyDescent="0.25">
      <c r="Z23511"/>
    </row>
    <row r="23512" spans="26:26" x14ac:dyDescent="0.25">
      <c r="Z23512"/>
    </row>
    <row r="23513" spans="26:26" x14ac:dyDescent="0.25">
      <c r="Z23513"/>
    </row>
    <row r="23514" spans="26:26" x14ac:dyDescent="0.25">
      <c r="Z23514"/>
    </row>
    <row r="23515" spans="26:26" x14ac:dyDescent="0.25">
      <c r="Z23515"/>
    </row>
    <row r="23516" spans="26:26" x14ac:dyDescent="0.25">
      <c r="Z23516"/>
    </row>
    <row r="23517" spans="26:26" x14ac:dyDescent="0.25">
      <c r="Z23517"/>
    </row>
    <row r="23518" spans="26:26" x14ac:dyDescent="0.25">
      <c r="Z23518"/>
    </row>
    <row r="23519" spans="26:26" x14ac:dyDescent="0.25">
      <c r="Z23519"/>
    </row>
    <row r="23520" spans="26:26" x14ac:dyDescent="0.25">
      <c r="Z23520"/>
    </row>
    <row r="23521" spans="26:26" x14ac:dyDescent="0.25">
      <c r="Z23521"/>
    </row>
    <row r="23522" spans="26:26" x14ac:dyDescent="0.25">
      <c r="Z23522"/>
    </row>
    <row r="23523" spans="26:26" x14ac:dyDescent="0.25">
      <c r="Z23523"/>
    </row>
    <row r="23524" spans="26:26" x14ac:dyDescent="0.25">
      <c r="Z23524"/>
    </row>
    <row r="23525" spans="26:26" x14ac:dyDescent="0.25">
      <c r="Z23525"/>
    </row>
    <row r="23526" spans="26:26" x14ac:dyDescent="0.25">
      <c r="Z23526"/>
    </row>
    <row r="23527" spans="26:26" x14ac:dyDescent="0.25">
      <c r="Z23527"/>
    </row>
    <row r="23528" spans="26:26" x14ac:dyDescent="0.25">
      <c r="Z23528"/>
    </row>
    <row r="23529" spans="26:26" x14ac:dyDescent="0.25">
      <c r="Z23529"/>
    </row>
    <row r="23530" spans="26:26" x14ac:dyDescent="0.25">
      <c r="Z23530"/>
    </row>
    <row r="23531" spans="26:26" x14ac:dyDescent="0.25">
      <c r="Z23531"/>
    </row>
    <row r="23532" spans="26:26" x14ac:dyDescent="0.25">
      <c r="Z23532"/>
    </row>
    <row r="23533" spans="26:26" x14ac:dyDescent="0.25">
      <c r="Z23533"/>
    </row>
    <row r="23534" spans="26:26" x14ac:dyDescent="0.25">
      <c r="Z23534"/>
    </row>
    <row r="23535" spans="26:26" x14ac:dyDescent="0.25">
      <c r="Z23535"/>
    </row>
    <row r="23536" spans="26:26" x14ac:dyDescent="0.25">
      <c r="Z23536"/>
    </row>
    <row r="23537" spans="26:26" x14ac:dyDescent="0.25">
      <c r="Z23537"/>
    </row>
    <row r="23538" spans="26:26" x14ac:dyDescent="0.25">
      <c r="Z23538"/>
    </row>
    <row r="23539" spans="26:26" x14ac:dyDescent="0.25">
      <c r="Z23539"/>
    </row>
    <row r="23540" spans="26:26" x14ac:dyDescent="0.25">
      <c r="Z23540"/>
    </row>
    <row r="23541" spans="26:26" x14ac:dyDescent="0.25">
      <c r="Z23541"/>
    </row>
    <row r="23542" spans="26:26" x14ac:dyDescent="0.25">
      <c r="Z23542"/>
    </row>
    <row r="23543" spans="26:26" x14ac:dyDescent="0.25">
      <c r="Z23543"/>
    </row>
    <row r="23544" spans="26:26" x14ac:dyDescent="0.25">
      <c r="Z23544"/>
    </row>
    <row r="23545" spans="26:26" x14ac:dyDescent="0.25">
      <c r="Z23545"/>
    </row>
    <row r="23546" spans="26:26" x14ac:dyDescent="0.25">
      <c r="Z23546"/>
    </row>
    <row r="23547" spans="26:26" x14ac:dyDescent="0.25">
      <c r="Z23547"/>
    </row>
    <row r="23548" spans="26:26" x14ac:dyDescent="0.25">
      <c r="Z23548"/>
    </row>
    <row r="23549" spans="26:26" x14ac:dyDescent="0.25">
      <c r="Z23549"/>
    </row>
    <row r="23550" spans="26:26" x14ac:dyDescent="0.25">
      <c r="Z23550"/>
    </row>
    <row r="23551" spans="26:26" x14ac:dyDescent="0.25">
      <c r="Z23551"/>
    </row>
    <row r="23552" spans="26:26" x14ac:dyDescent="0.25">
      <c r="Z23552"/>
    </row>
    <row r="23553" spans="26:26" x14ac:dyDescent="0.25">
      <c r="Z23553"/>
    </row>
    <row r="23554" spans="26:26" x14ac:dyDescent="0.25">
      <c r="Z23554"/>
    </row>
    <row r="23555" spans="26:26" x14ac:dyDescent="0.25">
      <c r="Z23555"/>
    </row>
    <row r="23556" spans="26:26" x14ac:dyDescent="0.25">
      <c r="Z23556"/>
    </row>
    <row r="23557" spans="26:26" x14ac:dyDescent="0.25">
      <c r="Z23557"/>
    </row>
    <row r="23558" spans="26:26" x14ac:dyDescent="0.25">
      <c r="Z23558"/>
    </row>
    <row r="23559" spans="26:26" x14ac:dyDescent="0.25">
      <c r="Z23559"/>
    </row>
    <row r="23560" spans="26:26" x14ac:dyDescent="0.25">
      <c r="Z23560"/>
    </row>
    <row r="23561" spans="26:26" x14ac:dyDescent="0.25">
      <c r="Z23561"/>
    </row>
    <row r="23562" spans="26:26" x14ac:dyDescent="0.25">
      <c r="Z23562"/>
    </row>
    <row r="23563" spans="26:26" x14ac:dyDescent="0.25">
      <c r="Z23563"/>
    </row>
    <row r="23564" spans="26:26" x14ac:dyDescent="0.25">
      <c r="Z23564"/>
    </row>
    <row r="23565" spans="26:26" x14ac:dyDescent="0.25">
      <c r="Z23565"/>
    </row>
    <row r="23566" spans="26:26" x14ac:dyDescent="0.25">
      <c r="Z23566"/>
    </row>
    <row r="23567" spans="26:26" x14ac:dyDescent="0.25">
      <c r="Z23567"/>
    </row>
    <row r="23568" spans="26:26" x14ac:dyDescent="0.25">
      <c r="Z23568"/>
    </row>
    <row r="23569" spans="26:26" x14ac:dyDescent="0.25">
      <c r="Z23569"/>
    </row>
    <row r="23570" spans="26:26" x14ac:dyDescent="0.25">
      <c r="Z23570"/>
    </row>
    <row r="23571" spans="26:26" x14ac:dyDescent="0.25">
      <c r="Z23571"/>
    </row>
    <row r="23572" spans="26:26" x14ac:dyDescent="0.25">
      <c r="Z23572"/>
    </row>
    <row r="23573" spans="26:26" x14ac:dyDescent="0.25">
      <c r="Z23573"/>
    </row>
    <row r="23574" spans="26:26" x14ac:dyDescent="0.25">
      <c r="Z23574"/>
    </row>
    <row r="23575" spans="26:26" x14ac:dyDescent="0.25">
      <c r="Z23575"/>
    </row>
    <row r="23576" spans="26:26" x14ac:dyDescent="0.25">
      <c r="Z23576"/>
    </row>
    <row r="23577" spans="26:26" x14ac:dyDescent="0.25">
      <c r="Z23577"/>
    </row>
    <row r="23578" spans="26:26" x14ac:dyDescent="0.25">
      <c r="Z23578"/>
    </row>
    <row r="23579" spans="26:26" x14ac:dyDescent="0.25">
      <c r="Z23579"/>
    </row>
    <row r="23580" spans="26:26" x14ac:dyDescent="0.25">
      <c r="Z23580"/>
    </row>
    <row r="23581" spans="26:26" x14ac:dyDescent="0.25">
      <c r="Z23581"/>
    </row>
    <row r="23582" spans="26:26" x14ac:dyDescent="0.25">
      <c r="Z23582"/>
    </row>
    <row r="23583" spans="26:26" x14ac:dyDescent="0.25">
      <c r="Z23583"/>
    </row>
    <row r="23584" spans="26:26" x14ac:dyDescent="0.25">
      <c r="Z23584"/>
    </row>
    <row r="23585" spans="26:26" x14ac:dyDescent="0.25">
      <c r="Z23585"/>
    </row>
    <row r="23586" spans="26:26" x14ac:dyDescent="0.25">
      <c r="Z23586"/>
    </row>
    <row r="23587" spans="26:26" x14ac:dyDescent="0.25">
      <c r="Z23587"/>
    </row>
    <row r="23588" spans="26:26" x14ac:dyDescent="0.25">
      <c r="Z23588"/>
    </row>
    <row r="23589" spans="26:26" x14ac:dyDescent="0.25">
      <c r="Z23589"/>
    </row>
    <row r="23590" spans="26:26" x14ac:dyDescent="0.25">
      <c r="Z23590"/>
    </row>
    <row r="23591" spans="26:26" x14ac:dyDescent="0.25">
      <c r="Z23591"/>
    </row>
    <row r="23592" spans="26:26" x14ac:dyDescent="0.25">
      <c r="Z23592"/>
    </row>
    <row r="23593" spans="26:26" x14ac:dyDescent="0.25">
      <c r="Z23593"/>
    </row>
    <row r="23594" spans="26:26" x14ac:dyDescent="0.25">
      <c r="Z23594"/>
    </row>
    <row r="23595" spans="26:26" x14ac:dyDescent="0.25">
      <c r="Z23595"/>
    </row>
    <row r="23596" spans="26:26" x14ac:dyDescent="0.25">
      <c r="Z23596"/>
    </row>
    <row r="23597" spans="26:26" x14ac:dyDescent="0.25">
      <c r="Z23597"/>
    </row>
    <row r="23598" spans="26:26" x14ac:dyDescent="0.25">
      <c r="Z23598"/>
    </row>
    <row r="23599" spans="26:26" x14ac:dyDescent="0.25">
      <c r="Z23599"/>
    </row>
    <row r="23600" spans="26:26" x14ac:dyDescent="0.25">
      <c r="Z23600"/>
    </row>
    <row r="23601" spans="26:26" x14ac:dyDescent="0.25">
      <c r="Z23601"/>
    </row>
    <row r="23602" spans="26:26" x14ac:dyDescent="0.25">
      <c r="Z23602"/>
    </row>
    <row r="23603" spans="26:26" x14ac:dyDescent="0.25">
      <c r="Z23603"/>
    </row>
    <row r="23604" spans="26:26" x14ac:dyDescent="0.25">
      <c r="Z23604"/>
    </row>
    <row r="23605" spans="26:26" x14ac:dyDescent="0.25">
      <c r="Z23605"/>
    </row>
    <row r="23606" spans="26:26" x14ac:dyDescent="0.25">
      <c r="Z23606"/>
    </row>
    <row r="23607" spans="26:26" x14ac:dyDescent="0.25">
      <c r="Z23607"/>
    </row>
    <row r="23608" spans="26:26" x14ac:dyDescent="0.25">
      <c r="Z23608"/>
    </row>
    <row r="23609" spans="26:26" x14ac:dyDescent="0.25">
      <c r="Z23609"/>
    </row>
    <row r="23610" spans="26:26" x14ac:dyDescent="0.25">
      <c r="Z23610"/>
    </row>
    <row r="23611" spans="26:26" x14ac:dyDescent="0.25">
      <c r="Z23611"/>
    </row>
    <row r="23612" spans="26:26" x14ac:dyDescent="0.25">
      <c r="Z23612"/>
    </row>
    <row r="23613" spans="26:26" x14ac:dyDescent="0.25">
      <c r="Z23613"/>
    </row>
    <row r="23614" spans="26:26" x14ac:dyDescent="0.25">
      <c r="Z23614"/>
    </row>
    <row r="23615" spans="26:26" x14ac:dyDescent="0.25">
      <c r="Z23615"/>
    </row>
    <row r="23616" spans="26:26" x14ac:dyDescent="0.25">
      <c r="Z23616"/>
    </row>
    <row r="23617" spans="26:26" x14ac:dyDescent="0.25">
      <c r="Z23617"/>
    </row>
    <row r="23618" spans="26:26" x14ac:dyDescent="0.25">
      <c r="Z23618"/>
    </row>
    <row r="23619" spans="26:26" x14ac:dyDescent="0.25">
      <c r="Z23619"/>
    </row>
    <row r="23620" spans="26:26" x14ac:dyDescent="0.25">
      <c r="Z23620"/>
    </row>
    <row r="23621" spans="26:26" x14ac:dyDescent="0.25">
      <c r="Z23621"/>
    </row>
    <row r="23622" spans="26:26" x14ac:dyDescent="0.25">
      <c r="Z23622"/>
    </row>
    <row r="23623" spans="26:26" x14ac:dyDescent="0.25">
      <c r="Z23623"/>
    </row>
    <row r="23624" spans="26:26" x14ac:dyDescent="0.25">
      <c r="Z23624"/>
    </row>
    <row r="23625" spans="26:26" x14ac:dyDescent="0.25">
      <c r="Z23625"/>
    </row>
    <row r="23626" spans="26:26" x14ac:dyDescent="0.25">
      <c r="Z23626"/>
    </row>
    <row r="23627" spans="26:26" x14ac:dyDescent="0.25">
      <c r="Z23627"/>
    </row>
    <row r="23628" spans="26:26" x14ac:dyDescent="0.25">
      <c r="Z23628"/>
    </row>
    <row r="23629" spans="26:26" x14ac:dyDescent="0.25">
      <c r="Z23629"/>
    </row>
    <row r="23630" spans="26:26" x14ac:dyDescent="0.25">
      <c r="Z23630"/>
    </row>
    <row r="23631" spans="26:26" x14ac:dyDescent="0.25">
      <c r="Z23631"/>
    </row>
    <row r="23632" spans="26:26" x14ac:dyDescent="0.25">
      <c r="Z23632"/>
    </row>
    <row r="23633" spans="26:26" x14ac:dyDescent="0.25">
      <c r="Z23633"/>
    </row>
    <row r="23634" spans="26:26" x14ac:dyDescent="0.25">
      <c r="Z23634"/>
    </row>
    <row r="23635" spans="26:26" x14ac:dyDescent="0.25">
      <c r="Z23635"/>
    </row>
    <row r="23636" spans="26:26" x14ac:dyDescent="0.25">
      <c r="Z23636"/>
    </row>
    <row r="23637" spans="26:26" x14ac:dyDescent="0.25">
      <c r="Z23637"/>
    </row>
    <row r="23638" spans="26:26" x14ac:dyDescent="0.25">
      <c r="Z23638"/>
    </row>
    <row r="23639" spans="26:26" x14ac:dyDescent="0.25">
      <c r="Z23639"/>
    </row>
    <row r="23640" spans="26:26" x14ac:dyDescent="0.25">
      <c r="Z23640"/>
    </row>
    <row r="23641" spans="26:26" x14ac:dyDescent="0.25">
      <c r="Z23641"/>
    </row>
    <row r="23642" spans="26:26" x14ac:dyDescent="0.25">
      <c r="Z23642"/>
    </row>
    <row r="23643" spans="26:26" x14ac:dyDescent="0.25">
      <c r="Z23643"/>
    </row>
    <row r="23644" spans="26:26" x14ac:dyDescent="0.25">
      <c r="Z23644"/>
    </row>
    <row r="23645" spans="26:26" x14ac:dyDescent="0.25">
      <c r="Z23645"/>
    </row>
    <row r="23646" spans="26:26" x14ac:dyDescent="0.25">
      <c r="Z23646"/>
    </row>
    <row r="23647" spans="26:26" x14ac:dyDescent="0.25">
      <c r="Z23647"/>
    </row>
    <row r="23648" spans="26:26" x14ac:dyDescent="0.25">
      <c r="Z23648"/>
    </row>
    <row r="23649" spans="26:26" x14ac:dyDescent="0.25">
      <c r="Z23649"/>
    </row>
    <row r="23650" spans="26:26" x14ac:dyDescent="0.25">
      <c r="Z23650"/>
    </row>
    <row r="23651" spans="26:26" x14ac:dyDescent="0.25">
      <c r="Z23651"/>
    </row>
    <row r="23652" spans="26:26" x14ac:dyDescent="0.25">
      <c r="Z23652"/>
    </row>
    <row r="23653" spans="26:26" x14ac:dyDescent="0.25">
      <c r="Z23653"/>
    </row>
    <row r="23654" spans="26:26" x14ac:dyDescent="0.25">
      <c r="Z23654"/>
    </row>
    <row r="23655" spans="26:26" x14ac:dyDescent="0.25">
      <c r="Z23655"/>
    </row>
    <row r="23656" spans="26:26" x14ac:dyDescent="0.25">
      <c r="Z23656"/>
    </row>
    <row r="23657" spans="26:26" x14ac:dyDescent="0.25">
      <c r="Z23657"/>
    </row>
    <row r="23658" spans="26:26" x14ac:dyDescent="0.25">
      <c r="Z23658"/>
    </row>
    <row r="23659" spans="26:26" x14ac:dyDescent="0.25">
      <c r="Z23659"/>
    </row>
    <row r="23660" spans="26:26" x14ac:dyDescent="0.25">
      <c r="Z23660"/>
    </row>
    <row r="23661" spans="26:26" x14ac:dyDescent="0.25">
      <c r="Z23661"/>
    </row>
    <row r="23662" spans="26:26" x14ac:dyDescent="0.25">
      <c r="Z23662"/>
    </row>
    <row r="23663" spans="26:26" x14ac:dyDescent="0.25">
      <c r="Z23663"/>
    </row>
    <row r="23664" spans="26:26" x14ac:dyDescent="0.25">
      <c r="Z23664"/>
    </row>
    <row r="23665" spans="26:26" x14ac:dyDescent="0.25">
      <c r="Z23665"/>
    </row>
    <row r="23666" spans="26:26" x14ac:dyDescent="0.25">
      <c r="Z23666"/>
    </row>
    <row r="23667" spans="26:26" x14ac:dyDescent="0.25">
      <c r="Z23667"/>
    </row>
    <row r="23668" spans="26:26" x14ac:dyDescent="0.25">
      <c r="Z23668"/>
    </row>
    <row r="23669" spans="26:26" x14ac:dyDescent="0.25">
      <c r="Z23669"/>
    </row>
    <row r="23670" spans="26:26" x14ac:dyDescent="0.25">
      <c r="Z23670"/>
    </row>
    <row r="23671" spans="26:26" x14ac:dyDescent="0.25">
      <c r="Z23671"/>
    </row>
    <row r="23672" spans="26:26" x14ac:dyDescent="0.25">
      <c r="Z23672"/>
    </row>
    <row r="23673" spans="26:26" x14ac:dyDescent="0.25">
      <c r="Z23673"/>
    </row>
    <row r="23674" spans="26:26" x14ac:dyDescent="0.25">
      <c r="Z23674"/>
    </row>
    <row r="23675" spans="26:26" x14ac:dyDescent="0.25">
      <c r="Z23675"/>
    </row>
    <row r="23676" spans="26:26" x14ac:dyDescent="0.25">
      <c r="Z23676"/>
    </row>
    <row r="23677" spans="26:26" x14ac:dyDescent="0.25">
      <c r="Z23677"/>
    </row>
    <row r="23678" spans="26:26" x14ac:dyDescent="0.25">
      <c r="Z23678"/>
    </row>
    <row r="23679" spans="26:26" x14ac:dyDescent="0.25">
      <c r="Z23679"/>
    </row>
    <row r="23680" spans="26:26" x14ac:dyDescent="0.25">
      <c r="Z23680"/>
    </row>
    <row r="23681" spans="26:26" x14ac:dyDescent="0.25">
      <c r="Z23681"/>
    </row>
    <row r="23682" spans="26:26" x14ac:dyDescent="0.25">
      <c r="Z23682"/>
    </row>
    <row r="23683" spans="26:26" x14ac:dyDescent="0.25">
      <c r="Z23683"/>
    </row>
    <row r="23684" spans="26:26" x14ac:dyDescent="0.25">
      <c r="Z23684"/>
    </row>
    <row r="23685" spans="26:26" x14ac:dyDescent="0.25">
      <c r="Z23685"/>
    </row>
    <row r="23686" spans="26:26" x14ac:dyDescent="0.25">
      <c r="Z23686"/>
    </row>
    <row r="23687" spans="26:26" x14ac:dyDescent="0.25">
      <c r="Z23687"/>
    </row>
    <row r="23688" spans="26:26" x14ac:dyDescent="0.25">
      <c r="Z23688"/>
    </row>
    <row r="23689" spans="26:26" x14ac:dyDescent="0.25">
      <c r="Z23689"/>
    </row>
    <row r="23690" spans="26:26" x14ac:dyDescent="0.25">
      <c r="Z23690"/>
    </row>
    <row r="23691" spans="26:26" x14ac:dyDescent="0.25">
      <c r="Z23691"/>
    </row>
    <row r="23692" spans="26:26" x14ac:dyDescent="0.25">
      <c r="Z23692"/>
    </row>
    <row r="23693" spans="26:26" x14ac:dyDescent="0.25">
      <c r="Z23693"/>
    </row>
    <row r="23694" spans="26:26" x14ac:dyDescent="0.25">
      <c r="Z23694"/>
    </row>
    <row r="23695" spans="26:26" x14ac:dyDescent="0.25">
      <c r="Z23695"/>
    </row>
    <row r="23696" spans="26:26" x14ac:dyDescent="0.25">
      <c r="Z23696"/>
    </row>
    <row r="23697" spans="26:26" x14ac:dyDescent="0.25">
      <c r="Z23697"/>
    </row>
    <row r="23698" spans="26:26" x14ac:dyDescent="0.25">
      <c r="Z23698"/>
    </row>
    <row r="23699" spans="26:26" x14ac:dyDescent="0.25">
      <c r="Z23699"/>
    </row>
    <row r="23700" spans="26:26" x14ac:dyDescent="0.25">
      <c r="Z23700"/>
    </row>
    <row r="23701" spans="26:26" x14ac:dyDescent="0.25">
      <c r="Z23701"/>
    </row>
    <row r="23702" spans="26:26" x14ac:dyDescent="0.25">
      <c r="Z23702"/>
    </row>
    <row r="23703" spans="26:26" x14ac:dyDescent="0.25">
      <c r="Z23703"/>
    </row>
    <row r="23704" spans="26:26" x14ac:dyDescent="0.25">
      <c r="Z23704"/>
    </row>
    <row r="23705" spans="26:26" x14ac:dyDescent="0.25">
      <c r="Z23705"/>
    </row>
    <row r="23706" spans="26:26" x14ac:dyDescent="0.25">
      <c r="Z23706"/>
    </row>
    <row r="23707" spans="26:26" x14ac:dyDescent="0.25">
      <c r="Z23707"/>
    </row>
    <row r="23708" spans="26:26" x14ac:dyDescent="0.25">
      <c r="Z23708"/>
    </row>
    <row r="23709" spans="26:26" x14ac:dyDescent="0.25">
      <c r="Z23709"/>
    </row>
    <row r="23710" spans="26:26" x14ac:dyDescent="0.25">
      <c r="Z23710"/>
    </row>
    <row r="23711" spans="26:26" x14ac:dyDescent="0.25">
      <c r="Z23711"/>
    </row>
    <row r="23712" spans="26:26" x14ac:dyDescent="0.25">
      <c r="Z23712"/>
    </row>
    <row r="23713" spans="26:26" x14ac:dyDescent="0.25">
      <c r="Z23713"/>
    </row>
    <row r="23714" spans="26:26" x14ac:dyDescent="0.25">
      <c r="Z23714"/>
    </row>
    <row r="23715" spans="26:26" x14ac:dyDescent="0.25">
      <c r="Z23715"/>
    </row>
    <row r="23716" spans="26:26" x14ac:dyDescent="0.25">
      <c r="Z23716"/>
    </row>
    <row r="23717" spans="26:26" x14ac:dyDescent="0.25">
      <c r="Z23717"/>
    </row>
    <row r="23718" spans="26:26" x14ac:dyDescent="0.25">
      <c r="Z23718"/>
    </row>
    <row r="23719" spans="26:26" x14ac:dyDescent="0.25">
      <c r="Z23719"/>
    </row>
    <row r="23720" spans="26:26" x14ac:dyDescent="0.25">
      <c r="Z23720"/>
    </row>
    <row r="23721" spans="26:26" x14ac:dyDescent="0.25">
      <c r="Z23721"/>
    </row>
    <row r="23722" spans="26:26" x14ac:dyDescent="0.25">
      <c r="Z23722"/>
    </row>
    <row r="23723" spans="26:26" x14ac:dyDescent="0.25">
      <c r="Z23723"/>
    </row>
    <row r="23724" spans="26:26" x14ac:dyDescent="0.25">
      <c r="Z23724"/>
    </row>
    <row r="23725" spans="26:26" x14ac:dyDescent="0.25">
      <c r="Z23725"/>
    </row>
    <row r="23726" spans="26:26" x14ac:dyDescent="0.25">
      <c r="Z23726"/>
    </row>
    <row r="23727" spans="26:26" x14ac:dyDescent="0.25">
      <c r="Z23727"/>
    </row>
    <row r="23728" spans="26:26" x14ac:dyDescent="0.25">
      <c r="Z23728"/>
    </row>
    <row r="23729" spans="26:26" x14ac:dyDescent="0.25">
      <c r="Z23729"/>
    </row>
    <row r="23730" spans="26:26" x14ac:dyDescent="0.25">
      <c r="Z23730"/>
    </row>
    <row r="23731" spans="26:26" x14ac:dyDescent="0.25">
      <c r="Z23731"/>
    </row>
    <row r="23732" spans="26:26" x14ac:dyDescent="0.25">
      <c r="Z23732"/>
    </row>
    <row r="23733" spans="26:26" x14ac:dyDescent="0.25">
      <c r="Z23733"/>
    </row>
    <row r="23734" spans="26:26" x14ac:dyDescent="0.25">
      <c r="Z23734"/>
    </row>
    <row r="23735" spans="26:26" x14ac:dyDescent="0.25">
      <c r="Z23735"/>
    </row>
    <row r="23736" spans="26:26" x14ac:dyDescent="0.25">
      <c r="Z23736"/>
    </row>
    <row r="23737" spans="26:26" x14ac:dyDescent="0.25">
      <c r="Z23737"/>
    </row>
    <row r="23738" spans="26:26" x14ac:dyDescent="0.25">
      <c r="Z23738"/>
    </row>
    <row r="23739" spans="26:26" x14ac:dyDescent="0.25">
      <c r="Z23739"/>
    </row>
    <row r="23740" spans="26:26" x14ac:dyDescent="0.25">
      <c r="Z23740"/>
    </row>
    <row r="23741" spans="26:26" x14ac:dyDescent="0.25">
      <c r="Z23741"/>
    </row>
    <row r="23742" spans="26:26" x14ac:dyDescent="0.25">
      <c r="Z23742"/>
    </row>
    <row r="23743" spans="26:26" x14ac:dyDescent="0.25">
      <c r="Z23743"/>
    </row>
    <row r="23744" spans="26:26" x14ac:dyDescent="0.25">
      <c r="Z23744"/>
    </row>
    <row r="23745" spans="26:26" x14ac:dyDescent="0.25">
      <c r="Z23745"/>
    </row>
    <row r="23746" spans="26:26" x14ac:dyDescent="0.25">
      <c r="Z23746"/>
    </row>
    <row r="23747" spans="26:26" x14ac:dyDescent="0.25">
      <c r="Z23747"/>
    </row>
    <row r="23748" spans="26:26" x14ac:dyDescent="0.25">
      <c r="Z23748"/>
    </row>
    <row r="23749" spans="26:26" x14ac:dyDescent="0.25">
      <c r="Z23749"/>
    </row>
    <row r="23750" spans="26:26" x14ac:dyDescent="0.25">
      <c r="Z23750"/>
    </row>
    <row r="23751" spans="26:26" x14ac:dyDescent="0.25">
      <c r="Z23751"/>
    </row>
    <row r="23752" spans="26:26" x14ac:dyDescent="0.25">
      <c r="Z23752"/>
    </row>
    <row r="23753" spans="26:26" x14ac:dyDescent="0.25">
      <c r="Z23753"/>
    </row>
    <row r="23754" spans="26:26" x14ac:dyDescent="0.25">
      <c r="Z23754"/>
    </row>
    <row r="23755" spans="26:26" x14ac:dyDescent="0.25">
      <c r="Z23755"/>
    </row>
    <row r="23756" spans="26:26" x14ac:dyDescent="0.25">
      <c r="Z23756"/>
    </row>
    <row r="23757" spans="26:26" x14ac:dyDescent="0.25">
      <c r="Z23757"/>
    </row>
    <row r="23758" spans="26:26" x14ac:dyDescent="0.25">
      <c r="Z23758"/>
    </row>
    <row r="23759" spans="26:26" x14ac:dyDescent="0.25">
      <c r="Z23759"/>
    </row>
    <row r="23760" spans="26:26" x14ac:dyDescent="0.25">
      <c r="Z23760"/>
    </row>
    <row r="23761" spans="26:26" x14ac:dyDescent="0.25">
      <c r="Z23761"/>
    </row>
    <row r="23762" spans="26:26" x14ac:dyDescent="0.25">
      <c r="Z23762"/>
    </row>
    <row r="23763" spans="26:26" x14ac:dyDescent="0.25">
      <c r="Z23763"/>
    </row>
    <row r="23764" spans="26:26" x14ac:dyDescent="0.25">
      <c r="Z23764"/>
    </row>
    <row r="23765" spans="26:26" x14ac:dyDescent="0.25">
      <c r="Z23765"/>
    </row>
    <row r="23766" spans="26:26" x14ac:dyDescent="0.25">
      <c r="Z23766"/>
    </row>
    <row r="23767" spans="26:26" x14ac:dyDescent="0.25">
      <c r="Z23767"/>
    </row>
    <row r="23768" spans="26:26" x14ac:dyDescent="0.25">
      <c r="Z23768"/>
    </row>
    <row r="23769" spans="26:26" x14ac:dyDescent="0.25">
      <c r="Z23769"/>
    </row>
    <row r="23770" spans="26:26" x14ac:dyDescent="0.25">
      <c r="Z23770"/>
    </row>
    <row r="23771" spans="26:26" x14ac:dyDescent="0.25">
      <c r="Z23771"/>
    </row>
    <row r="23772" spans="26:26" x14ac:dyDescent="0.25">
      <c r="Z23772"/>
    </row>
    <row r="23773" spans="26:26" x14ac:dyDescent="0.25">
      <c r="Z23773"/>
    </row>
    <row r="23774" spans="26:26" x14ac:dyDescent="0.25">
      <c r="Z23774"/>
    </row>
    <row r="23775" spans="26:26" x14ac:dyDescent="0.25">
      <c r="Z23775"/>
    </row>
    <row r="23776" spans="26:26" x14ac:dyDescent="0.25">
      <c r="Z23776"/>
    </row>
    <row r="23777" spans="26:26" x14ac:dyDescent="0.25">
      <c r="Z23777"/>
    </row>
    <row r="23778" spans="26:26" x14ac:dyDescent="0.25">
      <c r="Z23778"/>
    </row>
    <row r="23779" spans="26:26" x14ac:dyDescent="0.25">
      <c r="Z23779"/>
    </row>
    <row r="23780" spans="26:26" x14ac:dyDescent="0.25">
      <c r="Z23780"/>
    </row>
    <row r="23781" spans="26:26" x14ac:dyDescent="0.25">
      <c r="Z23781"/>
    </row>
    <row r="23782" spans="26:26" x14ac:dyDescent="0.25">
      <c r="Z23782"/>
    </row>
    <row r="23783" spans="26:26" x14ac:dyDescent="0.25">
      <c r="Z23783"/>
    </row>
    <row r="23784" spans="26:26" x14ac:dyDescent="0.25">
      <c r="Z23784"/>
    </row>
    <row r="23785" spans="26:26" x14ac:dyDescent="0.25">
      <c r="Z23785"/>
    </row>
    <row r="23786" spans="26:26" x14ac:dyDescent="0.25">
      <c r="Z23786"/>
    </row>
    <row r="23787" spans="26:26" x14ac:dyDescent="0.25">
      <c r="Z23787"/>
    </row>
    <row r="23788" spans="26:26" x14ac:dyDescent="0.25">
      <c r="Z23788"/>
    </row>
    <row r="23789" spans="26:26" x14ac:dyDescent="0.25">
      <c r="Z23789"/>
    </row>
    <row r="23790" spans="26:26" x14ac:dyDescent="0.25">
      <c r="Z23790"/>
    </row>
    <row r="23791" spans="26:26" x14ac:dyDescent="0.25">
      <c r="Z23791"/>
    </row>
    <row r="23792" spans="26:26" x14ac:dyDescent="0.25">
      <c r="Z23792"/>
    </row>
    <row r="23793" spans="26:26" x14ac:dyDescent="0.25">
      <c r="Z23793"/>
    </row>
    <row r="23794" spans="26:26" x14ac:dyDescent="0.25">
      <c r="Z23794"/>
    </row>
    <row r="23795" spans="26:26" x14ac:dyDescent="0.25">
      <c r="Z23795"/>
    </row>
    <row r="23796" spans="26:26" x14ac:dyDescent="0.25">
      <c r="Z23796"/>
    </row>
    <row r="23797" spans="26:26" x14ac:dyDescent="0.25">
      <c r="Z23797"/>
    </row>
    <row r="23798" spans="26:26" x14ac:dyDescent="0.25">
      <c r="Z23798"/>
    </row>
    <row r="23799" spans="26:26" x14ac:dyDescent="0.25">
      <c r="Z23799"/>
    </row>
    <row r="23800" spans="26:26" x14ac:dyDescent="0.25">
      <c r="Z23800"/>
    </row>
    <row r="23801" spans="26:26" x14ac:dyDescent="0.25">
      <c r="Z23801"/>
    </row>
    <row r="23802" spans="26:26" x14ac:dyDescent="0.25">
      <c r="Z23802"/>
    </row>
    <row r="23803" spans="26:26" x14ac:dyDescent="0.25">
      <c r="Z23803"/>
    </row>
    <row r="23804" spans="26:26" x14ac:dyDescent="0.25">
      <c r="Z23804"/>
    </row>
    <row r="23805" spans="26:26" x14ac:dyDescent="0.25">
      <c r="Z23805"/>
    </row>
    <row r="23806" spans="26:26" x14ac:dyDescent="0.25">
      <c r="Z23806"/>
    </row>
    <row r="23807" spans="26:26" x14ac:dyDescent="0.25">
      <c r="Z23807"/>
    </row>
    <row r="23808" spans="26:26" x14ac:dyDescent="0.25">
      <c r="Z23808"/>
    </row>
    <row r="23809" spans="26:26" x14ac:dyDescent="0.25">
      <c r="Z23809"/>
    </row>
    <row r="23810" spans="26:26" x14ac:dyDescent="0.25">
      <c r="Z23810"/>
    </row>
    <row r="23811" spans="26:26" x14ac:dyDescent="0.25">
      <c r="Z23811"/>
    </row>
    <row r="23812" spans="26:26" x14ac:dyDescent="0.25">
      <c r="Z23812"/>
    </row>
    <row r="23813" spans="26:26" x14ac:dyDescent="0.25">
      <c r="Z23813"/>
    </row>
    <row r="23814" spans="26:26" x14ac:dyDescent="0.25">
      <c r="Z23814"/>
    </row>
    <row r="23815" spans="26:26" x14ac:dyDescent="0.25">
      <c r="Z23815"/>
    </row>
    <row r="23816" spans="26:26" x14ac:dyDescent="0.25">
      <c r="Z23816"/>
    </row>
    <row r="23817" spans="26:26" x14ac:dyDescent="0.25">
      <c r="Z23817"/>
    </row>
    <row r="23818" spans="26:26" x14ac:dyDescent="0.25">
      <c r="Z23818"/>
    </row>
    <row r="23819" spans="26:26" x14ac:dyDescent="0.25">
      <c r="Z23819"/>
    </row>
    <row r="23820" spans="26:26" x14ac:dyDescent="0.25">
      <c r="Z23820"/>
    </row>
    <row r="23821" spans="26:26" x14ac:dyDescent="0.25">
      <c r="Z23821"/>
    </row>
    <row r="23822" spans="26:26" x14ac:dyDescent="0.25">
      <c r="Z23822"/>
    </row>
    <row r="23823" spans="26:26" x14ac:dyDescent="0.25">
      <c r="Z23823"/>
    </row>
    <row r="23824" spans="26:26" x14ac:dyDescent="0.25">
      <c r="Z23824"/>
    </row>
    <row r="23825" spans="26:26" x14ac:dyDescent="0.25">
      <c r="Z23825"/>
    </row>
    <row r="23826" spans="26:26" x14ac:dyDescent="0.25">
      <c r="Z23826"/>
    </row>
    <row r="23827" spans="26:26" x14ac:dyDescent="0.25">
      <c r="Z23827"/>
    </row>
    <row r="23828" spans="26:26" x14ac:dyDescent="0.25">
      <c r="Z23828"/>
    </row>
    <row r="23829" spans="26:26" x14ac:dyDescent="0.25">
      <c r="Z23829"/>
    </row>
    <row r="23830" spans="26:26" x14ac:dyDescent="0.25">
      <c r="Z23830"/>
    </row>
    <row r="23831" spans="26:26" x14ac:dyDescent="0.25">
      <c r="Z23831"/>
    </row>
    <row r="23832" spans="26:26" x14ac:dyDescent="0.25">
      <c r="Z23832"/>
    </row>
    <row r="23833" spans="26:26" x14ac:dyDescent="0.25">
      <c r="Z23833"/>
    </row>
    <row r="23834" spans="26:26" x14ac:dyDescent="0.25">
      <c r="Z23834"/>
    </row>
    <row r="23835" spans="26:26" x14ac:dyDescent="0.25">
      <c r="Z23835"/>
    </row>
    <row r="23836" spans="26:26" x14ac:dyDescent="0.25">
      <c r="Z23836"/>
    </row>
    <row r="23837" spans="26:26" x14ac:dyDescent="0.25">
      <c r="Z23837"/>
    </row>
    <row r="23838" spans="26:26" x14ac:dyDescent="0.25">
      <c r="Z23838"/>
    </row>
    <row r="23839" spans="26:26" x14ac:dyDescent="0.25">
      <c r="Z23839"/>
    </row>
    <row r="23840" spans="26:26" x14ac:dyDescent="0.25">
      <c r="Z23840"/>
    </row>
    <row r="23841" spans="26:26" x14ac:dyDescent="0.25">
      <c r="Z23841"/>
    </row>
    <row r="23842" spans="26:26" x14ac:dyDescent="0.25">
      <c r="Z23842"/>
    </row>
    <row r="23843" spans="26:26" x14ac:dyDescent="0.25">
      <c r="Z23843"/>
    </row>
    <row r="23844" spans="26:26" x14ac:dyDescent="0.25">
      <c r="Z23844"/>
    </row>
    <row r="23845" spans="26:26" x14ac:dyDescent="0.25">
      <c r="Z23845"/>
    </row>
    <row r="23846" spans="26:26" x14ac:dyDescent="0.25">
      <c r="Z23846"/>
    </row>
    <row r="23847" spans="26:26" x14ac:dyDescent="0.25">
      <c r="Z23847"/>
    </row>
    <row r="23848" spans="26:26" x14ac:dyDescent="0.25">
      <c r="Z23848"/>
    </row>
    <row r="23849" spans="26:26" x14ac:dyDescent="0.25">
      <c r="Z23849"/>
    </row>
    <row r="23850" spans="26:26" x14ac:dyDescent="0.25">
      <c r="Z23850"/>
    </row>
    <row r="23851" spans="26:26" x14ac:dyDescent="0.25">
      <c r="Z23851"/>
    </row>
    <row r="23852" spans="26:26" x14ac:dyDescent="0.25">
      <c r="Z23852"/>
    </row>
    <row r="23853" spans="26:26" x14ac:dyDescent="0.25">
      <c r="Z23853"/>
    </row>
    <row r="23854" spans="26:26" x14ac:dyDescent="0.25">
      <c r="Z23854"/>
    </row>
    <row r="23855" spans="26:26" x14ac:dyDescent="0.25">
      <c r="Z23855"/>
    </row>
    <row r="23856" spans="26:26" x14ac:dyDescent="0.25">
      <c r="Z23856"/>
    </row>
    <row r="23857" spans="26:26" x14ac:dyDescent="0.25">
      <c r="Z23857"/>
    </row>
    <row r="23858" spans="26:26" x14ac:dyDescent="0.25">
      <c r="Z23858"/>
    </row>
    <row r="23859" spans="26:26" x14ac:dyDescent="0.25">
      <c r="Z23859"/>
    </row>
    <row r="23860" spans="26:26" x14ac:dyDescent="0.25">
      <c r="Z23860"/>
    </row>
    <row r="23861" spans="26:26" x14ac:dyDescent="0.25">
      <c r="Z23861"/>
    </row>
    <row r="23862" spans="26:26" x14ac:dyDescent="0.25">
      <c r="Z23862"/>
    </row>
    <row r="23863" spans="26:26" x14ac:dyDescent="0.25">
      <c r="Z23863"/>
    </row>
    <row r="23864" spans="26:26" x14ac:dyDescent="0.25">
      <c r="Z23864"/>
    </row>
    <row r="23865" spans="26:26" x14ac:dyDescent="0.25">
      <c r="Z23865"/>
    </row>
    <row r="23866" spans="26:26" x14ac:dyDescent="0.25">
      <c r="Z23866"/>
    </row>
    <row r="23867" spans="26:26" x14ac:dyDescent="0.25">
      <c r="Z23867"/>
    </row>
    <row r="23868" spans="26:26" x14ac:dyDescent="0.25">
      <c r="Z23868"/>
    </row>
    <row r="23869" spans="26:26" x14ac:dyDescent="0.25">
      <c r="Z23869"/>
    </row>
    <row r="23870" spans="26:26" x14ac:dyDescent="0.25">
      <c r="Z23870"/>
    </row>
    <row r="23871" spans="26:26" x14ac:dyDescent="0.25">
      <c r="Z23871"/>
    </row>
    <row r="23872" spans="26:26" x14ac:dyDescent="0.25">
      <c r="Z23872"/>
    </row>
    <row r="23873" spans="26:26" x14ac:dyDescent="0.25">
      <c r="Z23873"/>
    </row>
    <row r="23874" spans="26:26" x14ac:dyDescent="0.25">
      <c r="Z23874"/>
    </row>
    <row r="23875" spans="26:26" x14ac:dyDescent="0.25">
      <c r="Z23875"/>
    </row>
    <row r="23876" spans="26:26" x14ac:dyDescent="0.25">
      <c r="Z23876"/>
    </row>
    <row r="23877" spans="26:26" x14ac:dyDescent="0.25">
      <c r="Z23877"/>
    </row>
    <row r="23878" spans="26:26" x14ac:dyDescent="0.25">
      <c r="Z23878"/>
    </row>
    <row r="23879" spans="26:26" x14ac:dyDescent="0.25">
      <c r="Z23879"/>
    </row>
    <row r="23880" spans="26:26" x14ac:dyDescent="0.25">
      <c r="Z23880"/>
    </row>
    <row r="23881" spans="26:26" x14ac:dyDescent="0.25">
      <c r="Z23881"/>
    </row>
    <row r="23882" spans="26:26" x14ac:dyDescent="0.25">
      <c r="Z23882"/>
    </row>
    <row r="23883" spans="26:26" x14ac:dyDescent="0.25">
      <c r="Z23883"/>
    </row>
    <row r="23884" spans="26:26" x14ac:dyDescent="0.25">
      <c r="Z23884"/>
    </row>
    <row r="23885" spans="26:26" x14ac:dyDescent="0.25">
      <c r="Z23885"/>
    </row>
    <row r="23886" spans="26:26" x14ac:dyDescent="0.25">
      <c r="Z23886"/>
    </row>
    <row r="23887" spans="26:26" x14ac:dyDescent="0.25">
      <c r="Z23887"/>
    </row>
    <row r="23888" spans="26:26" x14ac:dyDescent="0.25">
      <c r="Z23888"/>
    </row>
    <row r="23889" spans="26:26" x14ac:dyDescent="0.25">
      <c r="Z23889"/>
    </row>
    <row r="23890" spans="26:26" x14ac:dyDescent="0.25">
      <c r="Z23890"/>
    </row>
    <row r="23891" spans="26:26" x14ac:dyDescent="0.25">
      <c r="Z23891"/>
    </row>
    <row r="23892" spans="26:26" x14ac:dyDescent="0.25">
      <c r="Z23892"/>
    </row>
    <row r="23893" spans="26:26" x14ac:dyDescent="0.25">
      <c r="Z23893"/>
    </row>
    <row r="23894" spans="26:26" x14ac:dyDescent="0.25">
      <c r="Z23894"/>
    </row>
    <row r="23895" spans="26:26" x14ac:dyDescent="0.25">
      <c r="Z23895"/>
    </row>
    <row r="23896" spans="26:26" x14ac:dyDescent="0.25">
      <c r="Z23896"/>
    </row>
    <row r="23897" spans="26:26" x14ac:dyDescent="0.25">
      <c r="Z23897"/>
    </row>
    <row r="23898" spans="26:26" x14ac:dyDescent="0.25">
      <c r="Z23898"/>
    </row>
    <row r="23899" spans="26:26" x14ac:dyDescent="0.25">
      <c r="Z23899"/>
    </row>
    <row r="23900" spans="26:26" x14ac:dyDescent="0.25">
      <c r="Z23900"/>
    </row>
    <row r="23901" spans="26:26" x14ac:dyDescent="0.25">
      <c r="Z23901"/>
    </row>
    <row r="23902" spans="26:26" x14ac:dyDescent="0.25">
      <c r="Z23902"/>
    </row>
    <row r="23903" spans="26:26" x14ac:dyDescent="0.25">
      <c r="Z23903"/>
    </row>
    <row r="23904" spans="26:26" x14ac:dyDescent="0.25">
      <c r="Z23904"/>
    </row>
    <row r="23905" spans="26:26" x14ac:dyDescent="0.25">
      <c r="Z23905"/>
    </row>
    <row r="23906" spans="26:26" x14ac:dyDescent="0.25">
      <c r="Z23906"/>
    </row>
    <row r="23907" spans="26:26" x14ac:dyDescent="0.25">
      <c r="Z23907"/>
    </row>
    <row r="23908" spans="26:26" x14ac:dyDescent="0.25">
      <c r="Z23908"/>
    </row>
    <row r="23909" spans="26:26" x14ac:dyDescent="0.25">
      <c r="Z23909"/>
    </row>
    <row r="23910" spans="26:26" x14ac:dyDescent="0.25">
      <c r="Z23910"/>
    </row>
    <row r="23911" spans="26:26" x14ac:dyDescent="0.25">
      <c r="Z23911"/>
    </row>
    <row r="23912" spans="26:26" x14ac:dyDescent="0.25">
      <c r="Z23912"/>
    </row>
    <row r="23913" spans="26:26" x14ac:dyDescent="0.25">
      <c r="Z23913"/>
    </row>
    <row r="23914" spans="26:26" x14ac:dyDescent="0.25">
      <c r="Z23914"/>
    </row>
    <row r="23915" spans="26:26" x14ac:dyDescent="0.25">
      <c r="Z23915"/>
    </row>
    <row r="23916" spans="26:26" x14ac:dyDescent="0.25">
      <c r="Z23916"/>
    </row>
    <row r="23917" spans="26:26" x14ac:dyDescent="0.25">
      <c r="Z23917"/>
    </row>
    <row r="23918" spans="26:26" x14ac:dyDescent="0.25">
      <c r="Z23918"/>
    </row>
    <row r="23919" spans="26:26" x14ac:dyDescent="0.25">
      <c r="Z23919"/>
    </row>
    <row r="23920" spans="26:26" x14ac:dyDescent="0.25">
      <c r="Z23920"/>
    </row>
    <row r="23921" spans="26:26" x14ac:dyDescent="0.25">
      <c r="Z23921"/>
    </row>
    <row r="23922" spans="26:26" x14ac:dyDescent="0.25">
      <c r="Z23922"/>
    </row>
    <row r="23923" spans="26:26" x14ac:dyDescent="0.25">
      <c r="Z23923"/>
    </row>
    <row r="23924" spans="26:26" x14ac:dyDescent="0.25">
      <c r="Z23924"/>
    </row>
    <row r="23925" spans="26:26" x14ac:dyDescent="0.25">
      <c r="Z23925"/>
    </row>
    <row r="23926" spans="26:26" x14ac:dyDescent="0.25">
      <c r="Z23926"/>
    </row>
    <row r="23927" spans="26:26" x14ac:dyDescent="0.25">
      <c r="Z23927"/>
    </row>
    <row r="23928" spans="26:26" x14ac:dyDescent="0.25">
      <c r="Z23928"/>
    </row>
    <row r="23929" spans="26:26" x14ac:dyDescent="0.25">
      <c r="Z23929"/>
    </row>
    <row r="23930" spans="26:26" x14ac:dyDescent="0.25">
      <c r="Z23930"/>
    </row>
    <row r="23931" spans="26:26" x14ac:dyDescent="0.25">
      <c r="Z23931"/>
    </row>
    <row r="23932" spans="26:26" x14ac:dyDescent="0.25">
      <c r="Z23932"/>
    </row>
    <row r="23933" spans="26:26" x14ac:dyDescent="0.25">
      <c r="Z23933"/>
    </row>
    <row r="23934" spans="26:26" x14ac:dyDescent="0.25">
      <c r="Z23934"/>
    </row>
    <row r="23935" spans="26:26" x14ac:dyDescent="0.25">
      <c r="Z23935"/>
    </row>
    <row r="23936" spans="26:26" x14ac:dyDescent="0.25">
      <c r="Z23936"/>
    </row>
    <row r="23937" spans="26:26" x14ac:dyDescent="0.25">
      <c r="Z23937"/>
    </row>
    <row r="23938" spans="26:26" x14ac:dyDescent="0.25">
      <c r="Z23938"/>
    </row>
    <row r="23939" spans="26:26" x14ac:dyDescent="0.25">
      <c r="Z23939"/>
    </row>
    <row r="23940" spans="26:26" x14ac:dyDescent="0.25">
      <c r="Z23940"/>
    </row>
    <row r="23941" spans="26:26" x14ac:dyDescent="0.25">
      <c r="Z23941"/>
    </row>
    <row r="23942" spans="26:26" x14ac:dyDescent="0.25">
      <c r="Z23942"/>
    </row>
    <row r="23943" spans="26:26" x14ac:dyDescent="0.25">
      <c r="Z23943"/>
    </row>
    <row r="23944" spans="26:26" x14ac:dyDescent="0.25">
      <c r="Z23944"/>
    </row>
    <row r="23945" spans="26:26" x14ac:dyDescent="0.25">
      <c r="Z23945"/>
    </row>
    <row r="23946" spans="26:26" x14ac:dyDescent="0.25">
      <c r="Z23946"/>
    </row>
    <row r="23947" spans="26:26" x14ac:dyDescent="0.25">
      <c r="Z23947"/>
    </row>
    <row r="23948" spans="26:26" x14ac:dyDescent="0.25">
      <c r="Z23948"/>
    </row>
    <row r="23949" spans="26:26" x14ac:dyDescent="0.25">
      <c r="Z23949"/>
    </row>
    <row r="23950" spans="26:26" x14ac:dyDescent="0.25">
      <c r="Z23950"/>
    </row>
    <row r="23951" spans="26:26" x14ac:dyDescent="0.25">
      <c r="Z23951"/>
    </row>
    <row r="23952" spans="26:26" x14ac:dyDescent="0.25">
      <c r="Z23952"/>
    </row>
    <row r="23953" spans="26:26" x14ac:dyDescent="0.25">
      <c r="Z23953"/>
    </row>
    <row r="23954" spans="26:26" x14ac:dyDescent="0.25">
      <c r="Z23954"/>
    </row>
    <row r="23955" spans="26:26" x14ac:dyDescent="0.25">
      <c r="Z23955"/>
    </row>
    <row r="23956" spans="26:26" x14ac:dyDescent="0.25">
      <c r="Z23956"/>
    </row>
    <row r="23957" spans="26:26" x14ac:dyDescent="0.25">
      <c r="Z23957"/>
    </row>
    <row r="23958" spans="26:26" x14ac:dyDescent="0.25">
      <c r="Z23958"/>
    </row>
    <row r="23959" spans="26:26" x14ac:dyDescent="0.25">
      <c r="Z23959"/>
    </row>
    <row r="23960" spans="26:26" x14ac:dyDescent="0.25">
      <c r="Z23960"/>
    </row>
    <row r="23961" spans="26:26" x14ac:dyDescent="0.25">
      <c r="Z23961"/>
    </row>
    <row r="23962" spans="26:26" x14ac:dyDescent="0.25">
      <c r="Z23962"/>
    </row>
    <row r="23963" spans="26:26" x14ac:dyDescent="0.25">
      <c r="Z23963"/>
    </row>
    <row r="23964" spans="26:26" x14ac:dyDescent="0.25">
      <c r="Z23964"/>
    </row>
    <row r="23965" spans="26:26" x14ac:dyDescent="0.25">
      <c r="Z23965"/>
    </row>
    <row r="23966" spans="26:26" x14ac:dyDescent="0.25">
      <c r="Z23966"/>
    </row>
    <row r="23967" spans="26:26" x14ac:dyDescent="0.25">
      <c r="Z23967"/>
    </row>
    <row r="23968" spans="26:26" x14ac:dyDescent="0.25">
      <c r="Z23968"/>
    </row>
    <row r="23969" spans="26:26" x14ac:dyDescent="0.25">
      <c r="Z23969"/>
    </row>
    <row r="23970" spans="26:26" x14ac:dyDescent="0.25">
      <c r="Z23970"/>
    </row>
    <row r="23971" spans="26:26" x14ac:dyDescent="0.25">
      <c r="Z23971"/>
    </row>
    <row r="23972" spans="26:26" x14ac:dyDescent="0.25">
      <c r="Z23972"/>
    </row>
    <row r="23973" spans="26:26" x14ac:dyDescent="0.25">
      <c r="Z23973"/>
    </row>
    <row r="23974" spans="26:26" x14ac:dyDescent="0.25">
      <c r="Z23974"/>
    </row>
    <row r="23975" spans="26:26" x14ac:dyDescent="0.25">
      <c r="Z23975"/>
    </row>
    <row r="23976" spans="26:26" x14ac:dyDescent="0.25">
      <c r="Z23976"/>
    </row>
    <row r="23977" spans="26:26" x14ac:dyDescent="0.25">
      <c r="Z23977"/>
    </row>
    <row r="23978" spans="26:26" x14ac:dyDescent="0.25">
      <c r="Z23978"/>
    </row>
    <row r="23979" spans="26:26" x14ac:dyDescent="0.25">
      <c r="Z23979"/>
    </row>
    <row r="23980" spans="26:26" x14ac:dyDescent="0.25">
      <c r="Z23980"/>
    </row>
    <row r="23981" spans="26:26" x14ac:dyDescent="0.25">
      <c r="Z23981"/>
    </row>
    <row r="23982" spans="26:26" x14ac:dyDescent="0.25">
      <c r="Z23982"/>
    </row>
    <row r="23983" spans="26:26" x14ac:dyDescent="0.25">
      <c r="Z23983"/>
    </row>
    <row r="23984" spans="26:26" x14ac:dyDescent="0.25">
      <c r="Z23984"/>
    </row>
    <row r="23985" spans="26:26" x14ac:dyDescent="0.25">
      <c r="Z23985"/>
    </row>
    <row r="23986" spans="26:26" x14ac:dyDescent="0.25">
      <c r="Z23986"/>
    </row>
    <row r="23987" spans="26:26" x14ac:dyDescent="0.25">
      <c r="Z23987"/>
    </row>
    <row r="23988" spans="26:26" x14ac:dyDescent="0.25">
      <c r="Z23988"/>
    </row>
    <row r="23989" spans="26:26" x14ac:dyDescent="0.25">
      <c r="Z23989"/>
    </row>
    <row r="23990" spans="26:26" x14ac:dyDescent="0.25">
      <c r="Z23990"/>
    </row>
    <row r="23991" spans="26:26" x14ac:dyDescent="0.25">
      <c r="Z23991"/>
    </row>
    <row r="23992" spans="26:26" x14ac:dyDescent="0.25">
      <c r="Z23992"/>
    </row>
    <row r="23993" spans="26:26" x14ac:dyDescent="0.25">
      <c r="Z23993"/>
    </row>
    <row r="23994" spans="26:26" x14ac:dyDescent="0.25">
      <c r="Z23994"/>
    </row>
    <row r="23995" spans="26:26" x14ac:dyDescent="0.25">
      <c r="Z23995"/>
    </row>
    <row r="23996" spans="26:26" x14ac:dyDescent="0.25">
      <c r="Z23996"/>
    </row>
    <row r="23997" spans="26:26" x14ac:dyDescent="0.25">
      <c r="Z23997"/>
    </row>
    <row r="23998" spans="26:26" x14ac:dyDescent="0.25">
      <c r="Z23998"/>
    </row>
    <row r="23999" spans="26:26" x14ac:dyDescent="0.25">
      <c r="Z23999"/>
    </row>
    <row r="24000" spans="26:26" x14ac:dyDescent="0.25">
      <c r="Z24000"/>
    </row>
    <row r="24001" spans="26:26" x14ac:dyDescent="0.25">
      <c r="Z24001"/>
    </row>
    <row r="24002" spans="26:26" x14ac:dyDescent="0.25">
      <c r="Z24002"/>
    </row>
    <row r="24003" spans="26:26" x14ac:dyDescent="0.25">
      <c r="Z24003"/>
    </row>
    <row r="24004" spans="26:26" x14ac:dyDescent="0.25">
      <c r="Z24004"/>
    </row>
    <row r="24005" spans="26:26" x14ac:dyDescent="0.25">
      <c r="Z24005"/>
    </row>
    <row r="24006" spans="26:26" x14ac:dyDescent="0.25">
      <c r="Z24006"/>
    </row>
    <row r="24007" spans="26:26" x14ac:dyDescent="0.25">
      <c r="Z24007"/>
    </row>
    <row r="24008" spans="26:26" x14ac:dyDescent="0.25">
      <c r="Z24008"/>
    </row>
    <row r="24009" spans="26:26" x14ac:dyDescent="0.25">
      <c r="Z24009"/>
    </row>
    <row r="24010" spans="26:26" x14ac:dyDescent="0.25">
      <c r="Z24010"/>
    </row>
    <row r="24011" spans="26:26" x14ac:dyDescent="0.25">
      <c r="Z24011"/>
    </row>
    <row r="24012" spans="26:26" x14ac:dyDescent="0.25">
      <c r="Z24012"/>
    </row>
    <row r="24013" spans="26:26" x14ac:dyDescent="0.25">
      <c r="Z24013"/>
    </row>
    <row r="24014" spans="26:26" x14ac:dyDescent="0.25">
      <c r="Z24014"/>
    </row>
    <row r="24015" spans="26:26" x14ac:dyDescent="0.25">
      <c r="Z24015"/>
    </row>
    <row r="24016" spans="26:26" x14ac:dyDescent="0.25">
      <c r="Z24016"/>
    </row>
    <row r="24017" spans="26:26" x14ac:dyDescent="0.25">
      <c r="Z24017"/>
    </row>
    <row r="24018" spans="26:26" x14ac:dyDescent="0.25">
      <c r="Z24018"/>
    </row>
    <row r="24019" spans="26:26" x14ac:dyDescent="0.25">
      <c r="Z24019"/>
    </row>
    <row r="24020" spans="26:26" x14ac:dyDescent="0.25">
      <c r="Z24020"/>
    </row>
    <row r="24021" spans="26:26" x14ac:dyDescent="0.25">
      <c r="Z24021"/>
    </row>
    <row r="24022" spans="26:26" x14ac:dyDescent="0.25">
      <c r="Z24022"/>
    </row>
    <row r="24023" spans="26:26" x14ac:dyDescent="0.25">
      <c r="Z24023"/>
    </row>
    <row r="24024" spans="26:26" x14ac:dyDescent="0.25">
      <c r="Z24024"/>
    </row>
    <row r="24025" spans="26:26" x14ac:dyDescent="0.25">
      <c r="Z24025"/>
    </row>
    <row r="24026" spans="26:26" x14ac:dyDescent="0.25">
      <c r="Z24026"/>
    </row>
    <row r="24027" spans="26:26" x14ac:dyDescent="0.25">
      <c r="Z24027"/>
    </row>
    <row r="24028" spans="26:26" x14ac:dyDescent="0.25">
      <c r="Z24028"/>
    </row>
    <row r="24029" spans="26:26" x14ac:dyDescent="0.25">
      <c r="Z24029"/>
    </row>
    <row r="24030" spans="26:26" x14ac:dyDescent="0.25">
      <c r="Z24030"/>
    </row>
    <row r="24031" spans="26:26" x14ac:dyDescent="0.25">
      <c r="Z24031"/>
    </row>
    <row r="24032" spans="26:26" x14ac:dyDescent="0.25">
      <c r="Z24032"/>
    </row>
    <row r="24033" spans="26:26" x14ac:dyDescent="0.25">
      <c r="Z24033"/>
    </row>
    <row r="24034" spans="26:26" x14ac:dyDescent="0.25">
      <c r="Z24034"/>
    </row>
    <row r="24035" spans="26:26" x14ac:dyDescent="0.25">
      <c r="Z24035"/>
    </row>
    <row r="24036" spans="26:26" x14ac:dyDescent="0.25">
      <c r="Z24036"/>
    </row>
    <row r="24037" spans="26:26" x14ac:dyDescent="0.25">
      <c r="Z24037"/>
    </row>
    <row r="24038" spans="26:26" x14ac:dyDescent="0.25">
      <c r="Z24038"/>
    </row>
    <row r="24039" spans="26:26" x14ac:dyDescent="0.25">
      <c r="Z24039"/>
    </row>
    <row r="24040" spans="26:26" x14ac:dyDescent="0.25">
      <c r="Z24040"/>
    </row>
    <row r="24041" spans="26:26" x14ac:dyDescent="0.25">
      <c r="Z24041"/>
    </row>
    <row r="24042" spans="26:26" x14ac:dyDescent="0.25">
      <c r="Z24042"/>
    </row>
    <row r="24043" spans="26:26" x14ac:dyDescent="0.25">
      <c r="Z24043"/>
    </row>
    <row r="24044" spans="26:26" x14ac:dyDescent="0.25">
      <c r="Z24044"/>
    </row>
    <row r="24045" spans="26:26" x14ac:dyDescent="0.25">
      <c r="Z24045"/>
    </row>
    <row r="24046" spans="26:26" x14ac:dyDescent="0.25">
      <c r="Z24046"/>
    </row>
    <row r="24047" spans="26:26" x14ac:dyDescent="0.25">
      <c r="Z24047"/>
    </row>
    <row r="24048" spans="26:26" x14ac:dyDescent="0.25">
      <c r="Z24048"/>
    </row>
    <row r="24049" spans="26:26" x14ac:dyDescent="0.25">
      <c r="Z24049"/>
    </row>
    <row r="24050" spans="26:26" x14ac:dyDescent="0.25">
      <c r="Z24050"/>
    </row>
    <row r="24051" spans="26:26" x14ac:dyDescent="0.25">
      <c r="Z24051"/>
    </row>
    <row r="24052" spans="26:26" x14ac:dyDescent="0.25">
      <c r="Z24052"/>
    </row>
    <row r="24053" spans="26:26" x14ac:dyDescent="0.25">
      <c r="Z24053"/>
    </row>
    <row r="24054" spans="26:26" x14ac:dyDescent="0.25">
      <c r="Z24054"/>
    </row>
    <row r="24055" spans="26:26" x14ac:dyDescent="0.25">
      <c r="Z24055"/>
    </row>
    <row r="24056" spans="26:26" x14ac:dyDescent="0.25">
      <c r="Z24056"/>
    </row>
    <row r="24057" spans="26:26" x14ac:dyDescent="0.25">
      <c r="Z24057"/>
    </row>
    <row r="24058" spans="26:26" x14ac:dyDescent="0.25">
      <c r="Z24058"/>
    </row>
    <row r="24059" spans="26:26" x14ac:dyDescent="0.25">
      <c r="Z24059"/>
    </row>
    <row r="24060" spans="26:26" x14ac:dyDescent="0.25">
      <c r="Z24060"/>
    </row>
    <row r="24061" spans="26:26" x14ac:dyDescent="0.25">
      <c r="Z24061"/>
    </row>
    <row r="24062" spans="26:26" x14ac:dyDescent="0.25">
      <c r="Z24062"/>
    </row>
    <row r="24063" spans="26:26" x14ac:dyDescent="0.25">
      <c r="Z24063"/>
    </row>
    <row r="24064" spans="26:26" x14ac:dyDescent="0.25">
      <c r="Z24064"/>
    </row>
    <row r="24065" spans="26:26" x14ac:dyDescent="0.25">
      <c r="Z24065"/>
    </row>
    <row r="24066" spans="26:26" x14ac:dyDescent="0.25">
      <c r="Z24066"/>
    </row>
    <row r="24067" spans="26:26" x14ac:dyDescent="0.25">
      <c r="Z24067"/>
    </row>
    <row r="24068" spans="26:26" x14ac:dyDescent="0.25">
      <c r="Z24068"/>
    </row>
    <row r="24069" spans="26:26" x14ac:dyDescent="0.25">
      <c r="Z24069"/>
    </row>
    <row r="24070" spans="26:26" x14ac:dyDescent="0.25">
      <c r="Z24070"/>
    </row>
    <row r="24071" spans="26:26" x14ac:dyDescent="0.25">
      <c r="Z24071"/>
    </row>
    <row r="24072" spans="26:26" x14ac:dyDescent="0.25">
      <c r="Z24072"/>
    </row>
    <row r="24073" spans="26:26" x14ac:dyDescent="0.25">
      <c r="Z24073"/>
    </row>
    <row r="24074" spans="26:26" x14ac:dyDescent="0.25">
      <c r="Z24074"/>
    </row>
    <row r="24075" spans="26:26" x14ac:dyDescent="0.25">
      <c r="Z24075"/>
    </row>
    <row r="24076" spans="26:26" x14ac:dyDescent="0.25">
      <c r="Z24076"/>
    </row>
    <row r="24077" spans="26:26" x14ac:dyDescent="0.25">
      <c r="Z24077"/>
    </row>
    <row r="24078" spans="26:26" x14ac:dyDescent="0.25">
      <c r="Z24078"/>
    </row>
    <row r="24079" spans="26:26" x14ac:dyDescent="0.25">
      <c r="Z24079"/>
    </row>
    <row r="24080" spans="26:26" x14ac:dyDescent="0.25">
      <c r="Z24080"/>
    </row>
    <row r="24081" spans="26:26" x14ac:dyDescent="0.25">
      <c r="Z24081"/>
    </row>
    <row r="24082" spans="26:26" x14ac:dyDescent="0.25">
      <c r="Z24082"/>
    </row>
    <row r="24083" spans="26:26" x14ac:dyDescent="0.25">
      <c r="Z24083"/>
    </row>
    <row r="24084" spans="26:26" x14ac:dyDescent="0.25">
      <c r="Z24084"/>
    </row>
    <row r="24085" spans="26:26" x14ac:dyDescent="0.25">
      <c r="Z24085"/>
    </row>
    <row r="24086" spans="26:26" x14ac:dyDescent="0.25">
      <c r="Z24086"/>
    </row>
    <row r="24087" spans="26:26" x14ac:dyDescent="0.25">
      <c r="Z24087"/>
    </row>
    <row r="24088" spans="26:26" x14ac:dyDescent="0.25">
      <c r="Z24088"/>
    </row>
    <row r="24089" spans="26:26" x14ac:dyDescent="0.25">
      <c r="Z24089"/>
    </row>
    <row r="24090" spans="26:26" x14ac:dyDescent="0.25">
      <c r="Z24090"/>
    </row>
    <row r="24091" spans="26:26" x14ac:dyDescent="0.25">
      <c r="Z24091"/>
    </row>
    <row r="24092" spans="26:26" x14ac:dyDescent="0.25">
      <c r="Z24092"/>
    </row>
    <row r="24093" spans="26:26" x14ac:dyDescent="0.25">
      <c r="Z24093"/>
    </row>
    <row r="24094" spans="26:26" x14ac:dyDescent="0.25">
      <c r="Z24094"/>
    </row>
    <row r="24095" spans="26:26" x14ac:dyDescent="0.25">
      <c r="Z24095"/>
    </row>
    <row r="24096" spans="26:26" x14ac:dyDescent="0.25">
      <c r="Z24096"/>
    </row>
    <row r="24097" spans="26:26" x14ac:dyDescent="0.25">
      <c r="Z24097"/>
    </row>
    <row r="24098" spans="26:26" x14ac:dyDescent="0.25">
      <c r="Z24098"/>
    </row>
    <row r="24099" spans="26:26" x14ac:dyDescent="0.25">
      <c r="Z24099"/>
    </row>
    <row r="24100" spans="26:26" x14ac:dyDescent="0.25">
      <c r="Z24100"/>
    </row>
    <row r="24101" spans="26:26" x14ac:dyDescent="0.25">
      <c r="Z24101"/>
    </row>
    <row r="24102" spans="26:26" x14ac:dyDescent="0.25">
      <c r="Z24102"/>
    </row>
    <row r="24103" spans="26:26" x14ac:dyDescent="0.25">
      <c r="Z24103"/>
    </row>
    <row r="24104" spans="26:26" x14ac:dyDescent="0.25">
      <c r="Z24104"/>
    </row>
    <row r="24105" spans="26:26" x14ac:dyDescent="0.25">
      <c r="Z24105"/>
    </row>
    <row r="24106" spans="26:26" x14ac:dyDescent="0.25">
      <c r="Z24106"/>
    </row>
    <row r="24107" spans="26:26" x14ac:dyDescent="0.25">
      <c r="Z24107"/>
    </row>
    <row r="24108" spans="26:26" x14ac:dyDescent="0.25">
      <c r="Z24108"/>
    </row>
    <row r="24109" spans="26:26" x14ac:dyDescent="0.25">
      <c r="Z24109"/>
    </row>
    <row r="24110" spans="26:26" x14ac:dyDescent="0.25">
      <c r="Z24110"/>
    </row>
    <row r="24111" spans="26:26" x14ac:dyDescent="0.25">
      <c r="Z24111"/>
    </row>
    <row r="24112" spans="26:26" x14ac:dyDescent="0.25">
      <c r="Z24112"/>
    </row>
    <row r="24113" spans="26:26" x14ac:dyDescent="0.25">
      <c r="Z24113"/>
    </row>
    <row r="24114" spans="26:26" x14ac:dyDescent="0.25">
      <c r="Z24114"/>
    </row>
    <row r="24115" spans="26:26" x14ac:dyDescent="0.25">
      <c r="Z24115"/>
    </row>
    <row r="24116" spans="26:26" x14ac:dyDescent="0.25">
      <c r="Z24116"/>
    </row>
    <row r="24117" spans="26:26" x14ac:dyDescent="0.25">
      <c r="Z24117"/>
    </row>
    <row r="24118" spans="26:26" x14ac:dyDescent="0.25">
      <c r="Z24118"/>
    </row>
    <row r="24119" spans="26:26" x14ac:dyDescent="0.25">
      <c r="Z24119"/>
    </row>
    <row r="24120" spans="26:26" x14ac:dyDescent="0.25">
      <c r="Z24120"/>
    </row>
    <row r="24121" spans="26:26" x14ac:dyDescent="0.25">
      <c r="Z24121"/>
    </row>
    <row r="24122" spans="26:26" x14ac:dyDescent="0.25">
      <c r="Z24122"/>
    </row>
    <row r="24123" spans="26:26" x14ac:dyDescent="0.25">
      <c r="Z24123"/>
    </row>
    <row r="24124" spans="26:26" x14ac:dyDescent="0.25">
      <c r="Z24124"/>
    </row>
    <row r="24125" spans="26:26" x14ac:dyDescent="0.25">
      <c r="Z24125"/>
    </row>
    <row r="24126" spans="26:26" x14ac:dyDescent="0.25">
      <c r="Z24126"/>
    </row>
    <row r="24127" spans="26:26" x14ac:dyDescent="0.25">
      <c r="Z24127"/>
    </row>
    <row r="24128" spans="26:26" x14ac:dyDescent="0.25">
      <c r="Z24128"/>
    </row>
    <row r="24129" spans="26:26" x14ac:dyDescent="0.25">
      <c r="Z24129"/>
    </row>
    <row r="24130" spans="26:26" x14ac:dyDescent="0.25">
      <c r="Z24130"/>
    </row>
    <row r="24131" spans="26:26" x14ac:dyDescent="0.25">
      <c r="Z24131"/>
    </row>
    <row r="24132" spans="26:26" x14ac:dyDescent="0.25">
      <c r="Z24132"/>
    </row>
    <row r="24133" spans="26:26" x14ac:dyDescent="0.25">
      <c r="Z24133"/>
    </row>
    <row r="24134" spans="26:26" x14ac:dyDescent="0.25">
      <c r="Z24134"/>
    </row>
    <row r="24135" spans="26:26" x14ac:dyDescent="0.25">
      <c r="Z24135"/>
    </row>
    <row r="24136" spans="26:26" x14ac:dyDescent="0.25">
      <c r="Z24136"/>
    </row>
    <row r="24137" spans="26:26" x14ac:dyDescent="0.25">
      <c r="Z24137"/>
    </row>
    <row r="24138" spans="26:26" x14ac:dyDescent="0.25">
      <c r="Z24138"/>
    </row>
    <row r="24139" spans="26:26" x14ac:dyDescent="0.25">
      <c r="Z24139"/>
    </row>
    <row r="24140" spans="26:26" x14ac:dyDescent="0.25">
      <c r="Z24140"/>
    </row>
    <row r="24141" spans="26:26" x14ac:dyDescent="0.25">
      <c r="Z24141"/>
    </row>
    <row r="24142" spans="26:26" x14ac:dyDescent="0.25">
      <c r="Z24142"/>
    </row>
    <row r="24143" spans="26:26" x14ac:dyDescent="0.25">
      <c r="Z24143"/>
    </row>
    <row r="24144" spans="26:26" x14ac:dyDescent="0.25">
      <c r="Z24144"/>
    </row>
    <row r="24145" spans="26:26" x14ac:dyDescent="0.25">
      <c r="Z24145"/>
    </row>
    <row r="24146" spans="26:26" x14ac:dyDescent="0.25">
      <c r="Z24146"/>
    </row>
    <row r="24147" spans="26:26" x14ac:dyDescent="0.25">
      <c r="Z24147"/>
    </row>
    <row r="24148" spans="26:26" x14ac:dyDescent="0.25">
      <c r="Z24148"/>
    </row>
    <row r="24149" spans="26:26" x14ac:dyDescent="0.25">
      <c r="Z24149"/>
    </row>
    <row r="24150" spans="26:26" x14ac:dyDescent="0.25">
      <c r="Z24150"/>
    </row>
    <row r="24151" spans="26:26" x14ac:dyDescent="0.25">
      <c r="Z24151"/>
    </row>
    <row r="24152" spans="26:26" x14ac:dyDescent="0.25">
      <c r="Z24152"/>
    </row>
    <row r="24153" spans="26:26" x14ac:dyDescent="0.25">
      <c r="Z24153"/>
    </row>
    <row r="24154" spans="26:26" x14ac:dyDescent="0.25">
      <c r="Z24154"/>
    </row>
    <row r="24155" spans="26:26" x14ac:dyDescent="0.25">
      <c r="Z24155"/>
    </row>
    <row r="24156" spans="26:26" x14ac:dyDescent="0.25">
      <c r="Z24156"/>
    </row>
    <row r="24157" spans="26:26" x14ac:dyDescent="0.25">
      <c r="Z24157"/>
    </row>
    <row r="24158" spans="26:26" x14ac:dyDescent="0.25">
      <c r="Z24158"/>
    </row>
    <row r="24159" spans="26:26" x14ac:dyDescent="0.25">
      <c r="Z24159"/>
    </row>
    <row r="24160" spans="26:26" x14ac:dyDescent="0.25">
      <c r="Z24160"/>
    </row>
    <row r="24161" spans="26:26" x14ac:dyDescent="0.25">
      <c r="Z24161"/>
    </row>
    <row r="24162" spans="26:26" x14ac:dyDescent="0.25">
      <c r="Z24162"/>
    </row>
    <row r="24163" spans="26:26" x14ac:dyDescent="0.25">
      <c r="Z24163"/>
    </row>
    <row r="24164" spans="26:26" x14ac:dyDescent="0.25">
      <c r="Z24164"/>
    </row>
    <row r="24165" spans="26:26" x14ac:dyDescent="0.25">
      <c r="Z24165"/>
    </row>
    <row r="24166" spans="26:26" x14ac:dyDescent="0.25">
      <c r="Z24166"/>
    </row>
    <row r="24167" spans="26:26" x14ac:dyDescent="0.25">
      <c r="Z24167"/>
    </row>
    <row r="24168" spans="26:26" x14ac:dyDescent="0.25">
      <c r="Z24168"/>
    </row>
    <row r="24169" spans="26:26" x14ac:dyDescent="0.25">
      <c r="Z24169"/>
    </row>
    <row r="24170" spans="26:26" x14ac:dyDescent="0.25">
      <c r="Z24170"/>
    </row>
    <row r="24171" spans="26:26" x14ac:dyDescent="0.25">
      <c r="Z24171"/>
    </row>
    <row r="24172" spans="26:26" x14ac:dyDescent="0.25">
      <c r="Z24172"/>
    </row>
    <row r="24173" spans="26:26" x14ac:dyDescent="0.25">
      <c r="Z24173"/>
    </row>
    <row r="24174" spans="26:26" x14ac:dyDescent="0.25">
      <c r="Z24174"/>
    </row>
    <row r="24175" spans="26:26" x14ac:dyDescent="0.25">
      <c r="Z24175"/>
    </row>
    <row r="24176" spans="26:26" x14ac:dyDescent="0.25">
      <c r="Z24176"/>
    </row>
    <row r="24177" spans="26:26" x14ac:dyDescent="0.25">
      <c r="Z24177"/>
    </row>
    <row r="24178" spans="26:26" x14ac:dyDescent="0.25">
      <c r="Z24178"/>
    </row>
    <row r="24179" spans="26:26" x14ac:dyDescent="0.25">
      <c r="Z24179"/>
    </row>
    <row r="24180" spans="26:26" x14ac:dyDescent="0.25">
      <c r="Z24180"/>
    </row>
    <row r="24181" spans="26:26" x14ac:dyDescent="0.25">
      <c r="Z24181"/>
    </row>
    <row r="24182" spans="26:26" x14ac:dyDescent="0.25">
      <c r="Z24182"/>
    </row>
    <row r="24183" spans="26:26" x14ac:dyDescent="0.25">
      <c r="Z24183"/>
    </row>
    <row r="24184" spans="26:26" x14ac:dyDescent="0.25">
      <c r="Z24184"/>
    </row>
    <row r="24185" spans="26:26" x14ac:dyDescent="0.25">
      <c r="Z24185"/>
    </row>
    <row r="24186" spans="26:26" x14ac:dyDescent="0.25">
      <c r="Z24186"/>
    </row>
    <row r="24187" spans="26:26" x14ac:dyDescent="0.25">
      <c r="Z24187"/>
    </row>
    <row r="24188" spans="26:26" x14ac:dyDescent="0.25">
      <c r="Z24188"/>
    </row>
    <row r="24189" spans="26:26" x14ac:dyDescent="0.25">
      <c r="Z24189"/>
    </row>
    <row r="24190" spans="26:26" x14ac:dyDescent="0.25">
      <c r="Z24190"/>
    </row>
    <row r="24191" spans="26:26" x14ac:dyDescent="0.25">
      <c r="Z24191"/>
    </row>
    <row r="24192" spans="26:26" x14ac:dyDescent="0.25">
      <c r="Z24192"/>
    </row>
    <row r="24193" spans="26:26" x14ac:dyDescent="0.25">
      <c r="Z24193"/>
    </row>
    <row r="24194" spans="26:26" x14ac:dyDescent="0.25">
      <c r="Z24194"/>
    </row>
    <row r="24195" spans="26:26" x14ac:dyDescent="0.25">
      <c r="Z24195"/>
    </row>
    <row r="24196" spans="26:26" x14ac:dyDescent="0.25">
      <c r="Z24196"/>
    </row>
    <row r="24197" spans="26:26" x14ac:dyDescent="0.25">
      <c r="Z24197"/>
    </row>
    <row r="24198" spans="26:26" x14ac:dyDescent="0.25">
      <c r="Z24198"/>
    </row>
    <row r="24199" spans="26:26" x14ac:dyDescent="0.25">
      <c r="Z24199"/>
    </row>
    <row r="24200" spans="26:26" x14ac:dyDescent="0.25">
      <c r="Z24200"/>
    </row>
    <row r="24201" spans="26:26" x14ac:dyDescent="0.25">
      <c r="Z24201"/>
    </row>
    <row r="24202" spans="26:26" x14ac:dyDescent="0.25">
      <c r="Z24202"/>
    </row>
    <row r="24203" spans="26:26" x14ac:dyDescent="0.25">
      <c r="Z24203"/>
    </row>
    <row r="24204" spans="26:26" x14ac:dyDescent="0.25">
      <c r="Z24204"/>
    </row>
    <row r="24205" spans="26:26" x14ac:dyDescent="0.25">
      <c r="Z24205"/>
    </row>
    <row r="24206" spans="26:26" x14ac:dyDescent="0.25">
      <c r="Z24206"/>
    </row>
    <row r="24207" spans="26:26" x14ac:dyDescent="0.25">
      <c r="Z24207"/>
    </row>
    <row r="24208" spans="26:26" x14ac:dyDescent="0.25">
      <c r="Z24208"/>
    </row>
    <row r="24209" spans="26:26" x14ac:dyDescent="0.25">
      <c r="Z24209"/>
    </row>
    <row r="24210" spans="26:26" x14ac:dyDescent="0.25">
      <c r="Z24210"/>
    </row>
    <row r="24211" spans="26:26" x14ac:dyDescent="0.25">
      <c r="Z24211"/>
    </row>
    <row r="24212" spans="26:26" x14ac:dyDescent="0.25">
      <c r="Z24212"/>
    </row>
    <row r="24213" spans="26:26" x14ac:dyDescent="0.25">
      <c r="Z24213"/>
    </row>
    <row r="24214" spans="26:26" x14ac:dyDescent="0.25">
      <c r="Z24214"/>
    </row>
    <row r="24215" spans="26:26" x14ac:dyDescent="0.25">
      <c r="Z24215"/>
    </row>
    <row r="24216" spans="26:26" x14ac:dyDescent="0.25">
      <c r="Z24216"/>
    </row>
    <row r="24217" spans="26:26" x14ac:dyDescent="0.25">
      <c r="Z24217"/>
    </row>
    <row r="24218" spans="26:26" x14ac:dyDescent="0.25">
      <c r="Z24218"/>
    </row>
    <row r="24219" spans="26:26" x14ac:dyDescent="0.25">
      <c r="Z24219"/>
    </row>
    <row r="24220" spans="26:26" x14ac:dyDescent="0.25">
      <c r="Z24220"/>
    </row>
    <row r="24221" spans="26:26" x14ac:dyDescent="0.25">
      <c r="Z24221"/>
    </row>
    <row r="24222" spans="26:26" x14ac:dyDescent="0.25">
      <c r="Z24222"/>
    </row>
    <row r="24223" spans="26:26" x14ac:dyDescent="0.25">
      <c r="Z24223"/>
    </row>
    <row r="24224" spans="26:26" x14ac:dyDescent="0.25">
      <c r="Z24224"/>
    </row>
    <row r="24225" spans="26:26" x14ac:dyDescent="0.25">
      <c r="Z24225"/>
    </row>
    <row r="24226" spans="26:26" x14ac:dyDescent="0.25">
      <c r="Z24226"/>
    </row>
    <row r="24227" spans="26:26" x14ac:dyDescent="0.25">
      <c r="Z24227"/>
    </row>
    <row r="24228" spans="26:26" x14ac:dyDescent="0.25">
      <c r="Z24228"/>
    </row>
    <row r="24229" spans="26:26" x14ac:dyDescent="0.25">
      <c r="Z24229"/>
    </row>
    <row r="24230" spans="26:26" x14ac:dyDescent="0.25">
      <c r="Z24230"/>
    </row>
    <row r="24231" spans="26:26" x14ac:dyDescent="0.25">
      <c r="Z24231"/>
    </row>
    <row r="24232" spans="26:26" x14ac:dyDescent="0.25">
      <c r="Z24232"/>
    </row>
    <row r="24233" spans="26:26" x14ac:dyDescent="0.25">
      <c r="Z24233"/>
    </row>
    <row r="24234" spans="26:26" x14ac:dyDescent="0.25">
      <c r="Z24234"/>
    </row>
    <row r="24235" spans="26:26" x14ac:dyDescent="0.25">
      <c r="Z24235"/>
    </row>
    <row r="24236" spans="26:26" x14ac:dyDescent="0.25">
      <c r="Z24236"/>
    </row>
    <row r="24237" spans="26:26" x14ac:dyDescent="0.25">
      <c r="Z24237"/>
    </row>
    <row r="24238" spans="26:26" x14ac:dyDescent="0.25">
      <c r="Z24238"/>
    </row>
    <row r="24239" spans="26:26" x14ac:dyDescent="0.25">
      <c r="Z24239"/>
    </row>
    <row r="24240" spans="26:26" x14ac:dyDescent="0.25">
      <c r="Z24240"/>
    </row>
    <row r="24241" spans="26:26" x14ac:dyDescent="0.25">
      <c r="Z24241"/>
    </row>
    <row r="24242" spans="26:26" x14ac:dyDescent="0.25">
      <c r="Z24242"/>
    </row>
    <row r="24243" spans="26:26" x14ac:dyDescent="0.25">
      <c r="Z24243"/>
    </row>
    <row r="24244" spans="26:26" x14ac:dyDescent="0.25">
      <c r="Z24244"/>
    </row>
    <row r="24245" spans="26:26" x14ac:dyDescent="0.25">
      <c r="Z24245"/>
    </row>
    <row r="24246" spans="26:26" x14ac:dyDescent="0.25">
      <c r="Z24246"/>
    </row>
    <row r="24247" spans="26:26" x14ac:dyDescent="0.25">
      <c r="Z24247"/>
    </row>
    <row r="24248" spans="26:26" x14ac:dyDescent="0.25">
      <c r="Z24248"/>
    </row>
    <row r="24249" spans="26:26" x14ac:dyDescent="0.25">
      <c r="Z24249"/>
    </row>
    <row r="24250" spans="26:26" x14ac:dyDescent="0.25">
      <c r="Z24250"/>
    </row>
    <row r="24251" spans="26:26" x14ac:dyDescent="0.25">
      <c r="Z24251"/>
    </row>
    <row r="24252" spans="26:26" x14ac:dyDescent="0.25">
      <c r="Z24252"/>
    </row>
    <row r="24253" spans="26:26" x14ac:dyDescent="0.25">
      <c r="Z24253"/>
    </row>
    <row r="24254" spans="26:26" x14ac:dyDescent="0.25">
      <c r="Z24254"/>
    </row>
    <row r="24255" spans="26:26" x14ac:dyDescent="0.25">
      <c r="Z24255"/>
    </row>
    <row r="24256" spans="26:26" x14ac:dyDescent="0.25">
      <c r="Z24256"/>
    </row>
    <row r="24257" spans="26:26" x14ac:dyDescent="0.25">
      <c r="Z24257"/>
    </row>
    <row r="24258" spans="26:26" x14ac:dyDescent="0.25">
      <c r="Z24258"/>
    </row>
    <row r="24259" spans="26:26" x14ac:dyDescent="0.25">
      <c r="Z24259"/>
    </row>
    <row r="24260" spans="26:26" x14ac:dyDescent="0.25">
      <c r="Z24260"/>
    </row>
    <row r="24261" spans="26:26" x14ac:dyDescent="0.25">
      <c r="Z24261"/>
    </row>
    <row r="24262" spans="26:26" x14ac:dyDescent="0.25">
      <c r="Z24262"/>
    </row>
    <row r="24263" spans="26:26" x14ac:dyDescent="0.25">
      <c r="Z24263"/>
    </row>
    <row r="24264" spans="26:26" x14ac:dyDescent="0.25">
      <c r="Z24264"/>
    </row>
    <row r="24265" spans="26:26" x14ac:dyDescent="0.25">
      <c r="Z24265"/>
    </row>
    <row r="24266" spans="26:26" x14ac:dyDescent="0.25">
      <c r="Z24266"/>
    </row>
    <row r="24267" spans="26:26" x14ac:dyDescent="0.25">
      <c r="Z24267"/>
    </row>
    <row r="24268" spans="26:26" x14ac:dyDescent="0.25">
      <c r="Z24268"/>
    </row>
    <row r="24269" spans="26:26" x14ac:dyDescent="0.25">
      <c r="Z24269"/>
    </row>
    <row r="24270" spans="26:26" x14ac:dyDescent="0.25">
      <c r="Z24270"/>
    </row>
    <row r="24271" spans="26:26" x14ac:dyDescent="0.25">
      <c r="Z24271"/>
    </row>
    <row r="24272" spans="26:26" x14ac:dyDescent="0.25">
      <c r="Z24272"/>
    </row>
    <row r="24273" spans="26:26" x14ac:dyDescent="0.25">
      <c r="Z24273"/>
    </row>
    <row r="24274" spans="26:26" x14ac:dyDescent="0.25">
      <c r="Z24274"/>
    </row>
    <row r="24275" spans="26:26" x14ac:dyDescent="0.25">
      <c r="Z24275"/>
    </row>
    <row r="24276" spans="26:26" x14ac:dyDescent="0.25">
      <c r="Z24276"/>
    </row>
    <row r="24277" spans="26:26" x14ac:dyDescent="0.25">
      <c r="Z24277"/>
    </row>
    <row r="24278" spans="26:26" x14ac:dyDescent="0.25">
      <c r="Z24278"/>
    </row>
    <row r="24279" spans="26:26" x14ac:dyDescent="0.25">
      <c r="Z24279"/>
    </row>
    <row r="24280" spans="26:26" x14ac:dyDescent="0.25">
      <c r="Z24280"/>
    </row>
    <row r="24281" spans="26:26" x14ac:dyDescent="0.25">
      <c r="Z24281"/>
    </row>
    <row r="24282" spans="26:26" x14ac:dyDescent="0.25">
      <c r="Z24282"/>
    </row>
    <row r="24283" spans="26:26" x14ac:dyDescent="0.25">
      <c r="Z24283"/>
    </row>
    <row r="24284" spans="26:26" x14ac:dyDescent="0.25">
      <c r="Z24284"/>
    </row>
    <row r="24285" spans="26:26" x14ac:dyDescent="0.25">
      <c r="Z24285"/>
    </row>
    <row r="24286" spans="26:26" x14ac:dyDescent="0.25">
      <c r="Z24286"/>
    </row>
    <row r="24287" spans="26:26" x14ac:dyDescent="0.25">
      <c r="Z24287"/>
    </row>
    <row r="24288" spans="26:26" x14ac:dyDescent="0.25">
      <c r="Z24288"/>
    </row>
    <row r="24289" spans="26:26" x14ac:dyDescent="0.25">
      <c r="Z24289"/>
    </row>
    <row r="24290" spans="26:26" x14ac:dyDescent="0.25">
      <c r="Z24290"/>
    </row>
    <row r="24291" spans="26:26" x14ac:dyDescent="0.25">
      <c r="Z24291"/>
    </row>
    <row r="24292" spans="26:26" x14ac:dyDescent="0.25">
      <c r="Z24292"/>
    </row>
    <row r="24293" spans="26:26" x14ac:dyDescent="0.25">
      <c r="Z24293"/>
    </row>
    <row r="24294" spans="26:26" x14ac:dyDescent="0.25">
      <c r="Z24294"/>
    </row>
    <row r="24295" spans="26:26" x14ac:dyDescent="0.25">
      <c r="Z24295"/>
    </row>
    <row r="24296" spans="26:26" x14ac:dyDescent="0.25">
      <c r="Z24296"/>
    </row>
    <row r="24297" spans="26:26" x14ac:dyDescent="0.25">
      <c r="Z24297"/>
    </row>
    <row r="24298" spans="26:26" x14ac:dyDescent="0.25">
      <c r="Z24298"/>
    </row>
    <row r="24299" spans="26:26" x14ac:dyDescent="0.25">
      <c r="Z24299"/>
    </row>
    <row r="24300" spans="26:26" x14ac:dyDescent="0.25">
      <c r="Z24300"/>
    </row>
    <row r="24301" spans="26:26" x14ac:dyDescent="0.25">
      <c r="Z24301"/>
    </row>
    <row r="24302" spans="26:26" x14ac:dyDescent="0.25">
      <c r="Z24302"/>
    </row>
    <row r="24303" spans="26:26" x14ac:dyDescent="0.25">
      <c r="Z24303"/>
    </row>
    <row r="24304" spans="26:26" x14ac:dyDescent="0.25">
      <c r="Z24304"/>
    </row>
    <row r="24305" spans="26:26" x14ac:dyDescent="0.25">
      <c r="Z24305"/>
    </row>
    <row r="24306" spans="26:26" x14ac:dyDescent="0.25">
      <c r="Z24306"/>
    </row>
    <row r="24307" spans="26:26" x14ac:dyDescent="0.25">
      <c r="Z24307"/>
    </row>
    <row r="24308" spans="26:26" x14ac:dyDescent="0.25">
      <c r="Z24308"/>
    </row>
    <row r="24309" spans="26:26" x14ac:dyDescent="0.25">
      <c r="Z24309"/>
    </row>
    <row r="24310" spans="26:26" x14ac:dyDescent="0.25">
      <c r="Z24310"/>
    </row>
    <row r="24311" spans="26:26" x14ac:dyDescent="0.25">
      <c r="Z24311"/>
    </row>
    <row r="24312" spans="26:26" x14ac:dyDescent="0.25">
      <c r="Z24312"/>
    </row>
    <row r="24313" spans="26:26" x14ac:dyDescent="0.25">
      <c r="Z24313"/>
    </row>
    <row r="24314" spans="26:26" x14ac:dyDescent="0.25">
      <c r="Z24314"/>
    </row>
    <row r="24315" spans="26:26" x14ac:dyDescent="0.25">
      <c r="Z24315"/>
    </row>
    <row r="24316" spans="26:26" x14ac:dyDescent="0.25">
      <c r="Z24316"/>
    </row>
    <row r="24317" spans="26:26" x14ac:dyDescent="0.25">
      <c r="Z24317"/>
    </row>
    <row r="24318" spans="26:26" x14ac:dyDescent="0.25">
      <c r="Z24318"/>
    </row>
    <row r="24319" spans="26:26" x14ac:dyDescent="0.25">
      <c r="Z24319"/>
    </row>
    <row r="24320" spans="26:26" x14ac:dyDescent="0.25">
      <c r="Z24320"/>
    </row>
    <row r="24321" spans="26:26" x14ac:dyDescent="0.25">
      <c r="Z24321"/>
    </row>
    <row r="24322" spans="26:26" x14ac:dyDescent="0.25">
      <c r="Z24322"/>
    </row>
    <row r="24323" spans="26:26" x14ac:dyDescent="0.25">
      <c r="Z24323"/>
    </row>
    <row r="24324" spans="26:26" x14ac:dyDescent="0.25">
      <c r="Z24324"/>
    </row>
    <row r="24325" spans="26:26" x14ac:dyDescent="0.25">
      <c r="Z24325"/>
    </row>
    <row r="24326" spans="26:26" x14ac:dyDescent="0.25">
      <c r="Z24326"/>
    </row>
    <row r="24327" spans="26:26" x14ac:dyDescent="0.25">
      <c r="Z24327"/>
    </row>
    <row r="24328" spans="26:26" x14ac:dyDescent="0.25">
      <c r="Z24328"/>
    </row>
    <row r="24329" spans="26:26" x14ac:dyDescent="0.25">
      <c r="Z24329"/>
    </row>
    <row r="24330" spans="26:26" x14ac:dyDescent="0.25">
      <c r="Z24330"/>
    </row>
    <row r="24331" spans="26:26" x14ac:dyDescent="0.25">
      <c r="Z24331"/>
    </row>
    <row r="24332" spans="26:26" x14ac:dyDescent="0.25">
      <c r="Z24332"/>
    </row>
    <row r="24333" spans="26:26" x14ac:dyDescent="0.25">
      <c r="Z24333"/>
    </row>
    <row r="24334" spans="26:26" x14ac:dyDescent="0.25">
      <c r="Z24334"/>
    </row>
    <row r="24335" spans="26:26" x14ac:dyDescent="0.25">
      <c r="Z24335"/>
    </row>
    <row r="24336" spans="26:26" x14ac:dyDescent="0.25">
      <c r="Z24336"/>
    </row>
    <row r="24337" spans="26:26" x14ac:dyDescent="0.25">
      <c r="Z24337"/>
    </row>
    <row r="24338" spans="26:26" x14ac:dyDescent="0.25">
      <c r="Z24338"/>
    </row>
    <row r="24339" spans="26:26" x14ac:dyDescent="0.25">
      <c r="Z24339"/>
    </row>
    <row r="24340" spans="26:26" x14ac:dyDescent="0.25">
      <c r="Z24340"/>
    </row>
    <row r="24341" spans="26:26" x14ac:dyDescent="0.25">
      <c r="Z24341"/>
    </row>
    <row r="24342" spans="26:26" x14ac:dyDescent="0.25">
      <c r="Z24342"/>
    </row>
    <row r="24343" spans="26:26" x14ac:dyDescent="0.25">
      <c r="Z24343"/>
    </row>
    <row r="24344" spans="26:26" x14ac:dyDescent="0.25">
      <c r="Z24344"/>
    </row>
    <row r="24345" spans="26:26" x14ac:dyDescent="0.25">
      <c r="Z24345"/>
    </row>
    <row r="24346" spans="26:26" x14ac:dyDescent="0.25">
      <c r="Z24346"/>
    </row>
    <row r="24347" spans="26:26" x14ac:dyDescent="0.25">
      <c r="Z24347"/>
    </row>
    <row r="24348" spans="26:26" x14ac:dyDescent="0.25">
      <c r="Z24348"/>
    </row>
    <row r="24349" spans="26:26" x14ac:dyDescent="0.25">
      <c r="Z24349"/>
    </row>
    <row r="24350" spans="26:26" x14ac:dyDescent="0.25">
      <c r="Z24350"/>
    </row>
    <row r="24351" spans="26:26" x14ac:dyDescent="0.25">
      <c r="Z24351"/>
    </row>
    <row r="24352" spans="26:26" x14ac:dyDescent="0.25">
      <c r="Z24352"/>
    </row>
    <row r="24353" spans="26:26" x14ac:dyDescent="0.25">
      <c r="Z24353"/>
    </row>
    <row r="24354" spans="26:26" x14ac:dyDescent="0.25">
      <c r="Z24354"/>
    </row>
    <row r="24355" spans="26:26" x14ac:dyDescent="0.25">
      <c r="Z24355"/>
    </row>
    <row r="24356" spans="26:26" x14ac:dyDescent="0.25">
      <c r="Z24356"/>
    </row>
    <row r="24357" spans="26:26" x14ac:dyDescent="0.25">
      <c r="Z24357"/>
    </row>
    <row r="24358" spans="26:26" x14ac:dyDescent="0.25">
      <c r="Z24358"/>
    </row>
    <row r="24359" spans="26:26" x14ac:dyDescent="0.25">
      <c r="Z24359"/>
    </row>
    <row r="24360" spans="26:26" x14ac:dyDescent="0.25">
      <c r="Z24360"/>
    </row>
    <row r="24361" spans="26:26" x14ac:dyDescent="0.25">
      <c r="Z24361"/>
    </row>
    <row r="24362" spans="26:26" x14ac:dyDescent="0.25">
      <c r="Z24362"/>
    </row>
    <row r="24363" spans="26:26" x14ac:dyDescent="0.25">
      <c r="Z24363"/>
    </row>
    <row r="24364" spans="26:26" x14ac:dyDescent="0.25">
      <c r="Z24364"/>
    </row>
    <row r="24365" spans="26:26" x14ac:dyDescent="0.25">
      <c r="Z24365"/>
    </row>
    <row r="24366" spans="26:26" x14ac:dyDescent="0.25">
      <c r="Z24366"/>
    </row>
    <row r="24367" spans="26:26" x14ac:dyDescent="0.25">
      <c r="Z24367"/>
    </row>
    <row r="24368" spans="26:26" x14ac:dyDescent="0.25">
      <c r="Z24368"/>
    </row>
    <row r="24369" spans="26:26" x14ac:dyDescent="0.25">
      <c r="Z24369"/>
    </row>
    <row r="24370" spans="26:26" x14ac:dyDescent="0.25">
      <c r="Z24370"/>
    </row>
    <row r="24371" spans="26:26" x14ac:dyDescent="0.25">
      <c r="Z24371"/>
    </row>
    <row r="24372" spans="26:26" x14ac:dyDescent="0.25">
      <c r="Z24372"/>
    </row>
    <row r="24373" spans="26:26" x14ac:dyDescent="0.25">
      <c r="Z24373"/>
    </row>
    <row r="24374" spans="26:26" x14ac:dyDescent="0.25">
      <c r="Z24374"/>
    </row>
    <row r="24375" spans="26:26" x14ac:dyDescent="0.25">
      <c r="Z24375"/>
    </row>
    <row r="24376" spans="26:26" x14ac:dyDescent="0.25">
      <c r="Z24376"/>
    </row>
    <row r="24377" spans="26:26" x14ac:dyDescent="0.25">
      <c r="Z24377"/>
    </row>
    <row r="24378" spans="26:26" x14ac:dyDescent="0.25">
      <c r="Z24378"/>
    </row>
    <row r="24379" spans="26:26" x14ac:dyDescent="0.25">
      <c r="Z24379"/>
    </row>
    <row r="24380" spans="26:26" x14ac:dyDescent="0.25">
      <c r="Z24380"/>
    </row>
    <row r="24381" spans="26:26" x14ac:dyDescent="0.25">
      <c r="Z24381"/>
    </row>
    <row r="24382" spans="26:26" x14ac:dyDescent="0.25">
      <c r="Z24382"/>
    </row>
    <row r="24383" spans="26:26" x14ac:dyDescent="0.25">
      <c r="Z24383"/>
    </row>
    <row r="24384" spans="26:26" x14ac:dyDescent="0.25">
      <c r="Z24384"/>
    </row>
    <row r="24385" spans="26:26" x14ac:dyDescent="0.25">
      <c r="Z24385"/>
    </row>
    <row r="24386" spans="26:26" x14ac:dyDescent="0.25">
      <c r="Z24386"/>
    </row>
    <row r="24387" spans="26:26" x14ac:dyDescent="0.25">
      <c r="Z24387"/>
    </row>
    <row r="24388" spans="26:26" x14ac:dyDescent="0.25">
      <c r="Z24388"/>
    </row>
    <row r="24389" spans="26:26" x14ac:dyDescent="0.25">
      <c r="Z24389"/>
    </row>
    <row r="24390" spans="26:26" x14ac:dyDescent="0.25">
      <c r="Z24390"/>
    </row>
    <row r="24391" spans="26:26" x14ac:dyDescent="0.25">
      <c r="Z24391"/>
    </row>
    <row r="24392" spans="26:26" x14ac:dyDescent="0.25">
      <c r="Z24392"/>
    </row>
    <row r="24393" spans="26:26" x14ac:dyDescent="0.25">
      <c r="Z24393"/>
    </row>
    <row r="24394" spans="26:26" x14ac:dyDescent="0.25">
      <c r="Z24394"/>
    </row>
    <row r="24395" spans="26:26" x14ac:dyDescent="0.25">
      <c r="Z24395"/>
    </row>
    <row r="24396" spans="26:26" x14ac:dyDescent="0.25">
      <c r="Z24396"/>
    </row>
    <row r="24397" spans="26:26" x14ac:dyDescent="0.25">
      <c r="Z24397"/>
    </row>
    <row r="24398" spans="26:26" x14ac:dyDescent="0.25">
      <c r="Z24398"/>
    </row>
    <row r="24399" spans="26:26" x14ac:dyDescent="0.25">
      <c r="Z24399"/>
    </row>
    <row r="24400" spans="26:26" x14ac:dyDescent="0.25">
      <c r="Z24400"/>
    </row>
    <row r="24401" spans="26:26" x14ac:dyDescent="0.25">
      <c r="Z24401"/>
    </row>
    <row r="24402" spans="26:26" x14ac:dyDescent="0.25">
      <c r="Z24402"/>
    </row>
    <row r="24403" spans="26:26" x14ac:dyDescent="0.25">
      <c r="Z24403"/>
    </row>
    <row r="24404" spans="26:26" x14ac:dyDescent="0.25">
      <c r="Z24404"/>
    </row>
    <row r="24405" spans="26:26" x14ac:dyDescent="0.25">
      <c r="Z24405"/>
    </row>
    <row r="24406" spans="26:26" x14ac:dyDescent="0.25">
      <c r="Z24406"/>
    </row>
    <row r="24407" spans="26:26" x14ac:dyDescent="0.25">
      <c r="Z24407"/>
    </row>
    <row r="24408" spans="26:26" x14ac:dyDescent="0.25">
      <c r="Z24408"/>
    </row>
    <row r="24409" spans="26:26" x14ac:dyDescent="0.25">
      <c r="Z24409"/>
    </row>
    <row r="24410" spans="26:26" x14ac:dyDescent="0.25">
      <c r="Z24410"/>
    </row>
    <row r="24411" spans="26:26" x14ac:dyDescent="0.25">
      <c r="Z24411"/>
    </row>
    <row r="24412" spans="26:26" x14ac:dyDescent="0.25">
      <c r="Z24412"/>
    </row>
    <row r="24413" spans="26:26" x14ac:dyDescent="0.25">
      <c r="Z24413"/>
    </row>
    <row r="24414" spans="26:26" x14ac:dyDescent="0.25">
      <c r="Z24414"/>
    </row>
    <row r="24415" spans="26:26" x14ac:dyDescent="0.25">
      <c r="Z24415"/>
    </row>
    <row r="24416" spans="26:26" x14ac:dyDescent="0.25">
      <c r="Z24416"/>
    </row>
    <row r="24417" spans="26:26" x14ac:dyDescent="0.25">
      <c r="Z24417"/>
    </row>
    <row r="24418" spans="26:26" x14ac:dyDescent="0.25">
      <c r="Z24418"/>
    </row>
    <row r="24419" spans="26:26" x14ac:dyDescent="0.25">
      <c r="Z24419"/>
    </row>
    <row r="24420" spans="26:26" x14ac:dyDescent="0.25">
      <c r="Z24420"/>
    </row>
    <row r="24421" spans="26:26" x14ac:dyDescent="0.25">
      <c r="Z24421"/>
    </row>
    <row r="24422" spans="26:26" x14ac:dyDescent="0.25">
      <c r="Z24422"/>
    </row>
    <row r="24423" spans="26:26" x14ac:dyDescent="0.25">
      <c r="Z24423"/>
    </row>
    <row r="24424" spans="26:26" x14ac:dyDescent="0.25">
      <c r="Z24424"/>
    </row>
    <row r="24425" spans="26:26" x14ac:dyDescent="0.25">
      <c r="Z24425"/>
    </row>
    <row r="24426" spans="26:26" x14ac:dyDescent="0.25">
      <c r="Z24426"/>
    </row>
    <row r="24427" spans="26:26" x14ac:dyDescent="0.25">
      <c r="Z24427"/>
    </row>
    <row r="24428" spans="26:26" x14ac:dyDescent="0.25">
      <c r="Z24428"/>
    </row>
    <row r="24429" spans="26:26" x14ac:dyDescent="0.25">
      <c r="Z24429"/>
    </row>
    <row r="24430" spans="26:26" x14ac:dyDescent="0.25">
      <c r="Z24430"/>
    </row>
    <row r="24431" spans="26:26" x14ac:dyDescent="0.25">
      <c r="Z24431"/>
    </row>
    <row r="24432" spans="26:26" x14ac:dyDescent="0.25">
      <c r="Z24432"/>
    </row>
    <row r="24433" spans="26:26" x14ac:dyDescent="0.25">
      <c r="Z24433"/>
    </row>
    <row r="24434" spans="26:26" x14ac:dyDescent="0.25">
      <c r="Z24434"/>
    </row>
    <row r="24435" spans="26:26" x14ac:dyDescent="0.25">
      <c r="Z24435"/>
    </row>
    <row r="24436" spans="26:26" x14ac:dyDescent="0.25">
      <c r="Z24436"/>
    </row>
    <row r="24437" spans="26:26" x14ac:dyDescent="0.25">
      <c r="Z24437"/>
    </row>
    <row r="24438" spans="26:26" x14ac:dyDescent="0.25">
      <c r="Z24438"/>
    </row>
    <row r="24439" spans="26:26" x14ac:dyDescent="0.25">
      <c r="Z24439"/>
    </row>
    <row r="24440" spans="26:26" x14ac:dyDescent="0.25">
      <c r="Z24440"/>
    </row>
    <row r="24441" spans="26:26" x14ac:dyDescent="0.25">
      <c r="Z24441"/>
    </row>
    <row r="24442" spans="26:26" x14ac:dyDescent="0.25">
      <c r="Z24442"/>
    </row>
    <row r="24443" spans="26:26" x14ac:dyDescent="0.25">
      <c r="Z24443"/>
    </row>
    <row r="24444" spans="26:26" x14ac:dyDescent="0.25">
      <c r="Z24444"/>
    </row>
    <row r="24445" spans="26:26" x14ac:dyDescent="0.25">
      <c r="Z24445"/>
    </row>
    <row r="24446" spans="26:26" x14ac:dyDescent="0.25">
      <c r="Z24446"/>
    </row>
    <row r="24447" spans="26:26" x14ac:dyDescent="0.25">
      <c r="Z24447"/>
    </row>
    <row r="24448" spans="26:26" x14ac:dyDescent="0.25">
      <c r="Z24448"/>
    </row>
    <row r="24449" spans="26:26" x14ac:dyDescent="0.25">
      <c r="Z24449"/>
    </row>
    <row r="24450" spans="26:26" x14ac:dyDescent="0.25">
      <c r="Z24450"/>
    </row>
    <row r="24451" spans="26:26" x14ac:dyDescent="0.25">
      <c r="Z24451"/>
    </row>
    <row r="24452" spans="26:26" x14ac:dyDescent="0.25">
      <c r="Z24452"/>
    </row>
    <row r="24453" spans="26:26" x14ac:dyDescent="0.25">
      <c r="Z24453"/>
    </row>
    <row r="24454" spans="26:26" x14ac:dyDescent="0.25">
      <c r="Z24454"/>
    </row>
    <row r="24455" spans="26:26" x14ac:dyDescent="0.25">
      <c r="Z24455"/>
    </row>
    <row r="24456" spans="26:26" x14ac:dyDescent="0.25">
      <c r="Z24456"/>
    </row>
    <row r="24457" spans="26:26" x14ac:dyDescent="0.25">
      <c r="Z24457"/>
    </row>
    <row r="24458" spans="26:26" x14ac:dyDescent="0.25">
      <c r="Z24458"/>
    </row>
    <row r="24459" spans="26:26" x14ac:dyDescent="0.25">
      <c r="Z24459"/>
    </row>
    <row r="24460" spans="26:26" x14ac:dyDescent="0.25">
      <c r="Z24460"/>
    </row>
    <row r="24461" spans="26:26" x14ac:dyDescent="0.25">
      <c r="Z24461"/>
    </row>
    <row r="24462" spans="26:26" x14ac:dyDescent="0.25">
      <c r="Z24462"/>
    </row>
    <row r="24463" spans="26:26" x14ac:dyDescent="0.25">
      <c r="Z24463"/>
    </row>
    <row r="24464" spans="26:26" x14ac:dyDescent="0.25">
      <c r="Z24464"/>
    </row>
    <row r="24465" spans="26:26" x14ac:dyDescent="0.25">
      <c r="Z24465"/>
    </row>
    <row r="24466" spans="26:26" x14ac:dyDescent="0.25">
      <c r="Z24466"/>
    </row>
    <row r="24467" spans="26:26" x14ac:dyDescent="0.25">
      <c r="Z24467"/>
    </row>
    <row r="24468" spans="26:26" x14ac:dyDescent="0.25">
      <c r="Z24468"/>
    </row>
    <row r="24469" spans="26:26" x14ac:dyDescent="0.25">
      <c r="Z24469"/>
    </row>
    <row r="24470" spans="26:26" x14ac:dyDescent="0.25">
      <c r="Z24470"/>
    </row>
    <row r="24471" spans="26:26" x14ac:dyDescent="0.25">
      <c r="Z24471"/>
    </row>
    <row r="24472" spans="26:26" x14ac:dyDescent="0.25">
      <c r="Z24472"/>
    </row>
    <row r="24473" spans="26:26" x14ac:dyDescent="0.25">
      <c r="Z24473"/>
    </row>
    <row r="24474" spans="26:26" x14ac:dyDescent="0.25">
      <c r="Z24474"/>
    </row>
    <row r="24475" spans="26:26" x14ac:dyDescent="0.25">
      <c r="Z24475"/>
    </row>
    <row r="24476" spans="26:26" x14ac:dyDescent="0.25">
      <c r="Z24476"/>
    </row>
    <row r="24477" spans="26:26" x14ac:dyDescent="0.25">
      <c r="Z24477"/>
    </row>
    <row r="24478" spans="26:26" x14ac:dyDescent="0.25">
      <c r="Z24478"/>
    </row>
    <row r="24479" spans="26:26" x14ac:dyDescent="0.25">
      <c r="Z24479"/>
    </row>
    <row r="24480" spans="26:26" x14ac:dyDescent="0.25">
      <c r="Z24480"/>
    </row>
    <row r="24481" spans="26:26" x14ac:dyDescent="0.25">
      <c r="Z24481"/>
    </row>
    <row r="24482" spans="26:26" x14ac:dyDescent="0.25">
      <c r="Z24482"/>
    </row>
    <row r="24483" spans="26:26" x14ac:dyDescent="0.25">
      <c r="Z24483"/>
    </row>
    <row r="24484" spans="26:26" x14ac:dyDescent="0.25">
      <c r="Z24484"/>
    </row>
    <row r="24485" spans="26:26" x14ac:dyDescent="0.25">
      <c r="Z24485"/>
    </row>
    <row r="24486" spans="26:26" x14ac:dyDescent="0.25">
      <c r="Z24486"/>
    </row>
    <row r="24487" spans="26:26" x14ac:dyDescent="0.25">
      <c r="Z24487"/>
    </row>
    <row r="24488" spans="26:26" x14ac:dyDescent="0.25">
      <c r="Z24488"/>
    </row>
    <row r="24489" spans="26:26" x14ac:dyDescent="0.25">
      <c r="Z24489"/>
    </row>
    <row r="24490" spans="26:26" x14ac:dyDescent="0.25">
      <c r="Z24490"/>
    </row>
    <row r="24491" spans="26:26" x14ac:dyDescent="0.25">
      <c r="Z24491"/>
    </row>
    <row r="24492" spans="26:26" x14ac:dyDescent="0.25">
      <c r="Z24492"/>
    </row>
    <row r="24493" spans="26:26" x14ac:dyDescent="0.25">
      <c r="Z24493"/>
    </row>
    <row r="24494" spans="26:26" x14ac:dyDescent="0.25">
      <c r="Z24494"/>
    </row>
    <row r="24495" spans="26:26" x14ac:dyDescent="0.25">
      <c r="Z24495"/>
    </row>
    <row r="24496" spans="26:26" x14ac:dyDescent="0.25">
      <c r="Z24496"/>
    </row>
    <row r="24497" spans="26:26" x14ac:dyDescent="0.25">
      <c r="Z24497"/>
    </row>
    <row r="24498" spans="26:26" x14ac:dyDescent="0.25">
      <c r="Z24498"/>
    </row>
    <row r="24499" spans="26:26" x14ac:dyDescent="0.25">
      <c r="Z24499"/>
    </row>
    <row r="24500" spans="26:26" x14ac:dyDescent="0.25">
      <c r="Z24500"/>
    </row>
    <row r="24501" spans="26:26" x14ac:dyDescent="0.25">
      <c r="Z24501"/>
    </row>
    <row r="24502" spans="26:26" x14ac:dyDescent="0.25">
      <c r="Z24502"/>
    </row>
    <row r="24503" spans="26:26" x14ac:dyDescent="0.25">
      <c r="Z24503"/>
    </row>
    <row r="24504" spans="26:26" x14ac:dyDescent="0.25">
      <c r="Z24504"/>
    </row>
    <row r="24505" spans="26:26" x14ac:dyDescent="0.25">
      <c r="Z24505"/>
    </row>
    <row r="24506" spans="26:26" x14ac:dyDescent="0.25">
      <c r="Z24506"/>
    </row>
    <row r="24507" spans="26:26" x14ac:dyDescent="0.25">
      <c r="Z24507"/>
    </row>
    <row r="24508" spans="26:26" x14ac:dyDescent="0.25">
      <c r="Z24508"/>
    </row>
    <row r="24509" spans="26:26" x14ac:dyDescent="0.25">
      <c r="Z24509"/>
    </row>
    <row r="24510" spans="26:26" x14ac:dyDescent="0.25">
      <c r="Z24510"/>
    </row>
    <row r="24511" spans="26:26" x14ac:dyDescent="0.25">
      <c r="Z24511"/>
    </row>
    <row r="24512" spans="26:26" x14ac:dyDescent="0.25">
      <c r="Z24512"/>
    </row>
    <row r="24513" spans="26:26" x14ac:dyDescent="0.25">
      <c r="Z24513"/>
    </row>
    <row r="24514" spans="26:26" x14ac:dyDescent="0.25">
      <c r="Z24514"/>
    </row>
    <row r="24515" spans="26:26" x14ac:dyDescent="0.25">
      <c r="Z24515"/>
    </row>
    <row r="24516" spans="26:26" x14ac:dyDescent="0.25">
      <c r="Z24516"/>
    </row>
    <row r="24517" spans="26:26" x14ac:dyDescent="0.25">
      <c r="Z24517"/>
    </row>
    <row r="24518" spans="26:26" x14ac:dyDescent="0.25">
      <c r="Z24518"/>
    </row>
    <row r="24519" spans="26:26" x14ac:dyDescent="0.25">
      <c r="Z24519"/>
    </row>
    <row r="24520" spans="26:26" x14ac:dyDescent="0.25">
      <c r="Z24520"/>
    </row>
    <row r="24521" spans="26:26" x14ac:dyDescent="0.25">
      <c r="Z24521"/>
    </row>
    <row r="24522" spans="26:26" x14ac:dyDescent="0.25">
      <c r="Z24522"/>
    </row>
    <row r="24523" spans="26:26" x14ac:dyDescent="0.25">
      <c r="Z24523"/>
    </row>
    <row r="24524" spans="26:26" x14ac:dyDescent="0.25">
      <c r="Z24524"/>
    </row>
    <row r="24525" spans="26:26" x14ac:dyDescent="0.25">
      <c r="Z24525"/>
    </row>
    <row r="24526" spans="26:26" x14ac:dyDescent="0.25">
      <c r="Z24526"/>
    </row>
    <row r="24527" spans="26:26" x14ac:dyDescent="0.25">
      <c r="Z24527"/>
    </row>
    <row r="24528" spans="26:26" x14ac:dyDescent="0.25">
      <c r="Z24528"/>
    </row>
    <row r="24529" spans="26:26" x14ac:dyDescent="0.25">
      <c r="Z24529"/>
    </row>
    <row r="24530" spans="26:26" x14ac:dyDescent="0.25">
      <c r="Z24530"/>
    </row>
    <row r="24531" spans="26:26" x14ac:dyDescent="0.25">
      <c r="Z24531"/>
    </row>
    <row r="24532" spans="26:26" x14ac:dyDescent="0.25">
      <c r="Z24532"/>
    </row>
    <row r="24533" spans="26:26" x14ac:dyDescent="0.25">
      <c r="Z24533"/>
    </row>
    <row r="24534" spans="26:26" x14ac:dyDescent="0.25">
      <c r="Z24534"/>
    </row>
    <row r="24535" spans="26:26" x14ac:dyDescent="0.25">
      <c r="Z24535"/>
    </row>
    <row r="24536" spans="26:26" x14ac:dyDescent="0.25">
      <c r="Z24536"/>
    </row>
    <row r="24537" spans="26:26" x14ac:dyDescent="0.25">
      <c r="Z24537"/>
    </row>
    <row r="24538" spans="26:26" x14ac:dyDescent="0.25">
      <c r="Z24538"/>
    </row>
    <row r="24539" spans="26:26" x14ac:dyDescent="0.25">
      <c r="Z24539"/>
    </row>
    <row r="24540" spans="26:26" x14ac:dyDescent="0.25">
      <c r="Z24540"/>
    </row>
    <row r="24541" spans="26:26" x14ac:dyDescent="0.25">
      <c r="Z24541"/>
    </row>
    <row r="24542" spans="26:26" x14ac:dyDescent="0.25">
      <c r="Z24542"/>
    </row>
    <row r="24543" spans="26:26" x14ac:dyDescent="0.25">
      <c r="Z24543"/>
    </row>
    <row r="24544" spans="26:26" x14ac:dyDescent="0.25">
      <c r="Z24544"/>
    </row>
    <row r="24545" spans="26:26" x14ac:dyDescent="0.25">
      <c r="Z24545"/>
    </row>
    <row r="24546" spans="26:26" x14ac:dyDescent="0.25">
      <c r="Z24546"/>
    </row>
    <row r="24547" spans="26:26" x14ac:dyDescent="0.25">
      <c r="Z24547"/>
    </row>
    <row r="24548" spans="26:26" x14ac:dyDescent="0.25">
      <c r="Z24548"/>
    </row>
    <row r="24549" spans="26:26" x14ac:dyDescent="0.25">
      <c r="Z24549"/>
    </row>
    <row r="24550" spans="26:26" x14ac:dyDescent="0.25">
      <c r="Z24550"/>
    </row>
    <row r="24551" spans="26:26" x14ac:dyDescent="0.25">
      <c r="Z24551"/>
    </row>
    <row r="24552" spans="26:26" x14ac:dyDescent="0.25">
      <c r="Z24552"/>
    </row>
    <row r="24553" spans="26:26" x14ac:dyDescent="0.25">
      <c r="Z24553"/>
    </row>
    <row r="24554" spans="26:26" x14ac:dyDescent="0.25">
      <c r="Z24554"/>
    </row>
    <row r="24555" spans="26:26" x14ac:dyDescent="0.25">
      <c r="Z24555"/>
    </row>
    <row r="24556" spans="26:26" x14ac:dyDescent="0.25">
      <c r="Z24556"/>
    </row>
    <row r="24557" spans="26:26" x14ac:dyDescent="0.25">
      <c r="Z24557"/>
    </row>
    <row r="24558" spans="26:26" x14ac:dyDescent="0.25">
      <c r="Z24558"/>
    </row>
    <row r="24559" spans="26:26" x14ac:dyDescent="0.25">
      <c r="Z24559"/>
    </row>
    <row r="24560" spans="26:26" x14ac:dyDescent="0.25">
      <c r="Z24560"/>
    </row>
    <row r="24561" spans="26:26" x14ac:dyDescent="0.25">
      <c r="Z24561"/>
    </row>
    <row r="24562" spans="26:26" x14ac:dyDescent="0.25">
      <c r="Z24562"/>
    </row>
    <row r="24563" spans="26:26" x14ac:dyDescent="0.25">
      <c r="Z24563"/>
    </row>
    <row r="24564" spans="26:26" x14ac:dyDescent="0.25">
      <c r="Z24564"/>
    </row>
    <row r="24565" spans="26:26" x14ac:dyDescent="0.25">
      <c r="Z24565"/>
    </row>
    <row r="24566" spans="26:26" x14ac:dyDescent="0.25">
      <c r="Z24566"/>
    </row>
    <row r="24567" spans="26:26" x14ac:dyDescent="0.25">
      <c r="Z24567"/>
    </row>
    <row r="24568" spans="26:26" x14ac:dyDescent="0.25">
      <c r="Z24568"/>
    </row>
    <row r="24569" spans="26:26" x14ac:dyDescent="0.25">
      <c r="Z24569"/>
    </row>
    <row r="24570" spans="26:26" x14ac:dyDescent="0.25">
      <c r="Z24570"/>
    </row>
    <row r="24571" spans="26:26" x14ac:dyDescent="0.25">
      <c r="Z24571"/>
    </row>
    <row r="24572" spans="26:26" x14ac:dyDescent="0.25">
      <c r="Z24572"/>
    </row>
    <row r="24573" spans="26:26" x14ac:dyDescent="0.25">
      <c r="Z24573"/>
    </row>
    <row r="24574" spans="26:26" x14ac:dyDescent="0.25">
      <c r="Z24574"/>
    </row>
    <row r="24575" spans="26:26" x14ac:dyDescent="0.25">
      <c r="Z24575"/>
    </row>
    <row r="24576" spans="26:26" x14ac:dyDescent="0.25">
      <c r="Z24576"/>
    </row>
    <row r="24577" spans="26:26" x14ac:dyDescent="0.25">
      <c r="Z24577"/>
    </row>
    <row r="24578" spans="26:26" x14ac:dyDescent="0.25">
      <c r="Z24578"/>
    </row>
    <row r="24579" spans="26:26" x14ac:dyDescent="0.25">
      <c r="Z24579"/>
    </row>
    <row r="24580" spans="26:26" x14ac:dyDescent="0.25">
      <c r="Z24580"/>
    </row>
    <row r="24581" spans="26:26" x14ac:dyDescent="0.25">
      <c r="Z24581"/>
    </row>
    <row r="24582" spans="26:26" x14ac:dyDescent="0.25">
      <c r="Z24582"/>
    </row>
    <row r="24583" spans="26:26" x14ac:dyDescent="0.25">
      <c r="Z24583"/>
    </row>
    <row r="24584" spans="26:26" x14ac:dyDescent="0.25">
      <c r="Z24584"/>
    </row>
    <row r="24585" spans="26:26" x14ac:dyDescent="0.25">
      <c r="Z24585"/>
    </row>
    <row r="24586" spans="26:26" x14ac:dyDescent="0.25">
      <c r="Z24586"/>
    </row>
    <row r="24587" spans="26:26" x14ac:dyDescent="0.25">
      <c r="Z24587"/>
    </row>
    <row r="24588" spans="26:26" x14ac:dyDescent="0.25">
      <c r="Z24588"/>
    </row>
    <row r="24589" spans="26:26" x14ac:dyDescent="0.25">
      <c r="Z24589"/>
    </row>
    <row r="24590" spans="26:26" x14ac:dyDescent="0.25">
      <c r="Z24590"/>
    </row>
    <row r="24591" spans="26:26" x14ac:dyDescent="0.25">
      <c r="Z24591"/>
    </row>
    <row r="24592" spans="26:26" x14ac:dyDescent="0.25">
      <c r="Z24592"/>
    </row>
    <row r="24593" spans="26:26" x14ac:dyDescent="0.25">
      <c r="Z24593"/>
    </row>
    <row r="24594" spans="26:26" x14ac:dyDescent="0.25">
      <c r="Z24594"/>
    </row>
    <row r="24595" spans="26:26" x14ac:dyDescent="0.25">
      <c r="Z24595"/>
    </row>
    <row r="24596" spans="26:26" x14ac:dyDescent="0.25">
      <c r="Z24596"/>
    </row>
    <row r="24597" spans="26:26" x14ac:dyDescent="0.25">
      <c r="Z24597"/>
    </row>
    <row r="24598" spans="26:26" x14ac:dyDescent="0.25">
      <c r="Z24598"/>
    </row>
    <row r="24599" spans="26:26" x14ac:dyDescent="0.25">
      <c r="Z24599"/>
    </row>
    <row r="24600" spans="26:26" x14ac:dyDescent="0.25">
      <c r="Z24600"/>
    </row>
    <row r="24601" spans="26:26" x14ac:dyDescent="0.25">
      <c r="Z24601"/>
    </row>
    <row r="24602" spans="26:26" x14ac:dyDescent="0.25">
      <c r="Z24602"/>
    </row>
    <row r="24603" spans="26:26" x14ac:dyDescent="0.25">
      <c r="Z24603"/>
    </row>
    <row r="24604" spans="26:26" x14ac:dyDescent="0.25">
      <c r="Z24604"/>
    </row>
    <row r="24605" spans="26:26" x14ac:dyDescent="0.25">
      <c r="Z24605"/>
    </row>
    <row r="24606" spans="26:26" x14ac:dyDescent="0.25">
      <c r="Z24606"/>
    </row>
    <row r="24607" spans="26:26" x14ac:dyDescent="0.25">
      <c r="Z24607"/>
    </row>
    <row r="24608" spans="26:26" x14ac:dyDescent="0.25">
      <c r="Z24608"/>
    </row>
    <row r="24609" spans="26:26" x14ac:dyDescent="0.25">
      <c r="Z24609"/>
    </row>
    <row r="24610" spans="26:26" x14ac:dyDescent="0.25">
      <c r="Z24610"/>
    </row>
    <row r="24611" spans="26:26" x14ac:dyDescent="0.25">
      <c r="Z24611"/>
    </row>
    <row r="24612" spans="26:26" x14ac:dyDescent="0.25">
      <c r="Z24612"/>
    </row>
    <row r="24613" spans="26:26" x14ac:dyDescent="0.25">
      <c r="Z24613"/>
    </row>
    <row r="24614" spans="26:26" x14ac:dyDescent="0.25">
      <c r="Z24614"/>
    </row>
    <row r="24615" spans="26:26" x14ac:dyDescent="0.25">
      <c r="Z24615"/>
    </row>
    <row r="24616" spans="26:26" x14ac:dyDescent="0.25">
      <c r="Z24616"/>
    </row>
    <row r="24617" spans="26:26" x14ac:dyDescent="0.25">
      <c r="Z24617"/>
    </row>
    <row r="24618" spans="26:26" x14ac:dyDescent="0.25">
      <c r="Z24618"/>
    </row>
    <row r="24619" spans="26:26" x14ac:dyDescent="0.25">
      <c r="Z24619"/>
    </row>
    <row r="24620" spans="26:26" x14ac:dyDescent="0.25">
      <c r="Z24620"/>
    </row>
    <row r="24621" spans="26:26" x14ac:dyDescent="0.25">
      <c r="Z24621"/>
    </row>
    <row r="24622" spans="26:26" x14ac:dyDescent="0.25">
      <c r="Z24622"/>
    </row>
    <row r="24623" spans="26:26" x14ac:dyDescent="0.25">
      <c r="Z24623"/>
    </row>
    <row r="24624" spans="26:26" x14ac:dyDescent="0.25">
      <c r="Z24624"/>
    </row>
    <row r="24625" spans="26:26" x14ac:dyDescent="0.25">
      <c r="Z24625"/>
    </row>
    <row r="24626" spans="26:26" x14ac:dyDescent="0.25">
      <c r="Z24626"/>
    </row>
    <row r="24627" spans="26:26" x14ac:dyDescent="0.25">
      <c r="Z24627"/>
    </row>
    <row r="24628" spans="26:26" x14ac:dyDescent="0.25">
      <c r="Z24628"/>
    </row>
    <row r="24629" spans="26:26" x14ac:dyDescent="0.25">
      <c r="Z24629"/>
    </row>
    <row r="24630" spans="26:26" x14ac:dyDescent="0.25">
      <c r="Z24630"/>
    </row>
    <row r="24631" spans="26:26" x14ac:dyDescent="0.25">
      <c r="Z24631"/>
    </row>
    <row r="24632" spans="26:26" x14ac:dyDescent="0.25">
      <c r="Z24632"/>
    </row>
    <row r="24633" spans="26:26" x14ac:dyDescent="0.25">
      <c r="Z24633"/>
    </row>
    <row r="24634" spans="26:26" x14ac:dyDescent="0.25">
      <c r="Z24634"/>
    </row>
    <row r="24635" spans="26:26" x14ac:dyDescent="0.25">
      <c r="Z24635"/>
    </row>
    <row r="24636" spans="26:26" x14ac:dyDescent="0.25">
      <c r="Z24636"/>
    </row>
    <row r="24637" spans="26:26" x14ac:dyDescent="0.25">
      <c r="Z24637"/>
    </row>
    <row r="24638" spans="26:26" x14ac:dyDescent="0.25">
      <c r="Z24638"/>
    </row>
    <row r="24639" spans="26:26" x14ac:dyDescent="0.25">
      <c r="Z24639"/>
    </row>
    <row r="24640" spans="26:26" x14ac:dyDescent="0.25">
      <c r="Z24640"/>
    </row>
    <row r="24641" spans="26:26" x14ac:dyDescent="0.25">
      <c r="Z24641"/>
    </row>
    <row r="24642" spans="26:26" x14ac:dyDescent="0.25">
      <c r="Z24642"/>
    </row>
    <row r="24643" spans="26:26" x14ac:dyDescent="0.25">
      <c r="Z24643"/>
    </row>
    <row r="24644" spans="26:26" x14ac:dyDescent="0.25">
      <c r="Z24644"/>
    </row>
    <row r="24645" spans="26:26" x14ac:dyDescent="0.25">
      <c r="Z24645"/>
    </row>
    <row r="24646" spans="26:26" x14ac:dyDescent="0.25">
      <c r="Z24646"/>
    </row>
    <row r="24647" spans="26:26" x14ac:dyDescent="0.25">
      <c r="Z24647"/>
    </row>
    <row r="24648" spans="26:26" x14ac:dyDescent="0.25">
      <c r="Z24648"/>
    </row>
    <row r="24649" spans="26:26" x14ac:dyDescent="0.25">
      <c r="Z24649"/>
    </row>
    <row r="24650" spans="26:26" x14ac:dyDescent="0.25">
      <c r="Z24650"/>
    </row>
    <row r="24651" spans="26:26" x14ac:dyDescent="0.25">
      <c r="Z24651"/>
    </row>
    <row r="24652" spans="26:26" x14ac:dyDescent="0.25">
      <c r="Z24652"/>
    </row>
    <row r="24653" spans="26:26" x14ac:dyDescent="0.25">
      <c r="Z24653"/>
    </row>
    <row r="24654" spans="26:26" x14ac:dyDescent="0.25">
      <c r="Z24654"/>
    </row>
    <row r="24655" spans="26:26" x14ac:dyDescent="0.25">
      <c r="Z24655"/>
    </row>
    <row r="24656" spans="26:26" x14ac:dyDescent="0.25">
      <c r="Z24656"/>
    </row>
    <row r="24657" spans="26:26" x14ac:dyDescent="0.25">
      <c r="Z24657"/>
    </row>
    <row r="24658" spans="26:26" x14ac:dyDescent="0.25">
      <c r="Z24658"/>
    </row>
    <row r="24659" spans="26:26" x14ac:dyDescent="0.25">
      <c r="Z24659"/>
    </row>
    <row r="24660" spans="26:26" x14ac:dyDescent="0.25">
      <c r="Z24660"/>
    </row>
    <row r="24661" spans="26:26" x14ac:dyDescent="0.25">
      <c r="Z24661"/>
    </row>
    <row r="24662" spans="26:26" x14ac:dyDescent="0.25">
      <c r="Z24662"/>
    </row>
    <row r="24663" spans="26:26" x14ac:dyDescent="0.25">
      <c r="Z24663"/>
    </row>
    <row r="24664" spans="26:26" x14ac:dyDescent="0.25">
      <c r="Z24664"/>
    </row>
    <row r="24665" spans="26:26" x14ac:dyDescent="0.25">
      <c r="Z24665"/>
    </row>
    <row r="24666" spans="26:26" x14ac:dyDescent="0.25">
      <c r="Z24666"/>
    </row>
    <row r="24667" spans="26:26" x14ac:dyDescent="0.25">
      <c r="Z24667"/>
    </row>
    <row r="24668" spans="26:26" x14ac:dyDescent="0.25">
      <c r="Z24668"/>
    </row>
    <row r="24669" spans="26:26" x14ac:dyDescent="0.25">
      <c r="Z24669"/>
    </row>
    <row r="24670" spans="26:26" x14ac:dyDescent="0.25">
      <c r="Z24670"/>
    </row>
    <row r="24671" spans="26:26" x14ac:dyDescent="0.25">
      <c r="Z24671"/>
    </row>
    <row r="24672" spans="26:26" x14ac:dyDescent="0.25">
      <c r="Z24672"/>
    </row>
    <row r="24673" spans="26:26" x14ac:dyDescent="0.25">
      <c r="Z24673"/>
    </row>
    <row r="24674" spans="26:26" x14ac:dyDescent="0.25">
      <c r="Z24674"/>
    </row>
    <row r="24675" spans="26:26" x14ac:dyDescent="0.25">
      <c r="Z24675"/>
    </row>
    <row r="24676" spans="26:26" x14ac:dyDescent="0.25">
      <c r="Z24676"/>
    </row>
    <row r="24677" spans="26:26" x14ac:dyDescent="0.25">
      <c r="Z24677"/>
    </row>
    <row r="24678" spans="26:26" x14ac:dyDescent="0.25">
      <c r="Z24678"/>
    </row>
    <row r="24679" spans="26:26" x14ac:dyDescent="0.25">
      <c r="Z24679"/>
    </row>
    <row r="24680" spans="26:26" x14ac:dyDescent="0.25">
      <c r="Z24680"/>
    </row>
    <row r="24681" spans="26:26" x14ac:dyDescent="0.25">
      <c r="Z24681"/>
    </row>
    <row r="24682" spans="26:26" x14ac:dyDescent="0.25">
      <c r="Z24682"/>
    </row>
    <row r="24683" spans="26:26" x14ac:dyDescent="0.25">
      <c r="Z24683"/>
    </row>
    <row r="24684" spans="26:26" x14ac:dyDescent="0.25">
      <c r="Z24684"/>
    </row>
    <row r="24685" spans="26:26" x14ac:dyDescent="0.25">
      <c r="Z24685"/>
    </row>
    <row r="24686" spans="26:26" x14ac:dyDescent="0.25">
      <c r="Z24686"/>
    </row>
    <row r="24687" spans="26:26" x14ac:dyDescent="0.25">
      <c r="Z24687"/>
    </row>
    <row r="24688" spans="26:26" x14ac:dyDescent="0.25">
      <c r="Z24688"/>
    </row>
    <row r="24689" spans="26:26" x14ac:dyDescent="0.25">
      <c r="Z24689"/>
    </row>
    <row r="24690" spans="26:26" x14ac:dyDescent="0.25">
      <c r="Z24690"/>
    </row>
    <row r="24691" spans="26:26" x14ac:dyDescent="0.25">
      <c r="Z24691"/>
    </row>
    <row r="24692" spans="26:26" x14ac:dyDescent="0.25">
      <c r="Z24692"/>
    </row>
    <row r="24693" spans="26:26" x14ac:dyDescent="0.25">
      <c r="Z24693"/>
    </row>
    <row r="24694" spans="26:26" x14ac:dyDescent="0.25">
      <c r="Z24694"/>
    </row>
    <row r="24695" spans="26:26" x14ac:dyDescent="0.25">
      <c r="Z24695"/>
    </row>
    <row r="24696" spans="26:26" x14ac:dyDescent="0.25">
      <c r="Z24696"/>
    </row>
    <row r="24697" spans="26:26" x14ac:dyDescent="0.25">
      <c r="Z24697"/>
    </row>
    <row r="24698" spans="26:26" x14ac:dyDescent="0.25">
      <c r="Z24698"/>
    </row>
    <row r="24699" spans="26:26" x14ac:dyDescent="0.25">
      <c r="Z24699"/>
    </row>
    <row r="24700" spans="26:26" x14ac:dyDescent="0.25">
      <c r="Z24700"/>
    </row>
    <row r="24701" spans="26:26" x14ac:dyDescent="0.25">
      <c r="Z24701"/>
    </row>
    <row r="24702" spans="26:26" x14ac:dyDescent="0.25">
      <c r="Z24702"/>
    </row>
    <row r="24703" spans="26:26" x14ac:dyDescent="0.25">
      <c r="Z24703"/>
    </row>
    <row r="24704" spans="26:26" x14ac:dyDescent="0.25">
      <c r="Z24704"/>
    </row>
    <row r="24705" spans="26:26" x14ac:dyDescent="0.25">
      <c r="Z24705"/>
    </row>
    <row r="24706" spans="26:26" x14ac:dyDescent="0.25">
      <c r="Z24706"/>
    </row>
    <row r="24707" spans="26:26" x14ac:dyDescent="0.25">
      <c r="Z24707"/>
    </row>
    <row r="24708" spans="26:26" x14ac:dyDescent="0.25">
      <c r="Z24708"/>
    </row>
    <row r="24709" spans="26:26" x14ac:dyDescent="0.25">
      <c r="Z24709"/>
    </row>
    <row r="24710" spans="26:26" x14ac:dyDescent="0.25">
      <c r="Z24710"/>
    </row>
    <row r="24711" spans="26:26" x14ac:dyDescent="0.25">
      <c r="Z24711"/>
    </row>
    <row r="24712" spans="26:26" x14ac:dyDescent="0.25">
      <c r="Z24712"/>
    </row>
    <row r="24713" spans="26:26" x14ac:dyDescent="0.25">
      <c r="Z24713"/>
    </row>
    <row r="24714" spans="26:26" x14ac:dyDescent="0.25">
      <c r="Z24714"/>
    </row>
    <row r="24715" spans="26:26" x14ac:dyDescent="0.25">
      <c r="Z24715"/>
    </row>
    <row r="24716" spans="26:26" x14ac:dyDescent="0.25">
      <c r="Z24716"/>
    </row>
    <row r="24717" spans="26:26" x14ac:dyDescent="0.25">
      <c r="Z24717"/>
    </row>
    <row r="24718" spans="26:26" x14ac:dyDescent="0.25">
      <c r="Z24718"/>
    </row>
    <row r="24719" spans="26:26" x14ac:dyDescent="0.25">
      <c r="Z24719"/>
    </row>
    <row r="24720" spans="26:26" x14ac:dyDescent="0.25">
      <c r="Z24720"/>
    </row>
    <row r="24721" spans="26:26" x14ac:dyDescent="0.25">
      <c r="Z24721"/>
    </row>
    <row r="24722" spans="26:26" x14ac:dyDescent="0.25">
      <c r="Z24722"/>
    </row>
    <row r="24723" spans="26:26" x14ac:dyDescent="0.25">
      <c r="Z24723"/>
    </row>
    <row r="24724" spans="26:26" x14ac:dyDescent="0.25">
      <c r="Z24724"/>
    </row>
    <row r="24725" spans="26:26" x14ac:dyDescent="0.25">
      <c r="Z24725"/>
    </row>
    <row r="24726" spans="26:26" x14ac:dyDescent="0.25">
      <c r="Z24726"/>
    </row>
    <row r="24727" spans="26:26" x14ac:dyDescent="0.25">
      <c r="Z24727"/>
    </row>
    <row r="24728" spans="26:26" x14ac:dyDescent="0.25">
      <c r="Z24728"/>
    </row>
    <row r="24729" spans="26:26" x14ac:dyDescent="0.25">
      <c r="Z24729"/>
    </row>
    <row r="24730" spans="26:26" x14ac:dyDescent="0.25">
      <c r="Z24730"/>
    </row>
    <row r="24731" spans="26:26" x14ac:dyDescent="0.25">
      <c r="Z24731"/>
    </row>
    <row r="24732" spans="26:26" x14ac:dyDescent="0.25">
      <c r="Z24732"/>
    </row>
    <row r="24733" spans="26:26" x14ac:dyDescent="0.25">
      <c r="Z24733"/>
    </row>
    <row r="24734" spans="26:26" x14ac:dyDescent="0.25">
      <c r="Z24734"/>
    </row>
    <row r="24735" spans="26:26" x14ac:dyDescent="0.25">
      <c r="Z24735"/>
    </row>
    <row r="24736" spans="26:26" x14ac:dyDescent="0.25">
      <c r="Z24736"/>
    </row>
    <row r="24737" spans="26:26" x14ac:dyDescent="0.25">
      <c r="Z24737"/>
    </row>
    <row r="24738" spans="26:26" x14ac:dyDescent="0.25">
      <c r="Z24738"/>
    </row>
    <row r="24739" spans="26:26" x14ac:dyDescent="0.25">
      <c r="Z24739"/>
    </row>
    <row r="24740" spans="26:26" x14ac:dyDescent="0.25">
      <c r="Z24740"/>
    </row>
    <row r="24741" spans="26:26" x14ac:dyDescent="0.25">
      <c r="Z24741"/>
    </row>
    <row r="24742" spans="26:26" x14ac:dyDescent="0.25">
      <c r="Z24742"/>
    </row>
    <row r="24743" spans="26:26" x14ac:dyDescent="0.25">
      <c r="Z24743"/>
    </row>
    <row r="24744" spans="26:26" x14ac:dyDescent="0.25">
      <c r="Z24744"/>
    </row>
    <row r="24745" spans="26:26" x14ac:dyDescent="0.25">
      <c r="Z24745"/>
    </row>
    <row r="24746" spans="26:26" x14ac:dyDescent="0.25">
      <c r="Z24746"/>
    </row>
    <row r="24747" spans="26:26" x14ac:dyDescent="0.25">
      <c r="Z24747"/>
    </row>
    <row r="24748" spans="26:26" x14ac:dyDescent="0.25">
      <c r="Z24748"/>
    </row>
    <row r="24749" spans="26:26" x14ac:dyDescent="0.25">
      <c r="Z24749"/>
    </row>
    <row r="24750" spans="26:26" x14ac:dyDescent="0.25">
      <c r="Z24750"/>
    </row>
    <row r="24751" spans="26:26" x14ac:dyDescent="0.25">
      <c r="Z24751"/>
    </row>
    <row r="24752" spans="26:26" x14ac:dyDescent="0.25">
      <c r="Z24752"/>
    </row>
    <row r="24753" spans="26:26" x14ac:dyDescent="0.25">
      <c r="Z24753"/>
    </row>
    <row r="24754" spans="26:26" x14ac:dyDescent="0.25">
      <c r="Z24754"/>
    </row>
    <row r="24755" spans="26:26" x14ac:dyDescent="0.25">
      <c r="Z24755"/>
    </row>
    <row r="24756" spans="26:26" x14ac:dyDescent="0.25">
      <c r="Z24756"/>
    </row>
    <row r="24757" spans="26:26" x14ac:dyDescent="0.25">
      <c r="Z24757"/>
    </row>
    <row r="24758" spans="26:26" x14ac:dyDescent="0.25">
      <c r="Z24758"/>
    </row>
    <row r="24759" spans="26:26" x14ac:dyDescent="0.25">
      <c r="Z24759"/>
    </row>
    <row r="24760" spans="26:26" x14ac:dyDescent="0.25">
      <c r="Z24760"/>
    </row>
    <row r="24761" spans="26:26" x14ac:dyDescent="0.25">
      <c r="Z24761"/>
    </row>
    <row r="24762" spans="26:26" x14ac:dyDescent="0.25">
      <c r="Z24762"/>
    </row>
    <row r="24763" spans="26:26" x14ac:dyDescent="0.25">
      <c r="Z24763"/>
    </row>
    <row r="24764" spans="26:26" x14ac:dyDescent="0.25">
      <c r="Z24764"/>
    </row>
    <row r="24765" spans="26:26" x14ac:dyDescent="0.25">
      <c r="Z24765"/>
    </row>
    <row r="24766" spans="26:26" x14ac:dyDescent="0.25">
      <c r="Z24766"/>
    </row>
    <row r="24767" spans="26:26" x14ac:dyDescent="0.25">
      <c r="Z24767"/>
    </row>
    <row r="24768" spans="26:26" x14ac:dyDescent="0.25">
      <c r="Z24768"/>
    </row>
    <row r="24769" spans="26:26" x14ac:dyDescent="0.25">
      <c r="Z24769"/>
    </row>
    <row r="24770" spans="26:26" x14ac:dyDescent="0.25">
      <c r="Z24770"/>
    </row>
    <row r="24771" spans="26:26" x14ac:dyDescent="0.25">
      <c r="Z24771"/>
    </row>
    <row r="24772" spans="26:26" x14ac:dyDescent="0.25">
      <c r="Z24772"/>
    </row>
    <row r="24773" spans="26:26" x14ac:dyDescent="0.25">
      <c r="Z24773"/>
    </row>
    <row r="24774" spans="26:26" x14ac:dyDescent="0.25">
      <c r="Z24774"/>
    </row>
    <row r="24775" spans="26:26" x14ac:dyDescent="0.25">
      <c r="Z24775"/>
    </row>
    <row r="24776" spans="26:26" x14ac:dyDescent="0.25">
      <c r="Z24776"/>
    </row>
    <row r="24777" spans="26:26" x14ac:dyDescent="0.25">
      <c r="Z24777"/>
    </row>
    <row r="24778" spans="26:26" x14ac:dyDescent="0.25">
      <c r="Z24778"/>
    </row>
    <row r="24779" spans="26:26" x14ac:dyDescent="0.25">
      <c r="Z24779"/>
    </row>
    <row r="24780" spans="26:26" x14ac:dyDescent="0.25">
      <c r="Z24780"/>
    </row>
    <row r="24781" spans="26:26" x14ac:dyDescent="0.25">
      <c r="Z24781"/>
    </row>
    <row r="24782" spans="26:26" x14ac:dyDescent="0.25">
      <c r="Z24782"/>
    </row>
    <row r="24783" spans="26:26" x14ac:dyDescent="0.25">
      <c r="Z24783"/>
    </row>
    <row r="24784" spans="26:26" x14ac:dyDescent="0.25">
      <c r="Z24784"/>
    </row>
    <row r="24785" spans="26:26" x14ac:dyDescent="0.25">
      <c r="Z24785"/>
    </row>
    <row r="24786" spans="26:26" x14ac:dyDescent="0.25">
      <c r="Z24786"/>
    </row>
    <row r="24787" spans="26:26" x14ac:dyDescent="0.25">
      <c r="Z24787"/>
    </row>
    <row r="24788" spans="26:26" x14ac:dyDescent="0.25">
      <c r="Z24788"/>
    </row>
    <row r="24789" spans="26:26" x14ac:dyDescent="0.25">
      <c r="Z24789"/>
    </row>
    <row r="24790" spans="26:26" x14ac:dyDescent="0.25">
      <c r="Z24790"/>
    </row>
    <row r="24791" spans="26:26" x14ac:dyDescent="0.25">
      <c r="Z24791"/>
    </row>
    <row r="24792" spans="26:26" x14ac:dyDescent="0.25">
      <c r="Z24792"/>
    </row>
    <row r="24793" spans="26:26" x14ac:dyDescent="0.25">
      <c r="Z24793"/>
    </row>
    <row r="24794" spans="26:26" x14ac:dyDescent="0.25">
      <c r="Z24794"/>
    </row>
    <row r="24795" spans="26:26" x14ac:dyDescent="0.25">
      <c r="Z24795"/>
    </row>
    <row r="24796" spans="26:26" x14ac:dyDescent="0.25">
      <c r="Z24796"/>
    </row>
    <row r="24797" spans="26:26" x14ac:dyDescent="0.25">
      <c r="Z24797"/>
    </row>
    <row r="24798" spans="26:26" x14ac:dyDescent="0.25">
      <c r="Z24798"/>
    </row>
    <row r="24799" spans="26:26" x14ac:dyDescent="0.25">
      <c r="Z24799"/>
    </row>
    <row r="24800" spans="26:26" x14ac:dyDescent="0.25">
      <c r="Z24800"/>
    </row>
    <row r="24801" spans="26:26" x14ac:dyDescent="0.25">
      <c r="Z24801"/>
    </row>
    <row r="24802" spans="26:26" x14ac:dyDescent="0.25">
      <c r="Z24802"/>
    </row>
    <row r="24803" spans="26:26" x14ac:dyDescent="0.25">
      <c r="Z24803"/>
    </row>
    <row r="24804" spans="26:26" x14ac:dyDescent="0.25">
      <c r="Z24804"/>
    </row>
    <row r="24805" spans="26:26" x14ac:dyDescent="0.25">
      <c r="Z24805"/>
    </row>
    <row r="24806" spans="26:26" x14ac:dyDescent="0.25">
      <c r="Z24806"/>
    </row>
    <row r="24807" spans="26:26" x14ac:dyDescent="0.25">
      <c r="Z24807"/>
    </row>
    <row r="24808" spans="26:26" x14ac:dyDescent="0.25">
      <c r="Z24808"/>
    </row>
    <row r="24809" spans="26:26" x14ac:dyDescent="0.25">
      <c r="Z24809"/>
    </row>
    <row r="24810" spans="26:26" x14ac:dyDescent="0.25">
      <c r="Z24810"/>
    </row>
    <row r="24811" spans="26:26" x14ac:dyDescent="0.25">
      <c r="Z24811"/>
    </row>
    <row r="24812" spans="26:26" x14ac:dyDescent="0.25">
      <c r="Z24812"/>
    </row>
    <row r="24813" spans="26:26" x14ac:dyDescent="0.25">
      <c r="Z24813"/>
    </row>
    <row r="24814" spans="26:26" x14ac:dyDescent="0.25">
      <c r="Z24814"/>
    </row>
    <row r="24815" spans="26:26" x14ac:dyDescent="0.25">
      <c r="Z24815"/>
    </row>
    <row r="24816" spans="26:26" x14ac:dyDescent="0.25">
      <c r="Z24816"/>
    </row>
    <row r="24817" spans="26:26" x14ac:dyDescent="0.25">
      <c r="Z24817"/>
    </row>
    <row r="24818" spans="26:26" x14ac:dyDescent="0.25">
      <c r="Z24818"/>
    </row>
    <row r="24819" spans="26:26" x14ac:dyDescent="0.25">
      <c r="Z24819"/>
    </row>
    <row r="24820" spans="26:26" x14ac:dyDescent="0.25">
      <c r="Z24820"/>
    </row>
    <row r="24821" spans="26:26" x14ac:dyDescent="0.25">
      <c r="Z24821"/>
    </row>
    <row r="24822" spans="26:26" x14ac:dyDescent="0.25">
      <c r="Z24822"/>
    </row>
    <row r="24823" spans="26:26" x14ac:dyDescent="0.25">
      <c r="Z24823"/>
    </row>
    <row r="24824" spans="26:26" x14ac:dyDescent="0.25">
      <c r="Z24824"/>
    </row>
    <row r="24825" spans="26:26" x14ac:dyDescent="0.25">
      <c r="Z24825"/>
    </row>
    <row r="24826" spans="26:26" x14ac:dyDescent="0.25">
      <c r="Z24826"/>
    </row>
    <row r="24827" spans="26:26" x14ac:dyDescent="0.25">
      <c r="Z24827"/>
    </row>
    <row r="24828" spans="26:26" x14ac:dyDescent="0.25">
      <c r="Z24828"/>
    </row>
    <row r="24829" spans="26:26" x14ac:dyDescent="0.25">
      <c r="Z24829"/>
    </row>
    <row r="24830" spans="26:26" x14ac:dyDescent="0.25">
      <c r="Z24830"/>
    </row>
    <row r="24831" spans="26:26" x14ac:dyDescent="0.25">
      <c r="Z24831"/>
    </row>
    <row r="24832" spans="26:26" x14ac:dyDescent="0.25">
      <c r="Z24832"/>
    </row>
    <row r="24833" spans="26:26" x14ac:dyDescent="0.25">
      <c r="Z24833"/>
    </row>
    <row r="24834" spans="26:26" x14ac:dyDescent="0.25">
      <c r="Z24834"/>
    </row>
    <row r="24835" spans="26:26" x14ac:dyDescent="0.25">
      <c r="Z24835"/>
    </row>
    <row r="24836" spans="26:26" x14ac:dyDescent="0.25">
      <c r="Z24836"/>
    </row>
    <row r="24837" spans="26:26" x14ac:dyDescent="0.25">
      <c r="Z24837"/>
    </row>
    <row r="24838" spans="26:26" x14ac:dyDescent="0.25">
      <c r="Z24838"/>
    </row>
    <row r="24839" spans="26:26" x14ac:dyDescent="0.25">
      <c r="Z24839"/>
    </row>
    <row r="24840" spans="26:26" x14ac:dyDescent="0.25">
      <c r="Z24840"/>
    </row>
    <row r="24841" spans="26:26" x14ac:dyDescent="0.25">
      <c r="Z24841"/>
    </row>
    <row r="24842" spans="26:26" x14ac:dyDescent="0.25">
      <c r="Z24842"/>
    </row>
    <row r="24843" spans="26:26" x14ac:dyDescent="0.25">
      <c r="Z24843"/>
    </row>
    <row r="24844" spans="26:26" x14ac:dyDescent="0.25">
      <c r="Z24844"/>
    </row>
    <row r="24845" spans="26:26" x14ac:dyDescent="0.25">
      <c r="Z24845"/>
    </row>
    <row r="24846" spans="26:26" x14ac:dyDescent="0.25">
      <c r="Z24846"/>
    </row>
    <row r="24847" spans="26:26" x14ac:dyDescent="0.25">
      <c r="Z24847"/>
    </row>
    <row r="24848" spans="26:26" x14ac:dyDescent="0.25">
      <c r="Z24848"/>
    </row>
    <row r="24849" spans="26:26" x14ac:dyDescent="0.25">
      <c r="Z24849"/>
    </row>
    <row r="24850" spans="26:26" x14ac:dyDescent="0.25">
      <c r="Z24850"/>
    </row>
    <row r="24851" spans="26:26" x14ac:dyDescent="0.25">
      <c r="Z24851"/>
    </row>
    <row r="24852" spans="26:26" x14ac:dyDescent="0.25">
      <c r="Z24852"/>
    </row>
    <row r="24853" spans="26:26" x14ac:dyDescent="0.25">
      <c r="Z24853"/>
    </row>
    <row r="24854" spans="26:26" x14ac:dyDescent="0.25">
      <c r="Z24854"/>
    </row>
    <row r="24855" spans="26:26" x14ac:dyDescent="0.25">
      <c r="Z24855"/>
    </row>
    <row r="24856" spans="26:26" x14ac:dyDescent="0.25">
      <c r="Z24856"/>
    </row>
    <row r="24857" spans="26:26" x14ac:dyDescent="0.25">
      <c r="Z24857"/>
    </row>
    <row r="24858" spans="26:26" x14ac:dyDescent="0.25">
      <c r="Z24858"/>
    </row>
    <row r="24859" spans="26:26" x14ac:dyDescent="0.25">
      <c r="Z24859"/>
    </row>
    <row r="24860" spans="26:26" x14ac:dyDescent="0.25">
      <c r="Z24860"/>
    </row>
    <row r="24861" spans="26:26" x14ac:dyDescent="0.25">
      <c r="Z24861"/>
    </row>
    <row r="24862" spans="26:26" x14ac:dyDescent="0.25">
      <c r="Z24862"/>
    </row>
    <row r="24863" spans="26:26" x14ac:dyDescent="0.25">
      <c r="Z24863"/>
    </row>
    <row r="24864" spans="26:26" x14ac:dyDescent="0.25">
      <c r="Z24864"/>
    </row>
    <row r="24865" spans="26:26" x14ac:dyDescent="0.25">
      <c r="Z24865"/>
    </row>
    <row r="24866" spans="26:26" x14ac:dyDescent="0.25">
      <c r="Z24866"/>
    </row>
    <row r="24867" spans="26:26" x14ac:dyDescent="0.25">
      <c r="Z24867"/>
    </row>
    <row r="24868" spans="26:26" x14ac:dyDescent="0.25">
      <c r="Z24868"/>
    </row>
    <row r="24869" spans="26:26" x14ac:dyDescent="0.25">
      <c r="Z24869"/>
    </row>
    <row r="24870" spans="26:26" x14ac:dyDescent="0.25">
      <c r="Z24870"/>
    </row>
    <row r="24871" spans="26:26" x14ac:dyDescent="0.25">
      <c r="Z24871"/>
    </row>
    <row r="24872" spans="26:26" x14ac:dyDescent="0.25">
      <c r="Z24872"/>
    </row>
    <row r="24873" spans="26:26" x14ac:dyDescent="0.25">
      <c r="Z24873"/>
    </row>
    <row r="24874" spans="26:26" x14ac:dyDescent="0.25">
      <c r="Z24874"/>
    </row>
    <row r="24875" spans="26:26" x14ac:dyDescent="0.25">
      <c r="Z24875"/>
    </row>
    <row r="24876" spans="26:26" x14ac:dyDescent="0.25">
      <c r="Z24876"/>
    </row>
    <row r="24877" spans="26:26" x14ac:dyDescent="0.25">
      <c r="Z24877"/>
    </row>
    <row r="24878" spans="26:26" x14ac:dyDescent="0.25">
      <c r="Z24878"/>
    </row>
    <row r="24879" spans="26:26" x14ac:dyDescent="0.25">
      <c r="Z24879"/>
    </row>
    <row r="24880" spans="26:26" x14ac:dyDescent="0.25">
      <c r="Z24880"/>
    </row>
    <row r="24881" spans="26:26" x14ac:dyDescent="0.25">
      <c r="Z24881"/>
    </row>
    <row r="24882" spans="26:26" x14ac:dyDescent="0.25">
      <c r="Z24882"/>
    </row>
    <row r="24883" spans="26:26" x14ac:dyDescent="0.25">
      <c r="Z24883"/>
    </row>
    <row r="24884" spans="26:26" x14ac:dyDescent="0.25">
      <c r="Z24884"/>
    </row>
    <row r="24885" spans="26:26" x14ac:dyDescent="0.25">
      <c r="Z24885"/>
    </row>
    <row r="24886" spans="26:26" x14ac:dyDescent="0.25">
      <c r="Z24886"/>
    </row>
    <row r="24887" spans="26:26" x14ac:dyDescent="0.25">
      <c r="Z24887"/>
    </row>
    <row r="24888" spans="26:26" x14ac:dyDescent="0.25">
      <c r="Z24888"/>
    </row>
    <row r="24889" spans="26:26" x14ac:dyDescent="0.25">
      <c r="Z24889"/>
    </row>
    <row r="24890" spans="26:26" x14ac:dyDescent="0.25">
      <c r="Z24890"/>
    </row>
    <row r="24891" spans="26:26" x14ac:dyDescent="0.25">
      <c r="Z24891"/>
    </row>
    <row r="24892" spans="26:26" x14ac:dyDescent="0.25">
      <c r="Z24892"/>
    </row>
    <row r="24893" spans="26:26" x14ac:dyDescent="0.25">
      <c r="Z24893"/>
    </row>
    <row r="24894" spans="26:26" x14ac:dyDescent="0.25">
      <c r="Z24894"/>
    </row>
    <row r="24895" spans="26:26" x14ac:dyDescent="0.25">
      <c r="Z24895"/>
    </row>
    <row r="24896" spans="26:26" x14ac:dyDescent="0.25">
      <c r="Z24896"/>
    </row>
    <row r="24897" spans="26:26" x14ac:dyDescent="0.25">
      <c r="Z24897"/>
    </row>
    <row r="24898" spans="26:26" x14ac:dyDescent="0.25">
      <c r="Z24898"/>
    </row>
    <row r="24899" spans="26:26" x14ac:dyDescent="0.25">
      <c r="Z24899"/>
    </row>
    <row r="24900" spans="26:26" x14ac:dyDescent="0.25">
      <c r="Z24900"/>
    </row>
    <row r="24901" spans="26:26" x14ac:dyDescent="0.25">
      <c r="Z24901"/>
    </row>
    <row r="24902" spans="26:26" x14ac:dyDescent="0.25">
      <c r="Z24902"/>
    </row>
    <row r="24903" spans="26:26" x14ac:dyDescent="0.25">
      <c r="Z24903"/>
    </row>
    <row r="24904" spans="26:26" x14ac:dyDescent="0.25">
      <c r="Z24904"/>
    </row>
    <row r="24905" spans="26:26" x14ac:dyDescent="0.25">
      <c r="Z24905"/>
    </row>
    <row r="24906" spans="26:26" x14ac:dyDescent="0.25">
      <c r="Z24906"/>
    </row>
    <row r="24907" spans="26:26" x14ac:dyDescent="0.25">
      <c r="Z24907"/>
    </row>
    <row r="24908" spans="26:26" x14ac:dyDescent="0.25">
      <c r="Z24908"/>
    </row>
    <row r="24909" spans="26:26" x14ac:dyDescent="0.25">
      <c r="Z24909"/>
    </row>
    <row r="24910" spans="26:26" x14ac:dyDescent="0.25">
      <c r="Z24910"/>
    </row>
    <row r="24911" spans="26:26" x14ac:dyDescent="0.25">
      <c r="Z24911"/>
    </row>
    <row r="24912" spans="26:26" x14ac:dyDescent="0.25">
      <c r="Z24912"/>
    </row>
    <row r="24913" spans="26:26" x14ac:dyDescent="0.25">
      <c r="Z24913"/>
    </row>
    <row r="24914" spans="26:26" x14ac:dyDescent="0.25">
      <c r="Z24914"/>
    </row>
    <row r="24915" spans="26:26" x14ac:dyDescent="0.25">
      <c r="Z24915"/>
    </row>
    <row r="24916" spans="26:26" x14ac:dyDescent="0.25">
      <c r="Z24916"/>
    </row>
    <row r="24917" spans="26:26" x14ac:dyDescent="0.25">
      <c r="Z24917"/>
    </row>
    <row r="24918" spans="26:26" x14ac:dyDescent="0.25">
      <c r="Z24918"/>
    </row>
    <row r="24919" spans="26:26" x14ac:dyDescent="0.25">
      <c r="Z24919"/>
    </row>
    <row r="24920" spans="26:26" x14ac:dyDescent="0.25">
      <c r="Z24920"/>
    </row>
    <row r="24921" spans="26:26" x14ac:dyDescent="0.25">
      <c r="Z24921"/>
    </row>
    <row r="24922" spans="26:26" x14ac:dyDescent="0.25">
      <c r="Z24922"/>
    </row>
    <row r="24923" spans="26:26" x14ac:dyDescent="0.25">
      <c r="Z24923"/>
    </row>
    <row r="24924" spans="26:26" x14ac:dyDescent="0.25">
      <c r="Z24924"/>
    </row>
    <row r="24925" spans="26:26" x14ac:dyDescent="0.25">
      <c r="Z24925"/>
    </row>
    <row r="24926" spans="26:26" x14ac:dyDescent="0.25">
      <c r="Z24926"/>
    </row>
    <row r="24927" spans="26:26" x14ac:dyDescent="0.25">
      <c r="Z24927"/>
    </row>
    <row r="24928" spans="26:26" x14ac:dyDescent="0.25">
      <c r="Z24928"/>
    </row>
    <row r="24929" spans="26:26" x14ac:dyDescent="0.25">
      <c r="Z24929"/>
    </row>
    <row r="24930" spans="26:26" x14ac:dyDescent="0.25">
      <c r="Z24930"/>
    </row>
    <row r="24931" spans="26:26" x14ac:dyDescent="0.25">
      <c r="Z24931"/>
    </row>
    <row r="24932" spans="26:26" x14ac:dyDescent="0.25">
      <c r="Z24932"/>
    </row>
    <row r="24933" spans="26:26" x14ac:dyDescent="0.25">
      <c r="Z24933"/>
    </row>
    <row r="24934" spans="26:26" x14ac:dyDescent="0.25">
      <c r="Z24934"/>
    </row>
    <row r="24935" spans="26:26" x14ac:dyDescent="0.25">
      <c r="Z24935"/>
    </row>
    <row r="24936" spans="26:26" x14ac:dyDescent="0.25">
      <c r="Z24936"/>
    </row>
    <row r="24937" spans="26:26" x14ac:dyDescent="0.25">
      <c r="Z24937"/>
    </row>
    <row r="24938" spans="26:26" x14ac:dyDescent="0.25">
      <c r="Z24938"/>
    </row>
    <row r="24939" spans="26:26" x14ac:dyDescent="0.25">
      <c r="Z24939"/>
    </row>
    <row r="24940" spans="26:26" x14ac:dyDescent="0.25">
      <c r="Z24940"/>
    </row>
    <row r="24941" spans="26:26" x14ac:dyDescent="0.25">
      <c r="Z24941"/>
    </row>
    <row r="24942" spans="26:26" x14ac:dyDescent="0.25">
      <c r="Z24942"/>
    </row>
    <row r="24943" spans="26:26" x14ac:dyDescent="0.25">
      <c r="Z24943"/>
    </row>
    <row r="24944" spans="26:26" x14ac:dyDescent="0.25">
      <c r="Z24944"/>
    </row>
    <row r="24945" spans="26:26" x14ac:dyDescent="0.25">
      <c r="Z24945"/>
    </row>
    <row r="24946" spans="26:26" x14ac:dyDescent="0.25">
      <c r="Z24946"/>
    </row>
    <row r="24947" spans="26:26" x14ac:dyDescent="0.25">
      <c r="Z24947"/>
    </row>
    <row r="24948" spans="26:26" x14ac:dyDescent="0.25">
      <c r="Z24948"/>
    </row>
    <row r="24949" spans="26:26" x14ac:dyDescent="0.25">
      <c r="Z24949"/>
    </row>
    <row r="24950" spans="26:26" x14ac:dyDescent="0.25">
      <c r="Z24950"/>
    </row>
    <row r="24951" spans="26:26" x14ac:dyDescent="0.25">
      <c r="Z24951"/>
    </row>
    <row r="24952" spans="26:26" x14ac:dyDescent="0.25">
      <c r="Z24952"/>
    </row>
    <row r="24953" spans="26:26" x14ac:dyDescent="0.25">
      <c r="Z24953"/>
    </row>
    <row r="24954" spans="26:26" x14ac:dyDescent="0.25">
      <c r="Z24954"/>
    </row>
    <row r="24955" spans="26:26" x14ac:dyDescent="0.25">
      <c r="Z24955"/>
    </row>
    <row r="24956" spans="26:26" x14ac:dyDescent="0.25">
      <c r="Z24956"/>
    </row>
    <row r="24957" spans="26:26" x14ac:dyDescent="0.25">
      <c r="Z24957"/>
    </row>
    <row r="24958" spans="26:26" x14ac:dyDescent="0.25">
      <c r="Z24958"/>
    </row>
    <row r="24959" spans="26:26" x14ac:dyDescent="0.25">
      <c r="Z24959"/>
    </row>
    <row r="24960" spans="26:26" x14ac:dyDescent="0.25">
      <c r="Z24960"/>
    </row>
    <row r="24961" spans="26:26" x14ac:dyDescent="0.25">
      <c r="Z24961"/>
    </row>
    <row r="24962" spans="26:26" x14ac:dyDescent="0.25">
      <c r="Z24962"/>
    </row>
    <row r="24963" spans="26:26" x14ac:dyDescent="0.25">
      <c r="Z24963"/>
    </row>
    <row r="24964" spans="26:26" x14ac:dyDescent="0.25">
      <c r="Z24964"/>
    </row>
    <row r="24965" spans="26:26" x14ac:dyDescent="0.25">
      <c r="Z24965"/>
    </row>
    <row r="24966" spans="26:26" x14ac:dyDescent="0.25">
      <c r="Z24966"/>
    </row>
    <row r="24967" spans="26:26" x14ac:dyDescent="0.25">
      <c r="Z24967"/>
    </row>
    <row r="24968" spans="26:26" x14ac:dyDescent="0.25">
      <c r="Z24968"/>
    </row>
    <row r="24969" spans="26:26" x14ac:dyDescent="0.25">
      <c r="Z24969"/>
    </row>
    <row r="24970" spans="26:26" x14ac:dyDescent="0.25">
      <c r="Z24970"/>
    </row>
    <row r="24971" spans="26:26" x14ac:dyDescent="0.25">
      <c r="Z24971"/>
    </row>
    <row r="24972" spans="26:26" x14ac:dyDescent="0.25">
      <c r="Z24972"/>
    </row>
    <row r="24973" spans="26:26" x14ac:dyDescent="0.25">
      <c r="Z24973"/>
    </row>
    <row r="24974" spans="26:26" x14ac:dyDescent="0.25">
      <c r="Z24974"/>
    </row>
    <row r="24975" spans="26:26" x14ac:dyDescent="0.25">
      <c r="Z24975"/>
    </row>
    <row r="24976" spans="26:26" x14ac:dyDescent="0.25">
      <c r="Z24976"/>
    </row>
    <row r="24977" spans="26:26" x14ac:dyDescent="0.25">
      <c r="Z24977"/>
    </row>
    <row r="24978" spans="26:26" x14ac:dyDescent="0.25">
      <c r="Z24978"/>
    </row>
    <row r="24979" spans="26:26" x14ac:dyDescent="0.25">
      <c r="Z24979"/>
    </row>
    <row r="24980" spans="26:26" x14ac:dyDescent="0.25">
      <c r="Z24980"/>
    </row>
    <row r="24981" spans="26:26" x14ac:dyDescent="0.25">
      <c r="Z24981"/>
    </row>
    <row r="24982" spans="26:26" x14ac:dyDescent="0.25">
      <c r="Z24982"/>
    </row>
    <row r="24983" spans="26:26" x14ac:dyDescent="0.25">
      <c r="Z24983"/>
    </row>
    <row r="24984" spans="26:26" x14ac:dyDescent="0.25">
      <c r="Z24984"/>
    </row>
    <row r="24985" spans="26:26" x14ac:dyDescent="0.25">
      <c r="Z24985"/>
    </row>
    <row r="24986" spans="26:26" x14ac:dyDescent="0.25">
      <c r="Z24986"/>
    </row>
    <row r="24987" spans="26:26" x14ac:dyDescent="0.25">
      <c r="Z24987"/>
    </row>
    <row r="24988" spans="26:26" x14ac:dyDescent="0.25">
      <c r="Z24988"/>
    </row>
    <row r="24989" spans="26:26" x14ac:dyDescent="0.25">
      <c r="Z24989"/>
    </row>
    <row r="24990" spans="26:26" x14ac:dyDescent="0.25">
      <c r="Z24990"/>
    </row>
    <row r="24991" spans="26:26" x14ac:dyDescent="0.25">
      <c r="Z24991"/>
    </row>
    <row r="24992" spans="26:26" x14ac:dyDescent="0.25">
      <c r="Z24992"/>
    </row>
    <row r="24993" spans="26:26" x14ac:dyDescent="0.25">
      <c r="Z24993"/>
    </row>
    <row r="24994" spans="26:26" x14ac:dyDescent="0.25">
      <c r="Z24994"/>
    </row>
    <row r="24995" spans="26:26" x14ac:dyDescent="0.25">
      <c r="Z24995"/>
    </row>
    <row r="24996" spans="26:26" x14ac:dyDescent="0.25">
      <c r="Z24996"/>
    </row>
    <row r="24997" spans="26:26" x14ac:dyDescent="0.25">
      <c r="Z24997"/>
    </row>
    <row r="24998" spans="26:26" x14ac:dyDescent="0.25">
      <c r="Z24998"/>
    </row>
    <row r="24999" spans="26:26" x14ac:dyDescent="0.25">
      <c r="Z24999"/>
    </row>
    <row r="25000" spans="26:26" x14ac:dyDescent="0.25">
      <c r="Z25000"/>
    </row>
    <row r="25001" spans="26:26" x14ac:dyDescent="0.25">
      <c r="Z25001"/>
    </row>
    <row r="25002" spans="26:26" x14ac:dyDescent="0.25">
      <c r="Z25002"/>
    </row>
    <row r="25003" spans="26:26" x14ac:dyDescent="0.25">
      <c r="Z25003"/>
    </row>
    <row r="25004" spans="26:26" x14ac:dyDescent="0.25">
      <c r="Z25004"/>
    </row>
    <row r="25005" spans="26:26" x14ac:dyDescent="0.25">
      <c r="Z25005"/>
    </row>
    <row r="25006" spans="26:26" x14ac:dyDescent="0.25">
      <c r="Z25006"/>
    </row>
    <row r="25007" spans="26:26" x14ac:dyDescent="0.25">
      <c r="Z25007"/>
    </row>
    <row r="25008" spans="26:26" x14ac:dyDescent="0.25">
      <c r="Z25008"/>
    </row>
    <row r="25009" spans="26:26" x14ac:dyDescent="0.25">
      <c r="Z25009"/>
    </row>
    <row r="25010" spans="26:26" x14ac:dyDescent="0.25">
      <c r="Z25010"/>
    </row>
    <row r="25011" spans="26:26" x14ac:dyDescent="0.25">
      <c r="Z25011"/>
    </row>
    <row r="25012" spans="26:26" x14ac:dyDescent="0.25">
      <c r="Z25012"/>
    </row>
    <row r="25013" spans="26:26" x14ac:dyDescent="0.25">
      <c r="Z25013"/>
    </row>
    <row r="25014" spans="26:26" x14ac:dyDescent="0.25">
      <c r="Z25014"/>
    </row>
    <row r="25015" spans="26:26" x14ac:dyDescent="0.25">
      <c r="Z25015"/>
    </row>
    <row r="25016" spans="26:26" x14ac:dyDescent="0.25">
      <c r="Z25016"/>
    </row>
    <row r="25017" spans="26:26" x14ac:dyDescent="0.25">
      <c r="Z25017"/>
    </row>
    <row r="25018" spans="26:26" x14ac:dyDescent="0.25">
      <c r="Z25018"/>
    </row>
    <row r="25019" spans="26:26" x14ac:dyDescent="0.25">
      <c r="Z25019"/>
    </row>
    <row r="25020" spans="26:26" x14ac:dyDescent="0.25">
      <c r="Z25020"/>
    </row>
    <row r="25021" spans="26:26" x14ac:dyDescent="0.25">
      <c r="Z25021"/>
    </row>
    <row r="25022" spans="26:26" x14ac:dyDescent="0.25">
      <c r="Z25022"/>
    </row>
    <row r="25023" spans="26:26" x14ac:dyDescent="0.25">
      <c r="Z25023"/>
    </row>
    <row r="25024" spans="26:26" x14ac:dyDescent="0.25">
      <c r="Z25024"/>
    </row>
    <row r="25025" spans="26:26" x14ac:dyDescent="0.25">
      <c r="Z25025"/>
    </row>
    <row r="25026" spans="26:26" x14ac:dyDescent="0.25">
      <c r="Z25026"/>
    </row>
    <row r="25027" spans="26:26" x14ac:dyDescent="0.25">
      <c r="Z25027"/>
    </row>
    <row r="25028" spans="26:26" x14ac:dyDescent="0.25">
      <c r="Z25028"/>
    </row>
    <row r="25029" spans="26:26" x14ac:dyDescent="0.25">
      <c r="Z25029"/>
    </row>
    <row r="25030" spans="26:26" x14ac:dyDescent="0.25">
      <c r="Z25030"/>
    </row>
    <row r="25031" spans="26:26" x14ac:dyDescent="0.25">
      <c r="Z25031"/>
    </row>
    <row r="25032" spans="26:26" x14ac:dyDescent="0.25">
      <c r="Z25032"/>
    </row>
    <row r="25033" spans="26:26" x14ac:dyDescent="0.25">
      <c r="Z25033"/>
    </row>
    <row r="25034" spans="26:26" x14ac:dyDescent="0.25">
      <c r="Z25034"/>
    </row>
    <row r="25035" spans="26:26" x14ac:dyDescent="0.25">
      <c r="Z25035"/>
    </row>
    <row r="25036" spans="26:26" x14ac:dyDescent="0.25">
      <c r="Z25036"/>
    </row>
    <row r="25037" spans="26:26" x14ac:dyDescent="0.25">
      <c r="Z25037"/>
    </row>
    <row r="25038" spans="26:26" x14ac:dyDescent="0.25">
      <c r="Z25038"/>
    </row>
    <row r="25039" spans="26:26" x14ac:dyDescent="0.25">
      <c r="Z25039"/>
    </row>
    <row r="25040" spans="26:26" x14ac:dyDescent="0.25">
      <c r="Z25040"/>
    </row>
    <row r="25041" spans="26:26" x14ac:dyDescent="0.25">
      <c r="Z25041"/>
    </row>
    <row r="25042" spans="26:26" x14ac:dyDescent="0.25">
      <c r="Z25042"/>
    </row>
    <row r="25043" spans="26:26" x14ac:dyDescent="0.25">
      <c r="Z25043"/>
    </row>
    <row r="25044" spans="26:26" x14ac:dyDescent="0.25">
      <c r="Z25044"/>
    </row>
    <row r="25045" spans="26:26" x14ac:dyDescent="0.25">
      <c r="Z25045"/>
    </row>
    <row r="25046" spans="26:26" x14ac:dyDescent="0.25">
      <c r="Z25046"/>
    </row>
    <row r="25047" spans="26:26" x14ac:dyDescent="0.25">
      <c r="Z25047"/>
    </row>
    <row r="25048" spans="26:26" x14ac:dyDescent="0.25">
      <c r="Z25048"/>
    </row>
    <row r="25049" spans="26:26" x14ac:dyDescent="0.25">
      <c r="Z25049"/>
    </row>
    <row r="25050" spans="26:26" x14ac:dyDescent="0.25">
      <c r="Z25050"/>
    </row>
    <row r="25051" spans="26:26" x14ac:dyDescent="0.25">
      <c r="Z25051"/>
    </row>
    <row r="25052" spans="26:26" x14ac:dyDescent="0.25">
      <c r="Z25052"/>
    </row>
    <row r="25053" spans="26:26" x14ac:dyDescent="0.25">
      <c r="Z25053"/>
    </row>
    <row r="25054" spans="26:26" x14ac:dyDescent="0.25">
      <c r="Z25054"/>
    </row>
    <row r="25055" spans="26:26" x14ac:dyDescent="0.25">
      <c r="Z25055"/>
    </row>
    <row r="25056" spans="26:26" x14ac:dyDescent="0.25">
      <c r="Z25056"/>
    </row>
    <row r="25057" spans="26:26" x14ac:dyDescent="0.25">
      <c r="Z25057"/>
    </row>
    <row r="25058" spans="26:26" x14ac:dyDescent="0.25">
      <c r="Z25058"/>
    </row>
    <row r="25059" spans="26:26" x14ac:dyDescent="0.25">
      <c r="Z25059"/>
    </row>
    <row r="25060" spans="26:26" x14ac:dyDescent="0.25">
      <c r="Z25060"/>
    </row>
    <row r="25061" spans="26:26" x14ac:dyDescent="0.25">
      <c r="Z25061"/>
    </row>
    <row r="25062" spans="26:26" x14ac:dyDescent="0.25">
      <c r="Z25062"/>
    </row>
    <row r="25063" spans="26:26" x14ac:dyDescent="0.25">
      <c r="Z25063"/>
    </row>
    <row r="25064" spans="26:26" x14ac:dyDescent="0.25">
      <c r="Z25064"/>
    </row>
    <row r="25065" spans="26:26" x14ac:dyDescent="0.25">
      <c r="Z25065"/>
    </row>
    <row r="25066" spans="26:26" x14ac:dyDescent="0.25">
      <c r="Z25066"/>
    </row>
    <row r="25067" spans="26:26" x14ac:dyDescent="0.25">
      <c r="Z25067"/>
    </row>
    <row r="25068" spans="26:26" x14ac:dyDescent="0.25">
      <c r="Z25068"/>
    </row>
    <row r="25069" spans="26:26" x14ac:dyDescent="0.25">
      <c r="Z25069"/>
    </row>
    <row r="25070" spans="26:26" x14ac:dyDescent="0.25">
      <c r="Z25070"/>
    </row>
    <row r="25071" spans="26:26" x14ac:dyDescent="0.25">
      <c r="Z25071"/>
    </row>
    <row r="25072" spans="26:26" x14ac:dyDescent="0.25">
      <c r="Z25072"/>
    </row>
    <row r="25073" spans="26:26" x14ac:dyDescent="0.25">
      <c r="Z25073"/>
    </row>
    <row r="25074" spans="26:26" x14ac:dyDescent="0.25">
      <c r="Z25074"/>
    </row>
    <row r="25075" spans="26:26" x14ac:dyDescent="0.25">
      <c r="Z25075"/>
    </row>
    <row r="25076" spans="26:26" x14ac:dyDescent="0.25">
      <c r="Z25076"/>
    </row>
    <row r="25077" spans="26:26" x14ac:dyDescent="0.25">
      <c r="Z25077"/>
    </row>
    <row r="25078" spans="26:26" x14ac:dyDescent="0.25">
      <c r="Z25078"/>
    </row>
    <row r="25079" spans="26:26" x14ac:dyDescent="0.25">
      <c r="Z25079"/>
    </row>
    <row r="25080" spans="26:26" x14ac:dyDescent="0.25">
      <c r="Z25080"/>
    </row>
    <row r="25081" spans="26:26" x14ac:dyDescent="0.25">
      <c r="Z25081"/>
    </row>
    <row r="25082" spans="26:26" x14ac:dyDescent="0.25">
      <c r="Z25082"/>
    </row>
    <row r="25083" spans="26:26" x14ac:dyDescent="0.25">
      <c r="Z25083"/>
    </row>
    <row r="25084" spans="26:26" x14ac:dyDescent="0.25">
      <c r="Z25084"/>
    </row>
    <row r="25085" spans="26:26" x14ac:dyDescent="0.25">
      <c r="Z25085"/>
    </row>
    <row r="25086" spans="26:26" x14ac:dyDescent="0.25">
      <c r="Z25086"/>
    </row>
    <row r="25087" spans="26:26" x14ac:dyDescent="0.25">
      <c r="Z25087"/>
    </row>
    <row r="25088" spans="26:26" x14ac:dyDescent="0.25">
      <c r="Z25088"/>
    </row>
    <row r="25089" spans="26:26" x14ac:dyDescent="0.25">
      <c r="Z25089"/>
    </row>
    <row r="25090" spans="26:26" x14ac:dyDescent="0.25">
      <c r="Z25090"/>
    </row>
    <row r="25091" spans="26:26" x14ac:dyDescent="0.25">
      <c r="Z25091"/>
    </row>
    <row r="25092" spans="26:26" x14ac:dyDescent="0.25">
      <c r="Z25092"/>
    </row>
    <row r="25093" spans="26:26" x14ac:dyDescent="0.25">
      <c r="Z25093"/>
    </row>
    <row r="25094" spans="26:26" x14ac:dyDescent="0.25">
      <c r="Z25094"/>
    </row>
    <row r="25095" spans="26:26" x14ac:dyDescent="0.25">
      <c r="Z25095"/>
    </row>
    <row r="25096" spans="26:26" x14ac:dyDescent="0.25">
      <c r="Z25096"/>
    </row>
    <row r="25097" spans="26:26" x14ac:dyDescent="0.25">
      <c r="Z25097"/>
    </row>
    <row r="25098" spans="26:26" x14ac:dyDescent="0.25">
      <c r="Z25098"/>
    </row>
    <row r="25099" spans="26:26" x14ac:dyDescent="0.25">
      <c r="Z25099"/>
    </row>
    <row r="25100" spans="26:26" x14ac:dyDescent="0.25">
      <c r="Z25100"/>
    </row>
    <row r="25101" spans="26:26" x14ac:dyDescent="0.25">
      <c r="Z25101"/>
    </row>
    <row r="25102" spans="26:26" x14ac:dyDescent="0.25">
      <c r="Z25102"/>
    </row>
    <row r="25103" spans="26:26" x14ac:dyDescent="0.25">
      <c r="Z25103"/>
    </row>
    <row r="25104" spans="26:26" x14ac:dyDescent="0.25">
      <c r="Z25104"/>
    </row>
    <row r="25105" spans="26:26" x14ac:dyDescent="0.25">
      <c r="Z25105"/>
    </row>
    <row r="25106" spans="26:26" x14ac:dyDescent="0.25">
      <c r="Z25106"/>
    </row>
    <row r="25107" spans="26:26" x14ac:dyDescent="0.25">
      <c r="Z25107"/>
    </row>
    <row r="25108" spans="26:26" x14ac:dyDescent="0.25">
      <c r="Z25108"/>
    </row>
    <row r="25109" spans="26:26" x14ac:dyDescent="0.25">
      <c r="Z25109"/>
    </row>
    <row r="25110" spans="26:26" x14ac:dyDescent="0.25">
      <c r="Z25110"/>
    </row>
    <row r="25111" spans="26:26" x14ac:dyDescent="0.25">
      <c r="Z25111"/>
    </row>
    <row r="25112" spans="26:26" x14ac:dyDescent="0.25">
      <c r="Z25112"/>
    </row>
    <row r="25113" spans="26:26" x14ac:dyDescent="0.25">
      <c r="Z25113"/>
    </row>
    <row r="25114" spans="26:26" x14ac:dyDescent="0.25">
      <c r="Z25114"/>
    </row>
    <row r="25115" spans="26:26" x14ac:dyDescent="0.25">
      <c r="Z25115"/>
    </row>
    <row r="25116" spans="26:26" x14ac:dyDescent="0.25">
      <c r="Z25116"/>
    </row>
    <row r="25117" spans="26:26" x14ac:dyDescent="0.25">
      <c r="Z25117"/>
    </row>
    <row r="25118" spans="26:26" x14ac:dyDescent="0.25">
      <c r="Z25118"/>
    </row>
    <row r="25119" spans="26:26" x14ac:dyDescent="0.25">
      <c r="Z25119"/>
    </row>
    <row r="25120" spans="26:26" x14ac:dyDescent="0.25">
      <c r="Z25120"/>
    </row>
    <row r="25121" spans="26:26" x14ac:dyDescent="0.25">
      <c r="Z25121"/>
    </row>
    <row r="25122" spans="26:26" x14ac:dyDescent="0.25">
      <c r="Z25122"/>
    </row>
    <row r="25123" spans="26:26" x14ac:dyDescent="0.25">
      <c r="Z25123"/>
    </row>
    <row r="25124" spans="26:26" x14ac:dyDescent="0.25">
      <c r="Z25124"/>
    </row>
    <row r="25125" spans="26:26" x14ac:dyDescent="0.25">
      <c r="Z25125"/>
    </row>
    <row r="25126" spans="26:26" x14ac:dyDescent="0.25">
      <c r="Z25126"/>
    </row>
    <row r="25127" spans="26:26" x14ac:dyDescent="0.25">
      <c r="Z25127"/>
    </row>
    <row r="25128" spans="26:26" x14ac:dyDescent="0.25">
      <c r="Z25128"/>
    </row>
    <row r="25129" spans="26:26" x14ac:dyDescent="0.25">
      <c r="Z25129"/>
    </row>
    <row r="25130" spans="26:26" x14ac:dyDescent="0.25">
      <c r="Z25130"/>
    </row>
    <row r="25131" spans="26:26" x14ac:dyDescent="0.25">
      <c r="Z25131"/>
    </row>
    <row r="25132" spans="26:26" x14ac:dyDescent="0.25">
      <c r="Z25132"/>
    </row>
    <row r="25133" spans="26:26" x14ac:dyDescent="0.25">
      <c r="Z25133"/>
    </row>
    <row r="25134" spans="26:26" x14ac:dyDescent="0.25">
      <c r="Z25134"/>
    </row>
    <row r="25135" spans="26:26" x14ac:dyDescent="0.25">
      <c r="Z25135"/>
    </row>
    <row r="25136" spans="26:26" x14ac:dyDescent="0.25">
      <c r="Z25136"/>
    </row>
    <row r="25137" spans="26:26" x14ac:dyDescent="0.25">
      <c r="Z25137"/>
    </row>
    <row r="25138" spans="26:26" x14ac:dyDescent="0.25">
      <c r="Z25138"/>
    </row>
    <row r="25139" spans="26:26" x14ac:dyDescent="0.25">
      <c r="Z25139"/>
    </row>
    <row r="25140" spans="26:26" x14ac:dyDescent="0.25">
      <c r="Z25140"/>
    </row>
    <row r="25141" spans="26:26" x14ac:dyDescent="0.25">
      <c r="Z25141"/>
    </row>
    <row r="25142" spans="26:26" x14ac:dyDescent="0.25">
      <c r="Z25142"/>
    </row>
    <row r="25143" spans="26:26" x14ac:dyDescent="0.25">
      <c r="Z25143"/>
    </row>
    <row r="25144" spans="26:26" x14ac:dyDescent="0.25">
      <c r="Z25144"/>
    </row>
    <row r="25145" spans="26:26" x14ac:dyDescent="0.25">
      <c r="Z25145"/>
    </row>
    <row r="25146" spans="26:26" x14ac:dyDescent="0.25">
      <c r="Z25146"/>
    </row>
    <row r="25147" spans="26:26" x14ac:dyDescent="0.25">
      <c r="Z25147"/>
    </row>
    <row r="25148" spans="26:26" x14ac:dyDescent="0.25">
      <c r="Z25148"/>
    </row>
    <row r="25149" spans="26:26" x14ac:dyDescent="0.25">
      <c r="Z25149"/>
    </row>
    <row r="25150" spans="26:26" x14ac:dyDescent="0.25">
      <c r="Z25150"/>
    </row>
    <row r="25151" spans="26:26" x14ac:dyDescent="0.25">
      <c r="Z25151"/>
    </row>
    <row r="25152" spans="26:26" x14ac:dyDescent="0.25">
      <c r="Z25152"/>
    </row>
    <row r="25153" spans="26:26" x14ac:dyDescent="0.25">
      <c r="Z25153"/>
    </row>
    <row r="25154" spans="26:26" x14ac:dyDescent="0.25">
      <c r="Z25154"/>
    </row>
    <row r="25155" spans="26:26" x14ac:dyDescent="0.25">
      <c r="Z25155"/>
    </row>
    <row r="25156" spans="26:26" x14ac:dyDescent="0.25">
      <c r="Z25156"/>
    </row>
    <row r="25157" spans="26:26" x14ac:dyDescent="0.25">
      <c r="Z25157"/>
    </row>
    <row r="25158" spans="26:26" x14ac:dyDescent="0.25">
      <c r="Z25158"/>
    </row>
    <row r="25159" spans="26:26" x14ac:dyDescent="0.25">
      <c r="Z25159"/>
    </row>
    <row r="25160" spans="26:26" x14ac:dyDescent="0.25">
      <c r="Z25160"/>
    </row>
    <row r="25161" spans="26:26" x14ac:dyDescent="0.25">
      <c r="Z25161"/>
    </row>
    <row r="25162" spans="26:26" x14ac:dyDescent="0.25">
      <c r="Z25162"/>
    </row>
    <row r="25163" spans="26:26" x14ac:dyDescent="0.25">
      <c r="Z25163"/>
    </row>
    <row r="25164" spans="26:26" x14ac:dyDescent="0.25">
      <c r="Z25164"/>
    </row>
    <row r="25165" spans="26:26" x14ac:dyDescent="0.25">
      <c r="Z25165"/>
    </row>
    <row r="25166" spans="26:26" x14ac:dyDescent="0.25">
      <c r="Z25166"/>
    </row>
    <row r="25167" spans="26:26" x14ac:dyDescent="0.25">
      <c r="Z25167"/>
    </row>
    <row r="25168" spans="26:26" x14ac:dyDescent="0.25">
      <c r="Z25168"/>
    </row>
    <row r="25169" spans="26:26" x14ac:dyDescent="0.25">
      <c r="Z25169"/>
    </row>
    <row r="25170" spans="26:26" x14ac:dyDescent="0.25">
      <c r="Z25170"/>
    </row>
    <row r="25171" spans="26:26" x14ac:dyDescent="0.25">
      <c r="Z25171"/>
    </row>
    <row r="25172" spans="26:26" x14ac:dyDescent="0.25">
      <c r="Z25172"/>
    </row>
    <row r="25173" spans="26:26" x14ac:dyDescent="0.25">
      <c r="Z25173"/>
    </row>
    <row r="25174" spans="26:26" x14ac:dyDescent="0.25">
      <c r="Z25174"/>
    </row>
    <row r="25175" spans="26:26" x14ac:dyDescent="0.25">
      <c r="Z25175"/>
    </row>
    <row r="25176" spans="26:26" x14ac:dyDescent="0.25">
      <c r="Z25176"/>
    </row>
    <row r="25177" spans="26:26" x14ac:dyDescent="0.25">
      <c r="Z25177"/>
    </row>
    <row r="25178" spans="26:26" x14ac:dyDescent="0.25">
      <c r="Z25178"/>
    </row>
    <row r="25179" spans="26:26" x14ac:dyDescent="0.25">
      <c r="Z25179"/>
    </row>
    <row r="25180" spans="26:26" x14ac:dyDescent="0.25">
      <c r="Z25180"/>
    </row>
    <row r="25181" spans="26:26" x14ac:dyDescent="0.25">
      <c r="Z25181"/>
    </row>
    <row r="25182" spans="26:26" x14ac:dyDescent="0.25">
      <c r="Z25182"/>
    </row>
    <row r="25183" spans="26:26" x14ac:dyDescent="0.25">
      <c r="Z25183"/>
    </row>
    <row r="25184" spans="26:26" x14ac:dyDescent="0.25">
      <c r="Z25184"/>
    </row>
    <row r="25185" spans="26:26" x14ac:dyDescent="0.25">
      <c r="Z25185"/>
    </row>
    <row r="25186" spans="26:26" x14ac:dyDescent="0.25">
      <c r="Z25186"/>
    </row>
    <row r="25187" spans="26:26" x14ac:dyDescent="0.25">
      <c r="Z25187"/>
    </row>
    <row r="25188" spans="26:26" x14ac:dyDescent="0.25">
      <c r="Z25188"/>
    </row>
    <row r="25189" spans="26:26" x14ac:dyDescent="0.25">
      <c r="Z25189"/>
    </row>
    <row r="25190" spans="26:26" x14ac:dyDescent="0.25">
      <c r="Z25190"/>
    </row>
    <row r="25191" spans="26:26" x14ac:dyDescent="0.25">
      <c r="Z25191"/>
    </row>
    <row r="25192" spans="26:26" x14ac:dyDescent="0.25">
      <c r="Z25192"/>
    </row>
    <row r="25193" spans="26:26" x14ac:dyDescent="0.25">
      <c r="Z25193"/>
    </row>
    <row r="25194" spans="26:26" x14ac:dyDescent="0.25">
      <c r="Z25194"/>
    </row>
    <row r="25195" spans="26:26" x14ac:dyDescent="0.25">
      <c r="Z25195"/>
    </row>
    <row r="25196" spans="26:26" x14ac:dyDescent="0.25">
      <c r="Z25196"/>
    </row>
    <row r="25197" spans="26:26" x14ac:dyDescent="0.25">
      <c r="Z25197"/>
    </row>
    <row r="25198" spans="26:26" x14ac:dyDescent="0.25">
      <c r="Z25198"/>
    </row>
    <row r="25199" spans="26:26" x14ac:dyDescent="0.25">
      <c r="Z25199"/>
    </row>
    <row r="25200" spans="26:26" x14ac:dyDescent="0.25">
      <c r="Z25200"/>
    </row>
    <row r="25201" spans="26:26" x14ac:dyDescent="0.25">
      <c r="Z25201"/>
    </row>
    <row r="25202" spans="26:26" x14ac:dyDescent="0.25">
      <c r="Z25202"/>
    </row>
    <row r="25203" spans="26:26" x14ac:dyDescent="0.25">
      <c r="Z25203"/>
    </row>
    <row r="25204" spans="26:26" x14ac:dyDescent="0.25">
      <c r="Z25204"/>
    </row>
    <row r="25205" spans="26:26" x14ac:dyDescent="0.25">
      <c r="Z25205"/>
    </row>
    <row r="25206" spans="26:26" x14ac:dyDescent="0.25">
      <c r="Z25206"/>
    </row>
    <row r="25207" spans="26:26" x14ac:dyDescent="0.25">
      <c r="Z25207"/>
    </row>
    <row r="25208" spans="26:26" x14ac:dyDescent="0.25">
      <c r="Z25208"/>
    </row>
    <row r="25209" spans="26:26" x14ac:dyDescent="0.25">
      <c r="Z25209"/>
    </row>
    <row r="25210" spans="26:26" x14ac:dyDescent="0.25">
      <c r="Z25210"/>
    </row>
    <row r="25211" spans="26:26" x14ac:dyDescent="0.25">
      <c r="Z25211"/>
    </row>
    <row r="25212" spans="26:26" x14ac:dyDescent="0.25">
      <c r="Z25212"/>
    </row>
    <row r="25213" spans="26:26" x14ac:dyDescent="0.25">
      <c r="Z25213"/>
    </row>
    <row r="25214" spans="26:26" x14ac:dyDescent="0.25">
      <c r="Z25214"/>
    </row>
    <row r="25215" spans="26:26" x14ac:dyDescent="0.25">
      <c r="Z25215"/>
    </row>
    <row r="25216" spans="26:26" x14ac:dyDescent="0.25">
      <c r="Z25216"/>
    </row>
    <row r="25217" spans="26:26" x14ac:dyDescent="0.25">
      <c r="Z25217"/>
    </row>
    <row r="25218" spans="26:26" x14ac:dyDescent="0.25">
      <c r="Z25218"/>
    </row>
    <row r="25219" spans="26:26" x14ac:dyDescent="0.25">
      <c r="Z25219"/>
    </row>
    <row r="25220" spans="26:26" x14ac:dyDescent="0.25">
      <c r="Z25220"/>
    </row>
    <row r="25221" spans="26:26" x14ac:dyDescent="0.25">
      <c r="Z25221"/>
    </row>
    <row r="25222" spans="26:26" x14ac:dyDescent="0.25">
      <c r="Z25222"/>
    </row>
    <row r="25223" spans="26:26" x14ac:dyDescent="0.25">
      <c r="Z25223"/>
    </row>
    <row r="25224" spans="26:26" x14ac:dyDescent="0.25">
      <c r="Z25224"/>
    </row>
    <row r="25225" spans="26:26" x14ac:dyDescent="0.25">
      <c r="Z25225"/>
    </row>
    <row r="25226" spans="26:26" x14ac:dyDescent="0.25">
      <c r="Z25226"/>
    </row>
    <row r="25227" spans="26:26" x14ac:dyDescent="0.25">
      <c r="Z25227"/>
    </row>
    <row r="25228" spans="26:26" x14ac:dyDescent="0.25">
      <c r="Z25228"/>
    </row>
    <row r="25229" spans="26:26" x14ac:dyDescent="0.25">
      <c r="Z25229"/>
    </row>
    <row r="25230" spans="26:26" x14ac:dyDescent="0.25">
      <c r="Z25230"/>
    </row>
    <row r="25231" spans="26:26" x14ac:dyDescent="0.25">
      <c r="Z25231"/>
    </row>
    <row r="25232" spans="26:26" x14ac:dyDescent="0.25">
      <c r="Z25232"/>
    </row>
    <row r="25233" spans="26:26" x14ac:dyDescent="0.25">
      <c r="Z25233"/>
    </row>
    <row r="25234" spans="26:26" x14ac:dyDescent="0.25">
      <c r="Z25234"/>
    </row>
    <row r="25235" spans="26:26" x14ac:dyDescent="0.25">
      <c r="Z25235"/>
    </row>
    <row r="25236" spans="26:26" x14ac:dyDescent="0.25">
      <c r="Z25236"/>
    </row>
    <row r="25237" spans="26:26" x14ac:dyDescent="0.25">
      <c r="Z25237"/>
    </row>
    <row r="25238" spans="26:26" x14ac:dyDescent="0.25">
      <c r="Z25238"/>
    </row>
    <row r="25239" spans="26:26" x14ac:dyDescent="0.25">
      <c r="Z25239"/>
    </row>
    <row r="25240" spans="26:26" x14ac:dyDescent="0.25">
      <c r="Z25240"/>
    </row>
    <row r="25241" spans="26:26" x14ac:dyDescent="0.25">
      <c r="Z25241"/>
    </row>
    <row r="25242" spans="26:26" x14ac:dyDescent="0.25">
      <c r="Z25242"/>
    </row>
    <row r="25243" spans="26:26" x14ac:dyDescent="0.25">
      <c r="Z25243"/>
    </row>
    <row r="25244" spans="26:26" x14ac:dyDescent="0.25">
      <c r="Z25244"/>
    </row>
    <row r="25245" spans="26:26" x14ac:dyDescent="0.25">
      <c r="Z25245"/>
    </row>
    <row r="25246" spans="26:26" x14ac:dyDescent="0.25">
      <c r="Z25246"/>
    </row>
    <row r="25247" spans="26:26" x14ac:dyDescent="0.25">
      <c r="Z25247"/>
    </row>
    <row r="25248" spans="26:26" x14ac:dyDescent="0.25">
      <c r="Z25248"/>
    </row>
    <row r="25249" spans="26:26" x14ac:dyDescent="0.25">
      <c r="Z25249"/>
    </row>
    <row r="25250" spans="26:26" x14ac:dyDescent="0.25">
      <c r="Z25250"/>
    </row>
    <row r="25251" spans="26:26" x14ac:dyDescent="0.25">
      <c r="Z25251"/>
    </row>
    <row r="25252" spans="26:26" x14ac:dyDescent="0.25">
      <c r="Z25252"/>
    </row>
    <row r="25253" spans="26:26" x14ac:dyDescent="0.25">
      <c r="Z25253"/>
    </row>
    <row r="25254" spans="26:26" x14ac:dyDescent="0.25">
      <c r="Z25254"/>
    </row>
    <row r="25255" spans="26:26" x14ac:dyDescent="0.25">
      <c r="Z25255"/>
    </row>
    <row r="25256" spans="26:26" x14ac:dyDescent="0.25">
      <c r="Z25256"/>
    </row>
    <row r="25257" spans="26:26" x14ac:dyDescent="0.25">
      <c r="Z25257"/>
    </row>
    <row r="25258" spans="26:26" x14ac:dyDescent="0.25">
      <c r="Z25258"/>
    </row>
    <row r="25259" spans="26:26" x14ac:dyDescent="0.25">
      <c r="Z25259"/>
    </row>
    <row r="25260" spans="26:26" x14ac:dyDescent="0.25">
      <c r="Z25260"/>
    </row>
    <row r="25261" spans="26:26" x14ac:dyDescent="0.25">
      <c r="Z25261"/>
    </row>
    <row r="25262" spans="26:26" x14ac:dyDescent="0.25">
      <c r="Z25262"/>
    </row>
    <row r="25263" spans="26:26" x14ac:dyDescent="0.25">
      <c r="Z25263"/>
    </row>
    <row r="25264" spans="26:26" x14ac:dyDescent="0.25">
      <c r="Z25264"/>
    </row>
    <row r="25265" spans="26:26" x14ac:dyDescent="0.25">
      <c r="Z25265"/>
    </row>
    <row r="25266" spans="26:26" x14ac:dyDescent="0.25">
      <c r="Z25266"/>
    </row>
    <row r="25267" spans="26:26" x14ac:dyDescent="0.25">
      <c r="Z25267"/>
    </row>
    <row r="25268" spans="26:26" x14ac:dyDescent="0.25">
      <c r="Z25268"/>
    </row>
    <row r="25269" spans="26:26" x14ac:dyDescent="0.25">
      <c r="Z25269"/>
    </row>
    <row r="25270" spans="26:26" x14ac:dyDescent="0.25">
      <c r="Z25270"/>
    </row>
    <row r="25271" spans="26:26" x14ac:dyDescent="0.25">
      <c r="Z25271"/>
    </row>
    <row r="25272" spans="26:26" x14ac:dyDescent="0.25">
      <c r="Z25272"/>
    </row>
    <row r="25273" spans="26:26" x14ac:dyDescent="0.25">
      <c r="Z25273"/>
    </row>
    <row r="25274" spans="26:26" x14ac:dyDescent="0.25">
      <c r="Z25274"/>
    </row>
    <row r="25275" spans="26:26" x14ac:dyDescent="0.25">
      <c r="Z25275"/>
    </row>
    <row r="25276" spans="26:26" x14ac:dyDescent="0.25">
      <c r="Z25276"/>
    </row>
    <row r="25277" spans="26:26" x14ac:dyDescent="0.25">
      <c r="Z25277"/>
    </row>
    <row r="25278" spans="26:26" x14ac:dyDescent="0.25">
      <c r="Z25278"/>
    </row>
    <row r="25279" spans="26:26" x14ac:dyDescent="0.25">
      <c r="Z25279"/>
    </row>
    <row r="25280" spans="26:26" x14ac:dyDescent="0.25">
      <c r="Z25280"/>
    </row>
    <row r="25281" spans="26:26" x14ac:dyDescent="0.25">
      <c r="Z25281"/>
    </row>
    <row r="25282" spans="26:26" x14ac:dyDescent="0.25">
      <c r="Z25282"/>
    </row>
    <row r="25283" spans="26:26" x14ac:dyDescent="0.25">
      <c r="Z25283"/>
    </row>
    <row r="25284" spans="26:26" x14ac:dyDescent="0.25">
      <c r="Z25284"/>
    </row>
    <row r="25285" spans="26:26" x14ac:dyDescent="0.25">
      <c r="Z25285"/>
    </row>
    <row r="25286" spans="26:26" x14ac:dyDescent="0.25">
      <c r="Z25286"/>
    </row>
    <row r="25287" spans="26:26" x14ac:dyDescent="0.25">
      <c r="Z25287"/>
    </row>
    <row r="25288" spans="26:26" x14ac:dyDescent="0.25">
      <c r="Z25288"/>
    </row>
    <row r="25289" spans="26:26" x14ac:dyDescent="0.25">
      <c r="Z25289"/>
    </row>
    <row r="25290" spans="26:26" x14ac:dyDescent="0.25">
      <c r="Z25290"/>
    </row>
    <row r="25291" spans="26:26" x14ac:dyDescent="0.25">
      <c r="Z25291"/>
    </row>
    <row r="25292" spans="26:26" x14ac:dyDescent="0.25">
      <c r="Z25292"/>
    </row>
    <row r="25293" spans="26:26" x14ac:dyDescent="0.25">
      <c r="Z25293"/>
    </row>
    <row r="25294" spans="26:26" x14ac:dyDescent="0.25">
      <c r="Z25294"/>
    </row>
    <row r="25295" spans="26:26" x14ac:dyDescent="0.25">
      <c r="Z25295"/>
    </row>
    <row r="25296" spans="26:26" x14ac:dyDescent="0.25">
      <c r="Z25296"/>
    </row>
    <row r="25297" spans="26:26" x14ac:dyDescent="0.25">
      <c r="Z25297"/>
    </row>
    <row r="25298" spans="26:26" x14ac:dyDescent="0.25">
      <c r="Z25298"/>
    </row>
    <row r="25299" spans="26:26" x14ac:dyDescent="0.25">
      <c r="Z25299"/>
    </row>
    <row r="25300" spans="26:26" x14ac:dyDescent="0.25">
      <c r="Z25300"/>
    </row>
    <row r="25301" spans="26:26" x14ac:dyDescent="0.25">
      <c r="Z25301"/>
    </row>
    <row r="25302" spans="26:26" x14ac:dyDescent="0.25">
      <c r="Z25302"/>
    </row>
    <row r="25303" spans="26:26" x14ac:dyDescent="0.25">
      <c r="Z25303"/>
    </row>
    <row r="25304" spans="26:26" x14ac:dyDescent="0.25">
      <c r="Z25304"/>
    </row>
    <row r="25305" spans="26:26" x14ac:dyDescent="0.25">
      <c r="Z25305"/>
    </row>
    <row r="25306" spans="26:26" x14ac:dyDescent="0.25">
      <c r="Z25306"/>
    </row>
    <row r="25307" spans="26:26" x14ac:dyDescent="0.25">
      <c r="Z25307"/>
    </row>
    <row r="25308" spans="26:26" x14ac:dyDescent="0.25">
      <c r="Z25308"/>
    </row>
    <row r="25309" spans="26:26" x14ac:dyDescent="0.25">
      <c r="Z25309"/>
    </row>
    <row r="25310" spans="26:26" x14ac:dyDescent="0.25">
      <c r="Z25310"/>
    </row>
    <row r="25311" spans="26:26" x14ac:dyDescent="0.25">
      <c r="Z25311"/>
    </row>
    <row r="25312" spans="26:26" x14ac:dyDescent="0.25">
      <c r="Z25312"/>
    </row>
    <row r="25313" spans="26:26" x14ac:dyDescent="0.25">
      <c r="Z25313"/>
    </row>
    <row r="25314" spans="26:26" x14ac:dyDescent="0.25">
      <c r="Z25314"/>
    </row>
    <row r="25315" spans="26:26" x14ac:dyDescent="0.25">
      <c r="Z25315"/>
    </row>
    <row r="25316" spans="26:26" x14ac:dyDescent="0.25">
      <c r="Z25316"/>
    </row>
    <row r="25317" spans="26:26" x14ac:dyDescent="0.25">
      <c r="Z25317"/>
    </row>
    <row r="25318" spans="26:26" x14ac:dyDescent="0.25">
      <c r="Z25318"/>
    </row>
    <row r="25319" spans="26:26" x14ac:dyDescent="0.25">
      <c r="Z25319"/>
    </row>
    <row r="25320" spans="26:26" x14ac:dyDescent="0.25">
      <c r="Z25320"/>
    </row>
    <row r="25321" spans="26:26" x14ac:dyDescent="0.25">
      <c r="Z25321"/>
    </row>
    <row r="25322" spans="26:26" x14ac:dyDescent="0.25">
      <c r="Z25322"/>
    </row>
    <row r="25323" spans="26:26" x14ac:dyDescent="0.25">
      <c r="Z25323"/>
    </row>
    <row r="25324" spans="26:26" x14ac:dyDescent="0.25">
      <c r="Z25324"/>
    </row>
    <row r="25325" spans="26:26" x14ac:dyDescent="0.25">
      <c r="Z25325"/>
    </row>
    <row r="25326" spans="26:26" x14ac:dyDescent="0.25">
      <c r="Z25326"/>
    </row>
    <row r="25327" spans="26:26" x14ac:dyDescent="0.25">
      <c r="Z25327"/>
    </row>
    <row r="25328" spans="26:26" x14ac:dyDescent="0.25">
      <c r="Z25328"/>
    </row>
    <row r="25329" spans="26:26" x14ac:dyDescent="0.25">
      <c r="Z25329"/>
    </row>
    <row r="25330" spans="26:26" x14ac:dyDescent="0.25">
      <c r="Z25330"/>
    </row>
    <row r="25331" spans="26:26" x14ac:dyDescent="0.25">
      <c r="Z25331"/>
    </row>
    <row r="25332" spans="26:26" x14ac:dyDescent="0.25">
      <c r="Z25332"/>
    </row>
    <row r="25333" spans="26:26" x14ac:dyDescent="0.25">
      <c r="Z25333"/>
    </row>
    <row r="25334" spans="26:26" x14ac:dyDescent="0.25">
      <c r="Z25334"/>
    </row>
    <row r="25335" spans="26:26" x14ac:dyDescent="0.25">
      <c r="Z25335"/>
    </row>
    <row r="25336" spans="26:26" x14ac:dyDescent="0.25">
      <c r="Z25336"/>
    </row>
    <row r="25337" spans="26:26" x14ac:dyDescent="0.25">
      <c r="Z25337"/>
    </row>
    <row r="25338" spans="26:26" x14ac:dyDescent="0.25">
      <c r="Z25338"/>
    </row>
    <row r="25339" spans="26:26" x14ac:dyDescent="0.25">
      <c r="Z25339"/>
    </row>
    <row r="25340" spans="26:26" x14ac:dyDescent="0.25">
      <c r="Z25340"/>
    </row>
    <row r="25341" spans="26:26" x14ac:dyDescent="0.25">
      <c r="Z25341"/>
    </row>
    <row r="25342" spans="26:26" x14ac:dyDescent="0.25">
      <c r="Z25342"/>
    </row>
    <row r="25343" spans="26:26" x14ac:dyDescent="0.25">
      <c r="Z25343"/>
    </row>
    <row r="25344" spans="26:26" x14ac:dyDescent="0.25">
      <c r="Z25344"/>
    </row>
    <row r="25345" spans="26:26" x14ac:dyDescent="0.25">
      <c r="Z25345"/>
    </row>
    <row r="25346" spans="26:26" x14ac:dyDescent="0.25">
      <c r="Z25346"/>
    </row>
    <row r="25347" spans="26:26" x14ac:dyDescent="0.25">
      <c r="Z25347"/>
    </row>
    <row r="25348" spans="26:26" x14ac:dyDescent="0.25">
      <c r="Z25348"/>
    </row>
    <row r="25349" spans="26:26" x14ac:dyDescent="0.25">
      <c r="Z25349"/>
    </row>
    <row r="25350" spans="26:26" x14ac:dyDescent="0.25">
      <c r="Z25350"/>
    </row>
    <row r="25351" spans="26:26" x14ac:dyDescent="0.25">
      <c r="Z25351"/>
    </row>
    <row r="25352" spans="26:26" x14ac:dyDescent="0.25">
      <c r="Z25352"/>
    </row>
    <row r="25353" spans="26:26" x14ac:dyDescent="0.25">
      <c r="Z25353"/>
    </row>
    <row r="25354" spans="26:26" x14ac:dyDescent="0.25">
      <c r="Z25354"/>
    </row>
    <row r="25355" spans="26:26" x14ac:dyDescent="0.25">
      <c r="Z25355"/>
    </row>
    <row r="25356" spans="26:26" x14ac:dyDescent="0.25">
      <c r="Z25356"/>
    </row>
    <row r="25357" spans="26:26" x14ac:dyDescent="0.25">
      <c r="Z25357"/>
    </row>
    <row r="25358" spans="26:26" x14ac:dyDescent="0.25">
      <c r="Z25358"/>
    </row>
    <row r="25359" spans="26:26" x14ac:dyDescent="0.25">
      <c r="Z25359"/>
    </row>
    <row r="25360" spans="26:26" x14ac:dyDescent="0.25">
      <c r="Z25360"/>
    </row>
    <row r="25361" spans="26:26" x14ac:dyDescent="0.25">
      <c r="Z25361"/>
    </row>
    <row r="25362" spans="26:26" x14ac:dyDescent="0.25">
      <c r="Z25362"/>
    </row>
    <row r="25363" spans="26:26" x14ac:dyDescent="0.25">
      <c r="Z25363"/>
    </row>
    <row r="25364" spans="26:26" x14ac:dyDescent="0.25">
      <c r="Z25364"/>
    </row>
    <row r="25365" spans="26:26" x14ac:dyDescent="0.25">
      <c r="Z25365"/>
    </row>
    <row r="25366" spans="26:26" x14ac:dyDescent="0.25">
      <c r="Z25366"/>
    </row>
    <row r="25367" spans="26:26" x14ac:dyDescent="0.25">
      <c r="Z25367"/>
    </row>
    <row r="25368" spans="26:26" x14ac:dyDescent="0.25">
      <c r="Z25368"/>
    </row>
    <row r="25369" spans="26:26" x14ac:dyDescent="0.25">
      <c r="Z25369"/>
    </row>
    <row r="25370" spans="26:26" x14ac:dyDescent="0.25">
      <c r="Z25370"/>
    </row>
    <row r="25371" spans="26:26" x14ac:dyDescent="0.25">
      <c r="Z25371"/>
    </row>
    <row r="25372" spans="26:26" x14ac:dyDescent="0.25">
      <c r="Z25372"/>
    </row>
    <row r="25373" spans="26:26" x14ac:dyDescent="0.25">
      <c r="Z25373"/>
    </row>
    <row r="25374" spans="26:26" x14ac:dyDescent="0.25">
      <c r="Z25374"/>
    </row>
    <row r="25375" spans="26:26" x14ac:dyDescent="0.25">
      <c r="Z25375"/>
    </row>
    <row r="25376" spans="26:26" x14ac:dyDescent="0.25">
      <c r="Z25376"/>
    </row>
    <row r="25377" spans="26:26" x14ac:dyDescent="0.25">
      <c r="Z25377"/>
    </row>
    <row r="25378" spans="26:26" x14ac:dyDescent="0.25">
      <c r="Z25378"/>
    </row>
    <row r="25379" spans="26:26" x14ac:dyDescent="0.25">
      <c r="Z25379"/>
    </row>
    <row r="25380" spans="26:26" x14ac:dyDescent="0.25">
      <c r="Z25380"/>
    </row>
    <row r="25381" spans="26:26" x14ac:dyDescent="0.25">
      <c r="Z25381"/>
    </row>
    <row r="25382" spans="26:26" x14ac:dyDescent="0.25">
      <c r="Z25382"/>
    </row>
    <row r="25383" spans="26:26" x14ac:dyDescent="0.25">
      <c r="Z25383"/>
    </row>
    <row r="25384" spans="26:26" x14ac:dyDescent="0.25">
      <c r="Z25384"/>
    </row>
    <row r="25385" spans="26:26" x14ac:dyDescent="0.25">
      <c r="Z25385"/>
    </row>
    <row r="25386" spans="26:26" x14ac:dyDescent="0.25">
      <c r="Z25386"/>
    </row>
    <row r="25387" spans="26:26" x14ac:dyDescent="0.25">
      <c r="Z25387"/>
    </row>
    <row r="25388" spans="26:26" x14ac:dyDescent="0.25">
      <c r="Z25388"/>
    </row>
    <row r="25389" spans="26:26" x14ac:dyDescent="0.25">
      <c r="Z25389"/>
    </row>
    <row r="25390" spans="26:26" x14ac:dyDescent="0.25">
      <c r="Z25390"/>
    </row>
    <row r="25391" spans="26:26" x14ac:dyDescent="0.25">
      <c r="Z25391"/>
    </row>
    <row r="25392" spans="26:26" x14ac:dyDescent="0.25">
      <c r="Z25392"/>
    </row>
    <row r="25393" spans="26:26" x14ac:dyDescent="0.25">
      <c r="Z25393"/>
    </row>
    <row r="25394" spans="26:26" x14ac:dyDescent="0.25">
      <c r="Z25394"/>
    </row>
    <row r="25395" spans="26:26" x14ac:dyDescent="0.25">
      <c r="Z25395"/>
    </row>
    <row r="25396" spans="26:26" x14ac:dyDescent="0.25">
      <c r="Z25396"/>
    </row>
    <row r="25397" spans="26:26" x14ac:dyDescent="0.25">
      <c r="Z25397"/>
    </row>
    <row r="25398" spans="26:26" x14ac:dyDescent="0.25">
      <c r="Z25398"/>
    </row>
    <row r="25399" spans="26:26" x14ac:dyDescent="0.25">
      <c r="Z25399"/>
    </row>
    <row r="25400" spans="26:26" x14ac:dyDescent="0.25">
      <c r="Z25400"/>
    </row>
    <row r="25401" spans="26:26" x14ac:dyDescent="0.25">
      <c r="Z25401"/>
    </row>
    <row r="25402" spans="26:26" x14ac:dyDescent="0.25">
      <c r="Z25402"/>
    </row>
    <row r="25403" spans="26:26" x14ac:dyDescent="0.25">
      <c r="Z25403"/>
    </row>
    <row r="25404" spans="26:26" x14ac:dyDescent="0.25">
      <c r="Z25404"/>
    </row>
    <row r="25405" spans="26:26" x14ac:dyDescent="0.25">
      <c r="Z25405"/>
    </row>
    <row r="25406" spans="26:26" x14ac:dyDescent="0.25">
      <c r="Z25406"/>
    </row>
    <row r="25407" spans="26:26" x14ac:dyDescent="0.25">
      <c r="Z25407"/>
    </row>
    <row r="25408" spans="26:26" x14ac:dyDescent="0.25">
      <c r="Z25408"/>
    </row>
    <row r="25409" spans="26:26" x14ac:dyDescent="0.25">
      <c r="Z25409"/>
    </row>
    <row r="25410" spans="26:26" x14ac:dyDescent="0.25">
      <c r="Z25410"/>
    </row>
    <row r="25411" spans="26:26" x14ac:dyDescent="0.25">
      <c r="Z25411"/>
    </row>
    <row r="25412" spans="26:26" x14ac:dyDescent="0.25">
      <c r="Z25412"/>
    </row>
    <row r="25413" spans="26:26" x14ac:dyDescent="0.25">
      <c r="Z25413"/>
    </row>
    <row r="25414" spans="26:26" x14ac:dyDescent="0.25">
      <c r="Z25414"/>
    </row>
    <row r="25415" spans="26:26" x14ac:dyDescent="0.25">
      <c r="Z25415"/>
    </row>
    <row r="25416" spans="26:26" x14ac:dyDescent="0.25">
      <c r="Z25416"/>
    </row>
    <row r="25417" spans="26:26" x14ac:dyDescent="0.25">
      <c r="Z25417"/>
    </row>
    <row r="25418" spans="26:26" x14ac:dyDescent="0.25">
      <c r="Z25418"/>
    </row>
    <row r="25419" spans="26:26" x14ac:dyDescent="0.25">
      <c r="Z25419"/>
    </row>
    <row r="25420" spans="26:26" x14ac:dyDescent="0.25">
      <c r="Z25420"/>
    </row>
    <row r="25421" spans="26:26" x14ac:dyDescent="0.25">
      <c r="Z25421"/>
    </row>
    <row r="25422" spans="26:26" x14ac:dyDescent="0.25">
      <c r="Z25422"/>
    </row>
    <row r="25423" spans="26:26" x14ac:dyDescent="0.25">
      <c r="Z25423"/>
    </row>
    <row r="25424" spans="26:26" x14ac:dyDescent="0.25">
      <c r="Z25424"/>
    </row>
    <row r="25425" spans="26:26" x14ac:dyDescent="0.25">
      <c r="Z25425"/>
    </row>
    <row r="25426" spans="26:26" x14ac:dyDescent="0.25">
      <c r="Z25426"/>
    </row>
    <row r="25427" spans="26:26" x14ac:dyDescent="0.25">
      <c r="Z25427"/>
    </row>
    <row r="25428" spans="26:26" x14ac:dyDescent="0.25">
      <c r="Z25428"/>
    </row>
    <row r="25429" spans="26:26" x14ac:dyDescent="0.25">
      <c r="Z25429"/>
    </row>
    <row r="25430" spans="26:26" x14ac:dyDescent="0.25">
      <c r="Z25430"/>
    </row>
    <row r="25431" spans="26:26" x14ac:dyDescent="0.25">
      <c r="Z25431"/>
    </row>
    <row r="25432" spans="26:26" x14ac:dyDescent="0.25">
      <c r="Z25432"/>
    </row>
    <row r="25433" spans="26:26" x14ac:dyDescent="0.25">
      <c r="Z25433"/>
    </row>
    <row r="25434" spans="26:26" x14ac:dyDescent="0.25">
      <c r="Z25434"/>
    </row>
    <row r="25435" spans="26:26" x14ac:dyDescent="0.25">
      <c r="Z25435"/>
    </row>
    <row r="25436" spans="26:26" x14ac:dyDescent="0.25">
      <c r="Z25436"/>
    </row>
    <row r="25437" spans="26:26" x14ac:dyDescent="0.25">
      <c r="Z25437"/>
    </row>
    <row r="25438" spans="26:26" x14ac:dyDescent="0.25">
      <c r="Z25438"/>
    </row>
    <row r="25439" spans="26:26" x14ac:dyDescent="0.25">
      <c r="Z25439"/>
    </row>
    <row r="25440" spans="26:26" x14ac:dyDescent="0.25">
      <c r="Z25440"/>
    </row>
    <row r="25441" spans="26:26" x14ac:dyDescent="0.25">
      <c r="Z25441"/>
    </row>
    <row r="25442" spans="26:26" x14ac:dyDescent="0.25">
      <c r="Z25442"/>
    </row>
    <row r="25443" spans="26:26" x14ac:dyDescent="0.25">
      <c r="Z25443"/>
    </row>
    <row r="25444" spans="26:26" x14ac:dyDescent="0.25">
      <c r="Z25444"/>
    </row>
    <row r="25445" spans="26:26" x14ac:dyDescent="0.25">
      <c r="Z25445"/>
    </row>
    <row r="25446" spans="26:26" x14ac:dyDescent="0.25">
      <c r="Z25446"/>
    </row>
    <row r="25447" spans="26:26" x14ac:dyDescent="0.25">
      <c r="Z25447"/>
    </row>
    <row r="25448" spans="26:26" x14ac:dyDescent="0.25">
      <c r="Z25448"/>
    </row>
    <row r="25449" spans="26:26" x14ac:dyDescent="0.25">
      <c r="Z25449"/>
    </row>
    <row r="25450" spans="26:26" x14ac:dyDescent="0.25">
      <c r="Z25450"/>
    </row>
    <row r="25451" spans="26:26" x14ac:dyDescent="0.25">
      <c r="Z25451"/>
    </row>
    <row r="25452" spans="26:26" x14ac:dyDescent="0.25">
      <c r="Z25452"/>
    </row>
    <row r="25453" spans="26:26" x14ac:dyDescent="0.25">
      <c r="Z25453"/>
    </row>
    <row r="25454" spans="26:26" x14ac:dyDescent="0.25">
      <c r="Z25454"/>
    </row>
    <row r="25455" spans="26:26" x14ac:dyDescent="0.25">
      <c r="Z25455"/>
    </row>
    <row r="25456" spans="26:26" x14ac:dyDescent="0.25">
      <c r="Z25456"/>
    </row>
    <row r="25457" spans="26:26" x14ac:dyDescent="0.25">
      <c r="Z25457"/>
    </row>
    <row r="25458" spans="26:26" x14ac:dyDescent="0.25">
      <c r="Z25458"/>
    </row>
    <row r="25459" spans="26:26" x14ac:dyDescent="0.25">
      <c r="Z25459"/>
    </row>
    <row r="25460" spans="26:26" x14ac:dyDescent="0.25">
      <c r="Z25460"/>
    </row>
    <row r="25461" spans="26:26" x14ac:dyDescent="0.25">
      <c r="Z25461"/>
    </row>
    <row r="25462" spans="26:26" x14ac:dyDescent="0.25">
      <c r="Z25462"/>
    </row>
    <row r="25463" spans="26:26" x14ac:dyDescent="0.25">
      <c r="Z25463"/>
    </row>
    <row r="25464" spans="26:26" x14ac:dyDescent="0.25">
      <c r="Z25464"/>
    </row>
    <row r="25465" spans="26:26" x14ac:dyDescent="0.25">
      <c r="Z25465"/>
    </row>
    <row r="25466" spans="26:26" x14ac:dyDescent="0.25">
      <c r="Z25466"/>
    </row>
    <row r="25467" spans="26:26" x14ac:dyDescent="0.25">
      <c r="Z25467"/>
    </row>
    <row r="25468" spans="26:26" x14ac:dyDescent="0.25">
      <c r="Z25468"/>
    </row>
    <row r="25469" spans="26:26" x14ac:dyDescent="0.25">
      <c r="Z25469"/>
    </row>
    <row r="25470" spans="26:26" x14ac:dyDescent="0.25">
      <c r="Z25470"/>
    </row>
    <row r="25471" spans="26:26" x14ac:dyDescent="0.25">
      <c r="Z25471"/>
    </row>
    <row r="25472" spans="26:26" x14ac:dyDescent="0.25">
      <c r="Z25472"/>
    </row>
    <row r="25473" spans="26:26" x14ac:dyDescent="0.25">
      <c r="Z25473"/>
    </row>
    <row r="25474" spans="26:26" x14ac:dyDescent="0.25">
      <c r="Z25474"/>
    </row>
    <row r="25475" spans="26:26" x14ac:dyDescent="0.25">
      <c r="Z25475"/>
    </row>
    <row r="25476" spans="26:26" x14ac:dyDescent="0.25">
      <c r="Z25476"/>
    </row>
    <row r="25477" spans="26:26" x14ac:dyDescent="0.25">
      <c r="Z25477"/>
    </row>
    <row r="25478" spans="26:26" x14ac:dyDescent="0.25">
      <c r="Z25478"/>
    </row>
    <row r="25479" spans="26:26" x14ac:dyDescent="0.25">
      <c r="Z25479"/>
    </row>
    <row r="25480" spans="26:26" x14ac:dyDescent="0.25">
      <c r="Z25480"/>
    </row>
    <row r="25481" spans="26:26" x14ac:dyDescent="0.25">
      <c r="Z25481"/>
    </row>
    <row r="25482" spans="26:26" x14ac:dyDescent="0.25">
      <c r="Z25482"/>
    </row>
    <row r="25483" spans="26:26" x14ac:dyDescent="0.25">
      <c r="Z25483"/>
    </row>
    <row r="25484" spans="26:26" x14ac:dyDescent="0.25">
      <c r="Z25484"/>
    </row>
    <row r="25485" spans="26:26" x14ac:dyDescent="0.25">
      <c r="Z25485"/>
    </row>
    <row r="25486" spans="26:26" x14ac:dyDescent="0.25">
      <c r="Z25486"/>
    </row>
    <row r="25487" spans="26:26" x14ac:dyDescent="0.25">
      <c r="Z25487"/>
    </row>
    <row r="25488" spans="26:26" x14ac:dyDescent="0.25">
      <c r="Z25488"/>
    </row>
    <row r="25489" spans="26:26" x14ac:dyDescent="0.25">
      <c r="Z25489"/>
    </row>
    <row r="25490" spans="26:26" x14ac:dyDescent="0.25">
      <c r="Z25490"/>
    </row>
    <row r="25491" spans="26:26" x14ac:dyDescent="0.25">
      <c r="Z25491"/>
    </row>
    <row r="25492" spans="26:26" x14ac:dyDescent="0.25">
      <c r="Z25492"/>
    </row>
    <row r="25493" spans="26:26" x14ac:dyDescent="0.25">
      <c r="Z25493"/>
    </row>
    <row r="25494" spans="26:26" x14ac:dyDescent="0.25">
      <c r="Z25494"/>
    </row>
    <row r="25495" spans="26:26" x14ac:dyDescent="0.25">
      <c r="Z25495"/>
    </row>
    <row r="25496" spans="26:26" x14ac:dyDescent="0.25">
      <c r="Z25496"/>
    </row>
    <row r="25497" spans="26:26" x14ac:dyDescent="0.25">
      <c r="Z25497"/>
    </row>
    <row r="25498" spans="26:26" x14ac:dyDescent="0.25">
      <c r="Z25498"/>
    </row>
    <row r="25499" spans="26:26" x14ac:dyDescent="0.25">
      <c r="Z25499"/>
    </row>
    <row r="25500" spans="26:26" x14ac:dyDescent="0.25">
      <c r="Z25500"/>
    </row>
    <row r="25501" spans="26:26" x14ac:dyDescent="0.25">
      <c r="Z25501"/>
    </row>
    <row r="25502" spans="26:26" x14ac:dyDescent="0.25">
      <c r="Z25502"/>
    </row>
    <row r="25503" spans="26:26" x14ac:dyDescent="0.25">
      <c r="Z25503"/>
    </row>
    <row r="25504" spans="26:26" x14ac:dyDescent="0.25">
      <c r="Z25504"/>
    </row>
    <row r="25505" spans="26:26" x14ac:dyDescent="0.25">
      <c r="Z25505"/>
    </row>
    <row r="25506" spans="26:26" x14ac:dyDescent="0.25">
      <c r="Z25506"/>
    </row>
    <row r="25507" spans="26:26" x14ac:dyDescent="0.25">
      <c r="Z25507"/>
    </row>
    <row r="25508" spans="26:26" x14ac:dyDescent="0.25">
      <c r="Z25508"/>
    </row>
    <row r="25509" spans="26:26" x14ac:dyDescent="0.25">
      <c r="Z25509"/>
    </row>
    <row r="25510" spans="26:26" x14ac:dyDescent="0.25">
      <c r="Z25510"/>
    </row>
    <row r="25511" spans="26:26" x14ac:dyDescent="0.25">
      <c r="Z25511"/>
    </row>
    <row r="25512" spans="26:26" x14ac:dyDescent="0.25">
      <c r="Z25512"/>
    </row>
    <row r="25513" spans="26:26" x14ac:dyDescent="0.25">
      <c r="Z25513"/>
    </row>
    <row r="25514" spans="26:26" x14ac:dyDescent="0.25">
      <c r="Z25514"/>
    </row>
    <row r="25515" spans="26:26" x14ac:dyDescent="0.25">
      <c r="Z25515"/>
    </row>
    <row r="25516" spans="26:26" x14ac:dyDescent="0.25">
      <c r="Z25516"/>
    </row>
    <row r="25517" spans="26:26" x14ac:dyDescent="0.25">
      <c r="Z25517"/>
    </row>
    <row r="25518" spans="26:26" x14ac:dyDescent="0.25">
      <c r="Z25518"/>
    </row>
    <row r="25519" spans="26:26" x14ac:dyDescent="0.25">
      <c r="Z25519"/>
    </row>
    <row r="25520" spans="26:26" x14ac:dyDescent="0.25">
      <c r="Z25520"/>
    </row>
    <row r="25521" spans="26:26" x14ac:dyDescent="0.25">
      <c r="Z25521"/>
    </row>
    <row r="25522" spans="26:26" x14ac:dyDescent="0.25">
      <c r="Z25522"/>
    </row>
    <row r="25523" spans="26:26" x14ac:dyDescent="0.25">
      <c r="Z25523"/>
    </row>
    <row r="25524" spans="26:26" x14ac:dyDescent="0.25">
      <c r="Z25524"/>
    </row>
    <row r="25525" spans="26:26" x14ac:dyDescent="0.25">
      <c r="Z25525"/>
    </row>
    <row r="25526" spans="26:26" x14ac:dyDescent="0.25">
      <c r="Z25526"/>
    </row>
    <row r="25527" spans="26:26" x14ac:dyDescent="0.25">
      <c r="Z25527"/>
    </row>
    <row r="25528" spans="26:26" x14ac:dyDescent="0.25">
      <c r="Z25528"/>
    </row>
    <row r="25529" spans="26:26" x14ac:dyDescent="0.25">
      <c r="Z25529"/>
    </row>
    <row r="25530" spans="26:26" x14ac:dyDescent="0.25">
      <c r="Z25530"/>
    </row>
    <row r="25531" spans="26:26" x14ac:dyDescent="0.25">
      <c r="Z25531"/>
    </row>
    <row r="25532" spans="26:26" x14ac:dyDescent="0.25">
      <c r="Z25532"/>
    </row>
    <row r="25533" spans="26:26" x14ac:dyDescent="0.25">
      <c r="Z25533"/>
    </row>
    <row r="25534" spans="26:26" x14ac:dyDescent="0.25">
      <c r="Z25534"/>
    </row>
    <row r="25535" spans="26:26" x14ac:dyDescent="0.25">
      <c r="Z25535"/>
    </row>
    <row r="25536" spans="26:26" x14ac:dyDescent="0.25">
      <c r="Z25536"/>
    </row>
    <row r="25537" spans="26:26" x14ac:dyDescent="0.25">
      <c r="Z25537"/>
    </row>
    <row r="25538" spans="26:26" x14ac:dyDescent="0.25">
      <c r="Z25538"/>
    </row>
    <row r="25539" spans="26:26" x14ac:dyDescent="0.25">
      <c r="Z25539"/>
    </row>
    <row r="25540" spans="26:26" x14ac:dyDescent="0.25">
      <c r="Z25540"/>
    </row>
    <row r="25541" spans="26:26" x14ac:dyDescent="0.25">
      <c r="Z25541"/>
    </row>
    <row r="25542" spans="26:26" x14ac:dyDescent="0.25">
      <c r="Z25542"/>
    </row>
    <row r="25543" spans="26:26" x14ac:dyDescent="0.25">
      <c r="Z25543"/>
    </row>
    <row r="25544" spans="26:26" x14ac:dyDescent="0.25">
      <c r="Z25544"/>
    </row>
    <row r="25545" spans="26:26" x14ac:dyDescent="0.25">
      <c r="Z25545"/>
    </row>
    <row r="25546" spans="26:26" x14ac:dyDescent="0.25">
      <c r="Z25546"/>
    </row>
    <row r="25547" spans="26:26" x14ac:dyDescent="0.25">
      <c r="Z25547"/>
    </row>
    <row r="25548" spans="26:26" x14ac:dyDescent="0.25">
      <c r="Z25548"/>
    </row>
    <row r="25549" spans="26:26" x14ac:dyDescent="0.25">
      <c r="Z25549"/>
    </row>
    <row r="25550" spans="26:26" x14ac:dyDescent="0.25">
      <c r="Z25550"/>
    </row>
    <row r="25551" spans="26:26" x14ac:dyDescent="0.25">
      <c r="Z25551"/>
    </row>
    <row r="25552" spans="26:26" x14ac:dyDescent="0.25">
      <c r="Z25552"/>
    </row>
    <row r="25553" spans="26:26" x14ac:dyDescent="0.25">
      <c r="Z25553"/>
    </row>
    <row r="25554" spans="26:26" x14ac:dyDescent="0.25">
      <c r="Z25554"/>
    </row>
    <row r="25555" spans="26:26" x14ac:dyDescent="0.25">
      <c r="Z25555"/>
    </row>
    <row r="25556" spans="26:26" x14ac:dyDescent="0.25">
      <c r="Z25556"/>
    </row>
    <row r="25557" spans="26:26" x14ac:dyDescent="0.25">
      <c r="Z25557"/>
    </row>
    <row r="25558" spans="26:26" x14ac:dyDescent="0.25">
      <c r="Z25558"/>
    </row>
    <row r="25559" spans="26:26" x14ac:dyDescent="0.25">
      <c r="Z25559"/>
    </row>
    <row r="25560" spans="26:26" x14ac:dyDescent="0.25">
      <c r="Z25560"/>
    </row>
    <row r="25561" spans="26:26" x14ac:dyDescent="0.25">
      <c r="Z25561"/>
    </row>
    <row r="25562" spans="26:26" x14ac:dyDescent="0.25">
      <c r="Z25562"/>
    </row>
    <row r="25563" spans="26:26" x14ac:dyDescent="0.25">
      <c r="Z25563"/>
    </row>
    <row r="25564" spans="26:26" x14ac:dyDescent="0.25">
      <c r="Z25564"/>
    </row>
    <row r="25565" spans="26:26" x14ac:dyDescent="0.25">
      <c r="Z25565"/>
    </row>
    <row r="25566" spans="26:26" x14ac:dyDescent="0.25">
      <c r="Z25566"/>
    </row>
    <row r="25567" spans="26:26" x14ac:dyDescent="0.25">
      <c r="Z25567"/>
    </row>
    <row r="25568" spans="26:26" x14ac:dyDescent="0.25">
      <c r="Z25568"/>
    </row>
    <row r="25569" spans="26:26" x14ac:dyDescent="0.25">
      <c r="Z25569"/>
    </row>
    <row r="25570" spans="26:26" x14ac:dyDescent="0.25">
      <c r="Z25570"/>
    </row>
    <row r="25571" spans="26:26" x14ac:dyDescent="0.25">
      <c r="Z25571"/>
    </row>
    <row r="25572" spans="26:26" x14ac:dyDescent="0.25">
      <c r="Z25572"/>
    </row>
    <row r="25573" spans="26:26" x14ac:dyDescent="0.25">
      <c r="Z25573"/>
    </row>
    <row r="25574" spans="26:26" x14ac:dyDescent="0.25">
      <c r="Z25574"/>
    </row>
    <row r="25575" spans="26:26" x14ac:dyDescent="0.25">
      <c r="Z25575"/>
    </row>
    <row r="25576" spans="26:26" x14ac:dyDescent="0.25">
      <c r="Z25576"/>
    </row>
    <row r="25577" spans="26:26" x14ac:dyDescent="0.25">
      <c r="Z25577"/>
    </row>
    <row r="25578" spans="26:26" x14ac:dyDescent="0.25">
      <c r="Z25578"/>
    </row>
    <row r="25579" spans="26:26" x14ac:dyDescent="0.25">
      <c r="Z25579"/>
    </row>
    <row r="25580" spans="26:26" x14ac:dyDescent="0.25">
      <c r="Z25580"/>
    </row>
    <row r="25581" spans="26:26" x14ac:dyDescent="0.25">
      <c r="Z25581"/>
    </row>
    <row r="25582" spans="26:26" x14ac:dyDescent="0.25">
      <c r="Z25582"/>
    </row>
    <row r="25583" spans="26:26" x14ac:dyDescent="0.25">
      <c r="Z25583"/>
    </row>
    <row r="25584" spans="26:26" x14ac:dyDescent="0.25">
      <c r="Z25584"/>
    </row>
    <row r="25585" spans="26:26" x14ac:dyDescent="0.25">
      <c r="Z25585"/>
    </row>
    <row r="25586" spans="26:26" x14ac:dyDescent="0.25">
      <c r="Z25586"/>
    </row>
    <row r="25587" spans="26:26" x14ac:dyDescent="0.25">
      <c r="Z25587"/>
    </row>
    <row r="25588" spans="26:26" x14ac:dyDescent="0.25">
      <c r="Z25588"/>
    </row>
    <row r="25589" spans="26:26" x14ac:dyDescent="0.25">
      <c r="Z25589"/>
    </row>
    <row r="25590" spans="26:26" x14ac:dyDescent="0.25">
      <c r="Z25590"/>
    </row>
    <row r="25591" spans="26:26" x14ac:dyDescent="0.25">
      <c r="Z25591"/>
    </row>
    <row r="25592" spans="26:26" x14ac:dyDescent="0.25">
      <c r="Z25592"/>
    </row>
    <row r="25593" spans="26:26" x14ac:dyDescent="0.25">
      <c r="Z25593"/>
    </row>
    <row r="25594" spans="26:26" x14ac:dyDescent="0.25">
      <c r="Z25594"/>
    </row>
    <row r="25595" spans="26:26" x14ac:dyDescent="0.25">
      <c r="Z25595"/>
    </row>
    <row r="25596" spans="26:26" x14ac:dyDescent="0.25">
      <c r="Z25596"/>
    </row>
    <row r="25597" spans="26:26" x14ac:dyDescent="0.25">
      <c r="Z25597"/>
    </row>
    <row r="25598" spans="26:26" x14ac:dyDescent="0.25">
      <c r="Z25598"/>
    </row>
    <row r="25599" spans="26:26" x14ac:dyDescent="0.25">
      <c r="Z25599"/>
    </row>
    <row r="25600" spans="26:26" x14ac:dyDescent="0.25">
      <c r="Z25600"/>
    </row>
    <row r="25601" spans="26:26" x14ac:dyDescent="0.25">
      <c r="Z25601"/>
    </row>
    <row r="25602" spans="26:26" x14ac:dyDescent="0.25">
      <c r="Z25602"/>
    </row>
    <row r="25603" spans="26:26" x14ac:dyDescent="0.25">
      <c r="Z25603"/>
    </row>
    <row r="25604" spans="26:26" x14ac:dyDescent="0.25">
      <c r="Z25604"/>
    </row>
    <row r="25605" spans="26:26" x14ac:dyDescent="0.25">
      <c r="Z25605"/>
    </row>
    <row r="25606" spans="26:26" x14ac:dyDescent="0.25">
      <c r="Z25606"/>
    </row>
    <row r="25607" spans="26:26" x14ac:dyDescent="0.25">
      <c r="Z25607"/>
    </row>
    <row r="25608" spans="26:26" x14ac:dyDescent="0.25">
      <c r="Z25608"/>
    </row>
    <row r="25609" spans="26:26" x14ac:dyDescent="0.25">
      <c r="Z25609"/>
    </row>
    <row r="25610" spans="26:26" x14ac:dyDescent="0.25">
      <c r="Z25610"/>
    </row>
    <row r="25611" spans="26:26" x14ac:dyDescent="0.25">
      <c r="Z25611"/>
    </row>
    <row r="25612" spans="26:26" x14ac:dyDescent="0.25">
      <c r="Z25612"/>
    </row>
    <row r="25613" spans="26:26" x14ac:dyDescent="0.25">
      <c r="Z25613"/>
    </row>
    <row r="25614" spans="26:26" x14ac:dyDescent="0.25">
      <c r="Z25614"/>
    </row>
    <row r="25615" spans="26:26" x14ac:dyDescent="0.25">
      <c r="Z25615"/>
    </row>
    <row r="25616" spans="26:26" x14ac:dyDescent="0.25">
      <c r="Z25616"/>
    </row>
    <row r="25617" spans="26:26" x14ac:dyDescent="0.25">
      <c r="Z25617"/>
    </row>
    <row r="25618" spans="26:26" x14ac:dyDescent="0.25">
      <c r="Z25618"/>
    </row>
    <row r="25619" spans="26:26" x14ac:dyDescent="0.25">
      <c r="Z25619"/>
    </row>
    <row r="25620" spans="26:26" x14ac:dyDescent="0.25">
      <c r="Z25620"/>
    </row>
    <row r="25621" spans="26:26" x14ac:dyDescent="0.25">
      <c r="Z25621"/>
    </row>
    <row r="25622" spans="26:26" x14ac:dyDescent="0.25">
      <c r="Z25622"/>
    </row>
    <row r="25623" spans="26:26" x14ac:dyDescent="0.25">
      <c r="Z25623"/>
    </row>
    <row r="25624" spans="26:26" x14ac:dyDescent="0.25">
      <c r="Z25624"/>
    </row>
    <row r="25625" spans="26:26" x14ac:dyDescent="0.25">
      <c r="Z25625"/>
    </row>
    <row r="25626" spans="26:26" x14ac:dyDescent="0.25">
      <c r="Z25626"/>
    </row>
    <row r="25627" spans="26:26" x14ac:dyDescent="0.25">
      <c r="Z25627"/>
    </row>
    <row r="25628" spans="26:26" x14ac:dyDescent="0.25">
      <c r="Z25628"/>
    </row>
    <row r="25629" spans="26:26" x14ac:dyDescent="0.25">
      <c r="Z25629"/>
    </row>
    <row r="25630" spans="26:26" x14ac:dyDescent="0.25">
      <c r="Z25630"/>
    </row>
    <row r="25631" spans="26:26" x14ac:dyDescent="0.25">
      <c r="Z25631"/>
    </row>
    <row r="25632" spans="26:26" x14ac:dyDescent="0.25">
      <c r="Z25632"/>
    </row>
    <row r="25633" spans="26:26" x14ac:dyDescent="0.25">
      <c r="Z25633"/>
    </row>
    <row r="25634" spans="26:26" x14ac:dyDescent="0.25">
      <c r="Z25634"/>
    </row>
    <row r="25635" spans="26:26" x14ac:dyDescent="0.25">
      <c r="Z25635"/>
    </row>
    <row r="25636" spans="26:26" x14ac:dyDescent="0.25">
      <c r="Z25636"/>
    </row>
    <row r="25637" spans="26:26" x14ac:dyDescent="0.25">
      <c r="Z25637"/>
    </row>
    <row r="25638" spans="26:26" x14ac:dyDescent="0.25">
      <c r="Z25638"/>
    </row>
    <row r="25639" spans="26:26" x14ac:dyDescent="0.25">
      <c r="Z25639"/>
    </row>
    <row r="25640" spans="26:26" x14ac:dyDescent="0.25">
      <c r="Z25640"/>
    </row>
    <row r="25641" spans="26:26" x14ac:dyDescent="0.25">
      <c r="Z25641"/>
    </row>
    <row r="25642" spans="26:26" x14ac:dyDescent="0.25">
      <c r="Z25642"/>
    </row>
    <row r="25643" spans="26:26" x14ac:dyDescent="0.25">
      <c r="Z25643"/>
    </row>
    <row r="25644" spans="26:26" x14ac:dyDescent="0.25">
      <c r="Z25644"/>
    </row>
    <row r="25645" spans="26:26" x14ac:dyDescent="0.25">
      <c r="Z25645"/>
    </row>
    <row r="25646" spans="26:26" x14ac:dyDescent="0.25">
      <c r="Z25646"/>
    </row>
    <row r="25647" spans="26:26" x14ac:dyDescent="0.25">
      <c r="Z25647"/>
    </row>
    <row r="25648" spans="26:26" x14ac:dyDescent="0.25">
      <c r="Z25648"/>
    </row>
    <row r="25649" spans="26:26" x14ac:dyDescent="0.25">
      <c r="Z25649"/>
    </row>
    <row r="25650" spans="26:26" x14ac:dyDescent="0.25">
      <c r="Z25650"/>
    </row>
    <row r="25651" spans="26:26" x14ac:dyDescent="0.25">
      <c r="Z25651"/>
    </row>
    <row r="25652" spans="26:26" x14ac:dyDescent="0.25">
      <c r="Z25652"/>
    </row>
    <row r="25653" spans="26:26" x14ac:dyDescent="0.25">
      <c r="Z25653"/>
    </row>
    <row r="25654" spans="26:26" x14ac:dyDescent="0.25">
      <c r="Z25654"/>
    </row>
    <row r="25655" spans="26:26" x14ac:dyDescent="0.25">
      <c r="Z25655"/>
    </row>
    <row r="25656" spans="26:26" x14ac:dyDescent="0.25">
      <c r="Z25656"/>
    </row>
    <row r="25657" spans="26:26" x14ac:dyDescent="0.25">
      <c r="Z25657"/>
    </row>
    <row r="25658" spans="26:26" x14ac:dyDescent="0.25">
      <c r="Z25658"/>
    </row>
    <row r="25659" spans="26:26" x14ac:dyDescent="0.25">
      <c r="Z25659"/>
    </row>
    <row r="25660" spans="26:26" x14ac:dyDescent="0.25">
      <c r="Z25660"/>
    </row>
    <row r="25661" spans="26:26" x14ac:dyDescent="0.25">
      <c r="Z25661"/>
    </row>
    <row r="25662" spans="26:26" x14ac:dyDescent="0.25">
      <c r="Z25662"/>
    </row>
    <row r="25663" spans="26:26" x14ac:dyDescent="0.25">
      <c r="Z25663"/>
    </row>
    <row r="25664" spans="26:26" x14ac:dyDescent="0.25">
      <c r="Z25664"/>
    </row>
    <row r="25665" spans="26:26" x14ac:dyDescent="0.25">
      <c r="Z25665"/>
    </row>
    <row r="25666" spans="26:26" x14ac:dyDescent="0.25">
      <c r="Z25666"/>
    </row>
    <row r="25667" spans="26:26" x14ac:dyDescent="0.25">
      <c r="Z25667"/>
    </row>
    <row r="25668" spans="26:26" x14ac:dyDescent="0.25">
      <c r="Z25668"/>
    </row>
    <row r="25669" spans="26:26" x14ac:dyDescent="0.25">
      <c r="Z25669"/>
    </row>
    <row r="25670" spans="26:26" x14ac:dyDescent="0.25">
      <c r="Z25670"/>
    </row>
    <row r="25671" spans="26:26" x14ac:dyDescent="0.25">
      <c r="Z25671"/>
    </row>
    <row r="25672" spans="26:26" x14ac:dyDescent="0.25">
      <c r="Z25672"/>
    </row>
    <row r="25673" spans="26:26" x14ac:dyDescent="0.25">
      <c r="Z25673"/>
    </row>
    <row r="25674" spans="26:26" x14ac:dyDescent="0.25">
      <c r="Z25674"/>
    </row>
    <row r="25675" spans="26:26" x14ac:dyDescent="0.25">
      <c r="Z25675"/>
    </row>
    <row r="25676" spans="26:26" x14ac:dyDescent="0.25">
      <c r="Z25676"/>
    </row>
    <row r="25677" spans="26:26" x14ac:dyDescent="0.25">
      <c r="Z25677"/>
    </row>
    <row r="25678" spans="26:26" x14ac:dyDescent="0.25">
      <c r="Z25678"/>
    </row>
    <row r="25679" spans="26:26" x14ac:dyDescent="0.25">
      <c r="Z25679"/>
    </row>
    <row r="25680" spans="26:26" x14ac:dyDescent="0.25">
      <c r="Z25680"/>
    </row>
    <row r="25681" spans="26:26" x14ac:dyDescent="0.25">
      <c r="Z25681"/>
    </row>
    <row r="25682" spans="26:26" x14ac:dyDescent="0.25">
      <c r="Z25682"/>
    </row>
    <row r="25683" spans="26:26" x14ac:dyDescent="0.25">
      <c r="Z25683"/>
    </row>
    <row r="25684" spans="26:26" x14ac:dyDescent="0.25">
      <c r="Z25684"/>
    </row>
    <row r="25685" spans="26:26" x14ac:dyDescent="0.25">
      <c r="Z25685"/>
    </row>
    <row r="25686" spans="26:26" x14ac:dyDescent="0.25">
      <c r="Z25686"/>
    </row>
    <row r="25687" spans="26:26" x14ac:dyDescent="0.25">
      <c r="Z25687"/>
    </row>
    <row r="25688" spans="26:26" x14ac:dyDescent="0.25">
      <c r="Z25688"/>
    </row>
    <row r="25689" spans="26:26" x14ac:dyDescent="0.25">
      <c r="Z25689"/>
    </row>
    <row r="25690" spans="26:26" x14ac:dyDescent="0.25">
      <c r="Z25690"/>
    </row>
    <row r="25691" spans="26:26" x14ac:dyDescent="0.25">
      <c r="Z25691"/>
    </row>
    <row r="25692" spans="26:26" x14ac:dyDescent="0.25">
      <c r="Z25692"/>
    </row>
    <row r="25693" spans="26:26" x14ac:dyDescent="0.25">
      <c r="Z25693"/>
    </row>
    <row r="25694" spans="26:26" x14ac:dyDescent="0.25">
      <c r="Z25694"/>
    </row>
    <row r="25695" spans="26:26" x14ac:dyDescent="0.25">
      <c r="Z25695"/>
    </row>
    <row r="25696" spans="26:26" x14ac:dyDescent="0.25">
      <c r="Z25696"/>
    </row>
    <row r="25697" spans="26:26" x14ac:dyDescent="0.25">
      <c r="Z25697"/>
    </row>
    <row r="25698" spans="26:26" x14ac:dyDescent="0.25">
      <c r="Z25698"/>
    </row>
    <row r="25699" spans="26:26" x14ac:dyDescent="0.25">
      <c r="Z25699"/>
    </row>
    <row r="25700" spans="26:26" x14ac:dyDescent="0.25">
      <c r="Z25700"/>
    </row>
    <row r="25701" spans="26:26" x14ac:dyDescent="0.25">
      <c r="Z25701"/>
    </row>
    <row r="25702" spans="26:26" x14ac:dyDescent="0.25">
      <c r="Z25702"/>
    </row>
    <row r="25703" spans="26:26" x14ac:dyDescent="0.25">
      <c r="Z25703"/>
    </row>
    <row r="25704" spans="26:26" x14ac:dyDescent="0.25">
      <c r="Z25704"/>
    </row>
    <row r="25705" spans="26:26" x14ac:dyDescent="0.25">
      <c r="Z25705"/>
    </row>
    <row r="25706" spans="26:26" x14ac:dyDescent="0.25">
      <c r="Z25706"/>
    </row>
    <row r="25707" spans="26:26" x14ac:dyDescent="0.25">
      <c r="Z25707"/>
    </row>
    <row r="25708" spans="26:26" x14ac:dyDescent="0.25">
      <c r="Z25708"/>
    </row>
    <row r="25709" spans="26:26" x14ac:dyDescent="0.25">
      <c r="Z25709"/>
    </row>
    <row r="25710" spans="26:26" x14ac:dyDescent="0.25">
      <c r="Z25710"/>
    </row>
    <row r="25711" spans="26:26" x14ac:dyDescent="0.25">
      <c r="Z25711"/>
    </row>
    <row r="25712" spans="26:26" x14ac:dyDescent="0.25">
      <c r="Z25712"/>
    </row>
    <row r="25713" spans="26:26" x14ac:dyDescent="0.25">
      <c r="Z25713"/>
    </row>
    <row r="25714" spans="26:26" x14ac:dyDescent="0.25">
      <c r="Z25714"/>
    </row>
    <row r="25715" spans="26:26" x14ac:dyDescent="0.25">
      <c r="Z25715"/>
    </row>
    <row r="25716" spans="26:26" x14ac:dyDescent="0.25">
      <c r="Z25716"/>
    </row>
    <row r="25717" spans="26:26" x14ac:dyDescent="0.25">
      <c r="Z25717"/>
    </row>
    <row r="25718" spans="26:26" x14ac:dyDescent="0.25">
      <c r="Z25718"/>
    </row>
    <row r="25719" spans="26:26" x14ac:dyDescent="0.25">
      <c r="Z25719"/>
    </row>
    <row r="25720" spans="26:26" x14ac:dyDescent="0.25">
      <c r="Z25720"/>
    </row>
    <row r="25721" spans="26:26" x14ac:dyDescent="0.25">
      <c r="Z25721"/>
    </row>
    <row r="25722" spans="26:26" x14ac:dyDescent="0.25">
      <c r="Z25722"/>
    </row>
    <row r="25723" spans="26:26" x14ac:dyDescent="0.25">
      <c r="Z25723"/>
    </row>
    <row r="25724" spans="26:26" x14ac:dyDescent="0.25">
      <c r="Z25724"/>
    </row>
    <row r="25725" spans="26:26" x14ac:dyDescent="0.25">
      <c r="Z25725"/>
    </row>
    <row r="25726" spans="26:26" x14ac:dyDescent="0.25">
      <c r="Z25726"/>
    </row>
    <row r="25727" spans="26:26" x14ac:dyDescent="0.25">
      <c r="Z25727"/>
    </row>
    <row r="25728" spans="26:26" x14ac:dyDescent="0.25">
      <c r="Z25728"/>
    </row>
    <row r="25729" spans="26:26" x14ac:dyDescent="0.25">
      <c r="Z25729"/>
    </row>
    <row r="25730" spans="26:26" x14ac:dyDescent="0.25">
      <c r="Z25730"/>
    </row>
    <row r="25731" spans="26:26" x14ac:dyDescent="0.25">
      <c r="Z25731"/>
    </row>
    <row r="25732" spans="26:26" x14ac:dyDescent="0.25">
      <c r="Z25732"/>
    </row>
    <row r="25733" spans="26:26" x14ac:dyDescent="0.25">
      <c r="Z25733"/>
    </row>
    <row r="25734" spans="26:26" x14ac:dyDescent="0.25">
      <c r="Z25734"/>
    </row>
    <row r="25735" spans="26:26" x14ac:dyDescent="0.25">
      <c r="Z25735"/>
    </row>
    <row r="25736" spans="26:26" x14ac:dyDescent="0.25">
      <c r="Z25736"/>
    </row>
    <row r="25737" spans="26:26" x14ac:dyDescent="0.25">
      <c r="Z25737"/>
    </row>
    <row r="25738" spans="26:26" x14ac:dyDescent="0.25">
      <c r="Z25738"/>
    </row>
    <row r="25739" spans="26:26" x14ac:dyDescent="0.25">
      <c r="Z25739"/>
    </row>
    <row r="25740" spans="26:26" x14ac:dyDescent="0.25">
      <c r="Z25740"/>
    </row>
    <row r="25741" spans="26:26" x14ac:dyDescent="0.25">
      <c r="Z25741"/>
    </row>
    <row r="25742" spans="26:26" x14ac:dyDescent="0.25">
      <c r="Z25742"/>
    </row>
    <row r="25743" spans="26:26" x14ac:dyDescent="0.25">
      <c r="Z25743"/>
    </row>
    <row r="25744" spans="26:26" x14ac:dyDescent="0.25">
      <c r="Z25744"/>
    </row>
    <row r="25745" spans="26:26" x14ac:dyDescent="0.25">
      <c r="Z25745"/>
    </row>
    <row r="25746" spans="26:26" x14ac:dyDescent="0.25">
      <c r="Z25746"/>
    </row>
    <row r="25747" spans="26:26" x14ac:dyDescent="0.25">
      <c r="Z25747"/>
    </row>
    <row r="25748" spans="26:26" x14ac:dyDescent="0.25">
      <c r="Z25748"/>
    </row>
    <row r="25749" spans="26:26" x14ac:dyDescent="0.25">
      <c r="Z25749"/>
    </row>
    <row r="25750" spans="26:26" x14ac:dyDescent="0.25">
      <c r="Z25750"/>
    </row>
    <row r="25751" spans="26:26" x14ac:dyDescent="0.25">
      <c r="Z25751"/>
    </row>
    <row r="25752" spans="26:26" x14ac:dyDescent="0.25">
      <c r="Z25752"/>
    </row>
    <row r="25753" spans="26:26" x14ac:dyDescent="0.25">
      <c r="Z25753"/>
    </row>
    <row r="25754" spans="26:26" x14ac:dyDescent="0.25">
      <c r="Z25754"/>
    </row>
    <row r="25755" spans="26:26" x14ac:dyDescent="0.25">
      <c r="Z25755"/>
    </row>
    <row r="25756" spans="26:26" x14ac:dyDescent="0.25">
      <c r="Z25756"/>
    </row>
    <row r="25757" spans="26:26" x14ac:dyDescent="0.25">
      <c r="Z25757"/>
    </row>
    <row r="25758" spans="26:26" x14ac:dyDescent="0.25">
      <c r="Z25758"/>
    </row>
    <row r="25759" spans="26:26" x14ac:dyDescent="0.25">
      <c r="Z25759"/>
    </row>
    <row r="25760" spans="26:26" x14ac:dyDescent="0.25">
      <c r="Z25760"/>
    </row>
    <row r="25761" spans="26:26" x14ac:dyDescent="0.25">
      <c r="Z25761"/>
    </row>
    <row r="25762" spans="26:26" x14ac:dyDescent="0.25">
      <c r="Z25762"/>
    </row>
    <row r="25763" spans="26:26" x14ac:dyDescent="0.25">
      <c r="Z25763"/>
    </row>
    <row r="25764" spans="26:26" x14ac:dyDescent="0.25">
      <c r="Z25764"/>
    </row>
    <row r="25765" spans="26:26" x14ac:dyDescent="0.25">
      <c r="Z25765"/>
    </row>
    <row r="25766" spans="26:26" x14ac:dyDescent="0.25">
      <c r="Z25766"/>
    </row>
    <row r="25767" spans="26:26" x14ac:dyDescent="0.25">
      <c r="Z25767"/>
    </row>
    <row r="25768" spans="26:26" x14ac:dyDescent="0.25">
      <c r="Z25768"/>
    </row>
    <row r="25769" spans="26:26" x14ac:dyDescent="0.25">
      <c r="Z25769"/>
    </row>
    <row r="25770" spans="26:26" x14ac:dyDescent="0.25">
      <c r="Z25770"/>
    </row>
    <row r="25771" spans="26:26" x14ac:dyDescent="0.25">
      <c r="Z25771"/>
    </row>
    <row r="25772" spans="26:26" x14ac:dyDescent="0.25">
      <c r="Z25772"/>
    </row>
    <row r="25773" spans="26:26" x14ac:dyDescent="0.25">
      <c r="Z25773"/>
    </row>
    <row r="25774" spans="26:26" x14ac:dyDescent="0.25">
      <c r="Z25774"/>
    </row>
    <row r="25775" spans="26:26" x14ac:dyDescent="0.25">
      <c r="Z25775"/>
    </row>
    <row r="25776" spans="26:26" x14ac:dyDescent="0.25">
      <c r="Z25776"/>
    </row>
    <row r="25777" spans="26:26" x14ac:dyDescent="0.25">
      <c r="Z25777"/>
    </row>
    <row r="25778" spans="26:26" x14ac:dyDescent="0.25">
      <c r="Z25778"/>
    </row>
    <row r="25779" spans="26:26" x14ac:dyDescent="0.25">
      <c r="Z25779"/>
    </row>
    <row r="25780" spans="26:26" x14ac:dyDescent="0.25">
      <c r="Z25780"/>
    </row>
    <row r="25781" spans="26:26" x14ac:dyDescent="0.25">
      <c r="Z25781"/>
    </row>
    <row r="25782" spans="26:26" x14ac:dyDescent="0.25">
      <c r="Z25782"/>
    </row>
    <row r="25783" spans="26:26" x14ac:dyDescent="0.25">
      <c r="Z25783"/>
    </row>
    <row r="25784" spans="26:26" x14ac:dyDescent="0.25">
      <c r="Z25784"/>
    </row>
    <row r="25785" spans="26:26" x14ac:dyDescent="0.25">
      <c r="Z25785"/>
    </row>
    <row r="25786" spans="26:26" x14ac:dyDescent="0.25">
      <c r="Z25786"/>
    </row>
    <row r="25787" spans="26:26" x14ac:dyDescent="0.25">
      <c r="Z25787"/>
    </row>
    <row r="25788" spans="26:26" x14ac:dyDescent="0.25">
      <c r="Z25788"/>
    </row>
    <row r="25789" spans="26:26" x14ac:dyDescent="0.25">
      <c r="Z25789"/>
    </row>
    <row r="25790" spans="26:26" x14ac:dyDescent="0.25">
      <c r="Z25790"/>
    </row>
    <row r="25791" spans="26:26" x14ac:dyDescent="0.25">
      <c r="Z25791"/>
    </row>
    <row r="25792" spans="26:26" x14ac:dyDescent="0.25">
      <c r="Z25792"/>
    </row>
    <row r="25793" spans="26:26" x14ac:dyDescent="0.25">
      <c r="Z25793"/>
    </row>
    <row r="25794" spans="26:26" x14ac:dyDescent="0.25">
      <c r="Z25794"/>
    </row>
    <row r="25795" spans="26:26" x14ac:dyDescent="0.25">
      <c r="Z25795"/>
    </row>
    <row r="25796" spans="26:26" x14ac:dyDescent="0.25">
      <c r="Z25796"/>
    </row>
    <row r="25797" spans="26:26" x14ac:dyDescent="0.25">
      <c r="Z25797"/>
    </row>
    <row r="25798" spans="26:26" x14ac:dyDescent="0.25">
      <c r="Z25798"/>
    </row>
    <row r="25799" spans="26:26" x14ac:dyDescent="0.25">
      <c r="Z25799"/>
    </row>
    <row r="25800" spans="26:26" x14ac:dyDescent="0.25">
      <c r="Z25800"/>
    </row>
    <row r="25801" spans="26:26" x14ac:dyDescent="0.25">
      <c r="Z25801"/>
    </row>
    <row r="25802" spans="26:26" x14ac:dyDescent="0.25">
      <c r="Z25802"/>
    </row>
    <row r="25803" spans="26:26" x14ac:dyDescent="0.25">
      <c r="Z25803"/>
    </row>
    <row r="25804" spans="26:26" x14ac:dyDescent="0.25">
      <c r="Z25804"/>
    </row>
    <row r="25805" spans="26:26" x14ac:dyDescent="0.25">
      <c r="Z25805"/>
    </row>
    <row r="25806" spans="26:26" x14ac:dyDescent="0.25">
      <c r="Z25806"/>
    </row>
    <row r="25807" spans="26:26" x14ac:dyDescent="0.25">
      <c r="Z25807"/>
    </row>
    <row r="25808" spans="26:26" x14ac:dyDescent="0.25">
      <c r="Z25808"/>
    </row>
    <row r="25809" spans="26:26" x14ac:dyDescent="0.25">
      <c r="Z25809"/>
    </row>
    <row r="25810" spans="26:26" x14ac:dyDescent="0.25">
      <c r="Z25810"/>
    </row>
    <row r="25811" spans="26:26" x14ac:dyDescent="0.25">
      <c r="Z25811"/>
    </row>
    <row r="25812" spans="26:26" x14ac:dyDescent="0.25">
      <c r="Z25812"/>
    </row>
    <row r="25813" spans="26:26" x14ac:dyDescent="0.25">
      <c r="Z25813"/>
    </row>
    <row r="25814" spans="26:26" x14ac:dyDescent="0.25">
      <c r="Z25814"/>
    </row>
    <row r="25815" spans="26:26" x14ac:dyDescent="0.25">
      <c r="Z25815"/>
    </row>
    <row r="25816" spans="26:26" x14ac:dyDescent="0.25">
      <c r="Z25816"/>
    </row>
    <row r="25817" spans="26:26" x14ac:dyDescent="0.25">
      <c r="Z25817"/>
    </row>
    <row r="25818" spans="26:26" x14ac:dyDescent="0.25">
      <c r="Z25818"/>
    </row>
    <row r="25819" spans="26:26" x14ac:dyDescent="0.25">
      <c r="Z25819"/>
    </row>
    <row r="25820" spans="26:26" x14ac:dyDescent="0.25">
      <c r="Z25820"/>
    </row>
    <row r="25821" spans="26:26" x14ac:dyDescent="0.25">
      <c r="Z25821"/>
    </row>
    <row r="25822" spans="26:26" x14ac:dyDescent="0.25">
      <c r="Z25822"/>
    </row>
    <row r="25823" spans="26:26" x14ac:dyDescent="0.25">
      <c r="Z25823"/>
    </row>
    <row r="25824" spans="26:26" x14ac:dyDescent="0.25">
      <c r="Z25824"/>
    </row>
    <row r="25825" spans="26:26" x14ac:dyDescent="0.25">
      <c r="Z25825"/>
    </row>
    <row r="25826" spans="26:26" x14ac:dyDescent="0.25">
      <c r="Z25826"/>
    </row>
    <row r="25827" spans="26:26" x14ac:dyDescent="0.25">
      <c r="Z25827"/>
    </row>
    <row r="25828" spans="26:26" x14ac:dyDescent="0.25">
      <c r="Z25828"/>
    </row>
    <row r="25829" spans="26:26" x14ac:dyDescent="0.25">
      <c r="Z25829"/>
    </row>
    <row r="25830" spans="26:26" x14ac:dyDescent="0.25">
      <c r="Z25830"/>
    </row>
    <row r="25831" spans="26:26" x14ac:dyDescent="0.25">
      <c r="Z25831"/>
    </row>
    <row r="25832" spans="26:26" x14ac:dyDescent="0.25">
      <c r="Z25832"/>
    </row>
    <row r="25833" spans="26:26" x14ac:dyDescent="0.25">
      <c r="Z25833"/>
    </row>
    <row r="25834" spans="26:26" x14ac:dyDescent="0.25">
      <c r="Z25834"/>
    </row>
    <row r="25835" spans="26:26" x14ac:dyDescent="0.25">
      <c r="Z25835"/>
    </row>
    <row r="25836" spans="26:26" x14ac:dyDescent="0.25">
      <c r="Z25836"/>
    </row>
    <row r="25837" spans="26:26" x14ac:dyDescent="0.25">
      <c r="Z25837"/>
    </row>
    <row r="25838" spans="26:26" x14ac:dyDescent="0.25">
      <c r="Z25838"/>
    </row>
    <row r="25839" spans="26:26" x14ac:dyDescent="0.25">
      <c r="Z25839"/>
    </row>
    <row r="25840" spans="26:26" x14ac:dyDescent="0.25">
      <c r="Z25840"/>
    </row>
    <row r="25841" spans="26:26" x14ac:dyDescent="0.25">
      <c r="Z25841"/>
    </row>
    <row r="25842" spans="26:26" x14ac:dyDescent="0.25">
      <c r="Z25842"/>
    </row>
    <row r="25843" spans="26:26" x14ac:dyDescent="0.25">
      <c r="Z25843"/>
    </row>
    <row r="25844" spans="26:26" x14ac:dyDescent="0.25">
      <c r="Z25844"/>
    </row>
    <row r="25845" spans="26:26" x14ac:dyDescent="0.25">
      <c r="Z25845"/>
    </row>
    <row r="25846" spans="26:26" x14ac:dyDescent="0.25">
      <c r="Z25846"/>
    </row>
    <row r="25847" spans="26:26" x14ac:dyDescent="0.25">
      <c r="Z25847"/>
    </row>
    <row r="25848" spans="26:26" x14ac:dyDescent="0.25">
      <c r="Z25848"/>
    </row>
    <row r="25849" spans="26:26" x14ac:dyDescent="0.25">
      <c r="Z25849"/>
    </row>
    <row r="25850" spans="26:26" x14ac:dyDescent="0.25">
      <c r="Z25850"/>
    </row>
    <row r="25851" spans="26:26" x14ac:dyDescent="0.25">
      <c r="Z25851"/>
    </row>
    <row r="25852" spans="26:26" x14ac:dyDescent="0.25">
      <c r="Z25852"/>
    </row>
    <row r="25853" spans="26:26" x14ac:dyDescent="0.25">
      <c r="Z25853"/>
    </row>
    <row r="25854" spans="26:26" x14ac:dyDescent="0.25">
      <c r="Z25854"/>
    </row>
    <row r="25855" spans="26:26" x14ac:dyDescent="0.25">
      <c r="Z25855"/>
    </row>
    <row r="25856" spans="26:26" x14ac:dyDescent="0.25">
      <c r="Z25856"/>
    </row>
    <row r="25857" spans="26:26" x14ac:dyDescent="0.25">
      <c r="Z25857"/>
    </row>
    <row r="25858" spans="26:26" x14ac:dyDescent="0.25">
      <c r="Z25858"/>
    </row>
    <row r="25859" spans="26:26" x14ac:dyDescent="0.25">
      <c r="Z25859"/>
    </row>
    <row r="25860" spans="26:26" x14ac:dyDescent="0.25">
      <c r="Z25860"/>
    </row>
    <row r="25861" spans="26:26" x14ac:dyDescent="0.25">
      <c r="Z25861"/>
    </row>
    <row r="25862" spans="26:26" x14ac:dyDescent="0.25">
      <c r="Z25862"/>
    </row>
    <row r="25863" spans="26:26" x14ac:dyDescent="0.25">
      <c r="Z25863"/>
    </row>
    <row r="25864" spans="26:26" x14ac:dyDescent="0.25">
      <c r="Z25864"/>
    </row>
    <row r="25865" spans="26:26" x14ac:dyDescent="0.25">
      <c r="Z25865"/>
    </row>
    <row r="25866" spans="26:26" x14ac:dyDescent="0.25">
      <c r="Z25866"/>
    </row>
    <row r="25867" spans="26:26" x14ac:dyDescent="0.25">
      <c r="Z25867"/>
    </row>
    <row r="25868" spans="26:26" x14ac:dyDescent="0.25">
      <c r="Z25868"/>
    </row>
    <row r="25869" spans="26:26" x14ac:dyDescent="0.25">
      <c r="Z25869"/>
    </row>
    <row r="25870" spans="26:26" x14ac:dyDescent="0.25">
      <c r="Z25870"/>
    </row>
    <row r="25871" spans="26:26" x14ac:dyDescent="0.25">
      <c r="Z25871"/>
    </row>
    <row r="25872" spans="26:26" x14ac:dyDescent="0.25">
      <c r="Z25872"/>
    </row>
    <row r="25873" spans="26:26" x14ac:dyDescent="0.25">
      <c r="Z25873"/>
    </row>
    <row r="25874" spans="26:26" x14ac:dyDescent="0.25">
      <c r="Z25874"/>
    </row>
    <row r="25875" spans="26:26" x14ac:dyDescent="0.25">
      <c r="Z25875"/>
    </row>
    <row r="25876" spans="26:26" x14ac:dyDescent="0.25">
      <c r="Z25876"/>
    </row>
    <row r="25877" spans="26:26" x14ac:dyDescent="0.25">
      <c r="Z25877"/>
    </row>
    <row r="25878" spans="26:26" x14ac:dyDescent="0.25">
      <c r="Z25878"/>
    </row>
    <row r="25879" spans="26:26" x14ac:dyDescent="0.25">
      <c r="Z25879"/>
    </row>
    <row r="25880" spans="26:26" x14ac:dyDescent="0.25">
      <c r="Z25880"/>
    </row>
    <row r="25881" spans="26:26" x14ac:dyDescent="0.25">
      <c r="Z25881"/>
    </row>
    <row r="25882" spans="26:26" x14ac:dyDescent="0.25">
      <c r="Z25882"/>
    </row>
    <row r="25883" spans="26:26" x14ac:dyDescent="0.25">
      <c r="Z25883"/>
    </row>
    <row r="25884" spans="26:26" x14ac:dyDescent="0.25">
      <c r="Z25884"/>
    </row>
    <row r="25885" spans="26:26" x14ac:dyDescent="0.25">
      <c r="Z25885"/>
    </row>
    <row r="25886" spans="26:26" x14ac:dyDescent="0.25">
      <c r="Z25886"/>
    </row>
    <row r="25887" spans="26:26" x14ac:dyDescent="0.25">
      <c r="Z25887"/>
    </row>
    <row r="25888" spans="26:26" x14ac:dyDescent="0.25">
      <c r="Z25888"/>
    </row>
    <row r="25889" spans="26:26" x14ac:dyDescent="0.25">
      <c r="Z25889"/>
    </row>
    <row r="25890" spans="26:26" x14ac:dyDescent="0.25">
      <c r="Z25890"/>
    </row>
    <row r="25891" spans="26:26" x14ac:dyDescent="0.25">
      <c r="Z25891"/>
    </row>
    <row r="25892" spans="26:26" x14ac:dyDescent="0.25">
      <c r="Z25892"/>
    </row>
    <row r="25893" spans="26:26" x14ac:dyDescent="0.25">
      <c r="Z25893"/>
    </row>
    <row r="25894" spans="26:26" x14ac:dyDescent="0.25">
      <c r="Z25894"/>
    </row>
    <row r="25895" spans="26:26" x14ac:dyDescent="0.25">
      <c r="Z25895"/>
    </row>
    <row r="25896" spans="26:26" x14ac:dyDescent="0.25">
      <c r="Z25896"/>
    </row>
    <row r="25897" spans="26:26" x14ac:dyDescent="0.25">
      <c r="Z25897"/>
    </row>
    <row r="25898" spans="26:26" x14ac:dyDescent="0.25">
      <c r="Z25898"/>
    </row>
    <row r="25899" spans="26:26" x14ac:dyDescent="0.25">
      <c r="Z25899"/>
    </row>
    <row r="25900" spans="26:26" x14ac:dyDescent="0.25">
      <c r="Z25900"/>
    </row>
    <row r="25901" spans="26:26" x14ac:dyDescent="0.25">
      <c r="Z25901"/>
    </row>
    <row r="25902" spans="26:26" x14ac:dyDescent="0.25">
      <c r="Z25902"/>
    </row>
    <row r="25903" spans="26:26" x14ac:dyDescent="0.25">
      <c r="Z25903"/>
    </row>
    <row r="25904" spans="26:26" x14ac:dyDescent="0.25">
      <c r="Z25904"/>
    </row>
    <row r="25905" spans="26:26" x14ac:dyDescent="0.25">
      <c r="Z25905"/>
    </row>
    <row r="25906" spans="26:26" x14ac:dyDescent="0.25">
      <c r="Z25906"/>
    </row>
    <row r="25907" spans="26:26" x14ac:dyDescent="0.25">
      <c r="Z25907"/>
    </row>
    <row r="25908" spans="26:26" x14ac:dyDescent="0.25">
      <c r="Z25908"/>
    </row>
    <row r="25909" spans="26:26" x14ac:dyDescent="0.25">
      <c r="Z25909"/>
    </row>
    <row r="25910" spans="26:26" x14ac:dyDescent="0.25">
      <c r="Z25910"/>
    </row>
    <row r="25911" spans="26:26" x14ac:dyDescent="0.25">
      <c r="Z25911"/>
    </row>
    <row r="25912" spans="26:26" x14ac:dyDescent="0.25">
      <c r="Z25912"/>
    </row>
    <row r="25913" spans="26:26" x14ac:dyDescent="0.25">
      <c r="Z25913"/>
    </row>
    <row r="25914" spans="26:26" x14ac:dyDescent="0.25">
      <c r="Z25914"/>
    </row>
    <row r="25915" spans="26:26" x14ac:dyDescent="0.25">
      <c r="Z25915"/>
    </row>
    <row r="25916" spans="26:26" x14ac:dyDescent="0.25">
      <c r="Z25916"/>
    </row>
    <row r="25917" spans="26:26" x14ac:dyDescent="0.25">
      <c r="Z25917"/>
    </row>
    <row r="25918" spans="26:26" x14ac:dyDescent="0.25">
      <c r="Z25918"/>
    </row>
    <row r="25919" spans="26:26" x14ac:dyDescent="0.25">
      <c r="Z25919"/>
    </row>
    <row r="25920" spans="26:26" x14ac:dyDescent="0.25">
      <c r="Z25920"/>
    </row>
    <row r="25921" spans="26:26" x14ac:dyDescent="0.25">
      <c r="Z25921"/>
    </row>
    <row r="25922" spans="26:26" x14ac:dyDescent="0.25">
      <c r="Z25922"/>
    </row>
    <row r="25923" spans="26:26" x14ac:dyDescent="0.25">
      <c r="Z25923"/>
    </row>
    <row r="25924" spans="26:26" x14ac:dyDescent="0.25">
      <c r="Z25924"/>
    </row>
    <row r="25925" spans="26:26" x14ac:dyDescent="0.25">
      <c r="Z25925"/>
    </row>
    <row r="25926" spans="26:26" x14ac:dyDescent="0.25">
      <c r="Z25926"/>
    </row>
    <row r="25927" spans="26:26" x14ac:dyDescent="0.25">
      <c r="Z25927"/>
    </row>
    <row r="25928" spans="26:26" x14ac:dyDescent="0.25">
      <c r="Z25928"/>
    </row>
    <row r="25929" spans="26:26" x14ac:dyDescent="0.25">
      <c r="Z25929"/>
    </row>
    <row r="25930" spans="26:26" x14ac:dyDescent="0.25">
      <c r="Z25930"/>
    </row>
    <row r="25931" spans="26:26" x14ac:dyDescent="0.25">
      <c r="Z25931"/>
    </row>
    <row r="25932" spans="26:26" x14ac:dyDescent="0.25">
      <c r="Z25932"/>
    </row>
    <row r="25933" spans="26:26" x14ac:dyDescent="0.25">
      <c r="Z25933"/>
    </row>
    <row r="25934" spans="26:26" x14ac:dyDescent="0.25">
      <c r="Z25934"/>
    </row>
    <row r="25935" spans="26:26" x14ac:dyDescent="0.25">
      <c r="Z25935"/>
    </row>
    <row r="25936" spans="26:26" x14ac:dyDescent="0.25">
      <c r="Z25936"/>
    </row>
    <row r="25937" spans="26:26" x14ac:dyDescent="0.25">
      <c r="Z25937"/>
    </row>
    <row r="25938" spans="26:26" x14ac:dyDescent="0.25">
      <c r="Z25938"/>
    </row>
    <row r="25939" spans="26:26" x14ac:dyDescent="0.25">
      <c r="Z25939"/>
    </row>
    <row r="25940" spans="26:26" x14ac:dyDescent="0.25">
      <c r="Z25940"/>
    </row>
    <row r="25941" spans="26:26" x14ac:dyDescent="0.25">
      <c r="Z25941"/>
    </row>
    <row r="25942" spans="26:26" x14ac:dyDescent="0.25">
      <c r="Z25942"/>
    </row>
    <row r="25943" spans="26:26" x14ac:dyDescent="0.25">
      <c r="Z25943"/>
    </row>
    <row r="25944" spans="26:26" x14ac:dyDescent="0.25">
      <c r="Z25944"/>
    </row>
    <row r="25945" spans="26:26" x14ac:dyDescent="0.25">
      <c r="Z25945"/>
    </row>
    <row r="25946" spans="26:26" x14ac:dyDescent="0.25">
      <c r="Z25946"/>
    </row>
    <row r="25947" spans="26:26" x14ac:dyDescent="0.25">
      <c r="Z25947"/>
    </row>
    <row r="25948" spans="26:26" x14ac:dyDescent="0.25">
      <c r="Z25948"/>
    </row>
    <row r="25949" spans="26:26" x14ac:dyDescent="0.25">
      <c r="Z25949"/>
    </row>
    <row r="25950" spans="26:26" x14ac:dyDescent="0.25">
      <c r="Z25950"/>
    </row>
    <row r="25951" spans="26:26" x14ac:dyDescent="0.25">
      <c r="Z25951"/>
    </row>
    <row r="25952" spans="26:26" x14ac:dyDescent="0.25">
      <c r="Z25952"/>
    </row>
    <row r="25953" spans="26:26" x14ac:dyDescent="0.25">
      <c r="Z25953"/>
    </row>
    <row r="25954" spans="26:26" x14ac:dyDescent="0.25">
      <c r="Z25954"/>
    </row>
    <row r="25955" spans="26:26" x14ac:dyDescent="0.25">
      <c r="Z25955"/>
    </row>
    <row r="25956" spans="26:26" x14ac:dyDescent="0.25">
      <c r="Z25956"/>
    </row>
    <row r="25957" spans="26:26" x14ac:dyDescent="0.25">
      <c r="Z25957"/>
    </row>
    <row r="25958" spans="26:26" x14ac:dyDescent="0.25">
      <c r="Z25958"/>
    </row>
    <row r="25959" spans="26:26" x14ac:dyDescent="0.25">
      <c r="Z25959"/>
    </row>
    <row r="25960" spans="26:26" x14ac:dyDescent="0.25">
      <c r="Z25960"/>
    </row>
    <row r="25961" spans="26:26" x14ac:dyDescent="0.25">
      <c r="Z25961"/>
    </row>
    <row r="25962" spans="26:26" x14ac:dyDescent="0.25">
      <c r="Z25962"/>
    </row>
    <row r="25963" spans="26:26" x14ac:dyDescent="0.25">
      <c r="Z25963"/>
    </row>
    <row r="25964" spans="26:26" x14ac:dyDescent="0.25">
      <c r="Z25964"/>
    </row>
    <row r="25965" spans="26:26" x14ac:dyDescent="0.25">
      <c r="Z25965"/>
    </row>
    <row r="25966" spans="26:26" x14ac:dyDescent="0.25">
      <c r="Z25966"/>
    </row>
    <row r="25967" spans="26:26" x14ac:dyDescent="0.25">
      <c r="Z25967"/>
    </row>
    <row r="25968" spans="26:26" x14ac:dyDescent="0.25">
      <c r="Z25968"/>
    </row>
    <row r="25969" spans="26:26" x14ac:dyDescent="0.25">
      <c r="Z25969"/>
    </row>
    <row r="25970" spans="26:26" x14ac:dyDescent="0.25">
      <c r="Z25970"/>
    </row>
    <row r="25971" spans="26:26" x14ac:dyDescent="0.25">
      <c r="Z25971"/>
    </row>
    <row r="25972" spans="26:26" x14ac:dyDescent="0.25">
      <c r="Z25972"/>
    </row>
    <row r="25973" spans="26:26" x14ac:dyDescent="0.25">
      <c r="Z25973"/>
    </row>
    <row r="25974" spans="26:26" x14ac:dyDescent="0.25">
      <c r="Z25974"/>
    </row>
    <row r="25975" spans="26:26" x14ac:dyDescent="0.25">
      <c r="Z25975"/>
    </row>
    <row r="25976" spans="26:26" x14ac:dyDescent="0.25">
      <c r="Z25976"/>
    </row>
    <row r="25977" spans="26:26" x14ac:dyDescent="0.25">
      <c r="Z25977"/>
    </row>
    <row r="25978" spans="26:26" x14ac:dyDescent="0.25">
      <c r="Z25978"/>
    </row>
    <row r="25979" spans="26:26" x14ac:dyDescent="0.25">
      <c r="Z25979"/>
    </row>
    <row r="25980" spans="26:26" x14ac:dyDescent="0.25">
      <c r="Z25980"/>
    </row>
    <row r="25981" spans="26:26" x14ac:dyDescent="0.25">
      <c r="Z25981"/>
    </row>
    <row r="25982" spans="26:26" x14ac:dyDescent="0.25">
      <c r="Z25982"/>
    </row>
    <row r="25983" spans="26:26" x14ac:dyDescent="0.25">
      <c r="Z25983"/>
    </row>
    <row r="25984" spans="26:26" x14ac:dyDescent="0.25">
      <c r="Z25984"/>
    </row>
    <row r="25985" spans="26:26" x14ac:dyDescent="0.25">
      <c r="Z25985"/>
    </row>
    <row r="25986" spans="26:26" x14ac:dyDescent="0.25">
      <c r="Z25986"/>
    </row>
    <row r="25987" spans="26:26" x14ac:dyDescent="0.25">
      <c r="Z25987"/>
    </row>
    <row r="25988" spans="26:26" x14ac:dyDescent="0.25">
      <c r="Z25988"/>
    </row>
    <row r="25989" spans="26:26" x14ac:dyDescent="0.25">
      <c r="Z25989"/>
    </row>
    <row r="25990" spans="26:26" x14ac:dyDescent="0.25">
      <c r="Z25990"/>
    </row>
    <row r="25991" spans="26:26" x14ac:dyDescent="0.25">
      <c r="Z25991"/>
    </row>
    <row r="25992" spans="26:26" x14ac:dyDescent="0.25">
      <c r="Z25992"/>
    </row>
    <row r="25993" spans="26:26" x14ac:dyDescent="0.25">
      <c r="Z25993"/>
    </row>
    <row r="25994" spans="26:26" x14ac:dyDescent="0.25">
      <c r="Z25994"/>
    </row>
    <row r="25995" spans="26:26" x14ac:dyDescent="0.25">
      <c r="Z25995"/>
    </row>
    <row r="25996" spans="26:26" x14ac:dyDescent="0.25">
      <c r="Z25996"/>
    </row>
    <row r="25997" spans="26:26" x14ac:dyDescent="0.25">
      <c r="Z25997"/>
    </row>
    <row r="25998" spans="26:26" x14ac:dyDescent="0.25">
      <c r="Z25998"/>
    </row>
    <row r="25999" spans="26:26" x14ac:dyDescent="0.25">
      <c r="Z25999"/>
    </row>
    <row r="26000" spans="26:26" x14ac:dyDescent="0.25">
      <c r="Z26000"/>
    </row>
    <row r="26001" spans="26:26" x14ac:dyDescent="0.25">
      <c r="Z26001"/>
    </row>
    <row r="26002" spans="26:26" x14ac:dyDescent="0.25">
      <c r="Z26002"/>
    </row>
    <row r="26003" spans="26:26" x14ac:dyDescent="0.25">
      <c r="Z26003"/>
    </row>
    <row r="26004" spans="26:26" x14ac:dyDescent="0.25">
      <c r="Z26004"/>
    </row>
    <row r="26005" spans="26:26" x14ac:dyDescent="0.25">
      <c r="Z26005"/>
    </row>
    <row r="26006" spans="26:26" x14ac:dyDescent="0.25">
      <c r="Z26006"/>
    </row>
    <row r="26007" spans="26:26" x14ac:dyDescent="0.25">
      <c r="Z26007"/>
    </row>
    <row r="26008" spans="26:26" x14ac:dyDescent="0.25">
      <c r="Z26008"/>
    </row>
    <row r="26009" spans="26:26" x14ac:dyDescent="0.25">
      <c r="Z26009"/>
    </row>
    <row r="26010" spans="26:26" x14ac:dyDescent="0.25">
      <c r="Z26010"/>
    </row>
    <row r="26011" spans="26:26" x14ac:dyDescent="0.25">
      <c r="Z26011"/>
    </row>
    <row r="26012" spans="26:26" x14ac:dyDescent="0.25">
      <c r="Z26012"/>
    </row>
    <row r="26013" spans="26:26" x14ac:dyDescent="0.25">
      <c r="Z26013"/>
    </row>
    <row r="26014" spans="26:26" x14ac:dyDescent="0.25">
      <c r="Z26014"/>
    </row>
    <row r="26015" spans="26:26" x14ac:dyDescent="0.25">
      <c r="Z26015"/>
    </row>
    <row r="26016" spans="26:26" x14ac:dyDescent="0.25">
      <c r="Z26016"/>
    </row>
    <row r="26017" spans="26:26" x14ac:dyDescent="0.25">
      <c r="Z26017"/>
    </row>
    <row r="26018" spans="26:26" x14ac:dyDescent="0.25">
      <c r="Z26018"/>
    </row>
    <row r="26019" spans="26:26" x14ac:dyDescent="0.25">
      <c r="Z26019"/>
    </row>
    <row r="26020" spans="26:26" x14ac:dyDescent="0.25">
      <c r="Z26020"/>
    </row>
    <row r="26021" spans="26:26" x14ac:dyDescent="0.25">
      <c r="Z26021"/>
    </row>
    <row r="26022" spans="26:26" x14ac:dyDescent="0.25">
      <c r="Z26022"/>
    </row>
    <row r="26023" spans="26:26" x14ac:dyDescent="0.25">
      <c r="Z26023"/>
    </row>
    <row r="26024" spans="26:26" x14ac:dyDescent="0.25">
      <c r="Z26024"/>
    </row>
    <row r="26025" spans="26:26" x14ac:dyDescent="0.25">
      <c r="Z26025"/>
    </row>
    <row r="26026" spans="26:26" x14ac:dyDescent="0.25">
      <c r="Z26026"/>
    </row>
    <row r="26027" spans="26:26" x14ac:dyDescent="0.25">
      <c r="Z26027"/>
    </row>
    <row r="26028" spans="26:26" x14ac:dyDescent="0.25">
      <c r="Z26028"/>
    </row>
    <row r="26029" spans="26:26" x14ac:dyDescent="0.25">
      <c r="Z26029"/>
    </row>
    <row r="26030" spans="26:26" x14ac:dyDescent="0.25">
      <c r="Z26030"/>
    </row>
    <row r="26031" spans="26:26" x14ac:dyDescent="0.25">
      <c r="Z26031"/>
    </row>
    <row r="26032" spans="26:26" x14ac:dyDescent="0.25">
      <c r="Z26032"/>
    </row>
    <row r="26033" spans="26:26" x14ac:dyDescent="0.25">
      <c r="Z26033"/>
    </row>
    <row r="26034" spans="26:26" x14ac:dyDescent="0.25">
      <c r="Z26034"/>
    </row>
    <row r="26035" spans="26:26" x14ac:dyDescent="0.25">
      <c r="Z26035"/>
    </row>
    <row r="26036" spans="26:26" x14ac:dyDescent="0.25">
      <c r="Z26036"/>
    </row>
    <row r="26037" spans="26:26" x14ac:dyDescent="0.25">
      <c r="Z26037"/>
    </row>
    <row r="26038" spans="26:26" x14ac:dyDescent="0.25">
      <c r="Z26038"/>
    </row>
    <row r="26039" spans="26:26" x14ac:dyDescent="0.25">
      <c r="Z26039"/>
    </row>
    <row r="26040" spans="26:26" x14ac:dyDescent="0.25">
      <c r="Z26040"/>
    </row>
    <row r="26041" spans="26:26" x14ac:dyDescent="0.25">
      <c r="Z26041"/>
    </row>
    <row r="26042" spans="26:26" x14ac:dyDescent="0.25">
      <c r="Z26042"/>
    </row>
    <row r="26043" spans="26:26" x14ac:dyDescent="0.25">
      <c r="Z26043"/>
    </row>
    <row r="26044" spans="26:26" x14ac:dyDescent="0.25">
      <c r="Z26044"/>
    </row>
    <row r="26045" spans="26:26" x14ac:dyDescent="0.25">
      <c r="Z26045"/>
    </row>
    <row r="26046" spans="26:26" x14ac:dyDescent="0.25">
      <c r="Z26046"/>
    </row>
    <row r="26047" spans="26:26" x14ac:dyDescent="0.25">
      <c r="Z26047"/>
    </row>
    <row r="26048" spans="26:26" x14ac:dyDescent="0.25">
      <c r="Z26048"/>
    </row>
    <row r="26049" spans="26:26" x14ac:dyDescent="0.25">
      <c r="Z26049"/>
    </row>
    <row r="26050" spans="26:26" x14ac:dyDescent="0.25">
      <c r="Z26050"/>
    </row>
    <row r="26051" spans="26:26" x14ac:dyDescent="0.25">
      <c r="Z26051"/>
    </row>
    <row r="26052" spans="26:26" x14ac:dyDescent="0.25">
      <c r="Z26052"/>
    </row>
    <row r="26053" spans="26:26" x14ac:dyDescent="0.25">
      <c r="Z26053"/>
    </row>
    <row r="26054" spans="26:26" x14ac:dyDescent="0.25">
      <c r="Z26054"/>
    </row>
    <row r="26055" spans="26:26" x14ac:dyDescent="0.25">
      <c r="Z26055"/>
    </row>
    <row r="26056" spans="26:26" x14ac:dyDescent="0.25">
      <c r="Z26056"/>
    </row>
    <row r="26057" spans="26:26" x14ac:dyDescent="0.25">
      <c r="Z26057"/>
    </row>
    <row r="26058" spans="26:26" x14ac:dyDescent="0.25">
      <c r="Z26058"/>
    </row>
    <row r="26059" spans="26:26" x14ac:dyDescent="0.25">
      <c r="Z26059"/>
    </row>
    <row r="26060" spans="26:26" x14ac:dyDescent="0.25">
      <c r="Z26060"/>
    </row>
    <row r="26061" spans="26:26" x14ac:dyDescent="0.25">
      <c r="Z26061"/>
    </row>
    <row r="26062" spans="26:26" x14ac:dyDescent="0.25">
      <c r="Z26062"/>
    </row>
    <row r="26063" spans="26:26" x14ac:dyDescent="0.25">
      <c r="Z26063"/>
    </row>
    <row r="26064" spans="26:26" x14ac:dyDescent="0.25">
      <c r="Z26064"/>
    </row>
    <row r="26065" spans="26:26" x14ac:dyDescent="0.25">
      <c r="Z26065"/>
    </row>
    <row r="26066" spans="26:26" x14ac:dyDescent="0.25">
      <c r="Z26066"/>
    </row>
    <row r="26067" spans="26:26" x14ac:dyDescent="0.25">
      <c r="Z26067"/>
    </row>
    <row r="26068" spans="26:26" x14ac:dyDescent="0.25">
      <c r="Z26068"/>
    </row>
    <row r="26069" spans="26:26" x14ac:dyDescent="0.25">
      <c r="Z26069"/>
    </row>
    <row r="26070" spans="26:26" x14ac:dyDescent="0.25">
      <c r="Z26070"/>
    </row>
    <row r="26071" spans="26:26" x14ac:dyDescent="0.25">
      <c r="Z26071"/>
    </row>
    <row r="26072" spans="26:26" x14ac:dyDescent="0.25">
      <c r="Z26072"/>
    </row>
    <row r="26073" spans="26:26" x14ac:dyDescent="0.25">
      <c r="Z26073"/>
    </row>
    <row r="26074" spans="26:26" x14ac:dyDescent="0.25">
      <c r="Z26074"/>
    </row>
    <row r="26075" spans="26:26" x14ac:dyDescent="0.25">
      <c r="Z26075"/>
    </row>
    <row r="26076" spans="26:26" x14ac:dyDescent="0.25">
      <c r="Z26076"/>
    </row>
    <row r="26077" spans="26:26" x14ac:dyDescent="0.25">
      <c r="Z26077"/>
    </row>
    <row r="26078" spans="26:26" x14ac:dyDescent="0.25">
      <c r="Z26078"/>
    </row>
    <row r="26079" spans="26:26" x14ac:dyDescent="0.25">
      <c r="Z26079"/>
    </row>
    <row r="26080" spans="26:26" x14ac:dyDescent="0.25">
      <c r="Z26080"/>
    </row>
    <row r="26081" spans="26:26" x14ac:dyDescent="0.25">
      <c r="Z26081"/>
    </row>
    <row r="26082" spans="26:26" x14ac:dyDescent="0.25">
      <c r="Z26082"/>
    </row>
    <row r="26083" spans="26:26" x14ac:dyDescent="0.25">
      <c r="Z26083"/>
    </row>
    <row r="26084" spans="26:26" x14ac:dyDescent="0.25">
      <c r="Z26084"/>
    </row>
    <row r="26085" spans="26:26" x14ac:dyDescent="0.25">
      <c r="Z26085"/>
    </row>
    <row r="26086" spans="26:26" x14ac:dyDescent="0.25">
      <c r="Z26086"/>
    </row>
    <row r="26087" spans="26:26" x14ac:dyDescent="0.25">
      <c r="Z26087"/>
    </row>
    <row r="26088" spans="26:26" x14ac:dyDescent="0.25">
      <c r="Z26088"/>
    </row>
    <row r="26089" spans="26:26" x14ac:dyDescent="0.25">
      <c r="Z26089"/>
    </row>
    <row r="26090" spans="26:26" x14ac:dyDescent="0.25">
      <c r="Z26090"/>
    </row>
    <row r="26091" spans="26:26" x14ac:dyDescent="0.25">
      <c r="Z26091"/>
    </row>
    <row r="26092" spans="26:26" x14ac:dyDescent="0.25">
      <c r="Z26092"/>
    </row>
    <row r="26093" spans="26:26" x14ac:dyDescent="0.25">
      <c r="Z26093"/>
    </row>
    <row r="26094" spans="26:26" x14ac:dyDescent="0.25">
      <c r="Z26094"/>
    </row>
    <row r="26095" spans="26:26" x14ac:dyDescent="0.25">
      <c r="Z26095"/>
    </row>
    <row r="26096" spans="26:26" x14ac:dyDescent="0.25">
      <c r="Z26096"/>
    </row>
    <row r="26097" spans="26:26" x14ac:dyDescent="0.25">
      <c r="Z26097"/>
    </row>
    <row r="26098" spans="26:26" x14ac:dyDescent="0.25">
      <c r="Z26098"/>
    </row>
    <row r="26099" spans="26:26" x14ac:dyDescent="0.25">
      <c r="Z26099"/>
    </row>
    <row r="26100" spans="26:26" x14ac:dyDescent="0.25">
      <c r="Z26100"/>
    </row>
    <row r="26101" spans="26:26" x14ac:dyDescent="0.25">
      <c r="Z26101"/>
    </row>
    <row r="26102" spans="26:26" x14ac:dyDescent="0.25">
      <c r="Z26102"/>
    </row>
    <row r="26103" spans="26:26" x14ac:dyDescent="0.25">
      <c r="Z26103"/>
    </row>
    <row r="26104" spans="26:26" x14ac:dyDescent="0.25">
      <c r="Z26104"/>
    </row>
    <row r="26105" spans="26:26" x14ac:dyDescent="0.25">
      <c r="Z26105"/>
    </row>
    <row r="26106" spans="26:26" x14ac:dyDescent="0.25">
      <c r="Z26106"/>
    </row>
    <row r="26107" spans="26:26" x14ac:dyDescent="0.25">
      <c r="Z26107"/>
    </row>
    <row r="26108" spans="26:26" x14ac:dyDescent="0.25">
      <c r="Z26108"/>
    </row>
    <row r="26109" spans="26:26" x14ac:dyDescent="0.25">
      <c r="Z26109"/>
    </row>
    <row r="26110" spans="26:26" x14ac:dyDescent="0.25">
      <c r="Z26110"/>
    </row>
    <row r="26111" spans="26:26" x14ac:dyDescent="0.25">
      <c r="Z26111"/>
    </row>
    <row r="26112" spans="26:26" x14ac:dyDescent="0.25">
      <c r="Z26112"/>
    </row>
    <row r="26113" spans="26:26" x14ac:dyDescent="0.25">
      <c r="Z26113"/>
    </row>
    <row r="26114" spans="26:26" x14ac:dyDescent="0.25">
      <c r="Z26114"/>
    </row>
    <row r="26115" spans="26:26" x14ac:dyDescent="0.25">
      <c r="Z26115"/>
    </row>
    <row r="26116" spans="26:26" x14ac:dyDescent="0.25">
      <c r="Z26116"/>
    </row>
    <row r="26117" spans="26:26" x14ac:dyDescent="0.25">
      <c r="Z26117"/>
    </row>
    <row r="26118" spans="26:26" x14ac:dyDescent="0.25">
      <c r="Z26118"/>
    </row>
    <row r="26119" spans="26:26" x14ac:dyDescent="0.25">
      <c r="Z26119"/>
    </row>
    <row r="26120" spans="26:26" x14ac:dyDescent="0.25">
      <c r="Z26120"/>
    </row>
    <row r="26121" spans="26:26" x14ac:dyDescent="0.25">
      <c r="Z26121"/>
    </row>
    <row r="26122" spans="26:26" x14ac:dyDescent="0.25">
      <c r="Z26122"/>
    </row>
    <row r="26123" spans="26:26" x14ac:dyDescent="0.25">
      <c r="Z26123"/>
    </row>
    <row r="26124" spans="26:26" x14ac:dyDescent="0.25">
      <c r="Z26124"/>
    </row>
    <row r="26125" spans="26:26" x14ac:dyDescent="0.25">
      <c r="Z26125"/>
    </row>
    <row r="26126" spans="26:26" x14ac:dyDescent="0.25">
      <c r="Z26126"/>
    </row>
    <row r="26127" spans="26:26" x14ac:dyDescent="0.25">
      <c r="Z26127"/>
    </row>
    <row r="26128" spans="26:26" x14ac:dyDescent="0.25">
      <c r="Z26128"/>
    </row>
    <row r="26129" spans="26:26" x14ac:dyDescent="0.25">
      <c r="Z26129"/>
    </row>
    <row r="26130" spans="26:26" x14ac:dyDescent="0.25">
      <c r="Z26130"/>
    </row>
    <row r="26131" spans="26:26" x14ac:dyDescent="0.25">
      <c r="Z26131"/>
    </row>
    <row r="26132" spans="26:26" x14ac:dyDescent="0.25">
      <c r="Z26132"/>
    </row>
    <row r="26133" spans="26:26" x14ac:dyDescent="0.25">
      <c r="Z26133"/>
    </row>
    <row r="26134" spans="26:26" x14ac:dyDescent="0.25">
      <c r="Z26134"/>
    </row>
    <row r="26135" spans="26:26" x14ac:dyDescent="0.25">
      <c r="Z26135"/>
    </row>
    <row r="26136" spans="26:26" x14ac:dyDescent="0.25">
      <c r="Z26136"/>
    </row>
    <row r="26137" spans="26:26" x14ac:dyDescent="0.25">
      <c r="Z26137"/>
    </row>
    <row r="26138" spans="26:26" x14ac:dyDescent="0.25">
      <c r="Z26138"/>
    </row>
    <row r="26139" spans="26:26" x14ac:dyDescent="0.25">
      <c r="Z26139"/>
    </row>
    <row r="26140" spans="26:26" x14ac:dyDescent="0.25">
      <c r="Z26140"/>
    </row>
    <row r="26141" spans="26:26" x14ac:dyDescent="0.25">
      <c r="Z26141"/>
    </row>
    <row r="26142" spans="26:26" x14ac:dyDescent="0.25">
      <c r="Z26142"/>
    </row>
    <row r="26143" spans="26:26" x14ac:dyDescent="0.25">
      <c r="Z26143"/>
    </row>
    <row r="26144" spans="26:26" x14ac:dyDescent="0.25">
      <c r="Z26144"/>
    </row>
    <row r="26145" spans="26:26" x14ac:dyDescent="0.25">
      <c r="Z26145"/>
    </row>
    <row r="26146" spans="26:26" x14ac:dyDescent="0.25">
      <c r="Z26146"/>
    </row>
    <row r="26147" spans="26:26" x14ac:dyDescent="0.25">
      <c r="Z26147"/>
    </row>
    <row r="26148" spans="26:26" x14ac:dyDescent="0.25">
      <c r="Z26148"/>
    </row>
    <row r="26149" spans="26:26" x14ac:dyDescent="0.25">
      <c r="Z26149"/>
    </row>
    <row r="26150" spans="26:26" x14ac:dyDescent="0.25">
      <c r="Z26150"/>
    </row>
    <row r="26151" spans="26:26" x14ac:dyDescent="0.25">
      <c r="Z26151"/>
    </row>
    <row r="26152" spans="26:26" x14ac:dyDescent="0.25">
      <c r="Z26152"/>
    </row>
    <row r="26153" spans="26:26" x14ac:dyDescent="0.25">
      <c r="Z26153"/>
    </row>
    <row r="26154" spans="26:26" x14ac:dyDescent="0.25">
      <c r="Z26154"/>
    </row>
    <row r="26155" spans="26:26" x14ac:dyDescent="0.25">
      <c r="Z26155"/>
    </row>
    <row r="26156" spans="26:26" x14ac:dyDescent="0.25">
      <c r="Z26156"/>
    </row>
    <row r="26157" spans="26:26" x14ac:dyDescent="0.25">
      <c r="Z26157"/>
    </row>
    <row r="26158" spans="26:26" x14ac:dyDescent="0.25">
      <c r="Z26158"/>
    </row>
    <row r="26159" spans="26:26" x14ac:dyDescent="0.25">
      <c r="Z26159"/>
    </row>
    <row r="26160" spans="26:26" x14ac:dyDescent="0.25">
      <c r="Z26160"/>
    </row>
    <row r="26161" spans="26:26" x14ac:dyDescent="0.25">
      <c r="Z26161"/>
    </row>
    <row r="26162" spans="26:26" x14ac:dyDescent="0.25">
      <c r="Z26162"/>
    </row>
    <row r="26163" spans="26:26" x14ac:dyDescent="0.25">
      <c r="Z26163"/>
    </row>
    <row r="26164" spans="26:26" x14ac:dyDescent="0.25">
      <c r="Z26164"/>
    </row>
    <row r="26165" spans="26:26" x14ac:dyDescent="0.25">
      <c r="Z26165"/>
    </row>
    <row r="26166" spans="26:26" x14ac:dyDescent="0.25">
      <c r="Z26166"/>
    </row>
    <row r="26167" spans="26:26" x14ac:dyDescent="0.25">
      <c r="Z26167"/>
    </row>
    <row r="26168" spans="26:26" x14ac:dyDescent="0.25">
      <c r="Z26168"/>
    </row>
    <row r="26169" spans="26:26" x14ac:dyDescent="0.25">
      <c r="Z26169"/>
    </row>
    <row r="26170" spans="26:26" x14ac:dyDescent="0.25">
      <c r="Z26170"/>
    </row>
    <row r="26171" spans="26:26" x14ac:dyDescent="0.25">
      <c r="Z26171"/>
    </row>
    <row r="26172" spans="26:26" x14ac:dyDescent="0.25">
      <c r="Z26172"/>
    </row>
    <row r="26173" spans="26:26" x14ac:dyDescent="0.25">
      <c r="Z26173"/>
    </row>
    <row r="26174" spans="26:26" x14ac:dyDescent="0.25">
      <c r="Z26174"/>
    </row>
    <row r="26175" spans="26:26" x14ac:dyDescent="0.25">
      <c r="Z26175"/>
    </row>
    <row r="26176" spans="26:26" x14ac:dyDescent="0.25">
      <c r="Z26176"/>
    </row>
    <row r="26177" spans="26:26" x14ac:dyDescent="0.25">
      <c r="Z26177"/>
    </row>
    <row r="26178" spans="26:26" x14ac:dyDescent="0.25">
      <c r="Z26178"/>
    </row>
    <row r="26179" spans="26:26" x14ac:dyDescent="0.25">
      <c r="Z26179"/>
    </row>
    <row r="26180" spans="26:26" x14ac:dyDescent="0.25">
      <c r="Z26180"/>
    </row>
    <row r="26181" spans="26:26" x14ac:dyDescent="0.25">
      <c r="Z26181"/>
    </row>
    <row r="26182" spans="26:26" x14ac:dyDescent="0.25">
      <c r="Z26182"/>
    </row>
    <row r="26183" spans="26:26" x14ac:dyDescent="0.25">
      <c r="Z26183"/>
    </row>
    <row r="26184" spans="26:26" x14ac:dyDescent="0.25">
      <c r="Z26184"/>
    </row>
    <row r="26185" spans="26:26" x14ac:dyDescent="0.25">
      <c r="Z26185"/>
    </row>
    <row r="26186" spans="26:26" x14ac:dyDescent="0.25">
      <c r="Z26186"/>
    </row>
    <row r="26187" spans="26:26" x14ac:dyDescent="0.25">
      <c r="Z26187"/>
    </row>
    <row r="26188" spans="26:26" x14ac:dyDescent="0.25">
      <c r="Z26188"/>
    </row>
    <row r="26189" spans="26:26" x14ac:dyDescent="0.25">
      <c r="Z26189"/>
    </row>
    <row r="26190" spans="26:26" x14ac:dyDescent="0.25">
      <c r="Z26190"/>
    </row>
    <row r="26191" spans="26:26" x14ac:dyDescent="0.25">
      <c r="Z26191"/>
    </row>
    <row r="26192" spans="26:26" x14ac:dyDescent="0.25">
      <c r="Z26192"/>
    </row>
    <row r="26193" spans="26:26" x14ac:dyDescent="0.25">
      <c r="Z26193"/>
    </row>
    <row r="26194" spans="26:26" x14ac:dyDescent="0.25">
      <c r="Z26194"/>
    </row>
    <row r="26195" spans="26:26" x14ac:dyDescent="0.25">
      <c r="Z26195"/>
    </row>
    <row r="26196" spans="26:26" x14ac:dyDescent="0.25">
      <c r="Z26196"/>
    </row>
    <row r="26197" spans="26:26" x14ac:dyDescent="0.25">
      <c r="Z26197"/>
    </row>
    <row r="26198" spans="26:26" x14ac:dyDescent="0.25">
      <c r="Z26198"/>
    </row>
    <row r="26199" spans="26:26" x14ac:dyDescent="0.25">
      <c r="Z26199"/>
    </row>
    <row r="26200" spans="26:26" x14ac:dyDescent="0.25">
      <c r="Z26200"/>
    </row>
    <row r="26201" spans="26:26" x14ac:dyDescent="0.25">
      <c r="Z26201"/>
    </row>
    <row r="26202" spans="26:26" x14ac:dyDescent="0.25">
      <c r="Z26202"/>
    </row>
    <row r="26203" spans="26:26" x14ac:dyDescent="0.25">
      <c r="Z26203"/>
    </row>
    <row r="26204" spans="26:26" x14ac:dyDescent="0.25">
      <c r="Z26204"/>
    </row>
    <row r="26205" spans="26:26" x14ac:dyDescent="0.25">
      <c r="Z26205"/>
    </row>
    <row r="26206" spans="26:26" x14ac:dyDescent="0.25">
      <c r="Z26206"/>
    </row>
    <row r="26207" spans="26:26" x14ac:dyDescent="0.25">
      <c r="Z26207"/>
    </row>
    <row r="26208" spans="26:26" x14ac:dyDescent="0.25">
      <c r="Z26208"/>
    </row>
    <row r="26209" spans="26:26" x14ac:dyDescent="0.25">
      <c r="Z26209"/>
    </row>
    <row r="26210" spans="26:26" x14ac:dyDescent="0.25">
      <c r="Z26210"/>
    </row>
    <row r="26211" spans="26:26" x14ac:dyDescent="0.25">
      <c r="Z26211"/>
    </row>
    <row r="26212" spans="26:26" x14ac:dyDescent="0.25">
      <c r="Z26212"/>
    </row>
    <row r="26213" spans="26:26" x14ac:dyDescent="0.25">
      <c r="Z26213"/>
    </row>
    <row r="26214" spans="26:26" x14ac:dyDescent="0.25">
      <c r="Z26214"/>
    </row>
    <row r="26215" spans="26:26" x14ac:dyDescent="0.25">
      <c r="Z26215"/>
    </row>
    <row r="26216" spans="26:26" x14ac:dyDescent="0.25">
      <c r="Z26216"/>
    </row>
    <row r="26217" spans="26:26" x14ac:dyDescent="0.25">
      <c r="Z26217"/>
    </row>
    <row r="26218" spans="26:26" x14ac:dyDescent="0.25">
      <c r="Z26218"/>
    </row>
    <row r="26219" spans="26:26" x14ac:dyDescent="0.25">
      <c r="Z26219"/>
    </row>
    <row r="26220" spans="26:26" x14ac:dyDescent="0.25">
      <c r="Z26220"/>
    </row>
    <row r="26221" spans="26:26" x14ac:dyDescent="0.25">
      <c r="Z26221"/>
    </row>
    <row r="26222" spans="26:26" x14ac:dyDescent="0.25">
      <c r="Z26222"/>
    </row>
    <row r="26223" spans="26:26" x14ac:dyDescent="0.25">
      <c r="Z26223"/>
    </row>
    <row r="26224" spans="26:26" x14ac:dyDescent="0.25">
      <c r="Z26224"/>
    </row>
    <row r="26225" spans="26:26" x14ac:dyDescent="0.25">
      <c r="Z26225"/>
    </row>
    <row r="26226" spans="26:26" x14ac:dyDescent="0.25">
      <c r="Z26226"/>
    </row>
    <row r="26227" spans="26:26" x14ac:dyDescent="0.25">
      <c r="Z26227"/>
    </row>
    <row r="26228" spans="26:26" x14ac:dyDescent="0.25">
      <c r="Z26228"/>
    </row>
    <row r="26229" spans="26:26" x14ac:dyDescent="0.25">
      <c r="Z26229"/>
    </row>
    <row r="26230" spans="26:26" x14ac:dyDescent="0.25">
      <c r="Z26230"/>
    </row>
    <row r="26231" spans="26:26" x14ac:dyDescent="0.25">
      <c r="Z26231"/>
    </row>
    <row r="26232" spans="26:26" x14ac:dyDescent="0.25">
      <c r="Z26232"/>
    </row>
    <row r="26233" spans="26:26" x14ac:dyDescent="0.25">
      <c r="Z26233"/>
    </row>
    <row r="26234" spans="26:26" x14ac:dyDescent="0.25">
      <c r="Z26234"/>
    </row>
    <row r="26235" spans="26:26" x14ac:dyDescent="0.25">
      <c r="Z26235"/>
    </row>
    <row r="26236" spans="26:26" x14ac:dyDescent="0.25">
      <c r="Z26236"/>
    </row>
    <row r="26237" spans="26:26" x14ac:dyDescent="0.25">
      <c r="Z26237"/>
    </row>
    <row r="26238" spans="26:26" x14ac:dyDescent="0.25">
      <c r="Z26238"/>
    </row>
    <row r="26239" spans="26:26" x14ac:dyDescent="0.25">
      <c r="Z26239"/>
    </row>
    <row r="26240" spans="26:26" x14ac:dyDescent="0.25">
      <c r="Z26240"/>
    </row>
    <row r="26241" spans="26:26" x14ac:dyDescent="0.25">
      <c r="Z26241"/>
    </row>
    <row r="26242" spans="26:26" x14ac:dyDescent="0.25">
      <c r="Z26242"/>
    </row>
    <row r="26243" spans="26:26" x14ac:dyDescent="0.25">
      <c r="Z26243"/>
    </row>
    <row r="26244" spans="26:26" x14ac:dyDescent="0.25">
      <c r="Z26244"/>
    </row>
    <row r="26245" spans="26:26" x14ac:dyDescent="0.25">
      <c r="Z26245"/>
    </row>
    <row r="26246" spans="26:26" x14ac:dyDescent="0.25">
      <c r="Z26246"/>
    </row>
    <row r="26247" spans="26:26" x14ac:dyDescent="0.25">
      <c r="Z26247"/>
    </row>
    <row r="26248" spans="26:26" x14ac:dyDescent="0.25">
      <c r="Z26248"/>
    </row>
    <row r="26249" spans="26:26" x14ac:dyDescent="0.25">
      <c r="Z26249"/>
    </row>
    <row r="26250" spans="26:26" x14ac:dyDescent="0.25">
      <c r="Z26250"/>
    </row>
    <row r="26251" spans="26:26" x14ac:dyDescent="0.25">
      <c r="Z26251"/>
    </row>
    <row r="26252" spans="26:26" x14ac:dyDescent="0.25">
      <c r="Z26252"/>
    </row>
    <row r="26253" spans="26:26" x14ac:dyDescent="0.25">
      <c r="Z26253"/>
    </row>
    <row r="26254" spans="26:26" x14ac:dyDescent="0.25">
      <c r="Z26254"/>
    </row>
    <row r="26255" spans="26:26" x14ac:dyDescent="0.25">
      <c r="Z26255"/>
    </row>
    <row r="26256" spans="26:26" x14ac:dyDescent="0.25">
      <c r="Z26256"/>
    </row>
    <row r="26257" spans="26:26" x14ac:dyDescent="0.25">
      <c r="Z26257"/>
    </row>
    <row r="26258" spans="26:26" x14ac:dyDescent="0.25">
      <c r="Z26258"/>
    </row>
    <row r="26259" spans="26:26" x14ac:dyDescent="0.25">
      <c r="Z26259"/>
    </row>
    <row r="26260" spans="26:26" x14ac:dyDescent="0.25">
      <c r="Z26260"/>
    </row>
    <row r="26261" spans="26:26" x14ac:dyDescent="0.25">
      <c r="Z26261"/>
    </row>
    <row r="26262" spans="26:26" x14ac:dyDescent="0.25">
      <c r="Z26262"/>
    </row>
    <row r="26263" spans="26:26" x14ac:dyDescent="0.25">
      <c r="Z26263"/>
    </row>
    <row r="26264" spans="26:26" x14ac:dyDescent="0.25">
      <c r="Z26264"/>
    </row>
    <row r="26265" spans="26:26" x14ac:dyDescent="0.25">
      <c r="Z26265"/>
    </row>
    <row r="26266" spans="26:26" x14ac:dyDescent="0.25">
      <c r="Z26266"/>
    </row>
    <row r="26267" spans="26:26" x14ac:dyDescent="0.25">
      <c r="Z26267"/>
    </row>
    <row r="26268" spans="26:26" x14ac:dyDescent="0.25">
      <c r="Z26268"/>
    </row>
    <row r="26269" spans="26:26" x14ac:dyDescent="0.25">
      <c r="Z26269"/>
    </row>
    <row r="26270" spans="26:26" x14ac:dyDescent="0.25">
      <c r="Z26270"/>
    </row>
    <row r="26271" spans="26:26" x14ac:dyDescent="0.25">
      <c r="Z26271"/>
    </row>
    <row r="26272" spans="26:26" x14ac:dyDescent="0.25">
      <c r="Z26272"/>
    </row>
    <row r="26273" spans="26:26" x14ac:dyDescent="0.25">
      <c r="Z26273"/>
    </row>
    <row r="26274" spans="26:26" x14ac:dyDescent="0.25">
      <c r="Z26274"/>
    </row>
    <row r="26275" spans="26:26" x14ac:dyDescent="0.25">
      <c r="Z26275"/>
    </row>
    <row r="26276" spans="26:26" x14ac:dyDescent="0.25">
      <c r="Z26276"/>
    </row>
    <row r="26277" spans="26:26" x14ac:dyDescent="0.25">
      <c r="Z26277"/>
    </row>
    <row r="26278" spans="26:26" x14ac:dyDescent="0.25">
      <c r="Z26278"/>
    </row>
    <row r="26279" spans="26:26" x14ac:dyDescent="0.25">
      <c r="Z26279"/>
    </row>
    <row r="26280" spans="26:26" x14ac:dyDescent="0.25">
      <c r="Z26280"/>
    </row>
    <row r="26281" spans="26:26" x14ac:dyDescent="0.25">
      <c r="Z26281"/>
    </row>
    <row r="26282" spans="26:26" x14ac:dyDescent="0.25">
      <c r="Z26282"/>
    </row>
    <row r="26283" spans="26:26" x14ac:dyDescent="0.25">
      <c r="Z26283"/>
    </row>
    <row r="26284" spans="26:26" x14ac:dyDescent="0.25">
      <c r="Z26284"/>
    </row>
    <row r="26285" spans="26:26" x14ac:dyDescent="0.25">
      <c r="Z26285"/>
    </row>
    <row r="26286" spans="26:26" x14ac:dyDescent="0.25">
      <c r="Z26286"/>
    </row>
    <row r="26287" spans="26:26" x14ac:dyDescent="0.25">
      <c r="Z26287"/>
    </row>
    <row r="26288" spans="26:26" x14ac:dyDescent="0.25">
      <c r="Z26288"/>
    </row>
    <row r="26289" spans="26:26" x14ac:dyDescent="0.25">
      <c r="Z26289"/>
    </row>
    <row r="26290" spans="26:26" x14ac:dyDescent="0.25">
      <c r="Z26290"/>
    </row>
    <row r="26291" spans="26:26" x14ac:dyDescent="0.25">
      <c r="Z26291"/>
    </row>
    <row r="26292" spans="26:26" x14ac:dyDescent="0.25">
      <c r="Z26292"/>
    </row>
    <row r="26293" spans="26:26" x14ac:dyDescent="0.25">
      <c r="Z26293"/>
    </row>
    <row r="26294" spans="26:26" x14ac:dyDescent="0.25">
      <c r="Z26294"/>
    </row>
    <row r="26295" spans="26:26" x14ac:dyDescent="0.25">
      <c r="Z26295"/>
    </row>
    <row r="26296" spans="26:26" x14ac:dyDescent="0.25">
      <c r="Z26296"/>
    </row>
    <row r="26297" spans="26:26" x14ac:dyDescent="0.25">
      <c r="Z26297"/>
    </row>
    <row r="26298" spans="26:26" x14ac:dyDescent="0.25">
      <c r="Z26298"/>
    </row>
    <row r="26299" spans="26:26" x14ac:dyDescent="0.25">
      <c r="Z26299"/>
    </row>
    <row r="26300" spans="26:26" x14ac:dyDescent="0.25">
      <c r="Z26300"/>
    </row>
    <row r="26301" spans="26:26" x14ac:dyDescent="0.25">
      <c r="Z26301"/>
    </row>
    <row r="26302" spans="26:26" x14ac:dyDescent="0.25">
      <c r="Z26302"/>
    </row>
    <row r="26303" spans="26:26" x14ac:dyDescent="0.25">
      <c r="Z26303"/>
    </row>
    <row r="26304" spans="26:26" x14ac:dyDescent="0.25">
      <c r="Z26304"/>
    </row>
    <row r="26305" spans="26:26" x14ac:dyDescent="0.25">
      <c r="Z26305"/>
    </row>
    <row r="26306" spans="26:26" x14ac:dyDescent="0.25">
      <c r="Z26306"/>
    </row>
    <row r="26307" spans="26:26" x14ac:dyDescent="0.25">
      <c r="Z26307"/>
    </row>
    <row r="26308" spans="26:26" x14ac:dyDescent="0.25">
      <c r="Z26308"/>
    </row>
    <row r="26309" spans="26:26" x14ac:dyDescent="0.25">
      <c r="Z26309"/>
    </row>
    <row r="26310" spans="26:26" x14ac:dyDescent="0.25">
      <c r="Z26310"/>
    </row>
    <row r="26311" spans="26:26" x14ac:dyDescent="0.25">
      <c r="Z26311"/>
    </row>
    <row r="26312" spans="26:26" x14ac:dyDescent="0.25">
      <c r="Z26312"/>
    </row>
    <row r="26313" spans="26:26" x14ac:dyDescent="0.25">
      <c r="Z26313"/>
    </row>
    <row r="26314" spans="26:26" x14ac:dyDescent="0.25">
      <c r="Z26314"/>
    </row>
    <row r="26315" spans="26:26" x14ac:dyDescent="0.25">
      <c r="Z26315"/>
    </row>
    <row r="26316" spans="26:26" x14ac:dyDescent="0.25">
      <c r="Z26316"/>
    </row>
    <row r="26317" spans="26:26" x14ac:dyDescent="0.25">
      <c r="Z26317"/>
    </row>
    <row r="26318" spans="26:26" x14ac:dyDescent="0.25">
      <c r="Z26318"/>
    </row>
    <row r="26319" spans="26:26" x14ac:dyDescent="0.25">
      <c r="Z26319"/>
    </row>
    <row r="26320" spans="26:26" x14ac:dyDescent="0.25">
      <c r="Z26320"/>
    </row>
    <row r="26321" spans="26:26" x14ac:dyDescent="0.25">
      <c r="Z26321"/>
    </row>
    <row r="26322" spans="26:26" x14ac:dyDescent="0.25">
      <c r="Z26322"/>
    </row>
    <row r="26323" spans="26:26" x14ac:dyDescent="0.25">
      <c r="Z26323"/>
    </row>
    <row r="26324" spans="26:26" x14ac:dyDescent="0.25">
      <c r="Z26324"/>
    </row>
    <row r="26325" spans="26:26" x14ac:dyDescent="0.25">
      <c r="Z26325"/>
    </row>
    <row r="26326" spans="26:26" x14ac:dyDescent="0.25">
      <c r="Z26326"/>
    </row>
    <row r="26327" spans="26:26" x14ac:dyDescent="0.25">
      <c r="Z26327"/>
    </row>
    <row r="26328" spans="26:26" x14ac:dyDescent="0.25">
      <c r="Z26328"/>
    </row>
    <row r="26329" spans="26:26" x14ac:dyDescent="0.25">
      <c r="Z26329"/>
    </row>
    <row r="26330" spans="26:26" x14ac:dyDescent="0.25">
      <c r="Z26330"/>
    </row>
    <row r="26331" spans="26:26" x14ac:dyDescent="0.25">
      <c r="Z26331"/>
    </row>
    <row r="26332" spans="26:26" x14ac:dyDescent="0.25">
      <c r="Z26332"/>
    </row>
    <row r="26333" spans="26:26" x14ac:dyDescent="0.25">
      <c r="Z26333"/>
    </row>
    <row r="26334" spans="26:26" x14ac:dyDescent="0.25">
      <c r="Z26334"/>
    </row>
    <row r="26335" spans="26:26" x14ac:dyDescent="0.25">
      <c r="Z26335"/>
    </row>
    <row r="26336" spans="26:26" x14ac:dyDescent="0.25">
      <c r="Z26336"/>
    </row>
    <row r="26337" spans="26:26" x14ac:dyDescent="0.25">
      <c r="Z26337"/>
    </row>
    <row r="26338" spans="26:26" x14ac:dyDescent="0.25">
      <c r="Z26338"/>
    </row>
    <row r="26339" spans="26:26" x14ac:dyDescent="0.25">
      <c r="Z26339"/>
    </row>
    <row r="26340" spans="26:26" x14ac:dyDescent="0.25">
      <c r="Z26340"/>
    </row>
    <row r="26341" spans="26:26" x14ac:dyDescent="0.25">
      <c r="Z26341"/>
    </row>
    <row r="26342" spans="26:26" x14ac:dyDescent="0.25">
      <c r="Z26342"/>
    </row>
    <row r="26343" spans="26:26" x14ac:dyDescent="0.25">
      <c r="Z26343"/>
    </row>
    <row r="26344" spans="26:26" x14ac:dyDescent="0.25">
      <c r="Z26344"/>
    </row>
    <row r="26345" spans="26:26" x14ac:dyDescent="0.25">
      <c r="Z26345"/>
    </row>
    <row r="26346" spans="26:26" x14ac:dyDescent="0.25">
      <c r="Z26346"/>
    </row>
    <row r="26347" spans="26:26" x14ac:dyDescent="0.25">
      <c r="Z26347"/>
    </row>
    <row r="26348" spans="26:26" x14ac:dyDescent="0.25">
      <c r="Z26348"/>
    </row>
    <row r="26349" spans="26:26" x14ac:dyDescent="0.25">
      <c r="Z26349"/>
    </row>
    <row r="26350" spans="26:26" x14ac:dyDescent="0.25">
      <c r="Z26350"/>
    </row>
    <row r="26351" spans="26:26" x14ac:dyDescent="0.25">
      <c r="Z26351"/>
    </row>
    <row r="26352" spans="26:26" x14ac:dyDescent="0.25">
      <c r="Z26352"/>
    </row>
    <row r="26353" spans="26:26" x14ac:dyDescent="0.25">
      <c r="Z26353"/>
    </row>
    <row r="26354" spans="26:26" x14ac:dyDescent="0.25">
      <c r="Z26354"/>
    </row>
    <row r="26355" spans="26:26" x14ac:dyDescent="0.25">
      <c r="Z26355"/>
    </row>
    <row r="26356" spans="26:26" x14ac:dyDescent="0.25">
      <c r="Z26356"/>
    </row>
    <row r="26357" spans="26:26" x14ac:dyDescent="0.25">
      <c r="Z26357"/>
    </row>
    <row r="26358" spans="26:26" x14ac:dyDescent="0.25">
      <c r="Z26358"/>
    </row>
    <row r="26359" spans="26:26" x14ac:dyDescent="0.25">
      <c r="Z26359"/>
    </row>
    <row r="26360" spans="26:26" x14ac:dyDescent="0.25">
      <c r="Z26360"/>
    </row>
    <row r="26361" spans="26:26" x14ac:dyDescent="0.25">
      <c r="Z26361"/>
    </row>
    <row r="26362" spans="26:26" x14ac:dyDescent="0.25">
      <c r="Z26362"/>
    </row>
    <row r="26363" spans="26:26" x14ac:dyDescent="0.25">
      <c r="Z26363"/>
    </row>
    <row r="26364" spans="26:26" x14ac:dyDescent="0.25">
      <c r="Z26364"/>
    </row>
    <row r="26365" spans="26:26" x14ac:dyDescent="0.25">
      <c r="Z26365"/>
    </row>
    <row r="26366" spans="26:26" x14ac:dyDescent="0.25">
      <c r="Z26366"/>
    </row>
    <row r="26367" spans="26:26" x14ac:dyDescent="0.25">
      <c r="Z26367"/>
    </row>
    <row r="26368" spans="26:26" x14ac:dyDescent="0.25">
      <c r="Z26368"/>
    </row>
    <row r="26369" spans="26:26" x14ac:dyDescent="0.25">
      <c r="Z26369"/>
    </row>
    <row r="26370" spans="26:26" x14ac:dyDescent="0.25">
      <c r="Z26370"/>
    </row>
    <row r="26371" spans="26:26" x14ac:dyDescent="0.25">
      <c r="Z26371"/>
    </row>
    <row r="26372" spans="26:26" x14ac:dyDescent="0.25">
      <c r="Z26372"/>
    </row>
    <row r="26373" spans="26:26" x14ac:dyDescent="0.25">
      <c r="Z26373"/>
    </row>
    <row r="26374" spans="26:26" x14ac:dyDescent="0.25">
      <c r="Z26374"/>
    </row>
    <row r="26375" spans="26:26" x14ac:dyDescent="0.25">
      <c r="Z26375"/>
    </row>
    <row r="26376" spans="26:26" x14ac:dyDescent="0.25">
      <c r="Z26376"/>
    </row>
    <row r="26377" spans="26:26" x14ac:dyDescent="0.25">
      <c r="Z26377"/>
    </row>
    <row r="26378" spans="26:26" x14ac:dyDescent="0.25">
      <c r="Z26378"/>
    </row>
    <row r="26379" spans="26:26" x14ac:dyDescent="0.25">
      <c r="Z26379"/>
    </row>
    <row r="26380" spans="26:26" x14ac:dyDescent="0.25">
      <c r="Z26380"/>
    </row>
    <row r="26381" spans="26:26" x14ac:dyDescent="0.25">
      <c r="Z26381"/>
    </row>
    <row r="26382" spans="26:26" x14ac:dyDescent="0.25">
      <c r="Z26382"/>
    </row>
    <row r="26383" spans="26:26" x14ac:dyDescent="0.25">
      <c r="Z26383"/>
    </row>
    <row r="26384" spans="26:26" x14ac:dyDescent="0.25">
      <c r="Z26384"/>
    </row>
    <row r="26385" spans="26:26" x14ac:dyDescent="0.25">
      <c r="Z26385"/>
    </row>
    <row r="26386" spans="26:26" x14ac:dyDescent="0.25">
      <c r="Z26386"/>
    </row>
    <row r="26387" spans="26:26" x14ac:dyDescent="0.25">
      <c r="Z26387"/>
    </row>
    <row r="26388" spans="26:26" x14ac:dyDescent="0.25">
      <c r="Z26388"/>
    </row>
    <row r="26389" spans="26:26" x14ac:dyDescent="0.25">
      <c r="Z26389"/>
    </row>
    <row r="26390" spans="26:26" x14ac:dyDescent="0.25">
      <c r="Z26390"/>
    </row>
    <row r="26391" spans="26:26" x14ac:dyDescent="0.25">
      <c r="Z26391"/>
    </row>
    <row r="26392" spans="26:26" x14ac:dyDescent="0.25">
      <c r="Z26392"/>
    </row>
    <row r="26393" spans="26:26" x14ac:dyDescent="0.25">
      <c r="Z26393"/>
    </row>
    <row r="26394" spans="26:26" x14ac:dyDescent="0.25">
      <c r="Z26394"/>
    </row>
    <row r="26395" spans="26:26" x14ac:dyDescent="0.25">
      <c r="Z26395"/>
    </row>
    <row r="26396" spans="26:26" x14ac:dyDescent="0.25">
      <c r="Z26396"/>
    </row>
    <row r="26397" spans="26:26" x14ac:dyDescent="0.25">
      <c r="Z26397"/>
    </row>
    <row r="26398" spans="26:26" x14ac:dyDescent="0.25">
      <c r="Z26398"/>
    </row>
    <row r="26399" spans="26:26" x14ac:dyDescent="0.25">
      <c r="Z26399"/>
    </row>
    <row r="26400" spans="26:26" x14ac:dyDescent="0.25">
      <c r="Z26400"/>
    </row>
    <row r="26401" spans="26:26" x14ac:dyDescent="0.25">
      <c r="Z26401"/>
    </row>
    <row r="26402" spans="26:26" x14ac:dyDescent="0.25">
      <c r="Z26402"/>
    </row>
    <row r="26403" spans="26:26" x14ac:dyDescent="0.25">
      <c r="Z26403"/>
    </row>
    <row r="26404" spans="26:26" x14ac:dyDescent="0.25">
      <c r="Z26404"/>
    </row>
    <row r="26405" spans="26:26" x14ac:dyDescent="0.25">
      <c r="Z26405"/>
    </row>
    <row r="26406" spans="26:26" x14ac:dyDescent="0.25">
      <c r="Z26406"/>
    </row>
    <row r="26407" spans="26:26" x14ac:dyDescent="0.25">
      <c r="Z26407"/>
    </row>
    <row r="26408" spans="26:26" x14ac:dyDescent="0.25">
      <c r="Z26408"/>
    </row>
    <row r="26409" spans="26:26" x14ac:dyDescent="0.25">
      <c r="Z26409"/>
    </row>
    <row r="26410" spans="26:26" x14ac:dyDescent="0.25">
      <c r="Z26410"/>
    </row>
    <row r="26411" spans="26:26" x14ac:dyDescent="0.25">
      <c r="Z26411"/>
    </row>
    <row r="26412" spans="26:26" x14ac:dyDescent="0.25">
      <c r="Z26412"/>
    </row>
    <row r="26413" spans="26:26" x14ac:dyDescent="0.25">
      <c r="Z26413"/>
    </row>
    <row r="26414" spans="26:26" x14ac:dyDescent="0.25">
      <c r="Z26414"/>
    </row>
    <row r="26415" spans="26:26" x14ac:dyDescent="0.25">
      <c r="Z26415"/>
    </row>
    <row r="26416" spans="26:26" x14ac:dyDescent="0.25">
      <c r="Z26416"/>
    </row>
    <row r="26417" spans="26:26" x14ac:dyDescent="0.25">
      <c r="Z26417"/>
    </row>
    <row r="26418" spans="26:26" x14ac:dyDescent="0.25">
      <c r="Z26418"/>
    </row>
    <row r="26419" spans="26:26" x14ac:dyDescent="0.25">
      <c r="Z26419"/>
    </row>
    <row r="26420" spans="26:26" x14ac:dyDescent="0.25">
      <c r="Z26420"/>
    </row>
    <row r="26421" spans="26:26" x14ac:dyDescent="0.25">
      <c r="Z26421"/>
    </row>
    <row r="26422" spans="26:26" x14ac:dyDescent="0.25">
      <c r="Z26422"/>
    </row>
    <row r="26423" spans="26:26" x14ac:dyDescent="0.25">
      <c r="Z26423"/>
    </row>
    <row r="26424" spans="26:26" x14ac:dyDescent="0.25">
      <c r="Z26424"/>
    </row>
    <row r="26425" spans="26:26" x14ac:dyDescent="0.25">
      <c r="Z26425"/>
    </row>
    <row r="26426" spans="26:26" x14ac:dyDescent="0.25">
      <c r="Z26426"/>
    </row>
    <row r="26427" spans="26:26" x14ac:dyDescent="0.25">
      <c r="Z26427"/>
    </row>
    <row r="26428" spans="26:26" x14ac:dyDescent="0.25">
      <c r="Z26428"/>
    </row>
    <row r="26429" spans="26:26" x14ac:dyDescent="0.25">
      <c r="Z26429"/>
    </row>
    <row r="26430" spans="26:26" x14ac:dyDescent="0.25">
      <c r="Z26430"/>
    </row>
    <row r="26431" spans="26:26" x14ac:dyDescent="0.25">
      <c r="Z26431"/>
    </row>
    <row r="26432" spans="26:26" x14ac:dyDescent="0.25">
      <c r="Z26432"/>
    </row>
    <row r="26433" spans="26:26" x14ac:dyDescent="0.25">
      <c r="Z26433"/>
    </row>
    <row r="26434" spans="26:26" x14ac:dyDescent="0.25">
      <c r="Z26434"/>
    </row>
    <row r="26435" spans="26:26" x14ac:dyDescent="0.25">
      <c r="Z26435"/>
    </row>
    <row r="26436" spans="26:26" x14ac:dyDescent="0.25">
      <c r="Z26436"/>
    </row>
    <row r="26437" spans="26:26" x14ac:dyDescent="0.25">
      <c r="Z26437"/>
    </row>
    <row r="26438" spans="26:26" x14ac:dyDescent="0.25">
      <c r="Z26438"/>
    </row>
    <row r="26439" spans="26:26" x14ac:dyDescent="0.25">
      <c r="Z26439"/>
    </row>
    <row r="26440" spans="26:26" x14ac:dyDescent="0.25">
      <c r="Z26440"/>
    </row>
    <row r="26441" spans="26:26" x14ac:dyDescent="0.25">
      <c r="Z26441"/>
    </row>
    <row r="26442" spans="26:26" x14ac:dyDescent="0.25">
      <c r="Z26442"/>
    </row>
    <row r="26443" spans="26:26" x14ac:dyDescent="0.25">
      <c r="Z26443"/>
    </row>
    <row r="26444" spans="26:26" x14ac:dyDescent="0.25">
      <c r="Z26444"/>
    </row>
    <row r="26445" spans="26:26" x14ac:dyDescent="0.25">
      <c r="Z26445"/>
    </row>
    <row r="26446" spans="26:26" x14ac:dyDescent="0.25">
      <c r="Z26446"/>
    </row>
    <row r="26447" spans="26:26" x14ac:dyDescent="0.25">
      <c r="Z26447"/>
    </row>
    <row r="26448" spans="26:26" x14ac:dyDescent="0.25">
      <c r="Z26448"/>
    </row>
    <row r="26449" spans="26:26" x14ac:dyDescent="0.25">
      <c r="Z26449"/>
    </row>
    <row r="26450" spans="26:26" x14ac:dyDescent="0.25">
      <c r="Z26450"/>
    </row>
    <row r="26451" spans="26:26" x14ac:dyDescent="0.25">
      <c r="Z26451"/>
    </row>
    <row r="26452" spans="26:26" x14ac:dyDescent="0.25">
      <c r="Z26452"/>
    </row>
    <row r="26453" spans="26:26" x14ac:dyDescent="0.25">
      <c r="Z26453"/>
    </row>
    <row r="26454" spans="26:26" x14ac:dyDescent="0.25">
      <c r="Z26454"/>
    </row>
    <row r="26455" spans="26:26" x14ac:dyDescent="0.25">
      <c r="Z26455"/>
    </row>
    <row r="26456" spans="26:26" x14ac:dyDescent="0.25">
      <c r="Z26456"/>
    </row>
    <row r="26457" spans="26:26" x14ac:dyDescent="0.25">
      <c r="Z26457"/>
    </row>
    <row r="26458" spans="26:26" x14ac:dyDescent="0.25">
      <c r="Z26458"/>
    </row>
    <row r="26459" spans="26:26" x14ac:dyDescent="0.25">
      <c r="Z26459"/>
    </row>
    <row r="26460" spans="26:26" x14ac:dyDescent="0.25">
      <c r="Z26460"/>
    </row>
    <row r="26461" spans="26:26" x14ac:dyDescent="0.25">
      <c r="Z26461"/>
    </row>
    <row r="26462" spans="26:26" x14ac:dyDescent="0.25">
      <c r="Z26462"/>
    </row>
    <row r="26463" spans="26:26" x14ac:dyDescent="0.25">
      <c r="Z26463"/>
    </row>
    <row r="26464" spans="26:26" x14ac:dyDescent="0.25">
      <c r="Z26464"/>
    </row>
    <row r="26465" spans="26:26" x14ac:dyDescent="0.25">
      <c r="Z26465"/>
    </row>
    <row r="26466" spans="26:26" x14ac:dyDescent="0.25">
      <c r="Z26466"/>
    </row>
    <row r="26467" spans="26:26" x14ac:dyDescent="0.25">
      <c r="Z26467"/>
    </row>
    <row r="26468" spans="26:26" x14ac:dyDescent="0.25">
      <c r="Z26468"/>
    </row>
    <row r="26469" spans="26:26" x14ac:dyDescent="0.25">
      <c r="Z26469"/>
    </row>
    <row r="26470" spans="26:26" x14ac:dyDescent="0.25">
      <c r="Z26470"/>
    </row>
    <row r="26471" spans="26:26" x14ac:dyDescent="0.25">
      <c r="Z26471"/>
    </row>
    <row r="26472" spans="26:26" x14ac:dyDescent="0.25">
      <c r="Z26472"/>
    </row>
    <row r="26473" spans="26:26" x14ac:dyDescent="0.25">
      <c r="Z26473"/>
    </row>
    <row r="26474" spans="26:26" x14ac:dyDescent="0.25">
      <c r="Z26474"/>
    </row>
    <row r="26475" spans="26:26" x14ac:dyDescent="0.25">
      <c r="Z26475"/>
    </row>
    <row r="26476" spans="26:26" x14ac:dyDescent="0.25">
      <c r="Z26476"/>
    </row>
    <row r="26477" spans="26:26" x14ac:dyDescent="0.25">
      <c r="Z26477"/>
    </row>
    <row r="26478" spans="26:26" x14ac:dyDescent="0.25">
      <c r="Z26478"/>
    </row>
    <row r="26479" spans="26:26" x14ac:dyDescent="0.25">
      <c r="Z26479"/>
    </row>
    <row r="26480" spans="26:26" x14ac:dyDescent="0.25">
      <c r="Z26480"/>
    </row>
    <row r="26481" spans="26:26" x14ac:dyDescent="0.25">
      <c r="Z26481"/>
    </row>
    <row r="26482" spans="26:26" x14ac:dyDescent="0.25">
      <c r="Z26482"/>
    </row>
    <row r="26483" spans="26:26" x14ac:dyDescent="0.25">
      <c r="Z26483"/>
    </row>
    <row r="26484" spans="26:26" x14ac:dyDescent="0.25">
      <c r="Z26484"/>
    </row>
    <row r="26485" spans="26:26" x14ac:dyDescent="0.25">
      <c r="Z26485"/>
    </row>
    <row r="26486" spans="26:26" x14ac:dyDescent="0.25">
      <c r="Z26486"/>
    </row>
    <row r="26487" spans="26:26" x14ac:dyDescent="0.25">
      <c r="Z26487"/>
    </row>
    <row r="26488" spans="26:26" x14ac:dyDescent="0.25">
      <c r="Z26488"/>
    </row>
    <row r="26489" spans="26:26" x14ac:dyDescent="0.25">
      <c r="Z26489"/>
    </row>
    <row r="26490" spans="26:26" x14ac:dyDescent="0.25">
      <c r="Z26490"/>
    </row>
    <row r="26491" spans="26:26" x14ac:dyDescent="0.25">
      <c r="Z26491"/>
    </row>
    <row r="26492" spans="26:26" x14ac:dyDescent="0.25">
      <c r="Z26492"/>
    </row>
    <row r="26493" spans="26:26" x14ac:dyDescent="0.25">
      <c r="Z26493"/>
    </row>
    <row r="26494" spans="26:26" x14ac:dyDescent="0.25">
      <c r="Z26494"/>
    </row>
    <row r="26495" spans="26:26" x14ac:dyDescent="0.25">
      <c r="Z26495"/>
    </row>
    <row r="26496" spans="26:26" x14ac:dyDescent="0.25">
      <c r="Z26496"/>
    </row>
    <row r="26497" spans="26:26" x14ac:dyDescent="0.25">
      <c r="Z26497"/>
    </row>
    <row r="26498" spans="26:26" x14ac:dyDescent="0.25">
      <c r="Z26498"/>
    </row>
    <row r="26499" spans="26:26" x14ac:dyDescent="0.25">
      <c r="Z26499"/>
    </row>
    <row r="26500" spans="26:26" x14ac:dyDescent="0.25">
      <c r="Z26500"/>
    </row>
    <row r="26501" spans="26:26" x14ac:dyDescent="0.25">
      <c r="Z26501"/>
    </row>
    <row r="26502" spans="26:26" x14ac:dyDescent="0.25">
      <c r="Z26502"/>
    </row>
    <row r="26503" spans="26:26" x14ac:dyDescent="0.25">
      <c r="Z26503"/>
    </row>
    <row r="26504" spans="26:26" x14ac:dyDescent="0.25">
      <c r="Z26504"/>
    </row>
    <row r="26505" spans="26:26" x14ac:dyDescent="0.25">
      <c r="Z26505"/>
    </row>
    <row r="26506" spans="26:26" x14ac:dyDescent="0.25">
      <c r="Z26506"/>
    </row>
    <row r="26507" spans="26:26" x14ac:dyDescent="0.25">
      <c r="Z26507"/>
    </row>
    <row r="26508" spans="26:26" x14ac:dyDescent="0.25">
      <c r="Z26508"/>
    </row>
    <row r="26509" spans="26:26" x14ac:dyDescent="0.25">
      <c r="Z26509"/>
    </row>
    <row r="26510" spans="26:26" x14ac:dyDescent="0.25">
      <c r="Z26510"/>
    </row>
    <row r="26511" spans="26:26" x14ac:dyDescent="0.25">
      <c r="Z26511"/>
    </row>
    <row r="26512" spans="26:26" x14ac:dyDescent="0.25">
      <c r="Z26512"/>
    </row>
    <row r="26513" spans="26:26" x14ac:dyDescent="0.25">
      <c r="Z26513"/>
    </row>
    <row r="26514" spans="26:26" x14ac:dyDescent="0.25">
      <c r="Z26514"/>
    </row>
    <row r="26515" spans="26:26" x14ac:dyDescent="0.25">
      <c r="Z26515"/>
    </row>
    <row r="26516" spans="26:26" x14ac:dyDescent="0.25">
      <c r="Z26516"/>
    </row>
    <row r="26517" spans="26:26" x14ac:dyDescent="0.25">
      <c r="Z26517"/>
    </row>
    <row r="26518" spans="26:26" x14ac:dyDescent="0.25">
      <c r="Z26518"/>
    </row>
    <row r="26519" spans="26:26" x14ac:dyDescent="0.25">
      <c r="Z26519"/>
    </row>
    <row r="26520" spans="26:26" x14ac:dyDescent="0.25">
      <c r="Z26520"/>
    </row>
    <row r="26521" spans="26:26" x14ac:dyDescent="0.25">
      <c r="Z26521"/>
    </row>
    <row r="26522" spans="26:26" x14ac:dyDescent="0.25">
      <c r="Z26522"/>
    </row>
    <row r="26523" spans="26:26" x14ac:dyDescent="0.25">
      <c r="Z26523"/>
    </row>
    <row r="26524" spans="26:26" x14ac:dyDescent="0.25">
      <c r="Z26524"/>
    </row>
    <row r="26525" spans="26:26" x14ac:dyDescent="0.25">
      <c r="Z26525"/>
    </row>
    <row r="26526" spans="26:26" x14ac:dyDescent="0.25">
      <c r="Z26526"/>
    </row>
    <row r="26527" spans="26:26" x14ac:dyDescent="0.25">
      <c r="Z26527"/>
    </row>
    <row r="26528" spans="26:26" x14ac:dyDescent="0.25">
      <c r="Z26528"/>
    </row>
    <row r="26529" spans="26:26" x14ac:dyDescent="0.25">
      <c r="Z26529"/>
    </row>
    <row r="26530" spans="26:26" x14ac:dyDescent="0.25">
      <c r="Z26530"/>
    </row>
    <row r="26531" spans="26:26" x14ac:dyDescent="0.25">
      <c r="Z26531"/>
    </row>
    <row r="26532" spans="26:26" x14ac:dyDescent="0.25">
      <c r="Z26532"/>
    </row>
    <row r="26533" spans="26:26" x14ac:dyDescent="0.25">
      <c r="Z26533"/>
    </row>
    <row r="26534" spans="26:26" x14ac:dyDescent="0.25">
      <c r="Z26534"/>
    </row>
    <row r="26535" spans="26:26" x14ac:dyDescent="0.25">
      <c r="Z26535"/>
    </row>
    <row r="26536" spans="26:26" x14ac:dyDescent="0.25">
      <c r="Z26536"/>
    </row>
    <row r="26537" spans="26:26" x14ac:dyDescent="0.25">
      <c r="Z26537"/>
    </row>
    <row r="26538" spans="26:26" x14ac:dyDescent="0.25">
      <c r="Z26538"/>
    </row>
    <row r="26539" spans="26:26" x14ac:dyDescent="0.25">
      <c r="Z26539"/>
    </row>
    <row r="26540" spans="26:26" x14ac:dyDescent="0.25">
      <c r="Z26540"/>
    </row>
    <row r="26541" spans="26:26" x14ac:dyDescent="0.25">
      <c r="Z26541"/>
    </row>
    <row r="26542" spans="26:26" x14ac:dyDescent="0.25">
      <c r="Z26542"/>
    </row>
    <row r="26543" spans="26:26" x14ac:dyDescent="0.25">
      <c r="Z26543"/>
    </row>
    <row r="26544" spans="26:26" x14ac:dyDescent="0.25">
      <c r="Z26544"/>
    </row>
    <row r="26545" spans="26:26" x14ac:dyDescent="0.25">
      <c r="Z26545"/>
    </row>
    <row r="26546" spans="26:26" x14ac:dyDescent="0.25">
      <c r="Z26546"/>
    </row>
    <row r="26547" spans="26:26" x14ac:dyDescent="0.25">
      <c r="Z26547"/>
    </row>
    <row r="26548" spans="26:26" x14ac:dyDescent="0.25">
      <c r="Z26548"/>
    </row>
    <row r="26549" spans="26:26" x14ac:dyDescent="0.25">
      <c r="Z26549"/>
    </row>
    <row r="26550" spans="26:26" x14ac:dyDescent="0.25">
      <c r="Z26550"/>
    </row>
    <row r="26551" spans="26:26" x14ac:dyDescent="0.25">
      <c r="Z26551"/>
    </row>
    <row r="26552" spans="26:26" x14ac:dyDescent="0.25">
      <c r="Z26552"/>
    </row>
    <row r="26553" spans="26:26" x14ac:dyDescent="0.25">
      <c r="Z26553"/>
    </row>
    <row r="26554" spans="26:26" x14ac:dyDescent="0.25">
      <c r="Z26554"/>
    </row>
    <row r="26555" spans="26:26" x14ac:dyDescent="0.25">
      <c r="Z26555"/>
    </row>
    <row r="26556" spans="26:26" x14ac:dyDescent="0.25">
      <c r="Z26556"/>
    </row>
    <row r="26557" spans="26:26" x14ac:dyDescent="0.25">
      <c r="Z26557"/>
    </row>
    <row r="26558" spans="26:26" x14ac:dyDescent="0.25">
      <c r="Z26558"/>
    </row>
    <row r="26559" spans="26:26" x14ac:dyDescent="0.25">
      <c r="Z26559"/>
    </row>
    <row r="26560" spans="26:26" x14ac:dyDescent="0.25">
      <c r="Z26560"/>
    </row>
    <row r="26561" spans="26:26" x14ac:dyDescent="0.25">
      <c r="Z26561"/>
    </row>
    <row r="26562" spans="26:26" x14ac:dyDescent="0.25">
      <c r="Z26562"/>
    </row>
    <row r="26563" spans="26:26" x14ac:dyDescent="0.25">
      <c r="Z26563"/>
    </row>
    <row r="26564" spans="26:26" x14ac:dyDescent="0.25">
      <c r="Z26564"/>
    </row>
    <row r="26565" spans="26:26" x14ac:dyDescent="0.25">
      <c r="Z26565"/>
    </row>
    <row r="26566" spans="26:26" x14ac:dyDescent="0.25">
      <c r="Z26566"/>
    </row>
    <row r="26567" spans="26:26" x14ac:dyDescent="0.25">
      <c r="Z26567"/>
    </row>
    <row r="26568" spans="26:26" x14ac:dyDescent="0.25">
      <c r="Z26568"/>
    </row>
    <row r="26569" spans="26:26" x14ac:dyDescent="0.25">
      <c r="Z26569"/>
    </row>
    <row r="26570" spans="26:26" x14ac:dyDescent="0.25">
      <c r="Z26570"/>
    </row>
    <row r="26571" spans="26:26" x14ac:dyDescent="0.25">
      <c r="Z26571"/>
    </row>
    <row r="26572" spans="26:26" x14ac:dyDescent="0.25">
      <c r="Z26572"/>
    </row>
    <row r="26573" spans="26:26" x14ac:dyDescent="0.25">
      <c r="Z26573"/>
    </row>
    <row r="26574" spans="26:26" x14ac:dyDescent="0.25">
      <c r="Z26574"/>
    </row>
    <row r="26575" spans="26:26" x14ac:dyDescent="0.25">
      <c r="Z26575"/>
    </row>
    <row r="26576" spans="26:26" x14ac:dyDescent="0.25">
      <c r="Z26576"/>
    </row>
    <row r="26577" spans="26:26" x14ac:dyDescent="0.25">
      <c r="Z26577"/>
    </row>
    <row r="26578" spans="26:26" x14ac:dyDescent="0.25">
      <c r="Z26578"/>
    </row>
    <row r="26579" spans="26:26" x14ac:dyDescent="0.25">
      <c r="Z26579"/>
    </row>
    <row r="26580" spans="26:26" x14ac:dyDescent="0.25">
      <c r="Z26580"/>
    </row>
    <row r="26581" spans="26:26" x14ac:dyDescent="0.25">
      <c r="Z26581"/>
    </row>
    <row r="26582" spans="26:26" x14ac:dyDescent="0.25">
      <c r="Z26582"/>
    </row>
    <row r="26583" spans="26:26" x14ac:dyDescent="0.25">
      <c r="Z26583"/>
    </row>
    <row r="26584" spans="26:26" x14ac:dyDescent="0.25">
      <c r="Z26584"/>
    </row>
    <row r="26585" spans="26:26" x14ac:dyDescent="0.25">
      <c r="Z26585"/>
    </row>
    <row r="26586" spans="26:26" x14ac:dyDescent="0.25">
      <c r="Z26586"/>
    </row>
    <row r="26587" spans="26:26" x14ac:dyDescent="0.25">
      <c r="Z26587"/>
    </row>
    <row r="26588" spans="26:26" x14ac:dyDescent="0.25">
      <c r="Z26588"/>
    </row>
    <row r="26589" spans="26:26" x14ac:dyDescent="0.25">
      <c r="Z26589"/>
    </row>
    <row r="26590" spans="26:26" x14ac:dyDescent="0.25">
      <c r="Z26590"/>
    </row>
    <row r="26591" spans="26:26" x14ac:dyDescent="0.25">
      <c r="Z26591"/>
    </row>
    <row r="26592" spans="26:26" x14ac:dyDescent="0.25">
      <c r="Z26592"/>
    </row>
    <row r="26593" spans="26:26" x14ac:dyDescent="0.25">
      <c r="Z26593"/>
    </row>
    <row r="26594" spans="26:26" x14ac:dyDescent="0.25">
      <c r="Z26594"/>
    </row>
    <row r="26595" spans="26:26" x14ac:dyDescent="0.25">
      <c r="Z26595"/>
    </row>
    <row r="26596" spans="26:26" x14ac:dyDescent="0.25">
      <c r="Z26596"/>
    </row>
    <row r="26597" spans="26:26" x14ac:dyDescent="0.25">
      <c r="Z26597"/>
    </row>
    <row r="26598" spans="26:26" x14ac:dyDescent="0.25">
      <c r="Z26598"/>
    </row>
    <row r="26599" spans="26:26" x14ac:dyDescent="0.25">
      <c r="Z26599"/>
    </row>
    <row r="26600" spans="26:26" x14ac:dyDescent="0.25">
      <c r="Z26600"/>
    </row>
    <row r="26601" spans="26:26" x14ac:dyDescent="0.25">
      <c r="Z26601"/>
    </row>
    <row r="26602" spans="26:26" x14ac:dyDescent="0.25">
      <c r="Z26602"/>
    </row>
    <row r="26603" spans="26:26" x14ac:dyDescent="0.25">
      <c r="Z26603"/>
    </row>
    <row r="26604" spans="26:26" x14ac:dyDescent="0.25">
      <c r="Z26604"/>
    </row>
    <row r="26605" spans="26:26" x14ac:dyDescent="0.25">
      <c r="Z26605"/>
    </row>
    <row r="26606" spans="26:26" x14ac:dyDescent="0.25">
      <c r="Z26606"/>
    </row>
    <row r="26607" spans="26:26" x14ac:dyDescent="0.25">
      <c r="Z26607"/>
    </row>
    <row r="26608" spans="26:26" x14ac:dyDescent="0.25">
      <c r="Z26608"/>
    </row>
    <row r="26609" spans="26:26" x14ac:dyDescent="0.25">
      <c r="Z26609"/>
    </row>
    <row r="26610" spans="26:26" x14ac:dyDescent="0.25">
      <c r="Z26610"/>
    </row>
    <row r="26611" spans="26:26" x14ac:dyDescent="0.25">
      <c r="Z26611"/>
    </row>
    <row r="26612" spans="26:26" x14ac:dyDescent="0.25">
      <c r="Z26612"/>
    </row>
    <row r="26613" spans="26:26" x14ac:dyDescent="0.25">
      <c r="Z26613"/>
    </row>
    <row r="26614" spans="26:26" x14ac:dyDescent="0.25">
      <c r="Z26614"/>
    </row>
    <row r="26615" spans="26:26" x14ac:dyDescent="0.25">
      <c r="Z26615"/>
    </row>
    <row r="26616" spans="26:26" x14ac:dyDescent="0.25">
      <c r="Z26616"/>
    </row>
    <row r="26617" spans="26:26" x14ac:dyDescent="0.25">
      <c r="Z26617"/>
    </row>
    <row r="26618" spans="26:26" x14ac:dyDescent="0.25">
      <c r="Z26618"/>
    </row>
    <row r="26619" spans="26:26" x14ac:dyDescent="0.25">
      <c r="Z26619"/>
    </row>
    <row r="26620" spans="26:26" x14ac:dyDescent="0.25">
      <c r="Z26620"/>
    </row>
    <row r="26621" spans="26:26" x14ac:dyDescent="0.25">
      <c r="Z26621"/>
    </row>
    <row r="26622" spans="26:26" x14ac:dyDescent="0.25">
      <c r="Z26622"/>
    </row>
    <row r="26623" spans="26:26" x14ac:dyDescent="0.25">
      <c r="Z26623"/>
    </row>
    <row r="26624" spans="26:26" x14ac:dyDescent="0.25">
      <c r="Z26624"/>
    </row>
    <row r="26625" spans="26:26" x14ac:dyDescent="0.25">
      <c r="Z26625"/>
    </row>
    <row r="26626" spans="26:26" x14ac:dyDescent="0.25">
      <c r="Z26626"/>
    </row>
    <row r="26627" spans="26:26" x14ac:dyDescent="0.25">
      <c r="Z26627"/>
    </row>
    <row r="26628" spans="26:26" x14ac:dyDescent="0.25">
      <c r="Z26628"/>
    </row>
    <row r="26629" spans="26:26" x14ac:dyDescent="0.25">
      <c r="Z26629"/>
    </row>
    <row r="26630" spans="26:26" x14ac:dyDescent="0.25">
      <c r="Z26630"/>
    </row>
    <row r="26631" spans="26:26" x14ac:dyDescent="0.25">
      <c r="Z26631"/>
    </row>
    <row r="26632" spans="26:26" x14ac:dyDescent="0.25">
      <c r="Z26632"/>
    </row>
    <row r="26633" spans="26:26" x14ac:dyDescent="0.25">
      <c r="Z26633"/>
    </row>
    <row r="26634" spans="26:26" x14ac:dyDescent="0.25">
      <c r="Z26634"/>
    </row>
    <row r="26635" spans="26:26" x14ac:dyDescent="0.25">
      <c r="Z26635"/>
    </row>
    <row r="26636" spans="26:26" x14ac:dyDescent="0.25">
      <c r="Z26636"/>
    </row>
    <row r="26637" spans="26:26" x14ac:dyDescent="0.25">
      <c r="Z26637"/>
    </row>
    <row r="26638" spans="26:26" x14ac:dyDescent="0.25">
      <c r="Z26638"/>
    </row>
    <row r="26639" spans="26:26" x14ac:dyDescent="0.25">
      <c r="Z26639"/>
    </row>
    <row r="26640" spans="26:26" x14ac:dyDescent="0.25">
      <c r="Z26640"/>
    </row>
    <row r="26641" spans="26:26" x14ac:dyDescent="0.25">
      <c r="Z26641"/>
    </row>
    <row r="26642" spans="26:26" x14ac:dyDescent="0.25">
      <c r="Z26642"/>
    </row>
    <row r="26643" spans="26:26" x14ac:dyDescent="0.25">
      <c r="Z26643"/>
    </row>
    <row r="26644" spans="26:26" x14ac:dyDescent="0.25">
      <c r="Z26644"/>
    </row>
    <row r="26645" spans="26:26" x14ac:dyDescent="0.25">
      <c r="Z26645"/>
    </row>
    <row r="26646" spans="26:26" x14ac:dyDescent="0.25">
      <c r="Z26646"/>
    </row>
    <row r="26647" spans="26:26" x14ac:dyDescent="0.25">
      <c r="Z26647"/>
    </row>
    <row r="26648" spans="26:26" x14ac:dyDescent="0.25">
      <c r="Z26648"/>
    </row>
    <row r="26649" spans="26:26" x14ac:dyDescent="0.25">
      <c r="Z26649"/>
    </row>
    <row r="26650" spans="26:26" x14ac:dyDescent="0.25">
      <c r="Z26650"/>
    </row>
    <row r="26651" spans="26:26" x14ac:dyDescent="0.25">
      <c r="Z26651"/>
    </row>
    <row r="26652" spans="26:26" x14ac:dyDescent="0.25">
      <c r="Z26652"/>
    </row>
    <row r="26653" spans="26:26" x14ac:dyDescent="0.25">
      <c r="Z26653"/>
    </row>
    <row r="26654" spans="26:26" x14ac:dyDescent="0.25">
      <c r="Z26654"/>
    </row>
    <row r="26655" spans="26:26" x14ac:dyDescent="0.25">
      <c r="Z26655"/>
    </row>
    <row r="26656" spans="26:26" x14ac:dyDescent="0.25">
      <c r="Z26656"/>
    </row>
    <row r="26657" spans="26:26" x14ac:dyDescent="0.25">
      <c r="Z26657"/>
    </row>
    <row r="26658" spans="26:26" x14ac:dyDescent="0.25">
      <c r="Z26658"/>
    </row>
    <row r="26659" spans="26:26" x14ac:dyDescent="0.25">
      <c r="Z26659"/>
    </row>
    <row r="26660" spans="26:26" x14ac:dyDescent="0.25">
      <c r="Z26660"/>
    </row>
    <row r="26661" spans="26:26" x14ac:dyDescent="0.25">
      <c r="Z26661"/>
    </row>
    <row r="26662" spans="26:26" x14ac:dyDescent="0.25">
      <c r="Z26662"/>
    </row>
    <row r="26663" spans="26:26" x14ac:dyDescent="0.25">
      <c r="Z26663"/>
    </row>
    <row r="26664" spans="26:26" x14ac:dyDescent="0.25">
      <c r="Z26664"/>
    </row>
    <row r="26665" spans="26:26" x14ac:dyDescent="0.25">
      <c r="Z26665"/>
    </row>
    <row r="26666" spans="26:26" x14ac:dyDescent="0.25">
      <c r="Z26666"/>
    </row>
    <row r="26667" spans="26:26" x14ac:dyDescent="0.25">
      <c r="Z26667"/>
    </row>
    <row r="26668" spans="26:26" x14ac:dyDescent="0.25">
      <c r="Z26668"/>
    </row>
    <row r="26669" spans="26:26" x14ac:dyDescent="0.25">
      <c r="Z26669"/>
    </row>
    <row r="26670" spans="26:26" x14ac:dyDescent="0.25">
      <c r="Z26670"/>
    </row>
    <row r="26671" spans="26:26" x14ac:dyDescent="0.25">
      <c r="Z26671"/>
    </row>
    <row r="26672" spans="26:26" x14ac:dyDescent="0.25">
      <c r="Z26672"/>
    </row>
    <row r="26673" spans="26:26" x14ac:dyDescent="0.25">
      <c r="Z26673"/>
    </row>
    <row r="26674" spans="26:26" x14ac:dyDescent="0.25">
      <c r="Z26674"/>
    </row>
    <row r="26675" spans="26:26" x14ac:dyDescent="0.25">
      <c r="Z26675"/>
    </row>
    <row r="26676" spans="26:26" x14ac:dyDescent="0.25">
      <c r="Z26676"/>
    </row>
    <row r="26677" spans="26:26" x14ac:dyDescent="0.25">
      <c r="Z26677"/>
    </row>
    <row r="26678" spans="26:26" x14ac:dyDescent="0.25">
      <c r="Z26678"/>
    </row>
    <row r="26679" spans="26:26" x14ac:dyDescent="0.25">
      <c r="Z26679"/>
    </row>
    <row r="26680" spans="26:26" x14ac:dyDescent="0.25">
      <c r="Z26680"/>
    </row>
    <row r="26681" spans="26:26" x14ac:dyDescent="0.25">
      <c r="Z26681"/>
    </row>
    <row r="26682" spans="26:26" x14ac:dyDescent="0.25">
      <c r="Z26682"/>
    </row>
    <row r="26683" spans="26:26" x14ac:dyDescent="0.25">
      <c r="Z26683"/>
    </row>
    <row r="26684" spans="26:26" x14ac:dyDescent="0.25">
      <c r="Z26684"/>
    </row>
    <row r="26685" spans="26:26" x14ac:dyDescent="0.25">
      <c r="Z26685"/>
    </row>
    <row r="26686" spans="26:26" x14ac:dyDescent="0.25">
      <c r="Z26686"/>
    </row>
    <row r="26687" spans="26:26" x14ac:dyDescent="0.25">
      <c r="Z26687"/>
    </row>
    <row r="26688" spans="26:26" x14ac:dyDescent="0.25">
      <c r="Z26688"/>
    </row>
    <row r="26689" spans="26:26" x14ac:dyDescent="0.25">
      <c r="Z26689"/>
    </row>
    <row r="26690" spans="26:26" x14ac:dyDescent="0.25">
      <c r="Z26690"/>
    </row>
    <row r="26691" spans="26:26" x14ac:dyDescent="0.25">
      <c r="Z26691"/>
    </row>
    <row r="26692" spans="26:26" x14ac:dyDescent="0.25">
      <c r="Z26692"/>
    </row>
    <row r="26693" spans="26:26" x14ac:dyDescent="0.25">
      <c r="Z26693"/>
    </row>
    <row r="26694" spans="26:26" x14ac:dyDescent="0.25">
      <c r="Z26694"/>
    </row>
    <row r="26695" spans="26:26" x14ac:dyDescent="0.25">
      <c r="Z26695"/>
    </row>
    <row r="26696" spans="26:26" x14ac:dyDescent="0.25">
      <c r="Z26696"/>
    </row>
    <row r="26697" spans="26:26" x14ac:dyDescent="0.25">
      <c r="Z26697"/>
    </row>
    <row r="26698" spans="26:26" x14ac:dyDescent="0.25">
      <c r="Z26698"/>
    </row>
    <row r="26699" spans="26:26" x14ac:dyDescent="0.25">
      <c r="Z26699"/>
    </row>
    <row r="26700" spans="26:26" x14ac:dyDescent="0.25">
      <c r="Z26700"/>
    </row>
    <row r="26701" spans="26:26" x14ac:dyDescent="0.25">
      <c r="Z26701"/>
    </row>
    <row r="26702" spans="26:26" x14ac:dyDescent="0.25">
      <c r="Z26702"/>
    </row>
    <row r="26703" spans="26:26" x14ac:dyDescent="0.25">
      <c r="Z26703"/>
    </row>
    <row r="26704" spans="26:26" x14ac:dyDescent="0.25">
      <c r="Z26704"/>
    </row>
    <row r="26705" spans="26:26" x14ac:dyDescent="0.25">
      <c r="Z26705"/>
    </row>
    <row r="26706" spans="26:26" x14ac:dyDescent="0.25">
      <c r="Z26706"/>
    </row>
    <row r="26707" spans="26:26" x14ac:dyDescent="0.25">
      <c r="Z26707"/>
    </row>
    <row r="26708" spans="26:26" x14ac:dyDescent="0.25">
      <c r="Z26708"/>
    </row>
    <row r="26709" spans="26:26" x14ac:dyDescent="0.25">
      <c r="Z26709"/>
    </row>
    <row r="26710" spans="26:26" x14ac:dyDescent="0.25">
      <c r="Z26710"/>
    </row>
    <row r="26711" spans="26:26" x14ac:dyDescent="0.25">
      <c r="Z26711"/>
    </row>
    <row r="26712" spans="26:26" x14ac:dyDescent="0.25">
      <c r="Z26712"/>
    </row>
    <row r="26713" spans="26:26" x14ac:dyDescent="0.25">
      <c r="Z26713"/>
    </row>
    <row r="26714" spans="26:26" x14ac:dyDescent="0.25">
      <c r="Z26714"/>
    </row>
    <row r="26715" spans="26:26" x14ac:dyDescent="0.25">
      <c r="Z26715"/>
    </row>
    <row r="26716" spans="26:26" x14ac:dyDescent="0.25">
      <c r="Z26716"/>
    </row>
    <row r="26717" spans="26:26" x14ac:dyDescent="0.25">
      <c r="Z26717"/>
    </row>
    <row r="26718" spans="26:26" x14ac:dyDescent="0.25">
      <c r="Z26718"/>
    </row>
    <row r="26719" spans="26:26" x14ac:dyDescent="0.25">
      <c r="Z26719"/>
    </row>
    <row r="26720" spans="26:26" x14ac:dyDescent="0.25">
      <c r="Z26720"/>
    </row>
    <row r="26721" spans="26:26" x14ac:dyDescent="0.25">
      <c r="Z26721"/>
    </row>
    <row r="26722" spans="26:26" x14ac:dyDescent="0.25">
      <c r="Z26722"/>
    </row>
    <row r="26723" spans="26:26" x14ac:dyDescent="0.25">
      <c r="Z26723"/>
    </row>
    <row r="26724" spans="26:26" x14ac:dyDescent="0.25">
      <c r="Z26724"/>
    </row>
    <row r="26725" spans="26:26" x14ac:dyDescent="0.25">
      <c r="Z26725"/>
    </row>
    <row r="26726" spans="26:26" x14ac:dyDescent="0.25">
      <c r="Z26726"/>
    </row>
    <row r="26727" spans="26:26" x14ac:dyDescent="0.25">
      <c r="Z26727"/>
    </row>
    <row r="26728" spans="26:26" x14ac:dyDescent="0.25">
      <c r="Z26728"/>
    </row>
    <row r="26729" spans="26:26" x14ac:dyDescent="0.25">
      <c r="Z26729"/>
    </row>
    <row r="26730" spans="26:26" x14ac:dyDescent="0.25">
      <c r="Z26730"/>
    </row>
    <row r="26731" spans="26:26" x14ac:dyDescent="0.25">
      <c r="Z26731"/>
    </row>
    <row r="26732" spans="26:26" x14ac:dyDescent="0.25">
      <c r="Z26732"/>
    </row>
    <row r="26733" spans="26:26" x14ac:dyDescent="0.25">
      <c r="Z26733"/>
    </row>
    <row r="26734" spans="26:26" x14ac:dyDescent="0.25">
      <c r="Z26734"/>
    </row>
    <row r="26735" spans="26:26" x14ac:dyDescent="0.25">
      <c r="Z26735"/>
    </row>
    <row r="26736" spans="26:26" x14ac:dyDescent="0.25">
      <c r="Z26736"/>
    </row>
    <row r="26737" spans="26:26" x14ac:dyDescent="0.25">
      <c r="Z26737"/>
    </row>
    <row r="26738" spans="26:26" x14ac:dyDescent="0.25">
      <c r="Z26738"/>
    </row>
    <row r="26739" spans="26:26" x14ac:dyDescent="0.25">
      <c r="Z26739"/>
    </row>
    <row r="26740" spans="26:26" x14ac:dyDescent="0.25">
      <c r="Z26740"/>
    </row>
    <row r="26741" spans="26:26" x14ac:dyDescent="0.25">
      <c r="Z26741"/>
    </row>
    <row r="26742" spans="26:26" x14ac:dyDescent="0.25">
      <c r="Z26742"/>
    </row>
    <row r="26743" spans="26:26" x14ac:dyDescent="0.25">
      <c r="Z26743"/>
    </row>
    <row r="26744" spans="26:26" x14ac:dyDescent="0.25">
      <c r="Z26744"/>
    </row>
    <row r="26745" spans="26:26" x14ac:dyDescent="0.25">
      <c r="Z26745"/>
    </row>
    <row r="26746" spans="26:26" x14ac:dyDescent="0.25">
      <c r="Z26746"/>
    </row>
    <row r="26747" spans="26:26" x14ac:dyDescent="0.25">
      <c r="Z26747"/>
    </row>
    <row r="26748" spans="26:26" x14ac:dyDescent="0.25">
      <c r="Z26748"/>
    </row>
    <row r="26749" spans="26:26" x14ac:dyDescent="0.25">
      <c r="Z26749"/>
    </row>
    <row r="26750" spans="26:26" x14ac:dyDescent="0.25">
      <c r="Z26750"/>
    </row>
    <row r="26751" spans="26:26" x14ac:dyDescent="0.25">
      <c r="Z26751"/>
    </row>
    <row r="26752" spans="26:26" x14ac:dyDescent="0.25">
      <c r="Z26752"/>
    </row>
    <row r="26753" spans="26:26" x14ac:dyDescent="0.25">
      <c r="Z26753"/>
    </row>
    <row r="26754" spans="26:26" x14ac:dyDescent="0.25">
      <c r="Z26754"/>
    </row>
    <row r="26755" spans="26:26" x14ac:dyDescent="0.25">
      <c r="Z26755"/>
    </row>
    <row r="26756" spans="26:26" x14ac:dyDescent="0.25">
      <c r="Z26756"/>
    </row>
    <row r="26757" spans="26:26" x14ac:dyDescent="0.25">
      <c r="Z26757"/>
    </row>
    <row r="26758" spans="26:26" x14ac:dyDescent="0.25">
      <c r="Z26758"/>
    </row>
    <row r="26759" spans="26:26" x14ac:dyDescent="0.25">
      <c r="Z26759"/>
    </row>
    <row r="26760" spans="26:26" x14ac:dyDescent="0.25">
      <c r="Z26760"/>
    </row>
    <row r="26761" spans="26:26" x14ac:dyDescent="0.25">
      <c r="Z26761"/>
    </row>
    <row r="26762" spans="26:26" x14ac:dyDescent="0.25">
      <c r="Z26762"/>
    </row>
    <row r="26763" spans="26:26" x14ac:dyDescent="0.25">
      <c r="Z26763"/>
    </row>
    <row r="26764" spans="26:26" x14ac:dyDescent="0.25">
      <c r="Z26764"/>
    </row>
    <row r="26765" spans="26:26" x14ac:dyDescent="0.25">
      <c r="Z26765"/>
    </row>
    <row r="26766" spans="26:26" x14ac:dyDescent="0.25">
      <c r="Z26766"/>
    </row>
    <row r="26767" spans="26:26" x14ac:dyDescent="0.25">
      <c r="Z26767"/>
    </row>
    <row r="26768" spans="26:26" x14ac:dyDescent="0.25">
      <c r="Z26768"/>
    </row>
    <row r="26769" spans="26:26" x14ac:dyDescent="0.25">
      <c r="Z26769"/>
    </row>
    <row r="26770" spans="26:26" x14ac:dyDescent="0.25">
      <c r="Z26770"/>
    </row>
    <row r="26771" spans="26:26" x14ac:dyDescent="0.25">
      <c r="Z26771"/>
    </row>
    <row r="26772" spans="26:26" x14ac:dyDescent="0.25">
      <c r="Z26772"/>
    </row>
    <row r="26773" spans="26:26" x14ac:dyDescent="0.25">
      <c r="Z26773"/>
    </row>
    <row r="26774" spans="26:26" x14ac:dyDescent="0.25">
      <c r="Z26774"/>
    </row>
    <row r="26775" spans="26:26" x14ac:dyDescent="0.25">
      <c r="Z26775"/>
    </row>
    <row r="26776" spans="26:26" x14ac:dyDescent="0.25">
      <c r="Z26776"/>
    </row>
    <row r="26777" spans="26:26" x14ac:dyDescent="0.25">
      <c r="Z26777"/>
    </row>
    <row r="26778" spans="26:26" x14ac:dyDescent="0.25">
      <c r="Z26778"/>
    </row>
    <row r="26779" spans="26:26" x14ac:dyDescent="0.25">
      <c r="Z26779"/>
    </row>
    <row r="26780" spans="26:26" x14ac:dyDescent="0.25">
      <c r="Z26780"/>
    </row>
    <row r="26781" spans="26:26" x14ac:dyDescent="0.25">
      <c r="Z26781"/>
    </row>
    <row r="26782" spans="26:26" x14ac:dyDescent="0.25">
      <c r="Z26782"/>
    </row>
    <row r="26783" spans="26:26" x14ac:dyDescent="0.25">
      <c r="Z26783"/>
    </row>
    <row r="26784" spans="26:26" x14ac:dyDescent="0.25">
      <c r="Z26784"/>
    </row>
    <row r="26785" spans="26:26" x14ac:dyDescent="0.25">
      <c r="Z26785"/>
    </row>
    <row r="26786" spans="26:26" x14ac:dyDescent="0.25">
      <c r="Z26786"/>
    </row>
    <row r="26787" spans="26:26" x14ac:dyDescent="0.25">
      <c r="Z26787"/>
    </row>
    <row r="26788" spans="26:26" x14ac:dyDescent="0.25">
      <c r="Z26788"/>
    </row>
    <row r="26789" spans="26:26" x14ac:dyDescent="0.25">
      <c r="Z26789"/>
    </row>
    <row r="26790" spans="26:26" x14ac:dyDescent="0.25">
      <c r="Z26790"/>
    </row>
    <row r="26791" spans="26:26" x14ac:dyDescent="0.25">
      <c r="Z26791"/>
    </row>
    <row r="26792" spans="26:26" x14ac:dyDescent="0.25">
      <c r="Z26792"/>
    </row>
    <row r="26793" spans="26:26" x14ac:dyDescent="0.25">
      <c r="Z26793"/>
    </row>
    <row r="26794" spans="26:26" x14ac:dyDescent="0.25">
      <c r="Z26794"/>
    </row>
    <row r="26795" spans="26:26" x14ac:dyDescent="0.25">
      <c r="Z26795"/>
    </row>
    <row r="26796" spans="26:26" x14ac:dyDescent="0.25">
      <c r="Z26796"/>
    </row>
    <row r="26797" spans="26:26" x14ac:dyDescent="0.25">
      <c r="Z26797"/>
    </row>
    <row r="26798" spans="26:26" x14ac:dyDescent="0.25">
      <c r="Z26798"/>
    </row>
    <row r="26799" spans="26:26" x14ac:dyDescent="0.25">
      <c r="Z26799"/>
    </row>
    <row r="26800" spans="26:26" x14ac:dyDescent="0.25">
      <c r="Z26800"/>
    </row>
    <row r="26801" spans="26:26" x14ac:dyDescent="0.25">
      <c r="Z26801"/>
    </row>
    <row r="26802" spans="26:26" x14ac:dyDescent="0.25">
      <c r="Z26802"/>
    </row>
    <row r="26803" spans="26:26" x14ac:dyDescent="0.25">
      <c r="Z26803"/>
    </row>
    <row r="26804" spans="26:26" x14ac:dyDescent="0.25">
      <c r="Z26804"/>
    </row>
    <row r="26805" spans="26:26" x14ac:dyDescent="0.25">
      <c r="Z26805"/>
    </row>
    <row r="26806" spans="26:26" x14ac:dyDescent="0.25">
      <c r="Z26806"/>
    </row>
    <row r="26807" spans="26:26" x14ac:dyDescent="0.25">
      <c r="Z26807"/>
    </row>
    <row r="26808" spans="26:26" x14ac:dyDescent="0.25">
      <c r="Z26808"/>
    </row>
    <row r="26809" spans="26:26" x14ac:dyDescent="0.25">
      <c r="Z26809"/>
    </row>
    <row r="26810" spans="26:26" x14ac:dyDescent="0.25">
      <c r="Z26810"/>
    </row>
    <row r="26811" spans="26:26" x14ac:dyDescent="0.25">
      <c r="Z26811"/>
    </row>
    <row r="26812" spans="26:26" x14ac:dyDescent="0.25">
      <c r="Z26812"/>
    </row>
    <row r="26813" spans="26:26" x14ac:dyDescent="0.25">
      <c r="Z26813"/>
    </row>
    <row r="26814" spans="26:26" x14ac:dyDescent="0.25">
      <c r="Z26814"/>
    </row>
    <row r="26815" spans="26:26" x14ac:dyDescent="0.25">
      <c r="Z26815"/>
    </row>
    <row r="26816" spans="26:26" x14ac:dyDescent="0.25">
      <c r="Z26816"/>
    </row>
    <row r="26817" spans="26:26" x14ac:dyDescent="0.25">
      <c r="Z26817"/>
    </row>
    <row r="26818" spans="26:26" x14ac:dyDescent="0.25">
      <c r="Z26818"/>
    </row>
    <row r="26819" spans="26:26" x14ac:dyDescent="0.25">
      <c r="Z26819"/>
    </row>
    <row r="26820" spans="26:26" x14ac:dyDescent="0.25">
      <c r="Z26820"/>
    </row>
    <row r="26821" spans="26:26" x14ac:dyDescent="0.25">
      <c r="Z26821"/>
    </row>
    <row r="26822" spans="26:26" x14ac:dyDescent="0.25">
      <c r="Z26822"/>
    </row>
    <row r="26823" spans="26:26" x14ac:dyDescent="0.25">
      <c r="Z26823"/>
    </row>
    <row r="26824" spans="26:26" x14ac:dyDescent="0.25">
      <c r="Z26824"/>
    </row>
    <row r="26825" spans="26:26" x14ac:dyDescent="0.25">
      <c r="Z26825"/>
    </row>
    <row r="26826" spans="26:26" x14ac:dyDescent="0.25">
      <c r="Z26826"/>
    </row>
    <row r="26827" spans="26:26" x14ac:dyDescent="0.25">
      <c r="Z26827"/>
    </row>
    <row r="26828" spans="26:26" x14ac:dyDescent="0.25">
      <c r="Z26828"/>
    </row>
    <row r="26829" spans="26:26" x14ac:dyDescent="0.25">
      <c r="Z26829"/>
    </row>
    <row r="26830" spans="26:26" x14ac:dyDescent="0.25">
      <c r="Z26830"/>
    </row>
    <row r="26831" spans="26:26" x14ac:dyDescent="0.25">
      <c r="Z26831"/>
    </row>
    <row r="26832" spans="26:26" x14ac:dyDescent="0.25">
      <c r="Z26832"/>
    </row>
    <row r="26833" spans="26:26" x14ac:dyDescent="0.25">
      <c r="Z26833"/>
    </row>
    <row r="26834" spans="26:26" x14ac:dyDescent="0.25">
      <c r="Z26834"/>
    </row>
    <row r="26835" spans="26:26" x14ac:dyDescent="0.25">
      <c r="Z26835"/>
    </row>
    <row r="26836" spans="26:26" x14ac:dyDescent="0.25">
      <c r="Z26836"/>
    </row>
    <row r="26837" spans="26:26" x14ac:dyDescent="0.25">
      <c r="Z26837"/>
    </row>
    <row r="26838" spans="26:26" x14ac:dyDescent="0.25">
      <c r="Z26838"/>
    </row>
    <row r="26839" spans="26:26" x14ac:dyDescent="0.25">
      <c r="Z26839"/>
    </row>
    <row r="26840" spans="26:26" x14ac:dyDescent="0.25">
      <c r="Z26840"/>
    </row>
    <row r="26841" spans="26:26" x14ac:dyDescent="0.25">
      <c r="Z26841"/>
    </row>
    <row r="26842" spans="26:26" x14ac:dyDescent="0.25">
      <c r="Z26842"/>
    </row>
    <row r="26843" spans="26:26" x14ac:dyDescent="0.25">
      <c r="Z26843"/>
    </row>
    <row r="26844" spans="26:26" x14ac:dyDescent="0.25">
      <c r="Z26844"/>
    </row>
    <row r="26845" spans="26:26" x14ac:dyDescent="0.25">
      <c r="Z26845"/>
    </row>
    <row r="26846" spans="26:26" x14ac:dyDescent="0.25">
      <c r="Z26846"/>
    </row>
    <row r="26847" spans="26:26" x14ac:dyDescent="0.25">
      <c r="Z26847"/>
    </row>
    <row r="26848" spans="26:26" x14ac:dyDescent="0.25">
      <c r="Z26848"/>
    </row>
    <row r="26849" spans="26:26" x14ac:dyDescent="0.25">
      <c r="Z26849"/>
    </row>
    <row r="26850" spans="26:26" x14ac:dyDescent="0.25">
      <c r="Z26850"/>
    </row>
    <row r="26851" spans="26:26" x14ac:dyDescent="0.25">
      <c r="Z26851"/>
    </row>
    <row r="26852" spans="26:26" x14ac:dyDescent="0.25">
      <c r="Z26852"/>
    </row>
    <row r="26853" spans="26:26" x14ac:dyDescent="0.25">
      <c r="Z26853"/>
    </row>
    <row r="26854" spans="26:26" x14ac:dyDescent="0.25">
      <c r="Z26854"/>
    </row>
    <row r="26855" spans="26:26" x14ac:dyDescent="0.25">
      <c r="Z26855"/>
    </row>
    <row r="26856" spans="26:26" x14ac:dyDescent="0.25">
      <c r="Z26856"/>
    </row>
    <row r="26857" spans="26:26" x14ac:dyDescent="0.25">
      <c r="Z26857"/>
    </row>
    <row r="26858" spans="26:26" x14ac:dyDescent="0.25">
      <c r="Z26858"/>
    </row>
    <row r="26859" spans="26:26" x14ac:dyDescent="0.25">
      <c r="Z26859"/>
    </row>
    <row r="26860" spans="26:26" x14ac:dyDescent="0.25">
      <c r="Z26860"/>
    </row>
    <row r="26861" spans="26:26" x14ac:dyDescent="0.25">
      <c r="Z26861"/>
    </row>
    <row r="26862" spans="26:26" x14ac:dyDescent="0.25">
      <c r="Z26862"/>
    </row>
    <row r="26863" spans="26:26" x14ac:dyDescent="0.25">
      <c r="Z26863"/>
    </row>
    <row r="26864" spans="26:26" x14ac:dyDescent="0.25">
      <c r="Z26864"/>
    </row>
    <row r="26865" spans="26:26" x14ac:dyDescent="0.25">
      <c r="Z26865"/>
    </row>
    <row r="26866" spans="26:26" x14ac:dyDescent="0.25">
      <c r="Z26866"/>
    </row>
    <row r="26867" spans="26:26" x14ac:dyDescent="0.25">
      <c r="Z26867"/>
    </row>
    <row r="26868" spans="26:26" x14ac:dyDescent="0.25">
      <c r="Z26868"/>
    </row>
    <row r="26869" spans="26:26" x14ac:dyDescent="0.25">
      <c r="Z26869"/>
    </row>
    <row r="26870" spans="26:26" x14ac:dyDescent="0.25">
      <c r="Z26870"/>
    </row>
    <row r="26871" spans="26:26" x14ac:dyDescent="0.25">
      <c r="Z26871"/>
    </row>
    <row r="26872" spans="26:26" x14ac:dyDescent="0.25">
      <c r="Z26872"/>
    </row>
    <row r="26873" spans="26:26" x14ac:dyDescent="0.25">
      <c r="Z26873"/>
    </row>
    <row r="26874" spans="26:26" x14ac:dyDescent="0.25">
      <c r="Z26874"/>
    </row>
    <row r="26875" spans="26:26" x14ac:dyDescent="0.25">
      <c r="Z26875"/>
    </row>
    <row r="26876" spans="26:26" x14ac:dyDescent="0.25">
      <c r="Z26876"/>
    </row>
    <row r="26877" spans="26:26" x14ac:dyDescent="0.25">
      <c r="Z26877"/>
    </row>
    <row r="26878" spans="26:26" x14ac:dyDescent="0.25">
      <c r="Z26878"/>
    </row>
    <row r="26879" spans="26:26" x14ac:dyDescent="0.25">
      <c r="Z26879"/>
    </row>
    <row r="26880" spans="26:26" x14ac:dyDescent="0.25">
      <c r="Z26880"/>
    </row>
    <row r="26881" spans="26:26" x14ac:dyDescent="0.25">
      <c r="Z26881"/>
    </row>
    <row r="26882" spans="26:26" x14ac:dyDescent="0.25">
      <c r="Z26882"/>
    </row>
    <row r="26883" spans="26:26" x14ac:dyDescent="0.25">
      <c r="Z26883"/>
    </row>
    <row r="26884" spans="26:26" x14ac:dyDescent="0.25">
      <c r="Z26884"/>
    </row>
    <row r="26885" spans="26:26" x14ac:dyDescent="0.25">
      <c r="Z26885"/>
    </row>
    <row r="26886" spans="26:26" x14ac:dyDescent="0.25">
      <c r="Z26886"/>
    </row>
    <row r="26887" spans="26:26" x14ac:dyDescent="0.25">
      <c r="Z26887"/>
    </row>
    <row r="26888" spans="26:26" x14ac:dyDescent="0.25">
      <c r="Z26888"/>
    </row>
    <row r="26889" spans="26:26" x14ac:dyDescent="0.25">
      <c r="Z26889"/>
    </row>
    <row r="26890" spans="26:26" x14ac:dyDescent="0.25">
      <c r="Z26890"/>
    </row>
    <row r="26891" spans="26:26" x14ac:dyDescent="0.25">
      <c r="Z26891"/>
    </row>
    <row r="26892" spans="26:26" x14ac:dyDescent="0.25">
      <c r="Z26892"/>
    </row>
    <row r="26893" spans="26:26" x14ac:dyDescent="0.25">
      <c r="Z26893"/>
    </row>
    <row r="26894" spans="26:26" x14ac:dyDescent="0.25">
      <c r="Z26894"/>
    </row>
    <row r="26895" spans="26:26" x14ac:dyDescent="0.25">
      <c r="Z26895"/>
    </row>
    <row r="26896" spans="26:26" x14ac:dyDescent="0.25">
      <c r="Z26896"/>
    </row>
    <row r="26897" spans="26:26" x14ac:dyDescent="0.25">
      <c r="Z26897"/>
    </row>
    <row r="26898" spans="26:26" x14ac:dyDescent="0.25">
      <c r="Z26898"/>
    </row>
    <row r="26899" spans="26:26" x14ac:dyDescent="0.25">
      <c r="Z26899"/>
    </row>
    <row r="26900" spans="26:26" x14ac:dyDescent="0.25">
      <c r="Z26900"/>
    </row>
    <row r="26901" spans="26:26" x14ac:dyDescent="0.25">
      <c r="Z26901"/>
    </row>
    <row r="26902" spans="26:26" x14ac:dyDescent="0.25">
      <c r="Z26902"/>
    </row>
    <row r="26903" spans="26:26" x14ac:dyDescent="0.25">
      <c r="Z26903"/>
    </row>
    <row r="26904" spans="26:26" x14ac:dyDescent="0.25">
      <c r="Z26904"/>
    </row>
    <row r="26905" spans="26:26" x14ac:dyDescent="0.25">
      <c r="Z26905"/>
    </row>
    <row r="26906" spans="26:26" x14ac:dyDescent="0.25">
      <c r="Z26906"/>
    </row>
    <row r="26907" spans="26:26" x14ac:dyDescent="0.25">
      <c r="Z26907"/>
    </row>
    <row r="26908" spans="26:26" x14ac:dyDescent="0.25">
      <c r="Z26908"/>
    </row>
    <row r="26909" spans="26:26" x14ac:dyDescent="0.25">
      <c r="Z26909"/>
    </row>
    <row r="26910" spans="26:26" x14ac:dyDescent="0.25">
      <c r="Z26910"/>
    </row>
    <row r="26911" spans="26:26" x14ac:dyDescent="0.25">
      <c r="Z26911"/>
    </row>
    <row r="26912" spans="26:26" x14ac:dyDescent="0.25">
      <c r="Z26912"/>
    </row>
    <row r="26913" spans="26:26" x14ac:dyDescent="0.25">
      <c r="Z26913"/>
    </row>
    <row r="26914" spans="26:26" x14ac:dyDescent="0.25">
      <c r="Z26914"/>
    </row>
    <row r="26915" spans="26:26" x14ac:dyDescent="0.25">
      <c r="Z26915"/>
    </row>
    <row r="26916" spans="26:26" x14ac:dyDescent="0.25">
      <c r="Z26916"/>
    </row>
    <row r="26917" spans="26:26" x14ac:dyDescent="0.25">
      <c r="Z26917"/>
    </row>
    <row r="26918" spans="26:26" x14ac:dyDescent="0.25">
      <c r="Z26918"/>
    </row>
    <row r="26919" spans="26:26" x14ac:dyDescent="0.25">
      <c r="Z26919"/>
    </row>
    <row r="26920" spans="26:26" x14ac:dyDescent="0.25">
      <c r="Z26920"/>
    </row>
    <row r="26921" spans="26:26" x14ac:dyDescent="0.25">
      <c r="Z26921"/>
    </row>
    <row r="26922" spans="26:26" x14ac:dyDescent="0.25">
      <c r="Z26922"/>
    </row>
    <row r="26923" spans="26:26" x14ac:dyDescent="0.25">
      <c r="Z26923"/>
    </row>
    <row r="26924" spans="26:26" x14ac:dyDescent="0.25">
      <c r="Z26924"/>
    </row>
    <row r="26925" spans="26:26" x14ac:dyDescent="0.25">
      <c r="Z26925"/>
    </row>
    <row r="26926" spans="26:26" x14ac:dyDescent="0.25">
      <c r="Z26926"/>
    </row>
    <row r="26927" spans="26:26" x14ac:dyDescent="0.25">
      <c r="Z26927"/>
    </row>
    <row r="26928" spans="26:26" x14ac:dyDescent="0.25">
      <c r="Z26928"/>
    </row>
    <row r="26929" spans="26:26" x14ac:dyDescent="0.25">
      <c r="Z26929"/>
    </row>
    <row r="26930" spans="26:26" x14ac:dyDescent="0.25">
      <c r="Z26930"/>
    </row>
    <row r="26931" spans="26:26" x14ac:dyDescent="0.25">
      <c r="Z26931"/>
    </row>
    <row r="26932" spans="26:26" x14ac:dyDescent="0.25">
      <c r="Z26932"/>
    </row>
    <row r="26933" spans="26:26" x14ac:dyDescent="0.25">
      <c r="Z26933"/>
    </row>
    <row r="26934" spans="26:26" x14ac:dyDescent="0.25">
      <c r="Z26934"/>
    </row>
    <row r="26935" spans="26:26" x14ac:dyDescent="0.25">
      <c r="Z26935"/>
    </row>
    <row r="26936" spans="26:26" x14ac:dyDescent="0.25">
      <c r="Z26936"/>
    </row>
    <row r="26937" spans="26:26" x14ac:dyDescent="0.25">
      <c r="Z26937"/>
    </row>
    <row r="26938" spans="26:26" x14ac:dyDescent="0.25">
      <c r="Z26938"/>
    </row>
    <row r="26939" spans="26:26" x14ac:dyDescent="0.25">
      <c r="Z26939"/>
    </row>
    <row r="26940" spans="26:26" x14ac:dyDescent="0.25">
      <c r="Z26940"/>
    </row>
    <row r="26941" spans="26:26" x14ac:dyDescent="0.25">
      <c r="Z26941"/>
    </row>
    <row r="26942" spans="26:26" x14ac:dyDescent="0.25">
      <c r="Z26942"/>
    </row>
    <row r="26943" spans="26:26" x14ac:dyDescent="0.25">
      <c r="Z26943"/>
    </row>
    <row r="26944" spans="26:26" x14ac:dyDescent="0.25">
      <c r="Z26944"/>
    </row>
    <row r="26945" spans="26:26" x14ac:dyDescent="0.25">
      <c r="Z26945"/>
    </row>
    <row r="26946" spans="26:26" x14ac:dyDescent="0.25">
      <c r="Z26946"/>
    </row>
    <row r="26947" spans="26:26" x14ac:dyDescent="0.25">
      <c r="Z26947"/>
    </row>
    <row r="26948" spans="26:26" x14ac:dyDescent="0.25">
      <c r="Z26948"/>
    </row>
    <row r="26949" spans="26:26" x14ac:dyDescent="0.25">
      <c r="Z26949"/>
    </row>
    <row r="26950" spans="26:26" x14ac:dyDescent="0.25">
      <c r="Z26950"/>
    </row>
    <row r="26951" spans="26:26" x14ac:dyDescent="0.25">
      <c r="Z26951"/>
    </row>
    <row r="26952" spans="26:26" x14ac:dyDescent="0.25">
      <c r="Z26952"/>
    </row>
    <row r="26953" spans="26:26" x14ac:dyDescent="0.25">
      <c r="Z26953"/>
    </row>
    <row r="26954" spans="26:26" x14ac:dyDescent="0.25">
      <c r="Z26954"/>
    </row>
    <row r="26955" spans="26:26" x14ac:dyDescent="0.25">
      <c r="Z26955"/>
    </row>
    <row r="26956" spans="26:26" x14ac:dyDescent="0.25">
      <c r="Z26956"/>
    </row>
    <row r="26957" spans="26:26" x14ac:dyDescent="0.25">
      <c r="Z26957"/>
    </row>
    <row r="26958" spans="26:26" x14ac:dyDescent="0.25">
      <c r="Z26958"/>
    </row>
    <row r="26959" spans="26:26" x14ac:dyDescent="0.25">
      <c r="Z26959"/>
    </row>
    <row r="26960" spans="26:26" x14ac:dyDescent="0.25">
      <c r="Z26960"/>
    </row>
    <row r="26961" spans="26:26" x14ac:dyDescent="0.25">
      <c r="Z26961"/>
    </row>
    <row r="26962" spans="26:26" x14ac:dyDescent="0.25">
      <c r="Z26962"/>
    </row>
    <row r="26963" spans="26:26" x14ac:dyDescent="0.25">
      <c r="Z26963"/>
    </row>
    <row r="26964" spans="26:26" x14ac:dyDescent="0.25">
      <c r="Z26964"/>
    </row>
    <row r="26965" spans="26:26" x14ac:dyDescent="0.25">
      <c r="Z26965"/>
    </row>
    <row r="26966" spans="26:26" x14ac:dyDescent="0.25">
      <c r="Z26966"/>
    </row>
    <row r="26967" spans="26:26" x14ac:dyDescent="0.25">
      <c r="Z26967"/>
    </row>
    <row r="26968" spans="26:26" x14ac:dyDescent="0.25">
      <c r="Z26968"/>
    </row>
    <row r="26969" spans="26:26" x14ac:dyDescent="0.25">
      <c r="Z26969"/>
    </row>
    <row r="26970" spans="26:26" x14ac:dyDescent="0.25">
      <c r="Z26970"/>
    </row>
    <row r="26971" spans="26:26" x14ac:dyDescent="0.25">
      <c r="Z26971"/>
    </row>
    <row r="26972" spans="26:26" x14ac:dyDescent="0.25">
      <c r="Z26972"/>
    </row>
    <row r="26973" spans="26:26" x14ac:dyDescent="0.25">
      <c r="Z26973"/>
    </row>
    <row r="26974" spans="26:26" x14ac:dyDescent="0.25">
      <c r="Z26974"/>
    </row>
    <row r="26975" spans="26:26" x14ac:dyDescent="0.25">
      <c r="Z26975"/>
    </row>
    <row r="26976" spans="26:26" x14ac:dyDescent="0.25">
      <c r="Z26976"/>
    </row>
    <row r="26977" spans="26:26" x14ac:dyDescent="0.25">
      <c r="Z26977"/>
    </row>
    <row r="26978" spans="26:26" x14ac:dyDescent="0.25">
      <c r="Z26978"/>
    </row>
    <row r="26979" spans="26:26" x14ac:dyDescent="0.25">
      <c r="Z26979"/>
    </row>
    <row r="26980" spans="26:26" x14ac:dyDescent="0.25">
      <c r="Z26980"/>
    </row>
    <row r="26981" spans="26:26" x14ac:dyDescent="0.25">
      <c r="Z26981"/>
    </row>
    <row r="26982" spans="26:26" x14ac:dyDescent="0.25">
      <c r="Z26982"/>
    </row>
    <row r="26983" spans="26:26" x14ac:dyDescent="0.25">
      <c r="Z26983"/>
    </row>
    <row r="26984" spans="26:26" x14ac:dyDescent="0.25">
      <c r="Z26984"/>
    </row>
    <row r="26985" spans="26:26" x14ac:dyDescent="0.25">
      <c r="Z26985"/>
    </row>
    <row r="26986" spans="26:26" x14ac:dyDescent="0.25">
      <c r="Z26986"/>
    </row>
    <row r="26987" spans="26:26" x14ac:dyDescent="0.25">
      <c r="Z26987"/>
    </row>
    <row r="26988" spans="26:26" x14ac:dyDescent="0.25">
      <c r="Z26988"/>
    </row>
    <row r="26989" spans="26:26" x14ac:dyDescent="0.25">
      <c r="Z26989"/>
    </row>
    <row r="26990" spans="26:26" x14ac:dyDescent="0.25">
      <c r="Z26990"/>
    </row>
    <row r="26991" spans="26:26" x14ac:dyDescent="0.25">
      <c r="Z26991"/>
    </row>
    <row r="26992" spans="26:26" x14ac:dyDescent="0.25">
      <c r="Z26992"/>
    </row>
    <row r="26993" spans="26:26" x14ac:dyDescent="0.25">
      <c r="Z26993"/>
    </row>
    <row r="26994" spans="26:26" x14ac:dyDescent="0.25">
      <c r="Z26994"/>
    </row>
    <row r="26995" spans="26:26" x14ac:dyDescent="0.25">
      <c r="Z26995"/>
    </row>
    <row r="26996" spans="26:26" x14ac:dyDescent="0.25">
      <c r="Z26996"/>
    </row>
    <row r="26997" spans="26:26" x14ac:dyDescent="0.25">
      <c r="Z26997"/>
    </row>
    <row r="26998" spans="26:26" x14ac:dyDescent="0.25">
      <c r="Z26998"/>
    </row>
    <row r="26999" spans="26:26" x14ac:dyDescent="0.25">
      <c r="Z26999"/>
    </row>
    <row r="27000" spans="26:26" x14ac:dyDescent="0.25">
      <c r="Z27000"/>
    </row>
    <row r="27001" spans="26:26" x14ac:dyDescent="0.25">
      <c r="Z27001"/>
    </row>
    <row r="27002" spans="26:26" x14ac:dyDescent="0.25">
      <c r="Z27002"/>
    </row>
    <row r="27003" spans="26:26" x14ac:dyDescent="0.25">
      <c r="Z27003"/>
    </row>
    <row r="27004" spans="26:26" x14ac:dyDescent="0.25">
      <c r="Z27004"/>
    </row>
    <row r="27005" spans="26:26" x14ac:dyDescent="0.25">
      <c r="Z27005"/>
    </row>
    <row r="27006" spans="26:26" x14ac:dyDescent="0.25">
      <c r="Z27006"/>
    </row>
    <row r="27007" spans="26:26" x14ac:dyDescent="0.25">
      <c r="Z27007"/>
    </row>
    <row r="27008" spans="26:26" x14ac:dyDescent="0.25">
      <c r="Z27008"/>
    </row>
    <row r="27009" spans="26:26" x14ac:dyDescent="0.25">
      <c r="Z27009"/>
    </row>
    <row r="27010" spans="26:26" x14ac:dyDescent="0.25">
      <c r="Z27010"/>
    </row>
    <row r="27011" spans="26:26" x14ac:dyDescent="0.25">
      <c r="Z27011"/>
    </row>
    <row r="27012" spans="26:26" x14ac:dyDescent="0.25">
      <c r="Z27012"/>
    </row>
    <row r="27013" spans="26:26" x14ac:dyDescent="0.25">
      <c r="Z27013"/>
    </row>
    <row r="27014" spans="26:26" x14ac:dyDescent="0.25">
      <c r="Z27014"/>
    </row>
    <row r="27015" spans="26:26" x14ac:dyDescent="0.25">
      <c r="Z27015"/>
    </row>
    <row r="27016" spans="26:26" x14ac:dyDescent="0.25">
      <c r="Z27016"/>
    </row>
    <row r="27017" spans="26:26" x14ac:dyDescent="0.25">
      <c r="Z27017"/>
    </row>
    <row r="27018" spans="26:26" x14ac:dyDescent="0.25">
      <c r="Z27018"/>
    </row>
    <row r="27019" spans="26:26" x14ac:dyDescent="0.25">
      <c r="Z27019"/>
    </row>
    <row r="27020" spans="26:26" x14ac:dyDescent="0.25">
      <c r="Z27020"/>
    </row>
    <row r="27021" spans="26:26" x14ac:dyDescent="0.25">
      <c r="Z27021"/>
    </row>
    <row r="27022" spans="26:26" x14ac:dyDescent="0.25">
      <c r="Z27022"/>
    </row>
    <row r="27023" spans="26:26" x14ac:dyDescent="0.25">
      <c r="Z27023"/>
    </row>
    <row r="27024" spans="26:26" x14ac:dyDescent="0.25">
      <c r="Z27024"/>
    </row>
    <row r="27025" spans="26:26" x14ac:dyDescent="0.25">
      <c r="Z27025"/>
    </row>
    <row r="27026" spans="26:26" x14ac:dyDescent="0.25">
      <c r="Z27026"/>
    </row>
    <row r="27027" spans="26:26" x14ac:dyDescent="0.25">
      <c r="Z27027"/>
    </row>
    <row r="27028" spans="26:26" x14ac:dyDescent="0.25">
      <c r="Z27028"/>
    </row>
    <row r="27029" spans="26:26" x14ac:dyDescent="0.25">
      <c r="Z27029"/>
    </row>
    <row r="27030" spans="26:26" x14ac:dyDescent="0.25">
      <c r="Z27030"/>
    </row>
    <row r="27031" spans="26:26" x14ac:dyDescent="0.25">
      <c r="Z27031"/>
    </row>
    <row r="27032" spans="26:26" x14ac:dyDescent="0.25">
      <c r="Z27032"/>
    </row>
    <row r="27033" spans="26:26" x14ac:dyDescent="0.25">
      <c r="Z27033"/>
    </row>
    <row r="27034" spans="26:26" x14ac:dyDescent="0.25">
      <c r="Z27034"/>
    </row>
    <row r="27035" spans="26:26" x14ac:dyDescent="0.25">
      <c r="Z27035"/>
    </row>
    <row r="27036" spans="26:26" x14ac:dyDescent="0.25">
      <c r="Z27036"/>
    </row>
    <row r="27037" spans="26:26" x14ac:dyDescent="0.25">
      <c r="Z27037"/>
    </row>
    <row r="27038" spans="26:26" x14ac:dyDescent="0.25">
      <c r="Z27038"/>
    </row>
    <row r="27039" spans="26:26" x14ac:dyDescent="0.25">
      <c r="Z27039"/>
    </row>
    <row r="27040" spans="26:26" x14ac:dyDescent="0.25">
      <c r="Z27040"/>
    </row>
    <row r="27041" spans="26:26" x14ac:dyDescent="0.25">
      <c r="Z27041"/>
    </row>
    <row r="27042" spans="26:26" x14ac:dyDescent="0.25">
      <c r="Z27042"/>
    </row>
    <row r="27043" spans="26:26" x14ac:dyDescent="0.25">
      <c r="Z27043"/>
    </row>
    <row r="27044" spans="26:26" x14ac:dyDescent="0.25">
      <c r="Z27044"/>
    </row>
    <row r="27045" spans="26:26" x14ac:dyDescent="0.25">
      <c r="Z27045"/>
    </row>
    <row r="27046" spans="26:26" x14ac:dyDescent="0.25">
      <c r="Z27046"/>
    </row>
    <row r="27047" spans="26:26" x14ac:dyDescent="0.25">
      <c r="Z27047"/>
    </row>
    <row r="27048" spans="26:26" x14ac:dyDescent="0.25">
      <c r="Z27048"/>
    </row>
    <row r="27049" spans="26:26" x14ac:dyDescent="0.25">
      <c r="Z27049"/>
    </row>
    <row r="27050" spans="26:26" x14ac:dyDescent="0.25">
      <c r="Z27050"/>
    </row>
    <row r="27051" spans="26:26" x14ac:dyDescent="0.25">
      <c r="Z27051"/>
    </row>
    <row r="27052" spans="26:26" x14ac:dyDescent="0.25">
      <c r="Z27052"/>
    </row>
    <row r="27053" spans="26:26" x14ac:dyDescent="0.25">
      <c r="Z27053"/>
    </row>
    <row r="27054" spans="26:26" x14ac:dyDescent="0.25">
      <c r="Z27054"/>
    </row>
    <row r="27055" spans="26:26" x14ac:dyDescent="0.25">
      <c r="Z27055"/>
    </row>
    <row r="27056" spans="26:26" x14ac:dyDescent="0.25">
      <c r="Z27056"/>
    </row>
    <row r="27057" spans="26:26" x14ac:dyDescent="0.25">
      <c r="Z27057"/>
    </row>
    <row r="27058" spans="26:26" x14ac:dyDescent="0.25">
      <c r="Z27058"/>
    </row>
    <row r="27059" spans="26:26" x14ac:dyDescent="0.25">
      <c r="Z27059"/>
    </row>
    <row r="27060" spans="26:26" x14ac:dyDescent="0.25">
      <c r="Z27060"/>
    </row>
    <row r="27061" spans="26:26" x14ac:dyDescent="0.25">
      <c r="Z27061"/>
    </row>
    <row r="27062" spans="26:26" x14ac:dyDescent="0.25">
      <c r="Z27062"/>
    </row>
    <row r="27063" spans="26:26" x14ac:dyDescent="0.25">
      <c r="Z27063"/>
    </row>
    <row r="27064" spans="26:26" x14ac:dyDescent="0.25">
      <c r="Z27064"/>
    </row>
    <row r="27065" spans="26:26" x14ac:dyDescent="0.25">
      <c r="Z27065"/>
    </row>
    <row r="27066" spans="26:26" x14ac:dyDescent="0.25">
      <c r="Z27066"/>
    </row>
    <row r="27067" spans="26:26" x14ac:dyDescent="0.25">
      <c r="Z27067"/>
    </row>
    <row r="27068" spans="26:26" x14ac:dyDescent="0.25">
      <c r="Z27068"/>
    </row>
    <row r="27069" spans="26:26" x14ac:dyDescent="0.25">
      <c r="Z27069"/>
    </row>
    <row r="27070" spans="26:26" x14ac:dyDescent="0.25">
      <c r="Z27070"/>
    </row>
    <row r="27071" spans="26:26" x14ac:dyDescent="0.25">
      <c r="Z27071"/>
    </row>
    <row r="27072" spans="26:26" x14ac:dyDescent="0.25">
      <c r="Z27072"/>
    </row>
    <row r="27073" spans="26:26" x14ac:dyDescent="0.25">
      <c r="Z27073"/>
    </row>
    <row r="27074" spans="26:26" x14ac:dyDescent="0.25">
      <c r="Z27074"/>
    </row>
    <row r="27075" spans="26:26" x14ac:dyDescent="0.25">
      <c r="Z27075"/>
    </row>
    <row r="27076" spans="26:26" x14ac:dyDescent="0.25">
      <c r="Z27076"/>
    </row>
    <row r="27077" spans="26:26" x14ac:dyDescent="0.25">
      <c r="Z27077"/>
    </row>
    <row r="27078" spans="26:26" x14ac:dyDescent="0.25">
      <c r="Z27078"/>
    </row>
    <row r="27079" spans="26:26" x14ac:dyDescent="0.25">
      <c r="Z27079"/>
    </row>
    <row r="27080" spans="26:26" x14ac:dyDescent="0.25">
      <c r="Z27080"/>
    </row>
    <row r="27081" spans="26:26" x14ac:dyDescent="0.25">
      <c r="Z27081"/>
    </row>
    <row r="27082" spans="26:26" x14ac:dyDescent="0.25">
      <c r="Z27082"/>
    </row>
    <row r="27083" spans="26:26" x14ac:dyDescent="0.25">
      <c r="Z27083"/>
    </row>
    <row r="27084" spans="26:26" x14ac:dyDescent="0.25">
      <c r="Z27084"/>
    </row>
    <row r="27085" spans="26:26" x14ac:dyDescent="0.25">
      <c r="Z27085"/>
    </row>
    <row r="27086" spans="26:26" x14ac:dyDescent="0.25">
      <c r="Z27086"/>
    </row>
    <row r="27087" spans="26:26" x14ac:dyDescent="0.25">
      <c r="Z27087"/>
    </row>
    <row r="27088" spans="26:26" x14ac:dyDescent="0.25">
      <c r="Z27088"/>
    </row>
    <row r="27089" spans="26:26" x14ac:dyDescent="0.25">
      <c r="Z27089"/>
    </row>
    <row r="27090" spans="26:26" x14ac:dyDescent="0.25">
      <c r="Z27090"/>
    </row>
    <row r="27091" spans="26:26" x14ac:dyDescent="0.25">
      <c r="Z27091"/>
    </row>
    <row r="27092" spans="26:26" x14ac:dyDescent="0.25">
      <c r="Z27092"/>
    </row>
    <row r="27093" spans="26:26" x14ac:dyDescent="0.25">
      <c r="Z27093"/>
    </row>
    <row r="27094" spans="26:26" x14ac:dyDescent="0.25">
      <c r="Z27094"/>
    </row>
    <row r="27095" spans="26:26" x14ac:dyDescent="0.25">
      <c r="Z27095"/>
    </row>
    <row r="27096" spans="26:26" x14ac:dyDescent="0.25">
      <c r="Z27096"/>
    </row>
    <row r="27097" spans="26:26" x14ac:dyDescent="0.25">
      <c r="Z27097"/>
    </row>
    <row r="27098" spans="26:26" x14ac:dyDescent="0.25">
      <c r="Z27098"/>
    </row>
    <row r="27099" spans="26:26" x14ac:dyDescent="0.25">
      <c r="Z27099"/>
    </row>
    <row r="27100" spans="26:26" x14ac:dyDescent="0.25">
      <c r="Z27100"/>
    </row>
    <row r="27101" spans="26:26" x14ac:dyDescent="0.25">
      <c r="Z27101"/>
    </row>
    <row r="27102" spans="26:26" x14ac:dyDescent="0.25">
      <c r="Z27102"/>
    </row>
    <row r="27103" spans="26:26" x14ac:dyDescent="0.25">
      <c r="Z27103"/>
    </row>
    <row r="27104" spans="26:26" x14ac:dyDescent="0.25">
      <c r="Z27104"/>
    </row>
    <row r="27105" spans="26:26" x14ac:dyDescent="0.25">
      <c r="Z27105"/>
    </row>
    <row r="27106" spans="26:26" x14ac:dyDescent="0.25">
      <c r="Z27106"/>
    </row>
    <row r="27107" spans="26:26" x14ac:dyDescent="0.25">
      <c r="Z27107"/>
    </row>
    <row r="27108" spans="26:26" x14ac:dyDescent="0.25">
      <c r="Z27108"/>
    </row>
    <row r="27109" spans="26:26" x14ac:dyDescent="0.25">
      <c r="Z27109"/>
    </row>
    <row r="27110" spans="26:26" x14ac:dyDescent="0.25">
      <c r="Z27110"/>
    </row>
    <row r="27111" spans="26:26" x14ac:dyDescent="0.25">
      <c r="Z27111"/>
    </row>
    <row r="27112" spans="26:26" x14ac:dyDescent="0.25">
      <c r="Z27112"/>
    </row>
    <row r="27113" spans="26:26" x14ac:dyDescent="0.25">
      <c r="Z27113"/>
    </row>
    <row r="27114" spans="26:26" x14ac:dyDescent="0.25">
      <c r="Z27114"/>
    </row>
    <row r="27115" spans="26:26" x14ac:dyDescent="0.25">
      <c r="Z27115"/>
    </row>
    <row r="27116" spans="26:26" x14ac:dyDescent="0.25">
      <c r="Z27116"/>
    </row>
    <row r="27117" spans="26:26" x14ac:dyDescent="0.25">
      <c r="Z27117"/>
    </row>
    <row r="27118" spans="26:26" x14ac:dyDescent="0.25">
      <c r="Z27118"/>
    </row>
    <row r="27119" spans="26:26" x14ac:dyDescent="0.25">
      <c r="Z27119"/>
    </row>
    <row r="27120" spans="26:26" x14ac:dyDescent="0.25">
      <c r="Z27120"/>
    </row>
    <row r="27121" spans="26:26" x14ac:dyDescent="0.25">
      <c r="Z27121"/>
    </row>
    <row r="27122" spans="26:26" x14ac:dyDescent="0.25">
      <c r="Z27122"/>
    </row>
    <row r="27123" spans="26:26" x14ac:dyDescent="0.25">
      <c r="Z27123"/>
    </row>
    <row r="27124" spans="26:26" x14ac:dyDescent="0.25">
      <c r="Z27124"/>
    </row>
    <row r="27125" spans="26:26" x14ac:dyDescent="0.25">
      <c r="Z27125"/>
    </row>
    <row r="27126" spans="26:26" x14ac:dyDescent="0.25">
      <c r="Z27126"/>
    </row>
    <row r="27127" spans="26:26" x14ac:dyDescent="0.25">
      <c r="Z27127"/>
    </row>
    <row r="27128" spans="26:26" x14ac:dyDescent="0.25">
      <c r="Z27128"/>
    </row>
    <row r="27129" spans="26:26" x14ac:dyDescent="0.25">
      <c r="Z27129"/>
    </row>
    <row r="27130" spans="26:26" x14ac:dyDescent="0.25">
      <c r="Z27130"/>
    </row>
    <row r="27131" spans="26:26" x14ac:dyDescent="0.25">
      <c r="Z27131"/>
    </row>
    <row r="27132" spans="26:26" x14ac:dyDescent="0.25">
      <c r="Z27132"/>
    </row>
    <row r="27133" spans="26:26" x14ac:dyDescent="0.25">
      <c r="Z27133"/>
    </row>
    <row r="27134" spans="26:26" x14ac:dyDescent="0.25">
      <c r="Z27134"/>
    </row>
    <row r="27135" spans="26:26" x14ac:dyDescent="0.25">
      <c r="Z27135"/>
    </row>
    <row r="27136" spans="26:26" x14ac:dyDescent="0.25">
      <c r="Z27136"/>
    </row>
    <row r="27137" spans="26:26" x14ac:dyDescent="0.25">
      <c r="Z27137"/>
    </row>
    <row r="27138" spans="26:26" x14ac:dyDescent="0.25">
      <c r="Z27138"/>
    </row>
    <row r="27139" spans="26:26" x14ac:dyDescent="0.25">
      <c r="Z27139"/>
    </row>
    <row r="27140" spans="26:26" x14ac:dyDescent="0.25">
      <c r="Z27140"/>
    </row>
    <row r="27141" spans="26:26" x14ac:dyDescent="0.25">
      <c r="Z27141"/>
    </row>
    <row r="27142" spans="26:26" x14ac:dyDescent="0.25">
      <c r="Z27142"/>
    </row>
    <row r="27143" spans="26:26" x14ac:dyDescent="0.25">
      <c r="Z27143"/>
    </row>
    <row r="27144" spans="26:26" x14ac:dyDescent="0.25">
      <c r="Z27144"/>
    </row>
    <row r="27145" spans="26:26" x14ac:dyDescent="0.25">
      <c r="Z27145"/>
    </row>
    <row r="27146" spans="26:26" x14ac:dyDescent="0.25">
      <c r="Z27146"/>
    </row>
    <row r="27147" spans="26:26" x14ac:dyDescent="0.25">
      <c r="Z27147"/>
    </row>
    <row r="27148" spans="26:26" x14ac:dyDescent="0.25">
      <c r="Z27148"/>
    </row>
    <row r="27149" spans="26:26" x14ac:dyDescent="0.25">
      <c r="Z27149"/>
    </row>
    <row r="27150" spans="26:26" x14ac:dyDescent="0.25">
      <c r="Z27150"/>
    </row>
    <row r="27151" spans="26:26" x14ac:dyDescent="0.25">
      <c r="Z27151"/>
    </row>
    <row r="27152" spans="26:26" x14ac:dyDescent="0.25">
      <c r="Z27152"/>
    </row>
    <row r="27153" spans="26:26" x14ac:dyDescent="0.25">
      <c r="Z27153"/>
    </row>
    <row r="27154" spans="26:26" x14ac:dyDescent="0.25">
      <c r="Z27154"/>
    </row>
    <row r="27155" spans="26:26" x14ac:dyDescent="0.25">
      <c r="Z27155"/>
    </row>
    <row r="27156" spans="26:26" x14ac:dyDescent="0.25">
      <c r="Z27156"/>
    </row>
    <row r="27157" spans="26:26" x14ac:dyDescent="0.25">
      <c r="Z27157"/>
    </row>
    <row r="27158" spans="26:26" x14ac:dyDescent="0.25">
      <c r="Z27158"/>
    </row>
    <row r="27159" spans="26:26" x14ac:dyDescent="0.25">
      <c r="Z27159"/>
    </row>
    <row r="27160" spans="26:26" x14ac:dyDescent="0.25">
      <c r="Z27160"/>
    </row>
    <row r="27161" spans="26:26" x14ac:dyDescent="0.25">
      <c r="Z27161"/>
    </row>
    <row r="27162" spans="26:26" x14ac:dyDescent="0.25">
      <c r="Z27162"/>
    </row>
    <row r="27163" spans="26:26" x14ac:dyDescent="0.25">
      <c r="Z27163"/>
    </row>
    <row r="27164" spans="26:26" x14ac:dyDescent="0.25">
      <c r="Z27164"/>
    </row>
    <row r="27165" spans="26:26" x14ac:dyDescent="0.25">
      <c r="Z27165"/>
    </row>
    <row r="27166" spans="26:26" x14ac:dyDescent="0.25">
      <c r="Z27166"/>
    </row>
    <row r="27167" spans="26:26" x14ac:dyDescent="0.25">
      <c r="Z27167"/>
    </row>
    <row r="27168" spans="26:26" x14ac:dyDescent="0.25">
      <c r="Z27168"/>
    </row>
    <row r="27169" spans="26:26" x14ac:dyDescent="0.25">
      <c r="Z27169"/>
    </row>
    <row r="27170" spans="26:26" x14ac:dyDescent="0.25">
      <c r="Z27170"/>
    </row>
    <row r="27171" spans="26:26" x14ac:dyDescent="0.25">
      <c r="Z27171"/>
    </row>
    <row r="27172" spans="26:26" x14ac:dyDescent="0.25">
      <c r="Z27172"/>
    </row>
    <row r="27173" spans="26:26" x14ac:dyDescent="0.25">
      <c r="Z27173"/>
    </row>
    <row r="27174" spans="26:26" x14ac:dyDescent="0.25">
      <c r="Z27174"/>
    </row>
    <row r="27175" spans="26:26" x14ac:dyDescent="0.25">
      <c r="Z27175"/>
    </row>
    <row r="27176" spans="26:26" x14ac:dyDescent="0.25">
      <c r="Z27176"/>
    </row>
    <row r="27177" spans="26:26" x14ac:dyDescent="0.25">
      <c r="Z27177"/>
    </row>
    <row r="27178" spans="26:26" x14ac:dyDescent="0.25">
      <c r="Z27178"/>
    </row>
    <row r="27179" spans="26:26" x14ac:dyDescent="0.25">
      <c r="Z27179"/>
    </row>
    <row r="27180" spans="26:26" x14ac:dyDescent="0.25">
      <c r="Z27180"/>
    </row>
    <row r="27181" spans="26:26" x14ac:dyDescent="0.25">
      <c r="Z27181"/>
    </row>
    <row r="27182" spans="26:26" x14ac:dyDescent="0.25">
      <c r="Z27182"/>
    </row>
    <row r="27183" spans="26:26" x14ac:dyDescent="0.25">
      <c r="Z27183"/>
    </row>
    <row r="27184" spans="26:26" x14ac:dyDescent="0.25">
      <c r="Z27184"/>
    </row>
    <row r="27185" spans="26:26" x14ac:dyDescent="0.25">
      <c r="Z27185"/>
    </row>
    <row r="27186" spans="26:26" x14ac:dyDescent="0.25">
      <c r="Z27186"/>
    </row>
    <row r="27187" spans="26:26" x14ac:dyDescent="0.25">
      <c r="Z27187"/>
    </row>
    <row r="27188" spans="26:26" x14ac:dyDescent="0.25">
      <c r="Z27188"/>
    </row>
    <row r="27189" spans="26:26" x14ac:dyDescent="0.25">
      <c r="Z27189"/>
    </row>
    <row r="27190" spans="26:26" x14ac:dyDescent="0.25">
      <c r="Z27190"/>
    </row>
    <row r="27191" spans="26:26" x14ac:dyDescent="0.25">
      <c r="Z27191"/>
    </row>
    <row r="27192" spans="26:26" x14ac:dyDescent="0.25">
      <c r="Z27192"/>
    </row>
    <row r="27193" spans="26:26" x14ac:dyDescent="0.25">
      <c r="Z27193"/>
    </row>
    <row r="27194" spans="26:26" x14ac:dyDescent="0.25">
      <c r="Z27194"/>
    </row>
    <row r="27195" spans="26:26" x14ac:dyDescent="0.25">
      <c r="Z27195"/>
    </row>
    <row r="27196" spans="26:26" x14ac:dyDescent="0.25">
      <c r="Z27196"/>
    </row>
    <row r="27197" spans="26:26" x14ac:dyDescent="0.25">
      <c r="Z27197"/>
    </row>
    <row r="27198" spans="26:26" x14ac:dyDescent="0.25">
      <c r="Z27198"/>
    </row>
    <row r="27199" spans="26:26" x14ac:dyDescent="0.25">
      <c r="Z27199"/>
    </row>
    <row r="27200" spans="26:26" x14ac:dyDescent="0.25">
      <c r="Z27200"/>
    </row>
    <row r="27201" spans="26:26" x14ac:dyDescent="0.25">
      <c r="Z27201"/>
    </row>
    <row r="27202" spans="26:26" x14ac:dyDescent="0.25">
      <c r="Z27202"/>
    </row>
    <row r="27203" spans="26:26" x14ac:dyDescent="0.25">
      <c r="Z27203"/>
    </row>
    <row r="27204" spans="26:26" x14ac:dyDescent="0.25">
      <c r="Z27204"/>
    </row>
    <row r="27205" spans="26:26" x14ac:dyDescent="0.25">
      <c r="Z27205"/>
    </row>
    <row r="27206" spans="26:26" x14ac:dyDescent="0.25">
      <c r="Z27206"/>
    </row>
    <row r="27207" spans="26:26" x14ac:dyDescent="0.25">
      <c r="Z27207"/>
    </row>
    <row r="27208" spans="26:26" x14ac:dyDescent="0.25">
      <c r="Z27208"/>
    </row>
    <row r="27209" spans="26:26" x14ac:dyDescent="0.25">
      <c r="Z27209"/>
    </row>
    <row r="27210" spans="26:26" x14ac:dyDescent="0.25">
      <c r="Z27210"/>
    </row>
    <row r="27211" spans="26:26" x14ac:dyDescent="0.25">
      <c r="Z27211"/>
    </row>
    <row r="27212" spans="26:26" x14ac:dyDescent="0.25">
      <c r="Z27212"/>
    </row>
    <row r="27213" spans="26:26" x14ac:dyDescent="0.25">
      <c r="Z27213"/>
    </row>
    <row r="27214" spans="26:26" x14ac:dyDescent="0.25">
      <c r="Z27214"/>
    </row>
    <row r="27215" spans="26:26" x14ac:dyDescent="0.25">
      <c r="Z27215"/>
    </row>
    <row r="27216" spans="26:26" x14ac:dyDescent="0.25">
      <c r="Z27216"/>
    </row>
    <row r="27217" spans="26:26" x14ac:dyDescent="0.25">
      <c r="Z27217"/>
    </row>
    <row r="27218" spans="26:26" x14ac:dyDescent="0.25">
      <c r="Z27218"/>
    </row>
    <row r="27219" spans="26:26" x14ac:dyDescent="0.25">
      <c r="Z27219"/>
    </row>
    <row r="27220" spans="26:26" x14ac:dyDescent="0.25">
      <c r="Z27220"/>
    </row>
    <row r="27221" spans="26:26" x14ac:dyDescent="0.25">
      <c r="Z27221"/>
    </row>
    <row r="27222" spans="26:26" x14ac:dyDescent="0.25">
      <c r="Z27222"/>
    </row>
    <row r="27223" spans="26:26" x14ac:dyDescent="0.25">
      <c r="Z27223"/>
    </row>
    <row r="27224" spans="26:26" x14ac:dyDescent="0.25">
      <c r="Z27224"/>
    </row>
    <row r="27225" spans="26:26" x14ac:dyDescent="0.25">
      <c r="Z27225"/>
    </row>
    <row r="27226" spans="26:26" x14ac:dyDescent="0.25">
      <c r="Z27226"/>
    </row>
    <row r="27227" spans="26:26" x14ac:dyDescent="0.25">
      <c r="Z27227"/>
    </row>
    <row r="27228" spans="26:26" x14ac:dyDescent="0.25">
      <c r="Z27228"/>
    </row>
    <row r="27229" spans="26:26" x14ac:dyDescent="0.25">
      <c r="Z27229"/>
    </row>
    <row r="27230" spans="26:26" x14ac:dyDescent="0.25">
      <c r="Z27230"/>
    </row>
    <row r="27231" spans="26:26" x14ac:dyDescent="0.25">
      <c r="Z27231"/>
    </row>
    <row r="27232" spans="26:26" x14ac:dyDescent="0.25">
      <c r="Z27232"/>
    </row>
    <row r="27233" spans="26:26" x14ac:dyDescent="0.25">
      <c r="Z27233"/>
    </row>
    <row r="27234" spans="26:26" x14ac:dyDescent="0.25">
      <c r="Z27234"/>
    </row>
    <row r="27235" spans="26:26" x14ac:dyDescent="0.25">
      <c r="Z27235"/>
    </row>
    <row r="27236" spans="26:26" x14ac:dyDescent="0.25">
      <c r="Z27236"/>
    </row>
    <row r="27237" spans="26:26" x14ac:dyDescent="0.25">
      <c r="Z27237"/>
    </row>
    <row r="27238" spans="26:26" x14ac:dyDescent="0.25">
      <c r="Z27238"/>
    </row>
    <row r="27239" spans="26:26" x14ac:dyDescent="0.25">
      <c r="Z27239"/>
    </row>
    <row r="27240" spans="26:26" x14ac:dyDescent="0.25">
      <c r="Z27240"/>
    </row>
    <row r="27241" spans="26:26" x14ac:dyDescent="0.25">
      <c r="Z27241"/>
    </row>
    <row r="27242" spans="26:26" x14ac:dyDescent="0.25">
      <c r="Z27242"/>
    </row>
    <row r="27243" spans="26:26" x14ac:dyDescent="0.25">
      <c r="Z27243"/>
    </row>
    <row r="27244" spans="26:26" x14ac:dyDescent="0.25">
      <c r="Z27244"/>
    </row>
    <row r="27245" spans="26:26" x14ac:dyDescent="0.25">
      <c r="Z27245"/>
    </row>
    <row r="27246" spans="26:26" x14ac:dyDescent="0.25">
      <c r="Z27246"/>
    </row>
    <row r="27247" spans="26:26" x14ac:dyDescent="0.25">
      <c r="Z27247"/>
    </row>
    <row r="27248" spans="26:26" x14ac:dyDescent="0.25">
      <c r="Z27248"/>
    </row>
    <row r="27249" spans="26:26" x14ac:dyDescent="0.25">
      <c r="Z27249"/>
    </row>
    <row r="27250" spans="26:26" x14ac:dyDescent="0.25">
      <c r="Z27250"/>
    </row>
    <row r="27251" spans="26:26" x14ac:dyDescent="0.25">
      <c r="Z27251"/>
    </row>
    <row r="27252" spans="26:26" x14ac:dyDescent="0.25">
      <c r="Z27252"/>
    </row>
    <row r="27253" spans="26:26" x14ac:dyDescent="0.25">
      <c r="Z27253"/>
    </row>
    <row r="27254" spans="26:26" x14ac:dyDescent="0.25">
      <c r="Z27254"/>
    </row>
    <row r="27255" spans="26:26" x14ac:dyDescent="0.25">
      <c r="Z27255"/>
    </row>
    <row r="27256" spans="26:26" x14ac:dyDescent="0.25">
      <c r="Z27256"/>
    </row>
    <row r="27257" spans="26:26" x14ac:dyDescent="0.25">
      <c r="Z27257"/>
    </row>
    <row r="27258" spans="26:26" x14ac:dyDescent="0.25">
      <c r="Z27258"/>
    </row>
    <row r="27259" spans="26:26" x14ac:dyDescent="0.25">
      <c r="Z27259"/>
    </row>
    <row r="27260" spans="26:26" x14ac:dyDescent="0.25">
      <c r="Z27260"/>
    </row>
    <row r="27261" spans="26:26" x14ac:dyDescent="0.25">
      <c r="Z27261"/>
    </row>
    <row r="27262" spans="26:26" x14ac:dyDescent="0.25">
      <c r="Z27262"/>
    </row>
    <row r="27263" spans="26:26" x14ac:dyDescent="0.25">
      <c r="Z27263"/>
    </row>
    <row r="27264" spans="26:26" x14ac:dyDescent="0.25">
      <c r="Z27264"/>
    </row>
    <row r="27265" spans="26:26" x14ac:dyDescent="0.25">
      <c r="Z27265"/>
    </row>
    <row r="27266" spans="26:26" x14ac:dyDescent="0.25">
      <c r="Z27266"/>
    </row>
    <row r="27267" spans="26:26" x14ac:dyDescent="0.25">
      <c r="Z27267"/>
    </row>
    <row r="27268" spans="26:26" x14ac:dyDescent="0.25">
      <c r="Z27268"/>
    </row>
    <row r="27269" spans="26:26" x14ac:dyDescent="0.25">
      <c r="Z27269"/>
    </row>
    <row r="27270" spans="26:26" x14ac:dyDescent="0.25">
      <c r="Z27270"/>
    </row>
    <row r="27271" spans="26:26" x14ac:dyDescent="0.25">
      <c r="Z27271"/>
    </row>
    <row r="27272" spans="26:26" x14ac:dyDescent="0.25">
      <c r="Z27272"/>
    </row>
    <row r="27273" spans="26:26" x14ac:dyDescent="0.25">
      <c r="Z27273"/>
    </row>
    <row r="27274" spans="26:26" x14ac:dyDescent="0.25">
      <c r="Z27274"/>
    </row>
    <row r="27275" spans="26:26" x14ac:dyDescent="0.25">
      <c r="Z27275"/>
    </row>
    <row r="27276" spans="26:26" x14ac:dyDescent="0.25">
      <c r="Z27276"/>
    </row>
    <row r="27277" spans="26:26" x14ac:dyDescent="0.25">
      <c r="Z27277"/>
    </row>
    <row r="27278" spans="26:26" x14ac:dyDescent="0.25">
      <c r="Z27278"/>
    </row>
    <row r="27279" spans="26:26" x14ac:dyDescent="0.25">
      <c r="Z27279"/>
    </row>
    <row r="27280" spans="26:26" x14ac:dyDescent="0.25">
      <c r="Z27280"/>
    </row>
    <row r="27281" spans="26:26" x14ac:dyDescent="0.25">
      <c r="Z27281"/>
    </row>
    <row r="27282" spans="26:26" x14ac:dyDescent="0.25">
      <c r="Z27282"/>
    </row>
    <row r="27283" spans="26:26" x14ac:dyDescent="0.25">
      <c r="Z27283"/>
    </row>
    <row r="27284" spans="26:26" x14ac:dyDescent="0.25">
      <c r="Z27284"/>
    </row>
    <row r="27285" spans="26:26" x14ac:dyDescent="0.25">
      <c r="Z27285"/>
    </row>
    <row r="27286" spans="26:26" x14ac:dyDescent="0.25">
      <c r="Z27286"/>
    </row>
    <row r="27287" spans="26:26" x14ac:dyDescent="0.25">
      <c r="Z27287"/>
    </row>
    <row r="27288" spans="26:26" x14ac:dyDescent="0.25">
      <c r="Z27288"/>
    </row>
    <row r="27289" spans="26:26" x14ac:dyDescent="0.25">
      <c r="Z27289"/>
    </row>
    <row r="27290" spans="26:26" x14ac:dyDescent="0.25">
      <c r="Z27290"/>
    </row>
    <row r="27291" spans="26:26" x14ac:dyDescent="0.25">
      <c r="Z27291"/>
    </row>
    <row r="27292" spans="26:26" x14ac:dyDescent="0.25">
      <c r="Z27292"/>
    </row>
    <row r="27293" spans="26:26" x14ac:dyDescent="0.25">
      <c r="Z27293"/>
    </row>
    <row r="27294" spans="26:26" x14ac:dyDescent="0.25">
      <c r="Z27294"/>
    </row>
    <row r="27295" spans="26:26" x14ac:dyDescent="0.25">
      <c r="Z27295"/>
    </row>
    <row r="27296" spans="26:26" x14ac:dyDescent="0.25">
      <c r="Z27296"/>
    </row>
    <row r="27297" spans="26:26" x14ac:dyDescent="0.25">
      <c r="Z27297"/>
    </row>
    <row r="27298" spans="26:26" x14ac:dyDescent="0.25">
      <c r="Z27298"/>
    </row>
    <row r="27299" spans="26:26" x14ac:dyDescent="0.25">
      <c r="Z27299"/>
    </row>
    <row r="27300" spans="26:26" x14ac:dyDescent="0.25">
      <c r="Z27300"/>
    </row>
    <row r="27301" spans="26:26" x14ac:dyDescent="0.25">
      <c r="Z27301"/>
    </row>
    <row r="27302" spans="26:26" x14ac:dyDescent="0.25">
      <c r="Z27302"/>
    </row>
    <row r="27303" spans="26:26" x14ac:dyDescent="0.25">
      <c r="Z27303"/>
    </row>
    <row r="27304" spans="26:26" x14ac:dyDescent="0.25">
      <c r="Z27304"/>
    </row>
    <row r="27305" spans="26:26" x14ac:dyDescent="0.25">
      <c r="Z27305"/>
    </row>
    <row r="27306" spans="26:26" x14ac:dyDescent="0.25">
      <c r="Z27306"/>
    </row>
    <row r="27307" spans="26:26" x14ac:dyDescent="0.25">
      <c r="Z27307"/>
    </row>
    <row r="27308" spans="26:26" x14ac:dyDescent="0.25">
      <c r="Z27308"/>
    </row>
    <row r="27309" spans="26:26" x14ac:dyDescent="0.25">
      <c r="Z27309"/>
    </row>
    <row r="27310" spans="26:26" x14ac:dyDescent="0.25">
      <c r="Z27310"/>
    </row>
    <row r="27311" spans="26:26" x14ac:dyDescent="0.25">
      <c r="Z27311"/>
    </row>
    <row r="27312" spans="26:26" x14ac:dyDescent="0.25">
      <c r="Z27312"/>
    </row>
    <row r="27313" spans="26:26" x14ac:dyDescent="0.25">
      <c r="Z27313"/>
    </row>
    <row r="27314" spans="26:26" x14ac:dyDescent="0.25">
      <c r="Z27314"/>
    </row>
    <row r="27315" spans="26:26" x14ac:dyDescent="0.25">
      <c r="Z27315"/>
    </row>
    <row r="27316" spans="26:26" x14ac:dyDescent="0.25">
      <c r="Z27316"/>
    </row>
    <row r="27317" spans="26:26" x14ac:dyDescent="0.25">
      <c r="Z27317"/>
    </row>
    <row r="27318" spans="26:26" x14ac:dyDescent="0.25">
      <c r="Z27318"/>
    </row>
    <row r="27319" spans="26:26" x14ac:dyDescent="0.25">
      <c r="Z27319"/>
    </row>
    <row r="27320" spans="26:26" x14ac:dyDescent="0.25">
      <c r="Z27320"/>
    </row>
    <row r="27321" spans="26:26" x14ac:dyDescent="0.25">
      <c r="Z27321"/>
    </row>
    <row r="27322" spans="26:26" x14ac:dyDescent="0.25">
      <c r="Z27322"/>
    </row>
    <row r="27323" spans="26:26" x14ac:dyDescent="0.25">
      <c r="Z27323"/>
    </row>
    <row r="27324" spans="26:26" x14ac:dyDescent="0.25">
      <c r="Z27324"/>
    </row>
    <row r="27325" spans="26:26" x14ac:dyDescent="0.25">
      <c r="Z27325"/>
    </row>
    <row r="27326" spans="26:26" x14ac:dyDescent="0.25">
      <c r="Z27326"/>
    </row>
    <row r="27327" spans="26:26" x14ac:dyDescent="0.25">
      <c r="Z27327"/>
    </row>
    <row r="27328" spans="26:26" x14ac:dyDescent="0.25">
      <c r="Z27328"/>
    </row>
    <row r="27329" spans="26:26" x14ac:dyDescent="0.25">
      <c r="Z27329"/>
    </row>
    <row r="27330" spans="26:26" x14ac:dyDescent="0.25">
      <c r="Z27330"/>
    </row>
    <row r="27331" spans="26:26" x14ac:dyDescent="0.25">
      <c r="Z27331"/>
    </row>
    <row r="27332" spans="26:26" x14ac:dyDescent="0.25">
      <c r="Z27332"/>
    </row>
    <row r="27333" spans="26:26" x14ac:dyDescent="0.25">
      <c r="Z27333"/>
    </row>
    <row r="27334" spans="26:26" x14ac:dyDescent="0.25">
      <c r="Z27334"/>
    </row>
    <row r="27335" spans="26:26" x14ac:dyDescent="0.25">
      <c r="Z27335"/>
    </row>
    <row r="27336" spans="26:26" x14ac:dyDescent="0.25">
      <c r="Z27336"/>
    </row>
    <row r="27337" spans="26:26" x14ac:dyDescent="0.25">
      <c r="Z27337"/>
    </row>
    <row r="27338" spans="26:26" x14ac:dyDescent="0.25">
      <c r="Z27338"/>
    </row>
    <row r="27339" spans="26:26" x14ac:dyDescent="0.25">
      <c r="Z27339"/>
    </row>
    <row r="27340" spans="26:26" x14ac:dyDescent="0.25">
      <c r="Z27340"/>
    </row>
    <row r="27341" spans="26:26" x14ac:dyDescent="0.25">
      <c r="Z27341"/>
    </row>
    <row r="27342" spans="26:26" x14ac:dyDescent="0.25">
      <c r="Z27342"/>
    </row>
    <row r="27343" spans="26:26" x14ac:dyDescent="0.25">
      <c r="Z27343"/>
    </row>
    <row r="27344" spans="26:26" x14ac:dyDescent="0.25">
      <c r="Z27344"/>
    </row>
    <row r="27345" spans="26:26" x14ac:dyDescent="0.25">
      <c r="Z27345"/>
    </row>
    <row r="27346" spans="26:26" x14ac:dyDescent="0.25">
      <c r="Z27346"/>
    </row>
    <row r="27347" spans="26:26" x14ac:dyDescent="0.25">
      <c r="Z27347"/>
    </row>
    <row r="27348" spans="26:26" x14ac:dyDescent="0.25">
      <c r="Z27348"/>
    </row>
    <row r="27349" spans="26:26" x14ac:dyDescent="0.25">
      <c r="Z27349"/>
    </row>
    <row r="27350" spans="26:26" x14ac:dyDescent="0.25">
      <c r="Z27350"/>
    </row>
    <row r="27351" spans="26:26" x14ac:dyDescent="0.25">
      <c r="Z27351"/>
    </row>
    <row r="27352" spans="26:26" x14ac:dyDescent="0.25">
      <c r="Z27352"/>
    </row>
    <row r="27353" spans="26:26" x14ac:dyDescent="0.25">
      <c r="Z27353"/>
    </row>
    <row r="27354" spans="26:26" x14ac:dyDescent="0.25">
      <c r="Z27354"/>
    </row>
    <row r="27355" spans="26:26" x14ac:dyDescent="0.25">
      <c r="Z27355"/>
    </row>
    <row r="27356" spans="26:26" x14ac:dyDescent="0.25">
      <c r="Z27356"/>
    </row>
    <row r="27357" spans="26:26" x14ac:dyDescent="0.25">
      <c r="Z27357"/>
    </row>
    <row r="27358" spans="26:26" x14ac:dyDescent="0.25">
      <c r="Z27358"/>
    </row>
    <row r="27359" spans="26:26" x14ac:dyDescent="0.25">
      <c r="Z27359"/>
    </row>
    <row r="27360" spans="26:26" x14ac:dyDescent="0.25">
      <c r="Z27360"/>
    </row>
    <row r="27361" spans="26:26" x14ac:dyDescent="0.25">
      <c r="Z27361"/>
    </row>
    <row r="27362" spans="26:26" x14ac:dyDescent="0.25">
      <c r="Z27362"/>
    </row>
    <row r="27363" spans="26:26" x14ac:dyDescent="0.25">
      <c r="Z27363"/>
    </row>
    <row r="27364" spans="26:26" x14ac:dyDescent="0.25">
      <c r="Z27364"/>
    </row>
    <row r="27365" spans="26:26" x14ac:dyDescent="0.25">
      <c r="Z27365"/>
    </row>
    <row r="27366" spans="26:26" x14ac:dyDescent="0.25">
      <c r="Z27366"/>
    </row>
    <row r="27367" spans="26:26" x14ac:dyDescent="0.25">
      <c r="Z27367"/>
    </row>
    <row r="27368" spans="26:26" x14ac:dyDescent="0.25">
      <c r="Z27368"/>
    </row>
    <row r="27369" spans="26:26" x14ac:dyDescent="0.25">
      <c r="Z27369"/>
    </row>
    <row r="27370" spans="26:26" x14ac:dyDescent="0.25">
      <c r="Z27370"/>
    </row>
    <row r="27371" spans="26:26" x14ac:dyDescent="0.25">
      <c r="Z27371"/>
    </row>
    <row r="27372" spans="26:26" x14ac:dyDescent="0.25">
      <c r="Z27372"/>
    </row>
    <row r="27373" spans="26:26" x14ac:dyDescent="0.25">
      <c r="Z27373"/>
    </row>
    <row r="27374" spans="26:26" x14ac:dyDescent="0.25">
      <c r="Z27374"/>
    </row>
    <row r="27375" spans="26:26" x14ac:dyDescent="0.25">
      <c r="Z27375"/>
    </row>
    <row r="27376" spans="26:26" x14ac:dyDescent="0.25">
      <c r="Z27376"/>
    </row>
    <row r="27377" spans="26:26" x14ac:dyDescent="0.25">
      <c r="Z27377"/>
    </row>
    <row r="27378" spans="26:26" x14ac:dyDescent="0.25">
      <c r="Z27378"/>
    </row>
    <row r="27379" spans="26:26" x14ac:dyDescent="0.25">
      <c r="Z27379"/>
    </row>
    <row r="27380" spans="26:26" x14ac:dyDescent="0.25">
      <c r="Z27380"/>
    </row>
    <row r="27381" spans="26:26" x14ac:dyDescent="0.25">
      <c r="Z27381"/>
    </row>
    <row r="27382" spans="26:26" x14ac:dyDescent="0.25">
      <c r="Z27382"/>
    </row>
    <row r="27383" spans="26:26" x14ac:dyDescent="0.25">
      <c r="Z27383"/>
    </row>
    <row r="27384" spans="26:26" x14ac:dyDescent="0.25">
      <c r="Z27384"/>
    </row>
    <row r="27385" spans="26:26" x14ac:dyDescent="0.25">
      <c r="Z27385"/>
    </row>
    <row r="27386" spans="26:26" x14ac:dyDescent="0.25">
      <c r="Z27386"/>
    </row>
    <row r="27387" spans="26:26" x14ac:dyDescent="0.25">
      <c r="Z27387"/>
    </row>
    <row r="27388" spans="26:26" x14ac:dyDescent="0.25">
      <c r="Z27388"/>
    </row>
    <row r="27389" spans="26:26" x14ac:dyDescent="0.25">
      <c r="Z27389"/>
    </row>
    <row r="27390" spans="26:26" x14ac:dyDescent="0.25">
      <c r="Z27390"/>
    </row>
    <row r="27391" spans="26:26" x14ac:dyDescent="0.25">
      <c r="Z27391"/>
    </row>
    <row r="27392" spans="26:26" x14ac:dyDescent="0.25">
      <c r="Z27392"/>
    </row>
    <row r="27393" spans="26:26" x14ac:dyDescent="0.25">
      <c r="Z27393"/>
    </row>
    <row r="27394" spans="26:26" x14ac:dyDescent="0.25">
      <c r="Z27394"/>
    </row>
    <row r="27395" spans="26:26" x14ac:dyDescent="0.25">
      <c r="Z27395"/>
    </row>
    <row r="27396" spans="26:26" x14ac:dyDescent="0.25">
      <c r="Z27396"/>
    </row>
    <row r="27397" spans="26:26" x14ac:dyDescent="0.25">
      <c r="Z27397"/>
    </row>
    <row r="27398" spans="26:26" x14ac:dyDescent="0.25">
      <c r="Z27398"/>
    </row>
    <row r="27399" spans="26:26" x14ac:dyDescent="0.25">
      <c r="Z27399"/>
    </row>
    <row r="27400" spans="26:26" x14ac:dyDescent="0.25">
      <c r="Z27400"/>
    </row>
    <row r="27401" spans="26:26" x14ac:dyDescent="0.25">
      <c r="Z27401"/>
    </row>
    <row r="27402" spans="26:26" x14ac:dyDescent="0.25">
      <c r="Z27402"/>
    </row>
    <row r="27403" spans="26:26" x14ac:dyDescent="0.25">
      <c r="Z27403"/>
    </row>
    <row r="27404" spans="26:26" x14ac:dyDescent="0.25">
      <c r="Z27404"/>
    </row>
    <row r="27405" spans="26:26" x14ac:dyDescent="0.25">
      <c r="Z27405"/>
    </row>
    <row r="27406" spans="26:26" x14ac:dyDescent="0.25">
      <c r="Z27406"/>
    </row>
    <row r="27407" spans="26:26" x14ac:dyDescent="0.25">
      <c r="Z27407"/>
    </row>
    <row r="27408" spans="26:26" x14ac:dyDescent="0.25">
      <c r="Z27408"/>
    </row>
    <row r="27409" spans="26:26" x14ac:dyDescent="0.25">
      <c r="Z27409"/>
    </row>
    <row r="27410" spans="26:26" x14ac:dyDescent="0.25">
      <c r="Z27410"/>
    </row>
    <row r="27411" spans="26:26" x14ac:dyDescent="0.25">
      <c r="Z27411"/>
    </row>
    <row r="27412" spans="26:26" x14ac:dyDescent="0.25">
      <c r="Z27412"/>
    </row>
    <row r="27413" spans="26:26" x14ac:dyDescent="0.25">
      <c r="Z27413"/>
    </row>
    <row r="27414" spans="26:26" x14ac:dyDescent="0.25">
      <c r="Z27414"/>
    </row>
    <row r="27415" spans="26:26" x14ac:dyDescent="0.25">
      <c r="Z27415"/>
    </row>
    <row r="27416" spans="26:26" x14ac:dyDescent="0.25">
      <c r="Z27416"/>
    </row>
    <row r="27417" spans="26:26" x14ac:dyDescent="0.25">
      <c r="Z27417"/>
    </row>
    <row r="27418" spans="26:26" x14ac:dyDescent="0.25">
      <c r="Z27418"/>
    </row>
    <row r="27419" spans="26:26" x14ac:dyDescent="0.25">
      <c r="Z27419"/>
    </row>
    <row r="27420" spans="26:26" x14ac:dyDescent="0.25">
      <c r="Z27420"/>
    </row>
    <row r="27421" spans="26:26" x14ac:dyDescent="0.25">
      <c r="Z27421"/>
    </row>
    <row r="27422" spans="26:26" x14ac:dyDescent="0.25">
      <c r="Z27422"/>
    </row>
    <row r="27423" spans="26:26" x14ac:dyDescent="0.25">
      <c r="Z27423"/>
    </row>
    <row r="27424" spans="26:26" x14ac:dyDescent="0.25">
      <c r="Z27424"/>
    </row>
    <row r="27425" spans="26:26" x14ac:dyDescent="0.25">
      <c r="Z27425"/>
    </row>
    <row r="27426" spans="26:26" x14ac:dyDescent="0.25">
      <c r="Z27426"/>
    </row>
    <row r="27427" spans="26:26" x14ac:dyDescent="0.25">
      <c r="Z27427"/>
    </row>
    <row r="27428" spans="26:26" x14ac:dyDescent="0.25">
      <c r="Z27428"/>
    </row>
    <row r="27429" spans="26:26" x14ac:dyDescent="0.25">
      <c r="Z27429"/>
    </row>
    <row r="27430" spans="26:26" x14ac:dyDescent="0.25">
      <c r="Z27430"/>
    </row>
    <row r="27431" spans="26:26" x14ac:dyDescent="0.25">
      <c r="Z27431"/>
    </row>
    <row r="27432" spans="26:26" x14ac:dyDescent="0.25">
      <c r="Z27432"/>
    </row>
    <row r="27433" spans="26:26" x14ac:dyDescent="0.25">
      <c r="Z27433"/>
    </row>
    <row r="27434" spans="26:26" x14ac:dyDescent="0.25">
      <c r="Z27434"/>
    </row>
    <row r="27435" spans="26:26" x14ac:dyDescent="0.25">
      <c r="Z27435"/>
    </row>
    <row r="27436" spans="26:26" x14ac:dyDescent="0.25">
      <c r="Z27436"/>
    </row>
    <row r="27437" spans="26:26" x14ac:dyDescent="0.25">
      <c r="Z27437"/>
    </row>
    <row r="27438" spans="26:26" x14ac:dyDescent="0.25">
      <c r="Z27438"/>
    </row>
    <row r="27439" spans="26:26" x14ac:dyDescent="0.25">
      <c r="Z27439"/>
    </row>
    <row r="27440" spans="26:26" x14ac:dyDescent="0.25">
      <c r="Z27440"/>
    </row>
    <row r="27441" spans="26:26" x14ac:dyDescent="0.25">
      <c r="Z27441"/>
    </row>
    <row r="27442" spans="26:26" x14ac:dyDescent="0.25">
      <c r="Z27442"/>
    </row>
    <row r="27443" spans="26:26" x14ac:dyDescent="0.25">
      <c r="Z27443"/>
    </row>
    <row r="27444" spans="26:26" x14ac:dyDescent="0.25">
      <c r="Z27444"/>
    </row>
    <row r="27445" spans="26:26" x14ac:dyDescent="0.25">
      <c r="Z27445"/>
    </row>
    <row r="27446" spans="26:26" x14ac:dyDescent="0.25">
      <c r="Z27446"/>
    </row>
    <row r="27447" spans="26:26" x14ac:dyDescent="0.25">
      <c r="Z27447"/>
    </row>
    <row r="27448" spans="26:26" x14ac:dyDescent="0.25">
      <c r="Z27448"/>
    </row>
    <row r="27449" spans="26:26" x14ac:dyDescent="0.25">
      <c r="Z27449"/>
    </row>
    <row r="27450" spans="26:26" x14ac:dyDescent="0.25">
      <c r="Z27450"/>
    </row>
    <row r="27451" spans="26:26" x14ac:dyDescent="0.25">
      <c r="Z27451"/>
    </row>
    <row r="27452" spans="26:26" x14ac:dyDescent="0.25">
      <c r="Z27452"/>
    </row>
    <row r="27453" spans="26:26" x14ac:dyDescent="0.25">
      <c r="Z27453"/>
    </row>
    <row r="27454" spans="26:26" x14ac:dyDescent="0.25">
      <c r="Z27454"/>
    </row>
    <row r="27455" spans="26:26" x14ac:dyDescent="0.25">
      <c r="Z27455"/>
    </row>
    <row r="27456" spans="26:26" x14ac:dyDescent="0.25">
      <c r="Z27456"/>
    </row>
    <row r="27457" spans="26:26" x14ac:dyDescent="0.25">
      <c r="Z27457"/>
    </row>
    <row r="27458" spans="26:26" x14ac:dyDescent="0.25">
      <c r="Z27458"/>
    </row>
    <row r="27459" spans="26:26" x14ac:dyDescent="0.25">
      <c r="Z27459"/>
    </row>
    <row r="27460" spans="26:26" x14ac:dyDescent="0.25">
      <c r="Z27460"/>
    </row>
    <row r="27461" spans="26:26" x14ac:dyDescent="0.25">
      <c r="Z27461"/>
    </row>
    <row r="27462" spans="26:26" x14ac:dyDescent="0.25">
      <c r="Z27462"/>
    </row>
    <row r="27463" spans="26:26" x14ac:dyDescent="0.25">
      <c r="Z27463"/>
    </row>
    <row r="27464" spans="26:26" x14ac:dyDescent="0.25">
      <c r="Z27464"/>
    </row>
    <row r="27465" spans="26:26" x14ac:dyDescent="0.25">
      <c r="Z27465"/>
    </row>
    <row r="27466" spans="26:26" x14ac:dyDescent="0.25">
      <c r="Z27466"/>
    </row>
    <row r="27467" spans="26:26" x14ac:dyDescent="0.25">
      <c r="Z27467"/>
    </row>
    <row r="27468" spans="26:26" x14ac:dyDescent="0.25">
      <c r="Z27468"/>
    </row>
    <row r="27469" spans="26:26" x14ac:dyDescent="0.25">
      <c r="Z27469"/>
    </row>
    <row r="27470" spans="26:26" x14ac:dyDescent="0.25">
      <c r="Z27470"/>
    </row>
    <row r="27471" spans="26:26" x14ac:dyDescent="0.25">
      <c r="Z27471"/>
    </row>
    <row r="27472" spans="26:26" x14ac:dyDescent="0.25">
      <c r="Z27472"/>
    </row>
    <row r="27473" spans="26:26" x14ac:dyDescent="0.25">
      <c r="Z27473"/>
    </row>
    <row r="27474" spans="26:26" x14ac:dyDescent="0.25">
      <c r="Z27474"/>
    </row>
    <row r="27475" spans="26:26" x14ac:dyDescent="0.25">
      <c r="Z27475"/>
    </row>
    <row r="27476" spans="26:26" x14ac:dyDescent="0.25">
      <c r="Z27476"/>
    </row>
    <row r="27477" spans="26:26" x14ac:dyDescent="0.25">
      <c r="Z27477"/>
    </row>
    <row r="27478" spans="26:26" x14ac:dyDescent="0.25">
      <c r="Z27478"/>
    </row>
    <row r="27479" spans="26:26" x14ac:dyDescent="0.25">
      <c r="Z27479"/>
    </row>
    <row r="27480" spans="26:26" x14ac:dyDescent="0.25">
      <c r="Z27480"/>
    </row>
    <row r="27481" spans="26:26" x14ac:dyDescent="0.25">
      <c r="Z27481"/>
    </row>
    <row r="27482" spans="26:26" x14ac:dyDescent="0.25">
      <c r="Z27482"/>
    </row>
    <row r="27483" spans="26:26" x14ac:dyDescent="0.25">
      <c r="Z27483"/>
    </row>
    <row r="27484" spans="26:26" x14ac:dyDescent="0.25">
      <c r="Z27484"/>
    </row>
    <row r="27485" spans="26:26" x14ac:dyDescent="0.25">
      <c r="Z27485"/>
    </row>
    <row r="27486" spans="26:26" x14ac:dyDescent="0.25">
      <c r="Z27486"/>
    </row>
    <row r="27487" spans="26:26" x14ac:dyDescent="0.25">
      <c r="Z27487"/>
    </row>
    <row r="27488" spans="26:26" x14ac:dyDescent="0.25">
      <c r="Z27488"/>
    </row>
    <row r="27489" spans="26:26" x14ac:dyDescent="0.25">
      <c r="Z27489"/>
    </row>
    <row r="27490" spans="26:26" x14ac:dyDescent="0.25">
      <c r="Z27490"/>
    </row>
    <row r="27491" spans="26:26" x14ac:dyDescent="0.25">
      <c r="Z27491"/>
    </row>
    <row r="27492" spans="26:26" x14ac:dyDescent="0.25">
      <c r="Z27492"/>
    </row>
    <row r="27493" spans="26:26" x14ac:dyDescent="0.25">
      <c r="Z27493"/>
    </row>
    <row r="27494" spans="26:26" x14ac:dyDescent="0.25">
      <c r="Z27494"/>
    </row>
    <row r="27495" spans="26:26" x14ac:dyDescent="0.25">
      <c r="Z27495"/>
    </row>
    <row r="27496" spans="26:26" x14ac:dyDescent="0.25">
      <c r="Z27496"/>
    </row>
    <row r="27497" spans="26:26" x14ac:dyDescent="0.25">
      <c r="Z27497"/>
    </row>
    <row r="27498" spans="26:26" x14ac:dyDescent="0.25">
      <c r="Z27498"/>
    </row>
    <row r="27499" spans="26:26" x14ac:dyDescent="0.25">
      <c r="Z27499"/>
    </row>
    <row r="27500" spans="26:26" x14ac:dyDescent="0.25">
      <c r="Z27500"/>
    </row>
    <row r="27501" spans="26:26" x14ac:dyDescent="0.25">
      <c r="Z27501"/>
    </row>
    <row r="27502" spans="26:26" x14ac:dyDescent="0.25">
      <c r="Z27502"/>
    </row>
    <row r="27503" spans="26:26" x14ac:dyDescent="0.25">
      <c r="Z27503"/>
    </row>
    <row r="27504" spans="26:26" x14ac:dyDescent="0.25">
      <c r="Z27504"/>
    </row>
    <row r="27505" spans="26:26" x14ac:dyDescent="0.25">
      <c r="Z27505"/>
    </row>
    <row r="27506" spans="26:26" x14ac:dyDescent="0.25">
      <c r="Z27506"/>
    </row>
    <row r="27507" spans="26:26" x14ac:dyDescent="0.25">
      <c r="Z27507"/>
    </row>
    <row r="27508" spans="26:26" x14ac:dyDescent="0.25">
      <c r="Z27508"/>
    </row>
    <row r="27509" spans="26:26" x14ac:dyDescent="0.25">
      <c r="Z27509"/>
    </row>
    <row r="27510" spans="26:26" x14ac:dyDescent="0.25">
      <c r="Z27510"/>
    </row>
    <row r="27511" spans="26:26" x14ac:dyDescent="0.25">
      <c r="Z27511"/>
    </row>
    <row r="27512" spans="26:26" x14ac:dyDescent="0.25">
      <c r="Z27512"/>
    </row>
    <row r="27513" spans="26:26" x14ac:dyDescent="0.25">
      <c r="Z27513"/>
    </row>
    <row r="27514" spans="26:26" x14ac:dyDescent="0.25">
      <c r="Z27514"/>
    </row>
    <row r="27515" spans="26:26" x14ac:dyDescent="0.25">
      <c r="Z27515"/>
    </row>
    <row r="27516" spans="26:26" x14ac:dyDescent="0.25">
      <c r="Z27516"/>
    </row>
    <row r="27517" spans="26:26" x14ac:dyDescent="0.25">
      <c r="Z27517"/>
    </row>
    <row r="27518" spans="26:26" x14ac:dyDescent="0.25">
      <c r="Z27518"/>
    </row>
    <row r="27519" spans="26:26" x14ac:dyDescent="0.25">
      <c r="Z27519"/>
    </row>
    <row r="27520" spans="26:26" x14ac:dyDescent="0.25">
      <c r="Z27520"/>
    </row>
    <row r="27521" spans="26:26" x14ac:dyDescent="0.25">
      <c r="Z27521"/>
    </row>
    <row r="27522" spans="26:26" x14ac:dyDescent="0.25">
      <c r="Z27522"/>
    </row>
    <row r="27523" spans="26:26" x14ac:dyDescent="0.25">
      <c r="Z27523"/>
    </row>
    <row r="27524" spans="26:26" x14ac:dyDescent="0.25">
      <c r="Z27524"/>
    </row>
    <row r="27525" spans="26:26" x14ac:dyDescent="0.25">
      <c r="Z27525"/>
    </row>
    <row r="27526" spans="26:26" x14ac:dyDescent="0.25">
      <c r="Z27526"/>
    </row>
    <row r="27527" spans="26:26" x14ac:dyDescent="0.25">
      <c r="Z27527"/>
    </row>
    <row r="27528" spans="26:26" x14ac:dyDescent="0.25">
      <c r="Z27528"/>
    </row>
    <row r="27529" spans="26:26" x14ac:dyDescent="0.25">
      <c r="Z27529"/>
    </row>
    <row r="27530" spans="26:26" x14ac:dyDescent="0.25">
      <c r="Z27530"/>
    </row>
    <row r="27531" spans="26:26" x14ac:dyDescent="0.25">
      <c r="Z27531"/>
    </row>
    <row r="27532" spans="26:26" x14ac:dyDescent="0.25">
      <c r="Z27532"/>
    </row>
    <row r="27533" spans="26:26" x14ac:dyDescent="0.25">
      <c r="Z27533"/>
    </row>
    <row r="27534" spans="26:26" x14ac:dyDescent="0.25">
      <c r="Z27534"/>
    </row>
    <row r="27535" spans="26:26" x14ac:dyDescent="0.25">
      <c r="Z27535"/>
    </row>
    <row r="27536" spans="26:26" x14ac:dyDescent="0.25">
      <c r="Z27536"/>
    </row>
    <row r="27537" spans="26:26" x14ac:dyDescent="0.25">
      <c r="Z27537"/>
    </row>
    <row r="27538" spans="26:26" x14ac:dyDescent="0.25">
      <c r="Z27538"/>
    </row>
    <row r="27539" spans="26:26" x14ac:dyDescent="0.25">
      <c r="Z27539"/>
    </row>
    <row r="27540" spans="26:26" x14ac:dyDescent="0.25">
      <c r="Z27540"/>
    </row>
    <row r="27541" spans="26:26" x14ac:dyDescent="0.25">
      <c r="Z27541"/>
    </row>
    <row r="27542" spans="26:26" x14ac:dyDescent="0.25">
      <c r="Z27542"/>
    </row>
    <row r="27543" spans="26:26" x14ac:dyDescent="0.25">
      <c r="Z27543"/>
    </row>
    <row r="27544" spans="26:26" x14ac:dyDescent="0.25">
      <c r="Z27544"/>
    </row>
    <row r="27545" spans="26:26" x14ac:dyDescent="0.25">
      <c r="Z27545"/>
    </row>
    <row r="27546" spans="26:26" x14ac:dyDescent="0.25">
      <c r="Z27546"/>
    </row>
    <row r="27547" spans="26:26" x14ac:dyDescent="0.25">
      <c r="Z27547"/>
    </row>
    <row r="27548" spans="26:26" x14ac:dyDescent="0.25">
      <c r="Z27548"/>
    </row>
    <row r="27549" spans="26:26" x14ac:dyDescent="0.25">
      <c r="Z27549"/>
    </row>
    <row r="27550" spans="26:26" x14ac:dyDescent="0.25">
      <c r="Z27550"/>
    </row>
    <row r="27551" spans="26:26" x14ac:dyDescent="0.25">
      <c r="Z27551"/>
    </row>
    <row r="27552" spans="26:26" x14ac:dyDescent="0.25">
      <c r="Z27552"/>
    </row>
    <row r="27553" spans="26:26" x14ac:dyDescent="0.25">
      <c r="Z27553"/>
    </row>
    <row r="27554" spans="26:26" x14ac:dyDescent="0.25">
      <c r="Z27554"/>
    </row>
    <row r="27555" spans="26:26" x14ac:dyDescent="0.25">
      <c r="Z27555"/>
    </row>
    <row r="27556" spans="26:26" x14ac:dyDescent="0.25">
      <c r="Z27556"/>
    </row>
    <row r="27557" spans="26:26" x14ac:dyDescent="0.25">
      <c r="Z27557"/>
    </row>
    <row r="27558" spans="26:26" x14ac:dyDescent="0.25">
      <c r="Z27558"/>
    </row>
    <row r="27559" spans="26:26" x14ac:dyDescent="0.25">
      <c r="Z27559"/>
    </row>
    <row r="27560" spans="26:26" x14ac:dyDescent="0.25">
      <c r="Z27560"/>
    </row>
    <row r="27561" spans="26:26" x14ac:dyDescent="0.25">
      <c r="Z27561"/>
    </row>
    <row r="27562" spans="26:26" x14ac:dyDescent="0.25">
      <c r="Z27562"/>
    </row>
    <row r="27563" spans="26:26" x14ac:dyDescent="0.25">
      <c r="Z27563"/>
    </row>
    <row r="27564" spans="26:26" x14ac:dyDescent="0.25">
      <c r="Z27564"/>
    </row>
    <row r="27565" spans="26:26" x14ac:dyDescent="0.25">
      <c r="Z27565"/>
    </row>
    <row r="27566" spans="26:26" x14ac:dyDescent="0.25">
      <c r="Z27566"/>
    </row>
    <row r="27567" spans="26:26" x14ac:dyDescent="0.25">
      <c r="Z27567"/>
    </row>
    <row r="27568" spans="26:26" x14ac:dyDescent="0.25">
      <c r="Z27568"/>
    </row>
    <row r="27569" spans="26:26" x14ac:dyDescent="0.25">
      <c r="Z27569"/>
    </row>
    <row r="27570" spans="26:26" x14ac:dyDescent="0.25">
      <c r="Z27570"/>
    </row>
    <row r="27571" spans="26:26" x14ac:dyDescent="0.25">
      <c r="Z27571"/>
    </row>
    <row r="27572" spans="26:26" x14ac:dyDescent="0.25">
      <c r="Z27572"/>
    </row>
    <row r="27573" spans="26:26" x14ac:dyDescent="0.25">
      <c r="Z27573"/>
    </row>
    <row r="27574" spans="26:26" x14ac:dyDescent="0.25">
      <c r="Z27574"/>
    </row>
    <row r="27575" spans="26:26" x14ac:dyDescent="0.25">
      <c r="Z27575"/>
    </row>
    <row r="27576" spans="26:26" x14ac:dyDescent="0.25">
      <c r="Z27576"/>
    </row>
    <row r="27577" spans="26:26" x14ac:dyDescent="0.25">
      <c r="Z27577"/>
    </row>
    <row r="27578" spans="26:26" x14ac:dyDescent="0.25">
      <c r="Z27578"/>
    </row>
    <row r="27579" spans="26:26" x14ac:dyDescent="0.25">
      <c r="Z27579"/>
    </row>
    <row r="27580" spans="26:26" x14ac:dyDescent="0.25">
      <c r="Z27580"/>
    </row>
    <row r="27581" spans="26:26" x14ac:dyDescent="0.25">
      <c r="Z27581"/>
    </row>
    <row r="27582" spans="26:26" x14ac:dyDescent="0.25">
      <c r="Z27582"/>
    </row>
    <row r="27583" spans="26:26" x14ac:dyDescent="0.25">
      <c r="Z27583"/>
    </row>
    <row r="27584" spans="26:26" x14ac:dyDescent="0.25">
      <c r="Z27584"/>
    </row>
    <row r="27585" spans="26:26" x14ac:dyDescent="0.25">
      <c r="Z27585"/>
    </row>
    <row r="27586" spans="26:26" x14ac:dyDescent="0.25">
      <c r="Z27586"/>
    </row>
    <row r="27587" spans="26:26" x14ac:dyDescent="0.25">
      <c r="Z27587"/>
    </row>
    <row r="27588" spans="26:26" x14ac:dyDescent="0.25">
      <c r="Z27588"/>
    </row>
    <row r="27589" spans="26:26" x14ac:dyDescent="0.25">
      <c r="Z27589"/>
    </row>
    <row r="27590" spans="26:26" x14ac:dyDescent="0.25">
      <c r="Z27590"/>
    </row>
    <row r="27591" spans="26:26" x14ac:dyDescent="0.25">
      <c r="Z27591"/>
    </row>
    <row r="27592" spans="26:26" x14ac:dyDescent="0.25">
      <c r="Z27592"/>
    </row>
    <row r="27593" spans="26:26" x14ac:dyDescent="0.25">
      <c r="Z27593"/>
    </row>
    <row r="27594" spans="26:26" x14ac:dyDescent="0.25">
      <c r="Z27594"/>
    </row>
    <row r="27595" spans="26:26" x14ac:dyDescent="0.25">
      <c r="Z27595"/>
    </row>
    <row r="27596" spans="26:26" x14ac:dyDescent="0.25">
      <c r="Z27596"/>
    </row>
    <row r="27597" spans="26:26" x14ac:dyDescent="0.25">
      <c r="Z27597"/>
    </row>
    <row r="27598" spans="26:26" x14ac:dyDescent="0.25">
      <c r="Z27598"/>
    </row>
    <row r="27599" spans="26:26" x14ac:dyDescent="0.25">
      <c r="Z27599"/>
    </row>
    <row r="27600" spans="26:26" x14ac:dyDescent="0.25">
      <c r="Z27600"/>
    </row>
    <row r="27601" spans="26:26" x14ac:dyDescent="0.25">
      <c r="Z27601"/>
    </row>
    <row r="27602" spans="26:26" x14ac:dyDescent="0.25">
      <c r="Z27602"/>
    </row>
    <row r="27603" spans="26:26" x14ac:dyDescent="0.25">
      <c r="Z27603"/>
    </row>
    <row r="27604" spans="26:26" x14ac:dyDescent="0.25">
      <c r="Z27604"/>
    </row>
    <row r="27605" spans="26:26" x14ac:dyDescent="0.25">
      <c r="Z27605"/>
    </row>
    <row r="27606" spans="26:26" x14ac:dyDescent="0.25">
      <c r="Z27606"/>
    </row>
    <row r="27607" spans="26:26" x14ac:dyDescent="0.25">
      <c r="Z27607"/>
    </row>
    <row r="27608" spans="26:26" x14ac:dyDescent="0.25">
      <c r="Z27608"/>
    </row>
    <row r="27609" spans="26:26" x14ac:dyDescent="0.25">
      <c r="Z27609"/>
    </row>
    <row r="27610" spans="26:26" x14ac:dyDescent="0.25">
      <c r="Z27610"/>
    </row>
    <row r="27611" spans="26:26" x14ac:dyDescent="0.25">
      <c r="Z27611"/>
    </row>
    <row r="27612" spans="26:26" x14ac:dyDescent="0.25">
      <c r="Z27612"/>
    </row>
    <row r="27613" spans="26:26" x14ac:dyDescent="0.25">
      <c r="Z27613"/>
    </row>
    <row r="27614" spans="26:26" x14ac:dyDescent="0.25">
      <c r="Z27614"/>
    </row>
    <row r="27615" spans="26:26" x14ac:dyDescent="0.25">
      <c r="Z27615"/>
    </row>
    <row r="27616" spans="26:26" x14ac:dyDescent="0.25">
      <c r="Z27616"/>
    </row>
    <row r="27617" spans="26:26" x14ac:dyDescent="0.25">
      <c r="Z27617"/>
    </row>
    <row r="27618" spans="26:26" x14ac:dyDescent="0.25">
      <c r="Z27618"/>
    </row>
    <row r="27619" spans="26:26" x14ac:dyDescent="0.25">
      <c r="Z27619"/>
    </row>
    <row r="27620" spans="26:26" x14ac:dyDescent="0.25">
      <c r="Z27620"/>
    </row>
    <row r="27621" spans="26:26" x14ac:dyDescent="0.25">
      <c r="Z27621"/>
    </row>
    <row r="27622" spans="26:26" x14ac:dyDescent="0.25">
      <c r="Z27622"/>
    </row>
    <row r="27623" spans="26:26" x14ac:dyDescent="0.25">
      <c r="Z27623"/>
    </row>
    <row r="27624" spans="26:26" x14ac:dyDescent="0.25">
      <c r="Z27624"/>
    </row>
    <row r="27625" spans="26:26" x14ac:dyDescent="0.25">
      <c r="Z27625"/>
    </row>
    <row r="27626" spans="26:26" x14ac:dyDescent="0.25">
      <c r="Z27626"/>
    </row>
    <row r="27627" spans="26:26" x14ac:dyDescent="0.25">
      <c r="Z27627"/>
    </row>
    <row r="27628" spans="26:26" x14ac:dyDescent="0.25">
      <c r="Z27628"/>
    </row>
    <row r="27629" spans="26:26" x14ac:dyDescent="0.25">
      <c r="Z27629"/>
    </row>
    <row r="27630" spans="26:26" x14ac:dyDescent="0.25">
      <c r="Z27630"/>
    </row>
    <row r="27631" spans="26:26" x14ac:dyDescent="0.25">
      <c r="Z27631"/>
    </row>
    <row r="27632" spans="26:26" x14ac:dyDescent="0.25">
      <c r="Z27632"/>
    </row>
    <row r="27633" spans="26:26" x14ac:dyDescent="0.25">
      <c r="Z27633"/>
    </row>
    <row r="27634" spans="26:26" x14ac:dyDescent="0.25">
      <c r="Z27634"/>
    </row>
    <row r="27635" spans="26:26" x14ac:dyDescent="0.25">
      <c r="Z27635"/>
    </row>
    <row r="27636" spans="26:26" x14ac:dyDescent="0.25">
      <c r="Z27636"/>
    </row>
    <row r="27637" spans="26:26" x14ac:dyDescent="0.25">
      <c r="Z27637"/>
    </row>
    <row r="27638" spans="26:26" x14ac:dyDescent="0.25">
      <c r="Z27638"/>
    </row>
    <row r="27639" spans="26:26" x14ac:dyDescent="0.25">
      <c r="Z27639"/>
    </row>
    <row r="27640" spans="26:26" x14ac:dyDescent="0.25">
      <c r="Z27640"/>
    </row>
    <row r="27641" spans="26:26" x14ac:dyDescent="0.25">
      <c r="Z27641"/>
    </row>
    <row r="27642" spans="26:26" x14ac:dyDescent="0.25">
      <c r="Z27642"/>
    </row>
    <row r="27643" spans="26:26" x14ac:dyDescent="0.25">
      <c r="Z27643"/>
    </row>
    <row r="27644" spans="26:26" x14ac:dyDescent="0.25">
      <c r="Z27644"/>
    </row>
    <row r="27645" spans="26:26" x14ac:dyDescent="0.25">
      <c r="Z27645"/>
    </row>
    <row r="27646" spans="26:26" x14ac:dyDescent="0.25">
      <c r="Z27646"/>
    </row>
    <row r="27647" spans="26:26" x14ac:dyDescent="0.25">
      <c r="Z27647"/>
    </row>
    <row r="27648" spans="26:26" x14ac:dyDescent="0.25">
      <c r="Z27648"/>
    </row>
    <row r="27649" spans="26:26" x14ac:dyDescent="0.25">
      <c r="Z27649"/>
    </row>
    <row r="27650" spans="26:26" x14ac:dyDescent="0.25">
      <c r="Z27650"/>
    </row>
    <row r="27651" spans="26:26" x14ac:dyDescent="0.25">
      <c r="Z27651"/>
    </row>
    <row r="27652" spans="26:26" x14ac:dyDescent="0.25">
      <c r="Z27652"/>
    </row>
    <row r="27653" spans="26:26" x14ac:dyDescent="0.25">
      <c r="Z27653"/>
    </row>
    <row r="27654" spans="26:26" x14ac:dyDescent="0.25">
      <c r="Z27654"/>
    </row>
    <row r="27655" spans="26:26" x14ac:dyDescent="0.25">
      <c r="Z27655"/>
    </row>
    <row r="27656" spans="26:26" x14ac:dyDescent="0.25">
      <c r="Z27656"/>
    </row>
    <row r="27657" spans="26:26" x14ac:dyDescent="0.25">
      <c r="Z27657"/>
    </row>
    <row r="27658" spans="26:26" x14ac:dyDescent="0.25">
      <c r="Z27658"/>
    </row>
    <row r="27659" spans="26:26" x14ac:dyDescent="0.25">
      <c r="Z27659"/>
    </row>
    <row r="27660" spans="26:26" x14ac:dyDescent="0.25">
      <c r="Z27660"/>
    </row>
    <row r="27661" spans="26:26" x14ac:dyDescent="0.25">
      <c r="Z27661"/>
    </row>
    <row r="27662" spans="26:26" x14ac:dyDescent="0.25">
      <c r="Z27662"/>
    </row>
    <row r="27663" spans="26:26" x14ac:dyDescent="0.25">
      <c r="Z27663"/>
    </row>
    <row r="27664" spans="26:26" x14ac:dyDescent="0.25">
      <c r="Z27664"/>
    </row>
    <row r="27665" spans="26:26" x14ac:dyDescent="0.25">
      <c r="Z27665"/>
    </row>
    <row r="27666" spans="26:26" x14ac:dyDescent="0.25">
      <c r="Z27666"/>
    </row>
    <row r="27667" spans="26:26" x14ac:dyDescent="0.25">
      <c r="Z27667"/>
    </row>
    <row r="27668" spans="26:26" x14ac:dyDescent="0.25">
      <c r="Z27668"/>
    </row>
    <row r="27669" spans="26:26" x14ac:dyDescent="0.25">
      <c r="Z27669"/>
    </row>
    <row r="27670" spans="26:26" x14ac:dyDescent="0.25">
      <c r="Z27670"/>
    </row>
    <row r="27671" spans="26:26" x14ac:dyDescent="0.25">
      <c r="Z27671"/>
    </row>
    <row r="27672" spans="26:26" x14ac:dyDescent="0.25">
      <c r="Z27672"/>
    </row>
    <row r="27673" spans="26:26" x14ac:dyDescent="0.25">
      <c r="Z27673"/>
    </row>
    <row r="27674" spans="26:26" x14ac:dyDescent="0.25">
      <c r="Z27674"/>
    </row>
    <row r="27675" spans="26:26" x14ac:dyDescent="0.25">
      <c r="Z27675"/>
    </row>
    <row r="27676" spans="26:26" x14ac:dyDescent="0.25">
      <c r="Z27676"/>
    </row>
    <row r="27677" spans="26:26" x14ac:dyDescent="0.25">
      <c r="Z27677"/>
    </row>
    <row r="27678" spans="26:26" x14ac:dyDescent="0.25">
      <c r="Z27678"/>
    </row>
    <row r="27679" spans="26:26" x14ac:dyDescent="0.25">
      <c r="Z27679"/>
    </row>
    <row r="27680" spans="26:26" x14ac:dyDescent="0.25">
      <c r="Z27680"/>
    </row>
    <row r="27681" spans="26:26" x14ac:dyDescent="0.25">
      <c r="Z27681"/>
    </row>
    <row r="27682" spans="26:26" x14ac:dyDescent="0.25">
      <c r="Z27682"/>
    </row>
    <row r="27683" spans="26:26" x14ac:dyDescent="0.25">
      <c r="Z27683"/>
    </row>
    <row r="27684" spans="26:26" x14ac:dyDescent="0.25">
      <c r="Z27684"/>
    </row>
    <row r="27685" spans="26:26" x14ac:dyDescent="0.25">
      <c r="Z27685"/>
    </row>
    <row r="27686" spans="26:26" x14ac:dyDescent="0.25">
      <c r="Z27686"/>
    </row>
    <row r="27687" spans="26:26" x14ac:dyDescent="0.25">
      <c r="Z27687"/>
    </row>
    <row r="27688" spans="26:26" x14ac:dyDescent="0.25">
      <c r="Z27688"/>
    </row>
    <row r="27689" spans="26:26" x14ac:dyDescent="0.25">
      <c r="Z27689"/>
    </row>
    <row r="27690" spans="26:26" x14ac:dyDescent="0.25">
      <c r="Z27690"/>
    </row>
    <row r="27691" spans="26:26" x14ac:dyDescent="0.25">
      <c r="Z27691"/>
    </row>
    <row r="27692" spans="26:26" x14ac:dyDescent="0.25">
      <c r="Z27692"/>
    </row>
    <row r="27693" spans="26:26" x14ac:dyDescent="0.25">
      <c r="Z27693"/>
    </row>
    <row r="27694" spans="26:26" x14ac:dyDescent="0.25">
      <c r="Z27694"/>
    </row>
    <row r="27695" spans="26:26" x14ac:dyDescent="0.25">
      <c r="Z27695"/>
    </row>
    <row r="27696" spans="26:26" x14ac:dyDescent="0.25">
      <c r="Z27696"/>
    </row>
    <row r="27697" spans="26:26" x14ac:dyDescent="0.25">
      <c r="Z27697"/>
    </row>
    <row r="27698" spans="26:26" x14ac:dyDescent="0.25">
      <c r="Z27698"/>
    </row>
    <row r="27699" spans="26:26" x14ac:dyDescent="0.25">
      <c r="Z27699"/>
    </row>
    <row r="27700" spans="26:26" x14ac:dyDescent="0.25">
      <c r="Z27700"/>
    </row>
    <row r="27701" spans="26:26" x14ac:dyDescent="0.25">
      <c r="Z27701"/>
    </row>
    <row r="27702" spans="26:26" x14ac:dyDescent="0.25">
      <c r="Z27702"/>
    </row>
    <row r="27703" spans="26:26" x14ac:dyDescent="0.25">
      <c r="Z27703"/>
    </row>
    <row r="27704" spans="26:26" x14ac:dyDescent="0.25">
      <c r="Z27704"/>
    </row>
    <row r="27705" spans="26:26" x14ac:dyDescent="0.25">
      <c r="Z27705"/>
    </row>
    <row r="27706" spans="26:26" x14ac:dyDescent="0.25">
      <c r="Z27706"/>
    </row>
    <row r="27707" spans="26:26" x14ac:dyDescent="0.25">
      <c r="Z27707"/>
    </row>
    <row r="27708" spans="26:26" x14ac:dyDescent="0.25">
      <c r="Z27708"/>
    </row>
    <row r="27709" spans="26:26" x14ac:dyDescent="0.25">
      <c r="Z27709"/>
    </row>
    <row r="27710" spans="26:26" x14ac:dyDescent="0.25">
      <c r="Z27710"/>
    </row>
    <row r="27711" spans="26:26" x14ac:dyDescent="0.25">
      <c r="Z27711"/>
    </row>
    <row r="27712" spans="26:26" x14ac:dyDescent="0.25">
      <c r="Z27712"/>
    </row>
    <row r="27713" spans="26:26" x14ac:dyDescent="0.25">
      <c r="Z27713"/>
    </row>
    <row r="27714" spans="26:26" x14ac:dyDescent="0.25">
      <c r="Z27714"/>
    </row>
    <row r="27715" spans="26:26" x14ac:dyDescent="0.25">
      <c r="Z27715"/>
    </row>
    <row r="27716" spans="26:26" x14ac:dyDescent="0.25">
      <c r="Z27716"/>
    </row>
    <row r="27717" spans="26:26" x14ac:dyDescent="0.25">
      <c r="Z27717"/>
    </row>
    <row r="27718" spans="26:26" x14ac:dyDescent="0.25">
      <c r="Z27718"/>
    </row>
    <row r="27719" spans="26:26" x14ac:dyDescent="0.25">
      <c r="Z27719"/>
    </row>
    <row r="27720" spans="26:26" x14ac:dyDescent="0.25">
      <c r="Z27720"/>
    </row>
    <row r="27721" spans="26:26" x14ac:dyDescent="0.25">
      <c r="Z27721"/>
    </row>
    <row r="27722" spans="26:26" x14ac:dyDescent="0.25">
      <c r="Z27722"/>
    </row>
    <row r="27723" spans="26:26" x14ac:dyDescent="0.25">
      <c r="Z27723"/>
    </row>
    <row r="27724" spans="26:26" x14ac:dyDescent="0.25">
      <c r="Z27724"/>
    </row>
    <row r="27725" spans="26:26" x14ac:dyDescent="0.25">
      <c r="Z27725"/>
    </row>
    <row r="27726" spans="26:26" x14ac:dyDescent="0.25">
      <c r="Z27726"/>
    </row>
    <row r="27727" spans="26:26" x14ac:dyDescent="0.25">
      <c r="Z27727"/>
    </row>
    <row r="27728" spans="26:26" x14ac:dyDescent="0.25">
      <c r="Z27728"/>
    </row>
    <row r="27729" spans="26:26" x14ac:dyDescent="0.25">
      <c r="Z27729"/>
    </row>
    <row r="27730" spans="26:26" x14ac:dyDescent="0.25">
      <c r="Z27730"/>
    </row>
    <row r="27731" spans="26:26" x14ac:dyDescent="0.25">
      <c r="Z27731"/>
    </row>
    <row r="27732" spans="26:26" x14ac:dyDescent="0.25">
      <c r="Z27732"/>
    </row>
    <row r="27733" spans="26:26" x14ac:dyDescent="0.25">
      <c r="Z27733"/>
    </row>
    <row r="27734" spans="26:26" x14ac:dyDescent="0.25">
      <c r="Z27734"/>
    </row>
    <row r="27735" spans="26:26" x14ac:dyDescent="0.25">
      <c r="Z27735"/>
    </row>
    <row r="27736" spans="26:26" x14ac:dyDescent="0.25">
      <c r="Z27736"/>
    </row>
    <row r="27737" spans="26:26" x14ac:dyDescent="0.25">
      <c r="Z27737"/>
    </row>
    <row r="27738" spans="26:26" x14ac:dyDescent="0.25">
      <c r="Z27738"/>
    </row>
    <row r="27739" spans="26:26" x14ac:dyDescent="0.25">
      <c r="Z27739"/>
    </row>
    <row r="27740" spans="26:26" x14ac:dyDescent="0.25">
      <c r="Z27740"/>
    </row>
    <row r="27741" spans="26:26" x14ac:dyDescent="0.25">
      <c r="Z27741"/>
    </row>
    <row r="27742" spans="26:26" x14ac:dyDescent="0.25">
      <c r="Z27742"/>
    </row>
    <row r="27743" spans="26:26" x14ac:dyDescent="0.25">
      <c r="Z27743"/>
    </row>
    <row r="27744" spans="26:26" x14ac:dyDescent="0.25">
      <c r="Z27744"/>
    </row>
    <row r="27745" spans="26:26" x14ac:dyDescent="0.25">
      <c r="Z27745"/>
    </row>
    <row r="27746" spans="26:26" x14ac:dyDescent="0.25">
      <c r="Z27746"/>
    </row>
    <row r="27747" spans="26:26" x14ac:dyDescent="0.25">
      <c r="Z27747"/>
    </row>
    <row r="27748" spans="26:26" x14ac:dyDescent="0.25">
      <c r="Z27748"/>
    </row>
    <row r="27749" spans="26:26" x14ac:dyDescent="0.25">
      <c r="Z27749"/>
    </row>
    <row r="27750" spans="26:26" x14ac:dyDescent="0.25">
      <c r="Z27750"/>
    </row>
    <row r="27751" spans="26:26" x14ac:dyDescent="0.25">
      <c r="Z27751"/>
    </row>
    <row r="27752" spans="26:26" x14ac:dyDescent="0.25">
      <c r="Z27752"/>
    </row>
    <row r="27753" spans="26:26" x14ac:dyDescent="0.25">
      <c r="Z27753"/>
    </row>
    <row r="27754" spans="26:26" x14ac:dyDescent="0.25">
      <c r="Z27754"/>
    </row>
    <row r="27755" spans="26:26" x14ac:dyDescent="0.25">
      <c r="Z27755"/>
    </row>
    <row r="27756" spans="26:26" x14ac:dyDescent="0.25">
      <c r="Z27756"/>
    </row>
    <row r="27757" spans="26:26" x14ac:dyDescent="0.25">
      <c r="Z27757"/>
    </row>
    <row r="27758" spans="26:26" x14ac:dyDescent="0.25">
      <c r="Z27758"/>
    </row>
    <row r="27759" spans="26:26" x14ac:dyDescent="0.25">
      <c r="Z27759"/>
    </row>
    <row r="27760" spans="26:26" x14ac:dyDescent="0.25">
      <c r="Z27760"/>
    </row>
    <row r="27761" spans="26:26" x14ac:dyDescent="0.25">
      <c r="Z27761"/>
    </row>
    <row r="27762" spans="26:26" x14ac:dyDescent="0.25">
      <c r="Z27762"/>
    </row>
    <row r="27763" spans="26:26" x14ac:dyDescent="0.25">
      <c r="Z27763"/>
    </row>
    <row r="27764" spans="26:26" x14ac:dyDescent="0.25">
      <c r="Z27764"/>
    </row>
    <row r="27765" spans="26:26" x14ac:dyDescent="0.25">
      <c r="Z27765"/>
    </row>
    <row r="27766" spans="26:26" x14ac:dyDescent="0.25">
      <c r="Z27766"/>
    </row>
    <row r="27767" spans="26:26" x14ac:dyDescent="0.25">
      <c r="Z27767"/>
    </row>
    <row r="27768" spans="26:26" x14ac:dyDescent="0.25">
      <c r="Z27768"/>
    </row>
    <row r="27769" spans="26:26" x14ac:dyDescent="0.25">
      <c r="Z27769"/>
    </row>
    <row r="27770" spans="26:26" x14ac:dyDescent="0.25">
      <c r="Z27770"/>
    </row>
    <row r="27771" spans="26:26" x14ac:dyDescent="0.25">
      <c r="Z27771"/>
    </row>
    <row r="27772" spans="26:26" x14ac:dyDescent="0.25">
      <c r="Z27772"/>
    </row>
    <row r="27773" spans="26:26" x14ac:dyDescent="0.25">
      <c r="Z27773"/>
    </row>
    <row r="27774" spans="26:26" x14ac:dyDescent="0.25">
      <c r="Z27774"/>
    </row>
    <row r="27775" spans="26:26" x14ac:dyDescent="0.25">
      <c r="Z27775"/>
    </row>
    <row r="27776" spans="26:26" x14ac:dyDescent="0.25">
      <c r="Z27776"/>
    </row>
    <row r="27777" spans="26:26" x14ac:dyDescent="0.25">
      <c r="Z27777"/>
    </row>
    <row r="27778" spans="26:26" x14ac:dyDescent="0.25">
      <c r="Z27778"/>
    </row>
    <row r="27779" spans="26:26" x14ac:dyDescent="0.25">
      <c r="Z27779"/>
    </row>
    <row r="27780" spans="26:26" x14ac:dyDescent="0.25">
      <c r="Z27780"/>
    </row>
    <row r="27781" spans="26:26" x14ac:dyDescent="0.25">
      <c r="Z27781"/>
    </row>
    <row r="27782" spans="26:26" x14ac:dyDescent="0.25">
      <c r="Z27782"/>
    </row>
    <row r="27783" spans="26:26" x14ac:dyDescent="0.25">
      <c r="Z27783"/>
    </row>
    <row r="27784" spans="26:26" x14ac:dyDescent="0.25">
      <c r="Z27784"/>
    </row>
    <row r="27785" spans="26:26" x14ac:dyDescent="0.25">
      <c r="Z27785"/>
    </row>
    <row r="27786" spans="26:26" x14ac:dyDescent="0.25">
      <c r="Z27786"/>
    </row>
    <row r="27787" spans="26:26" x14ac:dyDescent="0.25">
      <c r="Z27787"/>
    </row>
    <row r="27788" spans="26:26" x14ac:dyDescent="0.25">
      <c r="Z27788"/>
    </row>
    <row r="27789" spans="26:26" x14ac:dyDescent="0.25">
      <c r="Z27789"/>
    </row>
    <row r="27790" spans="26:26" x14ac:dyDescent="0.25">
      <c r="Z27790"/>
    </row>
    <row r="27791" spans="26:26" x14ac:dyDescent="0.25">
      <c r="Z27791"/>
    </row>
    <row r="27792" spans="26:26" x14ac:dyDescent="0.25">
      <c r="Z27792"/>
    </row>
    <row r="27793" spans="26:26" x14ac:dyDescent="0.25">
      <c r="Z27793"/>
    </row>
    <row r="27794" spans="26:26" x14ac:dyDescent="0.25">
      <c r="Z27794"/>
    </row>
    <row r="27795" spans="26:26" x14ac:dyDescent="0.25">
      <c r="Z27795"/>
    </row>
    <row r="27796" spans="26:26" x14ac:dyDescent="0.25">
      <c r="Z27796"/>
    </row>
    <row r="27797" spans="26:26" x14ac:dyDescent="0.25">
      <c r="Z27797"/>
    </row>
    <row r="27798" spans="26:26" x14ac:dyDescent="0.25">
      <c r="Z27798"/>
    </row>
    <row r="27799" spans="26:26" x14ac:dyDescent="0.25">
      <c r="Z27799"/>
    </row>
    <row r="27800" spans="26:26" x14ac:dyDescent="0.25">
      <c r="Z27800"/>
    </row>
    <row r="27801" spans="26:26" x14ac:dyDescent="0.25">
      <c r="Z27801"/>
    </row>
    <row r="27802" spans="26:26" x14ac:dyDescent="0.25">
      <c r="Z27802"/>
    </row>
    <row r="27803" spans="26:26" x14ac:dyDescent="0.25">
      <c r="Z27803"/>
    </row>
    <row r="27804" spans="26:26" x14ac:dyDescent="0.25">
      <c r="Z27804"/>
    </row>
    <row r="27805" spans="26:26" x14ac:dyDescent="0.25">
      <c r="Z27805"/>
    </row>
    <row r="27806" spans="26:26" x14ac:dyDescent="0.25">
      <c r="Z27806"/>
    </row>
    <row r="27807" spans="26:26" x14ac:dyDescent="0.25">
      <c r="Z27807"/>
    </row>
    <row r="27808" spans="26:26" x14ac:dyDescent="0.25">
      <c r="Z27808"/>
    </row>
    <row r="27809" spans="26:26" x14ac:dyDescent="0.25">
      <c r="Z27809"/>
    </row>
    <row r="27810" spans="26:26" x14ac:dyDescent="0.25">
      <c r="Z27810"/>
    </row>
    <row r="27811" spans="26:26" x14ac:dyDescent="0.25">
      <c r="Z27811"/>
    </row>
    <row r="27812" spans="26:26" x14ac:dyDescent="0.25">
      <c r="Z27812"/>
    </row>
    <row r="27813" spans="26:26" x14ac:dyDescent="0.25">
      <c r="Z27813"/>
    </row>
    <row r="27814" spans="26:26" x14ac:dyDescent="0.25">
      <c r="Z27814"/>
    </row>
    <row r="27815" spans="26:26" x14ac:dyDescent="0.25">
      <c r="Z27815"/>
    </row>
    <row r="27816" spans="26:26" x14ac:dyDescent="0.25">
      <c r="Z27816"/>
    </row>
    <row r="27817" spans="26:26" x14ac:dyDescent="0.25">
      <c r="Z27817"/>
    </row>
    <row r="27818" spans="26:26" x14ac:dyDescent="0.25">
      <c r="Z27818"/>
    </row>
    <row r="27819" spans="26:26" x14ac:dyDescent="0.25">
      <c r="Z27819"/>
    </row>
    <row r="27820" spans="26:26" x14ac:dyDescent="0.25">
      <c r="Z27820"/>
    </row>
    <row r="27821" spans="26:26" x14ac:dyDescent="0.25">
      <c r="Z27821"/>
    </row>
    <row r="27822" spans="26:26" x14ac:dyDescent="0.25">
      <c r="Z27822"/>
    </row>
    <row r="27823" spans="26:26" x14ac:dyDescent="0.25">
      <c r="Z27823"/>
    </row>
    <row r="27824" spans="26:26" x14ac:dyDescent="0.25">
      <c r="Z27824"/>
    </row>
    <row r="27825" spans="26:26" x14ac:dyDescent="0.25">
      <c r="Z27825"/>
    </row>
    <row r="27826" spans="26:26" x14ac:dyDescent="0.25">
      <c r="Z27826"/>
    </row>
    <row r="27827" spans="26:26" x14ac:dyDescent="0.25">
      <c r="Z27827"/>
    </row>
    <row r="27828" spans="26:26" x14ac:dyDescent="0.25">
      <c r="Z27828"/>
    </row>
    <row r="27829" spans="26:26" x14ac:dyDescent="0.25">
      <c r="Z27829"/>
    </row>
    <row r="27830" spans="26:26" x14ac:dyDescent="0.25">
      <c r="Z27830"/>
    </row>
    <row r="27831" spans="26:26" x14ac:dyDescent="0.25">
      <c r="Z27831"/>
    </row>
    <row r="27832" spans="26:26" x14ac:dyDescent="0.25">
      <c r="Z27832"/>
    </row>
    <row r="27833" spans="26:26" x14ac:dyDescent="0.25">
      <c r="Z27833"/>
    </row>
    <row r="27834" spans="26:26" x14ac:dyDescent="0.25">
      <c r="Z27834"/>
    </row>
    <row r="27835" spans="26:26" x14ac:dyDescent="0.25">
      <c r="Z27835"/>
    </row>
    <row r="27836" spans="26:26" x14ac:dyDescent="0.25">
      <c r="Z27836"/>
    </row>
    <row r="27837" spans="26:26" x14ac:dyDescent="0.25">
      <c r="Z27837"/>
    </row>
    <row r="27838" spans="26:26" x14ac:dyDescent="0.25">
      <c r="Z27838"/>
    </row>
    <row r="27839" spans="26:26" x14ac:dyDescent="0.25">
      <c r="Z27839"/>
    </row>
    <row r="27840" spans="26:26" x14ac:dyDescent="0.25">
      <c r="Z27840"/>
    </row>
    <row r="27841" spans="26:26" x14ac:dyDescent="0.25">
      <c r="Z27841"/>
    </row>
    <row r="27842" spans="26:26" x14ac:dyDescent="0.25">
      <c r="Z27842"/>
    </row>
    <row r="27843" spans="26:26" x14ac:dyDescent="0.25">
      <c r="Z27843"/>
    </row>
    <row r="27844" spans="26:26" x14ac:dyDescent="0.25">
      <c r="Z27844"/>
    </row>
    <row r="27845" spans="26:26" x14ac:dyDescent="0.25">
      <c r="Z27845"/>
    </row>
    <row r="27846" spans="26:26" x14ac:dyDescent="0.25">
      <c r="Z27846"/>
    </row>
    <row r="27847" spans="26:26" x14ac:dyDescent="0.25">
      <c r="Z27847"/>
    </row>
    <row r="27848" spans="26:26" x14ac:dyDescent="0.25">
      <c r="Z27848"/>
    </row>
    <row r="27849" spans="26:26" x14ac:dyDescent="0.25">
      <c r="Z27849"/>
    </row>
    <row r="27850" spans="26:26" x14ac:dyDescent="0.25">
      <c r="Z27850"/>
    </row>
    <row r="27851" spans="26:26" x14ac:dyDescent="0.25">
      <c r="Z27851"/>
    </row>
    <row r="27852" spans="26:26" x14ac:dyDescent="0.25">
      <c r="Z27852"/>
    </row>
    <row r="27853" spans="26:26" x14ac:dyDescent="0.25">
      <c r="Z27853"/>
    </row>
    <row r="27854" spans="26:26" x14ac:dyDescent="0.25">
      <c r="Z27854"/>
    </row>
    <row r="27855" spans="26:26" x14ac:dyDescent="0.25">
      <c r="Z27855"/>
    </row>
    <row r="27856" spans="26:26" x14ac:dyDescent="0.25">
      <c r="Z27856"/>
    </row>
    <row r="27857" spans="26:26" x14ac:dyDescent="0.25">
      <c r="Z27857"/>
    </row>
    <row r="27858" spans="26:26" x14ac:dyDescent="0.25">
      <c r="Z27858"/>
    </row>
    <row r="27859" spans="26:26" x14ac:dyDescent="0.25">
      <c r="Z27859"/>
    </row>
    <row r="27860" spans="26:26" x14ac:dyDescent="0.25">
      <c r="Z27860"/>
    </row>
    <row r="27861" spans="26:26" x14ac:dyDescent="0.25">
      <c r="Z27861"/>
    </row>
    <row r="27862" spans="26:26" x14ac:dyDescent="0.25">
      <c r="Z27862"/>
    </row>
    <row r="27863" spans="26:26" x14ac:dyDescent="0.25">
      <c r="Z27863"/>
    </row>
    <row r="27864" spans="26:26" x14ac:dyDescent="0.25">
      <c r="Z27864"/>
    </row>
    <row r="27865" spans="26:26" x14ac:dyDescent="0.25">
      <c r="Z27865"/>
    </row>
    <row r="27866" spans="26:26" x14ac:dyDescent="0.25">
      <c r="Z27866"/>
    </row>
    <row r="27867" spans="26:26" x14ac:dyDescent="0.25">
      <c r="Z27867"/>
    </row>
    <row r="27868" spans="26:26" x14ac:dyDescent="0.25">
      <c r="Z27868"/>
    </row>
    <row r="27869" spans="26:26" x14ac:dyDescent="0.25">
      <c r="Z27869"/>
    </row>
    <row r="27870" spans="26:26" x14ac:dyDescent="0.25">
      <c r="Z27870"/>
    </row>
    <row r="27871" spans="26:26" x14ac:dyDescent="0.25">
      <c r="Z27871"/>
    </row>
    <row r="27872" spans="26:26" x14ac:dyDescent="0.25">
      <c r="Z27872"/>
    </row>
    <row r="27873" spans="26:26" x14ac:dyDescent="0.25">
      <c r="Z27873"/>
    </row>
    <row r="27874" spans="26:26" x14ac:dyDescent="0.25">
      <c r="Z27874"/>
    </row>
    <row r="27875" spans="26:26" x14ac:dyDescent="0.25">
      <c r="Z27875"/>
    </row>
    <row r="27876" spans="26:26" x14ac:dyDescent="0.25">
      <c r="Z27876"/>
    </row>
    <row r="27877" spans="26:26" x14ac:dyDescent="0.25">
      <c r="Z27877"/>
    </row>
    <row r="27878" spans="26:26" x14ac:dyDescent="0.25">
      <c r="Z27878"/>
    </row>
    <row r="27879" spans="26:26" x14ac:dyDescent="0.25">
      <c r="Z27879"/>
    </row>
    <row r="27880" spans="26:26" x14ac:dyDescent="0.25">
      <c r="Z27880"/>
    </row>
    <row r="27881" spans="26:26" x14ac:dyDescent="0.25">
      <c r="Z27881"/>
    </row>
    <row r="27882" spans="26:26" x14ac:dyDescent="0.25">
      <c r="Z27882"/>
    </row>
    <row r="27883" spans="26:26" x14ac:dyDescent="0.25">
      <c r="Z27883"/>
    </row>
    <row r="27884" spans="26:26" x14ac:dyDescent="0.25">
      <c r="Z27884"/>
    </row>
    <row r="27885" spans="26:26" x14ac:dyDescent="0.25">
      <c r="Z27885"/>
    </row>
    <row r="27886" spans="26:26" x14ac:dyDescent="0.25">
      <c r="Z27886"/>
    </row>
    <row r="27887" spans="26:26" x14ac:dyDescent="0.25">
      <c r="Z27887"/>
    </row>
    <row r="27888" spans="26:26" x14ac:dyDescent="0.25">
      <c r="Z27888"/>
    </row>
    <row r="27889" spans="26:26" x14ac:dyDescent="0.25">
      <c r="Z27889"/>
    </row>
    <row r="27890" spans="26:26" x14ac:dyDescent="0.25">
      <c r="Z27890"/>
    </row>
    <row r="27891" spans="26:26" x14ac:dyDescent="0.25">
      <c r="Z27891"/>
    </row>
    <row r="27892" spans="26:26" x14ac:dyDescent="0.25">
      <c r="Z27892"/>
    </row>
    <row r="27893" spans="26:26" x14ac:dyDescent="0.25">
      <c r="Z27893"/>
    </row>
    <row r="27894" spans="26:26" x14ac:dyDescent="0.25">
      <c r="Z27894"/>
    </row>
    <row r="27895" spans="26:26" x14ac:dyDescent="0.25">
      <c r="Z27895"/>
    </row>
    <row r="27896" spans="26:26" x14ac:dyDescent="0.25">
      <c r="Z27896"/>
    </row>
    <row r="27897" spans="26:26" x14ac:dyDescent="0.25">
      <c r="Z27897"/>
    </row>
    <row r="27898" spans="26:26" x14ac:dyDescent="0.25">
      <c r="Z27898"/>
    </row>
    <row r="27899" spans="26:26" x14ac:dyDescent="0.25">
      <c r="Z27899"/>
    </row>
    <row r="27900" spans="26:26" x14ac:dyDescent="0.25">
      <c r="Z27900"/>
    </row>
    <row r="27901" spans="26:26" x14ac:dyDescent="0.25">
      <c r="Z27901"/>
    </row>
    <row r="27902" spans="26:26" x14ac:dyDescent="0.25">
      <c r="Z27902"/>
    </row>
    <row r="27903" spans="26:26" x14ac:dyDescent="0.25">
      <c r="Z27903"/>
    </row>
    <row r="27904" spans="26:26" x14ac:dyDescent="0.25">
      <c r="Z27904"/>
    </row>
    <row r="27905" spans="26:26" x14ac:dyDescent="0.25">
      <c r="Z27905"/>
    </row>
    <row r="27906" spans="26:26" x14ac:dyDescent="0.25">
      <c r="Z27906"/>
    </row>
    <row r="27907" spans="26:26" x14ac:dyDescent="0.25">
      <c r="Z27907"/>
    </row>
    <row r="27908" spans="26:26" x14ac:dyDescent="0.25">
      <c r="Z27908"/>
    </row>
    <row r="27909" spans="26:26" x14ac:dyDescent="0.25">
      <c r="Z27909"/>
    </row>
    <row r="27910" spans="26:26" x14ac:dyDescent="0.25">
      <c r="Z27910"/>
    </row>
    <row r="27911" spans="26:26" x14ac:dyDescent="0.25">
      <c r="Z27911"/>
    </row>
    <row r="27912" spans="26:26" x14ac:dyDescent="0.25">
      <c r="Z27912"/>
    </row>
    <row r="27913" spans="26:26" x14ac:dyDescent="0.25">
      <c r="Z27913"/>
    </row>
    <row r="27914" spans="26:26" x14ac:dyDescent="0.25">
      <c r="Z27914"/>
    </row>
    <row r="27915" spans="26:26" x14ac:dyDescent="0.25">
      <c r="Z27915"/>
    </row>
    <row r="27916" spans="26:26" x14ac:dyDescent="0.25">
      <c r="Z27916"/>
    </row>
    <row r="27917" spans="26:26" x14ac:dyDescent="0.25">
      <c r="Z27917"/>
    </row>
    <row r="27918" spans="26:26" x14ac:dyDescent="0.25">
      <c r="Z27918"/>
    </row>
    <row r="27919" spans="26:26" x14ac:dyDescent="0.25">
      <c r="Z27919"/>
    </row>
    <row r="27920" spans="26:26" x14ac:dyDescent="0.25">
      <c r="Z27920"/>
    </row>
    <row r="27921" spans="26:26" x14ac:dyDescent="0.25">
      <c r="Z27921"/>
    </row>
    <row r="27922" spans="26:26" x14ac:dyDescent="0.25">
      <c r="Z27922"/>
    </row>
    <row r="27923" spans="26:26" x14ac:dyDescent="0.25">
      <c r="Z27923"/>
    </row>
    <row r="27924" spans="26:26" x14ac:dyDescent="0.25">
      <c r="Z27924"/>
    </row>
    <row r="27925" spans="26:26" x14ac:dyDescent="0.25">
      <c r="Z27925"/>
    </row>
    <row r="27926" spans="26:26" x14ac:dyDescent="0.25">
      <c r="Z27926"/>
    </row>
    <row r="27927" spans="26:26" x14ac:dyDescent="0.25">
      <c r="Z27927"/>
    </row>
    <row r="27928" spans="26:26" x14ac:dyDescent="0.25">
      <c r="Z27928"/>
    </row>
    <row r="27929" spans="26:26" x14ac:dyDescent="0.25">
      <c r="Z27929"/>
    </row>
    <row r="27930" spans="26:26" x14ac:dyDescent="0.25">
      <c r="Z27930"/>
    </row>
    <row r="27931" spans="26:26" x14ac:dyDescent="0.25">
      <c r="Z27931"/>
    </row>
    <row r="27932" spans="26:26" x14ac:dyDescent="0.25">
      <c r="Z27932"/>
    </row>
    <row r="27933" spans="26:26" x14ac:dyDescent="0.25">
      <c r="Z27933"/>
    </row>
    <row r="27934" spans="26:26" x14ac:dyDescent="0.25">
      <c r="Z27934"/>
    </row>
    <row r="27935" spans="26:26" x14ac:dyDescent="0.25">
      <c r="Z27935"/>
    </row>
    <row r="27936" spans="26:26" x14ac:dyDescent="0.25">
      <c r="Z27936"/>
    </row>
    <row r="27937" spans="26:26" x14ac:dyDescent="0.25">
      <c r="Z27937"/>
    </row>
    <row r="27938" spans="26:26" x14ac:dyDescent="0.25">
      <c r="Z27938"/>
    </row>
    <row r="27939" spans="26:26" x14ac:dyDescent="0.25">
      <c r="Z27939"/>
    </row>
    <row r="27940" spans="26:26" x14ac:dyDescent="0.25">
      <c r="Z27940"/>
    </row>
    <row r="27941" spans="26:26" x14ac:dyDescent="0.25">
      <c r="Z27941"/>
    </row>
    <row r="27942" spans="26:26" x14ac:dyDescent="0.25">
      <c r="Z27942"/>
    </row>
    <row r="27943" spans="26:26" x14ac:dyDescent="0.25">
      <c r="Z27943"/>
    </row>
    <row r="27944" spans="26:26" x14ac:dyDescent="0.25">
      <c r="Z27944"/>
    </row>
    <row r="27945" spans="26:26" x14ac:dyDescent="0.25">
      <c r="Z27945"/>
    </row>
    <row r="27946" spans="26:26" x14ac:dyDescent="0.25">
      <c r="Z27946"/>
    </row>
    <row r="27947" spans="26:26" x14ac:dyDescent="0.25">
      <c r="Z27947"/>
    </row>
    <row r="27948" spans="26:26" x14ac:dyDescent="0.25">
      <c r="Z27948"/>
    </row>
    <row r="27949" spans="26:26" x14ac:dyDescent="0.25">
      <c r="Z27949"/>
    </row>
    <row r="27950" spans="26:26" x14ac:dyDescent="0.25">
      <c r="Z27950"/>
    </row>
    <row r="27951" spans="26:26" x14ac:dyDescent="0.25">
      <c r="Z27951"/>
    </row>
    <row r="27952" spans="26:26" x14ac:dyDescent="0.25">
      <c r="Z27952"/>
    </row>
    <row r="27953" spans="26:26" x14ac:dyDescent="0.25">
      <c r="Z27953"/>
    </row>
    <row r="27954" spans="26:26" x14ac:dyDescent="0.25">
      <c r="Z27954"/>
    </row>
    <row r="27955" spans="26:26" x14ac:dyDescent="0.25">
      <c r="Z27955"/>
    </row>
    <row r="27956" spans="26:26" x14ac:dyDescent="0.25">
      <c r="Z27956"/>
    </row>
    <row r="27957" spans="26:26" x14ac:dyDescent="0.25">
      <c r="Z27957"/>
    </row>
    <row r="27958" spans="26:26" x14ac:dyDescent="0.25">
      <c r="Z27958"/>
    </row>
    <row r="27959" spans="26:26" x14ac:dyDescent="0.25">
      <c r="Z27959"/>
    </row>
    <row r="27960" spans="26:26" x14ac:dyDescent="0.25">
      <c r="Z27960"/>
    </row>
    <row r="27961" spans="26:26" x14ac:dyDescent="0.25">
      <c r="Z27961"/>
    </row>
    <row r="27962" spans="26:26" x14ac:dyDescent="0.25">
      <c r="Z27962"/>
    </row>
    <row r="27963" spans="26:26" x14ac:dyDescent="0.25">
      <c r="Z27963"/>
    </row>
    <row r="27964" spans="26:26" x14ac:dyDescent="0.25">
      <c r="Z27964"/>
    </row>
    <row r="27965" spans="26:26" x14ac:dyDescent="0.25">
      <c r="Z27965"/>
    </row>
    <row r="27966" spans="26:26" x14ac:dyDescent="0.25">
      <c r="Z27966"/>
    </row>
    <row r="27967" spans="26:26" x14ac:dyDescent="0.25">
      <c r="Z27967"/>
    </row>
    <row r="27968" spans="26:26" x14ac:dyDescent="0.25">
      <c r="Z27968"/>
    </row>
    <row r="27969" spans="26:26" x14ac:dyDescent="0.25">
      <c r="Z27969"/>
    </row>
    <row r="27970" spans="26:26" x14ac:dyDescent="0.25">
      <c r="Z27970"/>
    </row>
    <row r="27971" spans="26:26" x14ac:dyDescent="0.25">
      <c r="Z27971"/>
    </row>
    <row r="27972" spans="26:26" x14ac:dyDescent="0.25">
      <c r="Z27972"/>
    </row>
    <row r="27973" spans="26:26" x14ac:dyDescent="0.25">
      <c r="Z27973"/>
    </row>
    <row r="27974" spans="26:26" x14ac:dyDescent="0.25">
      <c r="Z27974"/>
    </row>
    <row r="27975" spans="26:26" x14ac:dyDescent="0.25">
      <c r="Z27975"/>
    </row>
    <row r="27976" spans="26:26" x14ac:dyDescent="0.25">
      <c r="Z27976"/>
    </row>
    <row r="27977" spans="26:26" x14ac:dyDescent="0.25">
      <c r="Z27977"/>
    </row>
    <row r="27978" spans="26:26" x14ac:dyDescent="0.25">
      <c r="Z27978"/>
    </row>
    <row r="27979" spans="26:26" x14ac:dyDescent="0.25">
      <c r="Z27979"/>
    </row>
    <row r="27980" spans="26:26" x14ac:dyDescent="0.25">
      <c r="Z27980"/>
    </row>
    <row r="27981" spans="26:26" x14ac:dyDescent="0.25">
      <c r="Z27981"/>
    </row>
    <row r="27982" spans="26:26" x14ac:dyDescent="0.25">
      <c r="Z27982"/>
    </row>
    <row r="27983" spans="26:26" x14ac:dyDescent="0.25">
      <c r="Z27983"/>
    </row>
    <row r="27984" spans="26:26" x14ac:dyDescent="0.25">
      <c r="Z27984"/>
    </row>
    <row r="27985" spans="26:26" x14ac:dyDescent="0.25">
      <c r="Z27985"/>
    </row>
    <row r="27986" spans="26:26" x14ac:dyDescent="0.25">
      <c r="Z27986"/>
    </row>
    <row r="27987" spans="26:26" x14ac:dyDescent="0.25">
      <c r="Z27987"/>
    </row>
    <row r="27988" spans="26:26" x14ac:dyDescent="0.25">
      <c r="Z27988"/>
    </row>
    <row r="27989" spans="26:26" x14ac:dyDescent="0.25">
      <c r="Z27989"/>
    </row>
    <row r="27990" spans="26:26" x14ac:dyDescent="0.25">
      <c r="Z27990"/>
    </row>
    <row r="27991" spans="26:26" x14ac:dyDescent="0.25">
      <c r="Z27991"/>
    </row>
    <row r="27992" spans="26:26" x14ac:dyDescent="0.25">
      <c r="Z27992"/>
    </row>
    <row r="27993" spans="26:26" x14ac:dyDescent="0.25">
      <c r="Z27993"/>
    </row>
    <row r="27994" spans="26:26" x14ac:dyDescent="0.25">
      <c r="Z27994"/>
    </row>
    <row r="27995" spans="26:26" x14ac:dyDescent="0.25">
      <c r="Z27995"/>
    </row>
    <row r="27996" spans="26:26" x14ac:dyDescent="0.25">
      <c r="Z27996"/>
    </row>
    <row r="27997" spans="26:26" x14ac:dyDescent="0.25">
      <c r="Z27997"/>
    </row>
    <row r="27998" spans="26:26" x14ac:dyDescent="0.25">
      <c r="Z27998"/>
    </row>
    <row r="27999" spans="26:26" x14ac:dyDescent="0.25">
      <c r="Z27999"/>
    </row>
    <row r="28000" spans="26:26" x14ac:dyDescent="0.25">
      <c r="Z28000"/>
    </row>
    <row r="28001" spans="26:26" x14ac:dyDescent="0.25">
      <c r="Z28001"/>
    </row>
    <row r="28002" spans="26:26" x14ac:dyDescent="0.25">
      <c r="Z28002"/>
    </row>
    <row r="28003" spans="26:26" x14ac:dyDescent="0.25">
      <c r="Z28003"/>
    </row>
    <row r="28004" spans="26:26" x14ac:dyDescent="0.25">
      <c r="Z28004"/>
    </row>
    <row r="28005" spans="26:26" x14ac:dyDescent="0.25">
      <c r="Z28005"/>
    </row>
    <row r="28006" spans="26:26" x14ac:dyDescent="0.25">
      <c r="Z28006"/>
    </row>
    <row r="28007" spans="26:26" x14ac:dyDescent="0.25">
      <c r="Z28007"/>
    </row>
    <row r="28008" spans="26:26" x14ac:dyDescent="0.25">
      <c r="Z28008"/>
    </row>
    <row r="28009" spans="26:26" x14ac:dyDescent="0.25">
      <c r="Z28009"/>
    </row>
    <row r="28010" spans="26:26" x14ac:dyDescent="0.25">
      <c r="Z28010"/>
    </row>
    <row r="28011" spans="26:26" x14ac:dyDescent="0.25">
      <c r="Z28011"/>
    </row>
    <row r="28012" spans="26:26" x14ac:dyDescent="0.25">
      <c r="Z28012"/>
    </row>
    <row r="28013" spans="26:26" x14ac:dyDescent="0.25">
      <c r="Z28013"/>
    </row>
    <row r="28014" spans="26:26" x14ac:dyDescent="0.25">
      <c r="Z28014"/>
    </row>
    <row r="28015" spans="26:26" x14ac:dyDescent="0.25">
      <c r="Z28015"/>
    </row>
    <row r="28016" spans="26:26" x14ac:dyDescent="0.25">
      <c r="Z28016"/>
    </row>
    <row r="28017" spans="26:26" x14ac:dyDescent="0.25">
      <c r="Z28017"/>
    </row>
    <row r="28018" spans="26:26" x14ac:dyDescent="0.25">
      <c r="Z28018"/>
    </row>
    <row r="28019" spans="26:26" x14ac:dyDescent="0.25">
      <c r="Z28019"/>
    </row>
    <row r="28020" spans="26:26" x14ac:dyDescent="0.25">
      <c r="Z28020"/>
    </row>
    <row r="28021" spans="26:26" x14ac:dyDescent="0.25">
      <c r="Z28021"/>
    </row>
    <row r="28022" spans="26:26" x14ac:dyDescent="0.25">
      <c r="Z28022"/>
    </row>
    <row r="28023" spans="26:26" x14ac:dyDescent="0.25">
      <c r="Z28023"/>
    </row>
    <row r="28024" spans="26:26" x14ac:dyDescent="0.25">
      <c r="Z28024"/>
    </row>
    <row r="28025" spans="26:26" x14ac:dyDescent="0.25">
      <c r="Z28025"/>
    </row>
    <row r="28026" spans="26:26" x14ac:dyDescent="0.25">
      <c r="Z28026"/>
    </row>
    <row r="28027" spans="26:26" x14ac:dyDescent="0.25">
      <c r="Z28027"/>
    </row>
    <row r="28028" spans="26:26" x14ac:dyDescent="0.25">
      <c r="Z28028"/>
    </row>
    <row r="28029" spans="26:26" x14ac:dyDescent="0.25">
      <c r="Z28029"/>
    </row>
    <row r="28030" spans="26:26" x14ac:dyDescent="0.25">
      <c r="Z28030"/>
    </row>
    <row r="28031" spans="26:26" x14ac:dyDescent="0.25">
      <c r="Z28031"/>
    </row>
    <row r="28032" spans="26:26" x14ac:dyDescent="0.25">
      <c r="Z28032"/>
    </row>
    <row r="28033" spans="26:26" x14ac:dyDescent="0.25">
      <c r="Z28033"/>
    </row>
    <row r="28034" spans="26:26" x14ac:dyDescent="0.25">
      <c r="Z28034"/>
    </row>
    <row r="28035" spans="26:26" x14ac:dyDescent="0.25">
      <c r="Z28035"/>
    </row>
    <row r="28036" spans="26:26" x14ac:dyDescent="0.25">
      <c r="Z28036"/>
    </row>
    <row r="28037" spans="26:26" x14ac:dyDescent="0.25">
      <c r="Z28037"/>
    </row>
    <row r="28038" spans="26:26" x14ac:dyDescent="0.25">
      <c r="Z28038"/>
    </row>
    <row r="28039" spans="26:26" x14ac:dyDescent="0.25">
      <c r="Z28039"/>
    </row>
    <row r="28040" spans="26:26" x14ac:dyDescent="0.25">
      <c r="Z28040"/>
    </row>
    <row r="28041" spans="26:26" x14ac:dyDescent="0.25">
      <c r="Z28041"/>
    </row>
    <row r="28042" spans="26:26" x14ac:dyDescent="0.25">
      <c r="Z28042"/>
    </row>
    <row r="28043" spans="26:26" x14ac:dyDescent="0.25">
      <c r="Z28043"/>
    </row>
    <row r="28044" spans="26:26" x14ac:dyDescent="0.25">
      <c r="Z28044"/>
    </row>
    <row r="28045" spans="26:26" x14ac:dyDescent="0.25">
      <c r="Z28045"/>
    </row>
    <row r="28046" spans="26:26" x14ac:dyDescent="0.25">
      <c r="Z28046"/>
    </row>
    <row r="28047" spans="26:26" x14ac:dyDescent="0.25">
      <c r="Z28047"/>
    </row>
    <row r="28048" spans="26:26" x14ac:dyDescent="0.25">
      <c r="Z28048"/>
    </row>
    <row r="28049" spans="26:26" x14ac:dyDescent="0.25">
      <c r="Z28049"/>
    </row>
    <row r="28050" spans="26:26" x14ac:dyDescent="0.25">
      <c r="Z28050"/>
    </row>
    <row r="28051" spans="26:26" x14ac:dyDescent="0.25">
      <c r="Z28051"/>
    </row>
    <row r="28052" spans="26:26" x14ac:dyDescent="0.25">
      <c r="Z28052"/>
    </row>
    <row r="28053" spans="26:26" x14ac:dyDescent="0.25">
      <c r="Z28053"/>
    </row>
    <row r="28054" spans="26:26" x14ac:dyDescent="0.25">
      <c r="Z28054"/>
    </row>
    <row r="28055" spans="26:26" x14ac:dyDescent="0.25">
      <c r="Z28055"/>
    </row>
    <row r="28056" spans="26:26" x14ac:dyDescent="0.25">
      <c r="Z28056"/>
    </row>
    <row r="28057" spans="26:26" x14ac:dyDescent="0.25">
      <c r="Z28057"/>
    </row>
    <row r="28058" spans="26:26" x14ac:dyDescent="0.25">
      <c r="Z28058"/>
    </row>
    <row r="28059" spans="26:26" x14ac:dyDescent="0.25">
      <c r="Z28059"/>
    </row>
    <row r="28060" spans="26:26" x14ac:dyDescent="0.25">
      <c r="Z28060"/>
    </row>
    <row r="28061" spans="26:26" x14ac:dyDescent="0.25">
      <c r="Z28061"/>
    </row>
    <row r="28062" spans="26:26" x14ac:dyDescent="0.25">
      <c r="Z28062"/>
    </row>
    <row r="28063" spans="26:26" x14ac:dyDescent="0.25">
      <c r="Z28063"/>
    </row>
    <row r="28064" spans="26:26" x14ac:dyDescent="0.25">
      <c r="Z28064"/>
    </row>
    <row r="28065" spans="26:26" x14ac:dyDescent="0.25">
      <c r="Z28065"/>
    </row>
    <row r="28066" spans="26:26" x14ac:dyDescent="0.25">
      <c r="Z28066"/>
    </row>
    <row r="28067" spans="26:26" x14ac:dyDescent="0.25">
      <c r="Z28067"/>
    </row>
    <row r="28068" spans="26:26" x14ac:dyDescent="0.25">
      <c r="Z28068"/>
    </row>
    <row r="28069" spans="26:26" x14ac:dyDescent="0.25">
      <c r="Z28069"/>
    </row>
    <row r="28070" spans="26:26" x14ac:dyDescent="0.25">
      <c r="Z28070"/>
    </row>
    <row r="28071" spans="26:26" x14ac:dyDescent="0.25">
      <c r="Z28071"/>
    </row>
    <row r="28072" spans="26:26" x14ac:dyDescent="0.25">
      <c r="Z28072"/>
    </row>
    <row r="28073" spans="26:26" x14ac:dyDescent="0.25">
      <c r="Z28073"/>
    </row>
    <row r="28074" spans="26:26" x14ac:dyDescent="0.25">
      <c r="Z28074"/>
    </row>
    <row r="28075" spans="26:26" x14ac:dyDescent="0.25">
      <c r="Z28075"/>
    </row>
    <row r="28076" spans="26:26" x14ac:dyDescent="0.25">
      <c r="Z28076"/>
    </row>
    <row r="28077" spans="26:26" x14ac:dyDescent="0.25">
      <c r="Z28077"/>
    </row>
    <row r="28078" spans="26:26" x14ac:dyDescent="0.25">
      <c r="Z28078"/>
    </row>
    <row r="28079" spans="26:26" x14ac:dyDescent="0.25">
      <c r="Z28079"/>
    </row>
    <row r="28080" spans="26:26" x14ac:dyDescent="0.25">
      <c r="Z28080"/>
    </row>
    <row r="28081" spans="26:26" x14ac:dyDescent="0.25">
      <c r="Z28081"/>
    </row>
    <row r="28082" spans="26:26" x14ac:dyDescent="0.25">
      <c r="Z28082"/>
    </row>
    <row r="28083" spans="26:26" x14ac:dyDescent="0.25">
      <c r="Z28083"/>
    </row>
    <row r="28084" spans="26:26" x14ac:dyDescent="0.25">
      <c r="Z28084"/>
    </row>
    <row r="28085" spans="26:26" x14ac:dyDescent="0.25">
      <c r="Z28085"/>
    </row>
    <row r="28086" spans="26:26" x14ac:dyDescent="0.25">
      <c r="Z28086"/>
    </row>
    <row r="28087" spans="26:26" x14ac:dyDescent="0.25">
      <c r="Z28087"/>
    </row>
    <row r="28088" spans="26:26" x14ac:dyDescent="0.25">
      <c r="Z28088"/>
    </row>
    <row r="28089" spans="26:26" x14ac:dyDescent="0.25">
      <c r="Z28089"/>
    </row>
    <row r="28090" spans="26:26" x14ac:dyDescent="0.25">
      <c r="Z28090"/>
    </row>
    <row r="28091" spans="26:26" x14ac:dyDescent="0.25">
      <c r="Z28091"/>
    </row>
    <row r="28092" spans="26:26" x14ac:dyDescent="0.25">
      <c r="Z28092"/>
    </row>
    <row r="28093" spans="26:26" x14ac:dyDescent="0.25">
      <c r="Z28093"/>
    </row>
    <row r="28094" spans="26:26" x14ac:dyDescent="0.25">
      <c r="Z28094"/>
    </row>
    <row r="28095" spans="26:26" x14ac:dyDescent="0.25">
      <c r="Z28095"/>
    </row>
    <row r="28096" spans="26:26" x14ac:dyDescent="0.25">
      <c r="Z28096"/>
    </row>
    <row r="28097" spans="26:26" x14ac:dyDescent="0.25">
      <c r="Z28097"/>
    </row>
    <row r="28098" spans="26:26" x14ac:dyDescent="0.25">
      <c r="Z28098"/>
    </row>
    <row r="28099" spans="26:26" x14ac:dyDescent="0.25">
      <c r="Z28099"/>
    </row>
    <row r="28100" spans="26:26" x14ac:dyDescent="0.25">
      <c r="Z28100"/>
    </row>
    <row r="28101" spans="26:26" x14ac:dyDescent="0.25">
      <c r="Z28101"/>
    </row>
    <row r="28102" spans="26:26" x14ac:dyDescent="0.25">
      <c r="Z28102"/>
    </row>
    <row r="28103" spans="26:26" x14ac:dyDescent="0.25">
      <c r="Z28103"/>
    </row>
    <row r="28104" spans="26:26" x14ac:dyDescent="0.25">
      <c r="Z28104"/>
    </row>
    <row r="28105" spans="26:26" x14ac:dyDescent="0.25">
      <c r="Z28105"/>
    </row>
    <row r="28106" spans="26:26" x14ac:dyDescent="0.25">
      <c r="Z28106"/>
    </row>
    <row r="28107" spans="26:26" x14ac:dyDescent="0.25">
      <c r="Z28107"/>
    </row>
    <row r="28108" spans="26:26" x14ac:dyDescent="0.25">
      <c r="Z28108"/>
    </row>
    <row r="28109" spans="26:26" x14ac:dyDescent="0.25">
      <c r="Z28109"/>
    </row>
    <row r="28110" spans="26:26" x14ac:dyDescent="0.25">
      <c r="Z28110"/>
    </row>
    <row r="28111" spans="26:26" x14ac:dyDescent="0.25">
      <c r="Z28111"/>
    </row>
    <row r="28112" spans="26:26" x14ac:dyDescent="0.25">
      <c r="Z28112"/>
    </row>
    <row r="28113" spans="26:26" x14ac:dyDescent="0.25">
      <c r="Z28113"/>
    </row>
    <row r="28114" spans="26:26" x14ac:dyDescent="0.25">
      <c r="Z28114"/>
    </row>
    <row r="28115" spans="26:26" x14ac:dyDescent="0.25">
      <c r="Z28115"/>
    </row>
    <row r="28116" spans="26:26" x14ac:dyDescent="0.25">
      <c r="Z28116"/>
    </row>
    <row r="28117" spans="26:26" x14ac:dyDescent="0.25">
      <c r="Z28117"/>
    </row>
    <row r="28118" spans="26:26" x14ac:dyDescent="0.25">
      <c r="Z28118"/>
    </row>
    <row r="28119" spans="26:26" x14ac:dyDescent="0.25">
      <c r="Z28119"/>
    </row>
    <row r="28120" spans="26:26" x14ac:dyDescent="0.25">
      <c r="Z28120"/>
    </row>
    <row r="28121" spans="26:26" x14ac:dyDescent="0.25">
      <c r="Z28121"/>
    </row>
    <row r="28122" spans="26:26" x14ac:dyDescent="0.25">
      <c r="Z28122"/>
    </row>
    <row r="28123" spans="26:26" x14ac:dyDescent="0.25">
      <c r="Z28123"/>
    </row>
    <row r="28124" spans="26:26" x14ac:dyDescent="0.25">
      <c r="Z28124"/>
    </row>
    <row r="28125" spans="26:26" x14ac:dyDescent="0.25">
      <c r="Z28125"/>
    </row>
    <row r="28126" spans="26:26" x14ac:dyDescent="0.25">
      <c r="Z28126"/>
    </row>
    <row r="28127" spans="26:26" x14ac:dyDescent="0.25">
      <c r="Z28127"/>
    </row>
    <row r="28128" spans="26:26" x14ac:dyDescent="0.25">
      <c r="Z28128"/>
    </row>
    <row r="28129" spans="26:26" x14ac:dyDescent="0.25">
      <c r="Z28129"/>
    </row>
    <row r="28130" spans="26:26" x14ac:dyDescent="0.25">
      <c r="Z28130"/>
    </row>
    <row r="28131" spans="26:26" x14ac:dyDescent="0.25">
      <c r="Z28131"/>
    </row>
    <row r="28132" spans="26:26" x14ac:dyDescent="0.25">
      <c r="Z28132"/>
    </row>
    <row r="28133" spans="26:26" x14ac:dyDescent="0.25">
      <c r="Z28133"/>
    </row>
    <row r="28134" spans="26:26" x14ac:dyDescent="0.25">
      <c r="Z28134"/>
    </row>
    <row r="28135" spans="26:26" x14ac:dyDescent="0.25">
      <c r="Z28135"/>
    </row>
    <row r="28136" spans="26:26" x14ac:dyDescent="0.25">
      <c r="Z28136"/>
    </row>
    <row r="28137" spans="26:26" x14ac:dyDescent="0.25">
      <c r="Z28137"/>
    </row>
    <row r="28138" spans="26:26" x14ac:dyDescent="0.25">
      <c r="Z28138"/>
    </row>
    <row r="28139" spans="26:26" x14ac:dyDescent="0.25">
      <c r="Z28139"/>
    </row>
    <row r="28140" spans="26:26" x14ac:dyDescent="0.25">
      <c r="Z28140"/>
    </row>
    <row r="28141" spans="26:26" x14ac:dyDescent="0.25">
      <c r="Z28141"/>
    </row>
    <row r="28142" spans="26:26" x14ac:dyDescent="0.25">
      <c r="Z28142"/>
    </row>
    <row r="28143" spans="26:26" x14ac:dyDescent="0.25">
      <c r="Z28143"/>
    </row>
    <row r="28144" spans="26:26" x14ac:dyDescent="0.25">
      <c r="Z28144"/>
    </row>
    <row r="28145" spans="26:26" x14ac:dyDescent="0.25">
      <c r="Z28145"/>
    </row>
    <row r="28146" spans="26:26" x14ac:dyDescent="0.25">
      <c r="Z28146"/>
    </row>
    <row r="28147" spans="26:26" x14ac:dyDescent="0.25">
      <c r="Z28147"/>
    </row>
    <row r="28148" spans="26:26" x14ac:dyDescent="0.25">
      <c r="Z28148"/>
    </row>
    <row r="28149" spans="26:26" x14ac:dyDescent="0.25">
      <c r="Z28149"/>
    </row>
    <row r="28150" spans="26:26" x14ac:dyDescent="0.25">
      <c r="Z28150"/>
    </row>
    <row r="28151" spans="26:26" x14ac:dyDescent="0.25">
      <c r="Z28151"/>
    </row>
    <row r="28152" spans="26:26" x14ac:dyDescent="0.25">
      <c r="Z28152"/>
    </row>
    <row r="28153" spans="26:26" x14ac:dyDescent="0.25">
      <c r="Z28153"/>
    </row>
    <row r="28154" spans="26:26" x14ac:dyDescent="0.25">
      <c r="Z28154"/>
    </row>
    <row r="28155" spans="26:26" x14ac:dyDescent="0.25">
      <c r="Z28155"/>
    </row>
    <row r="28156" spans="26:26" x14ac:dyDescent="0.25">
      <c r="Z28156"/>
    </row>
    <row r="28157" spans="26:26" x14ac:dyDescent="0.25">
      <c r="Z28157"/>
    </row>
    <row r="28158" spans="26:26" x14ac:dyDescent="0.25">
      <c r="Z28158"/>
    </row>
    <row r="28159" spans="26:26" x14ac:dyDescent="0.25">
      <c r="Z28159"/>
    </row>
    <row r="28160" spans="26:26" x14ac:dyDescent="0.25">
      <c r="Z28160"/>
    </row>
    <row r="28161" spans="26:26" x14ac:dyDescent="0.25">
      <c r="Z28161"/>
    </row>
    <row r="28162" spans="26:26" x14ac:dyDescent="0.25">
      <c r="Z28162"/>
    </row>
    <row r="28163" spans="26:26" x14ac:dyDescent="0.25">
      <c r="Z28163"/>
    </row>
    <row r="28164" spans="26:26" x14ac:dyDescent="0.25">
      <c r="Z28164"/>
    </row>
    <row r="28165" spans="26:26" x14ac:dyDescent="0.25">
      <c r="Z28165"/>
    </row>
    <row r="28166" spans="26:26" x14ac:dyDescent="0.25">
      <c r="Z28166"/>
    </row>
    <row r="28167" spans="26:26" x14ac:dyDescent="0.25">
      <c r="Z28167"/>
    </row>
    <row r="28168" spans="26:26" x14ac:dyDescent="0.25">
      <c r="Z28168"/>
    </row>
    <row r="28169" spans="26:26" x14ac:dyDescent="0.25">
      <c r="Z28169"/>
    </row>
    <row r="28170" spans="26:26" x14ac:dyDescent="0.25">
      <c r="Z28170"/>
    </row>
    <row r="28171" spans="26:26" x14ac:dyDescent="0.25">
      <c r="Z28171"/>
    </row>
    <row r="28172" spans="26:26" x14ac:dyDescent="0.25">
      <c r="Z28172"/>
    </row>
    <row r="28173" spans="26:26" x14ac:dyDescent="0.25">
      <c r="Z28173"/>
    </row>
    <row r="28174" spans="26:26" x14ac:dyDescent="0.25">
      <c r="Z28174"/>
    </row>
    <row r="28175" spans="26:26" x14ac:dyDescent="0.25">
      <c r="Z28175"/>
    </row>
    <row r="28176" spans="26:26" x14ac:dyDescent="0.25">
      <c r="Z28176"/>
    </row>
    <row r="28177" spans="26:26" x14ac:dyDescent="0.25">
      <c r="Z28177"/>
    </row>
    <row r="28178" spans="26:26" x14ac:dyDescent="0.25">
      <c r="Z28178"/>
    </row>
    <row r="28179" spans="26:26" x14ac:dyDescent="0.25">
      <c r="Z28179"/>
    </row>
    <row r="28180" spans="26:26" x14ac:dyDescent="0.25">
      <c r="Z28180"/>
    </row>
    <row r="28181" spans="26:26" x14ac:dyDescent="0.25">
      <c r="Z28181"/>
    </row>
    <row r="28182" spans="26:26" x14ac:dyDescent="0.25">
      <c r="Z28182"/>
    </row>
    <row r="28183" spans="26:26" x14ac:dyDescent="0.25">
      <c r="Z28183"/>
    </row>
    <row r="28184" spans="26:26" x14ac:dyDescent="0.25">
      <c r="Z28184"/>
    </row>
    <row r="28185" spans="26:26" x14ac:dyDescent="0.25">
      <c r="Z28185"/>
    </row>
    <row r="28186" spans="26:26" x14ac:dyDescent="0.25">
      <c r="Z28186"/>
    </row>
    <row r="28187" spans="26:26" x14ac:dyDescent="0.25">
      <c r="Z28187"/>
    </row>
    <row r="28188" spans="26:26" x14ac:dyDescent="0.25">
      <c r="Z28188"/>
    </row>
    <row r="28189" spans="26:26" x14ac:dyDescent="0.25">
      <c r="Z28189"/>
    </row>
    <row r="28190" spans="26:26" x14ac:dyDescent="0.25">
      <c r="Z28190"/>
    </row>
    <row r="28191" spans="26:26" x14ac:dyDescent="0.25">
      <c r="Z28191"/>
    </row>
    <row r="28192" spans="26:26" x14ac:dyDescent="0.25">
      <c r="Z28192"/>
    </row>
    <row r="28193" spans="26:26" x14ac:dyDescent="0.25">
      <c r="Z28193"/>
    </row>
    <row r="28194" spans="26:26" x14ac:dyDescent="0.25">
      <c r="Z28194"/>
    </row>
    <row r="28195" spans="26:26" x14ac:dyDescent="0.25">
      <c r="Z28195"/>
    </row>
    <row r="28196" spans="26:26" x14ac:dyDescent="0.25">
      <c r="Z28196"/>
    </row>
    <row r="28197" spans="26:26" x14ac:dyDescent="0.25">
      <c r="Z28197"/>
    </row>
    <row r="28198" spans="26:26" x14ac:dyDescent="0.25">
      <c r="Z28198"/>
    </row>
    <row r="28199" spans="26:26" x14ac:dyDescent="0.25">
      <c r="Z28199"/>
    </row>
    <row r="28200" spans="26:26" x14ac:dyDescent="0.25">
      <c r="Z28200"/>
    </row>
    <row r="28201" spans="26:26" x14ac:dyDescent="0.25">
      <c r="Z28201"/>
    </row>
    <row r="28202" spans="26:26" x14ac:dyDescent="0.25">
      <c r="Z28202"/>
    </row>
    <row r="28203" spans="26:26" x14ac:dyDescent="0.25">
      <c r="Z28203"/>
    </row>
    <row r="28204" spans="26:26" x14ac:dyDescent="0.25">
      <c r="Z28204"/>
    </row>
    <row r="28205" spans="26:26" x14ac:dyDescent="0.25">
      <c r="Z28205"/>
    </row>
    <row r="28206" spans="26:26" x14ac:dyDescent="0.25">
      <c r="Z28206"/>
    </row>
    <row r="28207" spans="26:26" x14ac:dyDescent="0.25">
      <c r="Z28207"/>
    </row>
    <row r="28208" spans="26:26" x14ac:dyDescent="0.25">
      <c r="Z28208"/>
    </row>
    <row r="28209" spans="26:26" x14ac:dyDescent="0.25">
      <c r="Z28209"/>
    </row>
    <row r="28210" spans="26:26" x14ac:dyDescent="0.25">
      <c r="Z28210"/>
    </row>
    <row r="28211" spans="26:26" x14ac:dyDescent="0.25">
      <c r="Z28211"/>
    </row>
    <row r="28212" spans="26:26" x14ac:dyDescent="0.25">
      <c r="Z28212"/>
    </row>
    <row r="28213" spans="26:26" x14ac:dyDescent="0.25">
      <c r="Z28213"/>
    </row>
    <row r="28214" spans="26:26" x14ac:dyDescent="0.25">
      <c r="Z28214"/>
    </row>
    <row r="28215" spans="26:26" x14ac:dyDescent="0.25">
      <c r="Z28215"/>
    </row>
    <row r="28216" spans="26:26" x14ac:dyDescent="0.25">
      <c r="Z28216"/>
    </row>
    <row r="28217" spans="26:26" x14ac:dyDescent="0.25">
      <c r="Z28217"/>
    </row>
    <row r="28218" spans="26:26" x14ac:dyDescent="0.25">
      <c r="Z28218"/>
    </row>
    <row r="28219" spans="26:26" x14ac:dyDescent="0.25">
      <c r="Z28219"/>
    </row>
    <row r="28220" spans="26:26" x14ac:dyDescent="0.25">
      <c r="Z28220"/>
    </row>
    <row r="28221" spans="26:26" x14ac:dyDescent="0.25">
      <c r="Z28221"/>
    </row>
    <row r="28222" spans="26:26" x14ac:dyDescent="0.25">
      <c r="Z28222"/>
    </row>
    <row r="28223" spans="26:26" x14ac:dyDescent="0.25">
      <c r="Z28223"/>
    </row>
    <row r="28224" spans="26:26" x14ac:dyDescent="0.25">
      <c r="Z28224"/>
    </row>
    <row r="28225" spans="26:26" x14ac:dyDescent="0.25">
      <c r="Z28225"/>
    </row>
    <row r="28226" spans="26:26" x14ac:dyDescent="0.25">
      <c r="Z28226"/>
    </row>
    <row r="28227" spans="26:26" x14ac:dyDescent="0.25">
      <c r="Z28227"/>
    </row>
    <row r="28228" spans="26:26" x14ac:dyDescent="0.25">
      <c r="Z28228"/>
    </row>
    <row r="28229" spans="26:26" x14ac:dyDescent="0.25">
      <c r="Z28229"/>
    </row>
    <row r="28230" spans="26:26" x14ac:dyDescent="0.25">
      <c r="Z28230"/>
    </row>
    <row r="28231" spans="26:26" x14ac:dyDescent="0.25">
      <c r="Z28231"/>
    </row>
    <row r="28232" spans="26:26" x14ac:dyDescent="0.25">
      <c r="Z28232"/>
    </row>
    <row r="28233" spans="26:26" x14ac:dyDescent="0.25">
      <c r="Z28233"/>
    </row>
    <row r="28234" spans="26:26" x14ac:dyDescent="0.25">
      <c r="Z28234"/>
    </row>
    <row r="28235" spans="26:26" x14ac:dyDescent="0.25">
      <c r="Z28235"/>
    </row>
    <row r="28236" spans="26:26" x14ac:dyDescent="0.25">
      <c r="Z28236"/>
    </row>
    <row r="28237" spans="26:26" x14ac:dyDescent="0.25">
      <c r="Z28237"/>
    </row>
    <row r="28238" spans="26:26" x14ac:dyDescent="0.25">
      <c r="Z28238"/>
    </row>
    <row r="28239" spans="26:26" x14ac:dyDescent="0.25">
      <c r="Z28239"/>
    </row>
    <row r="28240" spans="26:26" x14ac:dyDescent="0.25">
      <c r="Z28240"/>
    </row>
    <row r="28241" spans="26:26" x14ac:dyDescent="0.25">
      <c r="Z28241"/>
    </row>
    <row r="28242" spans="26:26" x14ac:dyDescent="0.25">
      <c r="Z28242"/>
    </row>
    <row r="28243" spans="26:26" x14ac:dyDescent="0.25">
      <c r="Z28243"/>
    </row>
    <row r="28244" spans="26:26" x14ac:dyDescent="0.25">
      <c r="Z28244"/>
    </row>
    <row r="28245" spans="26:26" x14ac:dyDescent="0.25">
      <c r="Z28245"/>
    </row>
    <row r="28246" spans="26:26" x14ac:dyDescent="0.25">
      <c r="Z28246"/>
    </row>
    <row r="28247" spans="26:26" x14ac:dyDescent="0.25">
      <c r="Z28247"/>
    </row>
    <row r="28248" spans="26:26" x14ac:dyDescent="0.25">
      <c r="Z28248"/>
    </row>
    <row r="28249" spans="26:26" x14ac:dyDescent="0.25">
      <c r="Z28249"/>
    </row>
    <row r="28250" spans="26:26" x14ac:dyDescent="0.25">
      <c r="Z28250"/>
    </row>
    <row r="28251" spans="26:26" x14ac:dyDescent="0.25">
      <c r="Z28251"/>
    </row>
    <row r="28252" spans="26:26" x14ac:dyDescent="0.25">
      <c r="Z28252"/>
    </row>
    <row r="28253" spans="26:26" x14ac:dyDescent="0.25">
      <c r="Z28253"/>
    </row>
    <row r="28254" spans="26:26" x14ac:dyDescent="0.25">
      <c r="Z28254"/>
    </row>
    <row r="28255" spans="26:26" x14ac:dyDescent="0.25">
      <c r="Z28255"/>
    </row>
    <row r="28256" spans="26:26" x14ac:dyDescent="0.25">
      <c r="Z28256"/>
    </row>
    <row r="28257" spans="26:26" x14ac:dyDescent="0.25">
      <c r="Z28257"/>
    </row>
    <row r="28258" spans="26:26" x14ac:dyDescent="0.25">
      <c r="Z28258"/>
    </row>
    <row r="28259" spans="26:26" x14ac:dyDescent="0.25">
      <c r="Z28259"/>
    </row>
    <row r="28260" spans="26:26" x14ac:dyDescent="0.25">
      <c r="Z28260"/>
    </row>
    <row r="28261" spans="26:26" x14ac:dyDescent="0.25">
      <c r="Z28261"/>
    </row>
    <row r="28262" spans="26:26" x14ac:dyDescent="0.25">
      <c r="Z28262"/>
    </row>
    <row r="28263" spans="26:26" x14ac:dyDescent="0.25">
      <c r="Z28263"/>
    </row>
    <row r="28264" spans="26:26" x14ac:dyDescent="0.25">
      <c r="Z28264"/>
    </row>
    <row r="28265" spans="26:26" x14ac:dyDescent="0.25">
      <c r="Z28265"/>
    </row>
    <row r="28266" spans="26:26" x14ac:dyDescent="0.25">
      <c r="Z28266"/>
    </row>
    <row r="28267" spans="26:26" x14ac:dyDescent="0.25">
      <c r="Z28267"/>
    </row>
    <row r="28268" spans="26:26" x14ac:dyDescent="0.25">
      <c r="Z28268"/>
    </row>
    <row r="28269" spans="26:26" x14ac:dyDescent="0.25">
      <c r="Z28269"/>
    </row>
    <row r="28270" spans="26:26" x14ac:dyDescent="0.25">
      <c r="Z28270"/>
    </row>
    <row r="28271" spans="26:26" x14ac:dyDescent="0.25">
      <c r="Z28271"/>
    </row>
    <row r="28272" spans="26:26" x14ac:dyDescent="0.25">
      <c r="Z28272"/>
    </row>
    <row r="28273" spans="26:26" x14ac:dyDescent="0.25">
      <c r="Z28273"/>
    </row>
    <row r="28274" spans="26:26" x14ac:dyDescent="0.25">
      <c r="Z28274"/>
    </row>
    <row r="28275" spans="26:26" x14ac:dyDescent="0.25">
      <c r="Z28275"/>
    </row>
    <row r="28276" spans="26:26" x14ac:dyDescent="0.25">
      <c r="Z28276"/>
    </row>
    <row r="28277" spans="26:26" x14ac:dyDescent="0.25">
      <c r="Z28277"/>
    </row>
    <row r="28278" spans="26:26" x14ac:dyDescent="0.25">
      <c r="Z28278"/>
    </row>
    <row r="28279" spans="26:26" x14ac:dyDescent="0.25">
      <c r="Z28279"/>
    </row>
    <row r="28280" spans="26:26" x14ac:dyDescent="0.25">
      <c r="Z28280"/>
    </row>
    <row r="28281" spans="26:26" x14ac:dyDescent="0.25">
      <c r="Z28281"/>
    </row>
    <row r="28282" spans="26:26" x14ac:dyDescent="0.25">
      <c r="Z28282"/>
    </row>
    <row r="28283" spans="26:26" x14ac:dyDescent="0.25">
      <c r="Z28283"/>
    </row>
    <row r="28284" spans="26:26" x14ac:dyDescent="0.25">
      <c r="Z28284"/>
    </row>
    <row r="28285" spans="26:26" x14ac:dyDescent="0.25">
      <c r="Z28285"/>
    </row>
    <row r="28286" spans="26:26" x14ac:dyDescent="0.25">
      <c r="Z28286"/>
    </row>
    <row r="28287" spans="26:26" x14ac:dyDescent="0.25">
      <c r="Z28287"/>
    </row>
    <row r="28288" spans="26:26" x14ac:dyDescent="0.25">
      <c r="Z28288"/>
    </row>
    <row r="28289" spans="26:26" x14ac:dyDescent="0.25">
      <c r="Z28289"/>
    </row>
    <row r="28290" spans="26:26" x14ac:dyDescent="0.25">
      <c r="Z28290"/>
    </row>
    <row r="28291" spans="26:26" x14ac:dyDescent="0.25">
      <c r="Z28291"/>
    </row>
    <row r="28292" spans="26:26" x14ac:dyDescent="0.25">
      <c r="Z28292"/>
    </row>
    <row r="28293" spans="26:26" x14ac:dyDescent="0.25">
      <c r="Z28293"/>
    </row>
    <row r="28294" spans="26:26" x14ac:dyDescent="0.25">
      <c r="Z28294"/>
    </row>
    <row r="28295" spans="26:26" x14ac:dyDescent="0.25">
      <c r="Z28295"/>
    </row>
    <row r="28296" spans="26:26" x14ac:dyDescent="0.25">
      <c r="Z28296"/>
    </row>
    <row r="28297" spans="26:26" x14ac:dyDescent="0.25">
      <c r="Z28297"/>
    </row>
    <row r="28298" spans="26:26" x14ac:dyDescent="0.25">
      <c r="Z28298"/>
    </row>
    <row r="28299" spans="26:26" x14ac:dyDescent="0.25">
      <c r="Z28299"/>
    </row>
    <row r="28300" spans="26:26" x14ac:dyDescent="0.25">
      <c r="Z28300"/>
    </row>
    <row r="28301" spans="26:26" x14ac:dyDescent="0.25">
      <c r="Z28301"/>
    </row>
    <row r="28302" spans="26:26" x14ac:dyDescent="0.25">
      <c r="Z28302"/>
    </row>
    <row r="28303" spans="26:26" x14ac:dyDescent="0.25">
      <c r="Z28303"/>
    </row>
    <row r="28304" spans="26:26" x14ac:dyDescent="0.25">
      <c r="Z28304"/>
    </row>
    <row r="28305" spans="26:26" x14ac:dyDescent="0.25">
      <c r="Z28305"/>
    </row>
    <row r="28306" spans="26:26" x14ac:dyDescent="0.25">
      <c r="Z28306"/>
    </row>
    <row r="28307" spans="26:26" x14ac:dyDescent="0.25">
      <c r="Z28307"/>
    </row>
    <row r="28308" spans="26:26" x14ac:dyDescent="0.25">
      <c r="Z28308"/>
    </row>
    <row r="28309" spans="26:26" x14ac:dyDescent="0.25">
      <c r="Z28309"/>
    </row>
    <row r="28310" spans="26:26" x14ac:dyDescent="0.25">
      <c r="Z28310"/>
    </row>
    <row r="28311" spans="26:26" x14ac:dyDescent="0.25">
      <c r="Z28311"/>
    </row>
    <row r="28312" spans="26:26" x14ac:dyDescent="0.25">
      <c r="Z28312"/>
    </row>
    <row r="28313" spans="26:26" x14ac:dyDescent="0.25">
      <c r="Z28313"/>
    </row>
    <row r="28314" spans="26:26" x14ac:dyDescent="0.25">
      <c r="Z28314"/>
    </row>
    <row r="28315" spans="26:26" x14ac:dyDescent="0.25">
      <c r="Z28315"/>
    </row>
    <row r="28316" spans="26:26" x14ac:dyDescent="0.25">
      <c r="Z28316"/>
    </row>
    <row r="28317" spans="26:26" x14ac:dyDescent="0.25">
      <c r="Z28317"/>
    </row>
    <row r="28318" spans="26:26" x14ac:dyDescent="0.25">
      <c r="Z28318"/>
    </row>
    <row r="28319" spans="26:26" x14ac:dyDescent="0.25">
      <c r="Z28319"/>
    </row>
    <row r="28320" spans="26:26" x14ac:dyDescent="0.25">
      <c r="Z28320"/>
    </row>
    <row r="28321" spans="26:26" x14ac:dyDescent="0.25">
      <c r="Z28321"/>
    </row>
    <row r="28322" spans="26:26" x14ac:dyDescent="0.25">
      <c r="Z28322"/>
    </row>
    <row r="28323" spans="26:26" x14ac:dyDescent="0.25">
      <c r="Z28323"/>
    </row>
    <row r="28324" spans="26:26" x14ac:dyDescent="0.25">
      <c r="Z28324"/>
    </row>
    <row r="28325" spans="26:26" x14ac:dyDescent="0.25">
      <c r="Z28325"/>
    </row>
    <row r="28326" spans="26:26" x14ac:dyDescent="0.25">
      <c r="Z28326"/>
    </row>
    <row r="28327" spans="26:26" x14ac:dyDescent="0.25">
      <c r="Z28327"/>
    </row>
    <row r="28328" spans="26:26" x14ac:dyDescent="0.25">
      <c r="Z28328"/>
    </row>
    <row r="28329" spans="26:26" x14ac:dyDescent="0.25">
      <c r="Z28329"/>
    </row>
    <row r="28330" spans="26:26" x14ac:dyDescent="0.25">
      <c r="Z28330"/>
    </row>
    <row r="28331" spans="26:26" x14ac:dyDescent="0.25">
      <c r="Z28331"/>
    </row>
    <row r="28332" spans="26:26" x14ac:dyDescent="0.25">
      <c r="Z28332"/>
    </row>
    <row r="28333" spans="26:26" x14ac:dyDescent="0.25">
      <c r="Z28333"/>
    </row>
    <row r="28334" spans="26:26" x14ac:dyDescent="0.25">
      <c r="Z28334"/>
    </row>
    <row r="28335" spans="26:26" x14ac:dyDescent="0.25">
      <c r="Z28335"/>
    </row>
    <row r="28336" spans="26:26" x14ac:dyDescent="0.25">
      <c r="Z28336"/>
    </row>
    <row r="28337" spans="26:26" x14ac:dyDescent="0.25">
      <c r="Z28337"/>
    </row>
    <row r="28338" spans="26:26" x14ac:dyDescent="0.25">
      <c r="Z28338"/>
    </row>
    <row r="28339" spans="26:26" x14ac:dyDescent="0.25">
      <c r="Z28339"/>
    </row>
    <row r="28340" spans="26:26" x14ac:dyDescent="0.25">
      <c r="Z28340"/>
    </row>
    <row r="28341" spans="26:26" x14ac:dyDescent="0.25">
      <c r="Z28341"/>
    </row>
    <row r="28342" spans="26:26" x14ac:dyDescent="0.25">
      <c r="Z28342"/>
    </row>
    <row r="28343" spans="26:26" x14ac:dyDescent="0.25">
      <c r="Z28343"/>
    </row>
    <row r="28344" spans="26:26" x14ac:dyDescent="0.25">
      <c r="Z28344"/>
    </row>
    <row r="28345" spans="26:26" x14ac:dyDescent="0.25">
      <c r="Z28345"/>
    </row>
    <row r="28346" spans="26:26" x14ac:dyDescent="0.25">
      <c r="Z28346"/>
    </row>
    <row r="28347" spans="26:26" x14ac:dyDescent="0.25">
      <c r="Z28347"/>
    </row>
    <row r="28348" spans="26:26" x14ac:dyDescent="0.25">
      <c r="Z28348"/>
    </row>
    <row r="28349" spans="26:26" x14ac:dyDescent="0.25">
      <c r="Z28349"/>
    </row>
    <row r="28350" spans="26:26" x14ac:dyDescent="0.25">
      <c r="Z28350"/>
    </row>
    <row r="28351" spans="26:26" x14ac:dyDescent="0.25">
      <c r="Z28351"/>
    </row>
    <row r="28352" spans="26:26" x14ac:dyDescent="0.25">
      <c r="Z28352"/>
    </row>
    <row r="28353" spans="26:26" x14ac:dyDescent="0.25">
      <c r="Z28353"/>
    </row>
    <row r="28354" spans="26:26" x14ac:dyDescent="0.25">
      <c r="Z28354"/>
    </row>
    <row r="28355" spans="26:26" x14ac:dyDescent="0.25">
      <c r="Z28355"/>
    </row>
    <row r="28356" spans="26:26" x14ac:dyDescent="0.25">
      <c r="Z28356"/>
    </row>
    <row r="28357" spans="26:26" x14ac:dyDescent="0.25">
      <c r="Z28357"/>
    </row>
    <row r="28358" spans="26:26" x14ac:dyDescent="0.25">
      <c r="Z28358"/>
    </row>
    <row r="28359" spans="26:26" x14ac:dyDescent="0.25">
      <c r="Z28359"/>
    </row>
    <row r="28360" spans="26:26" x14ac:dyDescent="0.25">
      <c r="Z28360"/>
    </row>
    <row r="28361" spans="26:26" x14ac:dyDescent="0.25">
      <c r="Z28361"/>
    </row>
    <row r="28362" spans="26:26" x14ac:dyDescent="0.25">
      <c r="Z28362"/>
    </row>
    <row r="28363" spans="26:26" x14ac:dyDescent="0.25">
      <c r="Z28363"/>
    </row>
    <row r="28364" spans="26:26" x14ac:dyDescent="0.25">
      <c r="Z28364"/>
    </row>
    <row r="28365" spans="26:26" x14ac:dyDescent="0.25">
      <c r="Z28365"/>
    </row>
    <row r="28366" spans="26:26" x14ac:dyDescent="0.25">
      <c r="Z28366"/>
    </row>
    <row r="28367" spans="26:26" x14ac:dyDescent="0.25">
      <c r="Z28367"/>
    </row>
    <row r="28368" spans="26:26" x14ac:dyDescent="0.25">
      <c r="Z28368"/>
    </row>
    <row r="28369" spans="26:26" x14ac:dyDescent="0.25">
      <c r="Z28369"/>
    </row>
    <row r="28370" spans="26:26" x14ac:dyDescent="0.25">
      <c r="Z28370"/>
    </row>
    <row r="28371" spans="26:26" x14ac:dyDescent="0.25">
      <c r="Z28371"/>
    </row>
    <row r="28372" spans="26:26" x14ac:dyDescent="0.25">
      <c r="Z28372"/>
    </row>
    <row r="28373" spans="26:26" x14ac:dyDescent="0.25">
      <c r="Z28373"/>
    </row>
    <row r="28374" spans="26:26" x14ac:dyDescent="0.25">
      <c r="Z28374"/>
    </row>
    <row r="28375" spans="26:26" x14ac:dyDescent="0.25">
      <c r="Z28375"/>
    </row>
    <row r="28376" spans="26:26" x14ac:dyDescent="0.25">
      <c r="Z28376"/>
    </row>
    <row r="28377" spans="26:26" x14ac:dyDescent="0.25">
      <c r="Z28377"/>
    </row>
    <row r="28378" spans="26:26" x14ac:dyDescent="0.25">
      <c r="Z28378"/>
    </row>
    <row r="28379" spans="26:26" x14ac:dyDescent="0.25">
      <c r="Z28379"/>
    </row>
    <row r="28380" spans="26:26" x14ac:dyDescent="0.25">
      <c r="Z28380"/>
    </row>
    <row r="28381" spans="26:26" x14ac:dyDescent="0.25">
      <c r="Z28381"/>
    </row>
    <row r="28382" spans="26:26" x14ac:dyDescent="0.25">
      <c r="Z28382"/>
    </row>
    <row r="28383" spans="26:26" x14ac:dyDescent="0.25">
      <c r="Z28383"/>
    </row>
    <row r="28384" spans="26:26" x14ac:dyDescent="0.25">
      <c r="Z28384"/>
    </row>
    <row r="28385" spans="26:26" x14ac:dyDescent="0.25">
      <c r="Z28385"/>
    </row>
    <row r="28386" spans="26:26" x14ac:dyDescent="0.25">
      <c r="Z28386"/>
    </row>
    <row r="28387" spans="26:26" x14ac:dyDescent="0.25">
      <c r="Z28387"/>
    </row>
    <row r="28388" spans="26:26" x14ac:dyDescent="0.25">
      <c r="Z28388"/>
    </row>
    <row r="28389" spans="26:26" x14ac:dyDescent="0.25">
      <c r="Z28389"/>
    </row>
    <row r="28390" spans="26:26" x14ac:dyDescent="0.25">
      <c r="Z28390"/>
    </row>
    <row r="28391" spans="26:26" x14ac:dyDescent="0.25">
      <c r="Z28391"/>
    </row>
    <row r="28392" spans="26:26" x14ac:dyDescent="0.25">
      <c r="Z28392"/>
    </row>
    <row r="28393" spans="26:26" x14ac:dyDescent="0.25">
      <c r="Z28393"/>
    </row>
    <row r="28394" spans="26:26" x14ac:dyDescent="0.25">
      <c r="Z28394"/>
    </row>
    <row r="28395" spans="26:26" x14ac:dyDescent="0.25">
      <c r="Z28395"/>
    </row>
    <row r="28396" spans="26:26" x14ac:dyDescent="0.25">
      <c r="Z28396"/>
    </row>
    <row r="28397" spans="26:26" x14ac:dyDescent="0.25">
      <c r="Z28397"/>
    </row>
    <row r="28398" spans="26:26" x14ac:dyDescent="0.25">
      <c r="Z28398"/>
    </row>
    <row r="28399" spans="26:26" x14ac:dyDescent="0.25">
      <c r="Z28399"/>
    </row>
    <row r="28400" spans="26:26" x14ac:dyDescent="0.25">
      <c r="Z28400"/>
    </row>
    <row r="28401" spans="26:26" x14ac:dyDescent="0.25">
      <c r="Z28401"/>
    </row>
    <row r="28402" spans="26:26" x14ac:dyDescent="0.25">
      <c r="Z28402"/>
    </row>
    <row r="28403" spans="26:26" x14ac:dyDescent="0.25">
      <c r="Z28403"/>
    </row>
    <row r="28404" spans="26:26" x14ac:dyDescent="0.25">
      <c r="Z28404"/>
    </row>
    <row r="28405" spans="26:26" x14ac:dyDescent="0.25">
      <c r="Z28405"/>
    </row>
    <row r="28406" spans="26:26" x14ac:dyDescent="0.25">
      <c r="Z28406"/>
    </row>
    <row r="28407" spans="26:26" x14ac:dyDescent="0.25">
      <c r="Z28407"/>
    </row>
    <row r="28408" spans="26:26" x14ac:dyDescent="0.25">
      <c r="Z28408"/>
    </row>
    <row r="28409" spans="26:26" x14ac:dyDescent="0.25">
      <c r="Z28409"/>
    </row>
    <row r="28410" spans="26:26" x14ac:dyDescent="0.25">
      <c r="Z28410"/>
    </row>
    <row r="28411" spans="26:26" x14ac:dyDescent="0.25">
      <c r="Z28411"/>
    </row>
    <row r="28412" spans="26:26" x14ac:dyDescent="0.25">
      <c r="Z28412"/>
    </row>
    <row r="28413" spans="26:26" x14ac:dyDescent="0.25">
      <c r="Z28413"/>
    </row>
    <row r="28414" spans="26:26" x14ac:dyDescent="0.25">
      <c r="Z28414"/>
    </row>
    <row r="28415" spans="26:26" x14ac:dyDescent="0.25">
      <c r="Z28415"/>
    </row>
    <row r="28416" spans="26:26" x14ac:dyDescent="0.25">
      <c r="Z28416"/>
    </row>
    <row r="28417" spans="26:26" x14ac:dyDescent="0.25">
      <c r="Z28417"/>
    </row>
    <row r="28418" spans="26:26" x14ac:dyDescent="0.25">
      <c r="Z28418"/>
    </row>
    <row r="28419" spans="26:26" x14ac:dyDescent="0.25">
      <c r="Z28419"/>
    </row>
    <row r="28420" spans="26:26" x14ac:dyDescent="0.25">
      <c r="Z28420"/>
    </row>
    <row r="28421" spans="26:26" x14ac:dyDescent="0.25">
      <c r="Z28421"/>
    </row>
    <row r="28422" spans="26:26" x14ac:dyDescent="0.25">
      <c r="Z28422"/>
    </row>
    <row r="28423" spans="26:26" x14ac:dyDescent="0.25">
      <c r="Z28423"/>
    </row>
    <row r="28424" spans="26:26" x14ac:dyDescent="0.25">
      <c r="Z28424"/>
    </row>
    <row r="28425" spans="26:26" x14ac:dyDescent="0.25">
      <c r="Z28425"/>
    </row>
    <row r="28426" spans="26:26" x14ac:dyDescent="0.25">
      <c r="Z28426"/>
    </row>
    <row r="28427" spans="26:26" x14ac:dyDescent="0.25">
      <c r="Z28427"/>
    </row>
    <row r="28428" spans="26:26" x14ac:dyDescent="0.25">
      <c r="Z28428"/>
    </row>
    <row r="28429" spans="26:26" x14ac:dyDescent="0.25">
      <c r="Z28429"/>
    </row>
    <row r="28430" spans="26:26" x14ac:dyDescent="0.25">
      <c r="Z28430"/>
    </row>
    <row r="28431" spans="26:26" x14ac:dyDescent="0.25">
      <c r="Z28431"/>
    </row>
    <row r="28432" spans="26:26" x14ac:dyDescent="0.25">
      <c r="Z28432"/>
    </row>
    <row r="28433" spans="26:26" x14ac:dyDescent="0.25">
      <c r="Z28433"/>
    </row>
    <row r="28434" spans="26:26" x14ac:dyDescent="0.25">
      <c r="Z28434"/>
    </row>
    <row r="28435" spans="26:26" x14ac:dyDescent="0.25">
      <c r="Z28435"/>
    </row>
    <row r="28436" spans="26:26" x14ac:dyDescent="0.25">
      <c r="Z28436"/>
    </row>
    <row r="28437" spans="26:26" x14ac:dyDescent="0.25">
      <c r="Z28437"/>
    </row>
    <row r="28438" spans="26:26" x14ac:dyDescent="0.25">
      <c r="Z28438"/>
    </row>
    <row r="28439" spans="26:26" x14ac:dyDescent="0.25">
      <c r="Z28439"/>
    </row>
    <row r="28440" spans="26:26" x14ac:dyDescent="0.25">
      <c r="Z28440"/>
    </row>
    <row r="28441" spans="26:26" x14ac:dyDescent="0.25">
      <c r="Z28441"/>
    </row>
    <row r="28442" spans="26:26" x14ac:dyDescent="0.25">
      <c r="Z28442"/>
    </row>
    <row r="28443" spans="26:26" x14ac:dyDescent="0.25">
      <c r="Z28443"/>
    </row>
    <row r="28444" spans="26:26" x14ac:dyDescent="0.25">
      <c r="Z28444"/>
    </row>
    <row r="28445" spans="26:26" x14ac:dyDescent="0.25">
      <c r="Z28445"/>
    </row>
    <row r="28446" spans="26:26" x14ac:dyDescent="0.25">
      <c r="Z28446"/>
    </row>
    <row r="28447" spans="26:26" x14ac:dyDescent="0.25">
      <c r="Z28447"/>
    </row>
    <row r="28448" spans="26:26" x14ac:dyDescent="0.25">
      <c r="Z28448"/>
    </row>
    <row r="28449" spans="26:26" x14ac:dyDescent="0.25">
      <c r="Z28449"/>
    </row>
    <row r="28450" spans="26:26" x14ac:dyDescent="0.25">
      <c r="Z28450"/>
    </row>
    <row r="28451" spans="26:26" x14ac:dyDescent="0.25">
      <c r="Z28451"/>
    </row>
    <row r="28452" spans="26:26" x14ac:dyDescent="0.25">
      <c r="Z28452"/>
    </row>
    <row r="28453" spans="26:26" x14ac:dyDescent="0.25">
      <c r="Z28453"/>
    </row>
    <row r="28454" spans="26:26" x14ac:dyDescent="0.25">
      <c r="Z28454"/>
    </row>
    <row r="28455" spans="26:26" x14ac:dyDescent="0.25">
      <c r="Z28455"/>
    </row>
    <row r="28456" spans="26:26" x14ac:dyDescent="0.25">
      <c r="Z28456"/>
    </row>
    <row r="28457" spans="26:26" x14ac:dyDescent="0.25">
      <c r="Z28457"/>
    </row>
    <row r="28458" spans="26:26" x14ac:dyDescent="0.25">
      <c r="Z28458"/>
    </row>
    <row r="28459" spans="26:26" x14ac:dyDescent="0.25">
      <c r="Z28459"/>
    </row>
    <row r="28460" spans="26:26" x14ac:dyDescent="0.25">
      <c r="Z28460"/>
    </row>
    <row r="28461" spans="26:26" x14ac:dyDescent="0.25">
      <c r="Z28461"/>
    </row>
    <row r="28462" spans="26:26" x14ac:dyDescent="0.25">
      <c r="Z28462"/>
    </row>
    <row r="28463" spans="26:26" x14ac:dyDescent="0.25">
      <c r="Z28463"/>
    </row>
    <row r="28464" spans="26:26" x14ac:dyDescent="0.25">
      <c r="Z28464"/>
    </row>
    <row r="28465" spans="26:26" x14ac:dyDescent="0.25">
      <c r="Z28465"/>
    </row>
    <row r="28466" spans="26:26" x14ac:dyDescent="0.25">
      <c r="Z28466"/>
    </row>
    <row r="28467" spans="26:26" x14ac:dyDescent="0.25">
      <c r="Z28467"/>
    </row>
    <row r="28468" spans="26:26" x14ac:dyDescent="0.25">
      <c r="Z28468"/>
    </row>
    <row r="28469" spans="26:26" x14ac:dyDescent="0.25">
      <c r="Z28469"/>
    </row>
    <row r="28470" spans="26:26" x14ac:dyDescent="0.25">
      <c r="Z28470"/>
    </row>
    <row r="28471" spans="26:26" x14ac:dyDescent="0.25">
      <c r="Z28471"/>
    </row>
    <row r="28472" spans="26:26" x14ac:dyDescent="0.25">
      <c r="Z28472"/>
    </row>
    <row r="28473" spans="26:26" x14ac:dyDescent="0.25">
      <c r="Z28473"/>
    </row>
    <row r="28474" spans="26:26" x14ac:dyDescent="0.25">
      <c r="Z28474"/>
    </row>
    <row r="28475" spans="26:26" x14ac:dyDescent="0.25">
      <c r="Z28475"/>
    </row>
    <row r="28476" spans="26:26" x14ac:dyDescent="0.25">
      <c r="Z28476"/>
    </row>
    <row r="28477" spans="26:26" x14ac:dyDescent="0.25">
      <c r="Z28477"/>
    </row>
    <row r="28478" spans="26:26" x14ac:dyDescent="0.25">
      <c r="Z28478"/>
    </row>
    <row r="28479" spans="26:26" x14ac:dyDescent="0.25">
      <c r="Z28479"/>
    </row>
    <row r="28480" spans="26:26" x14ac:dyDescent="0.25">
      <c r="Z28480"/>
    </row>
    <row r="28481" spans="26:26" x14ac:dyDescent="0.25">
      <c r="Z28481"/>
    </row>
    <row r="28482" spans="26:26" x14ac:dyDescent="0.25">
      <c r="Z28482"/>
    </row>
    <row r="28483" spans="26:26" x14ac:dyDescent="0.25">
      <c r="Z28483"/>
    </row>
    <row r="28484" spans="26:26" x14ac:dyDescent="0.25">
      <c r="Z28484"/>
    </row>
    <row r="28485" spans="26:26" x14ac:dyDescent="0.25">
      <c r="Z28485"/>
    </row>
    <row r="28486" spans="26:26" x14ac:dyDescent="0.25">
      <c r="Z28486"/>
    </row>
    <row r="28487" spans="26:26" x14ac:dyDescent="0.25">
      <c r="Z28487"/>
    </row>
    <row r="28488" spans="26:26" x14ac:dyDescent="0.25">
      <c r="Z28488"/>
    </row>
    <row r="28489" spans="26:26" x14ac:dyDescent="0.25">
      <c r="Z28489"/>
    </row>
    <row r="28490" spans="26:26" x14ac:dyDescent="0.25">
      <c r="Z28490"/>
    </row>
    <row r="28491" spans="26:26" x14ac:dyDescent="0.25">
      <c r="Z28491"/>
    </row>
    <row r="28492" spans="26:26" x14ac:dyDescent="0.25">
      <c r="Z28492"/>
    </row>
    <row r="28493" spans="26:26" x14ac:dyDescent="0.25">
      <c r="Z28493"/>
    </row>
    <row r="28494" spans="26:26" x14ac:dyDescent="0.25">
      <c r="Z28494"/>
    </row>
    <row r="28495" spans="26:26" x14ac:dyDescent="0.25">
      <c r="Z28495"/>
    </row>
    <row r="28496" spans="26:26" x14ac:dyDescent="0.25">
      <c r="Z28496"/>
    </row>
    <row r="28497" spans="26:26" x14ac:dyDescent="0.25">
      <c r="Z28497"/>
    </row>
    <row r="28498" spans="26:26" x14ac:dyDescent="0.25">
      <c r="Z28498"/>
    </row>
    <row r="28499" spans="26:26" x14ac:dyDescent="0.25">
      <c r="Z28499"/>
    </row>
    <row r="28500" spans="26:26" x14ac:dyDescent="0.25">
      <c r="Z28500"/>
    </row>
    <row r="28501" spans="26:26" x14ac:dyDescent="0.25">
      <c r="Z28501"/>
    </row>
    <row r="28502" spans="26:26" x14ac:dyDescent="0.25">
      <c r="Z28502"/>
    </row>
    <row r="28503" spans="26:26" x14ac:dyDescent="0.25">
      <c r="Z28503"/>
    </row>
    <row r="28504" spans="26:26" x14ac:dyDescent="0.25">
      <c r="Z28504"/>
    </row>
    <row r="28505" spans="26:26" x14ac:dyDescent="0.25">
      <c r="Z28505"/>
    </row>
    <row r="28506" spans="26:26" x14ac:dyDescent="0.25">
      <c r="Z28506"/>
    </row>
    <row r="28507" spans="26:26" x14ac:dyDescent="0.25">
      <c r="Z28507"/>
    </row>
    <row r="28508" spans="26:26" x14ac:dyDescent="0.25">
      <c r="Z28508"/>
    </row>
    <row r="28509" spans="26:26" x14ac:dyDescent="0.25">
      <c r="Z28509"/>
    </row>
    <row r="28510" spans="26:26" x14ac:dyDescent="0.25">
      <c r="Z28510"/>
    </row>
    <row r="28511" spans="26:26" x14ac:dyDescent="0.25">
      <c r="Z28511"/>
    </row>
    <row r="28512" spans="26:26" x14ac:dyDescent="0.25">
      <c r="Z28512"/>
    </row>
    <row r="28513" spans="26:26" x14ac:dyDescent="0.25">
      <c r="Z28513"/>
    </row>
    <row r="28514" spans="26:26" x14ac:dyDescent="0.25">
      <c r="Z28514"/>
    </row>
    <row r="28515" spans="26:26" x14ac:dyDescent="0.25">
      <c r="Z28515"/>
    </row>
    <row r="28516" spans="26:26" x14ac:dyDescent="0.25">
      <c r="Z28516"/>
    </row>
    <row r="28517" spans="26:26" x14ac:dyDescent="0.25">
      <c r="Z28517"/>
    </row>
    <row r="28518" spans="26:26" x14ac:dyDescent="0.25">
      <c r="Z28518"/>
    </row>
    <row r="28519" spans="26:26" x14ac:dyDescent="0.25">
      <c r="Z28519"/>
    </row>
    <row r="28520" spans="26:26" x14ac:dyDescent="0.25">
      <c r="Z28520"/>
    </row>
    <row r="28521" spans="26:26" x14ac:dyDescent="0.25">
      <c r="Z28521"/>
    </row>
    <row r="28522" spans="26:26" x14ac:dyDescent="0.25">
      <c r="Z28522"/>
    </row>
    <row r="28523" spans="26:26" x14ac:dyDescent="0.25">
      <c r="Z28523"/>
    </row>
    <row r="28524" spans="26:26" x14ac:dyDescent="0.25">
      <c r="Z28524"/>
    </row>
    <row r="28525" spans="26:26" x14ac:dyDescent="0.25">
      <c r="Z28525"/>
    </row>
    <row r="28526" spans="26:26" x14ac:dyDescent="0.25">
      <c r="Z28526"/>
    </row>
    <row r="28527" spans="26:26" x14ac:dyDescent="0.25">
      <c r="Z28527"/>
    </row>
    <row r="28528" spans="26:26" x14ac:dyDescent="0.25">
      <c r="Z28528"/>
    </row>
    <row r="28529" spans="26:26" x14ac:dyDescent="0.25">
      <c r="Z28529"/>
    </row>
    <row r="28530" spans="26:26" x14ac:dyDescent="0.25">
      <c r="Z28530"/>
    </row>
    <row r="28531" spans="26:26" x14ac:dyDescent="0.25">
      <c r="Z28531"/>
    </row>
    <row r="28532" spans="26:26" x14ac:dyDescent="0.25">
      <c r="Z28532"/>
    </row>
    <row r="28533" spans="26:26" x14ac:dyDescent="0.25">
      <c r="Z28533"/>
    </row>
    <row r="28534" spans="26:26" x14ac:dyDescent="0.25">
      <c r="Z28534"/>
    </row>
    <row r="28535" spans="26:26" x14ac:dyDescent="0.25">
      <c r="Z28535"/>
    </row>
    <row r="28536" spans="26:26" x14ac:dyDescent="0.25">
      <c r="Z28536"/>
    </row>
    <row r="28537" spans="26:26" x14ac:dyDescent="0.25">
      <c r="Z28537"/>
    </row>
    <row r="28538" spans="26:26" x14ac:dyDescent="0.25">
      <c r="Z28538"/>
    </row>
    <row r="28539" spans="26:26" x14ac:dyDescent="0.25">
      <c r="Z28539"/>
    </row>
    <row r="28540" spans="26:26" x14ac:dyDescent="0.25">
      <c r="Z28540"/>
    </row>
    <row r="28541" spans="26:26" x14ac:dyDescent="0.25">
      <c r="Z28541"/>
    </row>
    <row r="28542" spans="26:26" x14ac:dyDescent="0.25">
      <c r="Z28542"/>
    </row>
    <row r="28543" spans="26:26" x14ac:dyDescent="0.25">
      <c r="Z28543"/>
    </row>
    <row r="28544" spans="26:26" x14ac:dyDescent="0.25">
      <c r="Z28544"/>
    </row>
    <row r="28545" spans="26:26" x14ac:dyDescent="0.25">
      <c r="Z28545"/>
    </row>
    <row r="28546" spans="26:26" x14ac:dyDescent="0.25">
      <c r="Z28546"/>
    </row>
    <row r="28547" spans="26:26" x14ac:dyDescent="0.25">
      <c r="Z28547"/>
    </row>
    <row r="28548" spans="26:26" x14ac:dyDescent="0.25">
      <c r="Z28548"/>
    </row>
    <row r="28549" spans="26:26" x14ac:dyDescent="0.25">
      <c r="Z28549"/>
    </row>
    <row r="28550" spans="26:26" x14ac:dyDescent="0.25">
      <c r="Z28550"/>
    </row>
    <row r="28551" spans="26:26" x14ac:dyDescent="0.25">
      <c r="Z28551"/>
    </row>
    <row r="28552" spans="26:26" x14ac:dyDescent="0.25">
      <c r="Z28552"/>
    </row>
    <row r="28553" spans="26:26" x14ac:dyDescent="0.25">
      <c r="Z28553"/>
    </row>
    <row r="28554" spans="26:26" x14ac:dyDescent="0.25">
      <c r="Z28554"/>
    </row>
    <row r="28555" spans="26:26" x14ac:dyDescent="0.25">
      <c r="Z28555"/>
    </row>
    <row r="28556" spans="26:26" x14ac:dyDescent="0.25">
      <c r="Z28556"/>
    </row>
    <row r="28557" spans="26:26" x14ac:dyDescent="0.25">
      <c r="Z28557"/>
    </row>
    <row r="28558" spans="26:26" x14ac:dyDescent="0.25">
      <c r="Z28558"/>
    </row>
    <row r="28559" spans="26:26" x14ac:dyDescent="0.25">
      <c r="Z28559"/>
    </row>
    <row r="28560" spans="26:26" x14ac:dyDescent="0.25">
      <c r="Z28560"/>
    </row>
    <row r="28561" spans="26:26" x14ac:dyDescent="0.25">
      <c r="Z28561"/>
    </row>
    <row r="28562" spans="26:26" x14ac:dyDescent="0.25">
      <c r="Z28562"/>
    </row>
    <row r="28563" spans="26:26" x14ac:dyDescent="0.25">
      <c r="Z28563"/>
    </row>
    <row r="28564" spans="26:26" x14ac:dyDescent="0.25">
      <c r="Z28564"/>
    </row>
    <row r="28565" spans="26:26" x14ac:dyDescent="0.25">
      <c r="Z28565"/>
    </row>
    <row r="28566" spans="26:26" x14ac:dyDescent="0.25">
      <c r="Z28566"/>
    </row>
    <row r="28567" spans="26:26" x14ac:dyDescent="0.25">
      <c r="Z28567"/>
    </row>
    <row r="28568" spans="26:26" x14ac:dyDescent="0.25">
      <c r="Z28568"/>
    </row>
    <row r="28569" spans="26:26" x14ac:dyDescent="0.25">
      <c r="Z28569"/>
    </row>
    <row r="28570" spans="26:26" x14ac:dyDescent="0.25">
      <c r="Z28570"/>
    </row>
    <row r="28571" spans="26:26" x14ac:dyDescent="0.25">
      <c r="Z28571"/>
    </row>
    <row r="28572" spans="26:26" x14ac:dyDescent="0.25">
      <c r="Z28572"/>
    </row>
    <row r="28573" spans="26:26" x14ac:dyDescent="0.25">
      <c r="Z28573"/>
    </row>
    <row r="28574" spans="26:26" x14ac:dyDescent="0.25">
      <c r="Z28574"/>
    </row>
    <row r="28575" spans="26:26" x14ac:dyDescent="0.25">
      <c r="Z28575"/>
    </row>
    <row r="28576" spans="26:26" x14ac:dyDescent="0.25">
      <c r="Z28576"/>
    </row>
    <row r="28577" spans="26:26" x14ac:dyDescent="0.25">
      <c r="Z28577"/>
    </row>
    <row r="28578" spans="26:26" x14ac:dyDescent="0.25">
      <c r="Z28578"/>
    </row>
    <row r="28579" spans="26:26" x14ac:dyDescent="0.25">
      <c r="Z28579"/>
    </row>
    <row r="28580" spans="26:26" x14ac:dyDescent="0.25">
      <c r="Z28580"/>
    </row>
    <row r="28581" spans="26:26" x14ac:dyDescent="0.25">
      <c r="Z28581"/>
    </row>
    <row r="28582" spans="26:26" x14ac:dyDescent="0.25">
      <c r="Z28582"/>
    </row>
    <row r="28583" spans="26:26" x14ac:dyDescent="0.25">
      <c r="Z28583"/>
    </row>
    <row r="28584" spans="26:26" x14ac:dyDescent="0.25">
      <c r="Z28584"/>
    </row>
    <row r="28585" spans="26:26" x14ac:dyDescent="0.25">
      <c r="Z28585"/>
    </row>
    <row r="28586" spans="26:26" x14ac:dyDescent="0.25">
      <c r="Z28586"/>
    </row>
    <row r="28587" spans="26:26" x14ac:dyDescent="0.25">
      <c r="Z28587"/>
    </row>
    <row r="28588" spans="26:26" x14ac:dyDescent="0.25">
      <c r="Z28588"/>
    </row>
    <row r="28589" spans="26:26" x14ac:dyDescent="0.25">
      <c r="Z28589"/>
    </row>
    <row r="28590" spans="26:26" x14ac:dyDescent="0.25">
      <c r="Z28590"/>
    </row>
    <row r="28591" spans="26:26" x14ac:dyDescent="0.25">
      <c r="Z28591"/>
    </row>
    <row r="28592" spans="26:26" x14ac:dyDescent="0.25">
      <c r="Z28592"/>
    </row>
    <row r="28593" spans="26:26" x14ac:dyDescent="0.25">
      <c r="Z28593"/>
    </row>
    <row r="28594" spans="26:26" x14ac:dyDescent="0.25">
      <c r="Z28594"/>
    </row>
    <row r="28595" spans="26:26" x14ac:dyDescent="0.25">
      <c r="Z28595"/>
    </row>
    <row r="28596" spans="26:26" x14ac:dyDescent="0.25">
      <c r="Z28596"/>
    </row>
    <row r="28597" spans="26:26" x14ac:dyDescent="0.25">
      <c r="Z28597"/>
    </row>
    <row r="28598" spans="26:26" x14ac:dyDescent="0.25">
      <c r="Z28598"/>
    </row>
    <row r="28599" spans="26:26" x14ac:dyDescent="0.25">
      <c r="Z28599"/>
    </row>
    <row r="28600" spans="26:26" x14ac:dyDescent="0.25">
      <c r="Z28600"/>
    </row>
    <row r="28601" spans="26:26" x14ac:dyDescent="0.25">
      <c r="Z28601"/>
    </row>
    <row r="28602" spans="26:26" x14ac:dyDescent="0.25">
      <c r="Z28602"/>
    </row>
    <row r="28603" spans="26:26" x14ac:dyDescent="0.25">
      <c r="Z28603"/>
    </row>
    <row r="28604" spans="26:26" x14ac:dyDescent="0.25">
      <c r="Z28604"/>
    </row>
    <row r="28605" spans="26:26" x14ac:dyDescent="0.25">
      <c r="Z28605"/>
    </row>
    <row r="28606" spans="26:26" x14ac:dyDescent="0.25">
      <c r="Z28606"/>
    </row>
    <row r="28607" spans="26:26" x14ac:dyDescent="0.25">
      <c r="Z28607"/>
    </row>
    <row r="28608" spans="26:26" x14ac:dyDescent="0.25">
      <c r="Z28608"/>
    </row>
    <row r="28609" spans="26:26" x14ac:dyDescent="0.25">
      <c r="Z28609"/>
    </row>
    <row r="28610" spans="26:26" x14ac:dyDescent="0.25">
      <c r="Z28610"/>
    </row>
    <row r="28611" spans="26:26" x14ac:dyDescent="0.25">
      <c r="Z28611"/>
    </row>
    <row r="28612" spans="26:26" x14ac:dyDescent="0.25">
      <c r="Z28612"/>
    </row>
    <row r="28613" spans="26:26" x14ac:dyDescent="0.25">
      <c r="Z28613"/>
    </row>
    <row r="28614" spans="26:26" x14ac:dyDescent="0.25">
      <c r="Z28614"/>
    </row>
    <row r="28615" spans="26:26" x14ac:dyDescent="0.25">
      <c r="Z28615"/>
    </row>
    <row r="28616" spans="26:26" x14ac:dyDescent="0.25">
      <c r="Z28616"/>
    </row>
    <row r="28617" spans="26:26" x14ac:dyDescent="0.25">
      <c r="Z28617"/>
    </row>
    <row r="28618" spans="26:26" x14ac:dyDescent="0.25">
      <c r="Z28618"/>
    </row>
    <row r="28619" spans="26:26" x14ac:dyDescent="0.25">
      <c r="Z28619"/>
    </row>
    <row r="28620" spans="26:26" x14ac:dyDescent="0.25">
      <c r="Z28620"/>
    </row>
    <row r="28621" spans="26:26" x14ac:dyDescent="0.25">
      <c r="Z28621"/>
    </row>
    <row r="28622" spans="26:26" x14ac:dyDescent="0.25">
      <c r="Z28622"/>
    </row>
    <row r="28623" spans="26:26" x14ac:dyDescent="0.25">
      <c r="Z28623"/>
    </row>
    <row r="28624" spans="26:26" x14ac:dyDescent="0.25">
      <c r="Z28624"/>
    </row>
    <row r="28625" spans="26:26" x14ac:dyDescent="0.25">
      <c r="Z28625"/>
    </row>
    <row r="28626" spans="26:26" x14ac:dyDescent="0.25">
      <c r="Z28626"/>
    </row>
    <row r="28627" spans="26:26" x14ac:dyDescent="0.25">
      <c r="Z28627"/>
    </row>
    <row r="28628" spans="26:26" x14ac:dyDescent="0.25">
      <c r="Z28628"/>
    </row>
    <row r="28629" spans="26:26" x14ac:dyDescent="0.25">
      <c r="Z28629"/>
    </row>
    <row r="28630" spans="26:26" x14ac:dyDescent="0.25">
      <c r="Z28630"/>
    </row>
    <row r="28631" spans="26:26" x14ac:dyDescent="0.25">
      <c r="Z28631"/>
    </row>
    <row r="28632" spans="26:26" x14ac:dyDescent="0.25">
      <c r="Z28632"/>
    </row>
    <row r="28633" spans="26:26" x14ac:dyDescent="0.25">
      <c r="Z28633"/>
    </row>
    <row r="28634" spans="26:26" x14ac:dyDescent="0.25">
      <c r="Z28634"/>
    </row>
    <row r="28635" spans="26:26" x14ac:dyDescent="0.25">
      <c r="Z28635"/>
    </row>
    <row r="28636" spans="26:26" x14ac:dyDescent="0.25">
      <c r="Z28636"/>
    </row>
    <row r="28637" spans="26:26" x14ac:dyDescent="0.25">
      <c r="Z28637"/>
    </row>
    <row r="28638" spans="26:26" x14ac:dyDescent="0.25">
      <c r="Z28638"/>
    </row>
    <row r="28639" spans="26:26" x14ac:dyDescent="0.25">
      <c r="Z28639"/>
    </row>
    <row r="28640" spans="26:26" x14ac:dyDescent="0.25">
      <c r="Z28640"/>
    </row>
    <row r="28641" spans="26:26" x14ac:dyDescent="0.25">
      <c r="Z28641"/>
    </row>
    <row r="28642" spans="26:26" x14ac:dyDescent="0.25">
      <c r="Z28642"/>
    </row>
    <row r="28643" spans="26:26" x14ac:dyDescent="0.25">
      <c r="Z28643"/>
    </row>
    <row r="28644" spans="26:26" x14ac:dyDescent="0.25">
      <c r="Z28644"/>
    </row>
    <row r="28645" spans="26:26" x14ac:dyDescent="0.25">
      <c r="Z28645"/>
    </row>
    <row r="28646" spans="26:26" x14ac:dyDescent="0.25">
      <c r="Z28646"/>
    </row>
    <row r="28647" spans="26:26" x14ac:dyDescent="0.25">
      <c r="Z28647"/>
    </row>
    <row r="28648" spans="26:26" x14ac:dyDescent="0.25">
      <c r="Z28648"/>
    </row>
    <row r="28649" spans="26:26" x14ac:dyDescent="0.25">
      <c r="Z28649"/>
    </row>
    <row r="28650" spans="26:26" x14ac:dyDescent="0.25">
      <c r="Z28650"/>
    </row>
    <row r="28651" spans="26:26" x14ac:dyDescent="0.25">
      <c r="Z28651"/>
    </row>
    <row r="28652" spans="26:26" x14ac:dyDescent="0.25">
      <c r="Z28652"/>
    </row>
    <row r="28653" spans="26:26" x14ac:dyDescent="0.25">
      <c r="Z28653"/>
    </row>
    <row r="28654" spans="26:26" x14ac:dyDescent="0.25">
      <c r="Z28654"/>
    </row>
    <row r="28655" spans="26:26" x14ac:dyDescent="0.25">
      <c r="Z28655"/>
    </row>
    <row r="28656" spans="26:26" x14ac:dyDescent="0.25">
      <c r="Z28656"/>
    </row>
    <row r="28657" spans="26:26" x14ac:dyDescent="0.25">
      <c r="Z28657"/>
    </row>
    <row r="28658" spans="26:26" x14ac:dyDescent="0.25">
      <c r="Z28658"/>
    </row>
    <row r="28659" spans="26:26" x14ac:dyDescent="0.25">
      <c r="Z28659"/>
    </row>
    <row r="28660" spans="26:26" x14ac:dyDescent="0.25">
      <c r="Z28660"/>
    </row>
    <row r="28661" spans="26:26" x14ac:dyDescent="0.25">
      <c r="Z28661"/>
    </row>
    <row r="28662" spans="26:26" x14ac:dyDescent="0.25">
      <c r="Z28662"/>
    </row>
    <row r="28663" spans="26:26" x14ac:dyDescent="0.25">
      <c r="Z28663"/>
    </row>
    <row r="28664" spans="26:26" x14ac:dyDescent="0.25">
      <c r="Z28664"/>
    </row>
    <row r="28665" spans="26:26" x14ac:dyDescent="0.25">
      <c r="Z28665"/>
    </row>
    <row r="28666" spans="26:26" x14ac:dyDescent="0.25">
      <c r="Z28666"/>
    </row>
    <row r="28667" spans="26:26" x14ac:dyDescent="0.25">
      <c r="Z28667"/>
    </row>
    <row r="28668" spans="26:26" x14ac:dyDescent="0.25">
      <c r="Z28668"/>
    </row>
    <row r="28669" spans="26:26" x14ac:dyDescent="0.25">
      <c r="Z28669"/>
    </row>
    <row r="28670" spans="26:26" x14ac:dyDescent="0.25">
      <c r="Z28670"/>
    </row>
    <row r="28671" spans="26:26" x14ac:dyDescent="0.25">
      <c r="Z28671"/>
    </row>
    <row r="28672" spans="26:26" x14ac:dyDescent="0.25">
      <c r="Z28672"/>
    </row>
    <row r="28673" spans="26:26" x14ac:dyDescent="0.25">
      <c r="Z28673"/>
    </row>
    <row r="28674" spans="26:26" x14ac:dyDescent="0.25">
      <c r="Z28674"/>
    </row>
    <row r="28675" spans="26:26" x14ac:dyDescent="0.25">
      <c r="Z28675"/>
    </row>
    <row r="28676" spans="26:26" x14ac:dyDescent="0.25">
      <c r="Z28676"/>
    </row>
    <row r="28677" spans="26:26" x14ac:dyDescent="0.25">
      <c r="Z28677"/>
    </row>
    <row r="28678" spans="26:26" x14ac:dyDescent="0.25">
      <c r="Z28678"/>
    </row>
    <row r="28679" spans="26:26" x14ac:dyDescent="0.25">
      <c r="Z28679"/>
    </row>
    <row r="28680" spans="26:26" x14ac:dyDescent="0.25">
      <c r="Z28680"/>
    </row>
    <row r="28681" spans="26:26" x14ac:dyDescent="0.25">
      <c r="Z28681"/>
    </row>
    <row r="28682" spans="26:26" x14ac:dyDescent="0.25">
      <c r="Z28682"/>
    </row>
    <row r="28683" spans="26:26" x14ac:dyDescent="0.25">
      <c r="Z28683"/>
    </row>
    <row r="28684" spans="26:26" x14ac:dyDescent="0.25">
      <c r="Z28684"/>
    </row>
    <row r="28685" spans="26:26" x14ac:dyDescent="0.25">
      <c r="Z28685"/>
    </row>
    <row r="28686" spans="26:26" x14ac:dyDescent="0.25">
      <c r="Z28686"/>
    </row>
    <row r="28687" spans="26:26" x14ac:dyDescent="0.25">
      <c r="Z28687"/>
    </row>
    <row r="28688" spans="26:26" x14ac:dyDescent="0.25">
      <c r="Z28688"/>
    </row>
    <row r="28689" spans="26:26" x14ac:dyDescent="0.25">
      <c r="Z28689"/>
    </row>
    <row r="28690" spans="26:26" x14ac:dyDescent="0.25">
      <c r="Z28690"/>
    </row>
    <row r="28691" spans="26:26" x14ac:dyDescent="0.25">
      <c r="Z28691"/>
    </row>
    <row r="28692" spans="26:26" x14ac:dyDescent="0.25">
      <c r="Z28692"/>
    </row>
    <row r="28693" spans="26:26" x14ac:dyDescent="0.25">
      <c r="Z28693"/>
    </row>
    <row r="28694" spans="26:26" x14ac:dyDescent="0.25">
      <c r="Z28694"/>
    </row>
    <row r="28695" spans="26:26" x14ac:dyDescent="0.25">
      <c r="Z28695"/>
    </row>
    <row r="28696" spans="26:26" x14ac:dyDescent="0.25">
      <c r="Z28696"/>
    </row>
    <row r="28697" spans="26:26" x14ac:dyDescent="0.25">
      <c r="Z28697"/>
    </row>
    <row r="28698" spans="26:26" x14ac:dyDescent="0.25">
      <c r="Z28698"/>
    </row>
    <row r="28699" spans="26:26" x14ac:dyDescent="0.25">
      <c r="Z28699"/>
    </row>
    <row r="28700" spans="26:26" x14ac:dyDescent="0.25">
      <c r="Z28700"/>
    </row>
    <row r="28701" spans="26:26" x14ac:dyDescent="0.25">
      <c r="Z28701"/>
    </row>
    <row r="28702" spans="26:26" x14ac:dyDescent="0.25">
      <c r="Z28702"/>
    </row>
    <row r="28703" spans="26:26" x14ac:dyDescent="0.25">
      <c r="Z28703"/>
    </row>
    <row r="28704" spans="26:26" x14ac:dyDescent="0.25">
      <c r="Z28704"/>
    </row>
    <row r="28705" spans="26:26" x14ac:dyDescent="0.25">
      <c r="Z28705"/>
    </row>
    <row r="28706" spans="26:26" x14ac:dyDescent="0.25">
      <c r="Z28706"/>
    </row>
    <row r="28707" spans="26:26" x14ac:dyDescent="0.25">
      <c r="Z28707"/>
    </row>
    <row r="28708" spans="26:26" x14ac:dyDescent="0.25">
      <c r="Z28708"/>
    </row>
    <row r="28709" spans="26:26" x14ac:dyDescent="0.25">
      <c r="Z28709"/>
    </row>
    <row r="28710" spans="26:26" x14ac:dyDescent="0.25">
      <c r="Z28710"/>
    </row>
    <row r="28711" spans="26:26" x14ac:dyDescent="0.25">
      <c r="Z28711"/>
    </row>
    <row r="28712" spans="26:26" x14ac:dyDescent="0.25">
      <c r="Z28712"/>
    </row>
    <row r="28713" spans="26:26" x14ac:dyDescent="0.25">
      <c r="Z28713"/>
    </row>
    <row r="28714" spans="26:26" x14ac:dyDescent="0.25">
      <c r="Z28714"/>
    </row>
    <row r="28715" spans="26:26" x14ac:dyDescent="0.25">
      <c r="Z28715"/>
    </row>
    <row r="28716" spans="26:26" x14ac:dyDescent="0.25">
      <c r="Z28716"/>
    </row>
    <row r="28717" spans="26:26" x14ac:dyDescent="0.25">
      <c r="Z28717"/>
    </row>
    <row r="28718" spans="26:26" x14ac:dyDescent="0.25">
      <c r="Z28718"/>
    </row>
    <row r="28719" spans="26:26" x14ac:dyDescent="0.25">
      <c r="Z28719"/>
    </row>
    <row r="28720" spans="26:26" x14ac:dyDescent="0.25">
      <c r="Z28720"/>
    </row>
    <row r="28721" spans="26:26" x14ac:dyDescent="0.25">
      <c r="Z28721"/>
    </row>
    <row r="28722" spans="26:26" x14ac:dyDescent="0.25">
      <c r="Z28722"/>
    </row>
    <row r="28723" spans="26:26" x14ac:dyDescent="0.25">
      <c r="Z28723"/>
    </row>
    <row r="28724" spans="26:26" x14ac:dyDescent="0.25">
      <c r="Z28724"/>
    </row>
    <row r="28725" spans="26:26" x14ac:dyDescent="0.25">
      <c r="Z28725"/>
    </row>
    <row r="28726" spans="26:26" x14ac:dyDescent="0.25">
      <c r="Z28726"/>
    </row>
    <row r="28727" spans="26:26" x14ac:dyDescent="0.25">
      <c r="Z28727"/>
    </row>
    <row r="28728" spans="26:26" x14ac:dyDescent="0.25">
      <c r="Z28728"/>
    </row>
    <row r="28729" spans="26:26" x14ac:dyDescent="0.25">
      <c r="Z28729"/>
    </row>
    <row r="28730" spans="26:26" x14ac:dyDescent="0.25">
      <c r="Z28730"/>
    </row>
    <row r="28731" spans="26:26" x14ac:dyDescent="0.25">
      <c r="Z28731"/>
    </row>
    <row r="28732" spans="26:26" x14ac:dyDescent="0.25">
      <c r="Z28732"/>
    </row>
    <row r="28733" spans="26:26" x14ac:dyDescent="0.25">
      <c r="Z28733"/>
    </row>
    <row r="28734" spans="26:26" x14ac:dyDescent="0.25">
      <c r="Z28734"/>
    </row>
    <row r="28735" spans="26:26" x14ac:dyDescent="0.25">
      <c r="Z28735"/>
    </row>
    <row r="28736" spans="26:26" x14ac:dyDescent="0.25">
      <c r="Z28736"/>
    </row>
    <row r="28737" spans="26:26" x14ac:dyDescent="0.25">
      <c r="Z28737"/>
    </row>
    <row r="28738" spans="26:26" x14ac:dyDescent="0.25">
      <c r="Z28738"/>
    </row>
    <row r="28739" spans="26:26" x14ac:dyDescent="0.25">
      <c r="Z28739"/>
    </row>
    <row r="28740" spans="26:26" x14ac:dyDescent="0.25">
      <c r="Z28740"/>
    </row>
    <row r="28741" spans="26:26" x14ac:dyDescent="0.25">
      <c r="Z28741"/>
    </row>
    <row r="28742" spans="26:26" x14ac:dyDescent="0.25">
      <c r="Z28742"/>
    </row>
    <row r="28743" spans="26:26" x14ac:dyDescent="0.25">
      <c r="Z28743"/>
    </row>
    <row r="28744" spans="26:26" x14ac:dyDescent="0.25">
      <c r="Z28744"/>
    </row>
    <row r="28745" spans="26:26" x14ac:dyDescent="0.25">
      <c r="Z28745"/>
    </row>
    <row r="28746" spans="26:26" x14ac:dyDescent="0.25">
      <c r="Z28746"/>
    </row>
    <row r="28747" spans="26:26" x14ac:dyDescent="0.25">
      <c r="Z28747"/>
    </row>
    <row r="28748" spans="26:26" x14ac:dyDescent="0.25">
      <c r="Z28748"/>
    </row>
    <row r="28749" spans="26:26" x14ac:dyDescent="0.25">
      <c r="Z28749"/>
    </row>
    <row r="28750" spans="26:26" x14ac:dyDescent="0.25">
      <c r="Z28750"/>
    </row>
    <row r="28751" spans="26:26" x14ac:dyDescent="0.25">
      <c r="Z28751"/>
    </row>
    <row r="28752" spans="26:26" x14ac:dyDescent="0.25">
      <c r="Z28752"/>
    </row>
    <row r="28753" spans="26:26" x14ac:dyDescent="0.25">
      <c r="Z28753"/>
    </row>
    <row r="28754" spans="26:26" x14ac:dyDescent="0.25">
      <c r="Z28754"/>
    </row>
    <row r="28755" spans="26:26" x14ac:dyDescent="0.25">
      <c r="Z28755"/>
    </row>
    <row r="28756" spans="26:26" x14ac:dyDescent="0.25">
      <c r="Z28756"/>
    </row>
    <row r="28757" spans="26:26" x14ac:dyDescent="0.25">
      <c r="Z28757"/>
    </row>
    <row r="28758" spans="26:26" x14ac:dyDescent="0.25">
      <c r="Z28758"/>
    </row>
    <row r="28759" spans="26:26" x14ac:dyDescent="0.25">
      <c r="Z28759"/>
    </row>
    <row r="28760" spans="26:26" x14ac:dyDescent="0.25">
      <c r="Z28760"/>
    </row>
    <row r="28761" spans="26:26" x14ac:dyDescent="0.25">
      <c r="Z28761"/>
    </row>
    <row r="28762" spans="26:26" x14ac:dyDescent="0.25">
      <c r="Z28762"/>
    </row>
    <row r="28763" spans="26:26" x14ac:dyDescent="0.25">
      <c r="Z28763"/>
    </row>
    <row r="28764" spans="26:26" x14ac:dyDescent="0.25">
      <c r="Z28764"/>
    </row>
    <row r="28765" spans="26:26" x14ac:dyDescent="0.25">
      <c r="Z28765"/>
    </row>
    <row r="28766" spans="26:26" x14ac:dyDescent="0.25">
      <c r="Z28766"/>
    </row>
    <row r="28767" spans="26:26" x14ac:dyDescent="0.25">
      <c r="Z28767"/>
    </row>
    <row r="28768" spans="26:26" x14ac:dyDescent="0.25">
      <c r="Z28768"/>
    </row>
    <row r="28769" spans="26:26" x14ac:dyDescent="0.25">
      <c r="Z28769"/>
    </row>
    <row r="28770" spans="26:26" x14ac:dyDescent="0.25">
      <c r="Z28770"/>
    </row>
    <row r="28771" spans="26:26" x14ac:dyDescent="0.25">
      <c r="Z28771"/>
    </row>
    <row r="28772" spans="26:26" x14ac:dyDescent="0.25">
      <c r="Z28772"/>
    </row>
    <row r="28773" spans="26:26" x14ac:dyDescent="0.25">
      <c r="Z28773"/>
    </row>
    <row r="28774" spans="26:26" x14ac:dyDescent="0.25">
      <c r="Z28774"/>
    </row>
    <row r="28775" spans="26:26" x14ac:dyDescent="0.25">
      <c r="Z28775"/>
    </row>
    <row r="28776" spans="26:26" x14ac:dyDescent="0.25">
      <c r="Z28776"/>
    </row>
    <row r="28777" spans="26:26" x14ac:dyDescent="0.25">
      <c r="Z28777"/>
    </row>
    <row r="28778" spans="26:26" x14ac:dyDescent="0.25">
      <c r="Z28778"/>
    </row>
    <row r="28779" spans="26:26" x14ac:dyDescent="0.25">
      <c r="Z28779"/>
    </row>
    <row r="28780" spans="26:26" x14ac:dyDescent="0.25">
      <c r="Z28780"/>
    </row>
    <row r="28781" spans="26:26" x14ac:dyDescent="0.25">
      <c r="Z28781"/>
    </row>
    <row r="28782" spans="26:26" x14ac:dyDescent="0.25">
      <c r="Z28782"/>
    </row>
    <row r="28783" spans="26:26" x14ac:dyDescent="0.25">
      <c r="Z28783"/>
    </row>
    <row r="28784" spans="26:26" x14ac:dyDescent="0.25">
      <c r="Z28784"/>
    </row>
    <row r="28785" spans="26:26" x14ac:dyDescent="0.25">
      <c r="Z28785"/>
    </row>
    <row r="28786" spans="26:26" x14ac:dyDescent="0.25">
      <c r="Z28786"/>
    </row>
    <row r="28787" spans="26:26" x14ac:dyDescent="0.25">
      <c r="Z28787"/>
    </row>
    <row r="28788" spans="26:26" x14ac:dyDescent="0.25">
      <c r="Z28788"/>
    </row>
    <row r="28789" spans="26:26" x14ac:dyDescent="0.25">
      <c r="Z28789"/>
    </row>
    <row r="28790" spans="26:26" x14ac:dyDescent="0.25">
      <c r="Z28790"/>
    </row>
    <row r="28791" spans="26:26" x14ac:dyDescent="0.25">
      <c r="Z28791"/>
    </row>
    <row r="28792" spans="26:26" x14ac:dyDescent="0.25">
      <c r="Z28792"/>
    </row>
    <row r="28793" spans="26:26" x14ac:dyDescent="0.25">
      <c r="Z28793"/>
    </row>
    <row r="28794" spans="26:26" x14ac:dyDescent="0.25">
      <c r="Z28794"/>
    </row>
    <row r="28795" spans="26:26" x14ac:dyDescent="0.25">
      <c r="Z28795"/>
    </row>
    <row r="28796" spans="26:26" x14ac:dyDescent="0.25">
      <c r="Z28796"/>
    </row>
    <row r="28797" spans="26:26" x14ac:dyDescent="0.25">
      <c r="Z28797"/>
    </row>
    <row r="28798" spans="26:26" x14ac:dyDescent="0.25">
      <c r="Z28798"/>
    </row>
    <row r="28799" spans="26:26" x14ac:dyDescent="0.25">
      <c r="Z28799"/>
    </row>
    <row r="28800" spans="26:26" x14ac:dyDescent="0.25">
      <c r="Z28800"/>
    </row>
    <row r="28801" spans="26:26" x14ac:dyDescent="0.25">
      <c r="Z28801"/>
    </row>
    <row r="28802" spans="26:26" x14ac:dyDescent="0.25">
      <c r="Z28802"/>
    </row>
    <row r="28803" spans="26:26" x14ac:dyDescent="0.25">
      <c r="Z28803"/>
    </row>
    <row r="28804" spans="26:26" x14ac:dyDescent="0.25">
      <c r="Z28804"/>
    </row>
    <row r="28805" spans="26:26" x14ac:dyDescent="0.25">
      <c r="Z28805"/>
    </row>
    <row r="28806" spans="26:26" x14ac:dyDescent="0.25">
      <c r="Z28806"/>
    </row>
    <row r="28807" spans="26:26" x14ac:dyDescent="0.25">
      <c r="Z28807"/>
    </row>
    <row r="28808" spans="26:26" x14ac:dyDescent="0.25">
      <c r="Z28808"/>
    </row>
    <row r="28809" spans="26:26" x14ac:dyDescent="0.25">
      <c r="Z28809"/>
    </row>
    <row r="28810" spans="26:26" x14ac:dyDescent="0.25">
      <c r="Z28810"/>
    </row>
    <row r="28811" spans="26:26" x14ac:dyDescent="0.25">
      <c r="Z28811"/>
    </row>
    <row r="28812" spans="26:26" x14ac:dyDescent="0.25">
      <c r="Z28812"/>
    </row>
    <row r="28813" spans="26:26" x14ac:dyDescent="0.25">
      <c r="Z28813"/>
    </row>
    <row r="28814" spans="26:26" x14ac:dyDescent="0.25">
      <c r="Z28814"/>
    </row>
    <row r="28815" spans="26:26" x14ac:dyDescent="0.25">
      <c r="Z28815"/>
    </row>
    <row r="28816" spans="26:26" x14ac:dyDescent="0.25">
      <c r="Z28816"/>
    </row>
    <row r="28817" spans="26:26" x14ac:dyDescent="0.25">
      <c r="Z28817"/>
    </row>
    <row r="28818" spans="26:26" x14ac:dyDescent="0.25">
      <c r="Z28818"/>
    </row>
    <row r="28819" spans="26:26" x14ac:dyDescent="0.25">
      <c r="Z28819"/>
    </row>
    <row r="28820" spans="26:26" x14ac:dyDescent="0.25">
      <c r="Z28820"/>
    </row>
    <row r="28821" spans="26:26" x14ac:dyDescent="0.25">
      <c r="Z28821"/>
    </row>
    <row r="28822" spans="26:26" x14ac:dyDescent="0.25">
      <c r="Z28822"/>
    </row>
    <row r="28823" spans="26:26" x14ac:dyDescent="0.25">
      <c r="Z28823"/>
    </row>
    <row r="28824" spans="26:26" x14ac:dyDescent="0.25">
      <c r="Z28824"/>
    </row>
    <row r="28825" spans="26:26" x14ac:dyDescent="0.25">
      <c r="Z28825"/>
    </row>
    <row r="28826" spans="26:26" x14ac:dyDescent="0.25">
      <c r="Z28826"/>
    </row>
    <row r="28827" spans="26:26" x14ac:dyDescent="0.25">
      <c r="Z28827"/>
    </row>
    <row r="28828" spans="26:26" x14ac:dyDescent="0.25">
      <c r="Z28828"/>
    </row>
    <row r="28829" spans="26:26" x14ac:dyDescent="0.25">
      <c r="Z28829"/>
    </row>
    <row r="28830" spans="26:26" x14ac:dyDescent="0.25">
      <c r="Z28830"/>
    </row>
    <row r="28831" spans="26:26" x14ac:dyDescent="0.25">
      <c r="Z28831"/>
    </row>
    <row r="28832" spans="26:26" x14ac:dyDescent="0.25">
      <c r="Z28832"/>
    </row>
    <row r="28833" spans="26:26" x14ac:dyDescent="0.25">
      <c r="Z28833"/>
    </row>
    <row r="28834" spans="26:26" x14ac:dyDescent="0.25">
      <c r="Z28834"/>
    </row>
    <row r="28835" spans="26:26" x14ac:dyDescent="0.25">
      <c r="Z28835"/>
    </row>
    <row r="28836" spans="26:26" x14ac:dyDescent="0.25">
      <c r="Z28836"/>
    </row>
    <row r="28837" spans="26:26" x14ac:dyDescent="0.25">
      <c r="Z28837"/>
    </row>
    <row r="28838" spans="26:26" x14ac:dyDescent="0.25">
      <c r="Z28838"/>
    </row>
    <row r="28839" spans="26:26" x14ac:dyDescent="0.25">
      <c r="Z28839"/>
    </row>
    <row r="28840" spans="26:26" x14ac:dyDescent="0.25">
      <c r="Z28840"/>
    </row>
    <row r="28841" spans="26:26" x14ac:dyDescent="0.25">
      <c r="Z28841"/>
    </row>
    <row r="28842" spans="26:26" x14ac:dyDescent="0.25">
      <c r="Z28842"/>
    </row>
    <row r="28843" spans="26:26" x14ac:dyDescent="0.25">
      <c r="Z28843"/>
    </row>
    <row r="28844" spans="26:26" x14ac:dyDescent="0.25">
      <c r="Z28844"/>
    </row>
    <row r="28845" spans="26:26" x14ac:dyDescent="0.25">
      <c r="Z28845"/>
    </row>
    <row r="28846" spans="26:26" x14ac:dyDescent="0.25">
      <c r="Z28846"/>
    </row>
    <row r="28847" spans="26:26" x14ac:dyDescent="0.25">
      <c r="Z28847"/>
    </row>
    <row r="28848" spans="26:26" x14ac:dyDescent="0.25">
      <c r="Z28848"/>
    </row>
    <row r="28849" spans="26:26" x14ac:dyDescent="0.25">
      <c r="Z28849"/>
    </row>
    <row r="28850" spans="26:26" x14ac:dyDescent="0.25">
      <c r="Z28850"/>
    </row>
    <row r="28851" spans="26:26" x14ac:dyDescent="0.25">
      <c r="Z28851"/>
    </row>
    <row r="28852" spans="26:26" x14ac:dyDescent="0.25">
      <c r="Z28852"/>
    </row>
    <row r="28853" spans="26:26" x14ac:dyDescent="0.25">
      <c r="Z28853"/>
    </row>
    <row r="28854" spans="26:26" x14ac:dyDescent="0.25">
      <c r="Z28854"/>
    </row>
    <row r="28855" spans="26:26" x14ac:dyDescent="0.25">
      <c r="Z28855"/>
    </row>
    <row r="28856" spans="26:26" x14ac:dyDescent="0.25">
      <c r="Z28856"/>
    </row>
    <row r="28857" spans="26:26" x14ac:dyDescent="0.25">
      <c r="Z28857"/>
    </row>
    <row r="28858" spans="26:26" x14ac:dyDescent="0.25">
      <c r="Z28858"/>
    </row>
    <row r="28859" spans="26:26" x14ac:dyDescent="0.25">
      <c r="Z28859"/>
    </row>
    <row r="28860" spans="26:26" x14ac:dyDescent="0.25">
      <c r="Z28860"/>
    </row>
    <row r="28861" spans="26:26" x14ac:dyDescent="0.25">
      <c r="Z28861"/>
    </row>
    <row r="28862" spans="26:26" x14ac:dyDescent="0.25">
      <c r="Z28862"/>
    </row>
    <row r="28863" spans="26:26" x14ac:dyDescent="0.25">
      <c r="Z28863"/>
    </row>
    <row r="28864" spans="26:26" x14ac:dyDescent="0.25">
      <c r="Z28864"/>
    </row>
    <row r="28865" spans="26:26" x14ac:dyDescent="0.25">
      <c r="Z28865"/>
    </row>
    <row r="28866" spans="26:26" x14ac:dyDescent="0.25">
      <c r="Z28866"/>
    </row>
    <row r="28867" spans="26:26" x14ac:dyDescent="0.25">
      <c r="Z28867"/>
    </row>
    <row r="28868" spans="26:26" x14ac:dyDescent="0.25">
      <c r="Z28868"/>
    </row>
    <row r="28869" spans="26:26" x14ac:dyDescent="0.25">
      <c r="Z28869"/>
    </row>
    <row r="28870" spans="26:26" x14ac:dyDescent="0.25">
      <c r="Z28870"/>
    </row>
    <row r="28871" spans="26:26" x14ac:dyDescent="0.25">
      <c r="Z28871"/>
    </row>
    <row r="28872" spans="26:26" x14ac:dyDescent="0.25">
      <c r="Z28872"/>
    </row>
    <row r="28873" spans="26:26" x14ac:dyDescent="0.25">
      <c r="Z28873"/>
    </row>
    <row r="28874" spans="26:26" x14ac:dyDescent="0.25">
      <c r="Z28874"/>
    </row>
    <row r="28875" spans="26:26" x14ac:dyDescent="0.25">
      <c r="Z28875"/>
    </row>
    <row r="28876" spans="26:26" x14ac:dyDescent="0.25">
      <c r="Z28876"/>
    </row>
    <row r="28877" spans="26:26" x14ac:dyDescent="0.25">
      <c r="Z28877"/>
    </row>
    <row r="28878" spans="26:26" x14ac:dyDescent="0.25">
      <c r="Z28878"/>
    </row>
    <row r="28879" spans="26:26" x14ac:dyDescent="0.25">
      <c r="Z28879"/>
    </row>
    <row r="28880" spans="26:26" x14ac:dyDescent="0.25">
      <c r="Z28880"/>
    </row>
    <row r="28881" spans="26:26" x14ac:dyDescent="0.25">
      <c r="Z28881"/>
    </row>
    <row r="28882" spans="26:26" x14ac:dyDescent="0.25">
      <c r="Z28882"/>
    </row>
    <row r="28883" spans="26:26" x14ac:dyDescent="0.25">
      <c r="Z28883"/>
    </row>
    <row r="28884" spans="26:26" x14ac:dyDescent="0.25">
      <c r="Z28884"/>
    </row>
    <row r="28885" spans="26:26" x14ac:dyDescent="0.25">
      <c r="Z28885"/>
    </row>
    <row r="28886" spans="26:26" x14ac:dyDescent="0.25">
      <c r="Z28886"/>
    </row>
    <row r="28887" spans="26:26" x14ac:dyDescent="0.25">
      <c r="Z28887"/>
    </row>
    <row r="28888" spans="26:26" x14ac:dyDescent="0.25">
      <c r="Z28888"/>
    </row>
    <row r="28889" spans="26:26" x14ac:dyDescent="0.25">
      <c r="Z28889"/>
    </row>
    <row r="28890" spans="26:26" x14ac:dyDescent="0.25">
      <c r="Z28890"/>
    </row>
    <row r="28891" spans="26:26" x14ac:dyDescent="0.25">
      <c r="Z28891"/>
    </row>
    <row r="28892" spans="26:26" x14ac:dyDescent="0.25">
      <c r="Z28892"/>
    </row>
    <row r="28893" spans="26:26" x14ac:dyDescent="0.25">
      <c r="Z28893"/>
    </row>
    <row r="28894" spans="26:26" x14ac:dyDescent="0.25">
      <c r="Z28894"/>
    </row>
    <row r="28895" spans="26:26" x14ac:dyDescent="0.25">
      <c r="Z28895"/>
    </row>
    <row r="28896" spans="26:26" x14ac:dyDescent="0.25">
      <c r="Z28896"/>
    </row>
    <row r="28897" spans="26:26" x14ac:dyDescent="0.25">
      <c r="Z28897"/>
    </row>
    <row r="28898" spans="26:26" x14ac:dyDescent="0.25">
      <c r="Z28898"/>
    </row>
    <row r="28899" spans="26:26" x14ac:dyDescent="0.25">
      <c r="Z28899"/>
    </row>
    <row r="28900" spans="26:26" x14ac:dyDescent="0.25">
      <c r="Z28900"/>
    </row>
    <row r="28901" spans="26:26" x14ac:dyDescent="0.25">
      <c r="Z28901"/>
    </row>
    <row r="28902" spans="26:26" x14ac:dyDescent="0.25">
      <c r="Z28902"/>
    </row>
    <row r="28903" spans="26:26" x14ac:dyDescent="0.25">
      <c r="Z28903"/>
    </row>
    <row r="28904" spans="26:26" x14ac:dyDescent="0.25">
      <c r="Z28904"/>
    </row>
    <row r="28905" spans="26:26" x14ac:dyDescent="0.25">
      <c r="Z28905"/>
    </row>
    <row r="28906" spans="26:26" x14ac:dyDescent="0.25">
      <c r="Z28906"/>
    </row>
    <row r="28907" spans="26:26" x14ac:dyDescent="0.25">
      <c r="Z28907"/>
    </row>
    <row r="28908" spans="26:26" x14ac:dyDescent="0.25">
      <c r="Z28908"/>
    </row>
    <row r="28909" spans="26:26" x14ac:dyDescent="0.25">
      <c r="Z28909"/>
    </row>
    <row r="28910" spans="26:26" x14ac:dyDescent="0.25">
      <c r="Z28910"/>
    </row>
    <row r="28911" spans="26:26" x14ac:dyDescent="0.25">
      <c r="Z28911"/>
    </row>
    <row r="28912" spans="26:26" x14ac:dyDescent="0.25">
      <c r="Z28912"/>
    </row>
    <row r="28913" spans="26:26" x14ac:dyDescent="0.25">
      <c r="Z28913"/>
    </row>
    <row r="28914" spans="26:26" x14ac:dyDescent="0.25">
      <c r="Z28914"/>
    </row>
    <row r="28915" spans="26:26" x14ac:dyDescent="0.25">
      <c r="Z28915"/>
    </row>
    <row r="28916" spans="26:26" x14ac:dyDescent="0.25">
      <c r="Z28916"/>
    </row>
    <row r="28917" spans="26:26" x14ac:dyDescent="0.25">
      <c r="Z28917"/>
    </row>
    <row r="28918" spans="26:26" x14ac:dyDescent="0.25">
      <c r="Z28918"/>
    </row>
    <row r="28919" spans="26:26" x14ac:dyDescent="0.25">
      <c r="Z28919"/>
    </row>
    <row r="28920" spans="26:26" x14ac:dyDescent="0.25">
      <c r="Z28920"/>
    </row>
    <row r="28921" spans="26:26" x14ac:dyDescent="0.25">
      <c r="Z28921"/>
    </row>
    <row r="28922" spans="26:26" x14ac:dyDescent="0.25">
      <c r="Z28922"/>
    </row>
    <row r="28923" spans="26:26" x14ac:dyDescent="0.25">
      <c r="Z28923"/>
    </row>
    <row r="28924" spans="26:26" x14ac:dyDescent="0.25">
      <c r="Z28924"/>
    </row>
    <row r="28925" spans="26:26" x14ac:dyDescent="0.25">
      <c r="Z28925"/>
    </row>
    <row r="28926" spans="26:26" x14ac:dyDescent="0.25">
      <c r="Z28926"/>
    </row>
    <row r="28927" spans="26:26" x14ac:dyDescent="0.25">
      <c r="Z28927"/>
    </row>
    <row r="28928" spans="26:26" x14ac:dyDescent="0.25">
      <c r="Z28928"/>
    </row>
    <row r="28929" spans="26:26" x14ac:dyDescent="0.25">
      <c r="Z28929"/>
    </row>
    <row r="28930" spans="26:26" x14ac:dyDescent="0.25">
      <c r="Z28930"/>
    </row>
    <row r="28931" spans="26:26" x14ac:dyDescent="0.25">
      <c r="Z28931"/>
    </row>
    <row r="28932" spans="26:26" x14ac:dyDescent="0.25">
      <c r="Z28932"/>
    </row>
    <row r="28933" spans="26:26" x14ac:dyDescent="0.25">
      <c r="Z28933"/>
    </row>
    <row r="28934" spans="26:26" x14ac:dyDescent="0.25">
      <c r="Z28934"/>
    </row>
    <row r="28935" spans="26:26" x14ac:dyDescent="0.25">
      <c r="Z28935"/>
    </row>
    <row r="28936" spans="26:26" x14ac:dyDescent="0.25">
      <c r="Z28936"/>
    </row>
    <row r="28937" spans="26:26" x14ac:dyDescent="0.25">
      <c r="Z28937"/>
    </row>
    <row r="28938" spans="26:26" x14ac:dyDescent="0.25">
      <c r="Z28938"/>
    </row>
    <row r="28939" spans="26:26" x14ac:dyDescent="0.25">
      <c r="Z28939"/>
    </row>
    <row r="28940" spans="26:26" x14ac:dyDescent="0.25">
      <c r="Z28940"/>
    </row>
    <row r="28941" spans="26:26" x14ac:dyDescent="0.25">
      <c r="Z28941"/>
    </row>
    <row r="28942" spans="26:26" x14ac:dyDescent="0.25">
      <c r="Z28942"/>
    </row>
    <row r="28943" spans="26:26" x14ac:dyDescent="0.25">
      <c r="Z28943"/>
    </row>
    <row r="28944" spans="26:26" x14ac:dyDescent="0.25">
      <c r="Z28944"/>
    </row>
    <row r="28945" spans="26:26" x14ac:dyDescent="0.25">
      <c r="Z28945"/>
    </row>
    <row r="28946" spans="26:26" x14ac:dyDescent="0.25">
      <c r="Z28946"/>
    </row>
    <row r="28947" spans="26:26" x14ac:dyDescent="0.25">
      <c r="Z28947"/>
    </row>
    <row r="28948" spans="26:26" x14ac:dyDescent="0.25">
      <c r="Z28948"/>
    </row>
    <row r="28949" spans="26:26" x14ac:dyDescent="0.25">
      <c r="Z28949"/>
    </row>
    <row r="28950" spans="26:26" x14ac:dyDescent="0.25">
      <c r="Z28950"/>
    </row>
    <row r="28951" spans="26:26" x14ac:dyDescent="0.25">
      <c r="Z28951"/>
    </row>
    <row r="28952" spans="26:26" x14ac:dyDescent="0.25">
      <c r="Z28952"/>
    </row>
    <row r="28953" spans="26:26" x14ac:dyDescent="0.25">
      <c r="Z28953"/>
    </row>
    <row r="28954" spans="26:26" x14ac:dyDescent="0.25">
      <c r="Z28954"/>
    </row>
    <row r="28955" spans="26:26" x14ac:dyDescent="0.25">
      <c r="Z28955"/>
    </row>
    <row r="28956" spans="26:26" x14ac:dyDescent="0.25">
      <c r="Z28956"/>
    </row>
    <row r="28957" spans="26:26" x14ac:dyDescent="0.25">
      <c r="Z28957"/>
    </row>
    <row r="28958" spans="26:26" x14ac:dyDescent="0.25">
      <c r="Z28958"/>
    </row>
    <row r="28959" spans="26:26" x14ac:dyDescent="0.25">
      <c r="Z28959"/>
    </row>
    <row r="28960" spans="26:26" x14ac:dyDescent="0.25">
      <c r="Z28960"/>
    </row>
    <row r="28961" spans="26:26" x14ac:dyDescent="0.25">
      <c r="Z28961"/>
    </row>
    <row r="28962" spans="26:26" x14ac:dyDescent="0.25">
      <c r="Z28962"/>
    </row>
    <row r="28963" spans="26:26" x14ac:dyDescent="0.25">
      <c r="Z28963"/>
    </row>
    <row r="28964" spans="26:26" x14ac:dyDescent="0.25">
      <c r="Z28964"/>
    </row>
    <row r="28965" spans="26:26" x14ac:dyDescent="0.25">
      <c r="Z28965"/>
    </row>
    <row r="28966" spans="26:26" x14ac:dyDescent="0.25">
      <c r="Z28966"/>
    </row>
    <row r="28967" spans="26:26" x14ac:dyDescent="0.25">
      <c r="Z28967"/>
    </row>
    <row r="28968" spans="26:26" x14ac:dyDescent="0.25">
      <c r="Z28968"/>
    </row>
    <row r="28969" spans="26:26" x14ac:dyDescent="0.25">
      <c r="Z28969"/>
    </row>
    <row r="28970" spans="26:26" x14ac:dyDescent="0.25">
      <c r="Z28970"/>
    </row>
    <row r="28971" spans="26:26" x14ac:dyDescent="0.25">
      <c r="Z28971"/>
    </row>
    <row r="28972" spans="26:26" x14ac:dyDescent="0.25">
      <c r="Z28972"/>
    </row>
    <row r="28973" spans="26:26" x14ac:dyDescent="0.25">
      <c r="Z28973"/>
    </row>
    <row r="28974" spans="26:26" x14ac:dyDescent="0.25">
      <c r="Z28974"/>
    </row>
    <row r="28975" spans="26:26" x14ac:dyDescent="0.25">
      <c r="Z28975"/>
    </row>
    <row r="28976" spans="26:26" x14ac:dyDescent="0.25">
      <c r="Z28976"/>
    </row>
    <row r="28977" spans="26:26" x14ac:dyDescent="0.25">
      <c r="Z28977"/>
    </row>
    <row r="28978" spans="26:26" x14ac:dyDescent="0.25">
      <c r="Z28978"/>
    </row>
    <row r="28979" spans="26:26" x14ac:dyDescent="0.25">
      <c r="Z28979"/>
    </row>
    <row r="28980" spans="26:26" x14ac:dyDescent="0.25">
      <c r="Z28980"/>
    </row>
    <row r="28981" spans="26:26" x14ac:dyDescent="0.25">
      <c r="Z28981"/>
    </row>
    <row r="28982" spans="26:26" x14ac:dyDescent="0.25">
      <c r="Z28982"/>
    </row>
    <row r="28983" spans="26:26" x14ac:dyDescent="0.25">
      <c r="Z28983"/>
    </row>
    <row r="28984" spans="26:26" x14ac:dyDescent="0.25">
      <c r="Z28984"/>
    </row>
    <row r="28985" spans="26:26" x14ac:dyDescent="0.25">
      <c r="Z28985"/>
    </row>
    <row r="28986" spans="26:26" x14ac:dyDescent="0.25">
      <c r="Z28986"/>
    </row>
    <row r="28987" spans="26:26" x14ac:dyDescent="0.25">
      <c r="Z28987"/>
    </row>
    <row r="28988" spans="26:26" x14ac:dyDescent="0.25">
      <c r="Z28988"/>
    </row>
    <row r="28989" spans="26:26" x14ac:dyDescent="0.25">
      <c r="Z28989"/>
    </row>
    <row r="28990" spans="26:26" x14ac:dyDescent="0.25">
      <c r="Z28990"/>
    </row>
    <row r="28991" spans="26:26" x14ac:dyDescent="0.25">
      <c r="Z28991"/>
    </row>
    <row r="28992" spans="26:26" x14ac:dyDescent="0.25">
      <c r="Z28992"/>
    </row>
    <row r="28993" spans="26:26" x14ac:dyDescent="0.25">
      <c r="Z28993"/>
    </row>
    <row r="28994" spans="26:26" x14ac:dyDescent="0.25">
      <c r="Z28994"/>
    </row>
    <row r="28995" spans="26:26" x14ac:dyDescent="0.25">
      <c r="Z28995"/>
    </row>
    <row r="28996" spans="26:26" x14ac:dyDescent="0.25">
      <c r="Z28996"/>
    </row>
    <row r="28997" spans="26:26" x14ac:dyDescent="0.25">
      <c r="Z28997"/>
    </row>
    <row r="28998" spans="26:26" x14ac:dyDescent="0.25">
      <c r="Z28998"/>
    </row>
    <row r="28999" spans="26:26" x14ac:dyDescent="0.25">
      <c r="Z28999"/>
    </row>
    <row r="29000" spans="26:26" x14ac:dyDescent="0.25">
      <c r="Z29000"/>
    </row>
    <row r="29001" spans="26:26" x14ac:dyDescent="0.25">
      <c r="Z29001"/>
    </row>
    <row r="29002" spans="26:26" x14ac:dyDescent="0.25">
      <c r="Z29002"/>
    </row>
    <row r="29003" spans="26:26" x14ac:dyDescent="0.25">
      <c r="Z29003"/>
    </row>
    <row r="29004" spans="26:26" x14ac:dyDescent="0.25">
      <c r="Z29004"/>
    </row>
    <row r="29005" spans="26:26" x14ac:dyDescent="0.25">
      <c r="Z29005"/>
    </row>
    <row r="29006" spans="26:26" x14ac:dyDescent="0.25">
      <c r="Z29006"/>
    </row>
    <row r="29007" spans="26:26" x14ac:dyDescent="0.25">
      <c r="Z29007"/>
    </row>
    <row r="29008" spans="26:26" x14ac:dyDescent="0.25">
      <c r="Z29008"/>
    </row>
    <row r="29009" spans="26:26" x14ac:dyDescent="0.25">
      <c r="Z29009"/>
    </row>
    <row r="29010" spans="26:26" x14ac:dyDescent="0.25">
      <c r="Z29010"/>
    </row>
    <row r="29011" spans="26:26" x14ac:dyDescent="0.25">
      <c r="Z29011"/>
    </row>
    <row r="29012" spans="26:26" x14ac:dyDescent="0.25">
      <c r="Z29012"/>
    </row>
    <row r="29013" spans="26:26" x14ac:dyDescent="0.25">
      <c r="Z29013"/>
    </row>
    <row r="29014" spans="26:26" x14ac:dyDescent="0.25">
      <c r="Z29014"/>
    </row>
    <row r="29015" spans="26:26" x14ac:dyDescent="0.25">
      <c r="Z29015"/>
    </row>
    <row r="29016" spans="26:26" x14ac:dyDescent="0.25">
      <c r="Z29016"/>
    </row>
    <row r="29017" spans="26:26" x14ac:dyDescent="0.25">
      <c r="Z29017"/>
    </row>
    <row r="29018" spans="26:26" x14ac:dyDescent="0.25">
      <c r="Z29018"/>
    </row>
    <row r="29019" spans="26:26" x14ac:dyDescent="0.25">
      <c r="Z29019"/>
    </row>
    <row r="29020" spans="26:26" x14ac:dyDescent="0.25">
      <c r="Z29020"/>
    </row>
    <row r="29021" spans="26:26" x14ac:dyDescent="0.25">
      <c r="Z29021"/>
    </row>
    <row r="29022" spans="26:26" x14ac:dyDescent="0.25">
      <c r="Z29022"/>
    </row>
    <row r="29023" spans="26:26" x14ac:dyDescent="0.25">
      <c r="Z29023"/>
    </row>
    <row r="29024" spans="26:26" x14ac:dyDescent="0.25">
      <c r="Z29024"/>
    </row>
    <row r="29025" spans="26:26" x14ac:dyDescent="0.25">
      <c r="Z29025"/>
    </row>
    <row r="29026" spans="26:26" x14ac:dyDescent="0.25">
      <c r="Z29026"/>
    </row>
    <row r="29027" spans="26:26" x14ac:dyDescent="0.25">
      <c r="Z29027"/>
    </row>
    <row r="29028" spans="26:26" x14ac:dyDescent="0.25">
      <c r="Z29028"/>
    </row>
    <row r="29029" spans="26:26" x14ac:dyDescent="0.25">
      <c r="Z29029"/>
    </row>
    <row r="29030" spans="26:26" x14ac:dyDescent="0.25">
      <c r="Z29030"/>
    </row>
    <row r="29031" spans="26:26" x14ac:dyDescent="0.25">
      <c r="Z29031"/>
    </row>
    <row r="29032" spans="26:26" x14ac:dyDescent="0.25">
      <c r="Z29032"/>
    </row>
    <row r="29033" spans="26:26" x14ac:dyDescent="0.25">
      <c r="Z29033"/>
    </row>
    <row r="29034" spans="26:26" x14ac:dyDescent="0.25">
      <c r="Z29034"/>
    </row>
    <row r="29035" spans="26:26" x14ac:dyDescent="0.25">
      <c r="Z29035"/>
    </row>
    <row r="29036" spans="26:26" x14ac:dyDescent="0.25">
      <c r="Z29036"/>
    </row>
    <row r="29037" spans="26:26" x14ac:dyDescent="0.25">
      <c r="Z29037"/>
    </row>
    <row r="29038" spans="26:26" x14ac:dyDescent="0.25">
      <c r="Z29038"/>
    </row>
    <row r="29039" spans="26:26" x14ac:dyDescent="0.25">
      <c r="Z29039"/>
    </row>
    <row r="29040" spans="26:26" x14ac:dyDescent="0.25">
      <c r="Z29040"/>
    </row>
    <row r="29041" spans="26:26" x14ac:dyDescent="0.25">
      <c r="Z29041"/>
    </row>
    <row r="29042" spans="26:26" x14ac:dyDescent="0.25">
      <c r="Z29042"/>
    </row>
    <row r="29043" spans="26:26" x14ac:dyDescent="0.25">
      <c r="Z29043"/>
    </row>
    <row r="29044" spans="26:26" x14ac:dyDescent="0.25">
      <c r="Z29044"/>
    </row>
    <row r="29045" spans="26:26" x14ac:dyDescent="0.25">
      <c r="Z29045"/>
    </row>
    <row r="29046" spans="26:26" x14ac:dyDescent="0.25">
      <c r="Z29046"/>
    </row>
    <row r="29047" spans="26:26" x14ac:dyDescent="0.25">
      <c r="Z29047"/>
    </row>
    <row r="29048" spans="26:26" x14ac:dyDescent="0.25">
      <c r="Z29048"/>
    </row>
    <row r="29049" spans="26:26" x14ac:dyDescent="0.25">
      <c r="Z29049"/>
    </row>
    <row r="29050" spans="26:26" x14ac:dyDescent="0.25">
      <c r="Z29050"/>
    </row>
    <row r="29051" spans="26:26" x14ac:dyDescent="0.25">
      <c r="Z29051"/>
    </row>
    <row r="29052" spans="26:26" x14ac:dyDescent="0.25">
      <c r="Z29052"/>
    </row>
    <row r="29053" spans="26:26" x14ac:dyDescent="0.25">
      <c r="Z29053"/>
    </row>
    <row r="29054" spans="26:26" x14ac:dyDescent="0.25">
      <c r="Z29054"/>
    </row>
    <row r="29055" spans="26:26" x14ac:dyDescent="0.25">
      <c r="Z29055"/>
    </row>
    <row r="29056" spans="26:26" x14ac:dyDescent="0.25">
      <c r="Z29056"/>
    </row>
    <row r="29057" spans="26:26" x14ac:dyDescent="0.25">
      <c r="Z29057"/>
    </row>
    <row r="29058" spans="26:26" x14ac:dyDescent="0.25">
      <c r="Z29058"/>
    </row>
    <row r="29059" spans="26:26" x14ac:dyDescent="0.25">
      <c r="Z29059"/>
    </row>
    <row r="29060" spans="26:26" x14ac:dyDescent="0.25">
      <c r="Z29060"/>
    </row>
    <row r="29061" spans="26:26" x14ac:dyDescent="0.25">
      <c r="Z29061"/>
    </row>
    <row r="29062" spans="26:26" x14ac:dyDescent="0.25">
      <c r="Z29062"/>
    </row>
    <row r="29063" spans="26:26" x14ac:dyDescent="0.25">
      <c r="Z29063"/>
    </row>
    <row r="29064" spans="26:26" x14ac:dyDescent="0.25">
      <c r="Z29064"/>
    </row>
    <row r="29065" spans="26:26" x14ac:dyDescent="0.25">
      <c r="Z29065"/>
    </row>
    <row r="29066" spans="26:26" x14ac:dyDescent="0.25">
      <c r="Z29066"/>
    </row>
    <row r="29067" spans="26:26" x14ac:dyDescent="0.25">
      <c r="Z29067"/>
    </row>
    <row r="29068" spans="26:26" x14ac:dyDescent="0.25">
      <c r="Z29068"/>
    </row>
    <row r="29069" spans="26:26" x14ac:dyDescent="0.25">
      <c r="Z29069"/>
    </row>
    <row r="29070" spans="26:26" x14ac:dyDescent="0.25">
      <c r="Z29070"/>
    </row>
    <row r="29071" spans="26:26" x14ac:dyDescent="0.25">
      <c r="Z29071"/>
    </row>
    <row r="29072" spans="26:26" x14ac:dyDescent="0.25">
      <c r="Z29072"/>
    </row>
    <row r="29073" spans="26:26" x14ac:dyDescent="0.25">
      <c r="Z29073"/>
    </row>
    <row r="29074" spans="26:26" x14ac:dyDescent="0.25">
      <c r="Z29074"/>
    </row>
    <row r="29075" spans="26:26" x14ac:dyDescent="0.25">
      <c r="Z29075"/>
    </row>
    <row r="29076" spans="26:26" x14ac:dyDescent="0.25">
      <c r="Z29076"/>
    </row>
    <row r="29077" spans="26:26" x14ac:dyDescent="0.25">
      <c r="Z29077"/>
    </row>
    <row r="29078" spans="26:26" x14ac:dyDescent="0.25">
      <c r="Z29078"/>
    </row>
    <row r="29079" spans="26:26" x14ac:dyDescent="0.25">
      <c r="Z29079"/>
    </row>
    <row r="29080" spans="26:26" x14ac:dyDescent="0.25">
      <c r="Z29080"/>
    </row>
    <row r="29081" spans="26:26" x14ac:dyDescent="0.25">
      <c r="Z29081"/>
    </row>
    <row r="29082" spans="26:26" x14ac:dyDescent="0.25">
      <c r="Z29082"/>
    </row>
    <row r="29083" spans="26:26" x14ac:dyDescent="0.25">
      <c r="Z29083"/>
    </row>
    <row r="29084" spans="26:26" x14ac:dyDescent="0.25">
      <c r="Z29084"/>
    </row>
    <row r="29085" spans="26:26" x14ac:dyDescent="0.25">
      <c r="Z29085"/>
    </row>
    <row r="29086" spans="26:26" x14ac:dyDescent="0.25">
      <c r="Z29086"/>
    </row>
    <row r="29087" spans="26:26" x14ac:dyDescent="0.25">
      <c r="Z29087"/>
    </row>
    <row r="29088" spans="26:26" x14ac:dyDescent="0.25">
      <c r="Z29088"/>
    </row>
    <row r="29089" spans="26:26" x14ac:dyDescent="0.25">
      <c r="Z29089"/>
    </row>
    <row r="29090" spans="26:26" x14ac:dyDescent="0.25">
      <c r="Z29090"/>
    </row>
    <row r="29091" spans="26:26" x14ac:dyDescent="0.25">
      <c r="Z29091"/>
    </row>
    <row r="29092" spans="26:26" x14ac:dyDescent="0.25">
      <c r="Z29092"/>
    </row>
    <row r="29093" spans="26:26" x14ac:dyDescent="0.25">
      <c r="Z29093"/>
    </row>
    <row r="29094" spans="26:26" x14ac:dyDescent="0.25">
      <c r="Z29094"/>
    </row>
    <row r="29095" spans="26:26" x14ac:dyDescent="0.25">
      <c r="Z29095"/>
    </row>
    <row r="29096" spans="26:26" x14ac:dyDescent="0.25">
      <c r="Z29096"/>
    </row>
    <row r="29097" spans="26:26" x14ac:dyDescent="0.25">
      <c r="Z29097"/>
    </row>
    <row r="29098" spans="26:26" x14ac:dyDescent="0.25">
      <c r="Z29098"/>
    </row>
    <row r="29099" spans="26:26" x14ac:dyDescent="0.25">
      <c r="Z29099"/>
    </row>
    <row r="29100" spans="26:26" x14ac:dyDescent="0.25">
      <c r="Z29100"/>
    </row>
    <row r="29101" spans="26:26" x14ac:dyDescent="0.25">
      <c r="Z29101"/>
    </row>
    <row r="29102" spans="26:26" x14ac:dyDescent="0.25">
      <c r="Z29102"/>
    </row>
    <row r="29103" spans="26:26" x14ac:dyDescent="0.25">
      <c r="Z29103"/>
    </row>
    <row r="29104" spans="26:26" x14ac:dyDescent="0.25">
      <c r="Z29104"/>
    </row>
    <row r="29105" spans="26:26" x14ac:dyDescent="0.25">
      <c r="Z29105"/>
    </row>
    <row r="29106" spans="26:26" x14ac:dyDescent="0.25">
      <c r="Z29106"/>
    </row>
    <row r="29107" spans="26:26" x14ac:dyDescent="0.25">
      <c r="Z29107"/>
    </row>
    <row r="29108" spans="26:26" x14ac:dyDescent="0.25">
      <c r="Z29108"/>
    </row>
    <row r="29109" spans="26:26" x14ac:dyDescent="0.25">
      <c r="Z29109"/>
    </row>
    <row r="29110" spans="26:26" x14ac:dyDescent="0.25">
      <c r="Z29110"/>
    </row>
    <row r="29111" spans="26:26" x14ac:dyDescent="0.25">
      <c r="Z29111"/>
    </row>
    <row r="29112" spans="26:26" x14ac:dyDescent="0.25">
      <c r="Z29112"/>
    </row>
    <row r="29113" spans="26:26" x14ac:dyDescent="0.25">
      <c r="Z29113"/>
    </row>
    <row r="29114" spans="26:26" x14ac:dyDescent="0.25">
      <c r="Z29114"/>
    </row>
    <row r="29115" spans="26:26" x14ac:dyDescent="0.25">
      <c r="Z29115"/>
    </row>
    <row r="29116" spans="26:26" x14ac:dyDescent="0.25">
      <c r="Z29116"/>
    </row>
    <row r="29117" spans="26:26" x14ac:dyDescent="0.25">
      <c r="Z29117"/>
    </row>
    <row r="29118" spans="26:26" x14ac:dyDescent="0.25">
      <c r="Z29118"/>
    </row>
    <row r="29119" spans="26:26" x14ac:dyDescent="0.25">
      <c r="Z29119"/>
    </row>
    <row r="29120" spans="26:26" x14ac:dyDescent="0.25">
      <c r="Z29120"/>
    </row>
    <row r="29121" spans="26:26" x14ac:dyDescent="0.25">
      <c r="Z29121"/>
    </row>
    <row r="29122" spans="26:26" x14ac:dyDescent="0.25">
      <c r="Z29122"/>
    </row>
    <row r="29123" spans="26:26" x14ac:dyDescent="0.25">
      <c r="Z29123"/>
    </row>
    <row r="29124" spans="26:26" x14ac:dyDescent="0.25">
      <c r="Z29124"/>
    </row>
    <row r="29125" spans="26:26" x14ac:dyDescent="0.25">
      <c r="Z29125"/>
    </row>
    <row r="29126" spans="26:26" x14ac:dyDescent="0.25">
      <c r="Z29126"/>
    </row>
    <row r="29127" spans="26:26" x14ac:dyDescent="0.25">
      <c r="Z29127"/>
    </row>
    <row r="29128" spans="26:26" x14ac:dyDescent="0.25">
      <c r="Z29128"/>
    </row>
    <row r="29129" spans="26:26" x14ac:dyDescent="0.25">
      <c r="Z29129"/>
    </row>
    <row r="29130" spans="26:26" x14ac:dyDescent="0.25">
      <c r="Z29130"/>
    </row>
    <row r="29131" spans="26:26" x14ac:dyDescent="0.25">
      <c r="Z29131"/>
    </row>
    <row r="29132" spans="26:26" x14ac:dyDescent="0.25">
      <c r="Z29132"/>
    </row>
    <row r="29133" spans="26:26" x14ac:dyDescent="0.25">
      <c r="Z29133"/>
    </row>
    <row r="29134" spans="26:26" x14ac:dyDescent="0.25">
      <c r="Z29134"/>
    </row>
    <row r="29135" spans="26:26" x14ac:dyDescent="0.25">
      <c r="Z29135"/>
    </row>
    <row r="29136" spans="26:26" x14ac:dyDescent="0.25">
      <c r="Z29136"/>
    </row>
    <row r="29137" spans="26:26" x14ac:dyDescent="0.25">
      <c r="Z29137"/>
    </row>
    <row r="29138" spans="26:26" x14ac:dyDescent="0.25">
      <c r="Z29138"/>
    </row>
    <row r="29139" spans="26:26" x14ac:dyDescent="0.25">
      <c r="Z29139"/>
    </row>
    <row r="29140" spans="26:26" x14ac:dyDescent="0.25">
      <c r="Z29140"/>
    </row>
    <row r="29141" spans="26:26" x14ac:dyDescent="0.25">
      <c r="Z29141"/>
    </row>
    <row r="29142" spans="26:26" x14ac:dyDescent="0.25">
      <c r="Z29142"/>
    </row>
    <row r="29143" spans="26:26" x14ac:dyDescent="0.25">
      <c r="Z29143"/>
    </row>
    <row r="29144" spans="26:26" x14ac:dyDescent="0.25">
      <c r="Z29144"/>
    </row>
    <row r="29145" spans="26:26" x14ac:dyDescent="0.25">
      <c r="Z29145"/>
    </row>
    <row r="29146" spans="26:26" x14ac:dyDescent="0.25">
      <c r="Z29146"/>
    </row>
    <row r="29147" spans="26:26" x14ac:dyDescent="0.25">
      <c r="Z29147"/>
    </row>
    <row r="29148" spans="26:26" x14ac:dyDescent="0.25">
      <c r="Z29148"/>
    </row>
    <row r="29149" spans="26:26" x14ac:dyDescent="0.25">
      <c r="Z29149"/>
    </row>
    <row r="29150" spans="26:26" x14ac:dyDescent="0.25">
      <c r="Z29150"/>
    </row>
    <row r="29151" spans="26:26" x14ac:dyDescent="0.25">
      <c r="Z29151"/>
    </row>
    <row r="29152" spans="26:26" x14ac:dyDescent="0.25">
      <c r="Z29152"/>
    </row>
    <row r="29153" spans="26:26" x14ac:dyDescent="0.25">
      <c r="Z29153"/>
    </row>
    <row r="29154" spans="26:26" x14ac:dyDescent="0.25">
      <c r="Z29154"/>
    </row>
    <row r="29155" spans="26:26" x14ac:dyDescent="0.25">
      <c r="Z29155"/>
    </row>
    <row r="29156" spans="26:26" x14ac:dyDescent="0.25">
      <c r="Z29156"/>
    </row>
    <row r="29157" spans="26:26" x14ac:dyDescent="0.25">
      <c r="Z29157"/>
    </row>
    <row r="29158" spans="26:26" x14ac:dyDescent="0.25">
      <c r="Z29158"/>
    </row>
    <row r="29159" spans="26:26" x14ac:dyDescent="0.25">
      <c r="Z29159"/>
    </row>
    <row r="29160" spans="26:26" x14ac:dyDescent="0.25">
      <c r="Z29160"/>
    </row>
    <row r="29161" spans="26:26" x14ac:dyDescent="0.25">
      <c r="Z29161"/>
    </row>
    <row r="29162" spans="26:26" x14ac:dyDescent="0.25">
      <c r="Z29162"/>
    </row>
    <row r="29163" spans="26:26" x14ac:dyDescent="0.25">
      <c r="Z29163"/>
    </row>
    <row r="29164" spans="26:26" x14ac:dyDescent="0.25">
      <c r="Z29164"/>
    </row>
    <row r="29165" spans="26:26" x14ac:dyDescent="0.25">
      <c r="Z29165"/>
    </row>
    <row r="29166" spans="26:26" x14ac:dyDescent="0.25">
      <c r="Z29166"/>
    </row>
    <row r="29167" spans="26:26" x14ac:dyDescent="0.25">
      <c r="Z29167"/>
    </row>
    <row r="29168" spans="26:26" x14ac:dyDescent="0.25">
      <c r="Z29168"/>
    </row>
    <row r="29169" spans="26:26" x14ac:dyDescent="0.25">
      <c r="Z29169"/>
    </row>
    <row r="29170" spans="26:26" x14ac:dyDescent="0.25">
      <c r="Z29170"/>
    </row>
    <row r="29171" spans="26:26" x14ac:dyDescent="0.25">
      <c r="Z29171"/>
    </row>
    <row r="29172" spans="26:26" x14ac:dyDescent="0.25">
      <c r="Z29172"/>
    </row>
    <row r="29173" spans="26:26" x14ac:dyDescent="0.25">
      <c r="Z29173"/>
    </row>
    <row r="29174" spans="26:26" x14ac:dyDescent="0.25">
      <c r="Z29174"/>
    </row>
    <row r="29175" spans="26:26" x14ac:dyDescent="0.25">
      <c r="Z29175"/>
    </row>
    <row r="29176" spans="26:26" x14ac:dyDescent="0.25">
      <c r="Z29176"/>
    </row>
    <row r="29177" spans="26:26" x14ac:dyDescent="0.25">
      <c r="Z29177"/>
    </row>
    <row r="29178" spans="26:26" x14ac:dyDescent="0.25">
      <c r="Z29178"/>
    </row>
    <row r="29179" spans="26:26" x14ac:dyDescent="0.25">
      <c r="Z29179"/>
    </row>
    <row r="29180" spans="26:26" x14ac:dyDescent="0.25">
      <c r="Z29180"/>
    </row>
    <row r="29181" spans="26:26" x14ac:dyDescent="0.25">
      <c r="Z29181"/>
    </row>
    <row r="29182" spans="26:26" x14ac:dyDescent="0.25">
      <c r="Z29182"/>
    </row>
    <row r="29183" spans="26:26" x14ac:dyDescent="0.25">
      <c r="Z29183"/>
    </row>
    <row r="29184" spans="26:26" x14ac:dyDescent="0.25">
      <c r="Z29184"/>
    </row>
    <row r="29185" spans="26:26" x14ac:dyDescent="0.25">
      <c r="Z29185"/>
    </row>
    <row r="29186" spans="26:26" x14ac:dyDescent="0.25">
      <c r="Z29186"/>
    </row>
    <row r="29187" spans="26:26" x14ac:dyDescent="0.25">
      <c r="Z29187"/>
    </row>
    <row r="29188" spans="26:26" x14ac:dyDescent="0.25">
      <c r="Z29188"/>
    </row>
    <row r="29189" spans="26:26" x14ac:dyDescent="0.25">
      <c r="Z29189"/>
    </row>
    <row r="29190" spans="26:26" x14ac:dyDescent="0.25">
      <c r="Z29190"/>
    </row>
    <row r="29191" spans="26:26" x14ac:dyDescent="0.25">
      <c r="Z29191"/>
    </row>
    <row r="29192" spans="26:26" x14ac:dyDescent="0.25">
      <c r="Z29192"/>
    </row>
    <row r="29193" spans="26:26" x14ac:dyDescent="0.25">
      <c r="Z29193"/>
    </row>
    <row r="29194" spans="26:26" x14ac:dyDescent="0.25">
      <c r="Z29194"/>
    </row>
    <row r="29195" spans="26:26" x14ac:dyDescent="0.25">
      <c r="Z29195"/>
    </row>
    <row r="29196" spans="26:26" x14ac:dyDescent="0.25">
      <c r="Z29196"/>
    </row>
    <row r="29197" spans="26:26" x14ac:dyDescent="0.25">
      <c r="Z29197"/>
    </row>
    <row r="29198" spans="26:26" x14ac:dyDescent="0.25">
      <c r="Z29198"/>
    </row>
    <row r="29199" spans="26:26" x14ac:dyDescent="0.25">
      <c r="Z29199"/>
    </row>
    <row r="29200" spans="26:26" x14ac:dyDescent="0.25">
      <c r="Z29200"/>
    </row>
    <row r="29201" spans="26:26" x14ac:dyDescent="0.25">
      <c r="Z29201"/>
    </row>
    <row r="29202" spans="26:26" x14ac:dyDescent="0.25">
      <c r="Z29202"/>
    </row>
    <row r="29203" spans="26:26" x14ac:dyDescent="0.25">
      <c r="Z29203"/>
    </row>
    <row r="29204" spans="26:26" x14ac:dyDescent="0.25">
      <c r="Z29204"/>
    </row>
    <row r="29205" spans="26:26" x14ac:dyDescent="0.25">
      <c r="Z29205"/>
    </row>
    <row r="29206" spans="26:26" x14ac:dyDescent="0.25">
      <c r="Z29206"/>
    </row>
    <row r="29207" spans="26:26" x14ac:dyDescent="0.25">
      <c r="Z29207"/>
    </row>
    <row r="29208" spans="26:26" x14ac:dyDescent="0.25">
      <c r="Z29208"/>
    </row>
    <row r="29209" spans="26:26" x14ac:dyDescent="0.25">
      <c r="Z29209"/>
    </row>
    <row r="29210" spans="26:26" x14ac:dyDescent="0.25">
      <c r="Z29210"/>
    </row>
    <row r="29211" spans="26:26" x14ac:dyDescent="0.25">
      <c r="Z29211"/>
    </row>
    <row r="29212" spans="26:26" x14ac:dyDescent="0.25">
      <c r="Z29212"/>
    </row>
    <row r="29213" spans="26:26" x14ac:dyDescent="0.25">
      <c r="Z29213"/>
    </row>
    <row r="29214" spans="26:26" x14ac:dyDescent="0.25">
      <c r="Z29214"/>
    </row>
    <row r="29215" spans="26:26" x14ac:dyDescent="0.25">
      <c r="Z29215"/>
    </row>
    <row r="29216" spans="26:26" x14ac:dyDescent="0.25">
      <c r="Z29216"/>
    </row>
    <row r="29217" spans="26:26" x14ac:dyDescent="0.25">
      <c r="Z29217"/>
    </row>
    <row r="29218" spans="26:26" x14ac:dyDescent="0.25">
      <c r="Z29218"/>
    </row>
    <row r="29219" spans="26:26" x14ac:dyDescent="0.25">
      <c r="Z29219"/>
    </row>
    <row r="29220" spans="26:26" x14ac:dyDescent="0.25">
      <c r="Z29220"/>
    </row>
    <row r="29221" spans="26:26" x14ac:dyDescent="0.25">
      <c r="Z29221"/>
    </row>
    <row r="29222" spans="26:26" x14ac:dyDescent="0.25">
      <c r="Z29222"/>
    </row>
    <row r="29223" spans="26:26" x14ac:dyDescent="0.25">
      <c r="Z29223"/>
    </row>
    <row r="29224" spans="26:26" x14ac:dyDescent="0.25">
      <c r="Z29224"/>
    </row>
    <row r="29225" spans="26:26" x14ac:dyDescent="0.25">
      <c r="Z29225"/>
    </row>
    <row r="29226" spans="26:26" x14ac:dyDescent="0.25">
      <c r="Z29226"/>
    </row>
    <row r="29227" spans="26:26" x14ac:dyDescent="0.25">
      <c r="Z29227"/>
    </row>
    <row r="29228" spans="26:26" x14ac:dyDescent="0.25">
      <c r="Z29228"/>
    </row>
    <row r="29229" spans="26:26" x14ac:dyDescent="0.25">
      <c r="Z29229"/>
    </row>
    <row r="29230" spans="26:26" x14ac:dyDescent="0.25">
      <c r="Z29230"/>
    </row>
    <row r="29231" spans="26:26" x14ac:dyDescent="0.25">
      <c r="Z29231"/>
    </row>
    <row r="29232" spans="26:26" x14ac:dyDescent="0.25">
      <c r="Z29232"/>
    </row>
    <row r="29233" spans="26:26" x14ac:dyDescent="0.25">
      <c r="Z29233"/>
    </row>
    <row r="29234" spans="26:26" x14ac:dyDescent="0.25">
      <c r="Z29234"/>
    </row>
    <row r="29235" spans="26:26" x14ac:dyDescent="0.25">
      <c r="Z29235"/>
    </row>
    <row r="29236" spans="26:26" x14ac:dyDescent="0.25">
      <c r="Z29236"/>
    </row>
    <row r="29237" spans="26:26" x14ac:dyDescent="0.25">
      <c r="Z29237"/>
    </row>
    <row r="29238" spans="26:26" x14ac:dyDescent="0.25">
      <c r="Z29238"/>
    </row>
    <row r="29239" spans="26:26" x14ac:dyDescent="0.25">
      <c r="Z29239"/>
    </row>
    <row r="29240" spans="26:26" x14ac:dyDescent="0.25">
      <c r="Z29240"/>
    </row>
    <row r="29241" spans="26:26" x14ac:dyDescent="0.25">
      <c r="Z29241"/>
    </row>
    <row r="29242" spans="26:26" x14ac:dyDescent="0.25">
      <c r="Z29242"/>
    </row>
    <row r="29243" spans="26:26" x14ac:dyDescent="0.25">
      <c r="Z29243"/>
    </row>
    <row r="29244" spans="26:26" x14ac:dyDescent="0.25">
      <c r="Z29244"/>
    </row>
    <row r="29245" spans="26:26" x14ac:dyDescent="0.25">
      <c r="Z29245"/>
    </row>
    <row r="29246" spans="26:26" x14ac:dyDescent="0.25">
      <c r="Z29246"/>
    </row>
    <row r="29247" spans="26:26" x14ac:dyDescent="0.25">
      <c r="Z29247"/>
    </row>
    <row r="29248" spans="26:26" x14ac:dyDescent="0.25">
      <c r="Z29248"/>
    </row>
    <row r="29249" spans="26:26" x14ac:dyDescent="0.25">
      <c r="Z29249"/>
    </row>
    <row r="29250" spans="26:26" x14ac:dyDescent="0.25">
      <c r="Z29250"/>
    </row>
    <row r="29251" spans="26:26" x14ac:dyDescent="0.25">
      <c r="Z29251"/>
    </row>
    <row r="29252" spans="26:26" x14ac:dyDescent="0.25">
      <c r="Z29252"/>
    </row>
    <row r="29253" spans="26:26" x14ac:dyDescent="0.25">
      <c r="Z29253"/>
    </row>
    <row r="29254" spans="26:26" x14ac:dyDescent="0.25">
      <c r="Z29254"/>
    </row>
    <row r="29255" spans="26:26" x14ac:dyDescent="0.25">
      <c r="Z29255"/>
    </row>
    <row r="29256" spans="26:26" x14ac:dyDescent="0.25">
      <c r="Z29256"/>
    </row>
    <row r="29257" spans="26:26" x14ac:dyDescent="0.25">
      <c r="Z29257"/>
    </row>
    <row r="29258" spans="26:26" x14ac:dyDescent="0.25">
      <c r="Z29258"/>
    </row>
    <row r="29259" spans="26:26" x14ac:dyDescent="0.25">
      <c r="Z29259"/>
    </row>
    <row r="29260" spans="26:26" x14ac:dyDescent="0.25">
      <c r="Z29260"/>
    </row>
    <row r="29261" spans="26:26" x14ac:dyDescent="0.25">
      <c r="Z29261"/>
    </row>
    <row r="29262" spans="26:26" x14ac:dyDescent="0.25">
      <c r="Z29262"/>
    </row>
    <row r="29263" spans="26:26" x14ac:dyDescent="0.25">
      <c r="Z29263"/>
    </row>
    <row r="29264" spans="26:26" x14ac:dyDescent="0.25">
      <c r="Z29264"/>
    </row>
    <row r="29265" spans="26:26" x14ac:dyDescent="0.25">
      <c r="Z29265"/>
    </row>
    <row r="29266" spans="26:26" x14ac:dyDescent="0.25">
      <c r="Z29266"/>
    </row>
    <row r="29267" spans="26:26" x14ac:dyDescent="0.25">
      <c r="Z29267"/>
    </row>
    <row r="29268" spans="26:26" x14ac:dyDescent="0.25">
      <c r="Z29268"/>
    </row>
    <row r="29269" spans="26:26" x14ac:dyDescent="0.25">
      <c r="Z29269"/>
    </row>
    <row r="29270" spans="26:26" x14ac:dyDescent="0.25">
      <c r="Z29270"/>
    </row>
    <row r="29271" spans="26:26" x14ac:dyDescent="0.25">
      <c r="Z29271"/>
    </row>
    <row r="29272" spans="26:26" x14ac:dyDescent="0.25">
      <c r="Z29272"/>
    </row>
    <row r="29273" spans="26:26" x14ac:dyDescent="0.25">
      <c r="Z29273"/>
    </row>
    <row r="29274" spans="26:26" x14ac:dyDescent="0.25">
      <c r="Z29274"/>
    </row>
    <row r="29275" spans="26:26" x14ac:dyDescent="0.25">
      <c r="Z29275"/>
    </row>
    <row r="29276" spans="26:26" x14ac:dyDescent="0.25">
      <c r="Z29276"/>
    </row>
    <row r="29277" spans="26:26" x14ac:dyDescent="0.25">
      <c r="Z29277"/>
    </row>
    <row r="29278" spans="26:26" x14ac:dyDescent="0.25">
      <c r="Z29278"/>
    </row>
    <row r="29279" spans="26:26" x14ac:dyDescent="0.25">
      <c r="Z29279"/>
    </row>
    <row r="29280" spans="26:26" x14ac:dyDescent="0.25">
      <c r="Z29280"/>
    </row>
    <row r="29281" spans="26:26" x14ac:dyDescent="0.25">
      <c r="Z29281"/>
    </row>
    <row r="29282" spans="26:26" x14ac:dyDescent="0.25">
      <c r="Z29282"/>
    </row>
    <row r="29283" spans="26:26" x14ac:dyDescent="0.25">
      <c r="Z29283"/>
    </row>
    <row r="29284" spans="26:26" x14ac:dyDescent="0.25">
      <c r="Z29284"/>
    </row>
    <row r="29285" spans="26:26" x14ac:dyDescent="0.25">
      <c r="Z29285"/>
    </row>
    <row r="29286" spans="26:26" x14ac:dyDescent="0.25">
      <c r="Z29286"/>
    </row>
    <row r="29287" spans="26:26" x14ac:dyDescent="0.25">
      <c r="Z29287"/>
    </row>
    <row r="29288" spans="26:26" x14ac:dyDescent="0.25">
      <c r="Z29288"/>
    </row>
    <row r="29289" spans="26:26" x14ac:dyDescent="0.25">
      <c r="Z29289"/>
    </row>
    <row r="29290" spans="26:26" x14ac:dyDescent="0.25">
      <c r="Z29290"/>
    </row>
    <row r="29291" spans="26:26" x14ac:dyDescent="0.25">
      <c r="Z29291"/>
    </row>
    <row r="29292" spans="26:26" x14ac:dyDescent="0.25">
      <c r="Z29292"/>
    </row>
    <row r="29293" spans="26:26" x14ac:dyDescent="0.25">
      <c r="Z29293"/>
    </row>
    <row r="29294" spans="26:26" x14ac:dyDescent="0.25">
      <c r="Z29294"/>
    </row>
    <row r="29295" spans="26:26" x14ac:dyDescent="0.25">
      <c r="Z29295"/>
    </row>
    <row r="29296" spans="26:26" x14ac:dyDescent="0.25">
      <c r="Z29296"/>
    </row>
    <row r="29297" spans="26:26" x14ac:dyDescent="0.25">
      <c r="Z29297"/>
    </row>
    <row r="29298" spans="26:26" x14ac:dyDescent="0.25">
      <c r="Z29298"/>
    </row>
    <row r="29299" spans="26:26" x14ac:dyDescent="0.25">
      <c r="Z29299"/>
    </row>
    <row r="29300" spans="26:26" x14ac:dyDescent="0.25">
      <c r="Z29300"/>
    </row>
    <row r="29301" spans="26:26" x14ac:dyDescent="0.25">
      <c r="Z29301"/>
    </row>
    <row r="29302" spans="26:26" x14ac:dyDescent="0.25">
      <c r="Z29302"/>
    </row>
    <row r="29303" spans="26:26" x14ac:dyDescent="0.25">
      <c r="Z29303"/>
    </row>
    <row r="29304" spans="26:26" x14ac:dyDescent="0.25">
      <c r="Z29304"/>
    </row>
    <row r="29305" spans="26:26" x14ac:dyDescent="0.25">
      <c r="Z29305"/>
    </row>
    <row r="29306" spans="26:26" x14ac:dyDescent="0.25">
      <c r="Z29306"/>
    </row>
    <row r="29307" spans="26:26" x14ac:dyDescent="0.25">
      <c r="Z29307"/>
    </row>
    <row r="29308" spans="26:26" x14ac:dyDescent="0.25">
      <c r="Z29308"/>
    </row>
    <row r="29309" spans="26:26" x14ac:dyDescent="0.25">
      <c r="Z29309"/>
    </row>
    <row r="29310" spans="26:26" x14ac:dyDescent="0.25">
      <c r="Z29310"/>
    </row>
    <row r="29311" spans="26:26" x14ac:dyDescent="0.25">
      <c r="Z29311"/>
    </row>
    <row r="29312" spans="26:26" x14ac:dyDescent="0.25">
      <c r="Z29312"/>
    </row>
    <row r="29313" spans="26:26" x14ac:dyDescent="0.25">
      <c r="Z29313"/>
    </row>
    <row r="29314" spans="26:26" x14ac:dyDescent="0.25">
      <c r="Z29314"/>
    </row>
    <row r="29315" spans="26:26" x14ac:dyDescent="0.25">
      <c r="Z29315"/>
    </row>
    <row r="29316" spans="26:26" x14ac:dyDescent="0.25">
      <c r="Z29316"/>
    </row>
    <row r="29317" spans="26:26" x14ac:dyDescent="0.25">
      <c r="Z29317"/>
    </row>
    <row r="29318" spans="26:26" x14ac:dyDescent="0.25">
      <c r="Z29318"/>
    </row>
    <row r="29319" spans="26:26" x14ac:dyDescent="0.25">
      <c r="Z29319"/>
    </row>
    <row r="29320" spans="26:26" x14ac:dyDescent="0.25">
      <c r="Z29320"/>
    </row>
    <row r="29321" spans="26:26" x14ac:dyDescent="0.25">
      <c r="Z29321"/>
    </row>
    <row r="29322" spans="26:26" x14ac:dyDescent="0.25">
      <c r="Z29322"/>
    </row>
    <row r="29323" spans="26:26" x14ac:dyDescent="0.25">
      <c r="Z29323"/>
    </row>
    <row r="29324" spans="26:26" x14ac:dyDescent="0.25">
      <c r="Z29324"/>
    </row>
    <row r="29325" spans="26:26" x14ac:dyDescent="0.25">
      <c r="Z29325"/>
    </row>
    <row r="29326" spans="26:26" x14ac:dyDescent="0.25">
      <c r="Z29326"/>
    </row>
    <row r="29327" spans="26:26" x14ac:dyDescent="0.25">
      <c r="Z29327"/>
    </row>
    <row r="29328" spans="26:26" x14ac:dyDescent="0.25">
      <c r="Z29328"/>
    </row>
    <row r="29329" spans="26:26" x14ac:dyDescent="0.25">
      <c r="Z29329"/>
    </row>
    <row r="29330" spans="26:26" x14ac:dyDescent="0.25">
      <c r="Z29330"/>
    </row>
    <row r="29331" spans="26:26" x14ac:dyDescent="0.25">
      <c r="Z29331"/>
    </row>
    <row r="29332" spans="26:26" x14ac:dyDescent="0.25">
      <c r="Z29332"/>
    </row>
    <row r="29333" spans="26:26" x14ac:dyDescent="0.25">
      <c r="Z29333"/>
    </row>
    <row r="29334" spans="26:26" x14ac:dyDescent="0.25">
      <c r="Z29334"/>
    </row>
    <row r="29335" spans="26:26" x14ac:dyDescent="0.25">
      <c r="Z29335"/>
    </row>
    <row r="29336" spans="26:26" x14ac:dyDescent="0.25">
      <c r="Z29336"/>
    </row>
    <row r="29337" spans="26:26" x14ac:dyDescent="0.25">
      <c r="Z29337"/>
    </row>
    <row r="29338" spans="26:26" x14ac:dyDescent="0.25">
      <c r="Z29338"/>
    </row>
    <row r="29339" spans="26:26" x14ac:dyDescent="0.25">
      <c r="Z29339"/>
    </row>
    <row r="29340" spans="26:26" x14ac:dyDescent="0.25">
      <c r="Z29340"/>
    </row>
    <row r="29341" spans="26:26" x14ac:dyDescent="0.25">
      <c r="Z29341"/>
    </row>
    <row r="29342" spans="26:26" x14ac:dyDescent="0.25">
      <c r="Z29342"/>
    </row>
    <row r="29343" spans="26:26" x14ac:dyDescent="0.25">
      <c r="Z29343"/>
    </row>
    <row r="29344" spans="26:26" x14ac:dyDescent="0.25">
      <c r="Z29344"/>
    </row>
    <row r="29345" spans="26:26" x14ac:dyDescent="0.25">
      <c r="Z29345"/>
    </row>
    <row r="29346" spans="26:26" x14ac:dyDescent="0.25">
      <c r="Z29346"/>
    </row>
    <row r="29347" spans="26:26" x14ac:dyDescent="0.25">
      <c r="Z29347"/>
    </row>
    <row r="29348" spans="26:26" x14ac:dyDescent="0.25">
      <c r="Z29348"/>
    </row>
    <row r="29349" spans="26:26" x14ac:dyDescent="0.25">
      <c r="Z29349"/>
    </row>
    <row r="29350" spans="26:26" x14ac:dyDescent="0.25">
      <c r="Z29350"/>
    </row>
    <row r="29351" spans="26:26" x14ac:dyDescent="0.25">
      <c r="Z29351"/>
    </row>
    <row r="29352" spans="26:26" x14ac:dyDescent="0.25">
      <c r="Z29352"/>
    </row>
    <row r="29353" spans="26:26" x14ac:dyDescent="0.25">
      <c r="Z29353"/>
    </row>
    <row r="29354" spans="26:26" x14ac:dyDescent="0.25">
      <c r="Z29354"/>
    </row>
    <row r="29355" spans="26:26" x14ac:dyDescent="0.25">
      <c r="Z29355"/>
    </row>
    <row r="29356" spans="26:26" x14ac:dyDescent="0.25">
      <c r="Z29356"/>
    </row>
    <row r="29357" spans="26:26" x14ac:dyDescent="0.25">
      <c r="Z29357"/>
    </row>
    <row r="29358" spans="26:26" x14ac:dyDescent="0.25">
      <c r="Z29358"/>
    </row>
    <row r="29359" spans="26:26" x14ac:dyDescent="0.25">
      <c r="Z29359"/>
    </row>
    <row r="29360" spans="26:26" x14ac:dyDescent="0.25">
      <c r="Z29360"/>
    </row>
    <row r="29361" spans="26:26" x14ac:dyDescent="0.25">
      <c r="Z29361"/>
    </row>
    <row r="29362" spans="26:26" x14ac:dyDescent="0.25">
      <c r="Z29362"/>
    </row>
    <row r="29363" spans="26:26" x14ac:dyDescent="0.25">
      <c r="Z29363"/>
    </row>
    <row r="29364" spans="26:26" x14ac:dyDescent="0.25">
      <c r="Z29364"/>
    </row>
    <row r="29365" spans="26:26" x14ac:dyDescent="0.25">
      <c r="Z29365"/>
    </row>
    <row r="29366" spans="26:26" x14ac:dyDescent="0.25">
      <c r="Z29366"/>
    </row>
    <row r="29367" spans="26:26" x14ac:dyDescent="0.25">
      <c r="Z29367"/>
    </row>
    <row r="29368" spans="26:26" x14ac:dyDescent="0.25">
      <c r="Z29368"/>
    </row>
    <row r="29369" spans="26:26" x14ac:dyDescent="0.25">
      <c r="Z29369"/>
    </row>
    <row r="29370" spans="26:26" x14ac:dyDescent="0.25">
      <c r="Z29370"/>
    </row>
    <row r="29371" spans="26:26" x14ac:dyDescent="0.25">
      <c r="Z29371"/>
    </row>
    <row r="29372" spans="26:26" x14ac:dyDescent="0.25">
      <c r="Z29372"/>
    </row>
    <row r="29373" spans="26:26" x14ac:dyDescent="0.25">
      <c r="Z29373"/>
    </row>
    <row r="29374" spans="26:26" x14ac:dyDescent="0.25">
      <c r="Z29374"/>
    </row>
    <row r="29375" spans="26:26" x14ac:dyDescent="0.25">
      <c r="Z29375"/>
    </row>
    <row r="29376" spans="26:26" x14ac:dyDescent="0.25">
      <c r="Z29376"/>
    </row>
    <row r="29377" spans="26:26" x14ac:dyDescent="0.25">
      <c r="Z29377"/>
    </row>
    <row r="29378" spans="26:26" x14ac:dyDescent="0.25">
      <c r="Z29378"/>
    </row>
    <row r="29379" spans="26:26" x14ac:dyDescent="0.25">
      <c r="Z29379"/>
    </row>
    <row r="29380" spans="26:26" x14ac:dyDescent="0.25">
      <c r="Z29380"/>
    </row>
    <row r="29381" spans="26:26" x14ac:dyDescent="0.25">
      <c r="Z29381"/>
    </row>
    <row r="29382" spans="26:26" x14ac:dyDescent="0.25">
      <c r="Z29382"/>
    </row>
    <row r="29383" spans="26:26" x14ac:dyDescent="0.25">
      <c r="Z29383"/>
    </row>
    <row r="29384" spans="26:26" x14ac:dyDescent="0.25">
      <c r="Z29384"/>
    </row>
    <row r="29385" spans="26:26" x14ac:dyDescent="0.25">
      <c r="Z29385"/>
    </row>
    <row r="29386" spans="26:26" x14ac:dyDescent="0.25">
      <c r="Z29386"/>
    </row>
    <row r="29387" spans="26:26" x14ac:dyDescent="0.25">
      <c r="Z29387"/>
    </row>
    <row r="29388" spans="26:26" x14ac:dyDescent="0.25">
      <c r="Z29388"/>
    </row>
    <row r="29389" spans="26:26" x14ac:dyDescent="0.25">
      <c r="Z29389"/>
    </row>
    <row r="29390" spans="26:26" x14ac:dyDescent="0.25">
      <c r="Z29390"/>
    </row>
    <row r="29391" spans="26:26" x14ac:dyDescent="0.25">
      <c r="Z29391"/>
    </row>
    <row r="29392" spans="26:26" x14ac:dyDescent="0.25">
      <c r="Z29392"/>
    </row>
    <row r="29393" spans="26:26" x14ac:dyDescent="0.25">
      <c r="Z29393"/>
    </row>
    <row r="29394" spans="26:26" x14ac:dyDescent="0.25">
      <c r="Z29394"/>
    </row>
    <row r="29395" spans="26:26" x14ac:dyDescent="0.25">
      <c r="Z29395"/>
    </row>
    <row r="29396" spans="26:26" x14ac:dyDescent="0.25">
      <c r="Z29396"/>
    </row>
    <row r="29397" spans="26:26" x14ac:dyDescent="0.25">
      <c r="Z29397"/>
    </row>
    <row r="29398" spans="26:26" x14ac:dyDescent="0.25">
      <c r="Z29398"/>
    </row>
    <row r="29399" spans="26:26" x14ac:dyDescent="0.25">
      <c r="Z29399"/>
    </row>
    <row r="29400" spans="26:26" x14ac:dyDescent="0.25">
      <c r="Z29400"/>
    </row>
    <row r="29401" spans="26:26" x14ac:dyDescent="0.25">
      <c r="Z29401"/>
    </row>
    <row r="29402" spans="26:26" x14ac:dyDescent="0.25">
      <c r="Z29402"/>
    </row>
    <row r="29403" spans="26:26" x14ac:dyDescent="0.25">
      <c r="Z29403"/>
    </row>
    <row r="29404" spans="26:26" x14ac:dyDescent="0.25">
      <c r="Z29404"/>
    </row>
    <row r="29405" spans="26:26" x14ac:dyDescent="0.25">
      <c r="Z29405"/>
    </row>
    <row r="29406" spans="26:26" x14ac:dyDescent="0.25">
      <c r="Z29406"/>
    </row>
    <row r="29407" spans="26:26" x14ac:dyDescent="0.25">
      <c r="Z29407"/>
    </row>
    <row r="29408" spans="26:26" x14ac:dyDescent="0.25">
      <c r="Z29408"/>
    </row>
    <row r="29409" spans="26:26" x14ac:dyDescent="0.25">
      <c r="Z29409"/>
    </row>
    <row r="29410" spans="26:26" x14ac:dyDescent="0.25">
      <c r="Z29410"/>
    </row>
    <row r="29411" spans="26:26" x14ac:dyDescent="0.25">
      <c r="Z29411"/>
    </row>
    <row r="29412" spans="26:26" x14ac:dyDescent="0.25">
      <c r="Z29412"/>
    </row>
    <row r="29413" spans="26:26" x14ac:dyDescent="0.25">
      <c r="Z29413"/>
    </row>
    <row r="29414" spans="26:26" x14ac:dyDescent="0.25">
      <c r="Z29414"/>
    </row>
    <row r="29415" spans="26:26" x14ac:dyDescent="0.25">
      <c r="Z29415"/>
    </row>
    <row r="29416" spans="26:26" x14ac:dyDescent="0.25">
      <c r="Z29416"/>
    </row>
    <row r="29417" spans="26:26" x14ac:dyDescent="0.25">
      <c r="Z29417"/>
    </row>
    <row r="29418" spans="26:26" x14ac:dyDescent="0.25">
      <c r="Z29418"/>
    </row>
    <row r="29419" spans="26:26" x14ac:dyDescent="0.25">
      <c r="Z29419"/>
    </row>
    <row r="29420" spans="26:26" x14ac:dyDescent="0.25">
      <c r="Z29420"/>
    </row>
    <row r="29421" spans="26:26" x14ac:dyDescent="0.25">
      <c r="Z29421"/>
    </row>
    <row r="29422" spans="26:26" x14ac:dyDescent="0.25">
      <c r="Z29422"/>
    </row>
    <row r="29423" spans="26:26" x14ac:dyDescent="0.25">
      <c r="Z29423"/>
    </row>
    <row r="29424" spans="26:26" x14ac:dyDescent="0.25">
      <c r="Z29424"/>
    </row>
    <row r="29425" spans="26:26" x14ac:dyDescent="0.25">
      <c r="Z29425"/>
    </row>
    <row r="29426" spans="26:26" x14ac:dyDescent="0.25">
      <c r="Z29426"/>
    </row>
    <row r="29427" spans="26:26" x14ac:dyDescent="0.25">
      <c r="Z29427"/>
    </row>
    <row r="29428" spans="26:26" x14ac:dyDescent="0.25">
      <c r="Z29428"/>
    </row>
    <row r="29429" spans="26:26" x14ac:dyDescent="0.25">
      <c r="Z29429"/>
    </row>
    <row r="29430" spans="26:26" x14ac:dyDescent="0.25">
      <c r="Z29430"/>
    </row>
    <row r="29431" spans="26:26" x14ac:dyDescent="0.25">
      <c r="Z29431"/>
    </row>
    <row r="29432" spans="26:26" x14ac:dyDescent="0.25">
      <c r="Z29432"/>
    </row>
    <row r="29433" spans="26:26" x14ac:dyDescent="0.25">
      <c r="Z29433"/>
    </row>
    <row r="29434" spans="26:26" x14ac:dyDescent="0.25">
      <c r="Z29434"/>
    </row>
    <row r="29435" spans="26:26" x14ac:dyDescent="0.25">
      <c r="Z29435"/>
    </row>
    <row r="29436" spans="26:26" x14ac:dyDescent="0.25">
      <c r="Z29436"/>
    </row>
    <row r="29437" spans="26:26" x14ac:dyDescent="0.25">
      <c r="Z29437"/>
    </row>
    <row r="29438" spans="26:26" x14ac:dyDescent="0.25">
      <c r="Z29438"/>
    </row>
    <row r="29439" spans="26:26" x14ac:dyDescent="0.25">
      <c r="Z29439"/>
    </row>
    <row r="29440" spans="26:26" x14ac:dyDescent="0.25">
      <c r="Z29440"/>
    </row>
    <row r="29441" spans="26:26" x14ac:dyDescent="0.25">
      <c r="Z29441"/>
    </row>
    <row r="29442" spans="26:26" x14ac:dyDescent="0.25">
      <c r="Z29442"/>
    </row>
    <row r="29443" spans="26:26" x14ac:dyDescent="0.25">
      <c r="Z29443"/>
    </row>
    <row r="29444" spans="26:26" x14ac:dyDescent="0.25">
      <c r="Z29444"/>
    </row>
    <row r="29445" spans="26:26" x14ac:dyDescent="0.25">
      <c r="Z29445"/>
    </row>
    <row r="29446" spans="26:26" x14ac:dyDescent="0.25">
      <c r="Z29446"/>
    </row>
    <row r="29447" spans="26:26" x14ac:dyDescent="0.25">
      <c r="Z29447"/>
    </row>
    <row r="29448" spans="26:26" x14ac:dyDescent="0.25">
      <c r="Z29448"/>
    </row>
    <row r="29449" spans="26:26" x14ac:dyDescent="0.25">
      <c r="Z29449"/>
    </row>
    <row r="29450" spans="26:26" x14ac:dyDescent="0.25">
      <c r="Z29450"/>
    </row>
    <row r="29451" spans="26:26" x14ac:dyDescent="0.25">
      <c r="Z29451"/>
    </row>
    <row r="29452" spans="26:26" x14ac:dyDescent="0.25">
      <c r="Z29452"/>
    </row>
    <row r="29453" spans="26:26" x14ac:dyDescent="0.25">
      <c r="Z29453"/>
    </row>
    <row r="29454" spans="26:26" x14ac:dyDescent="0.25">
      <c r="Z29454"/>
    </row>
    <row r="29455" spans="26:26" x14ac:dyDescent="0.25">
      <c r="Z29455"/>
    </row>
    <row r="29456" spans="26:26" x14ac:dyDescent="0.25">
      <c r="Z29456"/>
    </row>
    <row r="29457" spans="26:26" x14ac:dyDescent="0.25">
      <c r="Z29457"/>
    </row>
    <row r="29458" spans="26:26" x14ac:dyDescent="0.25">
      <c r="Z29458"/>
    </row>
    <row r="29459" spans="26:26" x14ac:dyDescent="0.25">
      <c r="Z29459"/>
    </row>
    <row r="29460" spans="26:26" x14ac:dyDescent="0.25">
      <c r="Z29460"/>
    </row>
    <row r="29461" spans="26:26" x14ac:dyDescent="0.25">
      <c r="Z29461"/>
    </row>
    <row r="29462" spans="26:26" x14ac:dyDescent="0.25">
      <c r="Z29462"/>
    </row>
    <row r="29463" spans="26:26" x14ac:dyDescent="0.25">
      <c r="Z29463"/>
    </row>
    <row r="29464" spans="26:26" x14ac:dyDescent="0.25">
      <c r="Z29464"/>
    </row>
    <row r="29465" spans="26:26" x14ac:dyDescent="0.25">
      <c r="Z29465"/>
    </row>
    <row r="29466" spans="26:26" x14ac:dyDescent="0.25">
      <c r="Z29466"/>
    </row>
    <row r="29467" spans="26:26" x14ac:dyDescent="0.25">
      <c r="Z29467"/>
    </row>
    <row r="29468" spans="26:26" x14ac:dyDescent="0.25">
      <c r="Z29468"/>
    </row>
    <row r="29469" spans="26:26" x14ac:dyDescent="0.25">
      <c r="Z29469"/>
    </row>
    <row r="29470" spans="26:26" x14ac:dyDescent="0.25">
      <c r="Z29470"/>
    </row>
    <row r="29471" spans="26:26" x14ac:dyDescent="0.25">
      <c r="Z29471"/>
    </row>
    <row r="29472" spans="26:26" x14ac:dyDescent="0.25">
      <c r="Z29472"/>
    </row>
    <row r="29473" spans="26:26" x14ac:dyDescent="0.25">
      <c r="Z29473"/>
    </row>
    <row r="29474" spans="26:26" x14ac:dyDescent="0.25">
      <c r="Z29474"/>
    </row>
    <row r="29475" spans="26:26" x14ac:dyDescent="0.25">
      <c r="Z29475"/>
    </row>
    <row r="29476" spans="26:26" x14ac:dyDescent="0.25">
      <c r="Z29476"/>
    </row>
    <row r="29477" spans="26:26" x14ac:dyDescent="0.25">
      <c r="Z29477"/>
    </row>
    <row r="29478" spans="26:26" x14ac:dyDescent="0.25">
      <c r="Z29478"/>
    </row>
    <row r="29479" spans="26:26" x14ac:dyDescent="0.25">
      <c r="Z29479"/>
    </row>
    <row r="29480" spans="26:26" x14ac:dyDescent="0.25">
      <c r="Z29480"/>
    </row>
    <row r="29481" spans="26:26" x14ac:dyDescent="0.25">
      <c r="Z29481"/>
    </row>
    <row r="29482" spans="26:26" x14ac:dyDescent="0.25">
      <c r="Z29482"/>
    </row>
    <row r="29483" spans="26:26" x14ac:dyDescent="0.25">
      <c r="Z29483"/>
    </row>
    <row r="29484" spans="26:26" x14ac:dyDescent="0.25">
      <c r="Z29484"/>
    </row>
    <row r="29485" spans="26:26" x14ac:dyDescent="0.25">
      <c r="Z29485"/>
    </row>
    <row r="29486" spans="26:26" x14ac:dyDescent="0.25">
      <c r="Z29486"/>
    </row>
    <row r="29487" spans="26:26" x14ac:dyDescent="0.25">
      <c r="Z29487"/>
    </row>
    <row r="29488" spans="26:26" x14ac:dyDescent="0.25">
      <c r="Z29488"/>
    </row>
    <row r="29489" spans="26:26" x14ac:dyDescent="0.25">
      <c r="Z29489"/>
    </row>
    <row r="29490" spans="26:26" x14ac:dyDescent="0.25">
      <c r="Z29490"/>
    </row>
    <row r="29491" spans="26:26" x14ac:dyDescent="0.25">
      <c r="Z29491"/>
    </row>
    <row r="29492" spans="26:26" x14ac:dyDescent="0.25">
      <c r="Z29492"/>
    </row>
    <row r="29493" spans="26:26" x14ac:dyDescent="0.25">
      <c r="Z29493"/>
    </row>
    <row r="29494" spans="26:26" x14ac:dyDescent="0.25">
      <c r="Z29494"/>
    </row>
    <row r="29495" spans="26:26" x14ac:dyDescent="0.25">
      <c r="Z29495"/>
    </row>
    <row r="29496" spans="26:26" x14ac:dyDescent="0.25">
      <c r="Z29496"/>
    </row>
    <row r="29497" spans="26:26" x14ac:dyDescent="0.25">
      <c r="Z29497"/>
    </row>
    <row r="29498" spans="26:26" x14ac:dyDescent="0.25">
      <c r="Z29498"/>
    </row>
    <row r="29499" spans="26:26" x14ac:dyDescent="0.25">
      <c r="Z29499"/>
    </row>
    <row r="29500" spans="26:26" x14ac:dyDescent="0.25">
      <c r="Z29500"/>
    </row>
    <row r="29501" spans="26:26" x14ac:dyDescent="0.25">
      <c r="Z29501"/>
    </row>
    <row r="29502" spans="26:26" x14ac:dyDescent="0.25">
      <c r="Z29502"/>
    </row>
    <row r="29503" spans="26:26" x14ac:dyDescent="0.25">
      <c r="Z29503"/>
    </row>
    <row r="29504" spans="26:26" x14ac:dyDescent="0.25">
      <c r="Z29504"/>
    </row>
    <row r="29505" spans="26:26" x14ac:dyDescent="0.25">
      <c r="Z29505"/>
    </row>
    <row r="29506" spans="26:26" x14ac:dyDescent="0.25">
      <c r="Z29506"/>
    </row>
    <row r="29507" spans="26:26" x14ac:dyDescent="0.25">
      <c r="Z29507"/>
    </row>
    <row r="29508" spans="26:26" x14ac:dyDescent="0.25">
      <c r="Z29508"/>
    </row>
    <row r="29509" spans="26:26" x14ac:dyDescent="0.25">
      <c r="Z29509"/>
    </row>
    <row r="29510" spans="26:26" x14ac:dyDescent="0.25">
      <c r="Z29510"/>
    </row>
    <row r="29511" spans="26:26" x14ac:dyDescent="0.25">
      <c r="Z29511"/>
    </row>
    <row r="29512" spans="26:26" x14ac:dyDescent="0.25">
      <c r="Z29512"/>
    </row>
    <row r="29513" spans="26:26" x14ac:dyDescent="0.25">
      <c r="Z29513"/>
    </row>
    <row r="29514" spans="26:26" x14ac:dyDescent="0.25">
      <c r="Z29514"/>
    </row>
    <row r="29515" spans="26:26" x14ac:dyDescent="0.25">
      <c r="Z29515"/>
    </row>
    <row r="29516" spans="26:26" x14ac:dyDescent="0.25">
      <c r="Z29516"/>
    </row>
    <row r="29517" spans="26:26" x14ac:dyDescent="0.25">
      <c r="Z29517"/>
    </row>
    <row r="29518" spans="26:26" x14ac:dyDescent="0.25">
      <c r="Z29518"/>
    </row>
    <row r="29519" spans="26:26" x14ac:dyDescent="0.25">
      <c r="Z29519"/>
    </row>
    <row r="29520" spans="26:26" x14ac:dyDescent="0.25">
      <c r="Z29520"/>
    </row>
    <row r="29521" spans="26:26" x14ac:dyDescent="0.25">
      <c r="Z29521"/>
    </row>
    <row r="29522" spans="26:26" x14ac:dyDescent="0.25">
      <c r="Z29522"/>
    </row>
    <row r="29523" spans="26:26" x14ac:dyDescent="0.25">
      <c r="Z29523"/>
    </row>
    <row r="29524" spans="26:26" x14ac:dyDescent="0.25">
      <c r="Z29524"/>
    </row>
    <row r="29525" spans="26:26" x14ac:dyDescent="0.25">
      <c r="Z29525"/>
    </row>
    <row r="29526" spans="26:26" x14ac:dyDescent="0.25">
      <c r="Z29526"/>
    </row>
    <row r="29527" spans="26:26" x14ac:dyDescent="0.25">
      <c r="Z29527"/>
    </row>
    <row r="29528" spans="26:26" x14ac:dyDescent="0.25">
      <c r="Z29528"/>
    </row>
    <row r="29529" spans="26:26" x14ac:dyDescent="0.25">
      <c r="Z29529"/>
    </row>
    <row r="29530" spans="26:26" x14ac:dyDescent="0.25">
      <c r="Z29530"/>
    </row>
    <row r="29531" spans="26:26" x14ac:dyDescent="0.25">
      <c r="Z29531"/>
    </row>
    <row r="29532" spans="26:26" x14ac:dyDescent="0.25">
      <c r="Z29532"/>
    </row>
    <row r="29533" spans="26:26" x14ac:dyDescent="0.25">
      <c r="Z29533"/>
    </row>
    <row r="29534" spans="26:26" x14ac:dyDescent="0.25">
      <c r="Z29534"/>
    </row>
    <row r="29535" spans="26:26" x14ac:dyDescent="0.25">
      <c r="Z29535"/>
    </row>
    <row r="29536" spans="26:26" x14ac:dyDescent="0.25">
      <c r="Z29536"/>
    </row>
    <row r="29537" spans="26:26" x14ac:dyDescent="0.25">
      <c r="Z29537"/>
    </row>
    <row r="29538" spans="26:26" x14ac:dyDescent="0.25">
      <c r="Z29538"/>
    </row>
    <row r="29539" spans="26:26" x14ac:dyDescent="0.25">
      <c r="Z29539"/>
    </row>
    <row r="29540" spans="26:26" x14ac:dyDescent="0.25">
      <c r="Z29540"/>
    </row>
    <row r="29541" spans="26:26" x14ac:dyDescent="0.25">
      <c r="Z29541"/>
    </row>
    <row r="29542" spans="26:26" x14ac:dyDescent="0.25">
      <c r="Z29542"/>
    </row>
    <row r="29543" spans="26:26" x14ac:dyDescent="0.25">
      <c r="Z29543"/>
    </row>
    <row r="29544" spans="26:26" x14ac:dyDescent="0.25">
      <c r="Z29544"/>
    </row>
    <row r="29545" spans="26:26" x14ac:dyDescent="0.25">
      <c r="Z29545"/>
    </row>
    <row r="29546" spans="26:26" x14ac:dyDescent="0.25">
      <c r="Z29546"/>
    </row>
    <row r="29547" spans="26:26" x14ac:dyDescent="0.25">
      <c r="Z29547"/>
    </row>
    <row r="29548" spans="26:26" x14ac:dyDescent="0.25">
      <c r="Z29548"/>
    </row>
    <row r="29549" spans="26:26" x14ac:dyDescent="0.25">
      <c r="Z29549"/>
    </row>
    <row r="29550" spans="26:26" x14ac:dyDescent="0.25">
      <c r="Z29550"/>
    </row>
    <row r="29551" spans="26:26" x14ac:dyDescent="0.25">
      <c r="Z29551"/>
    </row>
    <row r="29552" spans="26:26" x14ac:dyDescent="0.25">
      <c r="Z29552"/>
    </row>
    <row r="29553" spans="26:26" x14ac:dyDescent="0.25">
      <c r="Z29553"/>
    </row>
    <row r="29554" spans="26:26" x14ac:dyDescent="0.25">
      <c r="Z29554"/>
    </row>
    <row r="29555" spans="26:26" x14ac:dyDescent="0.25">
      <c r="Z29555"/>
    </row>
    <row r="29556" spans="26:26" x14ac:dyDescent="0.25">
      <c r="Z29556"/>
    </row>
    <row r="29557" spans="26:26" x14ac:dyDescent="0.25">
      <c r="Z29557"/>
    </row>
    <row r="29558" spans="26:26" x14ac:dyDescent="0.25">
      <c r="Z29558"/>
    </row>
    <row r="29559" spans="26:26" x14ac:dyDescent="0.25">
      <c r="Z29559"/>
    </row>
    <row r="29560" spans="26:26" x14ac:dyDescent="0.25">
      <c r="Z29560"/>
    </row>
    <row r="29561" spans="26:26" x14ac:dyDescent="0.25">
      <c r="Z29561"/>
    </row>
    <row r="29562" spans="26:26" x14ac:dyDescent="0.25">
      <c r="Z29562"/>
    </row>
    <row r="29563" spans="26:26" x14ac:dyDescent="0.25">
      <c r="Z29563"/>
    </row>
    <row r="29564" spans="26:26" x14ac:dyDescent="0.25">
      <c r="Z29564"/>
    </row>
    <row r="29565" spans="26:26" x14ac:dyDescent="0.25">
      <c r="Z29565"/>
    </row>
    <row r="29566" spans="26:26" x14ac:dyDescent="0.25">
      <c r="Z29566"/>
    </row>
    <row r="29567" spans="26:26" x14ac:dyDescent="0.25">
      <c r="Z29567"/>
    </row>
    <row r="29568" spans="26:26" x14ac:dyDescent="0.25">
      <c r="Z29568"/>
    </row>
    <row r="29569" spans="26:26" x14ac:dyDescent="0.25">
      <c r="Z29569"/>
    </row>
    <row r="29570" spans="26:26" x14ac:dyDescent="0.25">
      <c r="Z29570"/>
    </row>
    <row r="29571" spans="26:26" x14ac:dyDescent="0.25">
      <c r="Z29571"/>
    </row>
    <row r="29572" spans="26:26" x14ac:dyDescent="0.25">
      <c r="Z29572"/>
    </row>
    <row r="29573" spans="26:26" x14ac:dyDescent="0.25">
      <c r="Z29573"/>
    </row>
    <row r="29574" spans="26:26" x14ac:dyDescent="0.25">
      <c r="Z29574"/>
    </row>
    <row r="29575" spans="26:26" x14ac:dyDescent="0.25">
      <c r="Z29575"/>
    </row>
    <row r="29576" spans="26:26" x14ac:dyDescent="0.25">
      <c r="Z29576"/>
    </row>
    <row r="29577" spans="26:26" x14ac:dyDescent="0.25">
      <c r="Z29577"/>
    </row>
    <row r="29578" spans="26:26" x14ac:dyDescent="0.25">
      <c r="Z29578"/>
    </row>
    <row r="29579" spans="26:26" x14ac:dyDescent="0.25">
      <c r="Z29579"/>
    </row>
    <row r="29580" spans="26:26" x14ac:dyDescent="0.25">
      <c r="Z29580"/>
    </row>
    <row r="29581" spans="26:26" x14ac:dyDescent="0.25">
      <c r="Z29581"/>
    </row>
    <row r="29582" spans="26:26" x14ac:dyDescent="0.25">
      <c r="Z29582"/>
    </row>
    <row r="29583" spans="26:26" x14ac:dyDescent="0.25">
      <c r="Z29583"/>
    </row>
    <row r="29584" spans="26:26" x14ac:dyDescent="0.25">
      <c r="Z29584"/>
    </row>
    <row r="29585" spans="26:26" x14ac:dyDescent="0.25">
      <c r="Z29585"/>
    </row>
    <row r="29586" spans="26:26" x14ac:dyDescent="0.25">
      <c r="Z29586"/>
    </row>
    <row r="29587" spans="26:26" x14ac:dyDescent="0.25">
      <c r="Z29587"/>
    </row>
    <row r="29588" spans="26:26" x14ac:dyDescent="0.25">
      <c r="Z29588"/>
    </row>
    <row r="29589" spans="26:26" x14ac:dyDescent="0.25">
      <c r="Z29589"/>
    </row>
    <row r="29590" spans="26:26" x14ac:dyDescent="0.25">
      <c r="Z29590"/>
    </row>
    <row r="29591" spans="26:26" x14ac:dyDescent="0.25">
      <c r="Z29591"/>
    </row>
    <row r="29592" spans="26:26" x14ac:dyDescent="0.25">
      <c r="Z29592"/>
    </row>
    <row r="29593" spans="26:26" x14ac:dyDescent="0.25">
      <c r="Z29593"/>
    </row>
    <row r="29594" spans="26:26" x14ac:dyDescent="0.25">
      <c r="Z29594"/>
    </row>
    <row r="29595" spans="26:26" x14ac:dyDescent="0.25">
      <c r="Z29595"/>
    </row>
    <row r="29596" spans="26:26" x14ac:dyDescent="0.25">
      <c r="Z29596"/>
    </row>
    <row r="29597" spans="26:26" x14ac:dyDescent="0.25">
      <c r="Z29597"/>
    </row>
    <row r="29598" spans="26:26" x14ac:dyDescent="0.25">
      <c r="Z29598"/>
    </row>
    <row r="29599" spans="26:26" x14ac:dyDescent="0.25">
      <c r="Z29599"/>
    </row>
    <row r="29600" spans="26:26" x14ac:dyDescent="0.25">
      <c r="Z29600"/>
    </row>
    <row r="29601" spans="26:26" x14ac:dyDescent="0.25">
      <c r="Z29601"/>
    </row>
    <row r="29602" spans="26:26" x14ac:dyDescent="0.25">
      <c r="Z29602"/>
    </row>
    <row r="29603" spans="26:26" x14ac:dyDescent="0.25">
      <c r="Z29603"/>
    </row>
    <row r="29604" spans="26:26" x14ac:dyDescent="0.25">
      <c r="Z29604"/>
    </row>
    <row r="29605" spans="26:26" x14ac:dyDescent="0.25">
      <c r="Z29605"/>
    </row>
    <row r="29606" spans="26:26" x14ac:dyDescent="0.25">
      <c r="Z29606"/>
    </row>
    <row r="29607" spans="26:26" x14ac:dyDescent="0.25">
      <c r="Z29607"/>
    </row>
    <row r="29608" spans="26:26" x14ac:dyDescent="0.25">
      <c r="Z29608"/>
    </row>
    <row r="29609" spans="26:26" x14ac:dyDescent="0.25">
      <c r="Z29609"/>
    </row>
    <row r="29610" spans="26:26" x14ac:dyDescent="0.25">
      <c r="Z29610"/>
    </row>
    <row r="29611" spans="26:26" x14ac:dyDescent="0.25">
      <c r="Z29611"/>
    </row>
    <row r="29612" spans="26:26" x14ac:dyDescent="0.25">
      <c r="Z29612"/>
    </row>
    <row r="29613" spans="26:26" x14ac:dyDescent="0.25">
      <c r="Z29613"/>
    </row>
    <row r="29614" spans="26:26" x14ac:dyDescent="0.25">
      <c r="Z29614"/>
    </row>
    <row r="29615" spans="26:26" x14ac:dyDescent="0.25">
      <c r="Z29615"/>
    </row>
    <row r="29616" spans="26:26" x14ac:dyDescent="0.25">
      <c r="Z29616"/>
    </row>
    <row r="29617" spans="26:26" x14ac:dyDescent="0.25">
      <c r="Z29617"/>
    </row>
    <row r="29618" spans="26:26" x14ac:dyDescent="0.25">
      <c r="Z29618"/>
    </row>
    <row r="29619" spans="26:26" x14ac:dyDescent="0.25">
      <c r="Z29619"/>
    </row>
    <row r="29620" spans="26:26" x14ac:dyDescent="0.25">
      <c r="Z29620"/>
    </row>
    <row r="29621" spans="26:26" x14ac:dyDescent="0.25">
      <c r="Z29621"/>
    </row>
    <row r="29622" spans="26:26" x14ac:dyDescent="0.25">
      <c r="Z29622"/>
    </row>
    <row r="29623" spans="26:26" x14ac:dyDescent="0.25">
      <c r="Z29623"/>
    </row>
    <row r="29624" spans="26:26" x14ac:dyDescent="0.25">
      <c r="Z29624"/>
    </row>
    <row r="29625" spans="26:26" x14ac:dyDescent="0.25">
      <c r="Z29625"/>
    </row>
    <row r="29626" spans="26:26" x14ac:dyDescent="0.25">
      <c r="Z29626"/>
    </row>
    <row r="29627" spans="26:26" x14ac:dyDescent="0.25">
      <c r="Z29627"/>
    </row>
    <row r="29628" spans="26:26" x14ac:dyDescent="0.25">
      <c r="Z29628"/>
    </row>
    <row r="29629" spans="26:26" x14ac:dyDescent="0.25">
      <c r="Z29629"/>
    </row>
    <row r="29630" spans="26:26" x14ac:dyDescent="0.25">
      <c r="Z29630"/>
    </row>
    <row r="29631" spans="26:26" x14ac:dyDescent="0.25">
      <c r="Z29631"/>
    </row>
    <row r="29632" spans="26:26" x14ac:dyDescent="0.25">
      <c r="Z29632"/>
    </row>
    <row r="29633" spans="26:26" x14ac:dyDescent="0.25">
      <c r="Z29633"/>
    </row>
    <row r="29634" spans="26:26" x14ac:dyDescent="0.25">
      <c r="Z29634"/>
    </row>
    <row r="29635" spans="26:26" x14ac:dyDescent="0.25">
      <c r="Z29635"/>
    </row>
    <row r="29636" spans="26:26" x14ac:dyDescent="0.25">
      <c r="Z29636"/>
    </row>
    <row r="29637" spans="26:26" x14ac:dyDescent="0.25">
      <c r="Z29637"/>
    </row>
    <row r="29638" spans="26:26" x14ac:dyDescent="0.25">
      <c r="Z29638"/>
    </row>
    <row r="29639" spans="26:26" x14ac:dyDescent="0.25">
      <c r="Z29639"/>
    </row>
    <row r="29640" spans="26:26" x14ac:dyDescent="0.25">
      <c r="Z29640"/>
    </row>
    <row r="29641" spans="26:26" x14ac:dyDescent="0.25">
      <c r="Z29641"/>
    </row>
    <row r="29642" spans="26:26" x14ac:dyDescent="0.25">
      <c r="Z29642"/>
    </row>
    <row r="29643" spans="26:26" x14ac:dyDescent="0.25">
      <c r="Z29643"/>
    </row>
    <row r="29644" spans="26:26" x14ac:dyDescent="0.25">
      <c r="Z29644"/>
    </row>
    <row r="29645" spans="26:26" x14ac:dyDescent="0.25">
      <c r="Z29645"/>
    </row>
    <row r="29646" spans="26:26" x14ac:dyDescent="0.25">
      <c r="Z29646"/>
    </row>
    <row r="29647" spans="26:26" x14ac:dyDescent="0.25">
      <c r="Z29647"/>
    </row>
    <row r="29648" spans="26:26" x14ac:dyDescent="0.25">
      <c r="Z29648"/>
    </row>
    <row r="29649" spans="26:26" x14ac:dyDescent="0.25">
      <c r="Z29649"/>
    </row>
    <row r="29650" spans="26:26" x14ac:dyDescent="0.25">
      <c r="Z29650"/>
    </row>
    <row r="29651" spans="26:26" x14ac:dyDescent="0.25">
      <c r="Z29651"/>
    </row>
    <row r="29652" spans="26:26" x14ac:dyDescent="0.25">
      <c r="Z29652"/>
    </row>
    <row r="29653" spans="26:26" x14ac:dyDescent="0.25">
      <c r="Z29653"/>
    </row>
    <row r="29654" spans="26:26" x14ac:dyDescent="0.25">
      <c r="Z29654"/>
    </row>
    <row r="29655" spans="26:26" x14ac:dyDescent="0.25">
      <c r="Z29655"/>
    </row>
    <row r="29656" spans="26:26" x14ac:dyDescent="0.25">
      <c r="Z29656"/>
    </row>
    <row r="29657" spans="26:26" x14ac:dyDescent="0.25">
      <c r="Z29657"/>
    </row>
    <row r="29658" spans="26:26" x14ac:dyDescent="0.25">
      <c r="Z29658"/>
    </row>
    <row r="29659" spans="26:26" x14ac:dyDescent="0.25">
      <c r="Z29659"/>
    </row>
    <row r="29660" spans="26:26" x14ac:dyDescent="0.25">
      <c r="Z29660"/>
    </row>
    <row r="29661" spans="26:26" x14ac:dyDescent="0.25">
      <c r="Z29661"/>
    </row>
    <row r="29662" spans="26:26" x14ac:dyDescent="0.25">
      <c r="Z29662"/>
    </row>
    <row r="29663" spans="26:26" x14ac:dyDescent="0.25">
      <c r="Z29663"/>
    </row>
    <row r="29664" spans="26:26" x14ac:dyDescent="0.25">
      <c r="Z29664"/>
    </row>
    <row r="29665" spans="26:26" x14ac:dyDescent="0.25">
      <c r="Z29665"/>
    </row>
    <row r="29666" spans="26:26" x14ac:dyDescent="0.25">
      <c r="Z29666"/>
    </row>
    <row r="29667" spans="26:26" x14ac:dyDescent="0.25">
      <c r="Z29667"/>
    </row>
    <row r="29668" spans="26:26" x14ac:dyDescent="0.25">
      <c r="Z29668"/>
    </row>
    <row r="29669" spans="26:26" x14ac:dyDescent="0.25">
      <c r="Z29669"/>
    </row>
    <row r="29670" spans="26:26" x14ac:dyDescent="0.25">
      <c r="Z29670"/>
    </row>
    <row r="29671" spans="26:26" x14ac:dyDescent="0.25">
      <c r="Z29671"/>
    </row>
    <row r="29672" spans="26:26" x14ac:dyDescent="0.25">
      <c r="Z29672"/>
    </row>
    <row r="29673" spans="26:26" x14ac:dyDescent="0.25">
      <c r="Z29673"/>
    </row>
    <row r="29674" spans="26:26" x14ac:dyDescent="0.25">
      <c r="Z29674"/>
    </row>
    <row r="29675" spans="26:26" x14ac:dyDescent="0.25">
      <c r="Z29675"/>
    </row>
    <row r="29676" spans="26:26" x14ac:dyDescent="0.25">
      <c r="Z29676"/>
    </row>
    <row r="29677" spans="26:26" x14ac:dyDescent="0.25">
      <c r="Z29677"/>
    </row>
    <row r="29678" spans="26:26" x14ac:dyDescent="0.25">
      <c r="Z29678"/>
    </row>
    <row r="29679" spans="26:26" x14ac:dyDescent="0.25">
      <c r="Z29679"/>
    </row>
    <row r="29680" spans="26:26" x14ac:dyDescent="0.25">
      <c r="Z29680"/>
    </row>
    <row r="29681" spans="26:26" x14ac:dyDescent="0.25">
      <c r="Z29681"/>
    </row>
    <row r="29682" spans="26:26" x14ac:dyDescent="0.25">
      <c r="Z29682"/>
    </row>
    <row r="29683" spans="26:26" x14ac:dyDescent="0.25">
      <c r="Z29683"/>
    </row>
    <row r="29684" spans="26:26" x14ac:dyDescent="0.25">
      <c r="Z29684"/>
    </row>
    <row r="29685" spans="26:26" x14ac:dyDescent="0.25">
      <c r="Z29685"/>
    </row>
    <row r="29686" spans="26:26" x14ac:dyDescent="0.25">
      <c r="Z29686"/>
    </row>
    <row r="29687" spans="26:26" x14ac:dyDescent="0.25">
      <c r="Z29687"/>
    </row>
    <row r="29688" spans="26:26" x14ac:dyDescent="0.25">
      <c r="Z29688"/>
    </row>
    <row r="29689" spans="26:26" x14ac:dyDescent="0.25">
      <c r="Z29689"/>
    </row>
    <row r="29690" spans="26:26" x14ac:dyDescent="0.25">
      <c r="Z29690"/>
    </row>
    <row r="29691" spans="26:26" x14ac:dyDescent="0.25">
      <c r="Z29691"/>
    </row>
    <row r="29692" spans="26:26" x14ac:dyDescent="0.25">
      <c r="Z29692"/>
    </row>
    <row r="29693" spans="26:26" x14ac:dyDescent="0.25">
      <c r="Z29693"/>
    </row>
    <row r="29694" spans="26:26" x14ac:dyDescent="0.25">
      <c r="Z29694"/>
    </row>
    <row r="29695" spans="26:26" x14ac:dyDescent="0.25">
      <c r="Z29695"/>
    </row>
    <row r="29696" spans="26:26" x14ac:dyDescent="0.25">
      <c r="Z29696"/>
    </row>
    <row r="29697" spans="26:26" x14ac:dyDescent="0.25">
      <c r="Z29697"/>
    </row>
    <row r="29698" spans="26:26" x14ac:dyDescent="0.25">
      <c r="Z29698"/>
    </row>
    <row r="29699" spans="26:26" x14ac:dyDescent="0.25">
      <c r="Z29699"/>
    </row>
    <row r="29700" spans="26:26" x14ac:dyDescent="0.25">
      <c r="Z29700"/>
    </row>
    <row r="29701" spans="26:26" x14ac:dyDescent="0.25">
      <c r="Z29701"/>
    </row>
    <row r="29702" spans="26:26" x14ac:dyDescent="0.25">
      <c r="Z29702"/>
    </row>
    <row r="29703" spans="26:26" x14ac:dyDescent="0.25">
      <c r="Z29703"/>
    </row>
    <row r="29704" spans="26:26" x14ac:dyDescent="0.25">
      <c r="Z29704"/>
    </row>
    <row r="29705" spans="26:26" x14ac:dyDescent="0.25">
      <c r="Z29705"/>
    </row>
    <row r="29706" spans="26:26" x14ac:dyDescent="0.25">
      <c r="Z29706"/>
    </row>
    <row r="29707" spans="26:26" x14ac:dyDescent="0.25">
      <c r="Z29707"/>
    </row>
    <row r="29708" spans="26:26" x14ac:dyDescent="0.25">
      <c r="Z29708"/>
    </row>
    <row r="29709" spans="26:26" x14ac:dyDescent="0.25">
      <c r="Z29709"/>
    </row>
    <row r="29710" spans="26:26" x14ac:dyDescent="0.25">
      <c r="Z29710"/>
    </row>
    <row r="29711" spans="26:26" x14ac:dyDescent="0.25">
      <c r="Z29711"/>
    </row>
    <row r="29712" spans="26:26" x14ac:dyDescent="0.25">
      <c r="Z29712"/>
    </row>
    <row r="29713" spans="26:26" x14ac:dyDescent="0.25">
      <c r="Z29713"/>
    </row>
    <row r="29714" spans="26:26" x14ac:dyDescent="0.25">
      <c r="Z29714"/>
    </row>
    <row r="29715" spans="26:26" x14ac:dyDescent="0.25">
      <c r="Z29715"/>
    </row>
    <row r="29716" spans="26:26" x14ac:dyDescent="0.25">
      <c r="Z29716"/>
    </row>
    <row r="29717" spans="26:26" x14ac:dyDescent="0.25">
      <c r="Z29717"/>
    </row>
    <row r="29718" spans="26:26" x14ac:dyDescent="0.25">
      <c r="Z29718"/>
    </row>
    <row r="29719" spans="26:26" x14ac:dyDescent="0.25">
      <c r="Z29719"/>
    </row>
    <row r="29720" spans="26:26" x14ac:dyDescent="0.25">
      <c r="Z29720"/>
    </row>
    <row r="29721" spans="26:26" x14ac:dyDescent="0.25">
      <c r="Z29721"/>
    </row>
    <row r="29722" spans="26:26" x14ac:dyDescent="0.25">
      <c r="Z29722"/>
    </row>
    <row r="29723" spans="26:26" x14ac:dyDescent="0.25">
      <c r="Z29723"/>
    </row>
    <row r="29724" spans="26:26" x14ac:dyDescent="0.25">
      <c r="Z29724"/>
    </row>
    <row r="29725" spans="26:26" x14ac:dyDescent="0.25">
      <c r="Z29725"/>
    </row>
    <row r="29726" spans="26:26" x14ac:dyDescent="0.25">
      <c r="Z29726"/>
    </row>
    <row r="29727" spans="26:26" x14ac:dyDescent="0.25">
      <c r="Z29727"/>
    </row>
    <row r="29728" spans="26:26" x14ac:dyDescent="0.25">
      <c r="Z29728"/>
    </row>
    <row r="29729" spans="26:26" x14ac:dyDescent="0.25">
      <c r="Z29729"/>
    </row>
    <row r="29730" spans="26:26" x14ac:dyDescent="0.25">
      <c r="Z29730"/>
    </row>
    <row r="29731" spans="26:26" x14ac:dyDescent="0.25">
      <c r="Z29731"/>
    </row>
    <row r="29732" spans="26:26" x14ac:dyDescent="0.25">
      <c r="Z29732"/>
    </row>
    <row r="29733" spans="26:26" x14ac:dyDescent="0.25">
      <c r="Z29733"/>
    </row>
    <row r="29734" spans="26:26" x14ac:dyDescent="0.25">
      <c r="Z29734"/>
    </row>
    <row r="29735" spans="26:26" x14ac:dyDescent="0.25">
      <c r="Z29735"/>
    </row>
    <row r="29736" spans="26:26" x14ac:dyDescent="0.25">
      <c r="Z29736"/>
    </row>
    <row r="29737" spans="26:26" x14ac:dyDescent="0.25">
      <c r="Z29737"/>
    </row>
    <row r="29738" spans="26:26" x14ac:dyDescent="0.25">
      <c r="Z29738"/>
    </row>
    <row r="29739" spans="26:26" x14ac:dyDescent="0.25">
      <c r="Z29739"/>
    </row>
    <row r="29740" spans="26:26" x14ac:dyDescent="0.25">
      <c r="Z29740"/>
    </row>
    <row r="29741" spans="26:26" x14ac:dyDescent="0.25">
      <c r="Z29741"/>
    </row>
    <row r="29742" spans="26:26" x14ac:dyDescent="0.25">
      <c r="Z29742"/>
    </row>
    <row r="29743" spans="26:26" x14ac:dyDescent="0.25">
      <c r="Z29743"/>
    </row>
    <row r="29744" spans="26:26" x14ac:dyDescent="0.25">
      <c r="Z29744"/>
    </row>
    <row r="29745" spans="26:26" x14ac:dyDescent="0.25">
      <c r="Z29745"/>
    </row>
    <row r="29746" spans="26:26" x14ac:dyDescent="0.25">
      <c r="Z29746"/>
    </row>
    <row r="29747" spans="26:26" x14ac:dyDescent="0.25">
      <c r="Z29747"/>
    </row>
    <row r="29748" spans="26:26" x14ac:dyDescent="0.25">
      <c r="Z29748"/>
    </row>
    <row r="29749" spans="26:26" x14ac:dyDescent="0.25">
      <c r="Z29749"/>
    </row>
    <row r="29750" spans="26:26" x14ac:dyDescent="0.25">
      <c r="Z29750"/>
    </row>
    <row r="29751" spans="26:26" x14ac:dyDescent="0.25">
      <c r="Z29751"/>
    </row>
    <row r="29752" spans="26:26" x14ac:dyDescent="0.25">
      <c r="Z29752"/>
    </row>
    <row r="29753" spans="26:26" x14ac:dyDescent="0.25">
      <c r="Z29753"/>
    </row>
    <row r="29754" spans="26:26" x14ac:dyDescent="0.25">
      <c r="Z29754"/>
    </row>
    <row r="29755" spans="26:26" x14ac:dyDescent="0.25">
      <c r="Z29755"/>
    </row>
    <row r="29756" spans="26:26" x14ac:dyDescent="0.25">
      <c r="Z29756"/>
    </row>
    <row r="29757" spans="26:26" x14ac:dyDescent="0.25">
      <c r="Z29757"/>
    </row>
    <row r="29758" spans="26:26" x14ac:dyDescent="0.25">
      <c r="Z29758"/>
    </row>
    <row r="29759" spans="26:26" x14ac:dyDescent="0.25">
      <c r="Z29759"/>
    </row>
    <row r="29760" spans="26:26" x14ac:dyDescent="0.25">
      <c r="Z29760"/>
    </row>
    <row r="29761" spans="26:26" x14ac:dyDescent="0.25">
      <c r="Z29761"/>
    </row>
    <row r="29762" spans="26:26" x14ac:dyDescent="0.25">
      <c r="Z29762"/>
    </row>
    <row r="29763" spans="26:26" x14ac:dyDescent="0.25">
      <c r="Z29763"/>
    </row>
    <row r="29764" spans="26:26" x14ac:dyDescent="0.25">
      <c r="Z29764"/>
    </row>
    <row r="29765" spans="26:26" x14ac:dyDescent="0.25">
      <c r="Z29765"/>
    </row>
    <row r="29766" spans="26:26" x14ac:dyDescent="0.25">
      <c r="Z29766"/>
    </row>
    <row r="29767" spans="26:26" x14ac:dyDescent="0.25">
      <c r="Z29767"/>
    </row>
    <row r="29768" spans="26:26" x14ac:dyDescent="0.25">
      <c r="Z29768"/>
    </row>
    <row r="29769" spans="26:26" x14ac:dyDescent="0.25">
      <c r="Z29769"/>
    </row>
    <row r="29770" spans="26:26" x14ac:dyDescent="0.25">
      <c r="Z29770"/>
    </row>
    <row r="29771" spans="26:26" x14ac:dyDescent="0.25">
      <c r="Z29771"/>
    </row>
    <row r="29772" spans="26:26" x14ac:dyDescent="0.25">
      <c r="Z29772"/>
    </row>
    <row r="29773" spans="26:26" x14ac:dyDescent="0.25">
      <c r="Z29773"/>
    </row>
    <row r="29774" spans="26:26" x14ac:dyDescent="0.25">
      <c r="Z29774"/>
    </row>
    <row r="29775" spans="26:26" x14ac:dyDescent="0.25">
      <c r="Z29775"/>
    </row>
    <row r="29776" spans="26:26" x14ac:dyDescent="0.25">
      <c r="Z29776"/>
    </row>
    <row r="29777" spans="26:26" x14ac:dyDescent="0.25">
      <c r="Z29777"/>
    </row>
    <row r="29778" spans="26:26" x14ac:dyDescent="0.25">
      <c r="Z29778"/>
    </row>
    <row r="29779" spans="26:26" x14ac:dyDescent="0.25">
      <c r="Z29779"/>
    </row>
    <row r="29780" spans="26:26" x14ac:dyDescent="0.25">
      <c r="Z29780"/>
    </row>
    <row r="29781" spans="26:26" x14ac:dyDescent="0.25">
      <c r="Z29781"/>
    </row>
    <row r="29782" spans="26:26" x14ac:dyDescent="0.25">
      <c r="Z29782"/>
    </row>
    <row r="29783" spans="26:26" x14ac:dyDescent="0.25">
      <c r="Z29783"/>
    </row>
    <row r="29784" spans="26:26" x14ac:dyDescent="0.25">
      <c r="Z29784"/>
    </row>
    <row r="29785" spans="26:26" x14ac:dyDescent="0.25">
      <c r="Z29785"/>
    </row>
    <row r="29786" spans="26:26" x14ac:dyDescent="0.25">
      <c r="Z29786"/>
    </row>
    <row r="29787" spans="26:26" x14ac:dyDescent="0.25">
      <c r="Z29787"/>
    </row>
    <row r="29788" spans="26:26" x14ac:dyDescent="0.25">
      <c r="Z29788"/>
    </row>
    <row r="29789" spans="26:26" x14ac:dyDescent="0.25">
      <c r="Z29789"/>
    </row>
    <row r="29790" spans="26:26" x14ac:dyDescent="0.25">
      <c r="Z29790"/>
    </row>
    <row r="29791" spans="26:26" x14ac:dyDescent="0.25">
      <c r="Z29791"/>
    </row>
    <row r="29792" spans="26:26" x14ac:dyDescent="0.25">
      <c r="Z29792"/>
    </row>
    <row r="29793" spans="26:26" x14ac:dyDescent="0.25">
      <c r="Z29793"/>
    </row>
    <row r="29794" spans="26:26" x14ac:dyDescent="0.25">
      <c r="Z29794"/>
    </row>
    <row r="29795" spans="26:26" x14ac:dyDescent="0.25">
      <c r="Z29795"/>
    </row>
    <row r="29796" spans="26:26" x14ac:dyDescent="0.25">
      <c r="Z29796"/>
    </row>
    <row r="29797" spans="26:26" x14ac:dyDescent="0.25">
      <c r="Z29797"/>
    </row>
    <row r="29798" spans="26:26" x14ac:dyDescent="0.25">
      <c r="Z29798"/>
    </row>
    <row r="29799" spans="26:26" x14ac:dyDescent="0.25">
      <c r="Z29799"/>
    </row>
    <row r="29800" spans="26:26" x14ac:dyDescent="0.25">
      <c r="Z29800"/>
    </row>
    <row r="29801" spans="26:26" x14ac:dyDescent="0.25">
      <c r="Z29801"/>
    </row>
    <row r="29802" spans="26:26" x14ac:dyDescent="0.25">
      <c r="Z29802"/>
    </row>
    <row r="29803" spans="26:26" x14ac:dyDescent="0.25">
      <c r="Z29803"/>
    </row>
    <row r="29804" spans="26:26" x14ac:dyDescent="0.25">
      <c r="Z29804"/>
    </row>
    <row r="29805" spans="26:26" x14ac:dyDescent="0.25">
      <c r="Z29805"/>
    </row>
    <row r="29806" spans="26:26" x14ac:dyDescent="0.25">
      <c r="Z29806"/>
    </row>
    <row r="29807" spans="26:26" x14ac:dyDescent="0.25">
      <c r="Z29807"/>
    </row>
    <row r="29808" spans="26:26" x14ac:dyDescent="0.25">
      <c r="Z29808"/>
    </row>
    <row r="29809" spans="26:26" x14ac:dyDescent="0.25">
      <c r="Z29809"/>
    </row>
    <row r="29810" spans="26:26" x14ac:dyDescent="0.25">
      <c r="Z29810"/>
    </row>
    <row r="29811" spans="26:26" x14ac:dyDescent="0.25">
      <c r="Z29811"/>
    </row>
    <row r="29812" spans="26:26" x14ac:dyDescent="0.25">
      <c r="Z29812"/>
    </row>
    <row r="29813" spans="26:26" x14ac:dyDescent="0.25">
      <c r="Z29813"/>
    </row>
    <row r="29814" spans="26:26" x14ac:dyDescent="0.25">
      <c r="Z29814"/>
    </row>
    <row r="29815" spans="26:26" x14ac:dyDescent="0.25">
      <c r="Z29815"/>
    </row>
    <row r="29816" spans="26:26" x14ac:dyDescent="0.25">
      <c r="Z29816"/>
    </row>
    <row r="29817" spans="26:26" x14ac:dyDescent="0.25">
      <c r="Z29817"/>
    </row>
    <row r="29818" spans="26:26" x14ac:dyDescent="0.25">
      <c r="Z29818"/>
    </row>
    <row r="29819" spans="26:26" x14ac:dyDescent="0.25">
      <c r="Z29819"/>
    </row>
    <row r="29820" spans="26:26" x14ac:dyDescent="0.25">
      <c r="Z29820"/>
    </row>
    <row r="29821" spans="26:26" x14ac:dyDescent="0.25">
      <c r="Z29821"/>
    </row>
    <row r="29822" spans="26:26" x14ac:dyDescent="0.25">
      <c r="Z29822"/>
    </row>
    <row r="29823" spans="26:26" x14ac:dyDescent="0.25">
      <c r="Z29823"/>
    </row>
    <row r="29824" spans="26:26" x14ac:dyDescent="0.25">
      <c r="Z29824"/>
    </row>
    <row r="29825" spans="26:26" x14ac:dyDescent="0.25">
      <c r="Z29825"/>
    </row>
    <row r="29826" spans="26:26" x14ac:dyDescent="0.25">
      <c r="Z29826"/>
    </row>
    <row r="29827" spans="26:26" x14ac:dyDescent="0.25">
      <c r="Z29827"/>
    </row>
    <row r="29828" spans="26:26" x14ac:dyDescent="0.25">
      <c r="Z29828"/>
    </row>
    <row r="29829" spans="26:26" x14ac:dyDescent="0.25">
      <c r="Z29829"/>
    </row>
    <row r="29830" spans="26:26" x14ac:dyDescent="0.25">
      <c r="Z29830"/>
    </row>
    <row r="29831" spans="26:26" x14ac:dyDescent="0.25">
      <c r="Z29831"/>
    </row>
    <row r="29832" spans="26:26" x14ac:dyDescent="0.25">
      <c r="Z29832"/>
    </row>
    <row r="29833" spans="26:26" x14ac:dyDescent="0.25">
      <c r="Z29833"/>
    </row>
    <row r="29834" spans="26:26" x14ac:dyDescent="0.25">
      <c r="Z29834"/>
    </row>
    <row r="29835" spans="26:26" x14ac:dyDescent="0.25">
      <c r="Z29835"/>
    </row>
    <row r="29836" spans="26:26" x14ac:dyDescent="0.25">
      <c r="Z29836"/>
    </row>
    <row r="29837" spans="26:26" x14ac:dyDescent="0.25">
      <c r="Z29837"/>
    </row>
    <row r="29838" spans="26:26" x14ac:dyDescent="0.25">
      <c r="Z29838"/>
    </row>
    <row r="29839" spans="26:26" x14ac:dyDescent="0.25">
      <c r="Z29839"/>
    </row>
    <row r="29840" spans="26:26" x14ac:dyDescent="0.25">
      <c r="Z29840"/>
    </row>
    <row r="29841" spans="26:26" x14ac:dyDescent="0.25">
      <c r="Z29841"/>
    </row>
    <row r="29842" spans="26:26" x14ac:dyDescent="0.25">
      <c r="Z29842"/>
    </row>
    <row r="29843" spans="26:26" x14ac:dyDescent="0.25">
      <c r="Z29843"/>
    </row>
    <row r="29844" spans="26:26" x14ac:dyDescent="0.25">
      <c r="Z29844"/>
    </row>
    <row r="29845" spans="26:26" x14ac:dyDescent="0.25">
      <c r="Z29845"/>
    </row>
    <row r="29846" spans="26:26" x14ac:dyDescent="0.25">
      <c r="Z29846"/>
    </row>
    <row r="29847" spans="26:26" x14ac:dyDescent="0.25">
      <c r="Z29847"/>
    </row>
    <row r="29848" spans="26:26" x14ac:dyDescent="0.25">
      <c r="Z29848"/>
    </row>
    <row r="29849" spans="26:26" x14ac:dyDescent="0.25">
      <c r="Z29849"/>
    </row>
    <row r="29850" spans="26:26" x14ac:dyDescent="0.25">
      <c r="Z29850"/>
    </row>
    <row r="29851" spans="26:26" x14ac:dyDescent="0.25">
      <c r="Z29851"/>
    </row>
    <row r="29852" spans="26:26" x14ac:dyDescent="0.25">
      <c r="Z29852"/>
    </row>
    <row r="29853" spans="26:26" x14ac:dyDescent="0.25">
      <c r="Z29853"/>
    </row>
    <row r="29854" spans="26:26" x14ac:dyDescent="0.25">
      <c r="Z29854"/>
    </row>
    <row r="29855" spans="26:26" x14ac:dyDescent="0.25">
      <c r="Z29855"/>
    </row>
    <row r="29856" spans="26:26" x14ac:dyDescent="0.25">
      <c r="Z29856"/>
    </row>
    <row r="29857" spans="26:26" x14ac:dyDescent="0.25">
      <c r="Z29857"/>
    </row>
    <row r="29858" spans="26:26" x14ac:dyDescent="0.25">
      <c r="Z29858"/>
    </row>
    <row r="29859" spans="26:26" x14ac:dyDescent="0.25">
      <c r="Z29859"/>
    </row>
    <row r="29860" spans="26:26" x14ac:dyDescent="0.25">
      <c r="Z29860"/>
    </row>
    <row r="29861" spans="26:26" x14ac:dyDescent="0.25">
      <c r="Z29861"/>
    </row>
    <row r="29862" spans="26:26" x14ac:dyDescent="0.25">
      <c r="Z29862"/>
    </row>
    <row r="29863" spans="26:26" x14ac:dyDescent="0.25">
      <c r="Z29863"/>
    </row>
    <row r="29864" spans="26:26" x14ac:dyDescent="0.25">
      <c r="Z29864"/>
    </row>
    <row r="29865" spans="26:26" x14ac:dyDescent="0.25">
      <c r="Z29865"/>
    </row>
    <row r="29866" spans="26:26" x14ac:dyDescent="0.25">
      <c r="Z29866"/>
    </row>
    <row r="29867" spans="26:26" x14ac:dyDescent="0.25">
      <c r="Z29867"/>
    </row>
    <row r="29868" spans="26:26" x14ac:dyDescent="0.25">
      <c r="Z29868"/>
    </row>
    <row r="29869" spans="26:26" x14ac:dyDescent="0.25">
      <c r="Z29869"/>
    </row>
    <row r="29870" spans="26:26" x14ac:dyDescent="0.25">
      <c r="Z29870"/>
    </row>
    <row r="29871" spans="26:26" x14ac:dyDescent="0.25">
      <c r="Z29871"/>
    </row>
    <row r="29872" spans="26:26" x14ac:dyDescent="0.25">
      <c r="Z29872"/>
    </row>
    <row r="29873" spans="26:26" x14ac:dyDescent="0.25">
      <c r="Z29873"/>
    </row>
    <row r="29874" spans="26:26" x14ac:dyDescent="0.25">
      <c r="Z29874"/>
    </row>
    <row r="29875" spans="26:26" x14ac:dyDescent="0.25">
      <c r="Z29875"/>
    </row>
    <row r="29876" spans="26:26" x14ac:dyDescent="0.25">
      <c r="Z29876"/>
    </row>
    <row r="29877" spans="26:26" x14ac:dyDescent="0.25">
      <c r="Z29877"/>
    </row>
    <row r="29878" spans="26:26" x14ac:dyDescent="0.25">
      <c r="Z29878"/>
    </row>
    <row r="29879" spans="26:26" x14ac:dyDescent="0.25">
      <c r="Z29879"/>
    </row>
    <row r="29880" spans="26:26" x14ac:dyDescent="0.25">
      <c r="Z29880"/>
    </row>
    <row r="29881" spans="26:26" x14ac:dyDescent="0.25">
      <c r="Z29881"/>
    </row>
    <row r="29882" spans="26:26" x14ac:dyDescent="0.25">
      <c r="Z29882"/>
    </row>
    <row r="29883" spans="26:26" x14ac:dyDescent="0.25">
      <c r="Z29883"/>
    </row>
    <row r="29884" spans="26:26" x14ac:dyDescent="0.25">
      <c r="Z29884"/>
    </row>
    <row r="29885" spans="26:26" x14ac:dyDescent="0.25">
      <c r="Z29885"/>
    </row>
    <row r="29886" spans="26:26" x14ac:dyDescent="0.25">
      <c r="Z29886"/>
    </row>
    <row r="29887" spans="26:26" x14ac:dyDescent="0.25">
      <c r="Z29887"/>
    </row>
    <row r="29888" spans="26:26" x14ac:dyDescent="0.25">
      <c r="Z29888"/>
    </row>
    <row r="29889" spans="26:26" x14ac:dyDescent="0.25">
      <c r="Z29889"/>
    </row>
    <row r="29890" spans="26:26" x14ac:dyDescent="0.25">
      <c r="Z29890"/>
    </row>
    <row r="29891" spans="26:26" x14ac:dyDescent="0.25">
      <c r="Z29891"/>
    </row>
    <row r="29892" spans="26:26" x14ac:dyDescent="0.25">
      <c r="Z29892"/>
    </row>
    <row r="29893" spans="26:26" x14ac:dyDescent="0.25">
      <c r="Z29893"/>
    </row>
    <row r="29894" spans="26:26" x14ac:dyDescent="0.25">
      <c r="Z29894"/>
    </row>
    <row r="29895" spans="26:26" x14ac:dyDescent="0.25">
      <c r="Z29895"/>
    </row>
    <row r="29896" spans="26:26" x14ac:dyDescent="0.25">
      <c r="Z29896"/>
    </row>
    <row r="29897" spans="26:26" x14ac:dyDescent="0.25">
      <c r="Z29897"/>
    </row>
    <row r="29898" spans="26:26" x14ac:dyDescent="0.25">
      <c r="Z29898"/>
    </row>
    <row r="29899" spans="26:26" x14ac:dyDescent="0.25">
      <c r="Z29899"/>
    </row>
    <row r="29900" spans="26:26" x14ac:dyDescent="0.25">
      <c r="Z29900"/>
    </row>
    <row r="29901" spans="26:26" x14ac:dyDescent="0.25">
      <c r="Z29901"/>
    </row>
    <row r="29902" spans="26:26" x14ac:dyDescent="0.25">
      <c r="Z29902"/>
    </row>
    <row r="29903" spans="26:26" x14ac:dyDescent="0.25">
      <c r="Z29903"/>
    </row>
    <row r="29904" spans="26:26" x14ac:dyDescent="0.25">
      <c r="Z29904"/>
    </row>
    <row r="29905" spans="26:26" x14ac:dyDescent="0.25">
      <c r="Z29905"/>
    </row>
    <row r="29906" spans="26:26" x14ac:dyDescent="0.25">
      <c r="Z29906"/>
    </row>
    <row r="29907" spans="26:26" x14ac:dyDescent="0.25">
      <c r="Z29907"/>
    </row>
    <row r="29908" spans="26:26" x14ac:dyDescent="0.25">
      <c r="Z29908"/>
    </row>
    <row r="29909" spans="26:26" x14ac:dyDescent="0.25">
      <c r="Z29909"/>
    </row>
    <row r="29910" spans="26:26" x14ac:dyDescent="0.25">
      <c r="Z29910"/>
    </row>
    <row r="29911" spans="26:26" x14ac:dyDescent="0.25">
      <c r="Z29911"/>
    </row>
    <row r="29912" spans="26:26" x14ac:dyDescent="0.25">
      <c r="Z29912"/>
    </row>
    <row r="29913" spans="26:26" x14ac:dyDescent="0.25">
      <c r="Z29913"/>
    </row>
    <row r="29914" spans="26:26" x14ac:dyDescent="0.25">
      <c r="Z29914"/>
    </row>
    <row r="29915" spans="26:26" x14ac:dyDescent="0.25">
      <c r="Z29915"/>
    </row>
    <row r="29916" spans="26:26" x14ac:dyDescent="0.25">
      <c r="Z29916"/>
    </row>
    <row r="29917" spans="26:26" x14ac:dyDescent="0.25">
      <c r="Z29917"/>
    </row>
    <row r="29918" spans="26:26" x14ac:dyDescent="0.25">
      <c r="Z29918"/>
    </row>
    <row r="29919" spans="26:26" x14ac:dyDescent="0.25">
      <c r="Z29919"/>
    </row>
    <row r="29920" spans="26:26" x14ac:dyDescent="0.25">
      <c r="Z29920"/>
    </row>
    <row r="29921" spans="26:26" x14ac:dyDescent="0.25">
      <c r="Z29921"/>
    </row>
    <row r="29922" spans="26:26" x14ac:dyDescent="0.25">
      <c r="Z29922"/>
    </row>
    <row r="29923" spans="26:26" x14ac:dyDescent="0.25">
      <c r="Z29923"/>
    </row>
    <row r="29924" spans="26:26" x14ac:dyDescent="0.25">
      <c r="Z29924"/>
    </row>
    <row r="29925" spans="26:26" x14ac:dyDescent="0.25">
      <c r="Z29925"/>
    </row>
    <row r="29926" spans="26:26" x14ac:dyDescent="0.25">
      <c r="Z29926"/>
    </row>
    <row r="29927" spans="26:26" x14ac:dyDescent="0.25">
      <c r="Z29927"/>
    </row>
    <row r="29928" spans="26:26" x14ac:dyDescent="0.25">
      <c r="Z29928"/>
    </row>
    <row r="29929" spans="26:26" x14ac:dyDescent="0.25">
      <c r="Z29929"/>
    </row>
    <row r="29930" spans="26:26" x14ac:dyDescent="0.25">
      <c r="Z29930"/>
    </row>
    <row r="29931" spans="26:26" x14ac:dyDescent="0.25">
      <c r="Z29931"/>
    </row>
    <row r="29932" spans="26:26" x14ac:dyDescent="0.25">
      <c r="Z29932"/>
    </row>
    <row r="29933" spans="26:26" x14ac:dyDescent="0.25">
      <c r="Z29933"/>
    </row>
    <row r="29934" spans="26:26" x14ac:dyDescent="0.25">
      <c r="Z29934"/>
    </row>
    <row r="29935" spans="26:26" x14ac:dyDescent="0.25">
      <c r="Z29935"/>
    </row>
    <row r="29936" spans="26:26" x14ac:dyDescent="0.25">
      <c r="Z29936"/>
    </row>
    <row r="29937" spans="26:26" x14ac:dyDescent="0.25">
      <c r="Z29937"/>
    </row>
    <row r="29938" spans="26:26" x14ac:dyDescent="0.25">
      <c r="Z29938"/>
    </row>
    <row r="29939" spans="26:26" x14ac:dyDescent="0.25">
      <c r="Z29939"/>
    </row>
    <row r="29940" spans="26:26" x14ac:dyDescent="0.25">
      <c r="Z29940"/>
    </row>
    <row r="29941" spans="26:26" x14ac:dyDescent="0.25">
      <c r="Z29941"/>
    </row>
    <row r="29942" spans="26:26" x14ac:dyDescent="0.25">
      <c r="Z29942"/>
    </row>
    <row r="29943" spans="26:26" x14ac:dyDescent="0.25">
      <c r="Z29943"/>
    </row>
    <row r="29944" spans="26:26" x14ac:dyDescent="0.25">
      <c r="Z29944"/>
    </row>
    <row r="29945" spans="26:26" x14ac:dyDescent="0.25">
      <c r="Z29945"/>
    </row>
    <row r="29946" spans="26:26" x14ac:dyDescent="0.25">
      <c r="Z29946"/>
    </row>
    <row r="29947" spans="26:26" x14ac:dyDescent="0.25">
      <c r="Z29947"/>
    </row>
    <row r="29948" spans="26:26" x14ac:dyDescent="0.25">
      <c r="Z29948"/>
    </row>
    <row r="29949" spans="26:26" x14ac:dyDescent="0.25">
      <c r="Z29949"/>
    </row>
    <row r="29950" spans="26:26" x14ac:dyDescent="0.25">
      <c r="Z29950"/>
    </row>
    <row r="29951" spans="26:26" x14ac:dyDescent="0.25">
      <c r="Z29951"/>
    </row>
    <row r="29952" spans="26:26" x14ac:dyDescent="0.25">
      <c r="Z29952"/>
    </row>
    <row r="29953" spans="26:26" x14ac:dyDescent="0.25">
      <c r="Z29953"/>
    </row>
    <row r="29954" spans="26:26" x14ac:dyDescent="0.25">
      <c r="Z29954"/>
    </row>
    <row r="29955" spans="26:26" x14ac:dyDescent="0.25">
      <c r="Z29955"/>
    </row>
    <row r="29956" spans="26:26" x14ac:dyDescent="0.25">
      <c r="Z29956"/>
    </row>
    <row r="29957" spans="26:26" x14ac:dyDescent="0.25">
      <c r="Z29957"/>
    </row>
    <row r="29958" spans="26:26" x14ac:dyDescent="0.25">
      <c r="Z29958"/>
    </row>
    <row r="29959" spans="26:26" x14ac:dyDescent="0.25">
      <c r="Z29959"/>
    </row>
    <row r="29960" spans="26:26" x14ac:dyDescent="0.25">
      <c r="Z29960"/>
    </row>
    <row r="29961" spans="26:26" x14ac:dyDescent="0.25">
      <c r="Z29961"/>
    </row>
    <row r="29962" spans="26:26" x14ac:dyDescent="0.25">
      <c r="Z29962"/>
    </row>
    <row r="29963" spans="26:26" x14ac:dyDescent="0.25">
      <c r="Z29963"/>
    </row>
    <row r="29964" spans="26:26" x14ac:dyDescent="0.25">
      <c r="Z29964"/>
    </row>
    <row r="29965" spans="26:26" x14ac:dyDescent="0.25">
      <c r="Z29965"/>
    </row>
    <row r="29966" spans="26:26" x14ac:dyDescent="0.25">
      <c r="Z29966"/>
    </row>
    <row r="29967" spans="26:26" x14ac:dyDescent="0.25">
      <c r="Z29967"/>
    </row>
    <row r="29968" spans="26:26" x14ac:dyDescent="0.25">
      <c r="Z29968"/>
    </row>
    <row r="29969" spans="26:26" x14ac:dyDescent="0.25">
      <c r="Z29969"/>
    </row>
    <row r="29970" spans="26:26" x14ac:dyDescent="0.25">
      <c r="Z29970"/>
    </row>
    <row r="29971" spans="26:26" x14ac:dyDescent="0.25">
      <c r="Z29971"/>
    </row>
    <row r="29972" spans="26:26" x14ac:dyDescent="0.25">
      <c r="Z29972"/>
    </row>
    <row r="29973" spans="26:26" x14ac:dyDescent="0.25">
      <c r="Z29973"/>
    </row>
    <row r="29974" spans="26:26" x14ac:dyDescent="0.25">
      <c r="Z29974"/>
    </row>
    <row r="29975" spans="26:26" x14ac:dyDescent="0.25">
      <c r="Z29975"/>
    </row>
    <row r="29976" spans="26:26" x14ac:dyDescent="0.25">
      <c r="Z29976"/>
    </row>
    <row r="29977" spans="26:26" x14ac:dyDescent="0.25">
      <c r="Z29977"/>
    </row>
    <row r="29978" spans="26:26" x14ac:dyDescent="0.25">
      <c r="Z29978"/>
    </row>
    <row r="29979" spans="26:26" x14ac:dyDescent="0.25">
      <c r="Z29979"/>
    </row>
    <row r="29980" spans="26:26" x14ac:dyDescent="0.25">
      <c r="Z29980"/>
    </row>
    <row r="29981" spans="26:26" x14ac:dyDescent="0.25">
      <c r="Z29981"/>
    </row>
    <row r="29982" spans="26:26" x14ac:dyDescent="0.25">
      <c r="Z29982"/>
    </row>
    <row r="29983" spans="26:26" x14ac:dyDescent="0.25">
      <c r="Z29983"/>
    </row>
    <row r="29984" spans="26:26" x14ac:dyDescent="0.25">
      <c r="Z29984"/>
    </row>
    <row r="29985" spans="26:26" x14ac:dyDescent="0.25">
      <c r="Z29985"/>
    </row>
    <row r="29986" spans="26:26" x14ac:dyDescent="0.25">
      <c r="Z29986"/>
    </row>
    <row r="29987" spans="26:26" x14ac:dyDescent="0.25">
      <c r="Z29987"/>
    </row>
    <row r="29988" spans="26:26" x14ac:dyDescent="0.25">
      <c r="Z29988"/>
    </row>
    <row r="29989" spans="26:26" x14ac:dyDescent="0.25">
      <c r="Z29989"/>
    </row>
    <row r="29990" spans="26:26" x14ac:dyDescent="0.25">
      <c r="Z29990"/>
    </row>
    <row r="29991" spans="26:26" x14ac:dyDescent="0.25">
      <c r="Z29991"/>
    </row>
    <row r="29992" spans="26:26" x14ac:dyDescent="0.25">
      <c r="Z29992"/>
    </row>
    <row r="29993" spans="26:26" x14ac:dyDescent="0.25">
      <c r="Z29993"/>
    </row>
    <row r="29994" spans="26:26" x14ac:dyDescent="0.25">
      <c r="Z29994"/>
    </row>
    <row r="29995" spans="26:26" x14ac:dyDescent="0.25">
      <c r="Z29995"/>
    </row>
    <row r="29996" spans="26:26" x14ac:dyDescent="0.25">
      <c r="Z29996"/>
    </row>
    <row r="29997" spans="26:26" x14ac:dyDescent="0.25">
      <c r="Z29997"/>
    </row>
    <row r="29998" spans="26:26" x14ac:dyDescent="0.25">
      <c r="Z29998"/>
    </row>
    <row r="29999" spans="26:26" x14ac:dyDescent="0.25">
      <c r="Z29999"/>
    </row>
    <row r="30000" spans="26:26" x14ac:dyDescent="0.25">
      <c r="Z30000"/>
    </row>
    <row r="30001" spans="26:26" x14ac:dyDescent="0.25">
      <c r="Z30001"/>
    </row>
    <row r="30002" spans="26:26" x14ac:dyDescent="0.25">
      <c r="Z30002"/>
    </row>
    <row r="30003" spans="26:26" x14ac:dyDescent="0.25">
      <c r="Z30003"/>
    </row>
    <row r="30004" spans="26:26" x14ac:dyDescent="0.25">
      <c r="Z30004"/>
    </row>
    <row r="30005" spans="26:26" x14ac:dyDescent="0.25">
      <c r="Z30005"/>
    </row>
    <row r="30006" spans="26:26" x14ac:dyDescent="0.25">
      <c r="Z30006"/>
    </row>
    <row r="30007" spans="26:26" x14ac:dyDescent="0.25">
      <c r="Z30007"/>
    </row>
    <row r="30008" spans="26:26" x14ac:dyDescent="0.25">
      <c r="Z30008"/>
    </row>
    <row r="30009" spans="26:26" x14ac:dyDescent="0.25">
      <c r="Z30009"/>
    </row>
    <row r="30010" spans="26:26" x14ac:dyDescent="0.25">
      <c r="Z30010"/>
    </row>
    <row r="30011" spans="26:26" x14ac:dyDescent="0.25">
      <c r="Z30011"/>
    </row>
    <row r="30012" spans="26:26" x14ac:dyDescent="0.25">
      <c r="Z30012"/>
    </row>
    <row r="30013" spans="26:26" x14ac:dyDescent="0.25">
      <c r="Z30013"/>
    </row>
    <row r="30014" spans="26:26" x14ac:dyDescent="0.25">
      <c r="Z30014"/>
    </row>
    <row r="30015" spans="26:26" x14ac:dyDescent="0.25">
      <c r="Z30015"/>
    </row>
    <row r="30016" spans="26:26" x14ac:dyDescent="0.25">
      <c r="Z30016"/>
    </row>
    <row r="30017" spans="26:26" x14ac:dyDescent="0.25">
      <c r="Z30017"/>
    </row>
    <row r="30018" spans="26:26" x14ac:dyDescent="0.25">
      <c r="Z30018"/>
    </row>
    <row r="30019" spans="26:26" x14ac:dyDescent="0.25">
      <c r="Z30019"/>
    </row>
    <row r="30020" spans="26:26" x14ac:dyDescent="0.25">
      <c r="Z30020"/>
    </row>
    <row r="30021" spans="26:26" x14ac:dyDescent="0.25">
      <c r="Z30021"/>
    </row>
    <row r="30022" spans="26:26" x14ac:dyDescent="0.25">
      <c r="Z30022"/>
    </row>
    <row r="30023" spans="26:26" x14ac:dyDescent="0.25">
      <c r="Z30023"/>
    </row>
    <row r="30024" spans="26:26" x14ac:dyDescent="0.25">
      <c r="Z30024"/>
    </row>
    <row r="30025" spans="26:26" x14ac:dyDescent="0.25">
      <c r="Z30025"/>
    </row>
    <row r="30026" spans="26:26" x14ac:dyDescent="0.25">
      <c r="Z30026"/>
    </row>
    <row r="30027" spans="26:26" x14ac:dyDescent="0.25">
      <c r="Z30027"/>
    </row>
    <row r="30028" spans="26:26" x14ac:dyDescent="0.25">
      <c r="Z30028"/>
    </row>
    <row r="30029" spans="26:26" x14ac:dyDescent="0.25">
      <c r="Z30029"/>
    </row>
    <row r="30030" spans="26:26" x14ac:dyDescent="0.25">
      <c r="Z30030"/>
    </row>
    <row r="30031" spans="26:26" x14ac:dyDescent="0.25">
      <c r="Z30031"/>
    </row>
    <row r="30032" spans="26:26" x14ac:dyDescent="0.25">
      <c r="Z30032"/>
    </row>
    <row r="30033" spans="26:26" x14ac:dyDescent="0.25">
      <c r="Z30033"/>
    </row>
    <row r="30034" spans="26:26" x14ac:dyDescent="0.25">
      <c r="Z30034"/>
    </row>
    <row r="30035" spans="26:26" x14ac:dyDescent="0.25">
      <c r="Z30035"/>
    </row>
    <row r="30036" spans="26:26" x14ac:dyDescent="0.25">
      <c r="Z30036"/>
    </row>
    <row r="30037" spans="26:26" x14ac:dyDescent="0.25">
      <c r="Z30037"/>
    </row>
    <row r="30038" spans="26:26" x14ac:dyDescent="0.25">
      <c r="Z30038"/>
    </row>
    <row r="30039" spans="26:26" x14ac:dyDescent="0.25">
      <c r="Z30039"/>
    </row>
    <row r="30040" spans="26:26" x14ac:dyDescent="0.25">
      <c r="Z30040"/>
    </row>
    <row r="30041" spans="26:26" x14ac:dyDescent="0.25">
      <c r="Z30041"/>
    </row>
    <row r="30042" spans="26:26" x14ac:dyDescent="0.25">
      <c r="Z30042"/>
    </row>
    <row r="30043" spans="26:26" x14ac:dyDescent="0.25">
      <c r="Z30043"/>
    </row>
    <row r="30044" spans="26:26" x14ac:dyDescent="0.25">
      <c r="Z30044"/>
    </row>
    <row r="30045" spans="26:26" x14ac:dyDescent="0.25">
      <c r="Z30045"/>
    </row>
    <row r="30046" spans="26:26" x14ac:dyDescent="0.25">
      <c r="Z30046"/>
    </row>
    <row r="30047" spans="26:26" x14ac:dyDescent="0.25">
      <c r="Z30047"/>
    </row>
    <row r="30048" spans="26:26" x14ac:dyDescent="0.25">
      <c r="Z30048"/>
    </row>
    <row r="30049" spans="26:26" x14ac:dyDescent="0.25">
      <c r="Z30049"/>
    </row>
    <row r="30050" spans="26:26" x14ac:dyDescent="0.25">
      <c r="Z30050"/>
    </row>
    <row r="30051" spans="26:26" x14ac:dyDescent="0.25">
      <c r="Z30051"/>
    </row>
    <row r="30052" spans="26:26" x14ac:dyDescent="0.25">
      <c r="Z30052"/>
    </row>
    <row r="30053" spans="26:26" x14ac:dyDescent="0.25">
      <c r="Z30053"/>
    </row>
    <row r="30054" spans="26:26" x14ac:dyDescent="0.25">
      <c r="Z30054"/>
    </row>
    <row r="30055" spans="26:26" x14ac:dyDescent="0.25">
      <c r="Z30055"/>
    </row>
    <row r="30056" spans="26:26" x14ac:dyDescent="0.25">
      <c r="Z30056"/>
    </row>
    <row r="30057" spans="26:26" x14ac:dyDescent="0.25">
      <c r="Z30057"/>
    </row>
    <row r="30058" spans="26:26" x14ac:dyDescent="0.25">
      <c r="Z30058"/>
    </row>
    <row r="30059" spans="26:26" x14ac:dyDescent="0.25">
      <c r="Z30059"/>
    </row>
    <row r="30060" spans="26:26" x14ac:dyDescent="0.25">
      <c r="Z30060"/>
    </row>
    <row r="30061" spans="26:26" x14ac:dyDescent="0.25">
      <c r="Z30061"/>
    </row>
    <row r="30062" spans="26:26" x14ac:dyDescent="0.25">
      <c r="Z30062"/>
    </row>
    <row r="30063" spans="26:26" x14ac:dyDescent="0.25">
      <c r="Z30063"/>
    </row>
    <row r="30064" spans="26:26" x14ac:dyDescent="0.25">
      <c r="Z30064"/>
    </row>
    <row r="30065" spans="26:26" x14ac:dyDescent="0.25">
      <c r="Z30065"/>
    </row>
    <row r="30066" spans="26:26" x14ac:dyDescent="0.25">
      <c r="Z30066"/>
    </row>
    <row r="30067" spans="26:26" x14ac:dyDescent="0.25">
      <c r="Z30067"/>
    </row>
    <row r="30068" spans="26:26" x14ac:dyDescent="0.25">
      <c r="Z30068"/>
    </row>
    <row r="30069" spans="26:26" x14ac:dyDescent="0.25">
      <c r="Z30069"/>
    </row>
    <row r="30070" spans="26:26" x14ac:dyDescent="0.25">
      <c r="Z30070"/>
    </row>
    <row r="30071" spans="26:26" x14ac:dyDescent="0.25">
      <c r="Z30071"/>
    </row>
    <row r="30072" spans="26:26" x14ac:dyDescent="0.25">
      <c r="Z30072"/>
    </row>
    <row r="30073" spans="26:26" x14ac:dyDescent="0.25">
      <c r="Z30073"/>
    </row>
    <row r="30074" spans="26:26" x14ac:dyDescent="0.25">
      <c r="Z30074"/>
    </row>
    <row r="30075" spans="26:26" x14ac:dyDescent="0.25">
      <c r="Z30075"/>
    </row>
    <row r="30076" spans="26:26" x14ac:dyDescent="0.25">
      <c r="Z30076"/>
    </row>
    <row r="30077" spans="26:26" x14ac:dyDescent="0.25">
      <c r="Z30077"/>
    </row>
    <row r="30078" spans="26:26" x14ac:dyDescent="0.25">
      <c r="Z30078"/>
    </row>
    <row r="30079" spans="26:26" x14ac:dyDescent="0.25">
      <c r="Z30079"/>
    </row>
    <row r="30080" spans="26:26" x14ac:dyDescent="0.25">
      <c r="Z30080"/>
    </row>
    <row r="30081" spans="26:26" x14ac:dyDescent="0.25">
      <c r="Z30081"/>
    </row>
    <row r="30082" spans="26:26" x14ac:dyDescent="0.25">
      <c r="Z30082"/>
    </row>
    <row r="30083" spans="26:26" x14ac:dyDescent="0.25">
      <c r="Z30083"/>
    </row>
    <row r="30084" spans="26:26" x14ac:dyDescent="0.25">
      <c r="Z30084"/>
    </row>
    <row r="30085" spans="26:26" x14ac:dyDescent="0.25">
      <c r="Z30085"/>
    </row>
    <row r="30086" spans="26:26" x14ac:dyDescent="0.25">
      <c r="Z30086"/>
    </row>
    <row r="30087" spans="26:26" x14ac:dyDescent="0.25">
      <c r="Z30087"/>
    </row>
    <row r="30088" spans="26:26" x14ac:dyDescent="0.25">
      <c r="Z30088"/>
    </row>
    <row r="30089" spans="26:26" x14ac:dyDescent="0.25">
      <c r="Z30089"/>
    </row>
    <row r="30090" spans="26:26" x14ac:dyDescent="0.25">
      <c r="Z30090"/>
    </row>
    <row r="30091" spans="26:26" x14ac:dyDescent="0.25">
      <c r="Z30091"/>
    </row>
    <row r="30092" spans="26:26" x14ac:dyDescent="0.25">
      <c r="Z30092"/>
    </row>
    <row r="30093" spans="26:26" x14ac:dyDescent="0.25">
      <c r="Z30093"/>
    </row>
    <row r="30094" spans="26:26" x14ac:dyDescent="0.25">
      <c r="Z30094"/>
    </row>
    <row r="30095" spans="26:26" x14ac:dyDescent="0.25">
      <c r="Z30095"/>
    </row>
    <row r="30096" spans="26:26" x14ac:dyDescent="0.25">
      <c r="Z30096"/>
    </row>
    <row r="30097" spans="26:26" x14ac:dyDescent="0.25">
      <c r="Z30097"/>
    </row>
    <row r="30098" spans="26:26" x14ac:dyDescent="0.25">
      <c r="Z30098"/>
    </row>
    <row r="30099" spans="26:26" x14ac:dyDescent="0.25">
      <c r="Z30099"/>
    </row>
    <row r="30100" spans="26:26" x14ac:dyDescent="0.25">
      <c r="Z30100"/>
    </row>
    <row r="30101" spans="26:26" x14ac:dyDescent="0.25">
      <c r="Z30101"/>
    </row>
    <row r="30102" spans="26:26" x14ac:dyDescent="0.25">
      <c r="Z30102"/>
    </row>
    <row r="30103" spans="26:26" x14ac:dyDescent="0.25">
      <c r="Z30103"/>
    </row>
    <row r="30104" spans="26:26" x14ac:dyDescent="0.25">
      <c r="Z30104"/>
    </row>
    <row r="30105" spans="26:26" x14ac:dyDescent="0.25">
      <c r="Z30105"/>
    </row>
    <row r="30106" spans="26:26" x14ac:dyDescent="0.25">
      <c r="Z30106"/>
    </row>
    <row r="30107" spans="26:26" x14ac:dyDescent="0.25">
      <c r="Z30107"/>
    </row>
    <row r="30108" spans="26:26" x14ac:dyDescent="0.25">
      <c r="Z30108"/>
    </row>
    <row r="30109" spans="26:26" x14ac:dyDescent="0.25">
      <c r="Z30109"/>
    </row>
    <row r="30110" spans="26:26" x14ac:dyDescent="0.25">
      <c r="Z30110"/>
    </row>
    <row r="30111" spans="26:26" x14ac:dyDescent="0.25">
      <c r="Z30111"/>
    </row>
    <row r="30112" spans="26:26" x14ac:dyDescent="0.25">
      <c r="Z30112"/>
    </row>
    <row r="30113" spans="26:26" x14ac:dyDescent="0.25">
      <c r="Z30113"/>
    </row>
    <row r="30114" spans="26:26" x14ac:dyDescent="0.25">
      <c r="Z30114"/>
    </row>
    <row r="30115" spans="26:26" x14ac:dyDescent="0.25">
      <c r="Z30115"/>
    </row>
    <row r="30116" spans="26:26" x14ac:dyDescent="0.25">
      <c r="Z30116"/>
    </row>
    <row r="30117" spans="26:26" x14ac:dyDescent="0.25">
      <c r="Z30117"/>
    </row>
    <row r="30118" spans="26:26" x14ac:dyDescent="0.25">
      <c r="Z30118"/>
    </row>
    <row r="30119" spans="26:26" x14ac:dyDescent="0.25">
      <c r="Z30119"/>
    </row>
    <row r="30120" spans="26:26" x14ac:dyDescent="0.25">
      <c r="Z30120"/>
    </row>
    <row r="30121" spans="26:26" x14ac:dyDescent="0.25">
      <c r="Z30121"/>
    </row>
    <row r="30122" spans="26:26" x14ac:dyDescent="0.25">
      <c r="Z30122"/>
    </row>
    <row r="30123" spans="26:26" x14ac:dyDescent="0.25">
      <c r="Z30123"/>
    </row>
    <row r="30124" spans="26:26" x14ac:dyDescent="0.25">
      <c r="Z30124"/>
    </row>
    <row r="30125" spans="26:26" x14ac:dyDescent="0.25">
      <c r="Z30125"/>
    </row>
    <row r="30126" spans="26:26" x14ac:dyDescent="0.25">
      <c r="Z30126"/>
    </row>
    <row r="30127" spans="26:26" x14ac:dyDescent="0.25">
      <c r="Z30127"/>
    </row>
    <row r="30128" spans="26:26" x14ac:dyDescent="0.25">
      <c r="Z30128"/>
    </row>
    <row r="30129" spans="26:26" x14ac:dyDescent="0.25">
      <c r="Z30129"/>
    </row>
    <row r="30130" spans="26:26" x14ac:dyDescent="0.25">
      <c r="Z30130"/>
    </row>
    <row r="30131" spans="26:26" x14ac:dyDescent="0.25">
      <c r="Z30131"/>
    </row>
    <row r="30132" spans="26:26" x14ac:dyDescent="0.25">
      <c r="Z30132"/>
    </row>
    <row r="30133" spans="26:26" x14ac:dyDescent="0.25">
      <c r="Z30133"/>
    </row>
    <row r="30134" spans="26:26" x14ac:dyDescent="0.25">
      <c r="Z30134"/>
    </row>
    <row r="30135" spans="26:26" x14ac:dyDescent="0.25">
      <c r="Z30135"/>
    </row>
    <row r="30136" spans="26:26" x14ac:dyDescent="0.25">
      <c r="Z30136"/>
    </row>
    <row r="30137" spans="26:26" x14ac:dyDescent="0.25">
      <c r="Z30137"/>
    </row>
    <row r="30138" spans="26:26" x14ac:dyDescent="0.25">
      <c r="Z30138"/>
    </row>
    <row r="30139" spans="26:26" x14ac:dyDescent="0.25">
      <c r="Z30139"/>
    </row>
    <row r="30140" spans="26:26" x14ac:dyDescent="0.25">
      <c r="Z30140"/>
    </row>
    <row r="30141" spans="26:26" x14ac:dyDescent="0.25">
      <c r="Z30141"/>
    </row>
    <row r="30142" spans="26:26" x14ac:dyDescent="0.25">
      <c r="Z30142"/>
    </row>
    <row r="30143" spans="26:26" x14ac:dyDescent="0.25">
      <c r="Z30143"/>
    </row>
    <row r="30144" spans="26:26" x14ac:dyDescent="0.25">
      <c r="Z30144"/>
    </row>
    <row r="30145" spans="26:26" x14ac:dyDescent="0.25">
      <c r="Z30145"/>
    </row>
    <row r="30146" spans="26:26" x14ac:dyDescent="0.25">
      <c r="Z30146"/>
    </row>
    <row r="30147" spans="26:26" x14ac:dyDescent="0.25">
      <c r="Z30147"/>
    </row>
    <row r="30148" spans="26:26" x14ac:dyDescent="0.25">
      <c r="Z30148"/>
    </row>
    <row r="30149" spans="26:26" x14ac:dyDescent="0.25">
      <c r="Z30149"/>
    </row>
    <row r="30150" spans="26:26" x14ac:dyDescent="0.25">
      <c r="Z30150"/>
    </row>
    <row r="30151" spans="26:26" x14ac:dyDescent="0.25">
      <c r="Z30151"/>
    </row>
    <row r="30152" spans="26:26" x14ac:dyDescent="0.25">
      <c r="Z30152"/>
    </row>
    <row r="30153" spans="26:26" x14ac:dyDescent="0.25">
      <c r="Z30153"/>
    </row>
    <row r="30154" spans="26:26" x14ac:dyDescent="0.25">
      <c r="Z30154"/>
    </row>
    <row r="30155" spans="26:26" x14ac:dyDescent="0.25">
      <c r="Z30155"/>
    </row>
    <row r="30156" spans="26:26" x14ac:dyDescent="0.25">
      <c r="Z30156"/>
    </row>
    <row r="30157" spans="26:26" x14ac:dyDescent="0.25">
      <c r="Z30157"/>
    </row>
    <row r="30158" spans="26:26" x14ac:dyDescent="0.25">
      <c r="Z30158"/>
    </row>
    <row r="30159" spans="26:26" x14ac:dyDescent="0.25">
      <c r="Z30159"/>
    </row>
    <row r="30160" spans="26:26" x14ac:dyDescent="0.25">
      <c r="Z30160"/>
    </row>
    <row r="30161" spans="26:26" x14ac:dyDescent="0.25">
      <c r="Z30161"/>
    </row>
    <row r="30162" spans="26:26" x14ac:dyDescent="0.25">
      <c r="Z30162"/>
    </row>
    <row r="30163" spans="26:26" x14ac:dyDescent="0.25">
      <c r="Z30163"/>
    </row>
    <row r="30164" spans="26:26" x14ac:dyDescent="0.25">
      <c r="Z30164"/>
    </row>
    <row r="30165" spans="26:26" x14ac:dyDescent="0.25">
      <c r="Z30165"/>
    </row>
    <row r="30166" spans="26:26" x14ac:dyDescent="0.25">
      <c r="Z30166"/>
    </row>
    <row r="30167" spans="26:26" x14ac:dyDescent="0.25">
      <c r="Z30167"/>
    </row>
    <row r="30168" spans="26:26" x14ac:dyDescent="0.25">
      <c r="Z30168"/>
    </row>
    <row r="30169" spans="26:26" x14ac:dyDescent="0.25">
      <c r="Z30169"/>
    </row>
    <row r="30170" spans="26:26" x14ac:dyDescent="0.25">
      <c r="Z30170"/>
    </row>
    <row r="30171" spans="26:26" x14ac:dyDescent="0.25">
      <c r="Z30171"/>
    </row>
    <row r="30172" spans="26:26" x14ac:dyDescent="0.25">
      <c r="Z30172"/>
    </row>
    <row r="30173" spans="26:26" x14ac:dyDescent="0.25">
      <c r="Z30173"/>
    </row>
    <row r="30174" spans="26:26" x14ac:dyDescent="0.25">
      <c r="Z30174"/>
    </row>
    <row r="30175" spans="26:26" x14ac:dyDescent="0.25">
      <c r="Z30175"/>
    </row>
    <row r="30176" spans="26:26" x14ac:dyDescent="0.25">
      <c r="Z30176"/>
    </row>
    <row r="30177" spans="26:26" x14ac:dyDescent="0.25">
      <c r="Z30177"/>
    </row>
    <row r="30178" spans="26:26" x14ac:dyDescent="0.25">
      <c r="Z30178"/>
    </row>
    <row r="30179" spans="26:26" x14ac:dyDescent="0.25">
      <c r="Z30179"/>
    </row>
    <row r="30180" spans="26:26" x14ac:dyDescent="0.25">
      <c r="Z30180"/>
    </row>
    <row r="30181" spans="26:26" x14ac:dyDescent="0.25">
      <c r="Z30181"/>
    </row>
    <row r="30182" spans="26:26" x14ac:dyDescent="0.25">
      <c r="Z30182"/>
    </row>
    <row r="30183" spans="26:26" x14ac:dyDescent="0.25">
      <c r="Z30183"/>
    </row>
    <row r="30184" spans="26:26" x14ac:dyDescent="0.25">
      <c r="Z30184"/>
    </row>
    <row r="30185" spans="26:26" x14ac:dyDescent="0.25">
      <c r="Z30185"/>
    </row>
    <row r="30186" spans="26:26" x14ac:dyDescent="0.25">
      <c r="Z30186"/>
    </row>
    <row r="30187" spans="26:26" x14ac:dyDescent="0.25">
      <c r="Z30187"/>
    </row>
    <row r="30188" spans="26:26" x14ac:dyDescent="0.25">
      <c r="Z30188"/>
    </row>
    <row r="30189" spans="26:26" x14ac:dyDescent="0.25">
      <c r="Z30189"/>
    </row>
    <row r="30190" spans="26:26" x14ac:dyDescent="0.25">
      <c r="Z30190"/>
    </row>
    <row r="30191" spans="26:26" x14ac:dyDescent="0.25">
      <c r="Z30191"/>
    </row>
    <row r="30192" spans="26:26" x14ac:dyDescent="0.25">
      <c r="Z30192"/>
    </row>
    <row r="30193" spans="26:26" x14ac:dyDescent="0.25">
      <c r="Z30193"/>
    </row>
    <row r="30194" spans="26:26" x14ac:dyDescent="0.25">
      <c r="Z30194"/>
    </row>
    <row r="30195" spans="26:26" x14ac:dyDescent="0.25">
      <c r="Z30195"/>
    </row>
    <row r="30196" spans="26:26" x14ac:dyDescent="0.25">
      <c r="Z30196"/>
    </row>
    <row r="30197" spans="26:26" x14ac:dyDescent="0.25">
      <c r="Z30197"/>
    </row>
    <row r="30198" spans="26:26" x14ac:dyDescent="0.25">
      <c r="Z30198"/>
    </row>
    <row r="30199" spans="26:26" x14ac:dyDescent="0.25">
      <c r="Z30199"/>
    </row>
    <row r="30200" spans="26:26" x14ac:dyDescent="0.25">
      <c r="Z30200"/>
    </row>
    <row r="30201" spans="26:26" x14ac:dyDescent="0.25">
      <c r="Z30201"/>
    </row>
    <row r="30202" spans="26:26" x14ac:dyDescent="0.25">
      <c r="Z30202"/>
    </row>
    <row r="30203" spans="26:26" x14ac:dyDescent="0.25">
      <c r="Z30203"/>
    </row>
    <row r="30204" spans="26:26" x14ac:dyDescent="0.25">
      <c r="Z30204"/>
    </row>
    <row r="30205" spans="26:26" x14ac:dyDescent="0.25">
      <c r="Z30205"/>
    </row>
    <row r="30206" spans="26:26" x14ac:dyDescent="0.25">
      <c r="Z30206"/>
    </row>
    <row r="30207" spans="26:26" x14ac:dyDescent="0.25">
      <c r="Z30207"/>
    </row>
    <row r="30208" spans="26:26" x14ac:dyDescent="0.25">
      <c r="Z30208"/>
    </row>
    <row r="30209" spans="26:26" x14ac:dyDescent="0.25">
      <c r="Z30209"/>
    </row>
    <row r="30210" spans="26:26" x14ac:dyDescent="0.25">
      <c r="Z30210"/>
    </row>
    <row r="30211" spans="26:26" x14ac:dyDescent="0.25">
      <c r="Z30211"/>
    </row>
    <row r="30212" spans="26:26" x14ac:dyDescent="0.25">
      <c r="Z30212"/>
    </row>
    <row r="30213" spans="26:26" x14ac:dyDescent="0.25">
      <c r="Z30213"/>
    </row>
    <row r="30214" spans="26:26" x14ac:dyDescent="0.25">
      <c r="Z30214"/>
    </row>
    <row r="30215" spans="26:26" x14ac:dyDescent="0.25">
      <c r="Z30215"/>
    </row>
    <row r="30216" spans="26:26" x14ac:dyDescent="0.25">
      <c r="Z30216"/>
    </row>
    <row r="30217" spans="26:26" x14ac:dyDescent="0.25">
      <c r="Z30217"/>
    </row>
    <row r="30218" spans="26:26" x14ac:dyDescent="0.25">
      <c r="Z30218"/>
    </row>
    <row r="30219" spans="26:26" x14ac:dyDescent="0.25">
      <c r="Z30219"/>
    </row>
    <row r="30220" spans="26:26" x14ac:dyDescent="0.25">
      <c r="Z30220"/>
    </row>
    <row r="30221" spans="26:26" x14ac:dyDescent="0.25">
      <c r="Z30221"/>
    </row>
    <row r="30222" spans="26:26" x14ac:dyDescent="0.25">
      <c r="Z30222"/>
    </row>
    <row r="30223" spans="26:26" x14ac:dyDescent="0.25">
      <c r="Z30223"/>
    </row>
    <row r="30224" spans="26:26" x14ac:dyDescent="0.25">
      <c r="Z30224"/>
    </row>
    <row r="30225" spans="26:26" x14ac:dyDescent="0.25">
      <c r="Z30225"/>
    </row>
    <row r="30226" spans="26:26" x14ac:dyDescent="0.25">
      <c r="Z30226"/>
    </row>
    <row r="30227" spans="26:26" x14ac:dyDescent="0.25">
      <c r="Z30227"/>
    </row>
    <row r="30228" spans="26:26" x14ac:dyDescent="0.25">
      <c r="Z30228"/>
    </row>
    <row r="30229" spans="26:26" x14ac:dyDescent="0.25">
      <c r="Z30229"/>
    </row>
    <row r="30230" spans="26:26" x14ac:dyDescent="0.25">
      <c r="Z30230"/>
    </row>
    <row r="30231" spans="26:26" x14ac:dyDescent="0.25">
      <c r="Z30231"/>
    </row>
    <row r="30232" spans="26:26" x14ac:dyDescent="0.25">
      <c r="Z30232"/>
    </row>
    <row r="30233" spans="26:26" x14ac:dyDescent="0.25">
      <c r="Z30233"/>
    </row>
    <row r="30234" spans="26:26" x14ac:dyDescent="0.25">
      <c r="Z30234"/>
    </row>
    <row r="30235" spans="26:26" x14ac:dyDescent="0.25">
      <c r="Z30235"/>
    </row>
    <row r="30236" spans="26:26" x14ac:dyDescent="0.25">
      <c r="Z30236"/>
    </row>
    <row r="30237" spans="26:26" x14ac:dyDescent="0.25">
      <c r="Z30237"/>
    </row>
    <row r="30238" spans="26:26" x14ac:dyDescent="0.25">
      <c r="Z30238"/>
    </row>
    <row r="30239" spans="26:26" x14ac:dyDescent="0.25">
      <c r="Z30239"/>
    </row>
    <row r="30240" spans="26:26" x14ac:dyDescent="0.25">
      <c r="Z30240"/>
    </row>
    <row r="30241" spans="26:26" x14ac:dyDescent="0.25">
      <c r="Z30241"/>
    </row>
    <row r="30242" spans="26:26" x14ac:dyDescent="0.25">
      <c r="Z30242"/>
    </row>
    <row r="30243" spans="26:26" x14ac:dyDescent="0.25">
      <c r="Z30243"/>
    </row>
    <row r="30244" spans="26:26" x14ac:dyDescent="0.25">
      <c r="Z30244"/>
    </row>
    <row r="30245" spans="26:26" x14ac:dyDescent="0.25">
      <c r="Z30245"/>
    </row>
    <row r="30246" spans="26:26" x14ac:dyDescent="0.25">
      <c r="Z30246"/>
    </row>
    <row r="30247" spans="26:26" x14ac:dyDescent="0.25">
      <c r="Z30247"/>
    </row>
    <row r="30248" spans="26:26" x14ac:dyDescent="0.25">
      <c r="Z30248"/>
    </row>
    <row r="30249" spans="26:26" x14ac:dyDescent="0.25">
      <c r="Z30249"/>
    </row>
    <row r="30250" spans="26:26" x14ac:dyDescent="0.25">
      <c r="Z30250"/>
    </row>
    <row r="30251" spans="26:26" x14ac:dyDescent="0.25">
      <c r="Z30251"/>
    </row>
    <row r="30252" spans="26:26" x14ac:dyDescent="0.25">
      <c r="Z30252"/>
    </row>
    <row r="30253" spans="26:26" x14ac:dyDescent="0.25">
      <c r="Z30253"/>
    </row>
    <row r="30254" spans="26:26" x14ac:dyDescent="0.25">
      <c r="Z30254"/>
    </row>
    <row r="30255" spans="26:26" x14ac:dyDescent="0.25">
      <c r="Z30255"/>
    </row>
    <row r="30256" spans="26:26" x14ac:dyDescent="0.25">
      <c r="Z30256"/>
    </row>
    <row r="30257" spans="26:26" x14ac:dyDescent="0.25">
      <c r="Z30257"/>
    </row>
    <row r="30258" spans="26:26" x14ac:dyDescent="0.25">
      <c r="Z30258"/>
    </row>
    <row r="30259" spans="26:26" x14ac:dyDescent="0.25">
      <c r="Z30259"/>
    </row>
    <row r="30260" spans="26:26" x14ac:dyDescent="0.25">
      <c r="Z30260"/>
    </row>
    <row r="30261" spans="26:26" x14ac:dyDescent="0.25">
      <c r="Z30261"/>
    </row>
    <row r="30262" spans="26:26" x14ac:dyDescent="0.25">
      <c r="Z30262"/>
    </row>
    <row r="30263" spans="26:26" x14ac:dyDescent="0.25">
      <c r="Z30263"/>
    </row>
    <row r="30264" spans="26:26" x14ac:dyDescent="0.25">
      <c r="Z30264"/>
    </row>
    <row r="30265" spans="26:26" x14ac:dyDescent="0.25">
      <c r="Z30265"/>
    </row>
    <row r="30266" spans="26:26" x14ac:dyDescent="0.25">
      <c r="Z30266"/>
    </row>
    <row r="30267" spans="26:26" x14ac:dyDescent="0.25">
      <c r="Z30267"/>
    </row>
    <row r="30268" spans="26:26" x14ac:dyDescent="0.25">
      <c r="Z30268"/>
    </row>
    <row r="30269" spans="26:26" x14ac:dyDescent="0.25">
      <c r="Z30269"/>
    </row>
    <row r="30270" spans="26:26" x14ac:dyDescent="0.25">
      <c r="Z30270"/>
    </row>
    <row r="30271" spans="26:26" x14ac:dyDescent="0.25">
      <c r="Z30271"/>
    </row>
    <row r="30272" spans="26:26" x14ac:dyDescent="0.25">
      <c r="Z30272"/>
    </row>
    <row r="30273" spans="26:26" x14ac:dyDescent="0.25">
      <c r="Z30273"/>
    </row>
    <row r="30274" spans="26:26" x14ac:dyDescent="0.25">
      <c r="Z30274"/>
    </row>
    <row r="30275" spans="26:26" x14ac:dyDescent="0.25">
      <c r="Z30275"/>
    </row>
    <row r="30276" spans="26:26" x14ac:dyDescent="0.25">
      <c r="Z30276"/>
    </row>
    <row r="30277" spans="26:26" x14ac:dyDescent="0.25">
      <c r="Z30277"/>
    </row>
    <row r="30278" spans="26:26" x14ac:dyDescent="0.25">
      <c r="Z30278"/>
    </row>
    <row r="30279" spans="26:26" x14ac:dyDescent="0.25">
      <c r="Z30279"/>
    </row>
    <row r="30280" spans="26:26" x14ac:dyDescent="0.25">
      <c r="Z30280"/>
    </row>
    <row r="30281" spans="26:26" x14ac:dyDescent="0.25">
      <c r="Z30281"/>
    </row>
    <row r="30282" spans="26:26" x14ac:dyDescent="0.25">
      <c r="Z30282"/>
    </row>
    <row r="30283" spans="26:26" x14ac:dyDescent="0.25">
      <c r="Z30283"/>
    </row>
    <row r="30284" spans="26:26" x14ac:dyDescent="0.25">
      <c r="Z30284"/>
    </row>
    <row r="30285" spans="26:26" x14ac:dyDescent="0.25">
      <c r="Z30285"/>
    </row>
    <row r="30286" spans="26:26" x14ac:dyDescent="0.25">
      <c r="Z30286"/>
    </row>
    <row r="30287" spans="26:26" x14ac:dyDescent="0.25">
      <c r="Z30287"/>
    </row>
    <row r="30288" spans="26:26" x14ac:dyDescent="0.25">
      <c r="Z30288"/>
    </row>
    <row r="30289" spans="26:26" x14ac:dyDescent="0.25">
      <c r="Z30289"/>
    </row>
    <row r="30290" spans="26:26" x14ac:dyDescent="0.25">
      <c r="Z30290"/>
    </row>
    <row r="30291" spans="26:26" x14ac:dyDescent="0.25">
      <c r="Z30291"/>
    </row>
    <row r="30292" spans="26:26" x14ac:dyDescent="0.25">
      <c r="Z30292"/>
    </row>
    <row r="30293" spans="26:26" x14ac:dyDescent="0.25">
      <c r="Z30293"/>
    </row>
    <row r="30294" spans="26:26" x14ac:dyDescent="0.25">
      <c r="Z30294"/>
    </row>
    <row r="30295" spans="26:26" x14ac:dyDescent="0.25">
      <c r="Z30295"/>
    </row>
    <row r="30296" spans="26:26" x14ac:dyDescent="0.25">
      <c r="Z30296"/>
    </row>
    <row r="30297" spans="26:26" x14ac:dyDescent="0.25">
      <c r="Z30297"/>
    </row>
    <row r="30298" spans="26:26" x14ac:dyDescent="0.25">
      <c r="Z30298"/>
    </row>
    <row r="30299" spans="26:26" x14ac:dyDescent="0.25">
      <c r="Z30299"/>
    </row>
    <row r="30300" spans="26:26" x14ac:dyDescent="0.25">
      <c r="Z30300"/>
    </row>
    <row r="30301" spans="26:26" x14ac:dyDescent="0.25">
      <c r="Z30301"/>
    </row>
    <row r="30302" spans="26:26" x14ac:dyDescent="0.25">
      <c r="Z30302"/>
    </row>
    <row r="30303" spans="26:26" x14ac:dyDescent="0.25">
      <c r="Z30303"/>
    </row>
    <row r="30304" spans="26:26" x14ac:dyDescent="0.25">
      <c r="Z30304"/>
    </row>
    <row r="30305" spans="26:26" x14ac:dyDescent="0.25">
      <c r="Z30305"/>
    </row>
    <row r="30306" spans="26:26" x14ac:dyDescent="0.25">
      <c r="Z30306"/>
    </row>
    <row r="30307" spans="26:26" x14ac:dyDescent="0.25">
      <c r="Z30307"/>
    </row>
    <row r="30308" spans="26:26" x14ac:dyDescent="0.25">
      <c r="Z30308"/>
    </row>
    <row r="30309" spans="26:26" x14ac:dyDescent="0.25">
      <c r="Z30309"/>
    </row>
    <row r="30310" spans="26:26" x14ac:dyDescent="0.25">
      <c r="Z30310"/>
    </row>
    <row r="30311" spans="26:26" x14ac:dyDescent="0.25">
      <c r="Z30311"/>
    </row>
    <row r="30312" spans="26:26" x14ac:dyDescent="0.25">
      <c r="Z30312"/>
    </row>
    <row r="30313" spans="26:26" x14ac:dyDescent="0.25">
      <c r="Z30313"/>
    </row>
    <row r="30314" spans="26:26" x14ac:dyDescent="0.25">
      <c r="Z30314"/>
    </row>
    <row r="30315" spans="26:26" x14ac:dyDescent="0.25">
      <c r="Z30315"/>
    </row>
    <row r="30316" spans="26:26" x14ac:dyDescent="0.25">
      <c r="Z30316"/>
    </row>
    <row r="30317" spans="26:26" x14ac:dyDescent="0.25">
      <c r="Z30317"/>
    </row>
    <row r="30318" spans="26:26" x14ac:dyDescent="0.25">
      <c r="Z30318"/>
    </row>
    <row r="30319" spans="26:26" x14ac:dyDescent="0.25">
      <c r="Z30319"/>
    </row>
    <row r="30320" spans="26:26" x14ac:dyDescent="0.25">
      <c r="Z30320"/>
    </row>
    <row r="30321" spans="26:26" x14ac:dyDescent="0.25">
      <c r="Z30321"/>
    </row>
    <row r="30322" spans="26:26" x14ac:dyDescent="0.25">
      <c r="Z30322"/>
    </row>
    <row r="30323" spans="26:26" x14ac:dyDescent="0.25">
      <c r="Z30323"/>
    </row>
    <row r="30324" spans="26:26" x14ac:dyDescent="0.25">
      <c r="Z30324"/>
    </row>
    <row r="30325" spans="26:26" x14ac:dyDescent="0.25">
      <c r="Z30325"/>
    </row>
    <row r="30326" spans="26:26" x14ac:dyDescent="0.25">
      <c r="Z30326"/>
    </row>
    <row r="30327" spans="26:26" x14ac:dyDescent="0.25">
      <c r="Z30327"/>
    </row>
    <row r="30328" spans="26:26" x14ac:dyDescent="0.25">
      <c r="Z30328"/>
    </row>
    <row r="30329" spans="26:26" x14ac:dyDescent="0.25">
      <c r="Z30329"/>
    </row>
    <row r="30330" spans="26:26" x14ac:dyDescent="0.25">
      <c r="Z30330"/>
    </row>
    <row r="30331" spans="26:26" x14ac:dyDescent="0.25">
      <c r="Z30331"/>
    </row>
    <row r="30332" spans="26:26" x14ac:dyDescent="0.25">
      <c r="Z30332"/>
    </row>
    <row r="30333" spans="26:26" x14ac:dyDescent="0.25">
      <c r="Z30333"/>
    </row>
    <row r="30334" spans="26:26" x14ac:dyDescent="0.25">
      <c r="Z30334"/>
    </row>
    <row r="30335" spans="26:26" x14ac:dyDescent="0.25">
      <c r="Z30335"/>
    </row>
    <row r="30336" spans="26:26" x14ac:dyDescent="0.25">
      <c r="Z30336"/>
    </row>
    <row r="30337" spans="26:26" x14ac:dyDescent="0.25">
      <c r="Z30337"/>
    </row>
    <row r="30338" spans="26:26" x14ac:dyDescent="0.25">
      <c r="Z30338"/>
    </row>
    <row r="30339" spans="26:26" x14ac:dyDescent="0.25">
      <c r="Z30339"/>
    </row>
    <row r="30340" spans="26:26" x14ac:dyDescent="0.25">
      <c r="Z30340"/>
    </row>
    <row r="30341" spans="26:26" x14ac:dyDescent="0.25">
      <c r="Z30341"/>
    </row>
    <row r="30342" spans="26:26" x14ac:dyDescent="0.25">
      <c r="Z30342"/>
    </row>
    <row r="30343" spans="26:26" x14ac:dyDescent="0.25">
      <c r="Z30343"/>
    </row>
    <row r="30344" spans="26:26" x14ac:dyDescent="0.25">
      <c r="Z30344"/>
    </row>
    <row r="30345" spans="26:26" x14ac:dyDescent="0.25">
      <c r="Z30345"/>
    </row>
    <row r="30346" spans="26:26" x14ac:dyDescent="0.25">
      <c r="Z30346"/>
    </row>
    <row r="30347" spans="26:26" x14ac:dyDescent="0.25">
      <c r="Z30347"/>
    </row>
    <row r="30348" spans="26:26" x14ac:dyDescent="0.25">
      <c r="Z30348"/>
    </row>
    <row r="30349" spans="26:26" x14ac:dyDescent="0.25">
      <c r="Z30349"/>
    </row>
    <row r="30350" spans="26:26" x14ac:dyDescent="0.25">
      <c r="Z30350"/>
    </row>
    <row r="30351" spans="26:26" x14ac:dyDescent="0.25">
      <c r="Z30351"/>
    </row>
    <row r="30352" spans="26:26" x14ac:dyDescent="0.25">
      <c r="Z30352"/>
    </row>
    <row r="30353" spans="26:26" x14ac:dyDescent="0.25">
      <c r="Z30353"/>
    </row>
    <row r="30354" spans="26:26" x14ac:dyDescent="0.25">
      <c r="Z30354"/>
    </row>
    <row r="30355" spans="26:26" x14ac:dyDescent="0.25">
      <c r="Z30355"/>
    </row>
    <row r="30356" spans="26:26" x14ac:dyDescent="0.25">
      <c r="Z30356"/>
    </row>
    <row r="30357" spans="26:26" x14ac:dyDescent="0.25">
      <c r="Z30357"/>
    </row>
    <row r="30358" spans="26:26" x14ac:dyDescent="0.25">
      <c r="Z30358"/>
    </row>
    <row r="30359" spans="26:26" x14ac:dyDescent="0.25">
      <c r="Z30359"/>
    </row>
    <row r="30360" spans="26:26" x14ac:dyDescent="0.25">
      <c r="Z30360"/>
    </row>
    <row r="30361" spans="26:26" x14ac:dyDescent="0.25">
      <c r="Z30361"/>
    </row>
    <row r="30362" spans="26:26" x14ac:dyDescent="0.25">
      <c r="Z30362"/>
    </row>
    <row r="30363" spans="26:26" x14ac:dyDescent="0.25">
      <c r="Z30363"/>
    </row>
    <row r="30364" spans="26:26" x14ac:dyDescent="0.25">
      <c r="Z30364"/>
    </row>
    <row r="30365" spans="26:26" x14ac:dyDescent="0.25">
      <c r="Z30365"/>
    </row>
    <row r="30366" spans="26:26" x14ac:dyDescent="0.25">
      <c r="Z30366"/>
    </row>
    <row r="30367" spans="26:26" x14ac:dyDescent="0.25">
      <c r="Z30367"/>
    </row>
    <row r="30368" spans="26:26" x14ac:dyDescent="0.25">
      <c r="Z30368"/>
    </row>
    <row r="30369" spans="26:26" x14ac:dyDescent="0.25">
      <c r="Z30369"/>
    </row>
    <row r="30370" spans="26:26" x14ac:dyDescent="0.25">
      <c r="Z30370"/>
    </row>
    <row r="30371" spans="26:26" x14ac:dyDescent="0.25">
      <c r="Z30371"/>
    </row>
    <row r="30372" spans="26:26" x14ac:dyDescent="0.25">
      <c r="Z30372"/>
    </row>
    <row r="30373" spans="26:26" x14ac:dyDescent="0.25">
      <c r="Z30373"/>
    </row>
    <row r="30374" spans="26:26" x14ac:dyDescent="0.25">
      <c r="Z30374"/>
    </row>
    <row r="30375" spans="26:26" x14ac:dyDescent="0.25">
      <c r="Z30375"/>
    </row>
    <row r="30376" spans="26:26" x14ac:dyDescent="0.25">
      <c r="Z30376"/>
    </row>
    <row r="30377" spans="26:26" x14ac:dyDescent="0.25">
      <c r="Z30377"/>
    </row>
    <row r="30378" spans="26:26" x14ac:dyDescent="0.25">
      <c r="Z30378"/>
    </row>
    <row r="30379" spans="26:26" x14ac:dyDescent="0.25">
      <c r="Z30379"/>
    </row>
    <row r="30380" spans="26:26" x14ac:dyDescent="0.25">
      <c r="Z30380"/>
    </row>
    <row r="30381" spans="26:26" x14ac:dyDescent="0.25">
      <c r="Z30381"/>
    </row>
    <row r="30382" spans="26:26" x14ac:dyDescent="0.25">
      <c r="Z30382"/>
    </row>
    <row r="30383" spans="26:26" x14ac:dyDescent="0.25">
      <c r="Z30383"/>
    </row>
    <row r="30384" spans="26:26" x14ac:dyDescent="0.25">
      <c r="Z30384"/>
    </row>
    <row r="30385" spans="26:26" x14ac:dyDescent="0.25">
      <c r="Z30385"/>
    </row>
    <row r="30386" spans="26:26" x14ac:dyDescent="0.25">
      <c r="Z30386"/>
    </row>
    <row r="30387" spans="26:26" x14ac:dyDescent="0.25">
      <c r="Z30387"/>
    </row>
    <row r="30388" spans="26:26" x14ac:dyDescent="0.25">
      <c r="Z30388"/>
    </row>
    <row r="30389" spans="26:26" x14ac:dyDescent="0.25">
      <c r="Z30389"/>
    </row>
    <row r="30390" spans="26:26" x14ac:dyDescent="0.25">
      <c r="Z30390"/>
    </row>
    <row r="30391" spans="26:26" x14ac:dyDescent="0.25">
      <c r="Z30391"/>
    </row>
    <row r="30392" spans="26:26" x14ac:dyDescent="0.25">
      <c r="Z30392"/>
    </row>
    <row r="30393" spans="26:26" x14ac:dyDescent="0.25">
      <c r="Z30393"/>
    </row>
    <row r="30394" spans="26:26" x14ac:dyDescent="0.25">
      <c r="Z30394"/>
    </row>
    <row r="30395" spans="26:26" x14ac:dyDescent="0.25">
      <c r="Z30395"/>
    </row>
    <row r="30396" spans="26:26" x14ac:dyDescent="0.25">
      <c r="Z30396"/>
    </row>
    <row r="30397" spans="26:26" x14ac:dyDescent="0.25">
      <c r="Z30397"/>
    </row>
    <row r="30398" spans="26:26" x14ac:dyDescent="0.25">
      <c r="Z30398"/>
    </row>
    <row r="30399" spans="26:26" x14ac:dyDescent="0.25">
      <c r="Z30399"/>
    </row>
    <row r="30400" spans="26:26" x14ac:dyDescent="0.25">
      <c r="Z30400"/>
    </row>
    <row r="30401" spans="26:26" x14ac:dyDescent="0.25">
      <c r="Z30401"/>
    </row>
    <row r="30402" spans="26:26" x14ac:dyDescent="0.25">
      <c r="Z30402"/>
    </row>
    <row r="30403" spans="26:26" x14ac:dyDescent="0.25">
      <c r="Z30403"/>
    </row>
    <row r="30404" spans="26:26" x14ac:dyDescent="0.25">
      <c r="Z30404"/>
    </row>
    <row r="30405" spans="26:26" x14ac:dyDescent="0.25">
      <c r="Z30405"/>
    </row>
    <row r="30406" spans="26:26" x14ac:dyDescent="0.25">
      <c r="Z30406"/>
    </row>
    <row r="30407" spans="26:26" x14ac:dyDescent="0.25">
      <c r="Z30407"/>
    </row>
    <row r="30408" spans="26:26" x14ac:dyDescent="0.25">
      <c r="Z30408"/>
    </row>
    <row r="30409" spans="26:26" x14ac:dyDescent="0.25">
      <c r="Z30409"/>
    </row>
    <row r="30410" spans="26:26" x14ac:dyDescent="0.25">
      <c r="Z30410"/>
    </row>
    <row r="30411" spans="26:26" x14ac:dyDescent="0.25">
      <c r="Z30411"/>
    </row>
    <row r="30412" spans="26:26" x14ac:dyDescent="0.25">
      <c r="Z30412"/>
    </row>
    <row r="30413" spans="26:26" x14ac:dyDescent="0.25">
      <c r="Z30413"/>
    </row>
    <row r="30414" spans="26:26" x14ac:dyDescent="0.25">
      <c r="Z30414"/>
    </row>
    <row r="30415" spans="26:26" x14ac:dyDescent="0.25">
      <c r="Z30415"/>
    </row>
    <row r="30416" spans="26:26" x14ac:dyDescent="0.25">
      <c r="Z30416"/>
    </row>
    <row r="30417" spans="26:26" x14ac:dyDescent="0.25">
      <c r="Z30417"/>
    </row>
    <row r="30418" spans="26:26" x14ac:dyDescent="0.25">
      <c r="Z30418"/>
    </row>
    <row r="30419" spans="26:26" x14ac:dyDescent="0.25">
      <c r="Z30419"/>
    </row>
    <row r="30420" spans="26:26" x14ac:dyDescent="0.25">
      <c r="Z30420"/>
    </row>
    <row r="30421" spans="26:26" x14ac:dyDescent="0.25">
      <c r="Z30421"/>
    </row>
    <row r="30422" spans="26:26" x14ac:dyDescent="0.25">
      <c r="Z30422"/>
    </row>
    <row r="30423" spans="26:26" x14ac:dyDescent="0.25">
      <c r="Z30423"/>
    </row>
    <row r="30424" spans="26:26" x14ac:dyDescent="0.25">
      <c r="Z30424"/>
    </row>
    <row r="30425" spans="26:26" x14ac:dyDescent="0.25">
      <c r="Z30425"/>
    </row>
    <row r="30426" spans="26:26" x14ac:dyDescent="0.25">
      <c r="Z30426"/>
    </row>
    <row r="30427" spans="26:26" x14ac:dyDescent="0.25">
      <c r="Z30427"/>
    </row>
    <row r="30428" spans="26:26" x14ac:dyDescent="0.25">
      <c r="Z30428"/>
    </row>
    <row r="30429" spans="26:26" x14ac:dyDescent="0.25">
      <c r="Z30429"/>
    </row>
    <row r="30430" spans="26:26" x14ac:dyDescent="0.25">
      <c r="Z30430"/>
    </row>
    <row r="30431" spans="26:26" x14ac:dyDescent="0.25">
      <c r="Z30431"/>
    </row>
    <row r="30432" spans="26:26" x14ac:dyDescent="0.25">
      <c r="Z30432"/>
    </row>
    <row r="30433" spans="26:26" x14ac:dyDescent="0.25">
      <c r="Z30433"/>
    </row>
    <row r="30434" spans="26:26" x14ac:dyDescent="0.25">
      <c r="Z30434"/>
    </row>
    <row r="30435" spans="26:26" x14ac:dyDescent="0.25">
      <c r="Z30435"/>
    </row>
    <row r="30436" spans="26:26" x14ac:dyDescent="0.25">
      <c r="Z30436"/>
    </row>
    <row r="30437" spans="26:26" x14ac:dyDescent="0.25">
      <c r="Z30437"/>
    </row>
    <row r="30438" spans="26:26" x14ac:dyDescent="0.25">
      <c r="Z30438"/>
    </row>
    <row r="30439" spans="26:26" x14ac:dyDescent="0.25">
      <c r="Z30439"/>
    </row>
    <row r="30440" spans="26:26" x14ac:dyDescent="0.25">
      <c r="Z30440"/>
    </row>
    <row r="30441" spans="26:26" x14ac:dyDescent="0.25">
      <c r="Z30441"/>
    </row>
    <row r="30442" spans="26:26" x14ac:dyDescent="0.25">
      <c r="Z30442"/>
    </row>
    <row r="30443" spans="26:26" x14ac:dyDescent="0.25">
      <c r="Z30443"/>
    </row>
    <row r="30444" spans="26:26" x14ac:dyDescent="0.25">
      <c r="Z30444"/>
    </row>
    <row r="30445" spans="26:26" x14ac:dyDescent="0.25">
      <c r="Z30445"/>
    </row>
    <row r="30446" spans="26:26" x14ac:dyDescent="0.25">
      <c r="Z30446"/>
    </row>
    <row r="30447" spans="26:26" x14ac:dyDescent="0.25">
      <c r="Z30447"/>
    </row>
    <row r="30448" spans="26:26" x14ac:dyDescent="0.25">
      <c r="Z30448"/>
    </row>
    <row r="30449" spans="26:26" x14ac:dyDescent="0.25">
      <c r="Z30449"/>
    </row>
    <row r="30450" spans="26:26" x14ac:dyDescent="0.25">
      <c r="Z30450"/>
    </row>
    <row r="30451" spans="26:26" x14ac:dyDescent="0.25">
      <c r="Z30451"/>
    </row>
    <row r="30452" spans="26:26" x14ac:dyDescent="0.25">
      <c r="Z30452"/>
    </row>
    <row r="30453" spans="26:26" x14ac:dyDescent="0.25">
      <c r="Z30453"/>
    </row>
    <row r="30454" spans="26:26" x14ac:dyDescent="0.25">
      <c r="Z30454"/>
    </row>
    <row r="30455" spans="26:26" x14ac:dyDescent="0.25">
      <c r="Z30455"/>
    </row>
    <row r="30456" spans="26:26" x14ac:dyDescent="0.25">
      <c r="Z30456"/>
    </row>
    <row r="30457" spans="26:26" x14ac:dyDescent="0.25">
      <c r="Z30457"/>
    </row>
    <row r="30458" spans="26:26" x14ac:dyDescent="0.25">
      <c r="Z30458"/>
    </row>
    <row r="30459" spans="26:26" x14ac:dyDescent="0.25">
      <c r="Z30459"/>
    </row>
    <row r="30460" spans="26:26" x14ac:dyDescent="0.25">
      <c r="Z30460"/>
    </row>
    <row r="30461" spans="26:26" x14ac:dyDescent="0.25">
      <c r="Z30461"/>
    </row>
    <row r="30462" spans="26:26" x14ac:dyDescent="0.25">
      <c r="Z30462"/>
    </row>
    <row r="30463" spans="26:26" x14ac:dyDescent="0.25">
      <c r="Z30463"/>
    </row>
    <row r="30464" spans="26:26" x14ac:dyDescent="0.25">
      <c r="Z30464"/>
    </row>
    <row r="30465" spans="26:26" x14ac:dyDescent="0.25">
      <c r="Z30465"/>
    </row>
    <row r="30466" spans="26:26" x14ac:dyDescent="0.25">
      <c r="Z30466"/>
    </row>
    <row r="30467" spans="26:26" x14ac:dyDescent="0.25">
      <c r="Z30467"/>
    </row>
    <row r="30468" spans="26:26" x14ac:dyDescent="0.25">
      <c r="Z30468"/>
    </row>
    <row r="30469" spans="26:26" x14ac:dyDescent="0.25">
      <c r="Z30469"/>
    </row>
    <row r="30470" spans="26:26" x14ac:dyDescent="0.25">
      <c r="Z30470"/>
    </row>
    <row r="30471" spans="26:26" x14ac:dyDescent="0.25">
      <c r="Z30471"/>
    </row>
    <row r="30472" spans="26:26" x14ac:dyDescent="0.25">
      <c r="Z30472"/>
    </row>
    <row r="30473" spans="26:26" x14ac:dyDescent="0.25">
      <c r="Z30473"/>
    </row>
    <row r="30474" spans="26:26" x14ac:dyDescent="0.25">
      <c r="Z30474"/>
    </row>
    <row r="30475" spans="26:26" x14ac:dyDescent="0.25">
      <c r="Z30475"/>
    </row>
    <row r="30476" spans="26:26" x14ac:dyDescent="0.25">
      <c r="Z30476"/>
    </row>
    <row r="30477" spans="26:26" x14ac:dyDescent="0.25">
      <c r="Z30477"/>
    </row>
    <row r="30478" spans="26:26" x14ac:dyDescent="0.25">
      <c r="Z30478"/>
    </row>
    <row r="30479" spans="26:26" x14ac:dyDescent="0.25">
      <c r="Z30479"/>
    </row>
    <row r="30480" spans="26:26" x14ac:dyDescent="0.25">
      <c r="Z30480"/>
    </row>
    <row r="30481" spans="26:26" x14ac:dyDescent="0.25">
      <c r="Z30481"/>
    </row>
    <row r="30482" spans="26:26" x14ac:dyDescent="0.25">
      <c r="Z30482"/>
    </row>
    <row r="30483" spans="26:26" x14ac:dyDescent="0.25">
      <c r="Z30483"/>
    </row>
    <row r="30484" spans="26:26" x14ac:dyDescent="0.25">
      <c r="Z30484"/>
    </row>
    <row r="30485" spans="26:26" x14ac:dyDescent="0.25">
      <c r="Z30485"/>
    </row>
    <row r="30486" spans="26:26" x14ac:dyDescent="0.25">
      <c r="Z30486"/>
    </row>
    <row r="30487" spans="26:26" x14ac:dyDescent="0.25">
      <c r="Z30487"/>
    </row>
    <row r="30488" spans="26:26" x14ac:dyDescent="0.25">
      <c r="Z30488"/>
    </row>
    <row r="30489" spans="26:26" x14ac:dyDescent="0.25">
      <c r="Z30489"/>
    </row>
    <row r="30490" spans="26:26" x14ac:dyDescent="0.25">
      <c r="Z30490"/>
    </row>
    <row r="30491" spans="26:26" x14ac:dyDescent="0.25">
      <c r="Z30491"/>
    </row>
    <row r="30492" spans="26:26" x14ac:dyDescent="0.25">
      <c r="Z30492"/>
    </row>
    <row r="30493" spans="26:26" x14ac:dyDescent="0.25">
      <c r="Z30493"/>
    </row>
    <row r="30494" spans="26:26" x14ac:dyDescent="0.25">
      <c r="Z30494"/>
    </row>
    <row r="30495" spans="26:26" x14ac:dyDescent="0.25">
      <c r="Z30495"/>
    </row>
    <row r="30496" spans="26:26" x14ac:dyDescent="0.25">
      <c r="Z30496"/>
    </row>
    <row r="30497" spans="26:26" x14ac:dyDescent="0.25">
      <c r="Z30497"/>
    </row>
    <row r="30498" spans="26:26" x14ac:dyDescent="0.25">
      <c r="Z30498"/>
    </row>
    <row r="30499" spans="26:26" x14ac:dyDescent="0.25">
      <c r="Z30499"/>
    </row>
    <row r="30500" spans="26:26" x14ac:dyDescent="0.25">
      <c r="Z30500"/>
    </row>
    <row r="30501" spans="26:26" x14ac:dyDescent="0.25">
      <c r="Z30501"/>
    </row>
    <row r="30502" spans="26:26" x14ac:dyDescent="0.25">
      <c r="Z30502"/>
    </row>
    <row r="30503" spans="26:26" x14ac:dyDescent="0.25">
      <c r="Z30503"/>
    </row>
    <row r="30504" spans="26:26" x14ac:dyDescent="0.25">
      <c r="Z30504"/>
    </row>
    <row r="30505" spans="26:26" x14ac:dyDescent="0.25">
      <c r="Z30505"/>
    </row>
    <row r="30506" spans="26:26" x14ac:dyDescent="0.25">
      <c r="Z30506"/>
    </row>
    <row r="30507" spans="26:26" x14ac:dyDescent="0.25">
      <c r="Z30507"/>
    </row>
    <row r="30508" spans="26:26" x14ac:dyDescent="0.25">
      <c r="Z30508"/>
    </row>
    <row r="30509" spans="26:26" x14ac:dyDescent="0.25">
      <c r="Z30509"/>
    </row>
    <row r="30510" spans="26:26" x14ac:dyDescent="0.25">
      <c r="Z30510"/>
    </row>
    <row r="30511" spans="26:26" x14ac:dyDescent="0.25">
      <c r="Z30511"/>
    </row>
    <row r="30512" spans="26:26" x14ac:dyDescent="0.25">
      <c r="Z30512"/>
    </row>
    <row r="30513" spans="26:26" x14ac:dyDescent="0.25">
      <c r="Z30513"/>
    </row>
    <row r="30514" spans="26:26" x14ac:dyDescent="0.25">
      <c r="Z30514"/>
    </row>
    <row r="30515" spans="26:26" x14ac:dyDescent="0.25">
      <c r="Z30515"/>
    </row>
    <row r="30516" spans="26:26" x14ac:dyDescent="0.25">
      <c r="Z30516"/>
    </row>
    <row r="30517" spans="26:26" x14ac:dyDescent="0.25">
      <c r="Z30517"/>
    </row>
    <row r="30518" spans="26:26" x14ac:dyDescent="0.25">
      <c r="Z30518"/>
    </row>
    <row r="30519" spans="26:26" x14ac:dyDescent="0.25">
      <c r="Z30519"/>
    </row>
    <row r="30520" spans="26:26" x14ac:dyDescent="0.25">
      <c r="Z30520"/>
    </row>
    <row r="30521" spans="26:26" x14ac:dyDescent="0.25">
      <c r="Z30521"/>
    </row>
    <row r="30522" spans="26:26" x14ac:dyDescent="0.25">
      <c r="Z30522"/>
    </row>
    <row r="30523" spans="26:26" x14ac:dyDescent="0.25">
      <c r="Z30523"/>
    </row>
    <row r="30524" spans="26:26" x14ac:dyDescent="0.25">
      <c r="Z30524"/>
    </row>
    <row r="30525" spans="26:26" x14ac:dyDescent="0.25">
      <c r="Z30525"/>
    </row>
    <row r="30526" spans="26:26" x14ac:dyDescent="0.25">
      <c r="Z30526"/>
    </row>
    <row r="30527" spans="26:26" x14ac:dyDescent="0.25">
      <c r="Z30527"/>
    </row>
    <row r="30528" spans="26:26" x14ac:dyDescent="0.25">
      <c r="Z30528"/>
    </row>
    <row r="30529" spans="26:26" x14ac:dyDescent="0.25">
      <c r="Z30529"/>
    </row>
    <row r="30530" spans="26:26" x14ac:dyDescent="0.25">
      <c r="Z30530"/>
    </row>
    <row r="30531" spans="26:26" x14ac:dyDescent="0.25">
      <c r="Z30531"/>
    </row>
    <row r="30532" spans="26:26" x14ac:dyDescent="0.25">
      <c r="Z30532"/>
    </row>
    <row r="30533" spans="26:26" x14ac:dyDescent="0.25">
      <c r="Z30533"/>
    </row>
    <row r="30534" spans="26:26" x14ac:dyDescent="0.25">
      <c r="Z30534"/>
    </row>
    <row r="30535" spans="26:26" x14ac:dyDescent="0.25">
      <c r="Z30535"/>
    </row>
    <row r="30536" spans="26:26" x14ac:dyDescent="0.25">
      <c r="Z30536"/>
    </row>
    <row r="30537" spans="26:26" x14ac:dyDescent="0.25">
      <c r="Z30537"/>
    </row>
    <row r="30538" spans="26:26" x14ac:dyDescent="0.25">
      <c r="Z30538"/>
    </row>
    <row r="30539" spans="26:26" x14ac:dyDescent="0.25">
      <c r="Z30539"/>
    </row>
    <row r="30540" spans="26:26" x14ac:dyDescent="0.25">
      <c r="Z30540"/>
    </row>
    <row r="30541" spans="26:26" x14ac:dyDescent="0.25">
      <c r="Z30541"/>
    </row>
    <row r="30542" spans="26:26" x14ac:dyDescent="0.25">
      <c r="Z30542"/>
    </row>
    <row r="30543" spans="26:26" x14ac:dyDescent="0.25">
      <c r="Z30543"/>
    </row>
    <row r="30544" spans="26:26" x14ac:dyDescent="0.25">
      <c r="Z30544"/>
    </row>
    <row r="30545" spans="26:26" x14ac:dyDescent="0.25">
      <c r="Z30545"/>
    </row>
    <row r="30546" spans="26:26" x14ac:dyDescent="0.25">
      <c r="Z30546"/>
    </row>
    <row r="30547" spans="26:26" x14ac:dyDescent="0.25">
      <c r="Z30547"/>
    </row>
    <row r="30548" spans="26:26" x14ac:dyDescent="0.25">
      <c r="Z30548"/>
    </row>
    <row r="30549" spans="26:26" x14ac:dyDescent="0.25">
      <c r="Z30549"/>
    </row>
    <row r="30550" spans="26:26" x14ac:dyDescent="0.25">
      <c r="Z30550"/>
    </row>
    <row r="30551" spans="26:26" x14ac:dyDescent="0.25">
      <c r="Z30551"/>
    </row>
    <row r="30552" spans="26:26" x14ac:dyDescent="0.25">
      <c r="Z30552"/>
    </row>
    <row r="30553" spans="26:26" x14ac:dyDescent="0.25">
      <c r="Z30553"/>
    </row>
    <row r="30554" spans="26:26" x14ac:dyDescent="0.25">
      <c r="Z30554"/>
    </row>
    <row r="30555" spans="26:26" x14ac:dyDescent="0.25">
      <c r="Z30555"/>
    </row>
    <row r="30556" spans="26:26" x14ac:dyDescent="0.25">
      <c r="Z30556"/>
    </row>
    <row r="30557" spans="26:26" x14ac:dyDescent="0.25">
      <c r="Z30557"/>
    </row>
    <row r="30558" spans="26:26" x14ac:dyDescent="0.25">
      <c r="Z30558"/>
    </row>
    <row r="30559" spans="26:26" x14ac:dyDescent="0.25">
      <c r="Z30559"/>
    </row>
    <row r="30560" spans="26:26" x14ac:dyDescent="0.25">
      <c r="Z30560"/>
    </row>
    <row r="30561" spans="26:26" x14ac:dyDescent="0.25">
      <c r="Z30561"/>
    </row>
    <row r="30562" spans="26:26" x14ac:dyDescent="0.25">
      <c r="Z30562"/>
    </row>
    <row r="30563" spans="26:26" x14ac:dyDescent="0.25">
      <c r="Z30563"/>
    </row>
    <row r="30564" spans="26:26" x14ac:dyDescent="0.25">
      <c r="Z30564"/>
    </row>
    <row r="30565" spans="26:26" x14ac:dyDescent="0.25">
      <c r="Z30565"/>
    </row>
    <row r="30566" spans="26:26" x14ac:dyDescent="0.25">
      <c r="Z30566"/>
    </row>
    <row r="30567" spans="26:26" x14ac:dyDescent="0.25">
      <c r="Z30567"/>
    </row>
    <row r="30568" spans="26:26" x14ac:dyDescent="0.25">
      <c r="Z30568"/>
    </row>
    <row r="30569" spans="26:26" x14ac:dyDescent="0.25">
      <c r="Z30569"/>
    </row>
    <row r="30570" spans="26:26" x14ac:dyDescent="0.25">
      <c r="Z30570"/>
    </row>
    <row r="30571" spans="26:26" x14ac:dyDescent="0.25">
      <c r="Z30571"/>
    </row>
    <row r="30572" spans="26:26" x14ac:dyDescent="0.25">
      <c r="Z30572"/>
    </row>
    <row r="30573" spans="26:26" x14ac:dyDescent="0.25">
      <c r="Z30573"/>
    </row>
    <row r="30574" spans="26:26" x14ac:dyDescent="0.25">
      <c r="Z30574"/>
    </row>
    <row r="30575" spans="26:26" x14ac:dyDescent="0.25">
      <c r="Z30575"/>
    </row>
    <row r="30576" spans="26:26" x14ac:dyDescent="0.25">
      <c r="Z30576"/>
    </row>
    <row r="30577" spans="26:26" x14ac:dyDescent="0.25">
      <c r="Z30577"/>
    </row>
    <row r="30578" spans="26:26" x14ac:dyDescent="0.25">
      <c r="Z30578"/>
    </row>
    <row r="30579" spans="26:26" x14ac:dyDescent="0.25">
      <c r="Z30579"/>
    </row>
    <row r="30580" spans="26:26" x14ac:dyDescent="0.25">
      <c r="Z30580"/>
    </row>
    <row r="30581" spans="26:26" x14ac:dyDescent="0.25">
      <c r="Z30581"/>
    </row>
    <row r="30582" spans="26:26" x14ac:dyDescent="0.25">
      <c r="Z30582"/>
    </row>
    <row r="30583" spans="26:26" x14ac:dyDescent="0.25">
      <c r="Z30583"/>
    </row>
    <row r="30584" spans="26:26" x14ac:dyDescent="0.25">
      <c r="Z30584"/>
    </row>
    <row r="30585" spans="26:26" x14ac:dyDescent="0.25">
      <c r="Z30585"/>
    </row>
    <row r="30586" spans="26:26" x14ac:dyDescent="0.25">
      <c r="Z30586"/>
    </row>
    <row r="30587" spans="26:26" x14ac:dyDescent="0.25">
      <c r="Z30587"/>
    </row>
    <row r="30588" spans="26:26" x14ac:dyDescent="0.25">
      <c r="Z30588"/>
    </row>
    <row r="30589" spans="26:26" x14ac:dyDescent="0.25">
      <c r="Z30589"/>
    </row>
    <row r="30590" spans="26:26" x14ac:dyDescent="0.25">
      <c r="Z30590"/>
    </row>
    <row r="30591" spans="26:26" x14ac:dyDescent="0.25">
      <c r="Z30591"/>
    </row>
    <row r="30592" spans="26:26" x14ac:dyDescent="0.25">
      <c r="Z30592"/>
    </row>
    <row r="30593" spans="26:26" x14ac:dyDescent="0.25">
      <c r="Z30593"/>
    </row>
    <row r="30594" spans="26:26" x14ac:dyDescent="0.25">
      <c r="Z30594"/>
    </row>
    <row r="30595" spans="26:26" x14ac:dyDescent="0.25">
      <c r="Z30595"/>
    </row>
    <row r="30596" spans="26:26" x14ac:dyDescent="0.25">
      <c r="Z30596"/>
    </row>
    <row r="30597" spans="26:26" x14ac:dyDescent="0.25">
      <c r="Z30597"/>
    </row>
    <row r="30598" spans="26:26" x14ac:dyDescent="0.25">
      <c r="Z30598"/>
    </row>
    <row r="30599" spans="26:26" x14ac:dyDescent="0.25">
      <c r="Z30599"/>
    </row>
    <row r="30600" spans="26:26" x14ac:dyDescent="0.25">
      <c r="Z30600"/>
    </row>
    <row r="30601" spans="26:26" x14ac:dyDescent="0.25">
      <c r="Z30601"/>
    </row>
    <row r="30602" spans="26:26" x14ac:dyDescent="0.25">
      <c r="Z30602"/>
    </row>
    <row r="30603" spans="26:26" x14ac:dyDescent="0.25">
      <c r="Z30603"/>
    </row>
    <row r="30604" spans="26:26" x14ac:dyDescent="0.25">
      <c r="Z30604"/>
    </row>
    <row r="30605" spans="26:26" x14ac:dyDescent="0.25">
      <c r="Z30605"/>
    </row>
    <row r="30606" spans="26:26" x14ac:dyDescent="0.25">
      <c r="Z30606"/>
    </row>
    <row r="30607" spans="26:26" x14ac:dyDescent="0.25">
      <c r="Z30607"/>
    </row>
    <row r="30608" spans="26:26" x14ac:dyDescent="0.25">
      <c r="Z30608"/>
    </row>
    <row r="30609" spans="26:26" x14ac:dyDescent="0.25">
      <c r="Z30609"/>
    </row>
    <row r="30610" spans="26:26" x14ac:dyDescent="0.25">
      <c r="Z30610"/>
    </row>
    <row r="30611" spans="26:26" x14ac:dyDescent="0.25">
      <c r="Z30611"/>
    </row>
    <row r="30612" spans="26:26" x14ac:dyDescent="0.25">
      <c r="Z30612"/>
    </row>
    <row r="30613" spans="26:26" x14ac:dyDescent="0.25">
      <c r="Z30613"/>
    </row>
    <row r="30614" spans="26:26" x14ac:dyDescent="0.25">
      <c r="Z30614"/>
    </row>
    <row r="30615" spans="26:26" x14ac:dyDescent="0.25">
      <c r="Z30615"/>
    </row>
    <row r="30616" spans="26:26" x14ac:dyDescent="0.25">
      <c r="Z30616"/>
    </row>
    <row r="30617" spans="26:26" x14ac:dyDescent="0.25">
      <c r="Z30617"/>
    </row>
    <row r="30618" spans="26:26" x14ac:dyDescent="0.25">
      <c r="Z30618"/>
    </row>
    <row r="30619" spans="26:26" x14ac:dyDescent="0.25">
      <c r="Z30619"/>
    </row>
    <row r="30620" spans="26:26" x14ac:dyDescent="0.25">
      <c r="Z30620"/>
    </row>
    <row r="30621" spans="26:26" x14ac:dyDescent="0.25">
      <c r="Z30621"/>
    </row>
    <row r="30622" spans="26:26" x14ac:dyDescent="0.25">
      <c r="Z30622"/>
    </row>
    <row r="30623" spans="26:26" x14ac:dyDescent="0.25">
      <c r="Z30623"/>
    </row>
    <row r="30624" spans="26:26" x14ac:dyDescent="0.25">
      <c r="Z30624"/>
    </row>
    <row r="30625" spans="26:26" x14ac:dyDescent="0.25">
      <c r="Z30625"/>
    </row>
    <row r="30626" spans="26:26" x14ac:dyDescent="0.25">
      <c r="Z30626"/>
    </row>
    <row r="30627" spans="26:26" x14ac:dyDescent="0.25">
      <c r="Z30627"/>
    </row>
    <row r="30628" spans="26:26" x14ac:dyDescent="0.25">
      <c r="Z30628"/>
    </row>
    <row r="30629" spans="26:26" x14ac:dyDescent="0.25">
      <c r="Z30629"/>
    </row>
    <row r="30630" spans="26:26" x14ac:dyDescent="0.25">
      <c r="Z30630"/>
    </row>
    <row r="30631" spans="26:26" x14ac:dyDescent="0.25">
      <c r="Z30631"/>
    </row>
    <row r="30632" spans="26:26" x14ac:dyDescent="0.25">
      <c r="Z30632"/>
    </row>
    <row r="30633" spans="26:26" x14ac:dyDescent="0.25">
      <c r="Z30633"/>
    </row>
    <row r="30634" spans="26:26" x14ac:dyDescent="0.25">
      <c r="Z30634"/>
    </row>
    <row r="30635" spans="26:26" x14ac:dyDescent="0.25">
      <c r="Z30635"/>
    </row>
    <row r="30636" spans="26:26" x14ac:dyDescent="0.25">
      <c r="Z30636"/>
    </row>
    <row r="30637" spans="26:26" x14ac:dyDescent="0.25">
      <c r="Z30637"/>
    </row>
    <row r="30638" spans="26:26" x14ac:dyDescent="0.25">
      <c r="Z30638"/>
    </row>
    <row r="30639" spans="26:26" x14ac:dyDescent="0.25">
      <c r="Z30639"/>
    </row>
    <row r="30640" spans="26:26" x14ac:dyDescent="0.25">
      <c r="Z30640"/>
    </row>
    <row r="30641" spans="26:26" x14ac:dyDescent="0.25">
      <c r="Z30641"/>
    </row>
    <row r="30642" spans="26:26" x14ac:dyDescent="0.25">
      <c r="Z30642"/>
    </row>
    <row r="30643" spans="26:26" x14ac:dyDescent="0.25">
      <c r="Z30643"/>
    </row>
    <row r="30644" spans="26:26" x14ac:dyDescent="0.25">
      <c r="Z30644"/>
    </row>
    <row r="30645" spans="26:26" x14ac:dyDescent="0.25">
      <c r="Z30645"/>
    </row>
    <row r="30646" spans="26:26" x14ac:dyDescent="0.25">
      <c r="Z30646"/>
    </row>
    <row r="30647" spans="26:26" x14ac:dyDescent="0.25">
      <c r="Z30647"/>
    </row>
    <row r="30648" spans="26:26" x14ac:dyDescent="0.25">
      <c r="Z30648"/>
    </row>
    <row r="30649" spans="26:26" x14ac:dyDescent="0.25">
      <c r="Z30649"/>
    </row>
    <row r="30650" spans="26:26" x14ac:dyDescent="0.25">
      <c r="Z30650"/>
    </row>
    <row r="30651" spans="26:26" x14ac:dyDescent="0.25">
      <c r="Z30651"/>
    </row>
    <row r="30652" spans="26:26" x14ac:dyDescent="0.25">
      <c r="Z30652"/>
    </row>
    <row r="30653" spans="26:26" x14ac:dyDescent="0.25">
      <c r="Z30653"/>
    </row>
    <row r="30654" spans="26:26" x14ac:dyDescent="0.25">
      <c r="Z30654"/>
    </row>
    <row r="30655" spans="26:26" x14ac:dyDescent="0.25">
      <c r="Z30655"/>
    </row>
    <row r="30656" spans="26:26" x14ac:dyDescent="0.25">
      <c r="Z30656"/>
    </row>
    <row r="30657" spans="26:26" x14ac:dyDescent="0.25">
      <c r="Z30657"/>
    </row>
    <row r="30658" spans="26:26" x14ac:dyDescent="0.25">
      <c r="Z30658"/>
    </row>
    <row r="30659" spans="26:26" x14ac:dyDescent="0.25">
      <c r="Z30659"/>
    </row>
    <row r="30660" spans="26:26" x14ac:dyDescent="0.25">
      <c r="Z30660"/>
    </row>
    <row r="30661" spans="26:26" x14ac:dyDescent="0.25">
      <c r="Z30661"/>
    </row>
    <row r="30662" spans="26:26" x14ac:dyDescent="0.25">
      <c r="Z30662"/>
    </row>
    <row r="30663" spans="26:26" x14ac:dyDescent="0.25">
      <c r="Z30663"/>
    </row>
    <row r="30664" spans="26:26" x14ac:dyDescent="0.25">
      <c r="Z30664"/>
    </row>
    <row r="30665" spans="26:26" x14ac:dyDescent="0.25">
      <c r="Z30665"/>
    </row>
    <row r="30666" spans="26:26" x14ac:dyDescent="0.25">
      <c r="Z30666"/>
    </row>
    <row r="30667" spans="26:26" x14ac:dyDescent="0.25">
      <c r="Z30667"/>
    </row>
    <row r="30668" spans="26:26" x14ac:dyDescent="0.25">
      <c r="Z30668"/>
    </row>
    <row r="30669" spans="26:26" x14ac:dyDescent="0.25">
      <c r="Z30669"/>
    </row>
    <row r="30670" spans="26:26" x14ac:dyDescent="0.25">
      <c r="Z30670"/>
    </row>
    <row r="30671" spans="26:26" x14ac:dyDescent="0.25">
      <c r="Z30671"/>
    </row>
    <row r="30672" spans="26:26" x14ac:dyDescent="0.25">
      <c r="Z30672"/>
    </row>
    <row r="30673" spans="26:26" x14ac:dyDescent="0.25">
      <c r="Z30673"/>
    </row>
    <row r="30674" spans="26:26" x14ac:dyDescent="0.25">
      <c r="Z30674"/>
    </row>
    <row r="30675" spans="26:26" x14ac:dyDescent="0.25">
      <c r="Z30675"/>
    </row>
    <row r="30676" spans="26:26" x14ac:dyDescent="0.25">
      <c r="Z30676"/>
    </row>
    <row r="30677" spans="26:26" x14ac:dyDescent="0.25">
      <c r="Z30677"/>
    </row>
    <row r="30678" spans="26:26" x14ac:dyDescent="0.25">
      <c r="Z30678"/>
    </row>
    <row r="30679" spans="26:26" x14ac:dyDescent="0.25">
      <c r="Z30679"/>
    </row>
    <row r="30680" spans="26:26" x14ac:dyDescent="0.25">
      <c r="Z30680"/>
    </row>
    <row r="30681" spans="26:26" x14ac:dyDescent="0.25">
      <c r="Z30681"/>
    </row>
    <row r="30682" spans="26:26" x14ac:dyDescent="0.25">
      <c r="Z30682"/>
    </row>
    <row r="30683" spans="26:26" x14ac:dyDescent="0.25">
      <c r="Z30683"/>
    </row>
    <row r="30684" spans="26:26" x14ac:dyDescent="0.25">
      <c r="Z30684"/>
    </row>
    <row r="30685" spans="26:26" x14ac:dyDescent="0.25">
      <c r="Z30685"/>
    </row>
    <row r="30686" spans="26:26" x14ac:dyDescent="0.25">
      <c r="Z30686"/>
    </row>
    <row r="30687" spans="26:26" x14ac:dyDescent="0.25">
      <c r="Z30687"/>
    </row>
    <row r="30688" spans="26:26" x14ac:dyDescent="0.25">
      <c r="Z30688"/>
    </row>
    <row r="30689" spans="26:26" x14ac:dyDescent="0.25">
      <c r="Z30689"/>
    </row>
    <row r="30690" spans="26:26" x14ac:dyDescent="0.25">
      <c r="Z30690"/>
    </row>
    <row r="30691" spans="26:26" x14ac:dyDescent="0.25">
      <c r="Z30691"/>
    </row>
    <row r="30692" spans="26:26" x14ac:dyDescent="0.25">
      <c r="Z30692"/>
    </row>
    <row r="30693" spans="26:26" x14ac:dyDescent="0.25">
      <c r="Z30693"/>
    </row>
    <row r="30694" spans="26:26" x14ac:dyDescent="0.25">
      <c r="Z30694"/>
    </row>
    <row r="30695" spans="26:26" x14ac:dyDescent="0.25">
      <c r="Z30695"/>
    </row>
    <row r="30696" spans="26:26" x14ac:dyDescent="0.25">
      <c r="Z30696"/>
    </row>
    <row r="30697" spans="26:26" x14ac:dyDescent="0.25">
      <c r="Z30697"/>
    </row>
    <row r="30698" spans="26:26" x14ac:dyDescent="0.25">
      <c r="Z30698"/>
    </row>
    <row r="30699" spans="26:26" x14ac:dyDescent="0.25">
      <c r="Z30699"/>
    </row>
    <row r="30700" spans="26:26" x14ac:dyDescent="0.25">
      <c r="Z30700"/>
    </row>
    <row r="30701" spans="26:26" x14ac:dyDescent="0.25">
      <c r="Z30701"/>
    </row>
    <row r="30702" spans="26:26" x14ac:dyDescent="0.25">
      <c r="Z30702"/>
    </row>
    <row r="30703" spans="26:26" x14ac:dyDescent="0.25">
      <c r="Z30703"/>
    </row>
    <row r="30704" spans="26:26" x14ac:dyDescent="0.25">
      <c r="Z30704"/>
    </row>
    <row r="30705" spans="26:26" x14ac:dyDescent="0.25">
      <c r="Z30705"/>
    </row>
    <row r="30706" spans="26:26" x14ac:dyDescent="0.25">
      <c r="Z30706"/>
    </row>
    <row r="30707" spans="26:26" x14ac:dyDescent="0.25">
      <c r="Z30707"/>
    </row>
    <row r="30708" spans="26:26" x14ac:dyDescent="0.25">
      <c r="Z30708"/>
    </row>
    <row r="30709" spans="26:26" x14ac:dyDescent="0.25">
      <c r="Z30709"/>
    </row>
    <row r="30710" spans="26:26" x14ac:dyDescent="0.25">
      <c r="Z30710"/>
    </row>
    <row r="30711" spans="26:26" x14ac:dyDescent="0.25">
      <c r="Z30711"/>
    </row>
    <row r="30712" spans="26:26" x14ac:dyDescent="0.25">
      <c r="Z30712"/>
    </row>
    <row r="30713" spans="26:26" x14ac:dyDescent="0.25">
      <c r="Z30713"/>
    </row>
    <row r="30714" spans="26:26" x14ac:dyDescent="0.25">
      <c r="Z30714"/>
    </row>
    <row r="30715" spans="26:26" x14ac:dyDescent="0.25">
      <c r="Z30715"/>
    </row>
    <row r="30716" spans="26:26" x14ac:dyDescent="0.25">
      <c r="Z30716"/>
    </row>
    <row r="30717" spans="26:26" x14ac:dyDescent="0.25">
      <c r="Z30717"/>
    </row>
    <row r="30718" spans="26:26" x14ac:dyDescent="0.25">
      <c r="Z30718"/>
    </row>
    <row r="30719" spans="26:26" x14ac:dyDescent="0.25">
      <c r="Z30719"/>
    </row>
    <row r="30720" spans="26:26" x14ac:dyDescent="0.25">
      <c r="Z30720"/>
    </row>
    <row r="30721" spans="26:26" x14ac:dyDescent="0.25">
      <c r="Z30721"/>
    </row>
    <row r="30722" spans="26:26" x14ac:dyDescent="0.25">
      <c r="Z30722"/>
    </row>
    <row r="30723" spans="26:26" x14ac:dyDescent="0.25">
      <c r="Z30723"/>
    </row>
    <row r="30724" spans="26:26" x14ac:dyDescent="0.25">
      <c r="Z30724"/>
    </row>
    <row r="30725" spans="26:26" x14ac:dyDescent="0.25">
      <c r="Z30725"/>
    </row>
    <row r="30726" spans="26:26" x14ac:dyDescent="0.25">
      <c r="Z30726"/>
    </row>
    <row r="30727" spans="26:26" x14ac:dyDescent="0.25">
      <c r="Z30727"/>
    </row>
    <row r="30728" spans="26:26" x14ac:dyDescent="0.25">
      <c r="Z30728"/>
    </row>
    <row r="30729" spans="26:26" x14ac:dyDescent="0.25">
      <c r="Z30729"/>
    </row>
    <row r="30730" spans="26:26" x14ac:dyDescent="0.25">
      <c r="Z30730"/>
    </row>
    <row r="30731" spans="26:26" x14ac:dyDescent="0.25">
      <c r="Z30731"/>
    </row>
    <row r="30732" spans="26:26" x14ac:dyDescent="0.25">
      <c r="Z30732"/>
    </row>
    <row r="30733" spans="26:26" x14ac:dyDescent="0.25">
      <c r="Z30733"/>
    </row>
    <row r="30734" spans="26:26" x14ac:dyDescent="0.25">
      <c r="Z30734"/>
    </row>
    <row r="30735" spans="26:26" x14ac:dyDescent="0.25">
      <c r="Z30735"/>
    </row>
    <row r="30736" spans="26:26" x14ac:dyDescent="0.25">
      <c r="Z30736"/>
    </row>
    <row r="30737" spans="26:26" x14ac:dyDescent="0.25">
      <c r="Z30737"/>
    </row>
    <row r="30738" spans="26:26" x14ac:dyDescent="0.25">
      <c r="Z30738"/>
    </row>
    <row r="30739" spans="26:26" x14ac:dyDescent="0.25">
      <c r="Z30739"/>
    </row>
    <row r="30740" spans="26:26" x14ac:dyDescent="0.25">
      <c r="Z30740"/>
    </row>
    <row r="30741" spans="26:26" x14ac:dyDescent="0.25">
      <c r="Z30741"/>
    </row>
    <row r="30742" spans="26:26" x14ac:dyDescent="0.25">
      <c r="Z30742"/>
    </row>
    <row r="30743" spans="26:26" x14ac:dyDescent="0.25">
      <c r="Z30743"/>
    </row>
    <row r="30744" spans="26:26" x14ac:dyDescent="0.25">
      <c r="Z30744"/>
    </row>
    <row r="30745" spans="26:26" x14ac:dyDescent="0.25">
      <c r="Z30745"/>
    </row>
    <row r="30746" spans="26:26" x14ac:dyDescent="0.25">
      <c r="Z30746"/>
    </row>
    <row r="30747" spans="26:26" x14ac:dyDescent="0.25">
      <c r="Z30747"/>
    </row>
    <row r="30748" spans="26:26" x14ac:dyDescent="0.25">
      <c r="Z30748"/>
    </row>
    <row r="30749" spans="26:26" x14ac:dyDescent="0.25">
      <c r="Z30749"/>
    </row>
    <row r="30750" spans="26:26" x14ac:dyDescent="0.25">
      <c r="Z30750"/>
    </row>
    <row r="30751" spans="26:26" x14ac:dyDescent="0.25">
      <c r="Z30751"/>
    </row>
    <row r="30752" spans="26:26" x14ac:dyDescent="0.25">
      <c r="Z30752"/>
    </row>
    <row r="30753" spans="26:26" x14ac:dyDescent="0.25">
      <c r="Z30753"/>
    </row>
    <row r="30754" spans="26:26" x14ac:dyDescent="0.25">
      <c r="Z30754"/>
    </row>
    <row r="30755" spans="26:26" x14ac:dyDescent="0.25">
      <c r="Z30755"/>
    </row>
    <row r="30756" spans="26:26" x14ac:dyDescent="0.25">
      <c r="Z30756"/>
    </row>
    <row r="30757" spans="26:26" x14ac:dyDescent="0.25">
      <c r="Z30757"/>
    </row>
    <row r="30758" spans="26:26" x14ac:dyDescent="0.25">
      <c r="Z30758"/>
    </row>
    <row r="30759" spans="26:26" x14ac:dyDescent="0.25">
      <c r="Z30759"/>
    </row>
    <row r="30760" spans="26:26" x14ac:dyDescent="0.25">
      <c r="Z30760"/>
    </row>
    <row r="30761" spans="26:26" x14ac:dyDescent="0.25">
      <c r="Z30761"/>
    </row>
    <row r="30762" spans="26:26" x14ac:dyDescent="0.25">
      <c r="Z30762"/>
    </row>
    <row r="30763" spans="26:26" x14ac:dyDescent="0.25">
      <c r="Z30763"/>
    </row>
    <row r="30764" spans="26:26" x14ac:dyDescent="0.25">
      <c r="Z30764"/>
    </row>
    <row r="30765" spans="26:26" x14ac:dyDescent="0.25">
      <c r="Z30765"/>
    </row>
    <row r="30766" spans="26:26" x14ac:dyDescent="0.25">
      <c r="Z30766"/>
    </row>
    <row r="30767" spans="26:26" x14ac:dyDescent="0.25">
      <c r="Z30767"/>
    </row>
    <row r="30768" spans="26:26" x14ac:dyDescent="0.25">
      <c r="Z30768"/>
    </row>
    <row r="30769" spans="26:26" x14ac:dyDescent="0.25">
      <c r="Z30769"/>
    </row>
    <row r="30770" spans="26:26" x14ac:dyDescent="0.25">
      <c r="Z30770"/>
    </row>
    <row r="30771" spans="26:26" x14ac:dyDescent="0.25">
      <c r="Z30771"/>
    </row>
    <row r="30772" spans="26:26" x14ac:dyDescent="0.25">
      <c r="Z30772"/>
    </row>
    <row r="30773" spans="26:26" x14ac:dyDescent="0.25">
      <c r="Z30773"/>
    </row>
    <row r="30774" spans="26:26" x14ac:dyDescent="0.25">
      <c r="Z30774"/>
    </row>
    <row r="30775" spans="26:26" x14ac:dyDescent="0.25">
      <c r="Z30775"/>
    </row>
    <row r="30776" spans="26:26" x14ac:dyDescent="0.25">
      <c r="Z30776"/>
    </row>
    <row r="30777" spans="26:26" x14ac:dyDescent="0.25">
      <c r="Z30777"/>
    </row>
    <row r="30778" spans="26:26" x14ac:dyDescent="0.25">
      <c r="Z30778"/>
    </row>
    <row r="30779" spans="26:26" x14ac:dyDescent="0.25">
      <c r="Z30779"/>
    </row>
    <row r="30780" spans="26:26" x14ac:dyDescent="0.25">
      <c r="Z30780"/>
    </row>
    <row r="30781" spans="26:26" x14ac:dyDescent="0.25">
      <c r="Z30781"/>
    </row>
    <row r="30782" spans="26:26" x14ac:dyDescent="0.25">
      <c r="Z30782"/>
    </row>
    <row r="30783" spans="26:26" x14ac:dyDescent="0.25">
      <c r="Z30783"/>
    </row>
    <row r="30784" spans="26:26" x14ac:dyDescent="0.25">
      <c r="Z30784"/>
    </row>
    <row r="30785" spans="26:26" x14ac:dyDescent="0.25">
      <c r="Z30785"/>
    </row>
    <row r="30786" spans="26:26" x14ac:dyDescent="0.25">
      <c r="Z30786"/>
    </row>
    <row r="30787" spans="26:26" x14ac:dyDescent="0.25">
      <c r="Z30787"/>
    </row>
    <row r="30788" spans="26:26" x14ac:dyDescent="0.25">
      <c r="Z30788"/>
    </row>
    <row r="30789" spans="26:26" x14ac:dyDescent="0.25">
      <c r="Z30789"/>
    </row>
    <row r="30790" spans="26:26" x14ac:dyDescent="0.25">
      <c r="Z30790"/>
    </row>
    <row r="30791" spans="26:26" x14ac:dyDescent="0.25">
      <c r="Z30791"/>
    </row>
    <row r="30792" spans="26:26" x14ac:dyDescent="0.25">
      <c r="Z30792"/>
    </row>
    <row r="30793" spans="26:26" x14ac:dyDescent="0.25">
      <c r="Z30793"/>
    </row>
    <row r="30794" spans="26:26" x14ac:dyDescent="0.25">
      <c r="Z30794"/>
    </row>
    <row r="30795" spans="26:26" x14ac:dyDescent="0.25">
      <c r="Z30795"/>
    </row>
    <row r="30796" spans="26:26" x14ac:dyDescent="0.25">
      <c r="Z30796"/>
    </row>
    <row r="30797" spans="26:26" x14ac:dyDescent="0.25">
      <c r="Z30797"/>
    </row>
    <row r="30798" spans="26:26" x14ac:dyDescent="0.25">
      <c r="Z30798"/>
    </row>
    <row r="30799" spans="26:26" x14ac:dyDescent="0.25">
      <c r="Z30799"/>
    </row>
    <row r="30800" spans="26:26" x14ac:dyDescent="0.25">
      <c r="Z30800"/>
    </row>
    <row r="30801" spans="26:26" x14ac:dyDescent="0.25">
      <c r="Z30801"/>
    </row>
    <row r="30802" spans="26:26" x14ac:dyDescent="0.25">
      <c r="Z30802"/>
    </row>
    <row r="30803" spans="26:26" x14ac:dyDescent="0.25">
      <c r="Z30803"/>
    </row>
    <row r="30804" spans="26:26" x14ac:dyDescent="0.25">
      <c r="Z30804"/>
    </row>
    <row r="30805" spans="26:26" x14ac:dyDescent="0.25">
      <c r="Z30805"/>
    </row>
    <row r="30806" spans="26:26" x14ac:dyDescent="0.25">
      <c r="Z30806"/>
    </row>
    <row r="30807" spans="26:26" x14ac:dyDescent="0.25">
      <c r="Z30807"/>
    </row>
    <row r="30808" spans="26:26" x14ac:dyDescent="0.25">
      <c r="Z30808"/>
    </row>
    <row r="30809" spans="26:26" x14ac:dyDescent="0.25">
      <c r="Z30809"/>
    </row>
    <row r="30810" spans="26:26" x14ac:dyDescent="0.25">
      <c r="Z30810"/>
    </row>
    <row r="30811" spans="26:26" x14ac:dyDescent="0.25">
      <c r="Z30811"/>
    </row>
    <row r="30812" spans="26:26" x14ac:dyDescent="0.25">
      <c r="Z30812"/>
    </row>
    <row r="30813" spans="26:26" x14ac:dyDescent="0.25">
      <c r="Z30813"/>
    </row>
    <row r="30814" spans="26:26" x14ac:dyDescent="0.25">
      <c r="Z30814"/>
    </row>
    <row r="30815" spans="26:26" x14ac:dyDescent="0.25">
      <c r="Z30815"/>
    </row>
    <row r="30816" spans="26:26" x14ac:dyDescent="0.25">
      <c r="Z30816"/>
    </row>
    <row r="30817" spans="26:26" x14ac:dyDescent="0.25">
      <c r="Z30817"/>
    </row>
    <row r="30818" spans="26:26" x14ac:dyDescent="0.25">
      <c r="Z30818"/>
    </row>
    <row r="30819" spans="26:26" x14ac:dyDescent="0.25">
      <c r="Z30819"/>
    </row>
    <row r="30820" spans="26:26" x14ac:dyDescent="0.25">
      <c r="Z30820"/>
    </row>
    <row r="30821" spans="26:26" x14ac:dyDescent="0.25">
      <c r="Z30821"/>
    </row>
    <row r="30822" spans="26:26" x14ac:dyDescent="0.25">
      <c r="Z30822"/>
    </row>
    <row r="30823" spans="26:26" x14ac:dyDescent="0.25">
      <c r="Z30823"/>
    </row>
    <row r="30824" spans="26:26" x14ac:dyDescent="0.25">
      <c r="Z30824"/>
    </row>
    <row r="30825" spans="26:26" x14ac:dyDescent="0.25">
      <c r="Z30825"/>
    </row>
    <row r="30826" spans="26:26" x14ac:dyDescent="0.25">
      <c r="Z30826"/>
    </row>
    <row r="30827" spans="26:26" x14ac:dyDescent="0.25">
      <c r="Z30827"/>
    </row>
    <row r="30828" spans="26:26" x14ac:dyDescent="0.25">
      <c r="Z30828"/>
    </row>
    <row r="30829" spans="26:26" x14ac:dyDescent="0.25">
      <c r="Z30829"/>
    </row>
    <row r="30830" spans="26:26" x14ac:dyDescent="0.25">
      <c r="Z30830"/>
    </row>
    <row r="30831" spans="26:26" x14ac:dyDescent="0.25">
      <c r="Z30831"/>
    </row>
    <row r="30832" spans="26:26" x14ac:dyDescent="0.25">
      <c r="Z30832"/>
    </row>
    <row r="30833" spans="26:26" x14ac:dyDescent="0.25">
      <c r="Z30833"/>
    </row>
    <row r="30834" spans="26:26" x14ac:dyDescent="0.25">
      <c r="Z30834"/>
    </row>
    <row r="30835" spans="26:26" x14ac:dyDescent="0.25">
      <c r="Z30835"/>
    </row>
    <row r="30836" spans="26:26" x14ac:dyDescent="0.25">
      <c r="Z30836"/>
    </row>
    <row r="30837" spans="26:26" x14ac:dyDescent="0.25">
      <c r="Z30837"/>
    </row>
    <row r="30838" spans="26:26" x14ac:dyDescent="0.25">
      <c r="Z30838"/>
    </row>
    <row r="30839" spans="26:26" x14ac:dyDescent="0.25">
      <c r="Z30839"/>
    </row>
    <row r="30840" spans="26:26" x14ac:dyDescent="0.25">
      <c r="Z30840"/>
    </row>
    <row r="30841" spans="26:26" x14ac:dyDescent="0.25">
      <c r="Z30841"/>
    </row>
    <row r="30842" spans="26:26" x14ac:dyDescent="0.25">
      <c r="Z30842"/>
    </row>
    <row r="30843" spans="26:26" x14ac:dyDescent="0.25">
      <c r="Z30843"/>
    </row>
    <row r="30844" spans="26:26" x14ac:dyDescent="0.25">
      <c r="Z30844"/>
    </row>
    <row r="30845" spans="26:26" x14ac:dyDescent="0.25">
      <c r="Z30845"/>
    </row>
    <row r="30846" spans="26:26" x14ac:dyDescent="0.25">
      <c r="Z30846"/>
    </row>
    <row r="30847" spans="26:26" x14ac:dyDescent="0.25">
      <c r="Z30847"/>
    </row>
    <row r="30848" spans="26:26" x14ac:dyDescent="0.25">
      <c r="Z30848"/>
    </row>
    <row r="30849" spans="26:26" x14ac:dyDescent="0.25">
      <c r="Z30849"/>
    </row>
    <row r="30850" spans="26:26" x14ac:dyDescent="0.25">
      <c r="Z30850"/>
    </row>
    <row r="30851" spans="26:26" x14ac:dyDescent="0.25">
      <c r="Z30851"/>
    </row>
    <row r="30852" spans="26:26" x14ac:dyDescent="0.25">
      <c r="Z30852"/>
    </row>
    <row r="30853" spans="26:26" x14ac:dyDescent="0.25">
      <c r="Z30853"/>
    </row>
    <row r="30854" spans="26:26" x14ac:dyDescent="0.25">
      <c r="Z30854"/>
    </row>
    <row r="30855" spans="26:26" x14ac:dyDescent="0.25">
      <c r="Z30855"/>
    </row>
    <row r="30856" spans="26:26" x14ac:dyDescent="0.25">
      <c r="Z30856"/>
    </row>
    <row r="30857" spans="26:26" x14ac:dyDescent="0.25">
      <c r="Z30857"/>
    </row>
    <row r="30858" spans="26:26" x14ac:dyDescent="0.25">
      <c r="Z30858"/>
    </row>
    <row r="30859" spans="26:26" x14ac:dyDescent="0.25">
      <c r="Z30859"/>
    </row>
    <row r="30860" spans="26:26" x14ac:dyDescent="0.25">
      <c r="Z30860"/>
    </row>
    <row r="30861" spans="26:26" x14ac:dyDescent="0.25">
      <c r="Z30861"/>
    </row>
    <row r="30862" spans="26:26" x14ac:dyDescent="0.25">
      <c r="Z30862"/>
    </row>
    <row r="30863" spans="26:26" x14ac:dyDescent="0.25">
      <c r="Z30863"/>
    </row>
    <row r="30864" spans="26:26" x14ac:dyDescent="0.25">
      <c r="Z30864"/>
    </row>
    <row r="30865" spans="26:26" x14ac:dyDescent="0.25">
      <c r="Z30865"/>
    </row>
    <row r="30866" spans="26:26" x14ac:dyDescent="0.25">
      <c r="Z30866"/>
    </row>
    <row r="30867" spans="26:26" x14ac:dyDescent="0.25">
      <c r="Z30867"/>
    </row>
    <row r="30868" spans="26:26" x14ac:dyDescent="0.25">
      <c r="Z30868"/>
    </row>
    <row r="30869" spans="26:26" x14ac:dyDescent="0.25">
      <c r="Z30869"/>
    </row>
    <row r="30870" spans="26:26" x14ac:dyDescent="0.25">
      <c r="Z30870"/>
    </row>
    <row r="30871" spans="26:26" x14ac:dyDescent="0.25">
      <c r="Z30871"/>
    </row>
    <row r="30872" spans="26:26" x14ac:dyDescent="0.25">
      <c r="Z30872"/>
    </row>
    <row r="30873" spans="26:26" x14ac:dyDescent="0.25">
      <c r="Z30873"/>
    </row>
    <row r="30874" spans="26:26" x14ac:dyDescent="0.25">
      <c r="Z30874"/>
    </row>
    <row r="30875" spans="26:26" x14ac:dyDescent="0.25">
      <c r="Z30875"/>
    </row>
    <row r="30876" spans="26:26" x14ac:dyDescent="0.25">
      <c r="Z30876"/>
    </row>
    <row r="30877" spans="26:26" x14ac:dyDescent="0.25">
      <c r="Z30877"/>
    </row>
    <row r="30878" spans="26:26" x14ac:dyDescent="0.25">
      <c r="Z30878"/>
    </row>
    <row r="30879" spans="26:26" x14ac:dyDescent="0.25">
      <c r="Z30879"/>
    </row>
    <row r="30880" spans="26:26" x14ac:dyDescent="0.25">
      <c r="Z30880"/>
    </row>
    <row r="30881" spans="26:26" x14ac:dyDescent="0.25">
      <c r="Z30881"/>
    </row>
    <row r="30882" spans="26:26" x14ac:dyDescent="0.25">
      <c r="Z30882"/>
    </row>
    <row r="30883" spans="26:26" x14ac:dyDescent="0.25">
      <c r="Z30883"/>
    </row>
    <row r="30884" spans="26:26" x14ac:dyDescent="0.25">
      <c r="Z30884"/>
    </row>
    <row r="30885" spans="26:26" x14ac:dyDescent="0.25">
      <c r="Z30885"/>
    </row>
    <row r="30886" spans="26:26" x14ac:dyDescent="0.25">
      <c r="Z30886"/>
    </row>
    <row r="30887" spans="26:26" x14ac:dyDescent="0.25">
      <c r="Z30887"/>
    </row>
    <row r="30888" spans="26:26" x14ac:dyDescent="0.25">
      <c r="Z30888"/>
    </row>
    <row r="30889" spans="26:26" x14ac:dyDescent="0.25">
      <c r="Z30889"/>
    </row>
    <row r="30890" spans="26:26" x14ac:dyDescent="0.25">
      <c r="Z30890"/>
    </row>
    <row r="30891" spans="26:26" x14ac:dyDescent="0.25">
      <c r="Z30891"/>
    </row>
    <row r="30892" spans="26:26" x14ac:dyDescent="0.25">
      <c r="Z30892"/>
    </row>
    <row r="30893" spans="26:26" x14ac:dyDescent="0.25">
      <c r="Z30893"/>
    </row>
    <row r="30894" spans="26:26" x14ac:dyDescent="0.25">
      <c r="Z30894"/>
    </row>
    <row r="30895" spans="26:26" x14ac:dyDescent="0.25">
      <c r="Z30895"/>
    </row>
    <row r="30896" spans="26:26" x14ac:dyDescent="0.25">
      <c r="Z30896"/>
    </row>
    <row r="30897" spans="26:26" x14ac:dyDescent="0.25">
      <c r="Z30897"/>
    </row>
    <row r="30898" spans="26:26" x14ac:dyDescent="0.25">
      <c r="Z30898"/>
    </row>
    <row r="30899" spans="26:26" x14ac:dyDescent="0.25">
      <c r="Z30899"/>
    </row>
    <row r="30900" spans="26:26" x14ac:dyDescent="0.25">
      <c r="Z30900"/>
    </row>
    <row r="30901" spans="26:26" x14ac:dyDescent="0.25">
      <c r="Z30901"/>
    </row>
    <row r="30902" spans="26:26" x14ac:dyDescent="0.25">
      <c r="Z30902"/>
    </row>
    <row r="30903" spans="26:26" x14ac:dyDescent="0.25">
      <c r="Z30903"/>
    </row>
    <row r="30904" spans="26:26" x14ac:dyDescent="0.25">
      <c r="Z30904"/>
    </row>
    <row r="30905" spans="26:26" x14ac:dyDescent="0.25">
      <c r="Z30905"/>
    </row>
    <row r="30906" spans="26:26" x14ac:dyDescent="0.25">
      <c r="Z30906"/>
    </row>
    <row r="30907" spans="26:26" x14ac:dyDescent="0.25">
      <c r="Z30907"/>
    </row>
    <row r="30908" spans="26:26" x14ac:dyDescent="0.25">
      <c r="Z30908"/>
    </row>
    <row r="30909" spans="26:26" x14ac:dyDescent="0.25">
      <c r="Z30909"/>
    </row>
    <row r="30910" spans="26:26" x14ac:dyDescent="0.25">
      <c r="Z30910"/>
    </row>
    <row r="30911" spans="26:26" x14ac:dyDescent="0.25">
      <c r="Z30911"/>
    </row>
    <row r="30912" spans="26:26" x14ac:dyDescent="0.25">
      <c r="Z30912"/>
    </row>
    <row r="30913" spans="26:26" x14ac:dyDescent="0.25">
      <c r="Z30913"/>
    </row>
    <row r="30914" spans="26:26" x14ac:dyDescent="0.25">
      <c r="Z30914"/>
    </row>
    <row r="30915" spans="26:26" x14ac:dyDescent="0.25">
      <c r="Z30915"/>
    </row>
    <row r="30916" spans="26:26" x14ac:dyDescent="0.25">
      <c r="Z30916"/>
    </row>
    <row r="30917" spans="26:26" x14ac:dyDescent="0.25">
      <c r="Z30917"/>
    </row>
    <row r="30918" spans="26:26" x14ac:dyDescent="0.25">
      <c r="Z30918"/>
    </row>
    <row r="30919" spans="26:26" x14ac:dyDescent="0.25">
      <c r="Z30919"/>
    </row>
    <row r="30920" spans="26:26" x14ac:dyDescent="0.25">
      <c r="Z30920"/>
    </row>
    <row r="30921" spans="26:26" x14ac:dyDescent="0.25">
      <c r="Z30921"/>
    </row>
    <row r="30922" spans="26:26" x14ac:dyDescent="0.25">
      <c r="Z30922"/>
    </row>
    <row r="30923" spans="26:26" x14ac:dyDescent="0.25">
      <c r="Z30923"/>
    </row>
    <row r="30924" spans="26:26" x14ac:dyDescent="0.25">
      <c r="Z30924"/>
    </row>
    <row r="30925" spans="26:26" x14ac:dyDescent="0.25">
      <c r="Z30925"/>
    </row>
    <row r="30926" spans="26:26" x14ac:dyDescent="0.25">
      <c r="Z30926"/>
    </row>
    <row r="30927" spans="26:26" x14ac:dyDescent="0.25">
      <c r="Z30927"/>
    </row>
    <row r="30928" spans="26:26" x14ac:dyDescent="0.25">
      <c r="Z30928"/>
    </row>
    <row r="30929" spans="26:26" x14ac:dyDescent="0.25">
      <c r="Z30929"/>
    </row>
    <row r="30930" spans="26:26" x14ac:dyDescent="0.25">
      <c r="Z30930"/>
    </row>
    <row r="30931" spans="26:26" x14ac:dyDescent="0.25">
      <c r="Z30931"/>
    </row>
    <row r="30932" spans="26:26" x14ac:dyDescent="0.25">
      <c r="Z30932"/>
    </row>
    <row r="30933" spans="26:26" x14ac:dyDescent="0.25">
      <c r="Z30933"/>
    </row>
    <row r="30934" spans="26:26" x14ac:dyDescent="0.25">
      <c r="Z30934"/>
    </row>
    <row r="30935" spans="26:26" x14ac:dyDescent="0.25">
      <c r="Z30935"/>
    </row>
    <row r="30936" spans="26:26" x14ac:dyDescent="0.25">
      <c r="Z30936"/>
    </row>
    <row r="30937" spans="26:26" x14ac:dyDescent="0.25">
      <c r="Z30937"/>
    </row>
    <row r="30938" spans="26:26" x14ac:dyDescent="0.25">
      <c r="Z30938"/>
    </row>
    <row r="30939" spans="26:26" x14ac:dyDescent="0.25">
      <c r="Z30939"/>
    </row>
    <row r="30940" spans="26:26" x14ac:dyDescent="0.25">
      <c r="Z30940"/>
    </row>
    <row r="30941" spans="26:26" x14ac:dyDescent="0.25">
      <c r="Z30941"/>
    </row>
    <row r="30942" spans="26:26" x14ac:dyDescent="0.25">
      <c r="Z30942"/>
    </row>
    <row r="30943" spans="26:26" x14ac:dyDescent="0.25">
      <c r="Z30943"/>
    </row>
    <row r="30944" spans="26:26" x14ac:dyDescent="0.25">
      <c r="Z30944"/>
    </row>
    <row r="30945" spans="26:26" x14ac:dyDescent="0.25">
      <c r="Z30945"/>
    </row>
    <row r="30946" spans="26:26" x14ac:dyDescent="0.25">
      <c r="Z30946"/>
    </row>
    <row r="30947" spans="26:26" x14ac:dyDescent="0.25">
      <c r="Z30947"/>
    </row>
    <row r="30948" spans="26:26" x14ac:dyDescent="0.25">
      <c r="Z30948"/>
    </row>
    <row r="30949" spans="26:26" x14ac:dyDescent="0.25">
      <c r="Z30949"/>
    </row>
    <row r="30950" spans="26:26" x14ac:dyDescent="0.25">
      <c r="Z30950"/>
    </row>
    <row r="30951" spans="26:26" x14ac:dyDescent="0.25">
      <c r="Z30951"/>
    </row>
    <row r="30952" spans="26:26" x14ac:dyDescent="0.25">
      <c r="Z30952"/>
    </row>
    <row r="30953" spans="26:26" x14ac:dyDescent="0.25">
      <c r="Z30953"/>
    </row>
    <row r="30954" spans="26:26" x14ac:dyDescent="0.25">
      <c r="Z30954"/>
    </row>
    <row r="30955" spans="26:26" x14ac:dyDescent="0.25">
      <c r="Z30955"/>
    </row>
    <row r="30956" spans="26:26" x14ac:dyDescent="0.25">
      <c r="Z30956"/>
    </row>
    <row r="30957" spans="26:26" x14ac:dyDescent="0.25">
      <c r="Z30957"/>
    </row>
    <row r="30958" spans="26:26" x14ac:dyDescent="0.25">
      <c r="Z30958"/>
    </row>
    <row r="30959" spans="26:26" x14ac:dyDescent="0.25">
      <c r="Z30959"/>
    </row>
    <row r="30960" spans="26:26" x14ac:dyDescent="0.25">
      <c r="Z30960"/>
    </row>
    <row r="30961" spans="26:26" x14ac:dyDescent="0.25">
      <c r="Z30961"/>
    </row>
    <row r="30962" spans="26:26" x14ac:dyDescent="0.25">
      <c r="Z30962"/>
    </row>
    <row r="30963" spans="26:26" x14ac:dyDescent="0.25">
      <c r="Z30963"/>
    </row>
    <row r="30964" spans="26:26" x14ac:dyDescent="0.25">
      <c r="Z30964"/>
    </row>
    <row r="30965" spans="26:26" x14ac:dyDescent="0.25">
      <c r="Z30965"/>
    </row>
    <row r="30966" spans="26:26" x14ac:dyDescent="0.25">
      <c r="Z30966"/>
    </row>
    <row r="30967" spans="26:26" x14ac:dyDescent="0.25">
      <c r="Z30967"/>
    </row>
    <row r="30968" spans="26:26" x14ac:dyDescent="0.25">
      <c r="Z30968"/>
    </row>
    <row r="30969" spans="26:26" x14ac:dyDescent="0.25">
      <c r="Z30969"/>
    </row>
    <row r="30970" spans="26:26" x14ac:dyDescent="0.25">
      <c r="Z30970"/>
    </row>
    <row r="30971" spans="26:26" x14ac:dyDescent="0.25">
      <c r="Z30971"/>
    </row>
    <row r="30972" spans="26:26" x14ac:dyDescent="0.25">
      <c r="Z30972"/>
    </row>
    <row r="30973" spans="26:26" x14ac:dyDescent="0.25">
      <c r="Z30973"/>
    </row>
    <row r="30974" spans="26:26" x14ac:dyDescent="0.25">
      <c r="Z30974"/>
    </row>
    <row r="30975" spans="26:26" x14ac:dyDescent="0.25">
      <c r="Z30975"/>
    </row>
    <row r="30976" spans="26:26" x14ac:dyDescent="0.25">
      <c r="Z30976"/>
    </row>
    <row r="30977" spans="26:26" x14ac:dyDescent="0.25">
      <c r="Z30977"/>
    </row>
    <row r="30978" spans="26:26" x14ac:dyDescent="0.25">
      <c r="Z30978"/>
    </row>
    <row r="30979" spans="26:26" x14ac:dyDescent="0.25">
      <c r="Z30979"/>
    </row>
    <row r="30980" spans="26:26" x14ac:dyDescent="0.25">
      <c r="Z30980"/>
    </row>
    <row r="30981" spans="26:26" x14ac:dyDescent="0.25">
      <c r="Z30981"/>
    </row>
    <row r="30982" spans="26:26" x14ac:dyDescent="0.25">
      <c r="Z30982"/>
    </row>
    <row r="30983" spans="26:26" x14ac:dyDescent="0.25">
      <c r="Z30983"/>
    </row>
    <row r="30984" spans="26:26" x14ac:dyDescent="0.25">
      <c r="Z30984"/>
    </row>
    <row r="30985" spans="26:26" x14ac:dyDescent="0.25">
      <c r="Z30985"/>
    </row>
    <row r="30986" spans="26:26" x14ac:dyDescent="0.25">
      <c r="Z30986"/>
    </row>
    <row r="30987" spans="26:26" x14ac:dyDescent="0.25">
      <c r="Z30987"/>
    </row>
    <row r="30988" spans="26:26" x14ac:dyDescent="0.25">
      <c r="Z30988"/>
    </row>
    <row r="30989" spans="26:26" x14ac:dyDescent="0.25">
      <c r="Z30989"/>
    </row>
    <row r="30990" spans="26:26" x14ac:dyDescent="0.25">
      <c r="Z30990"/>
    </row>
    <row r="30991" spans="26:26" x14ac:dyDescent="0.25">
      <c r="Z30991"/>
    </row>
    <row r="30992" spans="26:26" x14ac:dyDescent="0.25">
      <c r="Z30992"/>
    </row>
    <row r="30993" spans="26:26" x14ac:dyDescent="0.25">
      <c r="Z30993"/>
    </row>
    <row r="30994" spans="26:26" x14ac:dyDescent="0.25">
      <c r="Z30994"/>
    </row>
    <row r="30995" spans="26:26" x14ac:dyDescent="0.25">
      <c r="Z30995"/>
    </row>
    <row r="30996" spans="26:26" x14ac:dyDescent="0.25">
      <c r="Z30996"/>
    </row>
    <row r="30997" spans="26:26" x14ac:dyDescent="0.25">
      <c r="Z30997"/>
    </row>
    <row r="30998" spans="26:26" x14ac:dyDescent="0.25">
      <c r="Z30998"/>
    </row>
    <row r="30999" spans="26:26" x14ac:dyDescent="0.25">
      <c r="Z30999"/>
    </row>
    <row r="31000" spans="26:26" x14ac:dyDescent="0.25">
      <c r="Z31000"/>
    </row>
    <row r="31001" spans="26:26" x14ac:dyDescent="0.25">
      <c r="Z31001"/>
    </row>
    <row r="31002" spans="26:26" x14ac:dyDescent="0.25">
      <c r="Z31002"/>
    </row>
    <row r="31003" spans="26:26" x14ac:dyDescent="0.25">
      <c r="Z31003"/>
    </row>
    <row r="31004" spans="26:26" x14ac:dyDescent="0.25">
      <c r="Z31004"/>
    </row>
    <row r="31005" spans="26:26" x14ac:dyDescent="0.25">
      <c r="Z31005"/>
    </row>
    <row r="31006" spans="26:26" x14ac:dyDescent="0.25">
      <c r="Z31006"/>
    </row>
    <row r="31007" spans="26:26" x14ac:dyDescent="0.25">
      <c r="Z31007"/>
    </row>
    <row r="31008" spans="26:26" x14ac:dyDescent="0.25">
      <c r="Z31008"/>
    </row>
    <row r="31009" spans="26:26" x14ac:dyDescent="0.25">
      <c r="Z31009"/>
    </row>
    <row r="31010" spans="26:26" x14ac:dyDescent="0.25">
      <c r="Z31010"/>
    </row>
    <row r="31011" spans="26:26" x14ac:dyDescent="0.25">
      <c r="Z31011"/>
    </row>
    <row r="31012" spans="26:26" x14ac:dyDescent="0.25">
      <c r="Z31012"/>
    </row>
    <row r="31013" spans="26:26" x14ac:dyDescent="0.25">
      <c r="Z31013"/>
    </row>
    <row r="31014" spans="26:26" x14ac:dyDescent="0.25">
      <c r="Z31014"/>
    </row>
    <row r="31015" spans="26:26" x14ac:dyDescent="0.25">
      <c r="Z31015"/>
    </row>
    <row r="31016" spans="26:26" x14ac:dyDescent="0.25">
      <c r="Z31016"/>
    </row>
    <row r="31017" spans="26:26" x14ac:dyDescent="0.25">
      <c r="Z31017"/>
    </row>
    <row r="31018" spans="26:26" x14ac:dyDescent="0.25">
      <c r="Z31018"/>
    </row>
    <row r="31019" spans="26:26" x14ac:dyDescent="0.25">
      <c r="Z31019"/>
    </row>
    <row r="31020" spans="26:26" x14ac:dyDescent="0.25">
      <c r="Z31020"/>
    </row>
    <row r="31021" spans="26:26" x14ac:dyDescent="0.25">
      <c r="Z31021"/>
    </row>
    <row r="31022" spans="26:26" x14ac:dyDescent="0.25">
      <c r="Z31022"/>
    </row>
    <row r="31023" spans="26:26" x14ac:dyDescent="0.25">
      <c r="Z31023"/>
    </row>
    <row r="31024" spans="26:26" x14ac:dyDescent="0.25">
      <c r="Z31024"/>
    </row>
    <row r="31025" spans="26:26" x14ac:dyDescent="0.25">
      <c r="Z31025"/>
    </row>
    <row r="31026" spans="26:26" x14ac:dyDescent="0.25">
      <c r="Z31026"/>
    </row>
    <row r="31027" spans="26:26" x14ac:dyDescent="0.25">
      <c r="Z31027"/>
    </row>
    <row r="31028" spans="26:26" x14ac:dyDescent="0.25">
      <c r="Z31028"/>
    </row>
    <row r="31029" spans="26:26" x14ac:dyDescent="0.25">
      <c r="Z31029"/>
    </row>
    <row r="31030" spans="26:26" x14ac:dyDescent="0.25">
      <c r="Z31030"/>
    </row>
    <row r="31031" spans="26:26" x14ac:dyDescent="0.25">
      <c r="Z31031"/>
    </row>
    <row r="31032" spans="26:26" x14ac:dyDescent="0.25">
      <c r="Z31032"/>
    </row>
    <row r="31033" spans="26:26" x14ac:dyDescent="0.25">
      <c r="Z31033"/>
    </row>
    <row r="31034" spans="26:26" x14ac:dyDescent="0.25">
      <c r="Z31034"/>
    </row>
    <row r="31035" spans="26:26" x14ac:dyDescent="0.25">
      <c r="Z31035"/>
    </row>
    <row r="31036" spans="26:26" x14ac:dyDescent="0.25">
      <c r="Z31036"/>
    </row>
    <row r="31037" spans="26:26" x14ac:dyDescent="0.25">
      <c r="Z31037"/>
    </row>
    <row r="31038" spans="26:26" x14ac:dyDescent="0.25">
      <c r="Z31038"/>
    </row>
    <row r="31039" spans="26:26" x14ac:dyDescent="0.25">
      <c r="Z31039"/>
    </row>
    <row r="31040" spans="26:26" x14ac:dyDescent="0.25">
      <c r="Z31040"/>
    </row>
    <row r="31041" spans="26:26" x14ac:dyDescent="0.25">
      <c r="Z31041"/>
    </row>
    <row r="31042" spans="26:26" x14ac:dyDescent="0.25">
      <c r="Z31042"/>
    </row>
    <row r="31043" spans="26:26" x14ac:dyDescent="0.25">
      <c r="Z31043"/>
    </row>
    <row r="31044" spans="26:26" x14ac:dyDescent="0.25">
      <c r="Z31044"/>
    </row>
    <row r="31045" spans="26:26" x14ac:dyDescent="0.25">
      <c r="Z31045"/>
    </row>
    <row r="31046" spans="26:26" x14ac:dyDescent="0.25">
      <c r="Z31046"/>
    </row>
    <row r="31047" spans="26:26" x14ac:dyDescent="0.25">
      <c r="Z31047"/>
    </row>
    <row r="31048" spans="26:26" x14ac:dyDescent="0.25">
      <c r="Z31048"/>
    </row>
    <row r="31049" spans="26:26" x14ac:dyDescent="0.25">
      <c r="Z31049"/>
    </row>
    <row r="31050" spans="26:26" x14ac:dyDescent="0.25">
      <c r="Z31050"/>
    </row>
    <row r="31051" spans="26:26" x14ac:dyDescent="0.25">
      <c r="Z31051"/>
    </row>
    <row r="31052" spans="26:26" x14ac:dyDescent="0.25">
      <c r="Z31052"/>
    </row>
    <row r="31053" spans="26:26" x14ac:dyDescent="0.25">
      <c r="Z31053"/>
    </row>
    <row r="31054" spans="26:26" x14ac:dyDescent="0.25">
      <c r="Z31054"/>
    </row>
    <row r="31055" spans="26:26" x14ac:dyDescent="0.25">
      <c r="Z31055"/>
    </row>
    <row r="31056" spans="26:26" x14ac:dyDescent="0.25">
      <c r="Z31056"/>
    </row>
    <row r="31057" spans="26:26" x14ac:dyDescent="0.25">
      <c r="Z31057"/>
    </row>
    <row r="31058" spans="26:26" x14ac:dyDescent="0.25">
      <c r="Z31058"/>
    </row>
    <row r="31059" spans="26:26" x14ac:dyDescent="0.25">
      <c r="Z31059"/>
    </row>
    <row r="31060" spans="26:26" x14ac:dyDescent="0.25">
      <c r="Z31060"/>
    </row>
    <row r="31061" spans="26:26" x14ac:dyDescent="0.25">
      <c r="Z31061"/>
    </row>
    <row r="31062" spans="26:26" x14ac:dyDescent="0.25">
      <c r="Z31062"/>
    </row>
    <row r="31063" spans="26:26" x14ac:dyDescent="0.25">
      <c r="Z31063"/>
    </row>
    <row r="31064" spans="26:26" x14ac:dyDescent="0.25">
      <c r="Z31064"/>
    </row>
    <row r="31065" spans="26:26" x14ac:dyDescent="0.25">
      <c r="Z31065"/>
    </row>
    <row r="31066" spans="26:26" x14ac:dyDescent="0.25">
      <c r="Z31066"/>
    </row>
    <row r="31067" spans="26:26" x14ac:dyDescent="0.25">
      <c r="Z31067"/>
    </row>
    <row r="31068" spans="26:26" x14ac:dyDescent="0.25">
      <c r="Z31068"/>
    </row>
    <row r="31069" spans="26:26" x14ac:dyDescent="0.25">
      <c r="Z31069"/>
    </row>
    <row r="31070" spans="26:26" x14ac:dyDescent="0.25">
      <c r="Z31070"/>
    </row>
    <row r="31071" spans="26:26" x14ac:dyDescent="0.25">
      <c r="Z31071"/>
    </row>
    <row r="31072" spans="26:26" x14ac:dyDescent="0.25">
      <c r="Z31072"/>
    </row>
    <row r="31073" spans="26:26" x14ac:dyDescent="0.25">
      <c r="Z31073"/>
    </row>
    <row r="31074" spans="26:26" x14ac:dyDescent="0.25">
      <c r="Z31074"/>
    </row>
    <row r="31075" spans="26:26" x14ac:dyDescent="0.25">
      <c r="Z31075"/>
    </row>
    <row r="31076" spans="26:26" x14ac:dyDescent="0.25">
      <c r="Z31076"/>
    </row>
    <row r="31077" spans="26:26" x14ac:dyDescent="0.25">
      <c r="Z31077"/>
    </row>
    <row r="31078" spans="26:26" x14ac:dyDescent="0.25">
      <c r="Z31078"/>
    </row>
    <row r="31079" spans="26:26" x14ac:dyDescent="0.25">
      <c r="Z31079"/>
    </row>
    <row r="31080" spans="26:26" x14ac:dyDescent="0.25">
      <c r="Z31080"/>
    </row>
    <row r="31081" spans="26:26" x14ac:dyDescent="0.25">
      <c r="Z31081"/>
    </row>
    <row r="31082" spans="26:26" x14ac:dyDescent="0.25">
      <c r="Z31082"/>
    </row>
    <row r="31083" spans="26:26" x14ac:dyDescent="0.25">
      <c r="Z31083"/>
    </row>
    <row r="31084" spans="26:26" x14ac:dyDescent="0.25">
      <c r="Z31084"/>
    </row>
    <row r="31085" spans="26:26" x14ac:dyDescent="0.25">
      <c r="Z31085"/>
    </row>
    <row r="31086" spans="26:26" x14ac:dyDescent="0.25">
      <c r="Z31086"/>
    </row>
    <row r="31087" spans="26:26" x14ac:dyDescent="0.25">
      <c r="Z31087"/>
    </row>
    <row r="31088" spans="26:26" x14ac:dyDescent="0.25">
      <c r="Z31088"/>
    </row>
    <row r="31089" spans="26:26" x14ac:dyDescent="0.25">
      <c r="Z31089"/>
    </row>
    <row r="31090" spans="26:26" x14ac:dyDescent="0.25">
      <c r="Z31090"/>
    </row>
    <row r="31091" spans="26:26" x14ac:dyDescent="0.25">
      <c r="Z31091"/>
    </row>
    <row r="31092" spans="26:26" x14ac:dyDescent="0.25">
      <c r="Z31092"/>
    </row>
    <row r="31093" spans="26:26" x14ac:dyDescent="0.25">
      <c r="Z31093"/>
    </row>
    <row r="31094" spans="26:26" x14ac:dyDescent="0.25">
      <c r="Z31094"/>
    </row>
    <row r="31095" spans="26:26" x14ac:dyDescent="0.25">
      <c r="Z31095"/>
    </row>
    <row r="31096" spans="26:26" x14ac:dyDescent="0.25">
      <c r="Z31096"/>
    </row>
    <row r="31097" spans="26:26" x14ac:dyDescent="0.25">
      <c r="Z31097"/>
    </row>
    <row r="31098" spans="26:26" x14ac:dyDescent="0.25">
      <c r="Z31098"/>
    </row>
    <row r="31099" spans="26:26" x14ac:dyDescent="0.25">
      <c r="Z31099"/>
    </row>
    <row r="31100" spans="26:26" x14ac:dyDescent="0.25">
      <c r="Z31100"/>
    </row>
    <row r="31101" spans="26:26" x14ac:dyDescent="0.25">
      <c r="Z31101"/>
    </row>
    <row r="31102" spans="26:26" x14ac:dyDescent="0.25">
      <c r="Z31102"/>
    </row>
    <row r="31103" spans="26:26" x14ac:dyDescent="0.25">
      <c r="Z31103"/>
    </row>
    <row r="31104" spans="26:26" x14ac:dyDescent="0.25">
      <c r="Z31104"/>
    </row>
    <row r="31105" spans="26:26" x14ac:dyDescent="0.25">
      <c r="Z31105"/>
    </row>
    <row r="31106" spans="26:26" x14ac:dyDescent="0.25">
      <c r="Z31106"/>
    </row>
    <row r="31107" spans="26:26" x14ac:dyDescent="0.25">
      <c r="Z31107"/>
    </row>
    <row r="31108" spans="26:26" x14ac:dyDescent="0.25">
      <c r="Z31108"/>
    </row>
    <row r="31109" spans="26:26" x14ac:dyDescent="0.25">
      <c r="Z31109"/>
    </row>
    <row r="31110" spans="26:26" x14ac:dyDescent="0.25">
      <c r="Z31110"/>
    </row>
    <row r="31111" spans="26:26" x14ac:dyDescent="0.25">
      <c r="Z31111"/>
    </row>
    <row r="31112" spans="26:26" x14ac:dyDescent="0.25">
      <c r="Z31112"/>
    </row>
    <row r="31113" spans="26:26" x14ac:dyDescent="0.25">
      <c r="Z31113"/>
    </row>
    <row r="31114" spans="26:26" x14ac:dyDescent="0.25">
      <c r="Z31114"/>
    </row>
    <row r="31115" spans="26:26" x14ac:dyDescent="0.25">
      <c r="Z31115"/>
    </row>
    <row r="31116" spans="26:26" x14ac:dyDescent="0.25">
      <c r="Z31116"/>
    </row>
    <row r="31117" spans="26:26" x14ac:dyDescent="0.25">
      <c r="Z31117"/>
    </row>
    <row r="31118" spans="26:26" x14ac:dyDescent="0.25">
      <c r="Z31118"/>
    </row>
    <row r="31119" spans="26:26" x14ac:dyDescent="0.25">
      <c r="Z31119"/>
    </row>
    <row r="31120" spans="26:26" x14ac:dyDescent="0.25">
      <c r="Z31120"/>
    </row>
    <row r="31121" spans="26:26" x14ac:dyDescent="0.25">
      <c r="Z31121"/>
    </row>
    <row r="31122" spans="26:26" x14ac:dyDescent="0.25">
      <c r="Z31122"/>
    </row>
    <row r="31123" spans="26:26" x14ac:dyDescent="0.25">
      <c r="Z31123"/>
    </row>
    <row r="31124" spans="26:26" x14ac:dyDescent="0.25">
      <c r="Z31124"/>
    </row>
    <row r="31125" spans="26:26" x14ac:dyDescent="0.25">
      <c r="Z31125"/>
    </row>
    <row r="31126" spans="26:26" x14ac:dyDescent="0.25">
      <c r="Z31126"/>
    </row>
    <row r="31127" spans="26:26" x14ac:dyDescent="0.25">
      <c r="Z31127"/>
    </row>
    <row r="31128" spans="26:26" x14ac:dyDescent="0.25">
      <c r="Z31128"/>
    </row>
    <row r="31129" spans="26:26" x14ac:dyDescent="0.25">
      <c r="Z31129"/>
    </row>
    <row r="31130" spans="26:26" x14ac:dyDescent="0.25">
      <c r="Z31130"/>
    </row>
    <row r="31131" spans="26:26" x14ac:dyDescent="0.25">
      <c r="Z31131"/>
    </row>
    <row r="31132" spans="26:26" x14ac:dyDescent="0.25">
      <c r="Z31132"/>
    </row>
    <row r="31133" spans="26:26" x14ac:dyDescent="0.25">
      <c r="Z31133"/>
    </row>
    <row r="31134" spans="26:26" x14ac:dyDescent="0.25">
      <c r="Z31134"/>
    </row>
    <row r="31135" spans="26:26" x14ac:dyDescent="0.25">
      <c r="Z31135"/>
    </row>
    <row r="31136" spans="26:26" x14ac:dyDescent="0.25">
      <c r="Z31136"/>
    </row>
    <row r="31137" spans="26:26" x14ac:dyDescent="0.25">
      <c r="Z31137"/>
    </row>
    <row r="31138" spans="26:26" x14ac:dyDescent="0.25">
      <c r="Z31138"/>
    </row>
    <row r="31139" spans="26:26" x14ac:dyDescent="0.25">
      <c r="Z31139"/>
    </row>
    <row r="31140" spans="26:26" x14ac:dyDescent="0.25">
      <c r="Z31140"/>
    </row>
    <row r="31141" spans="26:26" x14ac:dyDescent="0.25">
      <c r="Z31141"/>
    </row>
    <row r="31142" spans="26:26" x14ac:dyDescent="0.25">
      <c r="Z31142"/>
    </row>
    <row r="31143" spans="26:26" x14ac:dyDescent="0.25">
      <c r="Z31143"/>
    </row>
    <row r="31144" spans="26:26" x14ac:dyDescent="0.25">
      <c r="Z31144"/>
    </row>
    <row r="31145" spans="26:26" x14ac:dyDescent="0.25">
      <c r="Z31145"/>
    </row>
    <row r="31146" spans="26:26" x14ac:dyDescent="0.25">
      <c r="Z31146"/>
    </row>
    <row r="31147" spans="26:26" x14ac:dyDescent="0.25">
      <c r="Z31147"/>
    </row>
    <row r="31148" spans="26:26" x14ac:dyDescent="0.25">
      <c r="Z31148"/>
    </row>
    <row r="31149" spans="26:26" x14ac:dyDescent="0.25">
      <c r="Z31149"/>
    </row>
    <row r="31150" spans="26:26" x14ac:dyDescent="0.25">
      <c r="Z31150"/>
    </row>
    <row r="31151" spans="26:26" x14ac:dyDescent="0.25">
      <c r="Z31151"/>
    </row>
    <row r="31152" spans="26:26" x14ac:dyDescent="0.25">
      <c r="Z31152"/>
    </row>
    <row r="31153" spans="26:26" x14ac:dyDescent="0.25">
      <c r="Z31153"/>
    </row>
    <row r="31154" spans="26:26" x14ac:dyDescent="0.25">
      <c r="Z31154"/>
    </row>
    <row r="31155" spans="26:26" x14ac:dyDescent="0.25">
      <c r="Z31155"/>
    </row>
    <row r="31156" spans="26:26" x14ac:dyDescent="0.25">
      <c r="Z31156"/>
    </row>
    <row r="31157" spans="26:26" x14ac:dyDescent="0.25">
      <c r="Z31157"/>
    </row>
    <row r="31158" spans="26:26" x14ac:dyDescent="0.25">
      <c r="Z31158"/>
    </row>
    <row r="31159" spans="26:26" x14ac:dyDescent="0.25">
      <c r="Z31159"/>
    </row>
    <row r="31160" spans="26:26" x14ac:dyDescent="0.25">
      <c r="Z31160"/>
    </row>
    <row r="31161" spans="26:26" x14ac:dyDescent="0.25">
      <c r="Z31161"/>
    </row>
    <row r="31162" spans="26:26" x14ac:dyDescent="0.25">
      <c r="Z31162"/>
    </row>
    <row r="31163" spans="26:26" x14ac:dyDescent="0.25">
      <c r="Z31163"/>
    </row>
    <row r="31164" spans="26:26" x14ac:dyDescent="0.25">
      <c r="Z31164"/>
    </row>
    <row r="31165" spans="26:26" x14ac:dyDescent="0.25">
      <c r="Z31165"/>
    </row>
    <row r="31166" spans="26:26" x14ac:dyDescent="0.25">
      <c r="Z31166"/>
    </row>
    <row r="31167" spans="26:26" x14ac:dyDescent="0.25">
      <c r="Z31167"/>
    </row>
    <row r="31168" spans="26:26" x14ac:dyDescent="0.25">
      <c r="Z31168"/>
    </row>
    <row r="31169" spans="26:26" x14ac:dyDescent="0.25">
      <c r="Z31169"/>
    </row>
    <row r="31170" spans="26:26" x14ac:dyDescent="0.25">
      <c r="Z31170"/>
    </row>
    <row r="31171" spans="26:26" x14ac:dyDescent="0.25">
      <c r="Z31171"/>
    </row>
    <row r="31172" spans="26:26" x14ac:dyDescent="0.25">
      <c r="Z31172"/>
    </row>
    <row r="31173" spans="26:26" x14ac:dyDescent="0.25">
      <c r="Z31173"/>
    </row>
    <row r="31174" spans="26:26" x14ac:dyDescent="0.25">
      <c r="Z31174"/>
    </row>
    <row r="31175" spans="26:26" x14ac:dyDescent="0.25">
      <c r="Z31175"/>
    </row>
    <row r="31176" spans="26:26" x14ac:dyDescent="0.25">
      <c r="Z31176"/>
    </row>
    <row r="31177" spans="26:26" x14ac:dyDescent="0.25">
      <c r="Z31177"/>
    </row>
    <row r="31178" spans="26:26" x14ac:dyDescent="0.25">
      <c r="Z31178"/>
    </row>
    <row r="31179" spans="26:26" x14ac:dyDescent="0.25">
      <c r="Z31179"/>
    </row>
    <row r="31180" spans="26:26" x14ac:dyDescent="0.25">
      <c r="Z31180"/>
    </row>
    <row r="31181" spans="26:26" x14ac:dyDescent="0.25">
      <c r="Z31181"/>
    </row>
    <row r="31182" spans="26:26" x14ac:dyDescent="0.25">
      <c r="Z31182"/>
    </row>
    <row r="31183" spans="26:26" x14ac:dyDescent="0.25">
      <c r="Z31183"/>
    </row>
    <row r="31184" spans="26:26" x14ac:dyDescent="0.25">
      <c r="Z31184"/>
    </row>
    <row r="31185" spans="26:26" x14ac:dyDescent="0.25">
      <c r="Z31185"/>
    </row>
    <row r="31186" spans="26:26" x14ac:dyDescent="0.25">
      <c r="Z31186"/>
    </row>
    <row r="31187" spans="26:26" x14ac:dyDescent="0.25">
      <c r="Z31187"/>
    </row>
    <row r="31188" spans="26:26" x14ac:dyDescent="0.25">
      <c r="Z31188"/>
    </row>
    <row r="31189" spans="26:26" x14ac:dyDescent="0.25">
      <c r="Z31189"/>
    </row>
    <row r="31190" spans="26:26" x14ac:dyDescent="0.25">
      <c r="Z31190"/>
    </row>
    <row r="31191" spans="26:26" x14ac:dyDescent="0.25">
      <c r="Z31191"/>
    </row>
    <row r="31192" spans="26:26" x14ac:dyDescent="0.25">
      <c r="Z31192"/>
    </row>
    <row r="31193" spans="26:26" x14ac:dyDescent="0.25">
      <c r="Z31193"/>
    </row>
    <row r="31194" spans="26:26" x14ac:dyDescent="0.25">
      <c r="Z31194"/>
    </row>
    <row r="31195" spans="26:26" x14ac:dyDescent="0.25">
      <c r="Z31195"/>
    </row>
    <row r="31196" spans="26:26" x14ac:dyDescent="0.25">
      <c r="Z31196"/>
    </row>
    <row r="31197" spans="26:26" x14ac:dyDescent="0.25">
      <c r="Z31197"/>
    </row>
    <row r="31198" spans="26:26" x14ac:dyDescent="0.25">
      <c r="Z31198"/>
    </row>
    <row r="31199" spans="26:26" x14ac:dyDescent="0.25">
      <c r="Z31199"/>
    </row>
    <row r="31200" spans="26:26" x14ac:dyDescent="0.25">
      <c r="Z31200"/>
    </row>
    <row r="31201" spans="26:26" x14ac:dyDescent="0.25">
      <c r="Z31201"/>
    </row>
    <row r="31202" spans="26:26" x14ac:dyDescent="0.25">
      <c r="Z31202"/>
    </row>
    <row r="31203" spans="26:26" x14ac:dyDescent="0.25">
      <c r="Z31203"/>
    </row>
    <row r="31204" spans="26:26" x14ac:dyDescent="0.25">
      <c r="Z31204"/>
    </row>
    <row r="31205" spans="26:26" x14ac:dyDescent="0.25">
      <c r="Z31205"/>
    </row>
    <row r="31206" spans="26:26" x14ac:dyDescent="0.25">
      <c r="Z31206"/>
    </row>
    <row r="31207" spans="26:26" x14ac:dyDescent="0.25">
      <c r="Z31207"/>
    </row>
    <row r="31208" spans="26:26" x14ac:dyDescent="0.25">
      <c r="Z31208"/>
    </row>
    <row r="31209" spans="26:26" x14ac:dyDescent="0.25">
      <c r="Z31209"/>
    </row>
    <row r="31210" spans="26:26" x14ac:dyDescent="0.25">
      <c r="Z31210"/>
    </row>
    <row r="31211" spans="26:26" x14ac:dyDescent="0.25">
      <c r="Z31211"/>
    </row>
    <row r="31212" spans="26:26" x14ac:dyDescent="0.25">
      <c r="Z31212"/>
    </row>
    <row r="31213" spans="26:26" x14ac:dyDescent="0.25">
      <c r="Z31213"/>
    </row>
    <row r="31214" spans="26:26" x14ac:dyDescent="0.25">
      <c r="Z31214"/>
    </row>
    <row r="31215" spans="26:26" x14ac:dyDescent="0.25">
      <c r="Z31215"/>
    </row>
    <row r="31216" spans="26:26" x14ac:dyDescent="0.25">
      <c r="Z31216"/>
    </row>
    <row r="31217" spans="26:26" x14ac:dyDescent="0.25">
      <c r="Z31217"/>
    </row>
    <row r="31218" spans="26:26" x14ac:dyDescent="0.25">
      <c r="Z31218"/>
    </row>
    <row r="31219" spans="26:26" x14ac:dyDescent="0.25">
      <c r="Z31219"/>
    </row>
    <row r="31220" spans="26:26" x14ac:dyDescent="0.25">
      <c r="Z31220"/>
    </row>
    <row r="31221" spans="26:26" x14ac:dyDescent="0.25">
      <c r="Z31221"/>
    </row>
    <row r="31222" spans="26:26" x14ac:dyDescent="0.25">
      <c r="Z31222"/>
    </row>
    <row r="31223" spans="26:26" x14ac:dyDescent="0.25">
      <c r="Z31223"/>
    </row>
    <row r="31224" spans="26:26" x14ac:dyDescent="0.25">
      <c r="Z31224"/>
    </row>
    <row r="31225" spans="26:26" x14ac:dyDescent="0.25">
      <c r="Z31225"/>
    </row>
    <row r="31226" spans="26:26" x14ac:dyDescent="0.25">
      <c r="Z31226"/>
    </row>
    <row r="31227" spans="26:26" x14ac:dyDescent="0.25">
      <c r="Z31227"/>
    </row>
    <row r="31228" spans="26:26" x14ac:dyDescent="0.25">
      <c r="Z31228"/>
    </row>
    <row r="31229" spans="26:26" x14ac:dyDescent="0.25">
      <c r="Z31229"/>
    </row>
    <row r="31230" spans="26:26" x14ac:dyDescent="0.25">
      <c r="Z31230"/>
    </row>
    <row r="31231" spans="26:26" x14ac:dyDescent="0.25">
      <c r="Z31231"/>
    </row>
    <row r="31232" spans="26:26" x14ac:dyDescent="0.25">
      <c r="Z31232"/>
    </row>
    <row r="31233" spans="26:26" x14ac:dyDescent="0.25">
      <c r="Z31233"/>
    </row>
    <row r="31234" spans="26:26" x14ac:dyDescent="0.25">
      <c r="Z31234"/>
    </row>
    <row r="31235" spans="26:26" x14ac:dyDescent="0.25">
      <c r="Z31235"/>
    </row>
    <row r="31236" spans="26:26" x14ac:dyDescent="0.25">
      <c r="Z31236"/>
    </row>
    <row r="31237" spans="26:26" x14ac:dyDescent="0.25">
      <c r="Z31237"/>
    </row>
    <row r="31238" spans="26:26" x14ac:dyDescent="0.25">
      <c r="Z31238"/>
    </row>
    <row r="31239" spans="26:26" x14ac:dyDescent="0.25">
      <c r="Z31239"/>
    </row>
    <row r="31240" spans="26:26" x14ac:dyDescent="0.25">
      <c r="Z31240"/>
    </row>
    <row r="31241" spans="26:26" x14ac:dyDescent="0.25">
      <c r="Z31241"/>
    </row>
    <row r="31242" spans="26:26" x14ac:dyDescent="0.25">
      <c r="Z31242"/>
    </row>
    <row r="31243" spans="26:26" x14ac:dyDescent="0.25">
      <c r="Z31243"/>
    </row>
    <row r="31244" spans="26:26" x14ac:dyDescent="0.25">
      <c r="Z31244"/>
    </row>
    <row r="31245" spans="26:26" x14ac:dyDescent="0.25">
      <c r="Z31245"/>
    </row>
    <row r="31246" spans="26:26" x14ac:dyDescent="0.25">
      <c r="Z31246"/>
    </row>
    <row r="31247" spans="26:26" x14ac:dyDescent="0.25">
      <c r="Z31247"/>
    </row>
    <row r="31248" spans="26:26" x14ac:dyDescent="0.25">
      <c r="Z31248"/>
    </row>
    <row r="31249" spans="26:26" x14ac:dyDescent="0.25">
      <c r="Z31249"/>
    </row>
    <row r="31250" spans="26:26" x14ac:dyDescent="0.25">
      <c r="Z31250"/>
    </row>
    <row r="31251" spans="26:26" x14ac:dyDescent="0.25">
      <c r="Z31251"/>
    </row>
    <row r="31252" spans="26:26" x14ac:dyDescent="0.25">
      <c r="Z31252"/>
    </row>
    <row r="31253" spans="26:26" x14ac:dyDescent="0.25">
      <c r="Z31253"/>
    </row>
    <row r="31254" spans="26:26" x14ac:dyDescent="0.25">
      <c r="Z31254"/>
    </row>
    <row r="31255" spans="26:26" x14ac:dyDescent="0.25">
      <c r="Z31255"/>
    </row>
    <row r="31256" spans="26:26" x14ac:dyDescent="0.25">
      <c r="Z31256"/>
    </row>
    <row r="31257" spans="26:26" x14ac:dyDescent="0.25">
      <c r="Z31257"/>
    </row>
    <row r="31258" spans="26:26" x14ac:dyDescent="0.25">
      <c r="Z31258"/>
    </row>
    <row r="31259" spans="26:26" x14ac:dyDescent="0.25">
      <c r="Z31259"/>
    </row>
    <row r="31260" spans="26:26" x14ac:dyDescent="0.25">
      <c r="Z31260"/>
    </row>
    <row r="31261" spans="26:26" x14ac:dyDescent="0.25">
      <c r="Z31261"/>
    </row>
    <row r="31262" spans="26:26" x14ac:dyDescent="0.25">
      <c r="Z31262"/>
    </row>
    <row r="31263" spans="26:26" x14ac:dyDescent="0.25">
      <c r="Z31263"/>
    </row>
    <row r="31264" spans="26:26" x14ac:dyDescent="0.25">
      <c r="Z31264"/>
    </row>
    <row r="31265" spans="26:26" x14ac:dyDescent="0.25">
      <c r="Z31265"/>
    </row>
    <row r="31266" spans="26:26" x14ac:dyDescent="0.25">
      <c r="Z31266"/>
    </row>
    <row r="31267" spans="26:26" x14ac:dyDescent="0.25">
      <c r="Z31267"/>
    </row>
    <row r="31268" spans="26:26" x14ac:dyDescent="0.25">
      <c r="Z31268"/>
    </row>
    <row r="31269" spans="26:26" x14ac:dyDescent="0.25">
      <c r="Z31269"/>
    </row>
    <row r="31270" spans="26:26" x14ac:dyDescent="0.25">
      <c r="Z31270"/>
    </row>
    <row r="31271" spans="26:26" x14ac:dyDescent="0.25">
      <c r="Z31271"/>
    </row>
    <row r="31272" spans="26:26" x14ac:dyDescent="0.25">
      <c r="Z31272"/>
    </row>
    <row r="31273" spans="26:26" x14ac:dyDescent="0.25">
      <c r="Z31273"/>
    </row>
    <row r="31274" spans="26:26" x14ac:dyDescent="0.25">
      <c r="Z31274"/>
    </row>
    <row r="31275" spans="26:26" x14ac:dyDescent="0.25">
      <c r="Z31275"/>
    </row>
    <row r="31276" spans="26:26" x14ac:dyDescent="0.25">
      <c r="Z31276"/>
    </row>
    <row r="31277" spans="26:26" x14ac:dyDescent="0.25">
      <c r="Z31277"/>
    </row>
    <row r="31278" spans="26:26" x14ac:dyDescent="0.25">
      <c r="Z31278"/>
    </row>
    <row r="31279" spans="26:26" x14ac:dyDescent="0.25">
      <c r="Z31279"/>
    </row>
    <row r="31280" spans="26:26" x14ac:dyDescent="0.25">
      <c r="Z31280"/>
    </row>
    <row r="31281" spans="26:26" x14ac:dyDescent="0.25">
      <c r="Z31281"/>
    </row>
    <row r="31282" spans="26:26" x14ac:dyDescent="0.25">
      <c r="Z31282"/>
    </row>
    <row r="31283" spans="26:26" x14ac:dyDescent="0.25">
      <c r="Z31283"/>
    </row>
    <row r="31284" spans="26:26" x14ac:dyDescent="0.25">
      <c r="Z31284"/>
    </row>
    <row r="31285" spans="26:26" x14ac:dyDescent="0.25">
      <c r="Z31285"/>
    </row>
    <row r="31286" spans="26:26" x14ac:dyDescent="0.25">
      <c r="Z31286"/>
    </row>
    <row r="31287" spans="26:26" x14ac:dyDescent="0.25">
      <c r="Z31287"/>
    </row>
    <row r="31288" spans="26:26" x14ac:dyDescent="0.25">
      <c r="Z31288"/>
    </row>
    <row r="31289" spans="26:26" x14ac:dyDescent="0.25">
      <c r="Z31289"/>
    </row>
    <row r="31290" spans="26:26" x14ac:dyDescent="0.25">
      <c r="Z31290"/>
    </row>
    <row r="31291" spans="26:26" x14ac:dyDescent="0.25">
      <c r="Z31291"/>
    </row>
    <row r="31292" spans="26:26" x14ac:dyDescent="0.25">
      <c r="Z31292"/>
    </row>
    <row r="31293" spans="26:26" x14ac:dyDescent="0.25">
      <c r="Z31293"/>
    </row>
    <row r="31294" spans="26:26" x14ac:dyDescent="0.25">
      <c r="Z31294"/>
    </row>
    <row r="31295" spans="26:26" x14ac:dyDescent="0.25">
      <c r="Z31295"/>
    </row>
    <row r="31296" spans="26:26" x14ac:dyDescent="0.25">
      <c r="Z31296"/>
    </row>
    <row r="31297" spans="26:26" x14ac:dyDescent="0.25">
      <c r="Z31297"/>
    </row>
    <row r="31298" spans="26:26" x14ac:dyDescent="0.25">
      <c r="Z31298"/>
    </row>
    <row r="31299" spans="26:26" x14ac:dyDescent="0.25">
      <c r="Z31299"/>
    </row>
    <row r="31300" spans="26:26" x14ac:dyDescent="0.25">
      <c r="Z31300"/>
    </row>
    <row r="31301" spans="26:26" x14ac:dyDescent="0.25">
      <c r="Z31301"/>
    </row>
    <row r="31302" spans="26:26" x14ac:dyDescent="0.25">
      <c r="Z31302"/>
    </row>
    <row r="31303" spans="26:26" x14ac:dyDescent="0.25">
      <c r="Z31303"/>
    </row>
    <row r="31304" spans="26:26" x14ac:dyDescent="0.25">
      <c r="Z31304"/>
    </row>
    <row r="31305" spans="26:26" x14ac:dyDescent="0.25">
      <c r="Z31305"/>
    </row>
    <row r="31306" spans="26:26" x14ac:dyDescent="0.25">
      <c r="Z31306"/>
    </row>
    <row r="31307" spans="26:26" x14ac:dyDescent="0.25">
      <c r="Z31307"/>
    </row>
    <row r="31308" spans="26:26" x14ac:dyDescent="0.25">
      <c r="Z31308"/>
    </row>
    <row r="31309" spans="26:26" x14ac:dyDescent="0.25">
      <c r="Z31309"/>
    </row>
    <row r="31310" spans="26:26" x14ac:dyDescent="0.25">
      <c r="Z31310"/>
    </row>
    <row r="31311" spans="26:26" x14ac:dyDescent="0.25">
      <c r="Z31311"/>
    </row>
    <row r="31312" spans="26:26" x14ac:dyDescent="0.25">
      <c r="Z31312"/>
    </row>
    <row r="31313" spans="26:26" x14ac:dyDescent="0.25">
      <c r="Z31313"/>
    </row>
    <row r="31314" spans="26:26" x14ac:dyDescent="0.25">
      <c r="Z31314"/>
    </row>
    <row r="31315" spans="26:26" x14ac:dyDescent="0.25">
      <c r="Z31315"/>
    </row>
    <row r="31316" spans="26:26" x14ac:dyDescent="0.25">
      <c r="Z31316"/>
    </row>
    <row r="31317" spans="26:26" x14ac:dyDescent="0.25">
      <c r="Z31317"/>
    </row>
    <row r="31318" spans="26:26" x14ac:dyDescent="0.25">
      <c r="Z31318"/>
    </row>
    <row r="31319" spans="26:26" x14ac:dyDescent="0.25">
      <c r="Z31319"/>
    </row>
    <row r="31320" spans="26:26" x14ac:dyDescent="0.25">
      <c r="Z31320"/>
    </row>
    <row r="31321" spans="26:26" x14ac:dyDescent="0.25">
      <c r="Z31321"/>
    </row>
    <row r="31322" spans="26:26" x14ac:dyDescent="0.25">
      <c r="Z31322"/>
    </row>
    <row r="31323" spans="26:26" x14ac:dyDescent="0.25">
      <c r="Z31323"/>
    </row>
    <row r="31324" spans="26:26" x14ac:dyDescent="0.25">
      <c r="Z31324"/>
    </row>
    <row r="31325" spans="26:26" x14ac:dyDescent="0.25">
      <c r="Z31325"/>
    </row>
    <row r="31326" spans="26:26" x14ac:dyDescent="0.25">
      <c r="Z31326"/>
    </row>
    <row r="31327" spans="26:26" x14ac:dyDescent="0.25">
      <c r="Z31327"/>
    </row>
    <row r="31328" spans="26:26" x14ac:dyDescent="0.25">
      <c r="Z31328"/>
    </row>
    <row r="31329" spans="26:26" x14ac:dyDescent="0.25">
      <c r="Z31329"/>
    </row>
    <row r="31330" spans="26:26" x14ac:dyDescent="0.25">
      <c r="Z31330"/>
    </row>
    <row r="31331" spans="26:26" x14ac:dyDescent="0.25">
      <c r="Z31331"/>
    </row>
    <row r="31332" spans="26:26" x14ac:dyDescent="0.25">
      <c r="Z31332"/>
    </row>
    <row r="31333" spans="26:26" x14ac:dyDescent="0.25">
      <c r="Z31333"/>
    </row>
    <row r="31334" spans="26:26" x14ac:dyDescent="0.25">
      <c r="Z31334"/>
    </row>
    <row r="31335" spans="26:26" x14ac:dyDescent="0.25">
      <c r="Z31335"/>
    </row>
    <row r="31336" spans="26:26" x14ac:dyDescent="0.25">
      <c r="Z31336"/>
    </row>
    <row r="31337" spans="26:26" x14ac:dyDescent="0.25">
      <c r="Z31337"/>
    </row>
    <row r="31338" spans="26:26" x14ac:dyDescent="0.25">
      <c r="Z31338"/>
    </row>
    <row r="31339" spans="26:26" x14ac:dyDescent="0.25">
      <c r="Z31339"/>
    </row>
    <row r="31340" spans="26:26" x14ac:dyDescent="0.25">
      <c r="Z31340"/>
    </row>
    <row r="31341" spans="26:26" x14ac:dyDescent="0.25">
      <c r="Z31341"/>
    </row>
    <row r="31342" spans="26:26" x14ac:dyDescent="0.25">
      <c r="Z31342"/>
    </row>
    <row r="31343" spans="26:26" x14ac:dyDescent="0.25">
      <c r="Z31343"/>
    </row>
    <row r="31344" spans="26:26" x14ac:dyDescent="0.25">
      <c r="Z31344"/>
    </row>
    <row r="31345" spans="26:26" x14ac:dyDescent="0.25">
      <c r="Z31345"/>
    </row>
    <row r="31346" spans="26:26" x14ac:dyDescent="0.25">
      <c r="Z31346"/>
    </row>
    <row r="31347" spans="26:26" x14ac:dyDescent="0.25">
      <c r="Z31347"/>
    </row>
    <row r="31348" spans="26:26" x14ac:dyDescent="0.25">
      <c r="Z31348"/>
    </row>
    <row r="31349" spans="26:26" x14ac:dyDescent="0.25">
      <c r="Z31349"/>
    </row>
    <row r="31350" spans="26:26" x14ac:dyDescent="0.25">
      <c r="Z31350"/>
    </row>
    <row r="31351" spans="26:26" x14ac:dyDescent="0.25">
      <c r="Z31351"/>
    </row>
    <row r="31352" spans="26:26" x14ac:dyDescent="0.25">
      <c r="Z31352"/>
    </row>
    <row r="31353" spans="26:26" x14ac:dyDescent="0.25">
      <c r="Z31353"/>
    </row>
    <row r="31354" spans="26:26" x14ac:dyDescent="0.25">
      <c r="Z31354"/>
    </row>
    <row r="31355" spans="26:26" x14ac:dyDescent="0.25">
      <c r="Z31355"/>
    </row>
    <row r="31356" spans="26:26" x14ac:dyDescent="0.25">
      <c r="Z31356"/>
    </row>
    <row r="31357" spans="26:26" x14ac:dyDescent="0.25">
      <c r="Z31357"/>
    </row>
    <row r="31358" spans="26:26" x14ac:dyDescent="0.25">
      <c r="Z31358"/>
    </row>
    <row r="31359" spans="26:26" x14ac:dyDescent="0.25">
      <c r="Z31359"/>
    </row>
    <row r="31360" spans="26:26" x14ac:dyDescent="0.25">
      <c r="Z31360"/>
    </row>
    <row r="31361" spans="26:26" x14ac:dyDescent="0.25">
      <c r="Z31361"/>
    </row>
    <row r="31362" spans="26:26" x14ac:dyDescent="0.25">
      <c r="Z31362"/>
    </row>
    <row r="31363" spans="26:26" x14ac:dyDescent="0.25">
      <c r="Z31363"/>
    </row>
    <row r="31364" spans="26:26" x14ac:dyDescent="0.25">
      <c r="Z31364"/>
    </row>
    <row r="31365" spans="26:26" x14ac:dyDescent="0.25">
      <c r="Z31365"/>
    </row>
    <row r="31366" spans="26:26" x14ac:dyDescent="0.25">
      <c r="Z31366"/>
    </row>
    <row r="31367" spans="26:26" x14ac:dyDescent="0.25">
      <c r="Z31367"/>
    </row>
    <row r="31368" spans="26:26" x14ac:dyDescent="0.25">
      <c r="Z31368"/>
    </row>
    <row r="31369" spans="26:26" x14ac:dyDescent="0.25">
      <c r="Z31369"/>
    </row>
    <row r="31370" spans="26:26" x14ac:dyDescent="0.25">
      <c r="Z31370"/>
    </row>
    <row r="31371" spans="26:26" x14ac:dyDescent="0.25">
      <c r="Z31371"/>
    </row>
    <row r="31372" spans="26:26" x14ac:dyDescent="0.25">
      <c r="Z31372"/>
    </row>
    <row r="31373" spans="26:26" x14ac:dyDescent="0.25">
      <c r="Z31373"/>
    </row>
    <row r="31374" spans="26:26" x14ac:dyDescent="0.25">
      <c r="Z31374"/>
    </row>
    <row r="31375" spans="26:26" x14ac:dyDescent="0.25">
      <c r="Z31375"/>
    </row>
    <row r="31376" spans="26:26" x14ac:dyDescent="0.25">
      <c r="Z31376"/>
    </row>
    <row r="31377" spans="26:26" x14ac:dyDescent="0.25">
      <c r="Z31377"/>
    </row>
    <row r="31378" spans="26:26" x14ac:dyDescent="0.25">
      <c r="Z31378"/>
    </row>
    <row r="31379" spans="26:26" x14ac:dyDescent="0.25">
      <c r="Z31379"/>
    </row>
    <row r="31380" spans="26:26" x14ac:dyDescent="0.25">
      <c r="Z31380"/>
    </row>
    <row r="31381" spans="26:26" x14ac:dyDescent="0.25">
      <c r="Z31381"/>
    </row>
    <row r="31382" spans="26:26" x14ac:dyDescent="0.25">
      <c r="Z31382"/>
    </row>
    <row r="31383" spans="26:26" x14ac:dyDescent="0.25">
      <c r="Z31383"/>
    </row>
    <row r="31384" spans="26:26" x14ac:dyDescent="0.25">
      <c r="Z31384"/>
    </row>
    <row r="31385" spans="26:26" x14ac:dyDescent="0.25">
      <c r="Z31385"/>
    </row>
    <row r="31386" spans="26:26" x14ac:dyDescent="0.25">
      <c r="Z31386"/>
    </row>
    <row r="31387" spans="26:26" x14ac:dyDescent="0.25">
      <c r="Z31387"/>
    </row>
    <row r="31388" spans="26:26" x14ac:dyDescent="0.25">
      <c r="Z31388"/>
    </row>
    <row r="31389" spans="26:26" x14ac:dyDescent="0.25">
      <c r="Z31389"/>
    </row>
    <row r="31390" spans="26:26" x14ac:dyDescent="0.25">
      <c r="Z31390"/>
    </row>
    <row r="31391" spans="26:26" x14ac:dyDescent="0.25">
      <c r="Z31391"/>
    </row>
    <row r="31392" spans="26:26" x14ac:dyDescent="0.25">
      <c r="Z31392"/>
    </row>
    <row r="31393" spans="26:26" x14ac:dyDescent="0.25">
      <c r="Z31393"/>
    </row>
    <row r="31394" spans="26:26" x14ac:dyDescent="0.25">
      <c r="Z31394"/>
    </row>
    <row r="31395" spans="26:26" x14ac:dyDescent="0.25">
      <c r="Z31395"/>
    </row>
    <row r="31396" spans="26:26" x14ac:dyDescent="0.25">
      <c r="Z31396"/>
    </row>
    <row r="31397" spans="26:26" x14ac:dyDescent="0.25">
      <c r="Z31397"/>
    </row>
    <row r="31398" spans="26:26" x14ac:dyDescent="0.25">
      <c r="Z31398"/>
    </row>
    <row r="31399" spans="26:26" x14ac:dyDescent="0.25">
      <c r="Z31399"/>
    </row>
    <row r="31400" spans="26:26" x14ac:dyDescent="0.25">
      <c r="Z31400"/>
    </row>
    <row r="31401" spans="26:26" x14ac:dyDescent="0.25">
      <c r="Z31401"/>
    </row>
    <row r="31402" spans="26:26" x14ac:dyDescent="0.25">
      <c r="Z31402"/>
    </row>
    <row r="31403" spans="26:26" x14ac:dyDescent="0.25">
      <c r="Z31403"/>
    </row>
    <row r="31404" spans="26:26" x14ac:dyDescent="0.25">
      <c r="Z31404"/>
    </row>
    <row r="31405" spans="26:26" x14ac:dyDescent="0.25">
      <c r="Z31405"/>
    </row>
    <row r="31406" spans="26:26" x14ac:dyDescent="0.25">
      <c r="Z31406"/>
    </row>
    <row r="31407" spans="26:26" x14ac:dyDescent="0.25">
      <c r="Z31407"/>
    </row>
    <row r="31408" spans="26:26" x14ac:dyDescent="0.25">
      <c r="Z31408"/>
    </row>
    <row r="31409" spans="26:26" x14ac:dyDescent="0.25">
      <c r="Z31409"/>
    </row>
    <row r="31410" spans="26:26" x14ac:dyDescent="0.25">
      <c r="Z31410"/>
    </row>
    <row r="31411" spans="26:26" x14ac:dyDescent="0.25">
      <c r="Z31411"/>
    </row>
    <row r="31412" spans="26:26" x14ac:dyDescent="0.25">
      <c r="Z31412"/>
    </row>
    <row r="31413" spans="26:26" x14ac:dyDescent="0.25">
      <c r="Z31413"/>
    </row>
    <row r="31414" spans="26:26" x14ac:dyDescent="0.25">
      <c r="Z31414"/>
    </row>
    <row r="31415" spans="26:26" x14ac:dyDescent="0.25">
      <c r="Z31415"/>
    </row>
    <row r="31416" spans="26:26" x14ac:dyDescent="0.25">
      <c r="Z31416"/>
    </row>
    <row r="31417" spans="26:26" x14ac:dyDescent="0.25">
      <c r="Z31417"/>
    </row>
    <row r="31418" spans="26:26" x14ac:dyDescent="0.25">
      <c r="Z31418"/>
    </row>
    <row r="31419" spans="26:26" x14ac:dyDescent="0.25">
      <c r="Z31419"/>
    </row>
    <row r="31420" spans="26:26" x14ac:dyDescent="0.25">
      <c r="Z31420"/>
    </row>
    <row r="31421" spans="26:26" x14ac:dyDescent="0.25">
      <c r="Z31421"/>
    </row>
    <row r="31422" spans="26:26" x14ac:dyDescent="0.25">
      <c r="Z31422"/>
    </row>
    <row r="31423" spans="26:26" x14ac:dyDescent="0.25">
      <c r="Z31423"/>
    </row>
    <row r="31424" spans="26:26" x14ac:dyDescent="0.25">
      <c r="Z31424"/>
    </row>
    <row r="31425" spans="26:26" x14ac:dyDescent="0.25">
      <c r="Z31425"/>
    </row>
    <row r="31426" spans="26:26" x14ac:dyDescent="0.25">
      <c r="Z31426"/>
    </row>
    <row r="31427" spans="26:26" x14ac:dyDescent="0.25">
      <c r="Z31427"/>
    </row>
    <row r="31428" spans="26:26" x14ac:dyDescent="0.25">
      <c r="Z31428"/>
    </row>
    <row r="31429" spans="26:26" x14ac:dyDescent="0.25">
      <c r="Z31429"/>
    </row>
    <row r="31430" spans="26:26" x14ac:dyDescent="0.25">
      <c r="Z31430"/>
    </row>
    <row r="31431" spans="26:26" x14ac:dyDescent="0.25">
      <c r="Z31431"/>
    </row>
    <row r="31432" spans="26:26" x14ac:dyDescent="0.25">
      <c r="Z31432"/>
    </row>
    <row r="31433" spans="26:26" x14ac:dyDescent="0.25">
      <c r="Z31433"/>
    </row>
    <row r="31434" spans="26:26" x14ac:dyDescent="0.25">
      <c r="Z31434"/>
    </row>
    <row r="31435" spans="26:26" x14ac:dyDescent="0.25">
      <c r="Z31435"/>
    </row>
    <row r="31436" spans="26:26" x14ac:dyDescent="0.25">
      <c r="Z31436"/>
    </row>
    <row r="31437" spans="26:26" x14ac:dyDescent="0.25">
      <c r="Z31437"/>
    </row>
    <row r="31438" spans="26:26" x14ac:dyDescent="0.25">
      <c r="Z31438"/>
    </row>
    <row r="31439" spans="26:26" x14ac:dyDescent="0.25">
      <c r="Z31439"/>
    </row>
    <row r="31440" spans="26:26" x14ac:dyDescent="0.25">
      <c r="Z31440"/>
    </row>
    <row r="31441" spans="26:26" x14ac:dyDescent="0.25">
      <c r="Z31441"/>
    </row>
    <row r="31442" spans="26:26" x14ac:dyDescent="0.25">
      <c r="Z31442"/>
    </row>
    <row r="31443" spans="26:26" x14ac:dyDescent="0.25">
      <c r="Z31443"/>
    </row>
    <row r="31444" spans="26:26" x14ac:dyDescent="0.25">
      <c r="Z31444"/>
    </row>
    <row r="31445" spans="26:26" x14ac:dyDescent="0.25">
      <c r="Z31445"/>
    </row>
    <row r="31446" spans="26:26" x14ac:dyDescent="0.25">
      <c r="Z31446"/>
    </row>
    <row r="31447" spans="26:26" x14ac:dyDescent="0.25">
      <c r="Z31447"/>
    </row>
    <row r="31448" spans="26:26" x14ac:dyDescent="0.25">
      <c r="Z31448"/>
    </row>
    <row r="31449" spans="26:26" x14ac:dyDescent="0.25">
      <c r="Z31449"/>
    </row>
    <row r="31450" spans="26:26" x14ac:dyDescent="0.25">
      <c r="Z31450"/>
    </row>
    <row r="31451" spans="26:26" x14ac:dyDescent="0.25">
      <c r="Z31451"/>
    </row>
    <row r="31452" spans="26:26" x14ac:dyDescent="0.25">
      <c r="Z31452"/>
    </row>
    <row r="31453" spans="26:26" x14ac:dyDescent="0.25">
      <c r="Z31453"/>
    </row>
    <row r="31454" spans="26:26" x14ac:dyDescent="0.25">
      <c r="Z31454"/>
    </row>
    <row r="31455" spans="26:26" x14ac:dyDescent="0.25">
      <c r="Z31455"/>
    </row>
    <row r="31456" spans="26:26" x14ac:dyDescent="0.25">
      <c r="Z31456"/>
    </row>
    <row r="31457" spans="26:26" x14ac:dyDescent="0.25">
      <c r="Z31457"/>
    </row>
    <row r="31458" spans="26:26" x14ac:dyDescent="0.25">
      <c r="Z31458"/>
    </row>
    <row r="31459" spans="26:26" x14ac:dyDescent="0.25">
      <c r="Z31459"/>
    </row>
    <row r="31460" spans="26:26" x14ac:dyDescent="0.25">
      <c r="Z31460"/>
    </row>
    <row r="31461" spans="26:26" x14ac:dyDescent="0.25">
      <c r="Z31461"/>
    </row>
    <row r="31462" spans="26:26" x14ac:dyDescent="0.25">
      <c r="Z31462"/>
    </row>
    <row r="31463" spans="26:26" x14ac:dyDescent="0.25">
      <c r="Z31463"/>
    </row>
    <row r="31464" spans="26:26" x14ac:dyDescent="0.25">
      <c r="Z31464"/>
    </row>
    <row r="31465" spans="26:26" x14ac:dyDescent="0.25">
      <c r="Z31465"/>
    </row>
    <row r="31466" spans="26:26" x14ac:dyDescent="0.25">
      <c r="Z31466"/>
    </row>
    <row r="31467" spans="26:26" x14ac:dyDescent="0.25">
      <c r="Z31467"/>
    </row>
    <row r="31468" spans="26:26" x14ac:dyDescent="0.25">
      <c r="Z31468"/>
    </row>
    <row r="31469" spans="26:26" x14ac:dyDescent="0.25">
      <c r="Z31469"/>
    </row>
    <row r="31470" spans="26:26" x14ac:dyDescent="0.25">
      <c r="Z31470"/>
    </row>
    <row r="31471" spans="26:26" x14ac:dyDescent="0.25">
      <c r="Z31471"/>
    </row>
    <row r="31472" spans="26:26" x14ac:dyDescent="0.25">
      <c r="Z31472"/>
    </row>
    <row r="31473" spans="26:26" x14ac:dyDescent="0.25">
      <c r="Z31473"/>
    </row>
    <row r="31474" spans="26:26" x14ac:dyDescent="0.25">
      <c r="Z31474"/>
    </row>
    <row r="31475" spans="26:26" x14ac:dyDescent="0.25">
      <c r="Z31475"/>
    </row>
    <row r="31476" spans="26:26" x14ac:dyDescent="0.25">
      <c r="Z31476"/>
    </row>
    <row r="31477" spans="26:26" x14ac:dyDescent="0.25">
      <c r="Z31477"/>
    </row>
    <row r="31478" spans="26:26" x14ac:dyDescent="0.25">
      <c r="Z31478"/>
    </row>
    <row r="31479" spans="26:26" x14ac:dyDescent="0.25">
      <c r="Z31479"/>
    </row>
    <row r="31480" spans="26:26" x14ac:dyDescent="0.25">
      <c r="Z31480"/>
    </row>
    <row r="31481" spans="26:26" x14ac:dyDescent="0.25">
      <c r="Z31481"/>
    </row>
    <row r="31482" spans="26:26" x14ac:dyDescent="0.25">
      <c r="Z31482"/>
    </row>
    <row r="31483" spans="26:26" x14ac:dyDescent="0.25">
      <c r="Z31483"/>
    </row>
    <row r="31484" spans="26:26" x14ac:dyDescent="0.25">
      <c r="Z31484"/>
    </row>
    <row r="31485" spans="26:26" x14ac:dyDescent="0.25">
      <c r="Z31485"/>
    </row>
    <row r="31486" spans="26:26" x14ac:dyDescent="0.25">
      <c r="Z31486"/>
    </row>
    <row r="31487" spans="26:26" x14ac:dyDescent="0.25">
      <c r="Z31487"/>
    </row>
    <row r="31488" spans="26:26" x14ac:dyDescent="0.25">
      <c r="Z31488"/>
    </row>
    <row r="31489" spans="26:26" x14ac:dyDescent="0.25">
      <c r="Z31489"/>
    </row>
    <row r="31490" spans="26:26" x14ac:dyDescent="0.25">
      <c r="Z31490"/>
    </row>
    <row r="31491" spans="26:26" x14ac:dyDescent="0.25">
      <c r="Z31491"/>
    </row>
    <row r="31492" spans="26:26" x14ac:dyDescent="0.25">
      <c r="Z31492"/>
    </row>
    <row r="31493" spans="26:26" x14ac:dyDescent="0.25">
      <c r="Z31493"/>
    </row>
    <row r="31494" spans="26:26" x14ac:dyDescent="0.25">
      <c r="Z31494"/>
    </row>
    <row r="31495" spans="26:26" x14ac:dyDescent="0.25">
      <c r="Z31495"/>
    </row>
    <row r="31496" spans="26:26" x14ac:dyDescent="0.25">
      <c r="Z31496"/>
    </row>
    <row r="31497" spans="26:26" x14ac:dyDescent="0.25">
      <c r="Z31497"/>
    </row>
    <row r="31498" spans="26:26" x14ac:dyDescent="0.25">
      <c r="Z31498"/>
    </row>
    <row r="31499" spans="26:26" x14ac:dyDescent="0.25">
      <c r="Z31499"/>
    </row>
    <row r="31500" spans="26:26" x14ac:dyDescent="0.25">
      <c r="Z31500"/>
    </row>
    <row r="31501" spans="26:26" x14ac:dyDescent="0.25">
      <c r="Z31501"/>
    </row>
    <row r="31502" spans="26:26" x14ac:dyDescent="0.25">
      <c r="Z31502"/>
    </row>
    <row r="31503" spans="26:26" x14ac:dyDescent="0.25">
      <c r="Z31503"/>
    </row>
    <row r="31504" spans="26:26" x14ac:dyDescent="0.25">
      <c r="Z31504"/>
    </row>
    <row r="31505" spans="26:26" x14ac:dyDescent="0.25">
      <c r="Z31505"/>
    </row>
    <row r="31506" spans="26:26" x14ac:dyDescent="0.25">
      <c r="Z31506"/>
    </row>
    <row r="31507" spans="26:26" x14ac:dyDescent="0.25">
      <c r="Z31507"/>
    </row>
    <row r="31508" spans="26:26" x14ac:dyDescent="0.25">
      <c r="Z31508"/>
    </row>
    <row r="31509" spans="26:26" x14ac:dyDescent="0.25">
      <c r="Z31509"/>
    </row>
    <row r="31510" spans="26:26" x14ac:dyDescent="0.25">
      <c r="Z31510"/>
    </row>
    <row r="31511" spans="26:26" x14ac:dyDescent="0.25">
      <c r="Z31511"/>
    </row>
    <row r="31512" spans="26:26" x14ac:dyDescent="0.25">
      <c r="Z31512"/>
    </row>
    <row r="31513" spans="26:26" x14ac:dyDescent="0.25">
      <c r="Z31513"/>
    </row>
    <row r="31514" spans="26:26" x14ac:dyDescent="0.25">
      <c r="Z31514"/>
    </row>
    <row r="31515" spans="26:26" x14ac:dyDescent="0.25">
      <c r="Z31515"/>
    </row>
    <row r="31516" spans="26:26" x14ac:dyDescent="0.25">
      <c r="Z31516"/>
    </row>
    <row r="31517" spans="26:26" x14ac:dyDescent="0.25">
      <c r="Z31517"/>
    </row>
    <row r="31518" spans="26:26" x14ac:dyDescent="0.25">
      <c r="Z31518"/>
    </row>
    <row r="31519" spans="26:26" x14ac:dyDescent="0.25">
      <c r="Z31519"/>
    </row>
    <row r="31520" spans="26:26" x14ac:dyDescent="0.25">
      <c r="Z31520"/>
    </row>
    <row r="31521" spans="26:26" x14ac:dyDescent="0.25">
      <c r="Z31521"/>
    </row>
    <row r="31522" spans="26:26" x14ac:dyDescent="0.25">
      <c r="Z31522"/>
    </row>
    <row r="31523" spans="26:26" x14ac:dyDescent="0.25">
      <c r="Z31523"/>
    </row>
    <row r="31524" spans="26:26" x14ac:dyDescent="0.25">
      <c r="Z31524"/>
    </row>
    <row r="31525" spans="26:26" x14ac:dyDescent="0.25">
      <c r="Z31525"/>
    </row>
    <row r="31526" spans="26:26" x14ac:dyDescent="0.25">
      <c r="Z31526"/>
    </row>
    <row r="31527" spans="26:26" x14ac:dyDescent="0.25">
      <c r="Z31527"/>
    </row>
    <row r="31528" spans="26:26" x14ac:dyDescent="0.25">
      <c r="Z31528"/>
    </row>
    <row r="31529" spans="26:26" x14ac:dyDescent="0.25">
      <c r="Z31529"/>
    </row>
    <row r="31530" spans="26:26" x14ac:dyDescent="0.25">
      <c r="Z31530"/>
    </row>
    <row r="31531" spans="26:26" x14ac:dyDescent="0.25">
      <c r="Z31531"/>
    </row>
    <row r="31532" spans="26:26" x14ac:dyDescent="0.25">
      <c r="Z31532"/>
    </row>
    <row r="31533" spans="26:26" x14ac:dyDescent="0.25">
      <c r="Z31533"/>
    </row>
    <row r="31534" spans="26:26" x14ac:dyDescent="0.25">
      <c r="Z31534"/>
    </row>
    <row r="31535" spans="26:26" x14ac:dyDescent="0.25">
      <c r="Z31535"/>
    </row>
    <row r="31536" spans="26:26" x14ac:dyDescent="0.25">
      <c r="Z31536"/>
    </row>
    <row r="31537" spans="26:26" x14ac:dyDescent="0.25">
      <c r="Z31537"/>
    </row>
    <row r="31538" spans="26:26" x14ac:dyDescent="0.25">
      <c r="Z31538"/>
    </row>
    <row r="31539" spans="26:26" x14ac:dyDescent="0.25">
      <c r="Z31539"/>
    </row>
    <row r="31540" spans="26:26" x14ac:dyDescent="0.25">
      <c r="Z31540"/>
    </row>
    <row r="31541" spans="26:26" x14ac:dyDescent="0.25">
      <c r="Z31541"/>
    </row>
    <row r="31542" spans="26:26" x14ac:dyDescent="0.25">
      <c r="Z31542"/>
    </row>
    <row r="31543" spans="26:26" x14ac:dyDescent="0.25">
      <c r="Z31543"/>
    </row>
    <row r="31544" spans="26:26" x14ac:dyDescent="0.25">
      <c r="Z31544"/>
    </row>
    <row r="31545" spans="26:26" x14ac:dyDescent="0.25">
      <c r="Z31545"/>
    </row>
    <row r="31546" spans="26:26" x14ac:dyDescent="0.25">
      <c r="Z31546"/>
    </row>
    <row r="31547" spans="26:26" x14ac:dyDescent="0.25">
      <c r="Z31547"/>
    </row>
    <row r="31548" spans="26:26" x14ac:dyDescent="0.25">
      <c r="Z31548"/>
    </row>
    <row r="31549" spans="26:26" x14ac:dyDescent="0.25">
      <c r="Z31549"/>
    </row>
    <row r="31550" spans="26:26" x14ac:dyDescent="0.25">
      <c r="Z31550"/>
    </row>
    <row r="31551" spans="26:26" x14ac:dyDescent="0.25">
      <c r="Z31551"/>
    </row>
    <row r="31552" spans="26:26" x14ac:dyDescent="0.25">
      <c r="Z31552"/>
    </row>
    <row r="31553" spans="26:26" x14ac:dyDescent="0.25">
      <c r="Z31553"/>
    </row>
    <row r="31554" spans="26:26" x14ac:dyDescent="0.25">
      <c r="Z31554"/>
    </row>
    <row r="31555" spans="26:26" x14ac:dyDescent="0.25">
      <c r="Z31555"/>
    </row>
    <row r="31556" spans="26:26" x14ac:dyDescent="0.25">
      <c r="Z31556"/>
    </row>
    <row r="31557" spans="26:26" x14ac:dyDescent="0.25">
      <c r="Z31557"/>
    </row>
    <row r="31558" spans="26:26" x14ac:dyDescent="0.25">
      <c r="Z31558"/>
    </row>
    <row r="31559" spans="26:26" x14ac:dyDescent="0.25">
      <c r="Z31559"/>
    </row>
    <row r="31560" spans="26:26" x14ac:dyDescent="0.25">
      <c r="Z31560"/>
    </row>
    <row r="31561" spans="26:26" x14ac:dyDescent="0.25">
      <c r="Z31561"/>
    </row>
    <row r="31562" spans="26:26" x14ac:dyDescent="0.25">
      <c r="Z31562"/>
    </row>
    <row r="31563" spans="26:26" x14ac:dyDescent="0.25">
      <c r="Z31563"/>
    </row>
    <row r="31564" spans="26:26" x14ac:dyDescent="0.25">
      <c r="Z31564"/>
    </row>
    <row r="31565" spans="26:26" x14ac:dyDescent="0.25">
      <c r="Z31565"/>
    </row>
    <row r="31566" spans="26:26" x14ac:dyDescent="0.25">
      <c r="Z31566"/>
    </row>
    <row r="31567" spans="26:26" x14ac:dyDescent="0.25">
      <c r="Z31567"/>
    </row>
    <row r="31568" spans="26:26" x14ac:dyDescent="0.25">
      <c r="Z31568"/>
    </row>
    <row r="31569" spans="26:26" x14ac:dyDescent="0.25">
      <c r="Z31569"/>
    </row>
    <row r="31570" spans="26:26" x14ac:dyDescent="0.25">
      <c r="Z31570"/>
    </row>
    <row r="31571" spans="26:26" x14ac:dyDescent="0.25">
      <c r="Z31571"/>
    </row>
    <row r="31572" spans="26:26" x14ac:dyDescent="0.25">
      <c r="Z31572"/>
    </row>
    <row r="31573" spans="26:26" x14ac:dyDescent="0.25">
      <c r="Z31573"/>
    </row>
    <row r="31574" spans="26:26" x14ac:dyDescent="0.25">
      <c r="Z31574"/>
    </row>
    <row r="31575" spans="26:26" x14ac:dyDescent="0.25">
      <c r="Z31575"/>
    </row>
    <row r="31576" spans="26:26" x14ac:dyDescent="0.25">
      <c r="Z31576"/>
    </row>
    <row r="31577" spans="26:26" x14ac:dyDescent="0.25">
      <c r="Z31577"/>
    </row>
    <row r="31578" spans="26:26" x14ac:dyDescent="0.25">
      <c r="Z31578"/>
    </row>
    <row r="31579" spans="26:26" x14ac:dyDescent="0.25">
      <c r="Z31579"/>
    </row>
    <row r="31580" spans="26:26" x14ac:dyDescent="0.25">
      <c r="Z31580"/>
    </row>
    <row r="31581" spans="26:26" x14ac:dyDescent="0.25">
      <c r="Z31581"/>
    </row>
    <row r="31582" spans="26:26" x14ac:dyDescent="0.25">
      <c r="Z31582"/>
    </row>
    <row r="31583" spans="26:26" x14ac:dyDescent="0.25">
      <c r="Z31583"/>
    </row>
    <row r="31584" spans="26:26" x14ac:dyDescent="0.25">
      <c r="Z31584"/>
    </row>
    <row r="31585" spans="26:26" x14ac:dyDescent="0.25">
      <c r="Z31585"/>
    </row>
    <row r="31586" spans="26:26" x14ac:dyDescent="0.25">
      <c r="Z31586"/>
    </row>
    <row r="31587" spans="26:26" x14ac:dyDescent="0.25">
      <c r="Z31587"/>
    </row>
    <row r="31588" spans="26:26" x14ac:dyDescent="0.25">
      <c r="Z31588"/>
    </row>
    <row r="31589" spans="26:26" x14ac:dyDescent="0.25">
      <c r="Z31589"/>
    </row>
    <row r="31590" spans="26:26" x14ac:dyDescent="0.25">
      <c r="Z31590"/>
    </row>
    <row r="31591" spans="26:26" x14ac:dyDescent="0.25">
      <c r="Z31591"/>
    </row>
    <row r="31592" spans="26:26" x14ac:dyDescent="0.25">
      <c r="Z31592"/>
    </row>
    <row r="31593" spans="26:26" x14ac:dyDescent="0.25">
      <c r="Z31593"/>
    </row>
    <row r="31594" spans="26:26" x14ac:dyDescent="0.25">
      <c r="Z31594"/>
    </row>
    <row r="31595" spans="26:26" x14ac:dyDescent="0.25">
      <c r="Z31595"/>
    </row>
    <row r="31596" spans="26:26" x14ac:dyDescent="0.25">
      <c r="Z31596"/>
    </row>
    <row r="31597" spans="26:26" x14ac:dyDescent="0.25">
      <c r="Z31597"/>
    </row>
    <row r="31598" spans="26:26" x14ac:dyDescent="0.25">
      <c r="Z31598"/>
    </row>
    <row r="31599" spans="26:26" x14ac:dyDescent="0.25">
      <c r="Z31599"/>
    </row>
    <row r="31600" spans="26:26" x14ac:dyDescent="0.25">
      <c r="Z31600"/>
    </row>
    <row r="31601" spans="26:26" x14ac:dyDescent="0.25">
      <c r="Z31601"/>
    </row>
    <row r="31602" spans="26:26" x14ac:dyDescent="0.25">
      <c r="Z31602"/>
    </row>
    <row r="31603" spans="26:26" x14ac:dyDescent="0.25">
      <c r="Z31603"/>
    </row>
    <row r="31604" spans="26:26" x14ac:dyDescent="0.25">
      <c r="Z31604"/>
    </row>
    <row r="31605" spans="26:26" x14ac:dyDescent="0.25">
      <c r="Z31605"/>
    </row>
    <row r="31606" spans="26:26" x14ac:dyDescent="0.25">
      <c r="Z31606"/>
    </row>
    <row r="31607" spans="26:26" x14ac:dyDescent="0.25">
      <c r="Z31607"/>
    </row>
    <row r="31608" spans="26:26" x14ac:dyDescent="0.25">
      <c r="Z31608"/>
    </row>
    <row r="31609" spans="26:26" x14ac:dyDescent="0.25">
      <c r="Z31609"/>
    </row>
    <row r="31610" spans="26:26" x14ac:dyDescent="0.25">
      <c r="Z31610"/>
    </row>
    <row r="31611" spans="26:26" x14ac:dyDescent="0.25">
      <c r="Z31611"/>
    </row>
    <row r="31612" spans="26:26" x14ac:dyDescent="0.25">
      <c r="Z31612"/>
    </row>
    <row r="31613" spans="26:26" x14ac:dyDescent="0.25">
      <c r="Z31613"/>
    </row>
    <row r="31614" spans="26:26" x14ac:dyDescent="0.25">
      <c r="Z31614"/>
    </row>
    <row r="31615" spans="26:26" x14ac:dyDescent="0.25">
      <c r="Z31615"/>
    </row>
    <row r="31616" spans="26:26" x14ac:dyDescent="0.25">
      <c r="Z31616"/>
    </row>
    <row r="31617" spans="26:26" x14ac:dyDescent="0.25">
      <c r="Z31617"/>
    </row>
    <row r="31618" spans="26:26" x14ac:dyDescent="0.25">
      <c r="Z31618"/>
    </row>
    <row r="31619" spans="26:26" x14ac:dyDescent="0.25">
      <c r="Z31619"/>
    </row>
    <row r="31620" spans="26:26" x14ac:dyDescent="0.25">
      <c r="Z31620"/>
    </row>
    <row r="31621" spans="26:26" x14ac:dyDescent="0.25">
      <c r="Z31621"/>
    </row>
    <row r="31622" spans="26:26" x14ac:dyDescent="0.25">
      <c r="Z31622"/>
    </row>
    <row r="31623" spans="26:26" x14ac:dyDescent="0.25">
      <c r="Z31623"/>
    </row>
    <row r="31624" spans="26:26" x14ac:dyDescent="0.25">
      <c r="Z31624"/>
    </row>
    <row r="31625" spans="26:26" x14ac:dyDescent="0.25">
      <c r="Z31625"/>
    </row>
    <row r="31626" spans="26:26" x14ac:dyDescent="0.25">
      <c r="Z31626"/>
    </row>
    <row r="31627" spans="26:26" x14ac:dyDescent="0.25">
      <c r="Z31627"/>
    </row>
    <row r="31628" spans="26:26" x14ac:dyDescent="0.25">
      <c r="Z31628"/>
    </row>
    <row r="31629" spans="26:26" x14ac:dyDescent="0.25">
      <c r="Z31629"/>
    </row>
    <row r="31630" spans="26:26" x14ac:dyDescent="0.25">
      <c r="Z31630"/>
    </row>
    <row r="31631" spans="26:26" x14ac:dyDescent="0.25">
      <c r="Z31631"/>
    </row>
    <row r="31632" spans="26:26" x14ac:dyDescent="0.25">
      <c r="Z31632"/>
    </row>
    <row r="31633" spans="26:26" x14ac:dyDescent="0.25">
      <c r="Z31633"/>
    </row>
    <row r="31634" spans="26:26" x14ac:dyDescent="0.25">
      <c r="Z31634"/>
    </row>
    <row r="31635" spans="26:26" x14ac:dyDescent="0.25">
      <c r="Z31635"/>
    </row>
    <row r="31636" spans="26:26" x14ac:dyDescent="0.25">
      <c r="Z31636"/>
    </row>
    <row r="31637" spans="26:26" x14ac:dyDescent="0.25">
      <c r="Z31637"/>
    </row>
    <row r="31638" spans="26:26" x14ac:dyDescent="0.25">
      <c r="Z31638"/>
    </row>
    <row r="31639" spans="26:26" x14ac:dyDescent="0.25">
      <c r="Z31639"/>
    </row>
    <row r="31640" spans="26:26" x14ac:dyDescent="0.25">
      <c r="Z31640"/>
    </row>
    <row r="31641" spans="26:26" x14ac:dyDescent="0.25">
      <c r="Z31641"/>
    </row>
    <row r="31642" spans="26:26" x14ac:dyDescent="0.25">
      <c r="Z31642"/>
    </row>
    <row r="31643" spans="26:26" x14ac:dyDescent="0.25">
      <c r="Z31643"/>
    </row>
    <row r="31644" spans="26:26" x14ac:dyDescent="0.25">
      <c r="Z31644"/>
    </row>
    <row r="31645" spans="26:26" x14ac:dyDescent="0.25">
      <c r="Z31645"/>
    </row>
    <row r="31646" spans="26:26" x14ac:dyDescent="0.25">
      <c r="Z31646"/>
    </row>
    <row r="31647" spans="26:26" x14ac:dyDescent="0.25">
      <c r="Z31647"/>
    </row>
    <row r="31648" spans="26:26" x14ac:dyDescent="0.25">
      <c r="Z31648"/>
    </row>
    <row r="31649" spans="26:26" x14ac:dyDescent="0.25">
      <c r="Z31649"/>
    </row>
    <row r="31650" spans="26:26" x14ac:dyDescent="0.25">
      <c r="Z31650"/>
    </row>
    <row r="31651" spans="26:26" x14ac:dyDescent="0.25">
      <c r="Z31651"/>
    </row>
    <row r="31652" spans="26:26" x14ac:dyDescent="0.25">
      <c r="Z31652"/>
    </row>
    <row r="31653" spans="26:26" x14ac:dyDescent="0.25">
      <c r="Z31653"/>
    </row>
    <row r="31654" spans="26:26" x14ac:dyDescent="0.25">
      <c r="Z31654"/>
    </row>
    <row r="31655" spans="26:26" x14ac:dyDescent="0.25">
      <c r="Z31655"/>
    </row>
    <row r="31656" spans="26:26" x14ac:dyDescent="0.25">
      <c r="Z31656"/>
    </row>
    <row r="31657" spans="26:26" x14ac:dyDescent="0.25">
      <c r="Z31657"/>
    </row>
    <row r="31658" spans="26:26" x14ac:dyDescent="0.25">
      <c r="Z31658"/>
    </row>
    <row r="31659" spans="26:26" x14ac:dyDescent="0.25">
      <c r="Z31659"/>
    </row>
    <row r="31660" spans="26:26" x14ac:dyDescent="0.25">
      <c r="Z31660"/>
    </row>
    <row r="31661" spans="26:26" x14ac:dyDescent="0.25">
      <c r="Z31661"/>
    </row>
    <row r="31662" spans="26:26" x14ac:dyDescent="0.25">
      <c r="Z31662"/>
    </row>
    <row r="31663" spans="26:26" x14ac:dyDescent="0.25">
      <c r="Z31663"/>
    </row>
    <row r="31664" spans="26:26" x14ac:dyDescent="0.25">
      <c r="Z31664"/>
    </row>
    <row r="31665" spans="26:26" x14ac:dyDescent="0.25">
      <c r="Z31665"/>
    </row>
    <row r="31666" spans="26:26" x14ac:dyDescent="0.25">
      <c r="Z31666"/>
    </row>
    <row r="31667" spans="26:26" x14ac:dyDescent="0.25">
      <c r="Z31667"/>
    </row>
    <row r="31668" spans="26:26" x14ac:dyDescent="0.25">
      <c r="Z31668"/>
    </row>
    <row r="31669" spans="26:26" x14ac:dyDescent="0.25">
      <c r="Z31669"/>
    </row>
    <row r="31670" spans="26:26" x14ac:dyDescent="0.25">
      <c r="Z31670"/>
    </row>
    <row r="31671" spans="26:26" x14ac:dyDescent="0.25">
      <c r="Z31671"/>
    </row>
    <row r="31672" spans="26:26" x14ac:dyDescent="0.25">
      <c r="Z31672"/>
    </row>
    <row r="31673" spans="26:26" x14ac:dyDescent="0.25">
      <c r="Z31673"/>
    </row>
    <row r="31674" spans="26:26" x14ac:dyDescent="0.25">
      <c r="Z31674"/>
    </row>
    <row r="31675" spans="26:26" x14ac:dyDescent="0.25">
      <c r="Z31675"/>
    </row>
    <row r="31676" spans="26:26" x14ac:dyDescent="0.25">
      <c r="Z31676"/>
    </row>
    <row r="31677" spans="26:26" x14ac:dyDescent="0.25">
      <c r="Z31677"/>
    </row>
    <row r="31678" spans="26:26" x14ac:dyDescent="0.25">
      <c r="Z31678"/>
    </row>
    <row r="31679" spans="26:26" x14ac:dyDescent="0.25">
      <c r="Z31679"/>
    </row>
    <row r="31680" spans="26:26" x14ac:dyDescent="0.25">
      <c r="Z31680"/>
    </row>
    <row r="31681" spans="26:26" x14ac:dyDescent="0.25">
      <c r="Z31681"/>
    </row>
    <row r="31682" spans="26:26" x14ac:dyDescent="0.25">
      <c r="Z31682"/>
    </row>
    <row r="31683" spans="26:26" x14ac:dyDescent="0.25">
      <c r="Z31683"/>
    </row>
    <row r="31684" spans="26:26" x14ac:dyDescent="0.25">
      <c r="Z31684"/>
    </row>
    <row r="31685" spans="26:26" x14ac:dyDescent="0.25">
      <c r="Z31685"/>
    </row>
    <row r="31686" spans="26:26" x14ac:dyDescent="0.25">
      <c r="Z31686"/>
    </row>
    <row r="31687" spans="26:26" x14ac:dyDescent="0.25">
      <c r="Z31687"/>
    </row>
    <row r="31688" spans="26:26" x14ac:dyDescent="0.25">
      <c r="Z31688"/>
    </row>
    <row r="31689" spans="26:26" x14ac:dyDescent="0.25">
      <c r="Z31689"/>
    </row>
    <row r="31690" spans="26:26" x14ac:dyDescent="0.25">
      <c r="Z31690"/>
    </row>
    <row r="31691" spans="26:26" x14ac:dyDescent="0.25">
      <c r="Z31691"/>
    </row>
    <row r="31692" spans="26:26" x14ac:dyDescent="0.25">
      <c r="Z31692"/>
    </row>
    <row r="31693" spans="26:26" x14ac:dyDescent="0.25">
      <c r="Z31693"/>
    </row>
    <row r="31694" spans="26:26" x14ac:dyDescent="0.25">
      <c r="Z31694"/>
    </row>
    <row r="31695" spans="26:26" x14ac:dyDescent="0.25">
      <c r="Z31695"/>
    </row>
    <row r="31696" spans="26:26" x14ac:dyDescent="0.25">
      <c r="Z31696"/>
    </row>
    <row r="31697" spans="26:26" x14ac:dyDescent="0.25">
      <c r="Z31697"/>
    </row>
    <row r="31698" spans="26:26" x14ac:dyDescent="0.25">
      <c r="Z31698"/>
    </row>
    <row r="31699" spans="26:26" x14ac:dyDescent="0.25">
      <c r="Z31699"/>
    </row>
    <row r="31700" spans="26:26" x14ac:dyDescent="0.25">
      <c r="Z31700"/>
    </row>
    <row r="31701" spans="26:26" x14ac:dyDescent="0.25">
      <c r="Z31701"/>
    </row>
    <row r="31702" spans="26:26" x14ac:dyDescent="0.25">
      <c r="Z31702"/>
    </row>
    <row r="31703" spans="26:26" x14ac:dyDescent="0.25">
      <c r="Z31703"/>
    </row>
    <row r="31704" spans="26:26" x14ac:dyDescent="0.25">
      <c r="Z31704"/>
    </row>
    <row r="31705" spans="26:26" x14ac:dyDescent="0.25">
      <c r="Z31705"/>
    </row>
    <row r="31706" spans="26:26" x14ac:dyDescent="0.25">
      <c r="Z31706"/>
    </row>
    <row r="31707" spans="26:26" x14ac:dyDescent="0.25">
      <c r="Z31707"/>
    </row>
    <row r="31708" spans="26:26" x14ac:dyDescent="0.25">
      <c r="Z31708"/>
    </row>
    <row r="31709" spans="26:26" x14ac:dyDescent="0.25">
      <c r="Z31709"/>
    </row>
    <row r="31710" spans="26:26" x14ac:dyDescent="0.25">
      <c r="Z31710"/>
    </row>
    <row r="31711" spans="26:26" x14ac:dyDescent="0.25">
      <c r="Z31711"/>
    </row>
    <row r="31712" spans="26:26" x14ac:dyDescent="0.25">
      <c r="Z31712"/>
    </row>
    <row r="31713" spans="26:26" x14ac:dyDescent="0.25">
      <c r="Z31713"/>
    </row>
    <row r="31714" spans="26:26" x14ac:dyDescent="0.25">
      <c r="Z31714"/>
    </row>
    <row r="31715" spans="26:26" x14ac:dyDescent="0.25">
      <c r="Z31715"/>
    </row>
    <row r="31716" spans="26:26" x14ac:dyDescent="0.25">
      <c r="Z31716"/>
    </row>
    <row r="31717" spans="26:26" x14ac:dyDescent="0.25">
      <c r="Z31717"/>
    </row>
    <row r="31718" spans="26:26" x14ac:dyDescent="0.25">
      <c r="Z31718"/>
    </row>
    <row r="31719" spans="26:26" x14ac:dyDescent="0.25">
      <c r="Z31719"/>
    </row>
    <row r="31720" spans="26:26" x14ac:dyDescent="0.25">
      <c r="Z31720"/>
    </row>
    <row r="31721" spans="26:26" x14ac:dyDescent="0.25">
      <c r="Z31721"/>
    </row>
    <row r="31722" spans="26:26" x14ac:dyDescent="0.25">
      <c r="Z31722"/>
    </row>
    <row r="31723" spans="26:26" x14ac:dyDescent="0.25">
      <c r="Z31723"/>
    </row>
    <row r="31724" spans="26:26" x14ac:dyDescent="0.25">
      <c r="Z31724"/>
    </row>
    <row r="31725" spans="26:26" x14ac:dyDescent="0.25">
      <c r="Z31725"/>
    </row>
    <row r="31726" spans="26:26" x14ac:dyDescent="0.25">
      <c r="Z31726"/>
    </row>
    <row r="31727" spans="26:26" x14ac:dyDescent="0.25">
      <c r="Z31727"/>
    </row>
    <row r="31728" spans="26:26" x14ac:dyDescent="0.25">
      <c r="Z31728"/>
    </row>
    <row r="31729" spans="26:26" x14ac:dyDescent="0.25">
      <c r="Z31729"/>
    </row>
    <row r="31730" spans="26:26" x14ac:dyDescent="0.25">
      <c r="Z31730"/>
    </row>
    <row r="31731" spans="26:26" x14ac:dyDescent="0.25">
      <c r="Z31731"/>
    </row>
    <row r="31732" spans="26:26" x14ac:dyDescent="0.25">
      <c r="Z31732"/>
    </row>
    <row r="31733" spans="26:26" x14ac:dyDescent="0.25">
      <c r="Z31733"/>
    </row>
    <row r="31734" spans="26:26" x14ac:dyDescent="0.25">
      <c r="Z31734"/>
    </row>
    <row r="31735" spans="26:26" x14ac:dyDescent="0.25">
      <c r="Z31735"/>
    </row>
    <row r="31736" spans="26:26" x14ac:dyDescent="0.25">
      <c r="Z31736"/>
    </row>
    <row r="31737" spans="26:26" x14ac:dyDescent="0.25">
      <c r="Z31737"/>
    </row>
    <row r="31738" spans="26:26" x14ac:dyDescent="0.25">
      <c r="Z31738"/>
    </row>
    <row r="31739" spans="26:26" x14ac:dyDescent="0.25">
      <c r="Z31739"/>
    </row>
    <row r="31740" spans="26:26" x14ac:dyDescent="0.25">
      <c r="Z31740"/>
    </row>
    <row r="31741" spans="26:26" x14ac:dyDescent="0.25">
      <c r="Z31741"/>
    </row>
    <row r="31742" spans="26:26" x14ac:dyDescent="0.25">
      <c r="Z31742"/>
    </row>
    <row r="31743" spans="26:26" x14ac:dyDescent="0.25">
      <c r="Z31743"/>
    </row>
    <row r="31744" spans="26:26" x14ac:dyDescent="0.25">
      <c r="Z31744"/>
    </row>
    <row r="31745" spans="26:26" x14ac:dyDescent="0.25">
      <c r="Z31745"/>
    </row>
    <row r="31746" spans="26:26" x14ac:dyDescent="0.25">
      <c r="Z31746"/>
    </row>
    <row r="31747" spans="26:26" x14ac:dyDescent="0.25">
      <c r="Z31747"/>
    </row>
    <row r="31748" spans="26:26" x14ac:dyDescent="0.25">
      <c r="Z31748"/>
    </row>
    <row r="31749" spans="26:26" x14ac:dyDescent="0.25">
      <c r="Z31749"/>
    </row>
    <row r="31750" spans="26:26" x14ac:dyDescent="0.25">
      <c r="Z31750"/>
    </row>
    <row r="31751" spans="26:26" x14ac:dyDescent="0.25">
      <c r="Z31751"/>
    </row>
    <row r="31752" spans="26:26" x14ac:dyDescent="0.25">
      <c r="Z31752"/>
    </row>
    <row r="31753" spans="26:26" x14ac:dyDescent="0.25">
      <c r="Z31753"/>
    </row>
    <row r="31754" spans="26:26" x14ac:dyDescent="0.25">
      <c r="Z31754"/>
    </row>
    <row r="31755" spans="26:26" x14ac:dyDescent="0.25">
      <c r="Z31755"/>
    </row>
    <row r="31756" spans="26:26" x14ac:dyDescent="0.25">
      <c r="Z31756"/>
    </row>
    <row r="31757" spans="26:26" x14ac:dyDescent="0.25">
      <c r="Z31757"/>
    </row>
    <row r="31758" spans="26:26" x14ac:dyDescent="0.25">
      <c r="Z31758"/>
    </row>
    <row r="31759" spans="26:26" x14ac:dyDescent="0.25">
      <c r="Z31759"/>
    </row>
    <row r="31760" spans="26:26" x14ac:dyDescent="0.25">
      <c r="Z31760"/>
    </row>
    <row r="31761" spans="26:26" x14ac:dyDescent="0.25">
      <c r="Z31761"/>
    </row>
    <row r="31762" spans="26:26" x14ac:dyDescent="0.25">
      <c r="Z31762"/>
    </row>
    <row r="31763" spans="26:26" x14ac:dyDescent="0.25">
      <c r="Z31763"/>
    </row>
    <row r="31764" spans="26:26" x14ac:dyDescent="0.25">
      <c r="Z31764"/>
    </row>
    <row r="31765" spans="26:26" x14ac:dyDescent="0.25">
      <c r="Z31765"/>
    </row>
    <row r="31766" spans="26:26" x14ac:dyDescent="0.25">
      <c r="Z31766"/>
    </row>
    <row r="31767" spans="26:26" x14ac:dyDescent="0.25">
      <c r="Z31767"/>
    </row>
    <row r="31768" spans="26:26" x14ac:dyDescent="0.25">
      <c r="Z31768"/>
    </row>
    <row r="31769" spans="26:26" x14ac:dyDescent="0.25">
      <c r="Z31769"/>
    </row>
    <row r="31770" spans="26:26" x14ac:dyDescent="0.25">
      <c r="Z31770"/>
    </row>
    <row r="31771" spans="26:26" x14ac:dyDescent="0.25">
      <c r="Z31771"/>
    </row>
    <row r="31772" spans="26:26" x14ac:dyDescent="0.25">
      <c r="Z31772"/>
    </row>
    <row r="31773" spans="26:26" x14ac:dyDescent="0.25">
      <c r="Z31773"/>
    </row>
    <row r="31774" spans="26:26" x14ac:dyDescent="0.25">
      <c r="Z31774"/>
    </row>
    <row r="31775" spans="26:26" x14ac:dyDescent="0.25">
      <c r="Z31775"/>
    </row>
    <row r="31776" spans="26:26" x14ac:dyDescent="0.25">
      <c r="Z31776"/>
    </row>
    <row r="31777" spans="26:26" x14ac:dyDescent="0.25">
      <c r="Z31777"/>
    </row>
    <row r="31778" spans="26:26" x14ac:dyDescent="0.25">
      <c r="Z31778"/>
    </row>
    <row r="31779" spans="26:26" x14ac:dyDescent="0.25">
      <c r="Z31779"/>
    </row>
    <row r="31780" spans="26:26" x14ac:dyDescent="0.25">
      <c r="Z31780"/>
    </row>
    <row r="31781" spans="26:26" x14ac:dyDescent="0.25">
      <c r="Z31781"/>
    </row>
    <row r="31782" spans="26:26" x14ac:dyDescent="0.25">
      <c r="Z31782"/>
    </row>
    <row r="31783" spans="26:26" x14ac:dyDescent="0.25">
      <c r="Z31783"/>
    </row>
    <row r="31784" spans="26:26" x14ac:dyDescent="0.25">
      <c r="Z31784"/>
    </row>
    <row r="31785" spans="26:26" x14ac:dyDescent="0.25">
      <c r="Z31785"/>
    </row>
    <row r="31786" spans="26:26" x14ac:dyDescent="0.25">
      <c r="Z31786"/>
    </row>
    <row r="31787" spans="26:26" x14ac:dyDescent="0.25">
      <c r="Z31787"/>
    </row>
    <row r="31788" spans="26:26" x14ac:dyDescent="0.25">
      <c r="Z31788"/>
    </row>
    <row r="31789" spans="26:26" x14ac:dyDescent="0.25">
      <c r="Z31789"/>
    </row>
    <row r="31790" spans="26:26" x14ac:dyDescent="0.25">
      <c r="Z31790"/>
    </row>
    <row r="31791" spans="26:26" x14ac:dyDescent="0.25">
      <c r="Z31791"/>
    </row>
    <row r="31792" spans="26:26" x14ac:dyDescent="0.25">
      <c r="Z31792"/>
    </row>
    <row r="31793" spans="26:26" x14ac:dyDescent="0.25">
      <c r="Z31793"/>
    </row>
    <row r="31794" spans="26:26" x14ac:dyDescent="0.25">
      <c r="Z31794"/>
    </row>
    <row r="31795" spans="26:26" x14ac:dyDescent="0.25">
      <c r="Z31795"/>
    </row>
    <row r="31796" spans="26:26" x14ac:dyDescent="0.25">
      <c r="Z31796"/>
    </row>
    <row r="31797" spans="26:26" x14ac:dyDescent="0.25">
      <c r="Z31797"/>
    </row>
    <row r="31798" spans="26:26" x14ac:dyDescent="0.25">
      <c r="Z31798"/>
    </row>
    <row r="31799" spans="26:26" x14ac:dyDescent="0.25">
      <c r="Z31799"/>
    </row>
    <row r="31800" spans="26:26" x14ac:dyDescent="0.25">
      <c r="Z31800"/>
    </row>
    <row r="31801" spans="26:26" x14ac:dyDescent="0.25">
      <c r="Z31801"/>
    </row>
    <row r="31802" spans="26:26" x14ac:dyDescent="0.25">
      <c r="Z31802"/>
    </row>
    <row r="31803" spans="26:26" x14ac:dyDescent="0.25">
      <c r="Z31803"/>
    </row>
    <row r="31804" spans="26:26" x14ac:dyDescent="0.25">
      <c r="Z31804"/>
    </row>
    <row r="31805" spans="26:26" x14ac:dyDescent="0.25">
      <c r="Z31805"/>
    </row>
    <row r="31806" spans="26:26" x14ac:dyDescent="0.25">
      <c r="Z31806"/>
    </row>
    <row r="31807" spans="26:26" x14ac:dyDescent="0.25">
      <c r="Z31807"/>
    </row>
    <row r="31808" spans="26:26" x14ac:dyDescent="0.25">
      <c r="Z31808"/>
    </row>
    <row r="31809" spans="26:26" x14ac:dyDescent="0.25">
      <c r="Z31809"/>
    </row>
    <row r="31810" spans="26:26" x14ac:dyDescent="0.25">
      <c r="Z31810"/>
    </row>
    <row r="31811" spans="26:26" x14ac:dyDescent="0.25">
      <c r="Z31811"/>
    </row>
    <row r="31812" spans="26:26" x14ac:dyDescent="0.25">
      <c r="Z31812"/>
    </row>
    <row r="31813" spans="26:26" x14ac:dyDescent="0.25">
      <c r="Z31813"/>
    </row>
    <row r="31814" spans="26:26" x14ac:dyDescent="0.25">
      <c r="Z31814"/>
    </row>
    <row r="31815" spans="26:26" x14ac:dyDescent="0.25">
      <c r="Z31815"/>
    </row>
    <row r="31816" spans="26:26" x14ac:dyDescent="0.25">
      <c r="Z31816"/>
    </row>
    <row r="31817" spans="26:26" x14ac:dyDescent="0.25">
      <c r="Z31817"/>
    </row>
    <row r="31818" spans="26:26" x14ac:dyDescent="0.25">
      <c r="Z31818"/>
    </row>
    <row r="31819" spans="26:26" x14ac:dyDescent="0.25">
      <c r="Z31819"/>
    </row>
    <row r="31820" spans="26:26" x14ac:dyDescent="0.25">
      <c r="Z31820"/>
    </row>
    <row r="31821" spans="26:26" x14ac:dyDescent="0.25">
      <c r="Z31821"/>
    </row>
    <row r="31822" spans="26:26" x14ac:dyDescent="0.25">
      <c r="Z31822"/>
    </row>
    <row r="31823" spans="26:26" x14ac:dyDescent="0.25">
      <c r="Z31823"/>
    </row>
    <row r="31824" spans="26:26" x14ac:dyDescent="0.25">
      <c r="Z31824"/>
    </row>
    <row r="31825" spans="26:26" x14ac:dyDescent="0.25">
      <c r="Z31825"/>
    </row>
    <row r="31826" spans="26:26" x14ac:dyDescent="0.25">
      <c r="Z31826"/>
    </row>
    <row r="31827" spans="26:26" x14ac:dyDescent="0.25">
      <c r="Z31827"/>
    </row>
    <row r="31828" spans="26:26" x14ac:dyDescent="0.25">
      <c r="Z31828"/>
    </row>
    <row r="31829" spans="26:26" x14ac:dyDescent="0.25">
      <c r="Z31829"/>
    </row>
    <row r="31830" spans="26:26" x14ac:dyDescent="0.25">
      <c r="Z31830"/>
    </row>
    <row r="31831" spans="26:26" x14ac:dyDescent="0.25">
      <c r="Z31831"/>
    </row>
    <row r="31832" spans="26:26" x14ac:dyDescent="0.25">
      <c r="Z31832"/>
    </row>
    <row r="31833" spans="26:26" x14ac:dyDescent="0.25">
      <c r="Z31833"/>
    </row>
    <row r="31834" spans="26:26" x14ac:dyDescent="0.25">
      <c r="Z31834"/>
    </row>
    <row r="31835" spans="26:26" x14ac:dyDescent="0.25">
      <c r="Z31835"/>
    </row>
    <row r="31836" spans="26:26" x14ac:dyDescent="0.25">
      <c r="Z31836"/>
    </row>
    <row r="31837" spans="26:26" x14ac:dyDescent="0.25">
      <c r="Z31837"/>
    </row>
    <row r="31838" spans="26:26" x14ac:dyDescent="0.25">
      <c r="Z31838"/>
    </row>
    <row r="31839" spans="26:26" x14ac:dyDescent="0.25">
      <c r="Z31839"/>
    </row>
    <row r="31840" spans="26:26" x14ac:dyDescent="0.25">
      <c r="Z31840"/>
    </row>
    <row r="31841" spans="26:26" x14ac:dyDescent="0.25">
      <c r="Z31841"/>
    </row>
    <row r="31842" spans="26:26" x14ac:dyDescent="0.25">
      <c r="Z31842"/>
    </row>
    <row r="31843" spans="26:26" x14ac:dyDescent="0.25">
      <c r="Z31843"/>
    </row>
    <row r="31844" spans="26:26" x14ac:dyDescent="0.25">
      <c r="Z31844"/>
    </row>
    <row r="31845" spans="26:26" x14ac:dyDescent="0.25">
      <c r="Z31845"/>
    </row>
    <row r="31846" spans="26:26" x14ac:dyDescent="0.25">
      <c r="Z31846"/>
    </row>
    <row r="31847" spans="26:26" x14ac:dyDescent="0.25">
      <c r="Z31847"/>
    </row>
    <row r="31848" spans="26:26" x14ac:dyDescent="0.25">
      <c r="Z31848"/>
    </row>
    <row r="31849" spans="26:26" x14ac:dyDescent="0.25">
      <c r="Z31849"/>
    </row>
    <row r="31850" spans="26:26" x14ac:dyDescent="0.25">
      <c r="Z31850"/>
    </row>
    <row r="31851" spans="26:26" x14ac:dyDescent="0.25">
      <c r="Z31851"/>
    </row>
    <row r="31852" spans="26:26" x14ac:dyDescent="0.25">
      <c r="Z31852"/>
    </row>
    <row r="31853" spans="26:26" x14ac:dyDescent="0.25">
      <c r="Z31853"/>
    </row>
    <row r="31854" spans="26:26" x14ac:dyDescent="0.25">
      <c r="Z31854"/>
    </row>
    <row r="31855" spans="26:26" x14ac:dyDescent="0.25">
      <c r="Z31855"/>
    </row>
    <row r="31856" spans="26:26" x14ac:dyDescent="0.25">
      <c r="Z31856"/>
    </row>
    <row r="31857" spans="26:26" x14ac:dyDescent="0.25">
      <c r="Z31857"/>
    </row>
    <row r="31858" spans="26:26" x14ac:dyDescent="0.25">
      <c r="Z31858"/>
    </row>
    <row r="31859" spans="26:26" x14ac:dyDescent="0.25">
      <c r="Z31859"/>
    </row>
    <row r="31860" spans="26:26" x14ac:dyDescent="0.25">
      <c r="Z31860"/>
    </row>
    <row r="31861" spans="26:26" x14ac:dyDescent="0.25">
      <c r="Z31861"/>
    </row>
    <row r="31862" spans="26:26" x14ac:dyDescent="0.25">
      <c r="Z31862"/>
    </row>
    <row r="31863" spans="26:26" x14ac:dyDescent="0.25">
      <c r="Z31863"/>
    </row>
    <row r="31864" spans="26:26" x14ac:dyDescent="0.25">
      <c r="Z31864"/>
    </row>
    <row r="31865" spans="26:26" x14ac:dyDescent="0.25">
      <c r="Z31865"/>
    </row>
    <row r="31866" spans="26:26" x14ac:dyDescent="0.25">
      <c r="Z31866"/>
    </row>
    <row r="31867" spans="26:26" x14ac:dyDescent="0.25">
      <c r="Z31867"/>
    </row>
    <row r="31868" spans="26:26" x14ac:dyDescent="0.25">
      <c r="Z31868"/>
    </row>
    <row r="31869" spans="26:26" x14ac:dyDescent="0.25">
      <c r="Z31869"/>
    </row>
    <row r="31870" spans="26:26" x14ac:dyDescent="0.25">
      <c r="Z31870"/>
    </row>
    <row r="31871" spans="26:26" x14ac:dyDescent="0.25">
      <c r="Z31871"/>
    </row>
    <row r="31872" spans="26:26" x14ac:dyDescent="0.25">
      <c r="Z31872"/>
    </row>
    <row r="31873" spans="26:26" x14ac:dyDescent="0.25">
      <c r="Z31873"/>
    </row>
    <row r="31874" spans="26:26" x14ac:dyDescent="0.25">
      <c r="Z31874"/>
    </row>
    <row r="31875" spans="26:26" x14ac:dyDescent="0.25">
      <c r="Z31875"/>
    </row>
    <row r="31876" spans="26:26" x14ac:dyDescent="0.25">
      <c r="Z31876"/>
    </row>
    <row r="31877" spans="26:26" x14ac:dyDescent="0.25">
      <c r="Z31877"/>
    </row>
    <row r="31878" spans="26:26" x14ac:dyDescent="0.25">
      <c r="Z31878"/>
    </row>
    <row r="31879" spans="26:26" x14ac:dyDescent="0.25">
      <c r="Z31879"/>
    </row>
    <row r="31880" spans="26:26" x14ac:dyDescent="0.25">
      <c r="Z31880"/>
    </row>
    <row r="31881" spans="26:26" x14ac:dyDescent="0.25">
      <c r="Z31881"/>
    </row>
    <row r="31882" spans="26:26" x14ac:dyDescent="0.25">
      <c r="Z31882"/>
    </row>
    <row r="31883" spans="26:26" x14ac:dyDescent="0.25">
      <c r="Z31883"/>
    </row>
    <row r="31884" spans="26:26" x14ac:dyDescent="0.25">
      <c r="Z31884"/>
    </row>
    <row r="31885" spans="26:26" x14ac:dyDescent="0.25">
      <c r="Z31885"/>
    </row>
    <row r="31886" spans="26:26" x14ac:dyDescent="0.25">
      <c r="Z31886"/>
    </row>
    <row r="31887" spans="26:26" x14ac:dyDescent="0.25">
      <c r="Z31887"/>
    </row>
    <row r="31888" spans="26:26" x14ac:dyDescent="0.25">
      <c r="Z31888"/>
    </row>
    <row r="31889" spans="26:26" x14ac:dyDescent="0.25">
      <c r="Z31889"/>
    </row>
    <row r="31890" spans="26:26" x14ac:dyDescent="0.25">
      <c r="Z31890"/>
    </row>
    <row r="31891" spans="26:26" x14ac:dyDescent="0.25">
      <c r="Z31891"/>
    </row>
    <row r="31892" spans="26:26" x14ac:dyDescent="0.25">
      <c r="Z31892"/>
    </row>
    <row r="31893" spans="26:26" x14ac:dyDescent="0.25">
      <c r="Z31893"/>
    </row>
    <row r="31894" spans="26:26" x14ac:dyDescent="0.25">
      <c r="Z31894"/>
    </row>
    <row r="31895" spans="26:26" x14ac:dyDescent="0.25">
      <c r="Z31895"/>
    </row>
    <row r="31896" spans="26:26" x14ac:dyDescent="0.25">
      <c r="Z31896"/>
    </row>
    <row r="31897" spans="26:26" x14ac:dyDescent="0.25">
      <c r="Z31897"/>
    </row>
    <row r="31898" spans="26:26" x14ac:dyDescent="0.25">
      <c r="Z31898"/>
    </row>
    <row r="31899" spans="26:26" x14ac:dyDescent="0.25">
      <c r="Z31899"/>
    </row>
    <row r="31900" spans="26:26" x14ac:dyDescent="0.25">
      <c r="Z31900"/>
    </row>
    <row r="31901" spans="26:26" x14ac:dyDescent="0.25">
      <c r="Z31901"/>
    </row>
    <row r="31902" spans="26:26" x14ac:dyDescent="0.25">
      <c r="Z31902"/>
    </row>
    <row r="31903" spans="26:26" x14ac:dyDescent="0.25">
      <c r="Z31903"/>
    </row>
    <row r="31904" spans="26:26" x14ac:dyDescent="0.25">
      <c r="Z31904"/>
    </row>
    <row r="31905" spans="26:26" x14ac:dyDescent="0.25">
      <c r="Z31905"/>
    </row>
    <row r="31906" spans="26:26" x14ac:dyDescent="0.25">
      <c r="Z31906"/>
    </row>
    <row r="31907" spans="26:26" x14ac:dyDescent="0.25">
      <c r="Z31907"/>
    </row>
    <row r="31908" spans="26:26" x14ac:dyDescent="0.25">
      <c r="Z31908"/>
    </row>
    <row r="31909" spans="26:26" x14ac:dyDescent="0.25">
      <c r="Z31909"/>
    </row>
    <row r="31910" spans="26:26" x14ac:dyDescent="0.25">
      <c r="Z31910"/>
    </row>
    <row r="31911" spans="26:26" x14ac:dyDescent="0.25">
      <c r="Z31911"/>
    </row>
    <row r="31912" spans="26:26" x14ac:dyDescent="0.25">
      <c r="Z31912"/>
    </row>
    <row r="31913" spans="26:26" x14ac:dyDescent="0.25">
      <c r="Z31913"/>
    </row>
    <row r="31914" spans="26:26" x14ac:dyDescent="0.25">
      <c r="Z31914"/>
    </row>
    <row r="31915" spans="26:26" x14ac:dyDescent="0.25">
      <c r="Z31915"/>
    </row>
    <row r="31916" spans="26:26" x14ac:dyDescent="0.25">
      <c r="Z31916"/>
    </row>
    <row r="31917" spans="26:26" x14ac:dyDescent="0.25">
      <c r="Z31917"/>
    </row>
    <row r="31918" spans="26:26" x14ac:dyDescent="0.25">
      <c r="Z31918"/>
    </row>
    <row r="31919" spans="26:26" x14ac:dyDescent="0.25">
      <c r="Z31919"/>
    </row>
    <row r="31920" spans="26:26" x14ac:dyDescent="0.25">
      <c r="Z31920"/>
    </row>
    <row r="31921" spans="26:26" x14ac:dyDescent="0.25">
      <c r="Z31921"/>
    </row>
    <row r="31922" spans="26:26" x14ac:dyDescent="0.25">
      <c r="Z31922"/>
    </row>
    <row r="31923" spans="26:26" x14ac:dyDescent="0.25">
      <c r="Z31923"/>
    </row>
    <row r="31924" spans="26:26" x14ac:dyDescent="0.25">
      <c r="Z31924"/>
    </row>
    <row r="31925" spans="26:26" x14ac:dyDescent="0.25">
      <c r="Z31925"/>
    </row>
    <row r="31926" spans="26:26" x14ac:dyDescent="0.25">
      <c r="Z31926"/>
    </row>
    <row r="31927" spans="26:26" x14ac:dyDescent="0.25">
      <c r="Z31927"/>
    </row>
    <row r="31928" spans="26:26" x14ac:dyDescent="0.25">
      <c r="Z31928"/>
    </row>
    <row r="31929" spans="26:26" x14ac:dyDescent="0.25">
      <c r="Z31929"/>
    </row>
    <row r="31930" spans="26:26" x14ac:dyDescent="0.25">
      <c r="Z31930"/>
    </row>
    <row r="31931" spans="26:26" x14ac:dyDescent="0.25">
      <c r="Z31931"/>
    </row>
    <row r="31932" spans="26:26" x14ac:dyDescent="0.25">
      <c r="Z31932"/>
    </row>
    <row r="31933" spans="26:26" x14ac:dyDescent="0.25">
      <c r="Z31933"/>
    </row>
    <row r="31934" spans="26:26" x14ac:dyDescent="0.25">
      <c r="Z31934"/>
    </row>
    <row r="31935" spans="26:26" x14ac:dyDescent="0.25">
      <c r="Z31935"/>
    </row>
    <row r="31936" spans="26:26" x14ac:dyDescent="0.25">
      <c r="Z31936"/>
    </row>
    <row r="31937" spans="26:26" x14ac:dyDescent="0.25">
      <c r="Z31937"/>
    </row>
    <row r="31938" spans="26:26" x14ac:dyDescent="0.25">
      <c r="Z31938"/>
    </row>
    <row r="31939" spans="26:26" x14ac:dyDescent="0.25">
      <c r="Z31939"/>
    </row>
    <row r="31940" spans="26:26" x14ac:dyDescent="0.25">
      <c r="Z31940"/>
    </row>
    <row r="31941" spans="26:26" x14ac:dyDescent="0.25">
      <c r="Z31941"/>
    </row>
    <row r="31942" spans="26:26" x14ac:dyDescent="0.25">
      <c r="Z31942"/>
    </row>
    <row r="31943" spans="26:26" x14ac:dyDescent="0.25">
      <c r="Z31943"/>
    </row>
    <row r="31944" spans="26:26" x14ac:dyDescent="0.25">
      <c r="Z31944"/>
    </row>
    <row r="31945" spans="26:26" x14ac:dyDescent="0.25">
      <c r="Z31945"/>
    </row>
    <row r="31946" spans="26:26" x14ac:dyDescent="0.25">
      <c r="Z31946"/>
    </row>
    <row r="31947" spans="26:26" x14ac:dyDescent="0.25">
      <c r="Z31947"/>
    </row>
    <row r="31948" spans="26:26" x14ac:dyDescent="0.25">
      <c r="Z31948"/>
    </row>
    <row r="31949" spans="26:26" x14ac:dyDescent="0.25">
      <c r="Z31949"/>
    </row>
    <row r="31950" spans="26:26" x14ac:dyDescent="0.25">
      <c r="Z31950"/>
    </row>
    <row r="31951" spans="26:26" x14ac:dyDescent="0.25">
      <c r="Z31951"/>
    </row>
    <row r="31952" spans="26:26" x14ac:dyDescent="0.25">
      <c r="Z31952"/>
    </row>
    <row r="31953" spans="26:26" x14ac:dyDescent="0.25">
      <c r="Z31953"/>
    </row>
    <row r="31954" spans="26:26" x14ac:dyDescent="0.25">
      <c r="Z31954"/>
    </row>
    <row r="31955" spans="26:26" x14ac:dyDescent="0.25">
      <c r="Z31955"/>
    </row>
    <row r="31956" spans="26:26" x14ac:dyDescent="0.25">
      <c r="Z31956"/>
    </row>
    <row r="31957" spans="26:26" x14ac:dyDescent="0.25">
      <c r="Z31957"/>
    </row>
    <row r="31958" spans="26:26" x14ac:dyDescent="0.25">
      <c r="Z31958"/>
    </row>
    <row r="31959" spans="26:26" x14ac:dyDescent="0.25">
      <c r="Z31959"/>
    </row>
    <row r="31960" spans="26:26" x14ac:dyDescent="0.25">
      <c r="Z31960"/>
    </row>
    <row r="31961" spans="26:26" x14ac:dyDescent="0.25">
      <c r="Z31961"/>
    </row>
    <row r="31962" spans="26:26" x14ac:dyDescent="0.25">
      <c r="Z31962"/>
    </row>
    <row r="31963" spans="26:26" x14ac:dyDescent="0.25">
      <c r="Z31963"/>
    </row>
    <row r="31964" spans="26:26" x14ac:dyDescent="0.25">
      <c r="Z31964"/>
    </row>
    <row r="31965" spans="26:26" x14ac:dyDescent="0.25">
      <c r="Z31965"/>
    </row>
    <row r="31966" spans="26:26" x14ac:dyDescent="0.25">
      <c r="Z31966"/>
    </row>
    <row r="31967" spans="26:26" x14ac:dyDescent="0.25">
      <c r="Z31967"/>
    </row>
    <row r="31968" spans="26:26" x14ac:dyDescent="0.25">
      <c r="Z31968"/>
    </row>
    <row r="31969" spans="26:26" x14ac:dyDescent="0.25">
      <c r="Z31969"/>
    </row>
    <row r="31970" spans="26:26" x14ac:dyDescent="0.25">
      <c r="Z31970"/>
    </row>
    <row r="31971" spans="26:26" x14ac:dyDescent="0.25">
      <c r="Z31971"/>
    </row>
    <row r="31972" spans="26:26" x14ac:dyDescent="0.25">
      <c r="Z31972"/>
    </row>
    <row r="31973" spans="26:26" x14ac:dyDescent="0.25">
      <c r="Z31973"/>
    </row>
    <row r="31974" spans="26:26" x14ac:dyDescent="0.25">
      <c r="Z31974"/>
    </row>
    <row r="31975" spans="26:26" x14ac:dyDescent="0.25">
      <c r="Z31975"/>
    </row>
    <row r="31976" spans="26:26" x14ac:dyDescent="0.25">
      <c r="Z31976"/>
    </row>
    <row r="31977" spans="26:26" x14ac:dyDescent="0.25">
      <c r="Z31977"/>
    </row>
    <row r="31978" spans="26:26" x14ac:dyDescent="0.25">
      <c r="Z31978"/>
    </row>
    <row r="31979" spans="26:26" x14ac:dyDescent="0.25">
      <c r="Z31979"/>
    </row>
    <row r="31980" spans="26:26" x14ac:dyDescent="0.25">
      <c r="Z31980"/>
    </row>
    <row r="31981" spans="26:26" x14ac:dyDescent="0.25">
      <c r="Z31981"/>
    </row>
    <row r="31982" spans="26:26" x14ac:dyDescent="0.25">
      <c r="Z31982"/>
    </row>
    <row r="31983" spans="26:26" x14ac:dyDescent="0.25">
      <c r="Z31983"/>
    </row>
    <row r="31984" spans="26:26" x14ac:dyDescent="0.25">
      <c r="Z31984"/>
    </row>
    <row r="31985" spans="26:26" x14ac:dyDescent="0.25">
      <c r="Z31985"/>
    </row>
    <row r="31986" spans="26:26" x14ac:dyDescent="0.25">
      <c r="Z31986"/>
    </row>
    <row r="31987" spans="26:26" x14ac:dyDescent="0.25">
      <c r="Z31987"/>
    </row>
    <row r="31988" spans="26:26" x14ac:dyDescent="0.25">
      <c r="Z31988"/>
    </row>
    <row r="31989" spans="26:26" x14ac:dyDescent="0.25">
      <c r="Z31989"/>
    </row>
    <row r="31990" spans="26:26" x14ac:dyDescent="0.25">
      <c r="Z31990"/>
    </row>
    <row r="31991" spans="26:26" x14ac:dyDescent="0.25">
      <c r="Z31991"/>
    </row>
    <row r="31992" spans="26:26" x14ac:dyDescent="0.25">
      <c r="Z31992"/>
    </row>
    <row r="31993" spans="26:26" x14ac:dyDescent="0.25">
      <c r="Z31993"/>
    </row>
    <row r="31994" spans="26:26" x14ac:dyDescent="0.25">
      <c r="Z31994"/>
    </row>
    <row r="31995" spans="26:26" x14ac:dyDescent="0.25">
      <c r="Z31995"/>
    </row>
    <row r="31996" spans="26:26" x14ac:dyDescent="0.25">
      <c r="Z31996"/>
    </row>
    <row r="31997" spans="26:26" x14ac:dyDescent="0.25">
      <c r="Z31997"/>
    </row>
    <row r="31998" spans="26:26" x14ac:dyDescent="0.25">
      <c r="Z31998"/>
    </row>
    <row r="31999" spans="26:26" x14ac:dyDescent="0.25">
      <c r="Z31999"/>
    </row>
    <row r="32000" spans="26:26" x14ac:dyDescent="0.25">
      <c r="Z32000"/>
    </row>
    <row r="32001" spans="26:26" x14ac:dyDescent="0.25">
      <c r="Z32001"/>
    </row>
    <row r="32002" spans="26:26" x14ac:dyDescent="0.25">
      <c r="Z32002"/>
    </row>
    <row r="32003" spans="26:26" x14ac:dyDescent="0.25">
      <c r="Z32003"/>
    </row>
    <row r="32004" spans="26:26" x14ac:dyDescent="0.25">
      <c r="Z32004"/>
    </row>
    <row r="32005" spans="26:26" x14ac:dyDescent="0.25">
      <c r="Z32005"/>
    </row>
    <row r="32006" spans="26:26" x14ac:dyDescent="0.25">
      <c r="Z32006"/>
    </row>
    <row r="32007" spans="26:26" x14ac:dyDescent="0.25">
      <c r="Z32007"/>
    </row>
    <row r="32008" spans="26:26" x14ac:dyDescent="0.25">
      <c r="Z32008"/>
    </row>
    <row r="32009" spans="26:26" x14ac:dyDescent="0.25">
      <c r="Z32009"/>
    </row>
    <row r="32010" spans="26:26" x14ac:dyDescent="0.25">
      <c r="Z32010"/>
    </row>
    <row r="32011" spans="26:26" x14ac:dyDescent="0.25">
      <c r="Z32011"/>
    </row>
    <row r="32012" spans="26:26" x14ac:dyDescent="0.25">
      <c r="Z32012"/>
    </row>
    <row r="32013" spans="26:26" x14ac:dyDescent="0.25">
      <c r="Z32013"/>
    </row>
    <row r="32014" spans="26:26" x14ac:dyDescent="0.25">
      <c r="Z32014"/>
    </row>
    <row r="32015" spans="26:26" x14ac:dyDescent="0.25">
      <c r="Z32015"/>
    </row>
    <row r="32016" spans="26:26" x14ac:dyDescent="0.25">
      <c r="Z32016"/>
    </row>
    <row r="32017" spans="26:26" x14ac:dyDescent="0.25">
      <c r="Z32017"/>
    </row>
    <row r="32018" spans="26:26" x14ac:dyDescent="0.25">
      <c r="Z32018"/>
    </row>
    <row r="32019" spans="26:26" x14ac:dyDescent="0.25">
      <c r="Z32019"/>
    </row>
    <row r="32020" spans="26:26" x14ac:dyDescent="0.25">
      <c r="Z32020"/>
    </row>
    <row r="32021" spans="26:26" x14ac:dyDescent="0.25">
      <c r="Z32021"/>
    </row>
    <row r="32022" spans="26:26" x14ac:dyDescent="0.25">
      <c r="Z32022"/>
    </row>
    <row r="32023" spans="26:26" x14ac:dyDescent="0.25">
      <c r="Z32023"/>
    </row>
    <row r="32024" spans="26:26" x14ac:dyDescent="0.25">
      <c r="Z32024"/>
    </row>
    <row r="32025" spans="26:26" x14ac:dyDescent="0.25">
      <c r="Z32025"/>
    </row>
    <row r="32026" spans="26:26" x14ac:dyDescent="0.25">
      <c r="Z32026"/>
    </row>
    <row r="32027" spans="26:26" x14ac:dyDescent="0.25">
      <c r="Z32027"/>
    </row>
    <row r="32028" spans="26:26" x14ac:dyDescent="0.25">
      <c r="Z32028"/>
    </row>
    <row r="32029" spans="26:26" x14ac:dyDescent="0.25">
      <c r="Z32029"/>
    </row>
    <row r="32030" spans="26:26" x14ac:dyDescent="0.25">
      <c r="Z32030"/>
    </row>
    <row r="32031" spans="26:26" x14ac:dyDescent="0.25">
      <c r="Z32031"/>
    </row>
    <row r="32032" spans="26:26" x14ac:dyDescent="0.25">
      <c r="Z32032"/>
    </row>
    <row r="32033" spans="26:26" x14ac:dyDescent="0.25">
      <c r="Z32033"/>
    </row>
    <row r="32034" spans="26:26" x14ac:dyDescent="0.25">
      <c r="Z32034"/>
    </row>
    <row r="32035" spans="26:26" x14ac:dyDescent="0.25">
      <c r="Z32035"/>
    </row>
    <row r="32036" spans="26:26" x14ac:dyDescent="0.25">
      <c r="Z32036"/>
    </row>
    <row r="32037" spans="26:26" x14ac:dyDescent="0.25">
      <c r="Z32037"/>
    </row>
    <row r="32038" spans="26:26" x14ac:dyDescent="0.25">
      <c r="Z32038"/>
    </row>
    <row r="32039" spans="26:26" x14ac:dyDescent="0.25">
      <c r="Z32039"/>
    </row>
    <row r="32040" spans="26:26" x14ac:dyDescent="0.25">
      <c r="Z32040"/>
    </row>
    <row r="32041" spans="26:26" x14ac:dyDescent="0.25">
      <c r="Z32041"/>
    </row>
    <row r="32042" spans="26:26" x14ac:dyDescent="0.25">
      <c r="Z32042"/>
    </row>
    <row r="32043" spans="26:26" x14ac:dyDescent="0.25">
      <c r="Z32043"/>
    </row>
    <row r="32044" spans="26:26" x14ac:dyDescent="0.25">
      <c r="Z32044"/>
    </row>
    <row r="32045" spans="26:26" x14ac:dyDescent="0.25">
      <c r="Z32045"/>
    </row>
    <row r="32046" spans="26:26" x14ac:dyDescent="0.25">
      <c r="Z32046"/>
    </row>
    <row r="32047" spans="26:26" x14ac:dyDescent="0.25">
      <c r="Z32047"/>
    </row>
    <row r="32048" spans="26:26" x14ac:dyDescent="0.25">
      <c r="Z32048"/>
    </row>
    <row r="32049" spans="26:26" x14ac:dyDescent="0.25">
      <c r="Z32049"/>
    </row>
    <row r="32050" spans="26:26" x14ac:dyDescent="0.25">
      <c r="Z32050"/>
    </row>
    <row r="32051" spans="26:26" x14ac:dyDescent="0.25">
      <c r="Z32051"/>
    </row>
    <row r="32052" spans="26:26" x14ac:dyDescent="0.25">
      <c r="Z32052"/>
    </row>
    <row r="32053" spans="26:26" x14ac:dyDescent="0.25">
      <c r="Z32053"/>
    </row>
    <row r="32054" spans="26:26" x14ac:dyDescent="0.25">
      <c r="Z32054"/>
    </row>
    <row r="32055" spans="26:26" x14ac:dyDescent="0.25">
      <c r="Z32055"/>
    </row>
    <row r="32056" spans="26:26" x14ac:dyDescent="0.25">
      <c r="Z32056"/>
    </row>
    <row r="32057" spans="26:26" x14ac:dyDescent="0.25">
      <c r="Z32057"/>
    </row>
    <row r="32058" spans="26:26" x14ac:dyDescent="0.25">
      <c r="Z32058"/>
    </row>
    <row r="32059" spans="26:26" x14ac:dyDescent="0.25">
      <c r="Z32059"/>
    </row>
    <row r="32060" spans="26:26" x14ac:dyDescent="0.25">
      <c r="Z32060"/>
    </row>
    <row r="32061" spans="26:26" x14ac:dyDescent="0.25">
      <c r="Z32061"/>
    </row>
    <row r="32062" spans="26:26" x14ac:dyDescent="0.25">
      <c r="Z32062"/>
    </row>
    <row r="32063" spans="26:26" x14ac:dyDescent="0.25">
      <c r="Z32063"/>
    </row>
    <row r="32064" spans="26:26" x14ac:dyDescent="0.25">
      <c r="Z32064"/>
    </row>
    <row r="32065" spans="26:26" x14ac:dyDescent="0.25">
      <c r="Z32065"/>
    </row>
    <row r="32066" spans="26:26" x14ac:dyDescent="0.25">
      <c r="Z32066"/>
    </row>
    <row r="32067" spans="26:26" x14ac:dyDescent="0.25">
      <c r="Z32067"/>
    </row>
    <row r="32068" spans="26:26" x14ac:dyDescent="0.25">
      <c r="Z32068"/>
    </row>
    <row r="32069" spans="26:26" x14ac:dyDescent="0.25">
      <c r="Z32069"/>
    </row>
    <row r="32070" spans="26:26" x14ac:dyDescent="0.25">
      <c r="Z32070"/>
    </row>
    <row r="32071" spans="26:26" x14ac:dyDescent="0.25">
      <c r="Z32071"/>
    </row>
    <row r="32072" spans="26:26" x14ac:dyDescent="0.25">
      <c r="Z32072"/>
    </row>
    <row r="32073" spans="26:26" x14ac:dyDescent="0.25">
      <c r="Z32073"/>
    </row>
    <row r="32074" spans="26:26" x14ac:dyDescent="0.25">
      <c r="Z32074"/>
    </row>
    <row r="32075" spans="26:26" x14ac:dyDescent="0.25">
      <c r="Z32075"/>
    </row>
    <row r="32076" spans="26:26" x14ac:dyDescent="0.25">
      <c r="Z32076"/>
    </row>
    <row r="32077" spans="26:26" x14ac:dyDescent="0.25">
      <c r="Z32077"/>
    </row>
    <row r="32078" spans="26:26" x14ac:dyDescent="0.25">
      <c r="Z32078"/>
    </row>
    <row r="32079" spans="26:26" x14ac:dyDescent="0.25">
      <c r="Z32079"/>
    </row>
    <row r="32080" spans="26:26" x14ac:dyDescent="0.25">
      <c r="Z32080"/>
    </row>
    <row r="32081" spans="26:26" x14ac:dyDescent="0.25">
      <c r="Z32081"/>
    </row>
    <row r="32082" spans="26:26" x14ac:dyDescent="0.25">
      <c r="Z32082"/>
    </row>
    <row r="32083" spans="26:26" x14ac:dyDescent="0.25">
      <c r="Z32083"/>
    </row>
    <row r="32084" spans="26:26" x14ac:dyDescent="0.25">
      <c r="Z32084"/>
    </row>
    <row r="32085" spans="26:26" x14ac:dyDescent="0.25">
      <c r="Z32085"/>
    </row>
    <row r="32086" spans="26:26" x14ac:dyDescent="0.25">
      <c r="Z32086"/>
    </row>
    <row r="32087" spans="26:26" x14ac:dyDescent="0.25">
      <c r="Z32087"/>
    </row>
    <row r="32088" spans="26:26" x14ac:dyDescent="0.25">
      <c r="Z32088"/>
    </row>
    <row r="32089" spans="26:26" x14ac:dyDescent="0.25">
      <c r="Z32089"/>
    </row>
    <row r="32090" spans="26:26" x14ac:dyDescent="0.25">
      <c r="Z32090"/>
    </row>
    <row r="32091" spans="26:26" x14ac:dyDescent="0.25">
      <c r="Z32091"/>
    </row>
    <row r="32092" spans="26:26" x14ac:dyDescent="0.25">
      <c r="Z32092"/>
    </row>
    <row r="32093" spans="26:26" x14ac:dyDescent="0.25">
      <c r="Z32093"/>
    </row>
    <row r="32094" spans="26:26" x14ac:dyDescent="0.25">
      <c r="Z32094"/>
    </row>
    <row r="32095" spans="26:26" x14ac:dyDescent="0.25">
      <c r="Z32095"/>
    </row>
    <row r="32096" spans="26:26" x14ac:dyDescent="0.25">
      <c r="Z32096"/>
    </row>
    <row r="32097" spans="26:26" x14ac:dyDescent="0.25">
      <c r="Z32097"/>
    </row>
    <row r="32098" spans="26:26" x14ac:dyDescent="0.25">
      <c r="Z32098"/>
    </row>
    <row r="32099" spans="26:26" x14ac:dyDescent="0.25">
      <c r="Z32099"/>
    </row>
    <row r="32100" spans="26:26" x14ac:dyDescent="0.25">
      <c r="Z32100"/>
    </row>
    <row r="32101" spans="26:26" x14ac:dyDescent="0.25">
      <c r="Z32101"/>
    </row>
    <row r="32102" spans="26:26" x14ac:dyDescent="0.25">
      <c r="Z32102"/>
    </row>
    <row r="32103" spans="26:26" x14ac:dyDescent="0.25">
      <c r="Z32103"/>
    </row>
    <row r="32104" spans="26:26" x14ac:dyDescent="0.25">
      <c r="Z32104"/>
    </row>
    <row r="32105" spans="26:26" x14ac:dyDescent="0.25">
      <c r="Z32105"/>
    </row>
    <row r="32106" spans="26:26" x14ac:dyDescent="0.25">
      <c r="Z32106"/>
    </row>
    <row r="32107" spans="26:26" x14ac:dyDescent="0.25">
      <c r="Z32107"/>
    </row>
    <row r="32108" spans="26:26" x14ac:dyDescent="0.25">
      <c r="Z32108"/>
    </row>
    <row r="32109" spans="26:26" x14ac:dyDescent="0.25">
      <c r="Z32109"/>
    </row>
    <row r="32110" spans="26:26" x14ac:dyDescent="0.25">
      <c r="Z32110"/>
    </row>
    <row r="32111" spans="26:26" x14ac:dyDescent="0.25">
      <c r="Z32111"/>
    </row>
    <row r="32112" spans="26:26" x14ac:dyDescent="0.25">
      <c r="Z32112"/>
    </row>
    <row r="32113" spans="26:26" x14ac:dyDescent="0.25">
      <c r="Z32113"/>
    </row>
    <row r="32114" spans="26:26" x14ac:dyDescent="0.25">
      <c r="Z32114"/>
    </row>
    <row r="32115" spans="26:26" x14ac:dyDescent="0.25">
      <c r="Z32115"/>
    </row>
    <row r="32116" spans="26:26" x14ac:dyDescent="0.25">
      <c r="Z32116"/>
    </row>
    <row r="32117" spans="26:26" x14ac:dyDescent="0.25">
      <c r="Z32117"/>
    </row>
    <row r="32118" spans="26:26" x14ac:dyDescent="0.25">
      <c r="Z32118"/>
    </row>
    <row r="32119" spans="26:26" x14ac:dyDescent="0.25">
      <c r="Z32119"/>
    </row>
    <row r="32120" spans="26:26" x14ac:dyDescent="0.25">
      <c r="Z32120"/>
    </row>
    <row r="32121" spans="26:26" x14ac:dyDescent="0.25">
      <c r="Z32121"/>
    </row>
    <row r="32122" spans="26:26" x14ac:dyDescent="0.25">
      <c r="Z32122"/>
    </row>
    <row r="32123" spans="26:26" x14ac:dyDescent="0.25">
      <c r="Z32123"/>
    </row>
    <row r="32124" spans="26:26" x14ac:dyDescent="0.25">
      <c r="Z32124"/>
    </row>
    <row r="32125" spans="26:26" x14ac:dyDescent="0.25">
      <c r="Z32125"/>
    </row>
    <row r="32126" spans="26:26" x14ac:dyDescent="0.25">
      <c r="Z32126"/>
    </row>
    <row r="32127" spans="26:26" x14ac:dyDescent="0.25">
      <c r="Z32127"/>
    </row>
    <row r="32128" spans="26:26" x14ac:dyDescent="0.25">
      <c r="Z32128"/>
    </row>
    <row r="32129" spans="26:26" x14ac:dyDescent="0.25">
      <c r="Z32129"/>
    </row>
    <row r="32130" spans="26:26" x14ac:dyDescent="0.25">
      <c r="Z32130"/>
    </row>
    <row r="32131" spans="26:26" x14ac:dyDescent="0.25">
      <c r="Z32131"/>
    </row>
    <row r="32132" spans="26:26" x14ac:dyDescent="0.25">
      <c r="Z32132"/>
    </row>
    <row r="32133" spans="26:26" x14ac:dyDescent="0.25">
      <c r="Z32133"/>
    </row>
    <row r="32134" spans="26:26" x14ac:dyDescent="0.25">
      <c r="Z32134"/>
    </row>
    <row r="32135" spans="26:26" x14ac:dyDescent="0.25">
      <c r="Z32135"/>
    </row>
    <row r="32136" spans="26:26" x14ac:dyDescent="0.25">
      <c r="Z32136"/>
    </row>
    <row r="32137" spans="26:26" x14ac:dyDescent="0.25">
      <c r="Z32137"/>
    </row>
    <row r="32138" spans="26:26" x14ac:dyDescent="0.25">
      <c r="Z32138"/>
    </row>
    <row r="32139" spans="26:26" x14ac:dyDescent="0.25">
      <c r="Z32139"/>
    </row>
    <row r="32140" spans="26:26" x14ac:dyDescent="0.25">
      <c r="Z32140"/>
    </row>
    <row r="32141" spans="26:26" x14ac:dyDescent="0.25">
      <c r="Z32141"/>
    </row>
    <row r="32142" spans="26:26" x14ac:dyDescent="0.25">
      <c r="Z32142"/>
    </row>
    <row r="32143" spans="26:26" x14ac:dyDescent="0.25">
      <c r="Z32143"/>
    </row>
    <row r="32144" spans="26:26" x14ac:dyDescent="0.25">
      <c r="Z32144"/>
    </row>
    <row r="32145" spans="26:26" x14ac:dyDescent="0.25">
      <c r="Z32145"/>
    </row>
    <row r="32146" spans="26:26" x14ac:dyDescent="0.25">
      <c r="Z32146"/>
    </row>
    <row r="32147" spans="26:26" x14ac:dyDescent="0.25">
      <c r="Z32147"/>
    </row>
    <row r="32148" spans="26:26" x14ac:dyDescent="0.25">
      <c r="Z32148"/>
    </row>
    <row r="32149" spans="26:26" x14ac:dyDescent="0.25">
      <c r="Z32149"/>
    </row>
    <row r="32150" spans="26:26" x14ac:dyDescent="0.25">
      <c r="Z32150"/>
    </row>
    <row r="32151" spans="26:26" x14ac:dyDescent="0.25">
      <c r="Z32151"/>
    </row>
    <row r="32152" spans="26:26" x14ac:dyDescent="0.25">
      <c r="Z32152"/>
    </row>
    <row r="32153" spans="26:26" x14ac:dyDescent="0.25">
      <c r="Z32153"/>
    </row>
    <row r="32154" spans="26:26" x14ac:dyDescent="0.25">
      <c r="Z32154"/>
    </row>
    <row r="32155" spans="26:26" x14ac:dyDescent="0.25">
      <c r="Z32155"/>
    </row>
    <row r="32156" spans="26:26" x14ac:dyDescent="0.25">
      <c r="Z32156"/>
    </row>
    <row r="32157" spans="26:26" x14ac:dyDescent="0.25">
      <c r="Z32157"/>
    </row>
    <row r="32158" spans="26:26" x14ac:dyDescent="0.25">
      <c r="Z32158"/>
    </row>
    <row r="32159" spans="26:26" x14ac:dyDescent="0.25">
      <c r="Z32159"/>
    </row>
    <row r="32160" spans="26:26" x14ac:dyDescent="0.25">
      <c r="Z32160"/>
    </row>
    <row r="32161" spans="26:26" x14ac:dyDescent="0.25">
      <c r="Z32161"/>
    </row>
    <row r="32162" spans="26:26" x14ac:dyDescent="0.25">
      <c r="Z32162"/>
    </row>
    <row r="32163" spans="26:26" x14ac:dyDescent="0.25">
      <c r="Z32163"/>
    </row>
    <row r="32164" spans="26:26" x14ac:dyDescent="0.25">
      <c r="Z32164"/>
    </row>
    <row r="32165" spans="26:26" x14ac:dyDescent="0.25">
      <c r="Z32165"/>
    </row>
    <row r="32166" spans="26:26" x14ac:dyDescent="0.25">
      <c r="Z32166"/>
    </row>
    <row r="32167" spans="26:26" x14ac:dyDescent="0.25">
      <c r="Z32167"/>
    </row>
    <row r="32168" spans="26:26" x14ac:dyDescent="0.25">
      <c r="Z32168"/>
    </row>
    <row r="32169" spans="26:26" x14ac:dyDescent="0.25">
      <c r="Z32169"/>
    </row>
    <row r="32170" spans="26:26" x14ac:dyDescent="0.25">
      <c r="Z32170"/>
    </row>
    <row r="32171" spans="26:26" x14ac:dyDescent="0.25">
      <c r="Z32171"/>
    </row>
    <row r="32172" spans="26:26" x14ac:dyDescent="0.25">
      <c r="Z32172"/>
    </row>
    <row r="32173" spans="26:26" x14ac:dyDescent="0.25">
      <c r="Z32173"/>
    </row>
    <row r="32174" spans="26:26" x14ac:dyDescent="0.25">
      <c r="Z32174"/>
    </row>
    <row r="32175" spans="26:26" x14ac:dyDescent="0.25">
      <c r="Z32175"/>
    </row>
    <row r="32176" spans="26:26" x14ac:dyDescent="0.25">
      <c r="Z32176"/>
    </row>
    <row r="32177" spans="26:26" x14ac:dyDescent="0.25">
      <c r="Z32177"/>
    </row>
    <row r="32178" spans="26:26" x14ac:dyDescent="0.25">
      <c r="Z32178"/>
    </row>
    <row r="32179" spans="26:26" x14ac:dyDescent="0.25">
      <c r="Z32179"/>
    </row>
    <row r="32180" spans="26:26" x14ac:dyDescent="0.25">
      <c r="Z32180"/>
    </row>
    <row r="32181" spans="26:26" x14ac:dyDescent="0.25">
      <c r="Z32181"/>
    </row>
    <row r="32182" spans="26:26" x14ac:dyDescent="0.25">
      <c r="Z32182"/>
    </row>
    <row r="32183" spans="26:26" x14ac:dyDescent="0.25">
      <c r="Z32183"/>
    </row>
    <row r="32184" spans="26:26" x14ac:dyDescent="0.25">
      <c r="Z32184"/>
    </row>
    <row r="32185" spans="26:26" x14ac:dyDescent="0.25">
      <c r="Z32185"/>
    </row>
    <row r="32186" spans="26:26" x14ac:dyDescent="0.25">
      <c r="Z32186"/>
    </row>
    <row r="32187" spans="26:26" x14ac:dyDescent="0.25">
      <c r="Z32187"/>
    </row>
    <row r="32188" spans="26:26" x14ac:dyDescent="0.25">
      <c r="Z32188"/>
    </row>
    <row r="32189" spans="26:26" x14ac:dyDescent="0.25">
      <c r="Z32189"/>
    </row>
    <row r="32190" spans="26:26" x14ac:dyDescent="0.25">
      <c r="Z32190"/>
    </row>
    <row r="32191" spans="26:26" x14ac:dyDescent="0.25">
      <c r="Z32191"/>
    </row>
    <row r="32192" spans="26:26" x14ac:dyDescent="0.25">
      <c r="Z32192"/>
    </row>
    <row r="32193" spans="26:26" x14ac:dyDescent="0.25">
      <c r="Z32193"/>
    </row>
    <row r="32194" spans="26:26" x14ac:dyDescent="0.25">
      <c r="Z32194"/>
    </row>
    <row r="32195" spans="26:26" x14ac:dyDescent="0.25">
      <c r="Z32195"/>
    </row>
    <row r="32196" spans="26:26" x14ac:dyDescent="0.25">
      <c r="Z32196"/>
    </row>
    <row r="32197" spans="26:26" x14ac:dyDescent="0.25">
      <c r="Z32197"/>
    </row>
    <row r="32198" spans="26:26" x14ac:dyDescent="0.25">
      <c r="Z32198"/>
    </row>
    <row r="32199" spans="26:26" x14ac:dyDescent="0.25">
      <c r="Z32199"/>
    </row>
    <row r="32200" spans="26:26" x14ac:dyDescent="0.25">
      <c r="Z32200"/>
    </row>
    <row r="32201" spans="26:26" x14ac:dyDescent="0.25">
      <c r="Z32201"/>
    </row>
    <row r="32202" spans="26:26" x14ac:dyDescent="0.25">
      <c r="Z32202"/>
    </row>
    <row r="32203" spans="26:26" x14ac:dyDescent="0.25">
      <c r="Z32203"/>
    </row>
    <row r="32204" spans="26:26" x14ac:dyDescent="0.25">
      <c r="Z32204"/>
    </row>
    <row r="32205" spans="26:26" x14ac:dyDescent="0.25">
      <c r="Z32205"/>
    </row>
    <row r="32206" spans="26:26" x14ac:dyDescent="0.25">
      <c r="Z32206"/>
    </row>
    <row r="32207" spans="26:26" x14ac:dyDescent="0.25">
      <c r="Z32207"/>
    </row>
    <row r="32208" spans="26:26" x14ac:dyDescent="0.25">
      <c r="Z32208"/>
    </row>
    <row r="32209" spans="26:26" x14ac:dyDescent="0.25">
      <c r="Z32209"/>
    </row>
    <row r="32210" spans="26:26" x14ac:dyDescent="0.25">
      <c r="Z32210"/>
    </row>
    <row r="32211" spans="26:26" x14ac:dyDescent="0.25">
      <c r="Z32211"/>
    </row>
    <row r="32212" spans="26:26" x14ac:dyDescent="0.25">
      <c r="Z32212"/>
    </row>
    <row r="32213" spans="26:26" x14ac:dyDescent="0.25">
      <c r="Z32213"/>
    </row>
    <row r="32214" spans="26:26" x14ac:dyDescent="0.25">
      <c r="Z32214"/>
    </row>
    <row r="32215" spans="26:26" x14ac:dyDescent="0.25">
      <c r="Z32215"/>
    </row>
    <row r="32216" spans="26:26" x14ac:dyDescent="0.25">
      <c r="Z32216"/>
    </row>
    <row r="32217" spans="26:26" x14ac:dyDescent="0.25">
      <c r="Z32217"/>
    </row>
    <row r="32218" spans="26:26" x14ac:dyDescent="0.25">
      <c r="Z32218"/>
    </row>
    <row r="32219" spans="26:26" x14ac:dyDescent="0.25">
      <c r="Z32219"/>
    </row>
    <row r="32220" spans="26:26" x14ac:dyDescent="0.25">
      <c r="Z32220"/>
    </row>
    <row r="32221" spans="26:26" x14ac:dyDescent="0.25">
      <c r="Z32221"/>
    </row>
    <row r="32222" spans="26:26" x14ac:dyDescent="0.25">
      <c r="Z32222"/>
    </row>
    <row r="32223" spans="26:26" x14ac:dyDescent="0.25">
      <c r="Z32223"/>
    </row>
    <row r="32224" spans="26:26" x14ac:dyDescent="0.25">
      <c r="Z32224"/>
    </row>
    <row r="32225" spans="26:26" x14ac:dyDescent="0.25">
      <c r="Z32225"/>
    </row>
    <row r="32226" spans="26:26" x14ac:dyDescent="0.25">
      <c r="Z32226"/>
    </row>
    <row r="32227" spans="26:26" x14ac:dyDescent="0.25">
      <c r="Z32227"/>
    </row>
    <row r="32228" spans="26:26" x14ac:dyDescent="0.25">
      <c r="Z32228"/>
    </row>
    <row r="32229" spans="26:26" x14ac:dyDescent="0.25">
      <c r="Z32229"/>
    </row>
    <row r="32230" spans="26:26" x14ac:dyDescent="0.25">
      <c r="Z32230"/>
    </row>
    <row r="32231" spans="26:26" x14ac:dyDescent="0.25">
      <c r="Z32231"/>
    </row>
    <row r="32232" spans="26:26" x14ac:dyDescent="0.25">
      <c r="Z32232"/>
    </row>
    <row r="32233" spans="26:26" x14ac:dyDescent="0.25">
      <c r="Z32233"/>
    </row>
    <row r="32234" spans="26:26" x14ac:dyDescent="0.25">
      <c r="Z32234"/>
    </row>
    <row r="32235" spans="26:26" x14ac:dyDescent="0.25">
      <c r="Z32235"/>
    </row>
    <row r="32236" spans="26:26" x14ac:dyDescent="0.25">
      <c r="Z32236"/>
    </row>
    <row r="32237" spans="26:26" x14ac:dyDescent="0.25">
      <c r="Z32237"/>
    </row>
    <row r="32238" spans="26:26" x14ac:dyDescent="0.25">
      <c r="Z32238"/>
    </row>
    <row r="32239" spans="26:26" x14ac:dyDescent="0.25">
      <c r="Z32239"/>
    </row>
    <row r="32240" spans="26:26" x14ac:dyDescent="0.25">
      <c r="Z32240"/>
    </row>
    <row r="32241" spans="26:26" x14ac:dyDescent="0.25">
      <c r="Z32241"/>
    </row>
    <row r="32242" spans="26:26" x14ac:dyDescent="0.25">
      <c r="Z32242"/>
    </row>
    <row r="32243" spans="26:26" x14ac:dyDescent="0.25">
      <c r="Z32243"/>
    </row>
    <row r="32244" spans="26:26" x14ac:dyDescent="0.25">
      <c r="Z32244"/>
    </row>
    <row r="32245" spans="26:26" x14ac:dyDescent="0.25">
      <c r="Z32245"/>
    </row>
    <row r="32246" spans="26:26" x14ac:dyDescent="0.25">
      <c r="Z32246"/>
    </row>
    <row r="32247" spans="26:26" x14ac:dyDescent="0.25">
      <c r="Z32247"/>
    </row>
    <row r="32248" spans="26:26" x14ac:dyDescent="0.25">
      <c r="Z32248"/>
    </row>
    <row r="32249" spans="26:26" x14ac:dyDescent="0.25">
      <c r="Z32249"/>
    </row>
    <row r="32250" spans="26:26" x14ac:dyDescent="0.25">
      <c r="Z32250"/>
    </row>
    <row r="32251" spans="26:26" x14ac:dyDescent="0.25">
      <c r="Z32251"/>
    </row>
    <row r="32252" spans="26:26" x14ac:dyDescent="0.25">
      <c r="Z32252"/>
    </row>
    <row r="32253" spans="26:26" x14ac:dyDescent="0.25">
      <c r="Z32253"/>
    </row>
    <row r="32254" spans="26:26" x14ac:dyDescent="0.25">
      <c r="Z32254"/>
    </row>
    <row r="32255" spans="26:26" x14ac:dyDescent="0.25">
      <c r="Z32255"/>
    </row>
    <row r="32256" spans="26:26" x14ac:dyDescent="0.25">
      <c r="Z32256"/>
    </row>
    <row r="32257" spans="26:26" x14ac:dyDescent="0.25">
      <c r="Z32257"/>
    </row>
    <row r="32258" spans="26:26" x14ac:dyDescent="0.25">
      <c r="Z32258"/>
    </row>
    <row r="32259" spans="26:26" x14ac:dyDescent="0.25">
      <c r="Z32259"/>
    </row>
    <row r="32260" spans="26:26" x14ac:dyDescent="0.25">
      <c r="Z32260"/>
    </row>
    <row r="32261" spans="26:26" x14ac:dyDescent="0.25">
      <c r="Z32261"/>
    </row>
    <row r="32262" spans="26:26" x14ac:dyDescent="0.25">
      <c r="Z32262"/>
    </row>
    <row r="32263" spans="26:26" x14ac:dyDescent="0.25">
      <c r="Z32263"/>
    </row>
    <row r="32264" spans="26:26" x14ac:dyDescent="0.25">
      <c r="Z32264"/>
    </row>
    <row r="32265" spans="26:26" x14ac:dyDescent="0.25">
      <c r="Z32265"/>
    </row>
    <row r="32266" spans="26:26" x14ac:dyDescent="0.25">
      <c r="Z32266"/>
    </row>
    <row r="32267" spans="26:26" x14ac:dyDescent="0.25">
      <c r="Z32267"/>
    </row>
    <row r="32268" spans="26:26" x14ac:dyDescent="0.25">
      <c r="Z32268"/>
    </row>
    <row r="32269" spans="26:26" x14ac:dyDescent="0.25">
      <c r="Z32269"/>
    </row>
    <row r="32270" spans="26:26" x14ac:dyDescent="0.25">
      <c r="Z32270"/>
    </row>
    <row r="32271" spans="26:26" x14ac:dyDescent="0.25">
      <c r="Z32271"/>
    </row>
    <row r="32272" spans="26:26" x14ac:dyDescent="0.25">
      <c r="Z32272"/>
    </row>
    <row r="32273" spans="26:26" x14ac:dyDescent="0.25">
      <c r="Z32273"/>
    </row>
    <row r="32274" spans="26:26" x14ac:dyDescent="0.25">
      <c r="Z32274"/>
    </row>
    <row r="32275" spans="26:26" x14ac:dyDescent="0.25">
      <c r="Z32275"/>
    </row>
    <row r="32276" spans="26:26" x14ac:dyDescent="0.25">
      <c r="Z32276"/>
    </row>
    <row r="32277" spans="26:26" x14ac:dyDescent="0.25">
      <c r="Z32277"/>
    </row>
    <row r="32278" spans="26:26" x14ac:dyDescent="0.25">
      <c r="Z32278"/>
    </row>
    <row r="32279" spans="26:26" x14ac:dyDescent="0.25">
      <c r="Z32279"/>
    </row>
    <row r="32280" spans="26:26" x14ac:dyDescent="0.25">
      <c r="Z32280"/>
    </row>
    <row r="32281" spans="26:26" x14ac:dyDescent="0.25">
      <c r="Z32281"/>
    </row>
    <row r="32282" spans="26:26" x14ac:dyDescent="0.25">
      <c r="Z32282"/>
    </row>
    <row r="32283" spans="26:26" x14ac:dyDescent="0.25">
      <c r="Z32283"/>
    </row>
    <row r="32284" spans="26:26" x14ac:dyDescent="0.25">
      <c r="Z32284"/>
    </row>
    <row r="32285" spans="26:26" x14ac:dyDescent="0.25">
      <c r="Z32285"/>
    </row>
    <row r="32286" spans="26:26" x14ac:dyDescent="0.25">
      <c r="Z32286"/>
    </row>
    <row r="32287" spans="26:26" x14ac:dyDescent="0.25">
      <c r="Z32287"/>
    </row>
    <row r="32288" spans="26:26" x14ac:dyDescent="0.25">
      <c r="Z32288"/>
    </row>
    <row r="32289" spans="26:26" x14ac:dyDescent="0.25">
      <c r="Z32289"/>
    </row>
    <row r="32290" spans="26:26" x14ac:dyDescent="0.25">
      <c r="Z32290"/>
    </row>
    <row r="32291" spans="26:26" x14ac:dyDescent="0.25">
      <c r="Z32291"/>
    </row>
    <row r="32292" spans="26:26" x14ac:dyDescent="0.25">
      <c r="Z32292"/>
    </row>
    <row r="32293" spans="26:26" x14ac:dyDescent="0.25">
      <c r="Z32293"/>
    </row>
    <row r="32294" spans="26:26" x14ac:dyDescent="0.25">
      <c r="Z32294"/>
    </row>
    <row r="32295" spans="26:26" x14ac:dyDescent="0.25">
      <c r="Z32295"/>
    </row>
    <row r="32296" spans="26:26" x14ac:dyDescent="0.25">
      <c r="Z32296"/>
    </row>
    <row r="32297" spans="26:26" x14ac:dyDescent="0.25">
      <c r="Z32297"/>
    </row>
    <row r="32298" spans="26:26" x14ac:dyDescent="0.25">
      <c r="Z32298"/>
    </row>
    <row r="32299" spans="26:26" x14ac:dyDescent="0.25">
      <c r="Z32299"/>
    </row>
    <row r="32300" spans="26:26" x14ac:dyDescent="0.25">
      <c r="Z32300"/>
    </row>
    <row r="32301" spans="26:26" x14ac:dyDescent="0.25">
      <c r="Z32301"/>
    </row>
    <row r="32302" spans="26:26" x14ac:dyDescent="0.25">
      <c r="Z32302"/>
    </row>
    <row r="32303" spans="26:26" x14ac:dyDescent="0.25">
      <c r="Z32303"/>
    </row>
    <row r="32304" spans="26:26" x14ac:dyDescent="0.25">
      <c r="Z32304"/>
    </row>
    <row r="32305" spans="26:26" x14ac:dyDescent="0.25">
      <c r="Z32305"/>
    </row>
    <row r="32306" spans="26:26" x14ac:dyDescent="0.25">
      <c r="Z32306"/>
    </row>
    <row r="32307" spans="26:26" x14ac:dyDescent="0.25">
      <c r="Z32307"/>
    </row>
    <row r="32308" spans="26:26" x14ac:dyDescent="0.25">
      <c r="Z32308"/>
    </row>
    <row r="32309" spans="26:26" x14ac:dyDescent="0.25">
      <c r="Z32309"/>
    </row>
    <row r="32310" spans="26:26" x14ac:dyDescent="0.25">
      <c r="Z32310"/>
    </row>
    <row r="32311" spans="26:26" x14ac:dyDescent="0.25">
      <c r="Z32311"/>
    </row>
    <row r="32312" spans="26:26" x14ac:dyDescent="0.25">
      <c r="Z32312"/>
    </row>
    <row r="32313" spans="26:26" x14ac:dyDescent="0.25">
      <c r="Z32313"/>
    </row>
    <row r="32314" spans="26:26" x14ac:dyDescent="0.25">
      <c r="Z32314"/>
    </row>
    <row r="32315" spans="26:26" x14ac:dyDescent="0.25">
      <c r="Z32315"/>
    </row>
    <row r="32316" spans="26:26" x14ac:dyDescent="0.25">
      <c r="Z32316"/>
    </row>
    <row r="32317" spans="26:26" x14ac:dyDescent="0.25">
      <c r="Z32317"/>
    </row>
    <row r="32318" spans="26:26" x14ac:dyDescent="0.25">
      <c r="Z32318"/>
    </row>
    <row r="32319" spans="26:26" x14ac:dyDescent="0.25">
      <c r="Z32319"/>
    </row>
    <row r="32320" spans="26:26" x14ac:dyDescent="0.25">
      <c r="Z32320"/>
    </row>
    <row r="32321" spans="26:26" x14ac:dyDescent="0.25">
      <c r="Z32321"/>
    </row>
    <row r="32322" spans="26:26" x14ac:dyDescent="0.25">
      <c r="Z32322"/>
    </row>
    <row r="32323" spans="26:26" x14ac:dyDescent="0.25">
      <c r="Z32323"/>
    </row>
    <row r="32324" spans="26:26" x14ac:dyDescent="0.25">
      <c r="Z32324"/>
    </row>
    <row r="32325" spans="26:26" x14ac:dyDescent="0.25">
      <c r="Z32325"/>
    </row>
    <row r="32326" spans="26:26" x14ac:dyDescent="0.25">
      <c r="Z32326"/>
    </row>
    <row r="32327" spans="26:26" x14ac:dyDescent="0.25">
      <c r="Z32327"/>
    </row>
    <row r="32328" spans="26:26" x14ac:dyDescent="0.25">
      <c r="Z32328"/>
    </row>
    <row r="32329" spans="26:26" x14ac:dyDescent="0.25">
      <c r="Z32329"/>
    </row>
    <row r="32330" spans="26:26" x14ac:dyDescent="0.25">
      <c r="Z32330"/>
    </row>
    <row r="32331" spans="26:26" x14ac:dyDescent="0.25">
      <c r="Z32331"/>
    </row>
    <row r="32332" spans="26:26" x14ac:dyDescent="0.25">
      <c r="Z32332"/>
    </row>
    <row r="32333" spans="26:26" x14ac:dyDescent="0.25">
      <c r="Z32333"/>
    </row>
    <row r="32334" spans="26:26" x14ac:dyDescent="0.25">
      <c r="Z32334"/>
    </row>
    <row r="32335" spans="26:26" x14ac:dyDescent="0.25">
      <c r="Z32335"/>
    </row>
    <row r="32336" spans="26:26" x14ac:dyDescent="0.25">
      <c r="Z32336"/>
    </row>
    <row r="32337" spans="26:26" x14ac:dyDescent="0.25">
      <c r="Z32337"/>
    </row>
    <row r="32338" spans="26:26" x14ac:dyDescent="0.25">
      <c r="Z32338"/>
    </row>
    <row r="32339" spans="26:26" x14ac:dyDescent="0.25">
      <c r="Z32339"/>
    </row>
    <row r="32340" spans="26:26" x14ac:dyDescent="0.25">
      <c r="Z32340"/>
    </row>
    <row r="32341" spans="26:26" x14ac:dyDescent="0.25">
      <c r="Z32341"/>
    </row>
    <row r="32342" spans="26:26" x14ac:dyDescent="0.25">
      <c r="Z32342"/>
    </row>
    <row r="32343" spans="26:26" x14ac:dyDescent="0.25">
      <c r="Z32343"/>
    </row>
    <row r="32344" spans="26:26" x14ac:dyDescent="0.25">
      <c r="Z32344"/>
    </row>
    <row r="32345" spans="26:26" x14ac:dyDescent="0.25">
      <c r="Z32345"/>
    </row>
    <row r="32346" spans="26:26" x14ac:dyDescent="0.25">
      <c r="Z32346"/>
    </row>
    <row r="32347" spans="26:26" x14ac:dyDescent="0.25">
      <c r="Z32347"/>
    </row>
    <row r="32348" spans="26:26" x14ac:dyDescent="0.25">
      <c r="Z32348"/>
    </row>
    <row r="32349" spans="26:26" x14ac:dyDescent="0.25">
      <c r="Z32349"/>
    </row>
    <row r="32350" spans="26:26" x14ac:dyDescent="0.25">
      <c r="Z32350"/>
    </row>
    <row r="32351" spans="26:26" x14ac:dyDescent="0.25">
      <c r="Z32351"/>
    </row>
    <row r="32352" spans="26:26" x14ac:dyDescent="0.25">
      <c r="Z32352"/>
    </row>
    <row r="32353" spans="26:26" x14ac:dyDescent="0.25">
      <c r="Z32353"/>
    </row>
    <row r="32354" spans="26:26" x14ac:dyDescent="0.25">
      <c r="Z32354"/>
    </row>
    <row r="32355" spans="26:26" x14ac:dyDescent="0.25">
      <c r="Z32355"/>
    </row>
    <row r="32356" spans="26:26" x14ac:dyDescent="0.25">
      <c r="Z32356"/>
    </row>
    <row r="32357" spans="26:26" x14ac:dyDescent="0.25">
      <c r="Z32357"/>
    </row>
    <row r="32358" spans="26:26" x14ac:dyDescent="0.25">
      <c r="Z32358"/>
    </row>
    <row r="32359" spans="26:26" x14ac:dyDescent="0.25">
      <c r="Z32359"/>
    </row>
    <row r="32360" spans="26:26" x14ac:dyDescent="0.25">
      <c r="Z32360"/>
    </row>
    <row r="32361" spans="26:26" x14ac:dyDescent="0.25">
      <c r="Z32361"/>
    </row>
    <row r="32362" spans="26:26" x14ac:dyDescent="0.25">
      <c r="Z32362"/>
    </row>
    <row r="32363" spans="26:26" x14ac:dyDescent="0.25">
      <c r="Z32363"/>
    </row>
    <row r="32364" spans="26:26" x14ac:dyDescent="0.25">
      <c r="Z32364"/>
    </row>
    <row r="32365" spans="26:26" x14ac:dyDescent="0.25">
      <c r="Z32365"/>
    </row>
    <row r="32366" spans="26:26" x14ac:dyDescent="0.25">
      <c r="Z32366"/>
    </row>
    <row r="32367" spans="26:26" x14ac:dyDescent="0.25">
      <c r="Z32367"/>
    </row>
    <row r="32368" spans="26:26" x14ac:dyDescent="0.25">
      <c r="Z32368"/>
    </row>
    <row r="32369" spans="26:26" x14ac:dyDescent="0.25">
      <c r="Z32369"/>
    </row>
    <row r="32370" spans="26:26" x14ac:dyDescent="0.25">
      <c r="Z32370"/>
    </row>
    <row r="32371" spans="26:26" x14ac:dyDescent="0.25">
      <c r="Z32371"/>
    </row>
    <row r="32372" spans="26:26" x14ac:dyDescent="0.25">
      <c r="Z32372"/>
    </row>
    <row r="32373" spans="26:26" x14ac:dyDescent="0.25">
      <c r="Z32373"/>
    </row>
    <row r="32374" spans="26:26" x14ac:dyDescent="0.25">
      <c r="Z32374"/>
    </row>
    <row r="32375" spans="26:26" x14ac:dyDescent="0.25">
      <c r="Z32375"/>
    </row>
    <row r="32376" spans="26:26" x14ac:dyDescent="0.25">
      <c r="Z32376"/>
    </row>
    <row r="32377" spans="26:26" x14ac:dyDescent="0.25">
      <c r="Z32377"/>
    </row>
    <row r="32378" spans="26:26" x14ac:dyDescent="0.25">
      <c r="Z32378"/>
    </row>
    <row r="32379" spans="26:26" x14ac:dyDescent="0.25">
      <c r="Z32379"/>
    </row>
    <row r="32380" spans="26:26" x14ac:dyDescent="0.25">
      <c r="Z32380"/>
    </row>
    <row r="32381" spans="26:26" x14ac:dyDescent="0.25">
      <c r="Z32381"/>
    </row>
    <row r="32382" spans="26:26" x14ac:dyDescent="0.25">
      <c r="Z32382"/>
    </row>
    <row r="32383" spans="26:26" x14ac:dyDescent="0.25">
      <c r="Z32383"/>
    </row>
    <row r="32384" spans="26:26" x14ac:dyDescent="0.25">
      <c r="Z32384"/>
    </row>
    <row r="32385" spans="26:26" x14ac:dyDescent="0.25">
      <c r="Z32385"/>
    </row>
    <row r="32386" spans="26:26" x14ac:dyDescent="0.25">
      <c r="Z32386"/>
    </row>
    <row r="32387" spans="26:26" x14ac:dyDescent="0.25">
      <c r="Z32387"/>
    </row>
    <row r="32388" spans="26:26" x14ac:dyDescent="0.25">
      <c r="Z32388"/>
    </row>
    <row r="32389" spans="26:26" x14ac:dyDescent="0.25">
      <c r="Z32389"/>
    </row>
    <row r="32390" spans="26:26" x14ac:dyDescent="0.25">
      <c r="Z32390"/>
    </row>
    <row r="32391" spans="26:26" x14ac:dyDescent="0.25">
      <c r="Z32391"/>
    </row>
    <row r="32392" spans="26:26" x14ac:dyDescent="0.25">
      <c r="Z32392"/>
    </row>
    <row r="32393" spans="26:26" x14ac:dyDescent="0.25">
      <c r="Z32393"/>
    </row>
    <row r="32394" spans="26:26" x14ac:dyDescent="0.25">
      <c r="Z32394"/>
    </row>
    <row r="32395" spans="26:26" x14ac:dyDescent="0.25">
      <c r="Z32395"/>
    </row>
    <row r="32396" spans="26:26" x14ac:dyDescent="0.25">
      <c r="Z32396"/>
    </row>
    <row r="32397" spans="26:26" x14ac:dyDescent="0.25">
      <c r="Z32397"/>
    </row>
    <row r="32398" spans="26:26" x14ac:dyDescent="0.25">
      <c r="Z32398"/>
    </row>
    <row r="32399" spans="26:26" x14ac:dyDescent="0.25">
      <c r="Z32399"/>
    </row>
    <row r="32400" spans="26:26" x14ac:dyDescent="0.25">
      <c r="Z32400"/>
    </row>
    <row r="32401" spans="26:26" x14ac:dyDescent="0.25">
      <c r="Z32401"/>
    </row>
    <row r="32402" spans="26:26" x14ac:dyDescent="0.25">
      <c r="Z32402"/>
    </row>
    <row r="32403" spans="26:26" x14ac:dyDescent="0.25">
      <c r="Z32403"/>
    </row>
    <row r="32404" spans="26:26" x14ac:dyDescent="0.25">
      <c r="Z32404"/>
    </row>
    <row r="32405" spans="26:26" x14ac:dyDescent="0.25">
      <c r="Z32405"/>
    </row>
    <row r="32406" spans="26:26" x14ac:dyDescent="0.25">
      <c r="Z32406"/>
    </row>
    <row r="32407" spans="26:26" x14ac:dyDescent="0.25">
      <c r="Z32407"/>
    </row>
    <row r="32408" spans="26:26" x14ac:dyDescent="0.25">
      <c r="Z32408"/>
    </row>
    <row r="32409" spans="26:26" x14ac:dyDescent="0.25">
      <c r="Z32409"/>
    </row>
    <row r="32410" spans="26:26" x14ac:dyDescent="0.25">
      <c r="Z32410"/>
    </row>
    <row r="32411" spans="26:26" x14ac:dyDescent="0.25">
      <c r="Z32411"/>
    </row>
    <row r="32412" spans="26:26" x14ac:dyDescent="0.25">
      <c r="Z32412"/>
    </row>
    <row r="32413" spans="26:26" x14ac:dyDescent="0.25">
      <c r="Z32413"/>
    </row>
    <row r="32414" spans="26:26" x14ac:dyDescent="0.25">
      <c r="Z32414"/>
    </row>
    <row r="32415" spans="26:26" x14ac:dyDescent="0.25">
      <c r="Z32415"/>
    </row>
    <row r="32416" spans="26:26" x14ac:dyDescent="0.25">
      <c r="Z32416"/>
    </row>
    <row r="32417" spans="26:26" x14ac:dyDescent="0.25">
      <c r="Z32417"/>
    </row>
    <row r="32418" spans="26:26" x14ac:dyDescent="0.25">
      <c r="Z32418"/>
    </row>
    <row r="32419" spans="26:26" x14ac:dyDescent="0.25">
      <c r="Z32419"/>
    </row>
    <row r="32420" spans="26:26" x14ac:dyDescent="0.25">
      <c r="Z32420"/>
    </row>
    <row r="32421" spans="26:26" x14ac:dyDescent="0.25">
      <c r="Z32421"/>
    </row>
    <row r="32422" spans="26:26" x14ac:dyDescent="0.25">
      <c r="Z32422"/>
    </row>
    <row r="32423" spans="26:26" x14ac:dyDescent="0.25">
      <c r="Z32423"/>
    </row>
    <row r="32424" spans="26:26" x14ac:dyDescent="0.25">
      <c r="Z32424"/>
    </row>
    <row r="32425" spans="26:26" x14ac:dyDescent="0.25">
      <c r="Z32425"/>
    </row>
    <row r="32426" spans="26:26" x14ac:dyDescent="0.25">
      <c r="Z32426"/>
    </row>
    <row r="32427" spans="26:26" x14ac:dyDescent="0.25">
      <c r="Z32427"/>
    </row>
    <row r="32428" spans="26:26" x14ac:dyDescent="0.25">
      <c r="Z32428"/>
    </row>
    <row r="32429" spans="26:26" x14ac:dyDescent="0.25">
      <c r="Z32429"/>
    </row>
    <row r="32430" spans="26:26" x14ac:dyDescent="0.25">
      <c r="Z32430"/>
    </row>
    <row r="32431" spans="26:26" x14ac:dyDescent="0.25">
      <c r="Z32431"/>
    </row>
    <row r="32432" spans="26:26" x14ac:dyDescent="0.25">
      <c r="Z32432"/>
    </row>
    <row r="32433" spans="26:26" x14ac:dyDescent="0.25">
      <c r="Z32433"/>
    </row>
    <row r="32434" spans="26:26" x14ac:dyDescent="0.25">
      <c r="Z32434"/>
    </row>
    <row r="32435" spans="26:26" x14ac:dyDescent="0.25">
      <c r="Z32435"/>
    </row>
    <row r="32436" spans="26:26" x14ac:dyDescent="0.25">
      <c r="Z32436"/>
    </row>
    <row r="32437" spans="26:26" x14ac:dyDescent="0.25">
      <c r="Z32437"/>
    </row>
    <row r="32438" spans="26:26" x14ac:dyDescent="0.25">
      <c r="Z32438"/>
    </row>
    <row r="32439" spans="26:26" x14ac:dyDescent="0.25">
      <c r="Z32439"/>
    </row>
    <row r="32440" spans="26:26" x14ac:dyDescent="0.25">
      <c r="Z32440"/>
    </row>
    <row r="32441" spans="26:26" x14ac:dyDescent="0.25">
      <c r="Z32441"/>
    </row>
    <row r="32442" spans="26:26" x14ac:dyDescent="0.25">
      <c r="Z32442"/>
    </row>
    <row r="32443" spans="26:26" x14ac:dyDescent="0.25">
      <c r="Z32443"/>
    </row>
    <row r="32444" spans="26:26" x14ac:dyDescent="0.25">
      <c r="Z32444"/>
    </row>
    <row r="32445" spans="26:26" x14ac:dyDescent="0.25">
      <c r="Z32445"/>
    </row>
    <row r="32446" spans="26:26" x14ac:dyDescent="0.25">
      <c r="Z32446"/>
    </row>
    <row r="32447" spans="26:26" x14ac:dyDescent="0.25">
      <c r="Z32447"/>
    </row>
    <row r="32448" spans="26:26" x14ac:dyDescent="0.25">
      <c r="Z32448"/>
    </row>
    <row r="32449" spans="26:26" x14ac:dyDescent="0.25">
      <c r="Z32449"/>
    </row>
    <row r="32450" spans="26:26" x14ac:dyDescent="0.25">
      <c r="Z32450"/>
    </row>
    <row r="32451" spans="26:26" x14ac:dyDescent="0.25">
      <c r="Z32451"/>
    </row>
    <row r="32452" spans="26:26" x14ac:dyDescent="0.25">
      <c r="Z32452"/>
    </row>
    <row r="32453" spans="26:26" x14ac:dyDescent="0.25">
      <c r="Z32453"/>
    </row>
    <row r="32454" spans="26:26" x14ac:dyDescent="0.25">
      <c r="Z32454"/>
    </row>
    <row r="32455" spans="26:26" x14ac:dyDescent="0.25">
      <c r="Z32455"/>
    </row>
    <row r="32456" spans="26:26" x14ac:dyDescent="0.25">
      <c r="Z32456"/>
    </row>
    <row r="32457" spans="26:26" x14ac:dyDescent="0.25">
      <c r="Z32457"/>
    </row>
    <row r="32458" spans="26:26" x14ac:dyDescent="0.25">
      <c r="Z32458"/>
    </row>
    <row r="32459" spans="26:26" x14ac:dyDescent="0.25">
      <c r="Z32459"/>
    </row>
    <row r="32460" spans="26:26" x14ac:dyDescent="0.25">
      <c r="Z32460"/>
    </row>
    <row r="32461" spans="26:26" x14ac:dyDescent="0.25">
      <c r="Z32461"/>
    </row>
    <row r="32462" spans="26:26" x14ac:dyDescent="0.25">
      <c r="Z32462"/>
    </row>
    <row r="32463" spans="26:26" x14ac:dyDescent="0.25">
      <c r="Z32463"/>
    </row>
    <row r="32464" spans="26:26" x14ac:dyDescent="0.25">
      <c r="Z32464"/>
    </row>
    <row r="32465" spans="26:26" x14ac:dyDescent="0.25">
      <c r="Z32465"/>
    </row>
    <row r="32466" spans="26:26" x14ac:dyDescent="0.25">
      <c r="Z32466"/>
    </row>
    <row r="32467" spans="26:26" x14ac:dyDescent="0.25">
      <c r="Z32467"/>
    </row>
    <row r="32468" spans="26:26" x14ac:dyDescent="0.25">
      <c r="Z32468"/>
    </row>
    <row r="32469" spans="26:26" x14ac:dyDescent="0.25">
      <c r="Z32469"/>
    </row>
    <row r="32470" spans="26:26" x14ac:dyDescent="0.25">
      <c r="Z32470"/>
    </row>
    <row r="32471" spans="26:26" x14ac:dyDescent="0.25">
      <c r="Z32471"/>
    </row>
    <row r="32472" spans="26:26" x14ac:dyDescent="0.25">
      <c r="Z32472"/>
    </row>
    <row r="32473" spans="26:26" x14ac:dyDescent="0.25">
      <c r="Z32473"/>
    </row>
    <row r="32474" spans="26:26" x14ac:dyDescent="0.25">
      <c r="Z32474"/>
    </row>
    <row r="32475" spans="26:26" x14ac:dyDescent="0.25">
      <c r="Z32475"/>
    </row>
    <row r="32476" spans="26:26" x14ac:dyDescent="0.25">
      <c r="Z32476"/>
    </row>
    <row r="32477" spans="26:26" x14ac:dyDescent="0.25">
      <c r="Z32477"/>
    </row>
    <row r="32478" spans="26:26" x14ac:dyDescent="0.25">
      <c r="Z32478"/>
    </row>
    <row r="32479" spans="26:26" x14ac:dyDescent="0.25">
      <c r="Z32479"/>
    </row>
    <row r="32480" spans="26:26" x14ac:dyDescent="0.25">
      <c r="Z32480"/>
    </row>
    <row r="32481" spans="26:26" x14ac:dyDescent="0.25">
      <c r="Z32481"/>
    </row>
    <row r="32482" spans="26:26" x14ac:dyDescent="0.25">
      <c r="Z32482"/>
    </row>
    <row r="32483" spans="26:26" x14ac:dyDescent="0.25">
      <c r="Z32483"/>
    </row>
    <row r="32484" spans="26:26" x14ac:dyDescent="0.25">
      <c r="Z32484"/>
    </row>
    <row r="32485" spans="26:26" x14ac:dyDescent="0.25">
      <c r="Z32485"/>
    </row>
    <row r="32486" spans="26:26" x14ac:dyDescent="0.25">
      <c r="Z32486"/>
    </row>
    <row r="32487" spans="26:26" x14ac:dyDescent="0.25">
      <c r="Z32487"/>
    </row>
    <row r="32488" spans="26:26" x14ac:dyDescent="0.25">
      <c r="Z32488"/>
    </row>
    <row r="32489" spans="26:26" x14ac:dyDescent="0.25">
      <c r="Z32489"/>
    </row>
    <row r="32490" spans="26:26" x14ac:dyDescent="0.25">
      <c r="Z32490"/>
    </row>
    <row r="32491" spans="26:26" x14ac:dyDescent="0.25">
      <c r="Z32491"/>
    </row>
    <row r="32492" spans="26:26" x14ac:dyDescent="0.25">
      <c r="Z32492"/>
    </row>
    <row r="32493" spans="26:26" x14ac:dyDescent="0.25">
      <c r="Z32493"/>
    </row>
    <row r="32494" spans="26:26" x14ac:dyDescent="0.25">
      <c r="Z32494"/>
    </row>
    <row r="32495" spans="26:26" x14ac:dyDescent="0.25">
      <c r="Z32495"/>
    </row>
    <row r="32496" spans="26:26" x14ac:dyDescent="0.25">
      <c r="Z32496"/>
    </row>
    <row r="32497" spans="26:26" x14ac:dyDescent="0.25">
      <c r="Z32497"/>
    </row>
    <row r="32498" spans="26:26" x14ac:dyDescent="0.25">
      <c r="Z32498"/>
    </row>
    <row r="32499" spans="26:26" x14ac:dyDescent="0.25">
      <c r="Z32499"/>
    </row>
    <row r="32500" spans="26:26" x14ac:dyDescent="0.25">
      <c r="Z32500"/>
    </row>
    <row r="32501" spans="26:26" x14ac:dyDescent="0.25">
      <c r="Z32501"/>
    </row>
    <row r="32502" spans="26:26" x14ac:dyDescent="0.25">
      <c r="Z32502"/>
    </row>
    <row r="32503" spans="26:26" x14ac:dyDescent="0.25">
      <c r="Z32503"/>
    </row>
    <row r="32504" spans="26:26" x14ac:dyDescent="0.25">
      <c r="Z32504"/>
    </row>
    <row r="32505" spans="26:26" x14ac:dyDescent="0.25">
      <c r="Z32505"/>
    </row>
    <row r="32506" spans="26:26" x14ac:dyDescent="0.25">
      <c r="Z32506"/>
    </row>
    <row r="32507" spans="26:26" x14ac:dyDescent="0.25">
      <c r="Z32507"/>
    </row>
    <row r="32508" spans="26:26" x14ac:dyDescent="0.25">
      <c r="Z32508"/>
    </row>
    <row r="32509" spans="26:26" x14ac:dyDescent="0.25">
      <c r="Z32509"/>
    </row>
    <row r="32510" spans="26:26" x14ac:dyDescent="0.25">
      <c r="Z32510"/>
    </row>
    <row r="32511" spans="26:26" x14ac:dyDescent="0.25">
      <c r="Z32511"/>
    </row>
    <row r="32512" spans="26:26" x14ac:dyDescent="0.25">
      <c r="Z32512"/>
    </row>
    <row r="32513" spans="26:26" x14ac:dyDescent="0.25">
      <c r="Z32513"/>
    </row>
    <row r="32514" spans="26:26" x14ac:dyDescent="0.25">
      <c r="Z32514"/>
    </row>
    <row r="32515" spans="26:26" x14ac:dyDescent="0.25">
      <c r="Z32515"/>
    </row>
    <row r="32516" spans="26:26" x14ac:dyDescent="0.25">
      <c r="Z32516"/>
    </row>
    <row r="32517" spans="26:26" x14ac:dyDescent="0.25">
      <c r="Z32517"/>
    </row>
    <row r="32518" spans="26:26" x14ac:dyDescent="0.25">
      <c r="Z32518"/>
    </row>
    <row r="32519" spans="26:26" x14ac:dyDescent="0.25">
      <c r="Z32519"/>
    </row>
    <row r="32520" spans="26:26" x14ac:dyDescent="0.25">
      <c r="Z32520"/>
    </row>
    <row r="32521" spans="26:26" x14ac:dyDescent="0.25">
      <c r="Z32521"/>
    </row>
    <row r="32522" spans="26:26" x14ac:dyDescent="0.25">
      <c r="Z32522"/>
    </row>
    <row r="32523" spans="26:26" x14ac:dyDescent="0.25">
      <c r="Z32523"/>
    </row>
    <row r="32524" spans="26:26" x14ac:dyDescent="0.25">
      <c r="Z32524"/>
    </row>
    <row r="32525" spans="26:26" x14ac:dyDescent="0.25">
      <c r="Z32525"/>
    </row>
    <row r="32526" spans="26:26" x14ac:dyDescent="0.25">
      <c r="Z32526"/>
    </row>
    <row r="32527" spans="26:26" x14ac:dyDescent="0.25">
      <c r="Z32527"/>
    </row>
    <row r="32528" spans="26:26" x14ac:dyDescent="0.25">
      <c r="Z32528"/>
    </row>
    <row r="32529" spans="26:26" x14ac:dyDescent="0.25">
      <c r="Z32529"/>
    </row>
    <row r="32530" spans="26:26" x14ac:dyDescent="0.25">
      <c r="Z32530"/>
    </row>
    <row r="32531" spans="26:26" x14ac:dyDescent="0.25">
      <c r="Z32531"/>
    </row>
    <row r="32532" spans="26:26" x14ac:dyDescent="0.25">
      <c r="Z32532"/>
    </row>
    <row r="32533" spans="26:26" x14ac:dyDescent="0.25">
      <c r="Z32533"/>
    </row>
    <row r="32534" spans="26:26" x14ac:dyDescent="0.25">
      <c r="Z32534"/>
    </row>
    <row r="32535" spans="26:26" x14ac:dyDescent="0.25">
      <c r="Z32535"/>
    </row>
    <row r="32536" spans="26:26" x14ac:dyDescent="0.25">
      <c r="Z32536"/>
    </row>
    <row r="32537" spans="26:26" x14ac:dyDescent="0.25">
      <c r="Z32537"/>
    </row>
    <row r="32538" spans="26:26" x14ac:dyDescent="0.25">
      <c r="Z32538"/>
    </row>
    <row r="32539" spans="26:26" x14ac:dyDescent="0.25">
      <c r="Z32539"/>
    </row>
    <row r="32540" spans="26:26" x14ac:dyDescent="0.25">
      <c r="Z32540"/>
    </row>
    <row r="32541" spans="26:26" x14ac:dyDescent="0.25">
      <c r="Z32541"/>
    </row>
    <row r="32542" spans="26:26" x14ac:dyDescent="0.25">
      <c r="Z32542"/>
    </row>
    <row r="32543" spans="26:26" x14ac:dyDescent="0.25">
      <c r="Z32543"/>
    </row>
    <row r="32544" spans="26:26" x14ac:dyDescent="0.25">
      <c r="Z32544"/>
    </row>
    <row r="32545" spans="26:26" x14ac:dyDescent="0.25">
      <c r="Z32545"/>
    </row>
    <row r="32546" spans="26:26" x14ac:dyDescent="0.25">
      <c r="Z32546"/>
    </row>
    <row r="32547" spans="26:26" x14ac:dyDescent="0.25">
      <c r="Z32547"/>
    </row>
    <row r="32548" spans="26:26" x14ac:dyDescent="0.25">
      <c r="Z32548"/>
    </row>
    <row r="32549" spans="26:26" x14ac:dyDescent="0.25">
      <c r="Z32549"/>
    </row>
    <row r="32550" spans="26:26" x14ac:dyDescent="0.25">
      <c r="Z32550"/>
    </row>
    <row r="32551" spans="26:26" x14ac:dyDescent="0.25">
      <c r="Z32551"/>
    </row>
    <row r="32552" spans="26:26" x14ac:dyDescent="0.25">
      <c r="Z32552"/>
    </row>
    <row r="32553" spans="26:26" x14ac:dyDescent="0.25">
      <c r="Z32553"/>
    </row>
    <row r="32554" spans="26:26" x14ac:dyDescent="0.25">
      <c r="Z32554"/>
    </row>
    <row r="32555" spans="26:26" x14ac:dyDescent="0.25">
      <c r="Z32555"/>
    </row>
    <row r="32556" spans="26:26" x14ac:dyDescent="0.25">
      <c r="Z32556"/>
    </row>
    <row r="32557" spans="26:26" x14ac:dyDescent="0.25">
      <c r="Z32557"/>
    </row>
    <row r="32558" spans="26:26" x14ac:dyDescent="0.25">
      <c r="Z32558"/>
    </row>
    <row r="32559" spans="26:26" x14ac:dyDescent="0.25">
      <c r="Z32559"/>
    </row>
    <row r="32560" spans="26:26" x14ac:dyDescent="0.25">
      <c r="Z32560"/>
    </row>
    <row r="32561" spans="26:26" x14ac:dyDescent="0.25">
      <c r="Z32561"/>
    </row>
    <row r="32562" spans="26:26" x14ac:dyDescent="0.25">
      <c r="Z32562"/>
    </row>
    <row r="32563" spans="26:26" x14ac:dyDescent="0.25">
      <c r="Z32563"/>
    </row>
    <row r="32564" spans="26:26" x14ac:dyDescent="0.25">
      <c r="Z32564"/>
    </row>
    <row r="32565" spans="26:26" x14ac:dyDescent="0.25">
      <c r="Z32565"/>
    </row>
    <row r="32566" spans="26:26" x14ac:dyDescent="0.25">
      <c r="Z32566"/>
    </row>
    <row r="32567" spans="26:26" x14ac:dyDescent="0.25">
      <c r="Z32567"/>
    </row>
    <row r="32568" spans="26:26" x14ac:dyDescent="0.25">
      <c r="Z32568"/>
    </row>
    <row r="32569" spans="26:26" x14ac:dyDescent="0.25">
      <c r="Z32569"/>
    </row>
    <row r="32570" spans="26:26" x14ac:dyDescent="0.25">
      <c r="Z32570"/>
    </row>
    <row r="32571" spans="26:26" x14ac:dyDescent="0.25">
      <c r="Z32571"/>
    </row>
    <row r="32572" spans="26:26" x14ac:dyDescent="0.25">
      <c r="Z32572"/>
    </row>
    <row r="32573" spans="26:26" x14ac:dyDescent="0.25">
      <c r="Z32573"/>
    </row>
    <row r="32574" spans="26:26" x14ac:dyDescent="0.25">
      <c r="Z32574"/>
    </row>
    <row r="32575" spans="26:26" x14ac:dyDescent="0.25">
      <c r="Z32575"/>
    </row>
    <row r="32576" spans="26:26" x14ac:dyDescent="0.25">
      <c r="Z32576"/>
    </row>
    <row r="32577" spans="26:26" x14ac:dyDescent="0.25">
      <c r="Z32577"/>
    </row>
    <row r="32578" spans="26:26" x14ac:dyDescent="0.25">
      <c r="Z32578"/>
    </row>
    <row r="32579" spans="26:26" x14ac:dyDescent="0.25">
      <c r="Z32579"/>
    </row>
    <row r="32580" spans="26:26" x14ac:dyDescent="0.25">
      <c r="Z32580"/>
    </row>
    <row r="32581" spans="26:26" x14ac:dyDescent="0.25">
      <c r="Z32581"/>
    </row>
    <row r="32582" spans="26:26" x14ac:dyDescent="0.25">
      <c r="Z32582"/>
    </row>
    <row r="32583" spans="26:26" x14ac:dyDescent="0.25">
      <c r="Z32583"/>
    </row>
    <row r="32584" spans="26:26" x14ac:dyDescent="0.25">
      <c r="Z32584"/>
    </row>
    <row r="32585" spans="26:26" x14ac:dyDescent="0.25">
      <c r="Z32585"/>
    </row>
    <row r="32586" spans="26:26" x14ac:dyDescent="0.25">
      <c r="Z32586"/>
    </row>
    <row r="32587" spans="26:26" x14ac:dyDescent="0.25">
      <c r="Z32587"/>
    </row>
    <row r="32588" spans="26:26" x14ac:dyDescent="0.25">
      <c r="Z32588"/>
    </row>
    <row r="32589" spans="26:26" x14ac:dyDescent="0.25">
      <c r="Z32589"/>
    </row>
    <row r="32590" spans="26:26" x14ac:dyDescent="0.25">
      <c r="Z32590"/>
    </row>
    <row r="32591" spans="26:26" x14ac:dyDescent="0.25">
      <c r="Z32591"/>
    </row>
    <row r="32592" spans="26:26" x14ac:dyDescent="0.25">
      <c r="Z32592"/>
    </row>
    <row r="32593" spans="26:26" x14ac:dyDescent="0.25">
      <c r="Z32593"/>
    </row>
    <row r="32594" spans="26:26" x14ac:dyDescent="0.25">
      <c r="Z32594"/>
    </row>
    <row r="32595" spans="26:26" x14ac:dyDescent="0.25">
      <c r="Z32595"/>
    </row>
    <row r="32596" spans="26:26" x14ac:dyDescent="0.25">
      <c r="Z32596"/>
    </row>
    <row r="32597" spans="26:26" x14ac:dyDescent="0.25">
      <c r="Z32597"/>
    </row>
    <row r="32598" spans="26:26" x14ac:dyDescent="0.25">
      <c r="Z32598"/>
    </row>
    <row r="32599" spans="26:26" x14ac:dyDescent="0.25">
      <c r="Z32599"/>
    </row>
    <row r="32600" spans="26:26" x14ac:dyDescent="0.25">
      <c r="Z32600"/>
    </row>
    <row r="32601" spans="26:26" x14ac:dyDescent="0.25">
      <c r="Z32601"/>
    </row>
    <row r="32602" spans="26:26" x14ac:dyDescent="0.25">
      <c r="Z32602"/>
    </row>
    <row r="32603" spans="26:26" x14ac:dyDescent="0.25">
      <c r="Z32603"/>
    </row>
    <row r="32604" spans="26:26" x14ac:dyDescent="0.25">
      <c r="Z32604"/>
    </row>
    <row r="32605" spans="26:26" x14ac:dyDescent="0.25">
      <c r="Z32605"/>
    </row>
    <row r="32606" spans="26:26" x14ac:dyDescent="0.25">
      <c r="Z32606"/>
    </row>
    <row r="32607" spans="26:26" x14ac:dyDescent="0.25">
      <c r="Z32607"/>
    </row>
    <row r="32608" spans="26:26" x14ac:dyDescent="0.25">
      <c r="Z32608"/>
    </row>
    <row r="32609" spans="26:26" x14ac:dyDescent="0.25">
      <c r="Z32609"/>
    </row>
    <row r="32610" spans="26:26" x14ac:dyDescent="0.25">
      <c r="Z32610"/>
    </row>
    <row r="32611" spans="26:26" x14ac:dyDescent="0.25">
      <c r="Z32611"/>
    </row>
    <row r="32612" spans="26:26" x14ac:dyDescent="0.25">
      <c r="Z32612"/>
    </row>
    <row r="32613" spans="26:26" x14ac:dyDescent="0.25">
      <c r="Z32613"/>
    </row>
    <row r="32614" spans="26:26" x14ac:dyDescent="0.25">
      <c r="Z32614"/>
    </row>
    <row r="32615" spans="26:26" x14ac:dyDescent="0.25">
      <c r="Z32615"/>
    </row>
    <row r="32616" spans="26:26" x14ac:dyDescent="0.25">
      <c r="Z32616"/>
    </row>
    <row r="32617" spans="26:26" x14ac:dyDescent="0.25">
      <c r="Z32617"/>
    </row>
    <row r="32618" spans="26:26" x14ac:dyDescent="0.25">
      <c r="Z32618"/>
    </row>
    <row r="32619" spans="26:26" x14ac:dyDescent="0.25">
      <c r="Z32619"/>
    </row>
    <row r="32620" spans="26:26" x14ac:dyDescent="0.25">
      <c r="Z32620"/>
    </row>
    <row r="32621" spans="26:26" x14ac:dyDescent="0.25">
      <c r="Z32621"/>
    </row>
    <row r="32622" spans="26:26" x14ac:dyDescent="0.25">
      <c r="Z32622"/>
    </row>
    <row r="32623" spans="26:26" x14ac:dyDescent="0.25">
      <c r="Z32623"/>
    </row>
    <row r="32624" spans="26:26" x14ac:dyDescent="0.25">
      <c r="Z32624"/>
    </row>
    <row r="32625" spans="26:26" x14ac:dyDescent="0.25">
      <c r="Z32625"/>
    </row>
    <row r="32626" spans="26:26" x14ac:dyDescent="0.25">
      <c r="Z32626"/>
    </row>
    <row r="32627" spans="26:26" x14ac:dyDescent="0.25">
      <c r="Z32627"/>
    </row>
    <row r="32628" spans="26:26" x14ac:dyDescent="0.25">
      <c r="Z32628"/>
    </row>
    <row r="32629" spans="26:26" x14ac:dyDescent="0.25">
      <c r="Z32629"/>
    </row>
    <row r="32630" spans="26:26" x14ac:dyDescent="0.25">
      <c r="Z32630"/>
    </row>
    <row r="32631" spans="26:26" x14ac:dyDescent="0.25">
      <c r="Z32631"/>
    </row>
    <row r="32632" spans="26:26" x14ac:dyDescent="0.25">
      <c r="Z32632"/>
    </row>
    <row r="32633" spans="26:26" x14ac:dyDescent="0.25">
      <c r="Z32633"/>
    </row>
    <row r="32634" spans="26:26" x14ac:dyDescent="0.25">
      <c r="Z32634"/>
    </row>
    <row r="32635" spans="26:26" x14ac:dyDescent="0.25">
      <c r="Z32635"/>
    </row>
    <row r="32636" spans="26:26" x14ac:dyDescent="0.25">
      <c r="Z32636"/>
    </row>
    <row r="32637" spans="26:26" x14ac:dyDescent="0.25">
      <c r="Z32637"/>
    </row>
    <row r="32638" spans="26:26" x14ac:dyDescent="0.25">
      <c r="Z32638"/>
    </row>
    <row r="32639" spans="26:26" x14ac:dyDescent="0.25">
      <c r="Z32639"/>
    </row>
    <row r="32640" spans="26:26" x14ac:dyDescent="0.25">
      <c r="Z32640"/>
    </row>
    <row r="32641" spans="26:26" x14ac:dyDescent="0.25">
      <c r="Z32641"/>
    </row>
    <row r="32642" spans="26:26" x14ac:dyDescent="0.25">
      <c r="Z32642"/>
    </row>
    <row r="32643" spans="26:26" x14ac:dyDescent="0.25">
      <c r="Z32643"/>
    </row>
    <row r="32644" spans="26:26" x14ac:dyDescent="0.25">
      <c r="Z32644"/>
    </row>
    <row r="32645" spans="26:26" x14ac:dyDescent="0.25">
      <c r="Z32645"/>
    </row>
    <row r="32646" spans="26:26" x14ac:dyDescent="0.25">
      <c r="Z32646"/>
    </row>
    <row r="32647" spans="26:26" x14ac:dyDescent="0.25">
      <c r="Z32647"/>
    </row>
    <row r="32648" spans="26:26" x14ac:dyDescent="0.25">
      <c r="Z32648"/>
    </row>
    <row r="32649" spans="26:26" x14ac:dyDescent="0.25">
      <c r="Z32649"/>
    </row>
    <row r="32650" spans="26:26" x14ac:dyDescent="0.25">
      <c r="Z32650"/>
    </row>
    <row r="32651" spans="26:26" x14ac:dyDescent="0.25">
      <c r="Z32651"/>
    </row>
    <row r="32652" spans="26:26" x14ac:dyDescent="0.25">
      <c r="Z32652"/>
    </row>
    <row r="32653" spans="26:26" x14ac:dyDescent="0.25">
      <c r="Z32653"/>
    </row>
    <row r="32654" spans="26:26" x14ac:dyDescent="0.25">
      <c r="Z32654"/>
    </row>
    <row r="32655" spans="26:26" x14ac:dyDescent="0.25">
      <c r="Z32655"/>
    </row>
    <row r="32656" spans="26:26" x14ac:dyDescent="0.25">
      <c r="Z32656"/>
    </row>
    <row r="32657" spans="26:26" x14ac:dyDescent="0.25">
      <c r="Z32657"/>
    </row>
    <row r="32658" spans="26:26" x14ac:dyDescent="0.25">
      <c r="Z32658"/>
    </row>
    <row r="32659" spans="26:26" x14ac:dyDescent="0.25">
      <c r="Z32659"/>
    </row>
    <row r="32660" spans="26:26" x14ac:dyDescent="0.25">
      <c r="Z32660"/>
    </row>
    <row r="32661" spans="26:26" x14ac:dyDescent="0.25">
      <c r="Z32661"/>
    </row>
    <row r="32662" spans="26:26" x14ac:dyDescent="0.25">
      <c r="Z32662"/>
    </row>
    <row r="32663" spans="26:26" x14ac:dyDescent="0.25">
      <c r="Z32663"/>
    </row>
    <row r="32664" spans="26:26" x14ac:dyDescent="0.25">
      <c r="Z32664"/>
    </row>
    <row r="32665" spans="26:26" x14ac:dyDescent="0.25">
      <c r="Z32665"/>
    </row>
    <row r="32666" spans="26:26" x14ac:dyDescent="0.25">
      <c r="Z32666"/>
    </row>
    <row r="32667" spans="26:26" x14ac:dyDescent="0.25">
      <c r="Z32667"/>
    </row>
    <row r="32668" spans="26:26" x14ac:dyDescent="0.25">
      <c r="Z32668"/>
    </row>
    <row r="32669" spans="26:26" x14ac:dyDescent="0.25">
      <c r="Z32669"/>
    </row>
    <row r="32670" spans="26:26" x14ac:dyDescent="0.25">
      <c r="Z32670"/>
    </row>
    <row r="32671" spans="26:26" x14ac:dyDescent="0.25">
      <c r="Z32671"/>
    </row>
    <row r="32672" spans="26:26" x14ac:dyDescent="0.25">
      <c r="Z32672"/>
    </row>
    <row r="32673" spans="26:26" x14ac:dyDescent="0.25">
      <c r="Z32673"/>
    </row>
    <row r="32674" spans="26:26" x14ac:dyDescent="0.25">
      <c r="Z32674"/>
    </row>
    <row r="32675" spans="26:26" x14ac:dyDescent="0.25">
      <c r="Z32675"/>
    </row>
    <row r="32676" spans="26:26" x14ac:dyDescent="0.25">
      <c r="Z32676"/>
    </row>
    <row r="32677" spans="26:26" x14ac:dyDescent="0.25">
      <c r="Z32677"/>
    </row>
    <row r="32678" spans="26:26" x14ac:dyDescent="0.25">
      <c r="Z32678"/>
    </row>
    <row r="32679" spans="26:26" x14ac:dyDescent="0.25">
      <c r="Z32679"/>
    </row>
    <row r="32680" spans="26:26" x14ac:dyDescent="0.25">
      <c r="Z32680"/>
    </row>
    <row r="32681" spans="26:26" x14ac:dyDescent="0.25">
      <c r="Z32681"/>
    </row>
    <row r="32682" spans="26:26" x14ac:dyDescent="0.25">
      <c r="Z32682"/>
    </row>
    <row r="32683" spans="26:26" x14ac:dyDescent="0.25">
      <c r="Z32683"/>
    </row>
    <row r="32684" spans="26:26" x14ac:dyDescent="0.25">
      <c r="Z32684"/>
    </row>
    <row r="32685" spans="26:26" x14ac:dyDescent="0.25">
      <c r="Z32685"/>
    </row>
    <row r="32686" spans="26:26" x14ac:dyDescent="0.25">
      <c r="Z32686"/>
    </row>
    <row r="32687" spans="26:26" x14ac:dyDescent="0.25">
      <c r="Z32687"/>
    </row>
    <row r="32688" spans="26:26" x14ac:dyDescent="0.25">
      <c r="Z32688"/>
    </row>
    <row r="32689" spans="26:26" x14ac:dyDescent="0.25">
      <c r="Z32689"/>
    </row>
    <row r="32690" spans="26:26" x14ac:dyDescent="0.25">
      <c r="Z32690"/>
    </row>
    <row r="32691" spans="26:26" x14ac:dyDescent="0.25">
      <c r="Z32691"/>
    </row>
    <row r="32692" spans="26:26" x14ac:dyDescent="0.25">
      <c r="Z32692"/>
    </row>
    <row r="32693" spans="26:26" x14ac:dyDescent="0.25">
      <c r="Z32693"/>
    </row>
    <row r="32694" spans="26:26" x14ac:dyDescent="0.25">
      <c r="Z32694"/>
    </row>
    <row r="32695" spans="26:26" x14ac:dyDescent="0.25">
      <c r="Z32695"/>
    </row>
    <row r="32696" spans="26:26" x14ac:dyDescent="0.25">
      <c r="Z32696"/>
    </row>
    <row r="32697" spans="26:26" x14ac:dyDescent="0.25">
      <c r="Z32697"/>
    </row>
    <row r="32698" spans="26:26" x14ac:dyDescent="0.25">
      <c r="Z32698"/>
    </row>
    <row r="32699" spans="26:26" x14ac:dyDescent="0.25">
      <c r="Z32699"/>
    </row>
    <row r="32700" spans="26:26" x14ac:dyDescent="0.25">
      <c r="Z32700"/>
    </row>
    <row r="32701" spans="26:26" x14ac:dyDescent="0.25">
      <c r="Z32701"/>
    </row>
    <row r="32702" spans="26:26" x14ac:dyDescent="0.25">
      <c r="Z32702"/>
    </row>
    <row r="32703" spans="26:26" x14ac:dyDescent="0.25">
      <c r="Z32703"/>
    </row>
    <row r="32704" spans="26:26" x14ac:dyDescent="0.25">
      <c r="Z32704"/>
    </row>
    <row r="32705" spans="26:26" x14ac:dyDescent="0.25">
      <c r="Z32705"/>
    </row>
    <row r="32706" spans="26:26" x14ac:dyDescent="0.25">
      <c r="Z32706"/>
    </row>
    <row r="32707" spans="26:26" x14ac:dyDescent="0.25">
      <c r="Z32707"/>
    </row>
    <row r="32708" spans="26:26" x14ac:dyDescent="0.25">
      <c r="Z32708"/>
    </row>
    <row r="32709" spans="26:26" x14ac:dyDescent="0.25">
      <c r="Z32709"/>
    </row>
    <row r="32710" spans="26:26" x14ac:dyDescent="0.25">
      <c r="Z32710"/>
    </row>
    <row r="32711" spans="26:26" x14ac:dyDescent="0.25">
      <c r="Z32711"/>
    </row>
    <row r="32712" spans="26:26" x14ac:dyDescent="0.25">
      <c r="Z32712"/>
    </row>
    <row r="32713" spans="26:26" x14ac:dyDescent="0.25">
      <c r="Z32713"/>
    </row>
    <row r="32714" spans="26:26" x14ac:dyDescent="0.25">
      <c r="Z32714"/>
    </row>
    <row r="32715" spans="26:26" x14ac:dyDescent="0.25">
      <c r="Z32715"/>
    </row>
    <row r="32716" spans="26:26" x14ac:dyDescent="0.25">
      <c r="Z32716"/>
    </row>
    <row r="32717" spans="26:26" x14ac:dyDescent="0.25">
      <c r="Z32717"/>
    </row>
    <row r="32718" spans="26:26" x14ac:dyDescent="0.25">
      <c r="Z32718"/>
    </row>
    <row r="32719" spans="26:26" x14ac:dyDescent="0.25">
      <c r="Z32719"/>
    </row>
    <row r="32720" spans="26:26" x14ac:dyDescent="0.25">
      <c r="Z32720"/>
    </row>
    <row r="32721" spans="26:26" x14ac:dyDescent="0.25">
      <c r="Z32721"/>
    </row>
    <row r="32722" spans="26:26" x14ac:dyDescent="0.25">
      <c r="Z32722"/>
    </row>
    <row r="32723" spans="26:26" x14ac:dyDescent="0.25">
      <c r="Z32723"/>
    </row>
    <row r="32724" spans="26:26" x14ac:dyDescent="0.25">
      <c r="Z32724"/>
    </row>
    <row r="32725" spans="26:26" x14ac:dyDescent="0.25">
      <c r="Z32725"/>
    </row>
    <row r="32726" spans="26:26" x14ac:dyDescent="0.25">
      <c r="Z32726"/>
    </row>
    <row r="32727" spans="26:26" x14ac:dyDescent="0.25">
      <c r="Z32727"/>
    </row>
    <row r="32728" spans="26:26" x14ac:dyDescent="0.25">
      <c r="Z32728"/>
    </row>
    <row r="32729" spans="26:26" x14ac:dyDescent="0.25">
      <c r="Z32729"/>
    </row>
    <row r="32730" spans="26:26" x14ac:dyDescent="0.25">
      <c r="Z32730"/>
    </row>
    <row r="32731" spans="26:26" x14ac:dyDescent="0.25">
      <c r="Z32731"/>
    </row>
    <row r="32732" spans="26:26" x14ac:dyDescent="0.25">
      <c r="Z32732"/>
    </row>
    <row r="32733" spans="26:26" x14ac:dyDescent="0.25">
      <c r="Z32733"/>
    </row>
    <row r="32734" spans="26:26" x14ac:dyDescent="0.25">
      <c r="Z32734"/>
    </row>
    <row r="32735" spans="26:26" x14ac:dyDescent="0.25">
      <c r="Z32735"/>
    </row>
    <row r="32736" spans="26:26" x14ac:dyDescent="0.25">
      <c r="Z32736"/>
    </row>
    <row r="32737" spans="26:26" x14ac:dyDescent="0.25">
      <c r="Z32737"/>
    </row>
    <row r="32738" spans="26:26" x14ac:dyDescent="0.25">
      <c r="Z32738"/>
    </row>
    <row r="32739" spans="26:26" x14ac:dyDescent="0.25">
      <c r="Z32739"/>
    </row>
    <row r="32740" spans="26:26" x14ac:dyDescent="0.25">
      <c r="Z32740"/>
    </row>
    <row r="32741" spans="26:26" x14ac:dyDescent="0.25">
      <c r="Z32741"/>
    </row>
    <row r="32742" spans="26:26" x14ac:dyDescent="0.25">
      <c r="Z32742"/>
    </row>
    <row r="32743" spans="26:26" x14ac:dyDescent="0.25">
      <c r="Z32743"/>
    </row>
    <row r="32744" spans="26:26" x14ac:dyDescent="0.25">
      <c r="Z32744"/>
    </row>
    <row r="32745" spans="26:26" x14ac:dyDescent="0.25">
      <c r="Z32745"/>
    </row>
    <row r="32746" spans="26:26" x14ac:dyDescent="0.25">
      <c r="Z32746"/>
    </row>
    <row r="32747" spans="26:26" x14ac:dyDescent="0.25">
      <c r="Z32747"/>
    </row>
    <row r="32748" spans="26:26" x14ac:dyDescent="0.25">
      <c r="Z32748"/>
    </row>
    <row r="32749" spans="26:26" x14ac:dyDescent="0.25">
      <c r="Z32749"/>
    </row>
    <row r="32750" spans="26:26" x14ac:dyDescent="0.25">
      <c r="Z32750"/>
    </row>
    <row r="32751" spans="26:26" x14ac:dyDescent="0.25">
      <c r="Z32751"/>
    </row>
    <row r="32752" spans="26:26" x14ac:dyDescent="0.25">
      <c r="Z32752"/>
    </row>
    <row r="32753" spans="26:26" x14ac:dyDescent="0.25">
      <c r="Z32753"/>
    </row>
    <row r="32754" spans="26:26" x14ac:dyDescent="0.25">
      <c r="Z32754"/>
    </row>
    <row r="32755" spans="26:26" x14ac:dyDescent="0.25">
      <c r="Z32755"/>
    </row>
    <row r="32756" spans="26:26" x14ac:dyDescent="0.25">
      <c r="Z32756"/>
    </row>
    <row r="32757" spans="26:26" x14ac:dyDescent="0.25">
      <c r="Z32757"/>
    </row>
    <row r="32758" spans="26:26" x14ac:dyDescent="0.25">
      <c r="Z32758"/>
    </row>
    <row r="32759" spans="26:26" x14ac:dyDescent="0.25">
      <c r="Z32759"/>
    </row>
    <row r="32760" spans="26:26" x14ac:dyDescent="0.25">
      <c r="Z32760"/>
    </row>
    <row r="32761" spans="26:26" x14ac:dyDescent="0.25">
      <c r="Z32761"/>
    </row>
    <row r="32762" spans="26:26" x14ac:dyDescent="0.25">
      <c r="Z32762"/>
    </row>
    <row r="32763" spans="26:26" x14ac:dyDescent="0.25">
      <c r="Z32763"/>
    </row>
    <row r="32764" spans="26:26" x14ac:dyDescent="0.25">
      <c r="Z32764"/>
    </row>
    <row r="32765" spans="26:26" x14ac:dyDescent="0.25">
      <c r="Z32765"/>
    </row>
    <row r="32766" spans="26:26" x14ac:dyDescent="0.25">
      <c r="Z32766"/>
    </row>
    <row r="32767" spans="26:26" x14ac:dyDescent="0.25">
      <c r="Z32767"/>
    </row>
    <row r="32768" spans="26:26" x14ac:dyDescent="0.25">
      <c r="Z32768"/>
    </row>
    <row r="32769" spans="26:26" x14ac:dyDescent="0.25">
      <c r="Z32769"/>
    </row>
    <row r="32770" spans="26:26" x14ac:dyDescent="0.25">
      <c r="Z32770"/>
    </row>
    <row r="32771" spans="26:26" x14ac:dyDescent="0.25">
      <c r="Z32771"/>
    </row>
    <row r="32772" spans="26:26" x14ac:dyDescent="0.25">
      <c r="Z32772"/>
    </row>
    <row r="32773" spans="26:26" x14ac:dyDescent="0.25">
      <c r="Z32773"/>
    </row>
    <row r="32774" spans="26:26" x14ac:dyDescent="0.25">
      <c r="Z32774"/>
    </row>
    <row r="32775" spans="26:26" x14ac:dyDescent="0.25">
      <c r="Z32775"/>
    </row>
    <row r="32776" spans="26:26" x14ac:dyDescent="0.25">
      <c r="Z32776"/>
    </row>
    <row r="32777" spans="26:26" x14ac:dyDescent="0.25">
      <c r="Z32777"/>
    </row>
    <row r="32778" spans="26:26" x14ac:dyDescent="0.25">
      <c r="Z32778"/>
    </row>
    <row r="32779" spans="26:26" x14ac:dyDescent="0.25">
      <c r="Z32779"/>
    </row>
    <row r="32780" spans="26:26" x14ac:dyDescent="0.25">
      <c r="Z32780"/>
    </row>
    <row r="32781" spans="26:26" x14ac:dyDescent="0.25">
      <c r="Z32781"/>
    </row>
    <row r="32782" spans="26:26" x14ac:dyDescent="0.25">
      <c r="Z32782"/>
    </row>
    <row r="32783" spans="26:26" x14ac:dyDescent="0.25">
      <c r="Z32783"/>
    </row>
    <row r="32784" spans="26:26" x14ac:dyDescent="0.25">
      <c r="Z32784"/>
    </row>
    <row r="32785" spans="26:26" x14ac:dyDescent="0.25">
      <c r="Z32785"/>
    </row>
    <row r="32786" spans="26:26" x14ac:dyDescent="0.25">
      <c r="Z32786"/>
    </row>
    <row r="32787" spans="26:26" x14ac:dyDescent="0.25">
      <c r="Z32787"/>
    </row>
    <row r="32788" spans="26:26" x14ac:dyDescent="0.25">
      <c r="Z32788"/>
    </row>
    <row r="32789" spans="26:26" x14ac:dyDescent="0.25">
      <c r="Z32789"/>
    </row>
    <row r="32790" spans="26:26" x14ac:dyDescent="0.25">
      <c r="Z32790"/>
    </row>
    <row r="32791" spans="26:26" x14ac:dyDescent="0.25">
      <c r="Z32791"/>
    </row>
    <row r="32792" spans="26:26" x14ac:dyDescent="0.25">
      <c r="Z32792"/>
    </row>
    <row r="32793" spans="26:26" x14ac:dyDescent="0.25">
      <c r="Z32793"/>
    </row>
    <row r="32794" spans="26:26" x14ac:dyDescent="0.25">
      <c r="Z32794"/>
    </row>
    <row r="32795" spans="26:26" x14ac:dyDescent="0.25">
      <c r="Z32795"/>
    </row>
    <row r="32796" spans="26:26" x14ac:dyDescent="0.25">
      <c r="Z32796"/>
    </row>
    <row r="32797" spans="26:26" x14ac:dyDescent="0.25">
      <c r="Z32797"/>
    </row>
    <row r="32798" spans="26:26" x14ac:dyDescent="0.25">
      <c r="Z32798"/>
    </row>
    <row r="32799" spans="26:26" x14ac:dyDescent="0.25">
      <c r="Z32799"/>
    </row>
    <row r="32800" spans="26:26" x14ac:dyDescent="0.25">
      <c r="Z32800"/>
    </row>
    <row r="32801" spans="26:26" x14ac:dyDescent="0.25">
      <c r="Z32801"/>
    </row>
    <row r="32802" spans="26:26" x14ac:dyDescent="0.25">
      <c r="Z32802"/>
    </row>
    <row r="32803" spans="26:26" x14ac:dyDescent="0.25">
      <c r="Z32803"/>
    </row>
    <row r="32804" spans="26:26" x14ac:dyDescent="0.25">
      <c r="Z32804"/>
    </row>
    <row r="32805" spans="26:26" x14ac:dyDescent="0.25">
      <c r="Z32805"/>
    </row>
    <row r="32806" spans="26:26" x14ac:dyDescent="0.25">
      <c r="Z32806"/>
    </row>
    <row r="32807" spans="26:26" x14ac:dyDescent="0.25">
      <c r="Z32807"/>
    </row>
    <row r="32808" spans="26:26" x14ac:dyDescent="0.25">
      <c r="Z32808"/>
    </row>
    <row r="32809" spans="26:26" x14ac:dyDescent="0.25">
      <c r="Z32809"/>
    </row>
    <row r="32810" spans="26:26" x14ac:dyDescent="0.25">
      <c r="Z32810"/>
    </row>
    <row r="32811" spans="26:26" x14ac:dyDescent="0.25">
      <c r="Z32811"/>
    </row>
    <row r="32812" spans="26:26" x14ac:dyDescent="0.25">
      <c r="Z32812"/>
    </row>
    <row r="32813" spans="26:26" x14ac:dyDescent="0.25">
      <c r="Z32813"/>
    </row>
    <row r="32814" spans="26:26" x14ac:dyDescent="0.25">
      <c r="Z32814"/>
    </row>
    <row r="32815" spans="26:26" x14ac:dyDescent="0.25">
      <c r="Z32815"/>
    </row>
    <row r="32816" spans="26:26" x14ac:dyDescent="0.25">
      <c r="Z32816"/>
    </row>
    <row r="32817" spans="26:26" x14ac:dyDescent="0.25">
      <c r="Z32817"/>
    </row>
    <row r="32818" spans="26:26" x14ac:dyDescent="0.25">
      <c r="Z32818"/>
    </row>
    <row r="32819" spans="26:26" x14ac:dyDescent="0.25">
      <c r="Z32819"/>
    </row>
    <row r="32820" spans="26:26" x14ac:dyDescent="0.25">
      <c r="Z32820"/>
    </row>
    <row r="32821" spans="26:26" x14ac:dyDescent="0.25">
      <c r="Z32821"/>
    </row>
    <row r="32822" spans="26:26" x14ac:dyDescent="0.25">
      <c r="Z32822"/>
    </row>
    <row r="32823" spans="26:26" x14ac:dyDescent="0.25">
      <c r="Z32823"/>
    </row>
    <row r="32824" spans="26:26" x14ac:dyDescent="0.25">
      <c r="Z32824"/>
    </row>
    <row r="32825" spans="26:26" x14ac:dyDescent="0.25">
      <c r="Z32825"/>
    </row>
    <row r="32826" spans="26:26" x14ac:dyDescent="0.25">
      <c r="Z32826"/>
    </row>
    <row r="32827" spans="26:26" x14ac:dyDescent="0.25">
      <c r="Z32827"/>
    </row>
    <row r="32828" spans="26:26" x14ac:dyDescent="0.25">
      <c r="Z32828"/>
    </row>
    <row r="32829" spans="26:26" x14ac:dyDescent="0.25">
      <c r="Z32829"/>
    </row>
    <row r="32830" spans="26:26" x14ac:dyDescent="0.25">
      <c r="Z32830"/>
    </row>
    <row r="32831" spans="26:26" x14ac:dyDescent="0.25">
      <c r="Z32831"/>
    </row>
    <row r="32832" spans="26:26" x14ac:dyDescent="0.25">
      <c r="Z32832"/>
    </row>
    <row r="32833" spans="26:26" x14ac:dyDescent="0.25">
      <c r="Z32833"/>
    </row>
    <row r="32834" spans="26:26" x14ac:dyDescent="0.25">
      <c r="Z32834"/>
    </row>
    <row r="32835" spans="26:26" x14ac:dyDescent="0.25">
      <c r="Z32835"/>
    </row>
    <row r="32836" spans="26:26" x14ac:dyDescent="0.25">
      <c r="Z32836"/>
    </row>
    <row r="32837" spans="26:26" x14ac:dyDescent="0.25">
      <c r="Z32837"/>
    </row>
    <row r="32838" spans="26:26" x14ac:dyDescent="0.25">
      <c r="Z32838"/>
    </row>
    <row r="32839" spans="26:26" x14ac:dyDescent="0.25">
      <c r="Z32839"/>
    </row>
    <row r="32840" spans="26:26" x14ac:dyDescent="0.25">
      <c r="Z32840"/>
    </row>
    <row r="32841" spans="26:26" x14ac:dyDescent="0.25">
      <c r="Z32841"/>
    </row>
    <row r="32842" spans="26:26" x14ac:dyDescent="0.25">
      <c r="Z32842"/>
    </row>
    <row r="32843" spans="26:26" x14ac:dyDescent="0.25">
      <c r="Z32843"/>
    </row>
    <row r="32844" spans="26:26" x14ac:dyDescent="0.25">
      <c r="Z32844"/>
    </row>
    <row r="32845" spans="26:26" x14ac:dyDescent="0.25">
      <c r="Z32845"/>
    </row>
    <row r="32846" spans="26:26" x14ac:dyDescent="0.25">
      <c r="Z32846"/>
    </row>
    <row r="32847" spans="26:26" x14ac:dyDescent="0.25">
      <c r="Z32847"/>
    </row>
    <row r="32848" spans="26:26" x14ac:dyDescent="0.25">
      <c r="Z32848"/>
    </row>
    <row r="32849" spans="26:26" x14ac:dyDescent="0.25">
      <c r="Z32849"/>
    </row>
    <row r="32850" spans="26:26" x14ac:dyDescent="0.25">
      <c r="Z32850"/>
    </row>
    <row r="32851" spans="26:26" x14ac:dyDescent="0.25">
      <c r="Z32851"/>
    </row>
    <row r="32852" spans="26:26" x14ac:dyDescent="0.25">
      <c r="Z32852"/>
    </row>
    <row r="32853" spans="26:26" x14ac:dyDescent="0.25">
      <c r="Z32853"/>
    </row>
    <row r="32854" spans="26:26" x14ac:dyDescent="0.25">
      <c r="Z32854"/>
    </row>
    <row r="32855" spans="26:26" x14ac:dyDescent="0.25">
      <c r="Z32855"/>
    </row>
    <row r="32856" spans="26:26" x14ac:dyDescent="0.25">
      <c r="Z32856"/>
    </row>
    <row r="32857" spans="26:26" x14ac:dyDescent="0.25">
      <c r="Z32857"/>
    </row>
    <row r="32858" spans="26:26" x14ac:dyDescent="0.25">
      <c r="Z32858"/>
    </row>
    <row r="32859" spans="26:26" x14ac:dyDescent="0.25">
      <c r="Z32859"/>
    </row>
    <row r="32860" spans="26:26" x14ac:dyDescent="0.25">
      <c r="Z32860"/>
    </row>
    <row r="32861" spans="26:26" x14ac:dyDescent="0.25">
      <c r="Z32861"/>
    </row>
    <row r="32862" spans="26:26" x14ac:dyDescent="0.25">
      <c r="Z32862"/>
    </row>
    <row r="32863" spans="26:26" x14ac:dyDescent="0.25">
      <c r="Z32863"/>
    </row>
    <row r="32864" spans="26:26" x14ac:dyDescent="0.25">
      <c r="Z32864"/>
    </row>
    <row r="32865" spans="26:26" x14ac:dyDescent="0.25">
      <c r="Z32865"/>
    </row>
    <row r="32866" spans="26:26" x14ac:dyDescent="0.25">
      <c r="Z32866"/>
    </row>
    <row r="32867" spans="26:26" x14ac:dyDescent="0.25">
      <c r="Z32867"/>
    </row>
    <row r="32868" spans="26:26" x14ac:dyDescent="0.25">
      <c r="Z32868"/>
    </row>
    <row r="32869" spans="26:26" x14ac:dyDescent="0.25">
      <c r="Z32869"/>
    </row>
    <row r="32870" spans="26:26" x14ac:dyDescent="0.25">
      <c r="Z32870"/>
    </row>
    <row r="32871" spans="26:26" x14ac:dyDescent="0.25">
      <c r="Z32871"/>
    </row>
    <row r="32872" spans="26:26" x14ac:dyDescent="0.25">
      <c r="Z32872"/>
    </row>
    <row r="32873" spans="26:26" x14ac:dyDescent="0.25">
      <c r="Z32873"/>
    </row>
    <row r="32874" spans="26:26" x14ac:dyDescent="0.25">
      <c r="Z32874"/>
    </row>
    <row r="32875" spans="26:26" x14ac:dyDescent="0.25">
      <c r="Z32875"/>
    </row>
    <row r="32876" spans="26:26" x14ac:dyDescent="0.25">
      <c r="Z32876"/>
    </row>
    <row r="32877" spans="26:26" x14ac:dyDescent="0.25">
      <c r="Z32877"/>
    </row>
    <row r="32878" spans="26:26" x14ac:dyDescent="0.25">
      <c r="Z32878"/>
    </row>
    <row r="32879" spans="26:26" x14ac:dyDescent="0.25">
      <c r="Z32879"/>
    </row>
    <row r="32880" spans="26:26" x14ac:dyDescent="0.25">
      <c r="Z32880"/>
    </row>
    <row r="32881" spans="26:26" x14ac:dyDescent="0.25">
      <c r="Z32881"/>
    </row>
    <row r="32882" spans="26:26" x14ac:dyDescent="0.25">
      <c r="Z32882"/>
    </row>
    <row r="32883" spans="26:26" x14ac:dyDescent="0.25">
      <c r="Z32883"/>
    </row>
    <row r="32884" spans="26:26" x14ac:dyDescent="0.25">
      <c r="Z32884"/>
    </row>
    <row r="32885" spans="26:26" x14ac:dyDescent="0.25">
      <c r="Z32885"/>
    </row>
    <row r="32886" spans="26:26" x14ac:dyDescent="0.25">
      <c r="Z32886"/>
    </row>
    <row r="32887" spans="26:26" x14ac:dyDescent="0.25">
      <c r="Z32887"/>
    </row>
    <row r="32888" spans="26:26" x14ac:dyDescent="0.25">
      <c r="Z32888"/>
    </row>
    <row r="32889" spans="26:26" x14ac:dyDescent="0.25">
      <c r="Z32889"/>
    </row>
    <row r="32890" spans="26:26" x14ac:dyDescent="0.25">
      <c r="Z32890"/>
    </row>
    <row r="32891" spans="26:26" x14ac:dyDescent="0.25">
      <c r="Z32891"/>
    </row>
    <row r="32892" spans="26:26" x14ac:dyDescent="0.25">
      <c r="Z32892"/>
    </row>
    <row r="32893" spans="26:26" x14ac:dyDescent="0.25">
      <c r="Z32893"/>
    </row>
    <row r="32894" spans="26:26" x14ac:dyDescent="0.25">
      <c r="Z32894"/>
    </row>
    <row r="32895" spans="26:26" x14ac:dyDescent="0.25">
      <c r="Z32895"/>
    </row>
    <row r="32896" spans="26:26" x14ac:dyDescent="0.25">
      <c r="Z32896"/>
    </row>
    <row r="32897" spans="26:26" x14ac:dyDescent="0.25">
      <c r="Z32897"/>
    </row>
    <row r="32898" spans="26:26" x14ac:dyDescent="0.25">
      <c r="Z32898"/>
    </row>
    <row r="32899" spans="26:26" x14ac:dyDescent="0.25">
      <c r="Z32899"/>
    </row>
    <row r="32900" spans="26:26" x14ac:dyDescent="0.25">
      <c r="Z32900"/>
    </row>
    <row r="32901" spans="26:26" x14ac:dyDescent="0.25">
      <c r="Z32901"/>
    </row>
    <row r="32902" spans="26:26" x14ac:dyDescent="0.25">
      <c r="Z32902"/>
    </row>
    <row r="32903" spans="26:26" x14ac:dyDescent="0.25">
      <c r="Z32903"/>
    </row>
    <row r="32904" spans="26:26" x14ac:dyDescent="0.25">
      <c r="Z32904"/>
    </row>
    <row r="32905" spans="26:26" x14ac:dyDescent="0.25">
      <c r="Z32905"/>
    </row>
    <row r="32906" spans="26:26" x14ac:dyDescent="0.25">
      <c r="Z32906"/>
    </row>
    <row r="32907" spans="26:26" x14ac:dyDescent="0.25">
      <c r="Z32907"/>
    </row>
    <row r="32908" spans="26:26" x14ac:dyDescent="0.25">
      <c r="Z32908"/>
    </row>
    <row r="32909" spans="26:26" x14ac:dyDescent="0.25">
      <c r="Z32909"/>
    </row>
    <row r="32910" spans="26:26" x14ac:dyDescent="0.25">
      <c r="Z32910"/>
    </row>
    <row r="32911" spans="26:26" x14ac:dyDescent="0.25">
      <c r="Z32911"/>
    </row>
    <row r="32912" spans="26:26" x14ac:dyDescent="0.25">
      <c r="Z32912"/>
    </row>
    <row r="32913" spans="26:26" x14ac:dyDescent="0.25">
      <c r="Z32913"/>
    </row>
    <row r="32914" spans="26:26" x14ac:dyDescent="0.25">
      <c r="Z32914"/>
    </row>
    <row r="32915" spans="26:26" x14ac:dyDescent="0.25">
      <c r="Z32915"/>
    </row>
    <row r="32916" spans="26:26" x14ac:dyDescent="0.25">
      <c r="Z32916"/>
    </row>
    <row r="32917" spans="26:26" x14ac:dyDescent="0.25">
      <c r="Z32917"/>
    </row>
    <row r="32918" spans="26:26" x14ac:dyDescent="0.25">
      <c r="Z32918"/>
    </row>
    <row r="32919" spans="26:26" x14ac:dyDescent="0.25">
      <c r="Z32919"/>
    </row>
    <row r="32920" spans="26:26" x14ac:dyDescent="0.25">
      <c r="Z32920"/>
    </row>
    <row r="32921" spans="26:26" x14ac:dyDescent="0.25">
      <c r="Z32921"/>
    </row>
    <row r="32922" spans="26:26" x14ac:dyDescent="0.25">
      <c r="Z32922"/>
    </row>
    <row r="32923" spans="26:26" x14ac:dyDescent="0.25">
      <c r="Z32923"/>
    </row>
    <row r="32924" spans="26:26" x14ac:dyDescent="0.25">
      <c r="Z32924"/>
    </row>
    <row r="32925" spans="26:26" x14ac:dyDescent="0.25">
      <c r="Z32925"/>
    </row>
    <row r="32926" spans="26:26" x14ac:dyDescent="0.25">
      <c r="Z32926"/>
    </row>
    <row r="32927" spans="26:26" x14ac:dyDescent="0.25">
      <c r="Z32927"/>
    </row>
    <row r="32928" spans="26:26" x14ac:dyDescent="0.25">
      <c r="Z32928"/>
    </row>
    <row r="32929" spans="26:26" x14ac:dyDescent="0.25">
      <c r="Z32929"/>
    </row>
    <row r="32930" spans="26:26" x14ac:dyDescent="0.25">
      <c r="Z32930"/>
    </row>
    <row r="32931" spans="26:26" x14ac:dyDescent="0.25">
      <c r="Z32931"/>
    </row>
    <row r="32932" spans="26:26" x14ac:dyDescent="0.25">
      <c r="Z32932"/>
    </row>
    <row r="32933" spans="26:26" x14ac:dyDescent="0.25">
      <c r="Z32933"/>
    </row>
    <row r="32934" spans="26:26" x14ac:dyDescent="0.25">
      <c r="Z32934"/>
    </row>
    <row r="32935" spans="26:26" x14ac:dyDescent="0.25">
      <c r="Z32935"/>
    </row>
    <row r="32936" spans="26:26" x14ac:dyDescent="0.25">
      <c r="Z32936"/>
    </row>
    <row r="32937" spans="26:26" x14ac:dyDescent="0.25">
      <c r="Z32937"/>
    </row>
    <row r="32938" spans="26:26" x14ac:dyDescent="0.25">
      <c r="Z32938"/>
    </row>
    <row r="32939" spans="26:26" x14ac:dyDescent="0.25">
      <c r="Z32939"/>
    </row>
    <row r="32940" spans="26:26" x14ac:dyDescent="0.25">
      <c r="Z32940"/>
    </row>
    <row r="32941" spans="26:26" x14ac:dyDescent="0.25">
      <c r="Z32941"/>
    </row>
    <row r="32942" spans="26:26" x14ac:dyDescent="0.25">
      <c r="Z32942"/>
    </row>
    <row r="32943" spans="26:26" x14ac:dyDescent="0.25">
      <c r="Z32943"/>
    </row>
    <row r="32944" spans="26:26" x14ac:dyDescent="0.25">
      <c r="Z32944"/>
    </row>
    <row r="32945" spans="26:26" x14ac:dyDescent="0.25">
      <c r="Z32945"/>
    </row>
    <row r="32946" spans="26:26" x14ac:dyDescent="0.25">
      <c r="Z32946"/>
    </row>
    <row r="32947" spans="26:26" x14ac:dyDescent="0.25">
      <c r="Z32947"/>
    </row>
    <row r="32948" spans="26:26" x14ac:dyDescent="0.25">
      <c r="Z32948"/>
    </row>
    <row r="32949" spans="26:26" x14ac:dyDescent="0.25">
      <c r="Z32949"/>
    </row>
    <row r="32950" spans="26:26" x14ac:dyDescent="0.25">
      <c r="Z32950"/>
    </row>
    <row r="32951" spans="26:26" x14ac:dyDescent="0.25">
      <c r="Z32951"/>
    </row>
    <row r="32952" spans="26:26" x14ac:dyDescent="0.25">
      <c r="Z32952"/>
    </row>
    <row r="32953" spans="26:26" x14ac:dyDescent="0.25">
      <c r="Z32953"/>
    </row>
    <row r="32954" spans="26:26" x14ac:dyDescent="0.25">
      <c r="Z32954"/>
    </row>
    <row r="32955" spans="26:26" x14ac:dyDescent="0.25">
      <c r="Z32955"/>
    </row>
    <row r="32956" spans="26:26" x14ac:dyDescent="0.25">
      <c r="Z32956"/>
    </row>
    <row r="32957" spans="26:26" x14ac:dyDescent="0.25">
      <c r="Z32957"/>
    </row>
    <row r="32958" spans="26:26" x14ac:dyDescent="0.25">
      <c r="Z32958"/>
    </row>
    <row r="32959" spans="26:26" x14ac:dyDescent="0.25">
      <c r="Z32959"/>
    </row>
    <row r="32960" spans="26:26" x14ac:dyDescent="0.25">
      <c r="Z32960"/>
    </row>
    <row r="32961" spans="26:26" x14ac:dyDescent="0.25">
      <c r="Z32961"/>
    </row>
    <row r="32962" spans="26:26" x14ac:dyDescent="0.25">
      <c r="Z32962"/>
    </row>
    <row r="32963" spans="26:26" x14ac:dyDescent="0.25">
      <c r="Z32963"/>
    </row>
    <row r="32964" spans="26:26" x14ac:dyDescent="0.25">
      <c r="Z32964"/>
    </row>
    <row r="32965" spans="26:26" x14ac:dyDescent="0.25">
      <c r="Z32965"/>
    </row>
    <row r="32966" spans="26:26" x14ac:dyDescent="0.25">
      <c r="Z32966"/>
    </row>
    <row r="32967" spans="26:26" x14ac:dyDescent="0.25">
      <c r="Z32967"/>
    </row>
    <row r="32968" spans="26:26" x14ac:dyDescent="0.25">
      <c r="Z32968"/>
    </row>
    <row r="32969" spans="26:26" x14ac:dyDescent="0.25">
      <c r="Z32969"/>
    </row>
    <row r="32970" spans="26:26" x14ac:dyDescent="0.25">
      <c r="Z32970"/>
    </row>
    <row r="32971" spans="26:26" x14ac:dyDescent="0.25">
      <c r="Z32971"/>
    </row>
    <row r="32972" spans="26:26" x14ac:dyDescent="0.25">
      <c r="Z32972"/>
    </row>
    <row r="32973" spans="26:26" x14ac:dyDescent="0.25">
      <c r="Z32973"/>
    </row>
    <row r="32974" spans="26:26" x14ac:dyDescent="0.25">
      <c r="Z32974"/>
    </row>
    <row r="32975" spans="26:26" x14ac:dyDescent="0.25">
      <c r="Z32975"/>
    </row>
    <row r="32976" spans="26:26" x14ac:dyDescent="0.25">
      <c r="Z32976"/>
    </row>
    <row r="32977" spans="26:26" x14ac:dyDescent="0.25">
      <c r="Z32977"/>
    </row>
    <row r="32978" spans="26:26" x14ac:dyDescent="0.25">
      <c r="Z32978"/>
    </row>
    <row r="32979" spans="26:26" x14ac:dyDescent="0.25">
      <c r="Z32979"/>
    </row>
    <row r="32980" spans="26:26" x14ac:dyDescent="0.25">
      <c r="Z32980"/>
    </row>
    <row r="32981" spans="26:26" x14ac:dyDescent="0.25">
      <c r="Z32981"/>
    </row>
    <row r="32982" spans="26:26" x14ac:dyDescent="0.25">
      <c r="Z32982"/>
    </row>
    <row r="32983" spans="26:26" x14ac:dyDescent="0.25">
      <c r="Z32983"/>
    </row>
    <row r="32984" spans="26:26" x14ac:dyDescent="0.25">
      <c r="Z32984"/>
    </row>
    <row r="32985" spans="26:26" x14ac:dyDescent="0.25">
      <c r="Z32985"/>
    </row>
    <row r="32986" spans="26:26" x14ac:dyDescent="0.25">
      <c r="Z32986"/>
    </row>
    <row r="32987" spans="26:26" x14ac:dyDescent="0.25">
      <c r="Z32987"/>
    </row>
    <row r="32988" spans="26:26" x14ac:dyDescent="0.25">
      <c r="Z32988"/>
    </row>
    <row r="32989" spans="26:26" x14ac:dyDescent="0.25">
      <c r="Z32989"/>
    </row>
    <row r="32990" spans="26:26" x14ac:dyDescent="0.25">
      <c r="Z32990"/>
    </row>
    <row r="32991" spans="26:26" x14ac:dyDescent="0.25">
      <c r="Z32991"/>
    </row>
    <row r="32992" spans="26:26" x14ac:dyDescent="0.25">
      <c r="Z32992"/>
    </row>
    <row r="32993" spans="26:26" x14ac:dyDescent="0.25">
      <c r="Z32993"/>
    </row>
    <row r="32994" spans="26:26" x14ac:dyDescent="0.25">
      <c r="Z32994"/>
    </row>
    <row r="32995" spans="26:26" x14ac:dyDescent="0.25">
      <c r="Z32995"/>
    </row>
    <row r="32996" spans="26:26" x14ac:dyDescent="0.25">
      <c r="Z32996"/>
    </row>
    <row r="32997" spans="26:26" x14ac:dyDescent="0.25">
      <c r="Z32997"/>
    </row>
    <row r="32998" spans="26:26" x14ac:dyDescent="0.25">
      <c r="Z32998"/>
    </row>
    <row r="32999" spans="26:26" x14ac:dyDescent="0.25">
      <c r="Z32999"/>
    </row>
    <row r="33000" spans="26:26" x14ac:dyDescent="0.25">
      <c r="Z33000"/>
    </row>
    <row r="33001" spans="26:26" x14ac:dyDescent="0.25">
      <c r="Z33001"/>
    </row>
    <row r="33002" spans="26:26" x14ac:dyDescent="0.25">
      <c r="Z33002"/>
    </row>
    <row r="33003" spans="26:26" x14ac:dyDescent="0.25">
      <c r="Z33003"/>
    </row>
    <row r="33004" spans="26:26" x14ac:dyDescent="0.25">
      <c r="Z33004"/>
    </row>
    <row r="33005" spans="26:26" x14ac:dyDescent="0.25">
      <c r="Z33005"/>
    </row>
    <row r="33006" spans="26:26" x14ac:dyDescent="0.25">
      <c r="Z33006"/>
    </row>
    <row r="33007" spans="26:26" x14ac:dyDescent="0.25">
      <c r="Z33007"/>
    </row>
    <row r="33008" spans="26:26" x14ac:dyDescent="0.25">
      <c r="Z33008"/>
    </row>
    <row r="33009" spans="26:26" x14ac:dyDescent="0.25">
      <c r="Z33009"/>
    </row>
    <row r="33010" spans="26:26" x14ac:dyDescent="0.25">
      <c r="Z33010"/>
    </row>
    <row r="33011" spans="26:26" x14ac:dyDescent="0.25">
      <c r="Z33011"/>
    </row>
    <row r="33012" spans="26:26" x14ac:dyDescent="0.25">
      <c r="Z33012"/>
    </row>
    <row r="33013" spans="26:26" x14ac:dyDescent="0.25">
      <c r="Z33013"/>
    </row>
    <row r="33014" spans="26:26" x14ac:dyDescent="0.25">
      <c r="Z33014"/>
    </row>
    <row r="33015" spans="26:26" x14ac:dyDescent="0.25">
      <c r="Z33015"/>
    </row>
    <row r="33016" spans="26:26" x14ac:dyDescent="0.25">
      <c r="Z33016"/>
    </row>
    <row r="33017" spans="26:26" x14ac:dyDescent="0.25">
      <c r="Z33017"/>
    </row>
    <row r="33018" spans="26:26" x14ac:dyDescent="0.25">
      <c r="Z33018"/>
    </row>
    <row r="33019" spans="26:26" x14ac:dyDescent="0.25">
      <c r="Z33019"/>
    </row>
    <row r="33020" spans="26:26" x14ac:dyDescent="0.25">
      <c r="Z33020"/>
    </row>
    <row r="33021" spans="26:26" x14ac:dyDescent="0.25">
      <c r="Z33021"/>
    </row>
    <row r="33022" spans="26:26" x14ac:dyDescent="0.25">
      <c r="Z33022"/>
    </row>
    <row r="33023" spans="26:26" x14ac:dyDescent="0.25">
      <c r="Z33023"/>
    </row>
    <row r="33024" spans="26:26" x14ac:dyDescent="0.25">
      <c r="Z33024"/>
    </row>
    <row r="33025" spans="26:26" x14ac:dyDescent="0.25">
      <c r="Z33025"/>
    </row>
    <row r="33026" spans="26:26" x14ac:dyDescent="0.25">
      <c r="Z33026"/>
    </row>
    <row r="33027" spans="26:26" x14ac:dyDescent="0.25">
      <c r="Z33027"/>
    </row>
    <row r="33028" spans="26:26" x14ac:dyDescent="0.25">
      <c r="Z33028"/>
    </row>
    <row r="33029" spans="26:26" x14ac:dyDescent="0.25">
      <c r="Z33029"/>
    </row>
    <row r="33030" spans="26:26" x14ac:dyDescent="0.25">
      <c r="Z33030"/>
    </row>
    <row r="33031" spans="26:26" x14ac:dyDescent="0.25">
      <c r="Z33031"/>
    </row>
    <row r="33032" spans="26:26" x14ac:dyDescent="0.25">
      <c r="Z33032"/>
    </row>
    <row r="33033" spans="26:26" x14ac:dyDescent="0.25">
      <c r="Z33033"/>
    </row>
    <row r="33034" spans="26:26" x14ac:dyDescent="0.25">
      <c r="Z33034"/>
    </row>
    <row r="33035" spans="26:26" x14ac:dyDescent="0.25">
      <c r="Z33035"/>
    </row>
    <row r="33036" spans="26:26" x14ac:dyDescent="0.25">
      <c r="Z33036"/>
    </row>
    <row r="33037" spans="26:26" x14ac:dyDescent="0.25">
      <c r="Z33037"/>
    </row>
    <row r="33038" spans="26:26" x14ac:dyDescent="0.25">
      <c r="Z33038"/>
    </row>
    <row r="33039" spans="26:26" x14ac:dyDescent="0.25">
      <c r="Z33039"/>
    </row>
    <row r="33040" spans="26:26" x14ac:dyDescent="0.25">
      <c r="Z33040"/>
    </row>
    <row r="33041" spans="26:26" x14ac:dyDescent="0.25">
      <c r="Z33041"/>
    </row>
    <row r="33042" spans="26:26" x14ac:dyDescent="0.25">
      <c r="Z33042"/>
    </row>
    <row r="33043" spans="26:26" x14ac:dyDescent="0.25">
      <c r="Z33043"/>
    </row>
    <row r="33044" spans="26:26" x14ac:dyDescent="0.25">
      <c r="Z33044"/>
    </row>
    <row r="33045" spans="26:26" x14ac:dyDescent="0.25">
      <c r="Z33045"/>
    </row>
    <row r="33046" spans="26:26" x14ac:dyDescent="0.25">
      <c r="Z33046"/>
    </row>
    <row r="33047" spans="26:26" x14ac:dyDescent="0.25">
      <c r="Z33047"/>
    </row>
    <row r="33048" spans="26:26" x14ac:dyDescent="0.25">
      <c r="Z33048"/>
    </row>
    <row r="33049" spans="26:26" x14ac:dyDescent="0.25">
      <c r="Z33049"/>
    </row>
    <row r="33050" spans="26:26" x14ac:dyDescent="0.25">
      <c r="Z33050"/>
    </row>
    <row r="33051" spans="26:26" x14ac:dyDescent="0.25">
      <c r="Z33051"/>
    </row>
    <row r="33052" spans="26:26" x14ac:dyDescent="0.25">
      <c r="Z33052"/>
    </row>
    <row r="33053" spans="26:26" x14ac:dyDescent="0.25">
      <c r="Z33053"/>
    </row>
    <row r="33054" spans="26:26" x14ac:dyDescent="0.25">
      <c r="Z33054"/>
    </row>
    <row r="33055" spans="26:26" x14ac:dyDescent="0.25">
      <c r="Z33055"/>
    </row>
    <row r="33056" spans="26:26" x14ac:dyDescent="0.25">
      <c r="Z33056"/>
    </row>
    <row r="33057" spans="26:26" x14ac:dyDescent="0.25">
      <c r="Z33057"/>
    </row>
    <row r="33058" spans="26:26" x14ac:dyDescent="0.25">
      <c r="Z33058"/>
    </row>
    <row r="33059" spans="26:26" x14ac:dyDescent="0.25">
      <c r="Z33059"/>
    </row>
    <row r="33060" spans="26:26" x14ac:dyDescent="0.25">
      <c r="Z33060"/>
    </row>
    <row r="33061" spans="26:26" x14ac:dyDescent="0.25">
      <c r="Z33061"/>
    </row>
    <row r="33062" spans="26:26" x14ac:dyDescent="0.25">
      <c r="Z33062"/>
    </row>
    <row r="33063" spans="26:26" x14ac:dyDescent="0.25">
      <c r="Z33063"/>
    </row>
    <row r="33064" spans="26:26" x14ac:dyDescent="0.25">
      <c r="Z33064"/>
    </row>
    <row r="33065" spans="26:26" x14ac:dyDescent="0.25">
      <c r="Z33065"/>
    </row>
    <row r="33066" spans="26:26" x14ac:dyDescent="0.25">
      <c r="Z33066"/>
    </row>
    <row r="33067" spans="26:26" x14ac:dyDescent="0.25">
      <c r="Z33067"/>
    </row>
    <row r="33068" spans="26:26" x14ac:dyDescent="0.25">
      <c r="Z33068"/>
    </row>
    <row r="33069" spans="26:26" x14ac:dyDescent="0.25">
      <c r="Z33069"/>
    </row>
    <row r="33070" spans="26:26" x14ac:dyDescent="0.25">
      <c r="Z33070"/>
    </row>
    <row r="33071" spans="26:26" x14ac:dyDescent="0.25">
      <c r="Z33071"/>
    </row>
    <row r="33072" spans="26:26" x14ac:dyDescent="0.25">
      <c r="Z33072"/>
    </row>
    <row r="33073" spans="26:26" x14ac:dyDescent="0.25">
      <c r="Z33073"/>
    </row>
    <row r="33074" spans="26:26" x14ac:dyDescent="0.25">
      <c r="Z33074"/>
    </row>
    <row r="33075" spans="26:26" x14ac:dyDescent="0.25">
      <c r="Z33075"/>
    </row>
    <row r="33076" spans="26:26" x14ac:dyDescent="0.25">
      <c r="Z33076"/>
    </row>
    <row r="33077" spans="26:26" x14ac:dyDescent="0.25">
      <c r="Z33077"/>
    </row>
    <row r="33078" spans="26:26" x14ac:dyDescent="0.25">
      <c r="Z33078"/>
    </row>
    <row r="33079" spans="26:26" x14ac:dyDescent="0.25">
      <c r="Z33079"/>
    </row>
    <row r="33080" spans="26:26" x14ac:dyDescent="0.25">
      <c r="Z33080"/>
    </row>
    <row r="33081" spans="26:26" x14ac:dyDescent="0.25">
      <c r="Z33081"/>
    </row>
    <row r="33082" spans="26:26" x14ac:dyDescent="0.25">
      <c r="Z33082"/>
    </row>
    <row r="33083" spans="26:26" x14ac:dyDescent="0.25">
      <c r="Z33083"/>
    </row>
    <row r="33084" spans="26:26" x14ac:dyDescent="0.25">
      <c r="Z33084"/>
    </row>
    <row r="33085" spans="26:26" x14ac:dyDescent="0.25">
      <c r="Z33085"/>
    </row>
    <row r="33086" spans="26:26" x14ac:dyDescent="0.25">
      <c r="Z33086"/>
    </row>
    <row r="33087" spans="26:26" x14ac:dyDescent="0.25">
      <c r="Z33087"/>
    </row>
    <row r="33088" spans="26:26" x14ac:dyDescent="0.25">
      <c r="Z33088"/>
    </row>
    <row r="33089" spans="26:26" x14ac:dyDescent="0.25">
      <c r="Z33089"/>
    </row>
    <row r="33090" spans="26:26" x14ac:dyDescent="0.25">
      <c r="Z33090"/>
    </row>
    <row r="33091" spans="26:26" x14ac:dyDescent="0.25">
      <c r="Z33091"/>
    </row>
    <row r="33092" spans="26:26" x14ac:dyDescent="0.25">
      <c r="Z33092"/>
    </row>
    <row r="33093" spans="26:26" x14ac:dyDescent="0.25">
      <c r="Z33093"/>
    </row>
    <row r="33094" spans="26:26" x14ac:dyDescent="0.25">
      <c r="Z33094"/>
    </row>
    <row r="33095" spans="26:26" x14ac:dyDescent="0.25">
      <c r="Z33095"/>
    </row>
    <row r="33096" spans="26:26" x14ac:dyDescent="0.25">
      <c r="Z33096"/>
    </row>
    <row r="33097" spans="26:26" x14ac:dyDescent="0.25">
      <c r="Z33097"/>
    </row>
    <row r="33098" spans="26:26" x14ac:dyDescent="0.25">
      <c r="Z33098"/>
    </row>
    <row r="33099" spans="26:26" x14ac:dyDescent="0.25">
      <c r="Z33099"/>
    </row>
    <row r="33100" spans="26:26" x14ac:dyDescent="0.25">
      <c r="Z33100"/>
    </row>
    <row r="33101" spans="26:26" x14ac:dyDescent="0.25">
      <c r="Z33101"/>
    </row>
    <row r="33102" spans="26:26" x14ac:dyDescent="0.25">
      <c r="Z33102"/>
    </row>
    <row r="33103" spans="26:26" x14ac:dyDescent="0.25">
      <c r="Z33103"/>
    </row>
    <row r="33104" spans="26:26" x14ac:dyDescent="0.25">
      <c r="Z33104"/>
    </row>
    <row r="33105" spans="26:26" x14ac:dyDescent="0.25">
      <c r="Z33105"/>
    </row>
    <row r="33106" spans="26:26" x14ac:dyDescent="0.25">
      <c r="Z33106"/>
    </row>
    <row r="33107" spans="26:26" x14ac:dyDescent="0.25">
      <c r="Z33107"/>
    </row>
    <row r="33108" spans="26:26" x14ac:dyDescent="0.25">
      <c r="Z33108"/>
    </row>
    <row r="33109" spans="26:26" x14ac:dyDescent="0.25">
      <c r="Z33109"/>
    </row>
    <row r="33110" spans="26:26" x14ac:dyDescent="0.25">
      <c r="Z33110"/>
    </row>
    <row r="33111" spans="26:26" x14ac:dyDescent="0.25">
      <c r="Z33111"/>
    </row>
    <row r="33112" spans="26:26" x14ac:dyDescent="0.25">
      <c r="Z33112"/>
    </row>
    <row r="33113" spans="26:26" x14ac:dyDescent="0.25">
      <c r="Z33113"/>
    </row>
    <row r="33114" spans="26:26" x14ac:dyDescent="0.25">
      <c r="Z33114"/>
    </row>
    <row r="33115" spans="26:26" x14ac:dyDescent="0.25">
      <c r="Z33115"/>
    </row>
    <row r="33116" spans="26:26" x14ac:dyDescent="0.25">
      <c r="Z33116"/>
    </row>
    <row r="33117" spans="26:26" x14ac:dyDescent="0.25">
      <c r="Z33117"/>
    </row>
    <row r="33118" spans="26:26" x14ac:dyDescent="0.25">
      <c r="Z33118"/>
    </row>
    <row r="33119" spans="26:26" x14ac:dyDescent="0.25">
      <c r="Z33119"/>
    </row>
    <row r="33120" spans="26:26" x14ac:dyDescent="0.25">
      <c r="Z33120"/>
    </row>
    <row r="33121" spans="26:26" x14ac:dyDescent="0.25">
      <c r="Z33121"/>
    </row>
    <row r="33122" spans="26:26" x14ac:dyDescent="0.25">
      <c r="Z33122"/>
    </row>
    <row r="33123" spans="26:26" x14ac:dyDescent="0.25">
      <c r="Z33123"/>
    </row>
    <row r="33124" spans="26:26" x14ac:dyDescent="0.25">
      <c r="Z33124"/>
    </row>
    <row r="33125" spans="26:26" x14ac:dyDescent="0.25">
      <c r="Z33125"/>
    </row>
    <row r="33126" spans="26:26" x14ac:dyDescent="0.25">
      <c r="Z33126"/>
    </row>
    <row r="33127" spans="26:26" x14ac:dyDescent="0.25">
      <c r="Z33127"/>
    </row>
    <row r="33128" spans="26:26" x14ac:dyDescent="0.25">
      <c r="Z33128"/>
    </row>
    <row r="33129" spans="26:26" x14ac:dyDescent="0.25">
      <c r="Z33129"/>
    </row>
    <row r="33130" spans="26:26" x14ac:dyDescent="0.25">
      <c r="Z33130"/>
    </row>
    <row r="33131" spans="26:26" x14ac:dyDescent="0.25">
      <c r="Z33131"/>
    </row>
    <row r="33132" spans="26:26" x14ac:dyDescent="0.25">
      <c r="Z33132"/>
    </row>
    <row r="33133" spans="26:26" x14ac:dyDescent="0.25">
      <c r="Z33133"/>
    </row>
    <row r="33134" spans="26:26" x14ac:dyDescent="0.25">
      <c r="Z33134"/>
    </row>
    <row r="33135" spans="26:26" x14ac:dyDescent="0.25">
      <c r="Z33135"/>
    </row>
    <row r="33136" spans="26:26" x14ac:dyDescent="0.25">
      <c r="Z33136"/>
    </row>
    <row r="33137" spans="26:26" x14ac:dyDescent="0.25">
      <c r="Z33137"/>
    </row>
    <row r="33138" spans="26:26" x14ac:dyDescent="0.25">
      <c r="Z33138"/>
    </row>
    <row r="33139" spans="26:26" x14ac:dyDescent="0.25">
      <c r="Z33139"/>
    </row>
    <row r="33140" spans="26:26" x14ac:dyDescent="0.25">
      <c r="Z33140"/>
    </row>
    <row r="33141" spans="26:26" x14ac:dyDescent="0.25">
      <c r="Z33141"/>
    </row>
    <row r="33142" spans="26:26" x14ac:dyDescent="0.25">
      <c r="Z33142"/>
    </row>
    <row r="33143" spans="26:26" x14ac:dyDescent="0.25">
      <c r="Z33143"/>
    </row>
    <row r="33144" spans="26:26" x14ac:dyDescent="0.25">
      <c r="Z33144"/>
    </row>
    <row r="33145" spans="26:26" x14ac:dyDescent="0.25">
      <c r="Z33145"/>
    </row>
    <row r="33146" spans="26:26" x14ac:dyDescent="0.25">
      <c r="Z33146"/>
    </row>
    <row r="33147" spans="26:26" x14ac:dyDescent="0.25">
      <c r="Z33147"/>
    </row>
    <row r="33148" spans="26:26" x14ac:dyDescent="0.25">
      <c r="Z33148"/>
    </row>
    <row r="33149" spans="26:26" x14ac:dyDescent="0.25">
      <c r="Z33149"/>
    </row>
    <row r="33150" spans="26:26" x14ac:dyDescent="0.25">
      <c r="Z33150"/>
    </row>
    <row r="33151" spans="26:26" x14ac:dyDescent="0.25">
      <c r="Z33151"/>
    </row>
    <row r="33152" spans="26:26" x14ac:dyDescent="0.25">
      <c r="Z33152"/>
    </row>
    <row r="33153" spans="26:26" x14ac:dyDescent="0.25">
      <c r="Z33153"/>
    </row>
    <row r="33154" spans="26:26" x14ac:dyDescent="0.25">
      <c r="Z33154"/>
    </row>
    <row r="33155" spans="26:26" x14ac:dyDescent="0.25">
      <c r="Z33155"/>
    </row>
    <row r="33156" spans="26:26" x14ac:dyDescent="0.25">
      <c r="Z33156"/>
    </row>
    <row r="33157" spans="26:26" x14ac:dyDescent="0.25">
      <c r="Z33157"/>
    </row>
    <row r="33158" spans="26:26" x14ac:dyDescent="0.25">
      <c r="Z33158"/>
    </row>
    <row r="33159" spans="26:26" x14ac:dyDescent="0.25">
      <c r="Z33159"/>
    </row>
    <row r="33160" spans="26:26" x14ac:dyDescent="0.25">
      <c r="Z33160"/>
    </row>
    <row r="33161" spans="26:26" x14ac:dyDescent="0.25">
      <c r="Z33161"/>
    </row>
    <row r="33162" spans="26:26" x14ac:dyDescent="0.25">
      <c r="Z33162"/>
    </row>
    <row r="33163" spans="26:26" x14ac:dyDescent="0.25">
      <c r="Z33163"/>
    </row>
    <row r="33164" spans="26:26" x14ac:dyDescent="0.25">
      <c r="Z33164"/>
    </row>
    <row r="33165" spans="26:26" x14ac:dyDescent="0.25">
      <c r="Z33165"/>
    </row>
    <row r="33166" spans="26:26" x14ac:dyDescent="0.25">
      <c r="Z33166"/>
    </row>
    <row r="33167" spans="26:26" x14ac:dyDescent="0.25">
      <c r="Z33167"/>
    </row>
    <row r="33168" spans="26:26" x14ac:dyDescent="0.25">
      <c r="Z33168"/>
    </row>
    <row r="33169" spans="26:26" x14ac:dyDescent="0.25">
      <c r="Z33169"/>
    </row>
    <row r="33170" spans="26:26" x14ac:dyDescent="0.25">
      <c r="Z33170"/>
    </row>
    <row r="33171" spans="26:26" x14ac:dyDescent="0.25">
      <c r="Z33171"/>
    </row>
    <row r="33172" spans="26:26" x14ac:dyDescent="0.25">
      <c r="Z33172"/>
    </row>
    <row r="33173" spans="26:26" x14ac:dyDescent="0.25">
      <c r="Z33173"/>
    </row>
    <row r="33174" spans="26:26" x14ac:dyDescent="0.25">
      <c r="Z33174"/>
    </row>
    <row r="33175" spans="26:26" x14ac:dyDescent="0.25">
      <c r="Z33175"/>
    </row>
    <row r="33176" spans="26:26" x14ac:dyDescent="0.25">
      <c r="Z33176"/>
    </row>
    <row r="33177" spans="26:26" x14ac:dyDescent="0.25">
      <c r="Z33177"/>
    </row>
    <row r="33178" spans="26:26" x14ac:dyDescent="0.25">
      <c r="Z33178"/>
    </row>
    <row r="33179" spans="26:26" x14ac:dyDescent="0.25">
      <c r="Z33179"/>
    </row>
    <row r="33180" spans="26:26" x14ac:dyDescent="0.25">
      <c r="Z33180"/>
    </row>
    <row r="33181" spans="26:26" x14ac:dyDescent="0.25">
      <c r="Z33181"/>
    </row>
    <row r="33182" spans="26:26" x14ac:dyDescent="0.25">
      <c r="Z33182"/>
    </row>
    <row r="33183" spans="26:26" x14ac:dyDescent="0.25">
      <c r="Z33183"/>
    </row>
    <row r="33184" spans="26:26" x14ac:dyDescent="0.25">
      <c r="Z33184"/>
    </row>
    <row r="33185" spans="26:26" x14ac:dyDescent="0.25">
      <c r="Z33185"/>
    </row>
    <row r="33186" spans="26:26" x14ac:dyDescent="0.25">
      <c r="Z33186"/>
    </row>
    <row r="33187" spans="26:26" x14ac:dyDescent="0.25">
      <c r="Z33187"/>
    </row>
    <row r="33188" spans="26:26" x14ac:dyDescent="0.25">
      <c r="Z33188"/>
    </row>
    <row r="33189" spans="26:26" x14ac:dyDescent="0.25">
      <c r="Z33189"/>
    </row>
    <row r="33190" spans="26:26" x14ac:dyDescent="0.25">
      <c r="Z33190"/>
    </row>
    <row r="33191" spans="26:26" x14ac:dyDescent="0.25">
      <c r="Z33191"/>
    </row>
    <row r="33192" spans="26:26" x14ac:dyDescent="0.25">
      <c r="Z33192"/>
    </row>
    <row r="33193" spans="26:26" x14ac:dyDescent="0.25">
      <c r="Z33193"/>
    </row>
    <row r="33194" spans="26:26" x14ac:dyDescent="0.25">
      <c r="Z33194"/>
    </row>
    <row r="33195" spans="26:26" x14ac:dyDescent="0.25">
      <c r="Z33195"/>
    </row>
    <row r="33196" spans="26:26" x14ac:dyDescent="0.25">
      <c r="Z33196"/>
    </row>
    <row r="33197" spans="26:26" x14ac:dyDescent="0.25">
      <c r="Z33197"/>
    </row>
    <row r="33198" spans="26:26" x14ac:dyDescent="0.25">
      <c r="Z33198"/>
    </row>
    <row r="33199" spans="26:26" x14ac:dyDescent="0.25">
      <c r="Z33199"/>
    </row>
    <row r="33200" spans="26:26" x14ac:dyDescent="0.25">
      <c r="Z33200"/>
    </row>
    <row r="33201" spans="26:26" x14ac:dyDescent="0.25">
      <c r="Z33201"/>
    </row>
    <row r="33202" spans="26:26" x14ac:dyDescent="0.25">
      <c r="Z33202"/>
    </row>
    <row r="33203" spans="26:26" x14ac:dyDescent="0.25">
      <c r="Z33203"/>
    </row>
    <row r="33204" spans="26:26" x14ac:dyDescent="0.25">
      <c r="Z33204"/>
    </row>
    <row r="33205" spans="26:26" x14ac:dyDescent="0.25">
      <c r="Z33205"/>
    </row>
    <row r="33206" spans="26:26" x14ac:dyDescent="0.25">
      <c r="Z33206"/>
    </row>
    <row r="33207" spans="26:26" x14ac:dyDescent="0.25">
      <c r="Z33207"/>
    </row>
    <row r="33208" spans="26:26" x14ac:dyDescent="0.25">
      <c r="Z33208"/>
    </row>
    <row r="33209" spans="26:26" x14ac:dyDescent="0.25">
      <c r="Z33209"/>
    </row>
    <row r="33210" spans="26:26" x14ac:dyDescent="0.25">
      <c r="Z33210"/>
    </row>
    <row r="33211" spans="26:26" x14ac:dyDescent="0.25">
      <c r="Z33211"/>
    </row>
    <row r="33212" spans="26:26" x14ac:dyDescent="0.25">
      <c r="Z33212"/>
    </row>
    <row r="33213" spans="26:26" x14ac:dyDescent="0.25">
      <c r="Z33213"/>
    </row>
    <row r="33214" spans="26:26" x14ac:dyDescent="0.25">
      <c r="Z33214"/>
    </row>
    <row r="33215" spans="26:26" x14ac:dyDescent="0.25">
      <c r="Z33215"/>
    </row>
    <row r="33216" spans="26:26" x14ac:dyDescent="0.25">
      <c r="Z33216"/>
    </row>
    <row r="33217" spans="26:26" x14ac:dyDescent="0.25">
      <c r="Z33217"/>
    </row>
    <row r="33218" spans="26:26" x14ac:dyDescent="0.25">
      <c r="Z33218"/>
    </row>
    <row r="33219" spans="26:26" x14ac:dyDescent="0.25">
      <c r="Z33219"/>
    </row>
    <row r="33220" spans="26:26" x14ac:dyDescent="0.25">
      <c r="Z33220"/>
    </row>
    <row r="33221" spans="26:26" x14ac:dyDescent="0.25">
      <c r="Z33221"/>
    </row>
    <row r="33222" spans="26:26" x14ac:dyDescent="0.25">
      <c r="Z33222"/>
    </row>
    <row r="33223" spans="26:26" x14ac:dyDescent="0.25">
      <c r="Z33223"/>
    </row>
    <row r="33224" spans="26:26" x14ac:dyDescent="0.25">
      <c r="Z33224"/>
    </row>
    <row r="33225" spans="26:26" x14ac:dyDescent="0.25">
      <c r="Z33225"/>
    </row>
    <row r="33226" spans="26:26" x14ac:dyDescent="0.25">
      <c r="Z33226"/>
    </row>
    <row r="33227" spans="26:26" x14ac:dyDescent="0.25">
      <c r="Z33227"/>
    </row>
    <row r="33228" spans="26:26" x14ac:dyDescent="0.25">
      <c r="Z33228"/>
    </row>
    <row r="33229" spans="26:26" x14ac:dyDescent="0.25">
      <c r="Z33229"/>
    </row>
    <row r="33230" spans="26:26" x14ac:dyDescent="0.25">
      <c r="Z33230"/>
    </row>
    <row r="33231" spans="26:26" x14ac:dyDescent="0.25">
      <c r="Z33231"/>
    </row>
    <row r="33232" spans="26:26" x14ac:dyDescent="0.25">
      <c r="Z33232"/>
    </row>
    <row r="33233" spans="26:26" x14ac:dyDescent="0.25">
      <c r="Z33233"/>
    </row>
    <row r="33234" spans="26:26" x14ac:dyDescent="0.25">
      <c r="Z33234"/>
    </row>
    <row r="33235" spans="26:26" x14ac:dyDescent="0.25">
      <c r="Z33235"/>
    </row>
    <row r="33236" spans="26:26" x14ac:dyDescent="0.25">
      <c r="Z33236"/>
    </row>
    <row r="33237" spans="26:26" x14ac:dyDescent="0.25">
      <c r="Z33237"/>
    </row>
    <row r="33238" spans="26:26" x14ac:dyDescent="0.25">
      <c r="Z33238"/>
    </row>
    <row r="33239" spans="26:26" x14ac:dyDescent="0.25">
      <c r="Z33239"/>
    </row>
    <row r="33240" spans="26:26" x14ac:dyDescent="0.25">
      <c r="Z33240"/>
    </row>
    <row r="33241" spans="26:26" x14ac:dyDescent="0.25">
      <c r="Z33241"/>
    </row>
    <row r="33242" spans="26:26" x14ac:dyDescent="0.25">
      <c r="Z33242"/>
    </row>
    <row r="33243" spans="26:26" x14ac:dyDescent="0.25">
      <c r="Z33243"/>
    </row>
    <row r="33244" spans="26:26" x14ac:dyDescent="0.25">
      <c r="Z33244"/>
    </row>
    <row r="33245" spans="26:26" x14ac:dyDescent="0.25">
      <c r="Z33245"/>
    </row>
    <row r="33246" spans="26:26" x14ac:dyDescent="0.25">
      <c r="Z33246"/>
    </row>
    <row r="33247" spans="26:26" x14ac:dyDescent="0.25">
      <c r="Z33247"/>
    </row>
    <row r="33248" spans="26:26" x14ac:dyDescent="0.25">
      <c r="Z33248"/>
    </row>
    <row r="33249" spans="26:26" x14ac:dyDescent="0.25">
      <c r="Z33249"/>
    </row>
    <row r="33250" spans="26:26" x14ac:dyDescent="0.25">
      <c r="Z33250"/>
    </row>
    <row r="33251" spans="26:26" x14ac:dyDescent="0.25">
      <c r="Z33251"/>
    </row>
    <row r="33252" spans="26:26" x14ac:dyDescent="0.25">
      <c r="Z33252"/>
    </row>
    <row r="33253" spans="26:26" x14ac:dyDescent="0.25">
      <c r="Z33253"/>
    </row>
    <row r="33254" spans="26:26" x14ac:dyDescent="0.25">
      <c r="Z33254"/>
    </row>
    <row r="33255" spans="26:26" x14ac:dyDescent="0.25">
      <c r="Z33255"/>
    </row>
    <row r="33256" spans="26:26" x14ac:dyDescent="0.25">
      <c r="Z33256"/>
    </row>
    <row r="33257" spans="26:26" x14ac:dyDescent="0.25">
      <c r="Z33257"/>
    </row>
    <row r="33258" spans="26:26" x14ac:dyDescent="0.25">
      <c r="Z33258"/>
    </row>
    <row r="33259" spans="26:26" x14ac:dyDescent="0.25">
      <c r="Z33259"/>
    </row>
    <row r="33260" spans="26:26" x14ac:dyDescent="0.25">
      <c r="Z33260"/>
    </row>
    <row r="33261" spans="26:26" x14ac:dyDescent="0.25">
      <c r="Z33261"/>
    </row>
    <row r="33262" spans="26:26" x14ac:dyDescent="0.25">
      <c r="Z33262"/>
    </row>
    <row r="33263" spans="26:26" x14ac:dyDescent="0.25">
      <c r="Z33263"/>
    </row>
    <row r="33264" spans="26:26" x14ac:dyDescent="0.25">
      <c r="Z33264"/>
    </row>
    <row r="33265" spans="26:26" x14ac:dyDescent="0.25">
      <c r="Z33265"/>
    </row>
    <row r="33266" spans="26:26" x14ac:dyDescent="0.25">
      <c r="Z33266"/>
    </row>
    <row r="33267" spans="26:26" x14ac:dyDescent="0.25">
      <c r="Z33267"/>
    </row>
    <row r="33268" spans="26:26" x14ac:dyDescent="0.25">
      <c r="Z33268"/>
    </row>
    <row r="33269" spans="26:26" x14ac:dyDescent="0.25">
      <c r="Z33269"/>
    </row>
    <row r="33270" spans="26:26" x14ac:dyDescent="0.25">
      <c r="Z33270"/>
    </row>
    <row r="33271" spans="26:26" x14ac:dyDescent="0.25">
      <c r="Z33271"/>
    </row>
    <row r="33272" spans="26:26" x14ac:dyDescent="0.25">
      <c r="Z33272"/>
    </row>
    <row r="33273" spans="26:26" x14ac:dyDescent="0.25">
      <c r="Z33273"/>
    </row>
    <row r="33274" spans="26:26" x14ac:dyDescent="0.25">
      <c r="Z33274"/>
    </row>
    <row r="33275" spans="26:26" x14ac:dyDescent="0.25">
      <c r="Z33275"/>
    </row>
    <row r="33276" spans="26:26" x14ac:dyDescent="0.25">
      <c r="Z33276"/>
    </row>
    <row r="33277" spans="26:26" x14ac:dyDescent="0.25">
      <c r="Z33277"/>
    </row>
    <row r="33278" spans="26:26" x14ac:dyDescent="0.25">
      <c r="Z33278"/>
    </row>
    <row r="33279" spans="26:26" x14ac:dyDescent="0.25">
      <c r="Z33279"/>
    </row>
    <row r="33280" spans="26:26" x14ac:dyDescent="0.25">
      <c r="Z33280"/>
    </row>
    <row r="33281" spans="26:26" x14ac:dyDescent="0.25">
      <c r="Z33281"/>
    </row>
    <row r="33282" spans="26:26" x14ac:dyDescent="0.25">
      <c r="Z33282"/>
    </row>
    <row r="33283" spans="26:26" x14ac:dyDescent="0.25">
      <c r="Z33283"/>
    </row>
    <row r="33284" spans="26:26" x14ac:dyDescent="0.25">
      <c r="Z33284"/>
    </row>
    <row r="33285" spans="26:26" x14ac:dyDescent="0.25">
      <c r="Z33285"/>
    </row>
    <row r="33286" spans="26:26" x14ac:dyDescent="0.25">
      <c r="Z33286"/>
    </row>
    <row r="33287" spans="26:26" x14ac:dyDescent="0.25">
      <c r="Z33287"/>
    </row>
    <row r="33288" spans="26:26" x14ac:dyDescent="0.25">
      <c r="Z33288"/>
    </row>
    <row r="33289" spans="26:26" x14ac:dyDescent="0.25">
      <c r="Z33289"/>
    </row>
    <row r="33290" spans="26:26" x14ac:dyDescent="0.25">
      <c r="Z33290"/>
    </row>
    <row r="33291" spans="26:26" x14ac:dyDescent="0.25">
      <c r="Z33291"/>
    </row>
    <row r="33292" spans="26:26" x14ac:dyDescent="0.25">
      <c r="Z33292"/>
    </row>
    <row r="33293" spans="26:26" x14ac:dyDescent="0.25">
      <c r="Z33293"/>
    </row>
    <row r="33294" spans="26:26" x14ac:dyDescent="0.25">
      <c r="Z33294"/>
    </row>
    <row r="33295" spans="26:26" x14ac:dyDescent="0.25">
      <c r="Z33295"/>
    </row>
    <row r="33296" spans="26:26" x14ac:dyDescent="0.25">
      <c r="Z33296"/>
    </row>
    <row r="33297" spans="26:26" x14ac:dyDescent="0.25">
      <c r="Z33297"/>
    </row>
    <row r="33298" spans="26:26" x14ac:dyDescent="0.25">
      <c r="Z33298"/>
    </row>
    <row r="33299" spans="26:26" x14ac:dyDescent="0.25">
      <c r="Z33299"/>
    </row>
    <row r="33300" spans="26:26" x14ac:dyDescent="0.25">
      <c r="Z33300"/>
    </row>
    <row r="33301" spans="26:26" x14ac:dyDescent="0.25">
      <c r="Z33301"/>
    </row>
    <row r="33302" spans="26:26" x14ac:dyDescent="0.25">
      <c r="Z33302"/>
    </row>
    <row r="33303" spans="26:26" x14ac:dyDescent="0.25">
      <c r="Z33303"/>
    </row>
    <row r="33304" spans="26:26" x14ac:dyDescent="0.25">
      <c r="Z33304"/>
    </row>
    <row r="33305" spans="26:26" x14ac:dyDescent="0.25">
      <c r="Z33305"/>
    </row>
    <row r="33306" spans="26:26" x14ac:dyDescent="0.25">
      <c r="Z33306"/>
    </row>
    <row r="33307" spans="26:26" x14ac:dyDescent="0.25">
      <c r="Z33307"/>
    </row>
    <row r="33308" spans="26:26" x14ac:dyDescent="0.25">
      <c r="Z33308"/>
    </row>
    <row r="33309" spans="26:26" x14ac:dyDescent="0.25">
      <c r="Z33309"/>
    </row>
    <row r="33310" spans="26:26" x14ac:dyDescent="0.25">
      <c r="Z33310"/>
    </row>
    <row r="33311" spans="26:26" x14ac:dyDescent="0.25">
      <c r="Z33311"/>
    </row>
    <row r="33312" spans="26:26" x14ac:dyDescent="0.25">
      <c r="Z33312"/>
    </row>
    <row r="33313" spans="26:26" x14ac:dyDescent="0.25">
      <c r="Z33313"/>
    </row>
    <row r="33314" spans="26:26" x14ac:dyDescent="0.25">
      <c r="Z33314"/>
    </row>
    <row r="33315" spans="26:26" x14ac:dyDescent="0.25">
      <c r="Z33315"/>
    </row>
    <row r="33316" spans="26:26" x14ac:dyDescent="0.25">
      <c r="Z33316"/>
    </row>
    <row r="33317" spans="26:26" x14ac:dyDescent="0.25">
      <c r="Z33317"/>
    </row>
    <row r="33318" spans="26:26" x14ac:dyDescent="0.25">
      <c r="Z33318"/>
    </row>
    <row r="33319" spans="26:26" x14ac:dyDescent="0.25">
      <c r="Z33319"/>
    </row>
    <row r="33320" spans="26:26" x14ac:dyDescent="0.25">
      <c r="Z33320"/>
    </row>
    <row r="33321" spans="26:26" x14ac:dyDescent="0.25">
      <c r="Z33321"/>
    </row>
    <row r="33322" spans="26:26" x14ac:dyDescent="0.25">
      <c r="Z33322"/>
    </row>
    <row r="33323" spans="26:26" x14ac:dyDescent="0.25">
      <c r="Z33323"/>
    </row>
    <row r="33324" spans="26:26" x14ac:dyDescent="0.25">
      <c r="Z33324"/>
    </row>
    <row r="33325" spans="26:26" x14ac:dyDescent="0.25">
      <c r="Z33325"/>
    </row>
    <row r="33326" spans="26:26" x14ac:dyDescent="0.25">
      <c r="Z33326"/>
    </row>
    <row r="33327" spans="26:26" x14ac:dyDescent="0.25">
      <c r="Z33327"/>
    </row>
    <row r="33328" spans="26:26" x14ac:dyDescent="0.25">
      <c r="Z33328"/>
    </row>
    <row r="33329" spans="26:26" x14ac:dyDescent="0.25">
      <c r="Z33329"/>
    </row>
    <row r="33330" spans="26:26" x14ac:dyDescent="0.25">
      <c r="Z33330"/>
    </row>
    <row r="33331" spans="26:26" x14ac:dyDescent="0.25">
      <c r="Z33331"/>
    </row>
    <row r="33332" spans="26:26" x14ac:dyDescent="0.25">
      <c r="Z33332"/>
    </row>
    <row r="33333" spans="26:26" x14ac:dyDescent="0.25">
      <c r="Z33333"/>
    </row>
    <row r="33334" spans="26:26" x14ac:dyDescent="0.25">
      <c r="Z33334"/>
    </row>
    <row r="33335" spans="26:26" x14ac:dyDescent="0.25">
      <c r="Z33335"/>
    </row>
    <row r="33336" spans="26:26" x14ac:dyDescent="0.25">
      <c r="Z33336"/>
    </row>
    <row r="33337" spans="26:26" x14ac:dyDescent="0.25">
      <c r="Z33337"/>
    </row>
    <row r="33338" spans="26:26" x14ac:dyDescent="0.25">
      <c r="Z33338"/>
    </row>
    <row r="33339" spans="26:26" x14ac:dyDescent="0.25">
      <c r="Z33339"/>
    </row>
    <row r="33340" spans="26:26" x14ac:dyDescent="0.25">
      <c r="Z33340"/>
    </row>
    <row r="33341" spans="26:26" x14ac:dyDescent="0.25">
      <c r="Z33341"/>
    </row>
    <row r="33342" spans="26:26" x14ac:dyDescent="0.25">
      <c r="Z33342"/>
    </row>
    <row r="33343" spans="26:26" x14ac:dyDescent="0.25">
      <c r="Z33343"/>
    </row>
    <row r="33344" spans="26:26" x14ac:dyDescent="0.25">
      <c r="Z33344"/>
    </row>
    <row r="33345" spans="26:26" x14ac:dyDescent="0.25">
      <c r="Z33345"/>
    </row>
    <row r="33346" spans="26:26" x14ac:dyDescent="0.25">
      <c r="Z33346"/>
    </row>
    <row r="33347" spans="26:26" x14ac:dyDescent="0.25">
      <c r="Z33347"/>
    </row>
    <row r="33348" spans="26:26" x14ac:dyDescent="0.25">
      <c r="Z33348"/>
    </row>
    <row r="33349" spans="26:26" x14ac:dyDescent="0.25">
      <c r="Z33349"/>
    </row>
    <row r="33350" spans="26:26" x14ac:dyDescent="0.25">
      <c r="Z33350"/>
    </row>
    <row r="33351" spans="26:26" x14ac:dyDescent="0.25">
      <c r="Z33351"/>
    </row>
    <row r="33352" spans="26:26" x14ac:dyDescent="0.25">
      <c r="Z33352"/>
    </row>
    <row r="33353" spans="26:26" x14ac:dyDescent="0.25">
      <c r="Z33353"/>
    </row>
    <row r="33354" spans="26:26" x14ac:dyDescent="0.25">
      <c r="Z33354"/>
    </row>
    <row r="33355" spans="26:26" x14ac:dyDescent="0.25">
      <c r="Z33355"/>
    </row>
    <row r="33356" spans="26:26" x14ac:dyDescent="0.25">
      <c r="Z33356"/>
    </row>
    <row r="33357" spans="26:26" x14ac:dyDescent="0.25">
      <c r="Z33357"/>
    </row>
    <row r="33358" spans="26:26" x14ac:dyDescent="0.25">
      <c r="Z33358"/>
    </row>
    <row r="33359" spans="26:26" x14ac:dyDescent="0.25">
      <c r="Z33359"/>
    </row>
    <row r="33360" spans="26:26" x14ac:dyDescent="0.25">
      <c r="Z33360"/>
    </row>
    <row r="33361" spans="26:26" x14ac:dyDescent="0.25">
      <c r="Z33361"/>
    </row>
    <row r="33362" spans="26:26" x14ac:dyDescent="0.25">
      <c r="Z33362"/>
    </row>
    <row r="33363" spans="26:26" x14ac:dyDescent="0.25">
      <c r="Z33363"/>
    </row>
    <row r="33364" spans="26:26" x14ac:dyDescent="0.25">
      <c r="Z33364"/>
    </row>
    <row r="33365" spans="26:26" x14ac:dyDescent="0.25">
      <c r="Z33365"/>
    </row>
    <row r="33366" spans="26:26" x14ac:dyDescent="0.25">
      <c r="Z33366"/>
    </row>
    <row r="33367" spans="26:26" x14ac:dyDescent="0.25">
      <c r="Z33367"/>
    </row>
    <row r="33368" spans="26:26" x14ac:dyDescent="0.25">
      <c r="Z33368"/>
    </row>
    <row r="33369" spans="26:26" x14ac:dyDescent="0.25">
      <c r="Z33369"/>
    </row>
    <row r="33370" spans="26:26" x14ac:dyDescent="0.25">
      <c r="Z33370"/>
    </row>
    <row r="33371" spans="26:26" x14ac:dyDescent="0.25">
      <c r="Z33371"/>
    </row>
    <row r="33372" spans="26:26" x14ac:dyDescent="0.25">
      <c r="Z33372"/>
    </row>
    <row r="33373" spans="26:26" x14ac:dyDescent="0.25">
      <c r="Z33373"/>
    </row>
    <row r="33374" spans="26:26" x14ac:dyDescent="0.25">
      <c r="Z33374"/>
    </row>
    <row r="33375" spans="26:26" x14ac:dyDescent="0.25">
      <c r="Z33375"/>
    </row>
    <row r="33376" spans="26:26" x14ac:dyDescent="0.25">
      <c r="Z33376"/>
    </row>
    <row r="33377" spans="26:26" x14ac:dyDescent="0.25">
      <c r="Z33377"/>
    </row>
    <row r="33378" spans="26:26" x14ac:dyDescent="0.25">
      <c r="Z33378"/>
    </row>
    <row r="33379" spans="26:26" x14ac:dyDescent="0.25">
      <c r="Z33379"/>
    </row>
    <row r="33380" spans="26:26" x14ac:dyDescent="0.25">
      <c r="Z33380"/>
    </row>
    <row r="33381" spans="26:26" x14ac:dyDescent="0.25">
      <c r="Z33381"/>
    </row>
    <row r="33382" spans="26:26" x14ac:dyDescent="0.25">
      <c r="Z33382"/>
    </row>
    <row r="33383" spans="26:26" x14ac:dyDescent="0.25">
      <c r="Z33383"/>
    </row>
    <row r="33384" spans="26:26" x14ac:dyDescent="0.25">
      <c r="Z33384"/>
    </row>
    <row r="33385" spans="26:26" x14ac:dyDescent="0.25">
      <c r="Z33385"/>
    </row>
    <row r="33386" spans="26:26" x14ac:dyDescent="0.25">
      <c r="Z33386"/>
    </row>
    <row r="33387" spans="26:26" x14ac:dyDescent="0.25">
      <c r="Z33387"/>
    </row>
    <row r="33388" spans="26:26" x14ac:dyDescent="0.25">
      <c r="Z33388"/>
    </row>
    <row r="33389" spans="26:26" x14ac:dyDescent="0.25">
      <c r="Z33389"/>
    </row>
    <row r="33390" spans="26:26" x14ac:dyDescent="0.25">
      <c r="Z33390"/>
    </row>
    <row r="33391" spans="26:26" x14ac:dyDescent="0.25">
      <c r="Z33391"/>
    </row>
    <row r="33392" spans="26:26" x14ac:dyDescent="0.25">
      <c r="Z33392"/>
    </row>
    <row r="33393" spans="26:26" x14ac:dyDescent="0.25">
      <c r="Z33393"/>
    </row>
    <row r="33394" spans="26:26" x14ac:dyDescent="0.25">
      <c r="Z33394"/>
    </row>
    <row r="33395" spans="26:26" x14ac:dyDescent="0.25">
      <c r="Z33395"/>
    </row>
    <row r="33396" spans="26:26" x14ac:dyDescent="0.25">
      <c r="Z33396"/>
    </row>
    <row r="33397" spans="26:26" x14ac:dyDescent="0.25">
      <c r="Z33397"/>
    </row>
    <row r="33398" spans="26:26" x14ac:dyDescent="0.25">
      <c r="Z33398"/>
    </row>
    <row r="33399" spans="26:26" x14ac:dyDescent="0.25">
      <c r="Z33399"/>
    </row>
    <row r="33400" spans="26:26" x14ac:dyDescent="0.25">
      <c r="Z33400"/>
    </row>
    <row r="33401" spans="26:26" x14ac:dyDescent="0.25">
      <c r="Z33401"/>
    </row>
    <row r="33402" spans="26:26" x14ac:dyDescent="0.25">
      <c r="Z33402"/>
    </row>
    <row r="33403" spans="26:26" x14ac:dyDescent="0.25">
      <c r="Z33403"/>
    </row>
    <row r="33404" spans="26:26" x14ac:dyDescent="0.25">
      <c r="Z33404"/>
    </row>
    <row r="33405" spans="26:26" x14ac:dyDescent="0.25">
      <c r="Z33405"/>
    </row>
    <row r="33406" spans="26:26" x14ac:dyDescent="0.25">
      <c r="Z33406"/>
    </row>
    <row r="33407" spans="26:26" x14ac:dyDescent="0.25">
      <c r="Z33407"/>
    </row>
    <row r="33408" spans="26:26" x14ac:dyDescent="0.25">
      <c r="Z33408"/>
    </row>
    <row r="33409" spans="26:26" x14ac:dyDescent="0.25">
      <c r="Z33409"/>
    </row>
    <row r="33410" spans="26:26" x14ac:dyDescent="0.25">
      <c r="Z33410"/>
    </row>
    <row r="33411" spans="26:26" x14ac:dyDescent="0.25">
      <c r="Z33411"/>
    </row>
    <row r="33412" spans="26:26" x14ac:dyDescent="0.25">
      <c r="Z33412"/>
    </row>
    <row r="33413" spans="26:26" x14ac:dyDescent="0.25">
      <c r="Z33413"/>
    </row>
    <row r="33414" spans="26:26" x14ac:dyDescent="0.25">
      <c r="Z33414"/>
    </row>
    <row r="33415" spans="26:26" x14ac:dyDescent="0.25">
      <c r="Z33415"/>
    </row>
    <row r="33416" spans="26:26" x14ac:dyDescent="0.25">
      <c r="Z33416"/>
    </row>
    <row r="33417" spans="26:26" x14ac:dyDescent="0.25">
      <c r="Z33417"/>
    </row>
    <row r="33418" spans="26:26" x14ac:dyDescent="0.25">
      <c r="Z33418"/>
    </row>
    <row r="33419" spans="26:26" x14ac:dyDescent="0.25">
      <c r="Z33419"/>
    </row>
    <row r="33420" spans="26:26" x14ac:dyDescent="0.25">
      <c r="Z33420"/>
    </row>
    <row r="33421" spans="26:26" x14ac:dyDescent="0.25">
      <c r="Z33421"/>
    </row>
    <row r="33422" spans="26:26" x14ac:dyDescent="0.25">
      <c r="Z33422"/>
    </row>
    <row r="33423" spans="26:26" x14ac:dyDescent="0.25">
      <c r="Z33423"/>
    </row>
    <row r="33424" spans="26:26" x14ac:dyDescent="0.25">
      <c r="Z33424"/>
    </row>
    <row r="33425" spans="26:26" x14ac:dyDescent="0.25">
      <c r="Z33425"/>
    </row>
    <row r="33426" spans="26:26" x14ac:dyDescent="0.25">
      <c r="Z33426"/>
    </row>
    <row r="33427" spans="26:26" x14ac:dyDescent="0.25">
      <c r="Z33427"/>
    </row>
    <row r="33428" spans="26:26" x14ac:dyDescent="0.25">
      <c r="Z33428"/>
    </row>
    <row r="33429" spans="26:26" x14ac:dyDescent="0.25">
      <c r="Z33429"/>
    </row>
    <row r="33430" spans="26:26" x14ac:dyDescent="0.25">
      <c r="Z33430"/>
    </row>
    <row r="33431" spans="26:26" x14ac:dyDescent="0.25">
      <c r="Z33431"/>
    </row>
    <row r="33432" spans="26:26" x14ac:dyDescent="0.25">
      <c r="Z33432"/>
    </row>
    <row r="33433" spans="26:26" x14ac:dyDescent="0.25">
      <c r="Z33433"/>
    </row>
    <row r="33434" spans="26:26" x14ac:dyDescent="0.25">
      <c r="Z33434"/>
    </row>
    <row r="33435" spans="26:26" x14ac:dyDescent="0.25">
      <c r="Z33435"/>
    </row>
    <row r="33436" spans="26:26" x14ac:dyDescent="0.25">
      <c r="Z33436"/>
    </row>
    <row r="33437" spans="26:26" x14ac:dyDescent="0.25">
      <c r="Z33437"/>
    </row>
    <row r="33438" spans="26:26" x14ac:dyDescent="0.25">
      <c r="Z33438"/>
    </row>
    <row r="33439" spans="26:26" x14ac:dyDescent="0.25">
      <c r="Z33439"/>
    </row>
    <row r="33440" spans="26:26" x14ac:dyDescent="0.25">
      <c r="Z33440"/>
    </row>
    <row r="33441" spans="26:26" x14ac:dyDescent="0.25">
      <c r="Z33441"/>
    </row>
    <row r="33442" spans="26:26" x14ac:dyDescent="0.25">
      <c r="Z33442"/>
    </row>
    <row r="33443" spans="26:26" x14ac:dyDescent="0.25">
      <c r="Z33443"/>
    </row>
    <row r="33444" spans="26:26" x14ac:dyDescent="0.25">
      <c r="Z33444"/>
    </row>
    <row r="33445" spans="26:26" x14ac:dyDescent="0.25">
      <c r="Z33445"/>
    </row>
    <row r="33446" spans="26:26" x14ac:dyDescent="0.25">
      <c r="Z33446"/>
    </row>
    <row r="33447" spans="26:26" x14ac:dyDescent="0.25">
      <c r="Z33447"/>
    </row>
    <row r="33448" spans="26:26" x14ac:dyDescent="0.25">
      <c r="Z33448"/>
    </row>
    <row r="33449" spans="26:26" x14ac:dyDescent="0.25">
      <c r="Z33449"/>
    </row>
    <row r="33450" spans="26:26" x14ac:dyDescent="0.25">
      <c r="Z33450"/>
    </row>
    <row r="33451" spans="26:26" x14ac:dyDescent="0.25">
      <c r="Z33451"/>
    </row>
    <row r="33452" spans="26:26" x14ac:dyDescent="0.25">
      <c r="Z33452"/>
    </row>
    <row r="33453" spans="26:26" x14ac:dyDescent="0.25">
      <c r="Z33453"/>
    </row>
    <row r="33454" spans="26:26" x14ac:dyDescent="0.25">
      <c r="Z33454"/>
    </row>
    <row r="33455" spans="26:26" x14ac:dyDescent="0.25">
      <c r="Z33455"/>
    </row>
    <row r="33456" spans="26:26" x14ac:dyDescent="0.25">
      <c r="Z33456"/>
    </row>
    <row r="33457" spans="26:26" x14ac:dyDescent="0.25">
      <c r="Z33457"/>
    </row>
    <row r="33458" spans="26:26" x14ac:dyDescent="0.25">
      <c r="Z33458"/>
    </row>
    <row r="33459" spans="26:26" x14ac:dyDescent="0.25">
      <c r="Z33459"/>
    </row>
    <row r="33460" spans="26:26" x14ac:dyDescent="0.25">
      <c r="Z33460"/>
    </row>
    <row r="33461" spans="26:26" x14ac:dyDescent="0.25">
      <c r="Z33461"/>
    </row>
    <row r="33462" spans="26:26" x14ac:dyDescent="0.25">
      <c r="Z33462"/>
    </row>
    <row r="33463" spans="26:26" x14ac:dyDescent="0.25">
      <c r="Z33463"/>
    </row>
    <row r="33464" spans="26:26" x14ac:dyDescent="0.25">
      <c r="Z33464"/>
    </row>
    <row r="33465" spans="26:26" x14ac:dyDescent="0.25">
      <c r="Z33465"/>
    </row>
    <row r="33466" spans="26:26" x14ac:dyDescent="0.25">
      <c r="Z33466"/>
    </row>
    <row r="33467" spans="26:26" x14ac:dyDescent="0.25">
      <c r="Z33467"/>
    </row>
    <row r="33468" spans="26:26" x14ac:dyDescent="0.25">
      <c r="Z33468"/>
    </row>
    <row r="33469" spans="26:26" x14ac:dyDescent="0.25">
      <c r="Z33469"/>
    </row>
    <row r="33470" spans="26:26" x14ac:dyDescent="0.25">
      <c r="Z33470"/>
    </row>
    <row r="33471" spans="26:26" x14ac:dyDescent="0.25">
      <c r="Z33471"/>
    </row>
    <row r="33472" spans="26:26" x14ac:dyDescent="0.25">
      <c r="Z33472"/>
    </row>
    <row r="33473" spans="26:26" x14ac:dyDescent="0.25">
      <c r="Z33473"/>
    </row>
    <row r="33474" spans="26:26" x14ac:dyDescent="0.25">
      <c r="Z33474"/>
    </row>
    <row r="33475" spans="26:26" x14ac:dyDescent="0.25">
      <c r="Z33475"/>
    </row>
    <row r="33476" spans="26:26" x14ac:dyDescent="0.25">
      <c r="Z33476"/>
    </row>
    <row r="33477" spans="26:26" x14ac:dyDescent="0.25">
      <c r="Z33477"/>
    </row>
    <row r="33478" spans="26:26" x14ac:dyDescent="0.25">
      <c r="Z33478"/>
    </row>
    <row r="33479" spans="26:26" x14ac:dyDescent="0.25">
      <c r="Z33479"/>
    </row>
    <row r="33480" spans="26:26" x14ac:dyDescent="0.25">
      <c r="Z33480"/>
    </row>
    <row r="33481" spans="26:26" x14ac:dyDescent="0.25">
      <c r="Z33481"/>
    </row>
    <row r="33482" spans="26:26" x14ac:dyDescent="0.25">
      <c r="Z33482"/>
    </row>
    <row r="33483" spans="26:26" x14ac:dyDescent="0.25">
      <c r="Z33483"/>
    </row>
    <row r="33484" spans="26:26" x14ac:dyDescent="0.25">
      <c r="Z33484"/>
    </row>
    <row r="33485" spans="26:26" x14ac:dyDescent="0.25">
      <c r="Z33485"/>
    </row>
    <row r="33486" spans="26:26" x14ac:dyDescent="0.25">
      <c r="Z33486"/>
    </row>
    <row r="33487" spans="26:26" x14ac:dyDescent="0.25">
      <c r="Z33487"/>
    </row>
    <row r="33488" spans="26:26" x14ac:dyDescent="0.25">
      <c r="Z33488"/>
    </row>
    <row r="33489" spans="26:26" x14ac:dyDescent="0.25">
      <c r="Z33489"/>
    </row>
    <row r="33490" spans="26:26" x14ac:dyDescent="0.25">
      <c r="Z33490"/>
    </row>
    <row r="33491" spans="26:26" x14ac:dyDescent="0.25">
      <c r="Z33491"/>
    </row>
    <row r="33492" spans="26:26" x14ac:dyDescent="0.25">
      <c r="Z33492"/>
    </row>
    <row r="33493" spans="26:26" x14ac:dyDescent="0.25">
      <c r="Z33493"/>
    </row>
    <row r="33494" spans="26:26" x14ac:dyDescent="0.25">
      <c r="Z33494"/>
    </row>
    <row r="33495" spans="26:26" x14ac:dyDescent="0.25">
      <c r="Z33495"/>
    </row>
    <row r="33496" spans="26:26" x14ac:dyDescent="0.25">
      <c r="Z33496"/>
    </row>
    <row r="33497" spans="26:26" x14ac:dyDescent="0.25">
      <c r="Z33497"/>
    </row>
    <row r="33498" spans="26:26" x14ac:dyDescent="0.25">
      <c r="Z33498"/>
    </row>
    <row r="33499" spans="26:26" x14ac:dyDescent="0.25">
      <c r="Z33499"/>
    </row>
    <row r="33500" spans="26:26" x14ac:dyDescent="0.25">
      <c r="Z33500"/>
    </row>
    <row r="33501" spans="26:26" x14ac:dyDescent="0.25">
      <c r="Z33501"/>
    </row>
    <row r="33502" spans="26:26" x14ac:dyDescent="0.25">
      <c r="Z33502"/>
    </row>
    <row r="33503" spans="26:26" x14ac:dyDescent="0.25">
      <c r="Z33503"/>
    </row>
    <row r="33504" spans="26:26" x14ac:dyDescent="0.25">
      <c r="Z33504"/>
    </row>
    <row r="33505" spans="26:26" x14ac:dyDescent="0.25">
      <c r="Z33505"/>
    </row>
    <row r="33506" spans="26:26" x14ac:dyDescent="0.25">
      <c r="Z33506"/>
    </row>
    <row r="33507" spans="26:26" x14ac:dyDescent="0.25">
      <c r="Z33507"/>
    </row>
    <row r="33508" spans="26:26" x14ac:dyDescent="0.25">
      <c r="Z33508"/>
    </row>
    <row r="33509" spans="26:26" x14ac:dyDescent="0.25">
      <c r="Z33509"/>
    </row>
    <row r="33510" spans="26:26" x14ac:dyDescent="0.25">
      <c r="Z33510"/>
    </row>
    <row r="33511" spans="26:26" x14ac:dyDescent="0.25">
      <c r="Z33511"/>
    </row>
    <row r="33512" spans="26:26" x14ac:dyDescent="0.25">
      <c r="Z33512"/>
    </row>
    <row r="33513" spans="26:26" x14ac:dyDescent="0.25">
      <c r="Z33513"/>
    </row>
    <row r="33514" spans="26:26" x14ac:dyDescent="0.25">
      <c r="Z33514"/>
    </row>
    <row r="33515" spans="26:26" x14ac:dyDescent="0.25">
      <c r="Z33515"/>
    </row>
    <row r="33516" spans="26:26" x14ac:dyDescent="0.25">
      <c r="Z33516"/>
    </row>
    <row r="33517" spans="26:26" x14ac:dyDescent="0.25">
      <c r="Z33517"/>
    </row>
    <row r="33518" spans="26:26" x14ac:dyDescent="0.25">
      <c r="Z33518"/>
    </row>
    <row r="33519" spans="26:26" x14ac:dyDescent="0.25">
      <c r="Z33519"/>
    </row>
    <row r="33520" spans="26:26" x14ac:dyDescent="0.25">
      <c r="Z33520"/>
    </row>
    <row r="33521" spans="26:26" x14ac:dyDescent="0.25">
      <c r="Z33521"/>
    </row>
    <row r="33522" spans="26:26" x14ac:dyDescent="0.25">
      <c r="Z33522"/>
    </row>
    <row r="33523" spans="26:26" x14ac:dyDescent="0.25">
      <c r="Z33523"/>
    </row>
    <row r="33524" spans="26:26" x14ac:dyDescent="0.25">
      <c r="Z33524"/>
    </row>
    <row r="33525" spans="26:26" x14ac:dyDescent="0.25">
      <c r="Z33525"/>
    </row>
    <row r="33526" spans="26:26" x14ac:dyDescent="0.25">
      <c r="Z33526"/>
    </row>
    <row r="33527" spans="26:26" x14ac:dyDescent="0.25">
      <c r="Z33527"/>
    </row>
    <row r="33528" spans="26:26" x14ac:dyDescent="0.25">
      <c r="Z33528"/>
    </row>
    <row r="33529" spans="26:26" x14ac:dyDescent="0.25">
      <c r="Z33529"/>
    </row>
    <row r="33530" spans="26:26" x14ac:dyDescent="0.25">
      <c r="Z33530"/>
    </row>
    <row r="33531" spans="26:26" x14ac:dyDescent="0.25">
      <c r="Z33531"/>
    </row>
    <row r="33532" spans="26:26" x14ac:dyDescent="0.25">
      <c r="Z33532"/>
    </row>
    <row r="33533" spans="26:26" x14ac:dyDescent="0.25">
      <c r="Z33533"/>
    </row>
    <row r="33534" spans="26:26" x14ac:dyDescent="0.25">
      <c r="Z33534"/>
    </row>
    <row r="33535" spans="26:26" x14ac:dyDescent="0.25">
      <c r="Z33535"/>
    </row>
    <row r="33536" spans="26:26" x14ac:dyDescent="0.25">
      <c r="Z33536"/>
    </row>
    <row r="33537" spans="26:26" x14ac:dyDescent="0.25">
      <c r="Z33537"/>
    </row>
    <row r="33538" spans="26:26" x14ac:dyDescent="0.25">
      <c r="Z33538"/>
    </row>
    <row r="33539" spans="26:26" x14ac:dyDescent="0.25">
      <c r="Z33539"/>
    </row>
    <row r="33540" spans="26:26" x14ac:dyDescent="0.25">
      <c r="Z33540"/>
    </row>
    <row r="33541" spans="26:26" x14ac:dyDescent="0.25">
      <c r="Z33541"/>
    </row>
    <row r="33542" spans="26:26" x14ac:dyDescent="0.25">
      <c r="Z33542"/>
    </row>
    <row r="33543" spans="26:26" x14ac:dyDescent="0.25">
      <c r="Z33543"/>
    </row>
    <row r="33544" spans="26:26" x14ac:dyDescent="0.25">
      <c r="Z33544"/>
    </row>
    <row r="33545" spans="26:26" x14ac:dyDescent="0.25">
      <c r="Z33545"/>
    </row>
    <row r="33546" spans="26:26" x14ac:dyDescent="0.25">
      <c r="Z33546"/>
    </row>
    <row r="33547" spans="26:26" x14ac:dyDescent="0.25">
      <c r="Z33547"/>
    </row>
    <row r="33548" spans="26:26" x14ac:dyDescent="0.25">
      <c r="Z33548"/>
    </row>
    <row r="33549" spans="26:26" x14ac:dyDescent="0.25">
      <c r="Z33549"/>
    </row>
    <row r="33550" spans="26:26" x14ac:dyDescent="0.25">
      <c r="Z33550"/>
    </row>
    <row r="33551" spans="26:26" x14ac:dyDescent="0.25">
      <c r="Z33551"/>
    </row>
    <row r="33552" spans="26:26" x14ac:dyDescent="0.25">
      <c r="Z33552"/>
    </row>
    <row r="33553" spans="26:26" x14ac:dyDescent="0.25">
      <c r="Z33553"/>
    </row>
    <row r="33554" spans="26:26" x14ac:dyDescent="0.25">
      <c r="Z33554"/>
    </row>
    <row r="33555" spans="26:26" x14ac:dyDescent="0.25">
      <c r="Z33555"/>
    </row>
    <row r="33556" spans="26:26" x14ac:dyDescent="0.25">
      <c r="Z33556"/>
    </row>
    <row r="33557" spans="26:26" x14ac:dyDescent="0.25">
      <c r="Z33557"/>
    </row>
    <row r="33558" spans="26:26" x14ac:dyDescent="0.25">
      <c r="Z33558"/>
    </row>
    <row r="33559" spans="26:26" x14ac:dyDescent="0.25">
      <c r="Z33559"/>
    </row>
    <row r="33560" spans="26:26" x14ac:dyDescent="0.25">
      <c r="Z33560"/>
    </row>
    <row r="33561" spans="26:26" x14ac:dyDescent="0.25">
      <c r="Z33561"/>
    </row>
    <row r="33562" spans="26:26" x14ac:dyDescent="0.25">
      <c r="Z33562"/>
    </row>
    <row r="33563" spans="26:26" x14ac:dyDescent="0.25">
      <c r="Z33563"/>
    </row>
    <row r="33564" spans="26:26" x14ac:dyDescent="0.25">
      <c r="Z33564"/>
    </row>
    <row r="33565" spans="26:26" x14ac:dyDescent="0.25">
      <c r="Z33565"/>
    </row>
    <row r="33566" spans="26:26" x14ac:dyDescent="0.25">
      <c r="Z33566"/>
    </row>
    <row r="33567" spans="26:26" x14ac:dyDescent="0.25">
      <c r="Z33567"/>
    </row>
    <row r="33568" spans="26:26" x14ac:dyDescent="0.25">
      <c r="Z33568"/>
    </row>
    <row r="33569" spans="26:26" x14ac:dyDescent="0.25">
      <c r="Z33569"/>
    </row>
    <row r="33570" spans="26:26" x14ac:dyDescent="0.25">
      <c r="Z33570"/>
    </row>
    <row r="33571" spans="26:26" x14ac:dyDescent="0.25">
      <c r="Z33571"/>
    </row>
    <row r="33572" spans="26:26" x14ac:dyDescent="0.25">
      <c r="Z33572"/>
    </row>
    <row r="33573" spans="26:26" x14ac:dyDescent="0.25">
      <c r="Z33573"/>
    </row>
    <row r="33574" spans="26:26" x14ac:dyDescent="0.25">
      <c r="Z33574"/>
    </row>
    <row r="33575" spans="26:26" x14ac:dyDescent="0.25">
      <c r="Z33575"/>
    </row>
    <row r="33576" spans="26:26" x14ac:dyDescent="0.25">
      <c r="Z33576"/>
    </row>
    <row r="33577" spans="26:26" x14ac:dyDescent="0.25">
      <c r="Z33577"/>
    </row>
    <row r="33578" spans="26:26" x14ac:dyDescent="0.25">
      <c r="Z33578"/>
    </row>
    <row r="33579" spans="26:26" x14ac:dyDescent="0.25">
      <c r="Z33579"/>
    </row>
    <row r="33580" spans="26:26" x14ac:dyDescent="0.25">
      <c r="Z33580"/>
    </row>
    <row r="33581" spans="26:26" x14ac:dyDescent="0.25">
      <c r="Z33581"/>
    </row>
    <row r="33582" spans="26:26" x14ac:dyDescent="0.25">
      <c r="Z33582"/>
    </row>
    <row r="33583" spans="26:26" x14ac:dyDescent="0.25">
      <c r="Z33583"/>
    </row>
    <row r="33584" spans="26:26" x14ac:dyDescent="0.25">
      <c r="Z33584"/>
    </row>
    <row r="33585" spans="26:26" x14ac:dyDescent="0.25">
      <c r="Z33585"/>
    </row>
    <row r="33586" spans="26:26" x14ac:dyDescent="0.25">
      <c r="Z33586"/>
    </row>
    <row r="33587" spans="26:26" x14ac:dyDescent="0.25">
      <c r="Z33587"/>
    </row>
    <row r="33588" spans="26:26" x14ac:dyDescent="0.25">
      <c r="Z33588"/>
    </row>
    <row r="33589" spans="26:26" x14ac:dyDescent="0.25">
      <c r="Z33589"/>
    </row>
    <row r="33590" spans="26:26" x14ac:dyDescent="0.25">
      <c r="Z33590"/>
    </row>
    <row r="33591" spans="26:26" x14ac:dyDescent="0.25">
      <c r="Z33591"/>
    </row>
    <row r="33592" spans="26:26" x14ac:dyDescent="0.25">
      <c r="Z33592"/>
    </row>
    <row r="33593" spans="26:26" x14ac:dyDescent="0.25">
      <c r="Z33593"/>
    </row>
    <row r="33594" spans="26:26" x14ac:dyDescent="0.25">
      <c r="Z33594"/>
    </row>
    <row r="33595" spans="26:26" x14ac:dyDescent="0.25">
      <c r="Z33595"/>
    </row>
    <row r="33596" spans="26:26" x14ac:dyDescent="0.25">
      <c r="Z33596"/>
    </row>
    <row r="33597" spans="26:26" x14ac:dyDescent="0.25">
      <c r="Z33597"/>
    </row>
    <row r="33598" spans="26:26" x14ac:dyDescent="0.25">
      <c r="Z33598"/>
    </row>
    <row r="33599" spans="26:26" x14ac:dyDescent="0.25">
      <c r="Z33599"/>
    </row>
    <row r="33600" spans="26:26" x14ac:dyDescent="0.25">
      <c r="Z33600"/>
    </row>
    <row r="33601" spans="26:26" x14ac:dyDescent="0.25">
      <c r="Z33601"/>
    </row>
    <row r="33602" spans="26:26" x14ac:dyDescent="0.25">
      <c r="Z33602"/>
    </row>
    <row r="33603" spans="26:26" x14ac:dyDescent="0.25">
      <c r="Z33603"/>
    </row>
    <row r="33604" spans="26:26" x14ac:dyDescent="0.25">
      <c r="Z33604"/>
    </row>
    <row r="33605" spans="26:26" x14ac:dyDescent="0.25">
      <c r="Z33605"/>
    </row>
    <row r="33606" spans="26:26" x14ac:dyDescent="0.25">
      <c r="Z33606"/>
    </row>
    <row r="33607" spans="26:26" x14ac:dyDescent="0.25">
      <c r="Z33607"/>
    </row>
    <row r="33608" spans="26:26" x14ac:dyDescent="0.25">
      <c r="Z33608"/>
    </row>
    <row r="33609" spans="26:26" x14ac:dyDescent="0.25">
      <c r="Z33609"/>
    </row>
    <row r="33610" spans="26:26" x14ac:dyDescent="0.25">
      <c r="Z33610"/>
    </row>
    <row r="33611" spans="26:26" x14ac:dyDescent="0.25">
      <c r="Z33611"/>
    </row>
    <row r="33612" spans="26:26" x14ac:dyDescent="0.25">
      <c r="Z33612"/>
    </row>
    <row r="33613" spans="26:26" x14ac:dyDescent="0.25">
      <c r="Z33613"/>
    </row>
    <row r="33614" spans="26:26" x14ac:dyDescent="0.25">
      <c r="Z33614"/>
    </row>
    <row r="33615" spans="26:26" x14ac:dyDescent="0.25">
      <c r="Z33615"/>
    </row>
    <row r="33616" spans="26:26" x14ac:dyDescent="0.25">
      <c r="Z33616"/>
    </row>
    <row r="33617" spans="26:26" x14ac:dyDescent="0.25">
      <c r="Z33617"/>
    </row>
    <row r="33618" spans="26:26" x14ac:dyDescent="0.25">
      <c r="Z33618"/>
    </row>
    <row r="33619" spans="26:26" x14ac:dyDescent="0.25">
      <c r="Z33619"/>
    </row>
    <row r="33620" spans="26:26" x14ac:dyDescent="0.25">
      <c r="Z33620"/>
    </row>
    <row r="33621" spans="26:26" x14ac:dyDescent="0.25">
      <c r="Z33621"/>
    </row>
    <row r="33622" spans="26:26" x14ac:dyDescent="0.25">
      <c r="Z33622"/>
    </row>
    <row r="33623" spans="26:26" x14ac:dyDescent="0.25">
      <c r="Z33623"/>
    </row>
    <row r="33624" spans="26:26" x14ac:dyDescent="0.25">
      <c r="Z33624"/>
    </row>
    <row r="33625" spans="26:26" x14ac:dyDescent="0.25">
      <c r="Z33625"/>
    </row>
    <row r="33626" spans="26:26" x14ac:dyDescent="0.25">
      <c r="Z33626"/>
    </row>
    <row r="33627" spans="26:26" x14ac:dyDescent="0.25">
      <c r="Z33627"/>
    </row>
    <row r="33628" spans="26:26" x14ac:dyDescent="0.25">
      <c r="Z33628"/>
    </row>
    <row r="33629" spans="26:26" x14ac:dyDescent="0.25">
      <c r="Z33629"/>
    </row>
    <row r="33630" spans="26:26" x14ac:dyDescent="0.25">
      <c r="Z33630"/>
    </row>
    <row r="33631" spans="26:26" x14ac:dyDescent="0.25">
      <c r="Z33631"/>
    </row>
    <row r="33632" spans="26:26" x14ac:dyDescent="0.25">
      <c r="Z33632"/>
    </row>
    <row r="33633" spans="26:26" x14ac:dyDescent="0.25">
      <c r="Z33633"/>
    </row>
    <row r="33634" spans="26:26" x14ac:dyDescent="0.25">
      <c r="Z33634"/>
    </row>
    <row r="33635" spans="26:26" x14ac:dyDescent="0.25">
      <c r="Z33635"/>
    </row>
    <row r="33636" spans="26:26" x14ac:dyDescent="0.25">
      <c r="Z33636"/>
    </row>
    <row r="33637" spans="26:26" x14ac:dyDescent="0.25">
      <c r="Z33637"/>
    </row>
    <row r="33638" spans="26:26" x14ac:dyDescent="0.25">
      <c r="Z33638"/>
    </row>
    <row r="33639" spans="26:26" x14ac:dyDescent="0.25">
      <c r="Z33639"/>
    </row>
    <row r="33640" spans="26:26" x14ac:dyDescent="0.25">
      <c r="Z33640"/>
    </row>
    <row r="33641" spans="26:26" x14ac:dyDescent="0.25">
      <c r="Z33641"/>
    </row>
    <row r="33642" spans="26:26" x14ac:dyDescent="0.25">
      <c r="Z33642"/>
    </row>
    <row r="33643" spans="26:26" x14ac:dyDescent="0.25">
      <c r="Z33643"/>
    </row>
    <row r="33644" spans="26:26" x14ac:dyDescent="0.25">
      <c r="Z33644"/>
    </row>
    <row r="33645" spans="26:26" x14ac:dyDescent="0.25">
      <c r="Z33645"/>
    </row>
    <row r="33646" spans="26:26" x14ac:dyDescent="0.25">
      <c r="Z33646"/>
    </row>
    <row r="33647" spans="26:26" x14ac:dyDescent="0.25">
      <c r="Z33647"/>
    </row>
    <row r="33648" spans="26:26" x14ac:dyDescent="0.25">
      <c r="Z33648"/>
    </row>
    <row r="33649" spans="26:26" x14ac:dyDescent="0.25">
      <c r="Z33649"/>
    </row>
    <row r="33650" spans="26:26" x14ac:dyDescent="0.25">
      <c r="Z33650"/>
    </row>
    <row r="33651" spans="26:26" x14ac:dyDescent="0.25">
      <c r="Z33651"/>
    </row>
    <row r="33652" spans="26:26" x14ac:dyDescent="0.25">
      <c r="Z33652"/>
    </row>
    <row r="33653" spans="26:26" x14ac:dyDescent="0.25">
      <c r="Z33653"/>
    </row>
    <row r="33654" spans="26:26" x14ac:dyDescent="0.25">
      <c r="Z33654"/>
    </row>
    <row r="33655" spans="26:26" x14ac:dyDescent="0.25">
      <c r="Z33655"/>
    </row>
    <row r="33656" spans="26:26" x14ac:dyDescent="0.25">
      <c r="Z33656"/>
    </row>
    <row r="33657" spans="26:26" x14ac:dyDescent="0.25">
      <c r="Z33657"/>
    </row>
    <row r="33658" spans="26:26" x14ac:dyDescent="0.25">
      <c r="Z33658"/>
    </row>
    <row r="33659" spans="26:26" x14ac:dyDescent="0.25">
      <c r="Z33659"/>
    </row>
    <row r="33660" spans="26:26" x14ac:dyDescent="0.25">
      <c r="Z33660"/>
    </row>
    <row r="33661" spans="26:26" x14ac:dyDescent="0.25">
      <c r="Z33661"/>
    </row>
    <row r="33662" spans="26:26" x14ac:dyDescent="0.25">
      <c r="Z33662"/>
    </row>
    <row r="33663" spans="26:26" x14ac:dyDescent="0.25">
      <c r="Z33663"/>
    </row>
    <row r="33664" spans="26:26" x14ac:dyDescent="0.25">
      <c r="Z33664"/>
    </row>
    <row r="33665" spans="26:26" x14ac:dyDescent="0.25">
      <c r="Z33665"/>
    </row>
    <row r="33666" spans="26:26" x14ac:dyDescent="0.25">
      <c r="Z33666"/>
    </row>
    <row r="33667" spans="26:26" x14ac:dyDescent="0.25">
      <c r="Z33667"/>
    </row>
    <row r="33668" spans="26:26" x14ac:dyDescent="0.25">
      <c r="Z33668"/>
    </row>
    <row r="33669" spans="26:26" x14ac:dyDescent="0.25">
      <c r="Z33669"/>
    </row>
    <row r="33670" spans="26:26" x14ac:dyDescent="0.25">
      <c r="Z33670"/>
    </row>
    <row r="33671" spans="26:26" x14ac:dyDescent="0.25">
      <c r="Z33671"/>
    </row>
    <row r="33672" spans="26:26" x14ac:dyDescent="0.25">
      <c r="Z33672"/>
    </row>
    <row r="33673" spans="26:26" x14ac:dyDescent="0.25">
      <c r="Z33673"/>
    </row>
    <row r="33674" spans="26:26" x14ac:dyDescent="0.25">
      <c r="Z33674"/>
    </row>
    <row r="33675" spans="26:26" x14ac:dyDescent="0.25">
      <c r="Z33675"/>
    </row>
    <row r="33676" spans="26:26" x14ac:dyDescent="0.25">
      <c r="Z33676"/>
    </row>
    <row r="33677" spans="26:26" x14ac:dyDescent="0.25">
      <c r="Z33677"/>
    </row>
    <row r="33678" spans="26:26" x14ac:dyDescent="0.25">
      <c r="Z33678"/>
    </row>
    <row r="33679" spans="26:26" x14ac:dyDescent="0.25">
      <c r="Z33679"/>
    </row>
    <row r="33680" spans="26:26" x14ac:dyDescent="0.25">
      <c r="Z33680"/>
    </row>
    <row r="33681" spans="26:26" x14ac:dyDescent="0.25">
      <c r="Z33681"/>
    </row>
    <row r="33682" spans="26:26" x14ac:dyDescent="0.25">
      <c r="Z33682"/>
    </row>
    <row r="33683" spans="26:26" x14ac:dyDescent="0.25">
      <c r="Z33683"/>
    </row>
    <row r="33684" spans="26:26" x14ac:dyDescent="0.25">
      <c r="Z33684"/>
    </row>
    <row r="33685" spans="26:26" x14ac:dyDescent="0.25">
      <c r="Z33685"/>
    </row>
    <row r="33686" spans="26:26" x14ac:dyDescent="0.25">
      <c r="Z33686"/>
    </row>
    <row r="33687" spans="26:26" x14ac:dyDescent="0.25">
      <c r="Z33687"/>
    </row>
    <row r="33688" spans="26:26" x14ac:dyDescent="0.25">
      <c r="Z33688"/>
    </row>
    <row r="33689" spans="26:26" x14ac:dyDescent="0.25">
      <c r="Z33689"/>
    </row>
    <row r="33690" spans="26:26" x14ac:dyDescent="0.25">
      <c r="Z33690"/>
    </row>
    <row r="33691" spans="26:26" x14ac:dyDescent="0.25">
      <c r="Z33691"/>
    </row>
    <row r="33692" spans="26:26" x14ac:dyDescent="0.25">
      <c r="Z33692"/>
    </row>
    <row r="33693" spans="26:26" x14ac:dyDescent="0.25">
      <c r="Z33693"/>
    </row>
    <row r="33694" spans="26:26" x14ac:dyDescent="0.25">
      <c r="Z33694"/>
    </row>
    <row r="33695" spans="26:26" x14ac:dyDescent="0.25">
      <c r="Z33695"/>
    </row>
    <row r="33696" spans="26:26" x14ac:dyDescent="0.25">
      <c r="Z33696"/>
    </row>
    <row r="33697" spans="26:26" x14ac:dyDescent="0.25">
      <c r="Z33697"/>
    </row>
    <row r="33698" spans="26:26" x14ac:dyDescent="0.25">
      <c r="Z33698"/>
    </row>
    <row r="33699" spans="26:26" x14ac:dyDescent="0.25">
      <c r="Z33699"/>
    </row>
    <row r="33700" spans="26:26" x14ac:dyDescent="0.25">
      <c r="Z33700"/>
    </row>
    <row r="33701" spans="26:26" x14ac:dyDescent="0.25">
      <c r="Z33701"/>
    </row>
    <row r="33702" spans="26:26" x14ac:dyDescent="0.25">
      <c r="Z33702"/>
    </row>
    <row r="33703" spans="26:26" x14ac:dyDescent="0.25">
      <c r="Z33703"/>
    </row>
    <row r="33704" spans="26:26" x14ac:dyDescent="0.25">
      <c r="Z33704"/>
    </row>
    <row r="33705" spans="26:26" x14ac:dyDescent="0.25">
      <c r="Z33705"/>
    </row>
    <row r="33706" spans="26:26" x14ac:dyDescent="0.25">
      <c r="Z33706"/>
    </row>
    <row r="33707" spans="26:26" x14ac:dyDescent="0.25">
      <c r="Z33707"/>
    </row>
    <row r="33708" spans="26:26" x14ac:dyDescent="0.25">
      <c r="Z33708"/>
    </row>
    <row r="33709" spans="26:26" x14ac:dyDescent="0.25">
      <c r="Z33709"/>
    </row>
    <row r="33710" spans="26:26" x14ac:dyDescent="0.25">
      <c r="Z33710"/>
    </row>
    <row r="33711" spans="26:26" x14ac:dyDescent="0.25">
      <c r="Z33711"/>
    </row>
    <row r="33712" spans="26:26" x14ac:dyDescent="0.25">
      <c r="Z33712"/>
    </row>
    <row r="33713" spans="26:26" x14ac:dyDescent="0.25">
      <c r="Z33713"/>
    </row>
    <row r="33714" spans="26:26" x14ac:dyDescent="0.25">
      <c r="Z33714"/>
    </row>
    <row r="33715" spans="26:26" x14ac:dyDescent="0.25">
      <c r="Z33715"/>
    </row>
    <row r="33716" spans="26:26" x14ac:dyDescent="0.25">
      <c r="Z33716"/>
    </row>
    <row r="33717" spans="26:26" x14ac:dyDescent="0.25">
      <c r="Z33717"/>
    </row>
    <row r="33718" spans="26:26" x14ac:dyDescent="0.25">
      <c r="Z33718"/>
    </row>
    <row r="33719" spans="26:26" x14ac:dyDescent="0.25">
      <c r="Z33719"/>
    </row>
    <row r="33720" spans="26:26" x14ac:dyDescent="0.25">
      <c r="Z33720"/>
    </row>
    <row r="33721" spans="26:26" x14ac:dyDescent="0.25">
      <c r="Z33721"/>
    </row>
    <row r="33722" spans="26:26" x14ac:dyDescent="0.25">
      <c r="Z33722"/>
    </row>
    <row r="33723" spans="26:26" x14ac:dyDescent="0.25">
      <c r="Z33723"/>
    </row>
    <row r="33724" spans="26:26" x14ac:dyDescent="0.25">
      <c r="Z33724"/>
    </row>
    <row r="33725" spans="26:26" x14ac:dyDescent="0.25">
      <c r="Z33725"/>
    </row>
    <row r="33726" spans="26:26" x14ac:dyDescent="0.25">
      <c r="Z33726"/>
    </row>
    <row r="33727" spans="26:26" x14ac:dyDescent="0.25">
      <c r="Z33727"/>
    </row>
    <row r="33728" spans="26:26" x14ac:dyDescent="0.25">
      <c r="Z33728"/>
    </row>
    <row r="33729" spans="26:26" x14ac:dyDescent="0.25">
      <c r="Z33729"/>
    </row>
    <row r="33730" spans="26:26" x14ac:dyDescent="0.25">
      <c r="Z33730"/>
    </row>
    <row r="33731" spans="26:26" x14ac:dyDescent="0.25">
      <c r="Z33731"/>
    </row>
    <row r="33732" spans="26:26" x14ac:dyDescent="0.25">
      <c r="Z33732"/>
    </row>
    <row r="33733" spans="26:26" x14ac:dyDescent="0.25">
      <c r="Z33733"/>
    </row>
    <row r="33734" spans="26:26" x14ac:dyDescent="0.25">
      <c r="Z33734"/>
    </row>
    <row r="33735" spans="26:26" x14ac:dyDescent="0.25">
      <c r="Z33735"/>
    </row>
    <row r="33736" spans="26:26" x14ac:dyDescent="0.25">
      <c r="Z33736"/>
    </row>
    <row r="33737" spans="26:26" x14ac:dyDescent="0.25">
      <c r="Z33737"/>
    </row>
    <row r="33738" spans="26:26" x14ac:dyDescent="0.25">
      <c r="Z33738"/>
    </row>
    <row r="33739" spans="26:26" x14ac:dyDescent="0.25">
      <c r="Z33739"/>
    </row>
    <row r="33740" spans="26:26" x14ac:dyDescent="0.25">
      <c r="Z33740"/>
    </row>
    <row r="33741" spans="26:26" x14ac:dyDescent="0.25">
      <c r="Z33741"/>
    </row>
    <row r="33742" spans="26:26" x14ac:dyDescent="0.25">
      <c r="Z33742"/>
    </row>
    <row r="33743" spans="26:26" x14ac:dyDescent="0.25">
      <c r="Z33743"/>
    </row>
    <row r="33744" spans="26:26" x14ac:dyDescent="0.25">
      <c r="Z33744"/>
    </row>
    <row r="33745" spans="26:26" x14ac:dyDescent="0.25">
      <c r="Z33745"/>
    </row>
    <row r="33746" spans="26:26" x14ac:dyDescent="0.25">
      <c r="Z33746"/>
    </row>
    <row r="33747" spans="26:26" x14ac:dyDescent="0.25">
      <c r="Z33747"/>
    </row>
    <row r="33748" spans="26:26" x14ac:dyDescent="0.25">
      <c r="Z33748"/>
    </row>
    <row r="33749" spans="26:26" x14ac:dyDescent="0.25">
      <c r="Z33749"/>
    </row>
    <row r="33750" spans="26:26" x14ac:dyDescent="0.25">
      <c r="Z33750"/>
    </row>
    <row r="33751" spans="26:26" x14ac:dyDescent="0.25">
      <c r="Z33751"/>
    </row>
    <row r="33752" spans="26:26" x14ac:dyDescent="0.25">
      <c r="Z33752"/>
    </row>
    <row r="33753" spans="26:26" x14ac:dyDescent="0.25">
      <c r="Z33753"/>
    </row>
    <row r="33754" spans="26:26" x14ac:dyDescent="0.25">
      <c r="Z33754"/>
    </row>
    <row r="33755" spans="26:26" x14ac:dyDescent="0.25">
      <c r="Z33755"/>
    </row>
    <row r="33756" spans="26:26" x14ac:dyDescent="0.25">
      <c r="Z33756"/>
    </row>
    <row r="33757" spans="26:26" x14ac:dyDescent="0.25">
      <c r="Z33757"/>
    </row>
    <row r="33758" spans="26:26" x14ac:dyDescent="0.25">
      <c r="Z33758"/>
    </row>
    <row r="33759" spans="26:26" x14ac:dyDescent="0.25">
      <c r="Z33759"/>
    </row>
    <row r="33760" spans="26:26" x14ac:dyDescent="0.25">
      <c r="Z33760"/>
    </row>
    <row r="33761" spans="26:26" x14ac:dyDescent="0.25">
      <c r="Z33761"/>
    </row>
    <row r="33762" spans="26:26" x14ac:dyDescent="0.25">
      <c r="Z33762"/>
    </row>
    <row r="33763" spans="26:26" x14ac:dyDescent="0.25">
      <c r="Z33763"/>
    </row>
    <row r="33764" spans="26:26" x14ac:dyDescent="0.25">
      <c r="Z33764"/>
    </row>
    <row r="33765" spans="26:26" x14ac:dyDescent="0.25">
      <c r="Z33765"/>
    </row>
    <row r="33766" spans="26:26" x14ac:dyDescent="0.25">
      <c r="Z33766"/>
    </row>
    <row r="33767" spans="26:26" x14ac:dyDescent="0.25">
      <c r="Z33767"/>
    </row>
    <row r="33768" spans="26:26" x14ac:dyDescent="0.25">
      <c r="Z33768"/>
    </row>
    <row r="33769" spans="26:26" x14ac:dyDescent="0.25">
      <c r="Z33769"/>
    </row>
    <row r="33770" spans="26:26" x14ac:dyDescent="0.25">
      <c r="Z33770"/>
    </row>
    <row r="33771" spans="26:26" x14ac:dyDescent="0.25">
      <c r="Z33771"/>
    </row>
    <row r="33772" spans="26:26" x14ac:dyDescent="0.25">
      <c r="Z33772"/>
    </row>
    <row r="33773" spans="26:26" x14ac:dyDescent="0.25">
      <c r="Z33773"/>
    </row>
    <row r="33774" spans="26:26" x14ac:dyDescent="0.25">
      <c r="Z33774"/>
    </row>
    <row r="33775" spans="26:26" x14ac:dyDescent="0.25">
      <c r="Z33775"/>
    </row>
    <row r="33776" spans="26:26" x14ac:dyDescent="0.25">
      <c r="Z33776"/>
    </row>
    <row r="33777" spans="26:26" x14ac:dyDescent="0.25">
      <c r="Z33777"/>
    </row>
    <row r="33778" spans="26:26" x14ac:dyDescent="0.25">
      <c r="Z33778"/>
    </row>
    <row r="33779" spans="26:26" x14ac:dyDescent="0.25">
      <c r="Z33779"/>
    </row>
    <row r="33780" spans="26:26" x14ac:dyDescent="0.25">
      <c r="Z33780"/>
    </row>
    <row r="33781" spans="26:26" x14ac:dyDescent="0.25">
      <c r="Z33781"/>
    </row>
    <row r="33782" spans="26:26" x14ac:dyDescent="0.25">
      <c r="Z33782"/>
    </row>
    <row r="33783" spans="26:26" x14ac:dyDescent="0.25">
      <c r="Z33783"/>
    </row>
    <row r="33784" spans="26:26" x14ac:dyDescent="0.25">
      <c r="Z33784"/>
    </row>
    <row r="33785" spans="26:26" x14ac:dyDescent="0.25">
      <c r="Z33785"/>
    </row>
    <row r="33786" spans="26:26" x14ac:dyDescent="0.25">
      <c r="Z33786"/>
    </row>
    <row r="33787" spans="26:26" x14ac:dyDescent="0.25">
      <c r="Z33787"/>
    </row>
    <row r="33788" spans="26:26" x14ac:dyDescent="0.25">
      <c r="Z33788"/>
    </row>
    <row r="33789" spans="26:26" x14ac:dyDescent="0.25">
      <c r="Z33789"/>
    </row>
    <row r="33790" spans="26:26" x14ac:dyDescent="0.25">
      <c r="Z33790"/>
    </row>
    <row r="33791" spans="26:26" x14ac:dyDescent="0.25">
      <c r="Z33791"/>
    </row>
    <row r="33792" spans="26:26" x14ac:dyDescent="0.25">
      <c r="Z33792"/>
    </row>
    <row r="33793" spans="26:26" x14ac:dyDescent="0.25">
      <c r="Z33793"/>
    </row>
    <row r="33794" spans="26:26" x14ac:dyDescent="0.25">
      <c r="Z33794"/>
    </row>
    <row r="33795" spans="26:26" x14ac:dyDescent="0.25">
      <c r="Z33795"/>
    </row>
    <row r="33796" spans="26:26" x14ac:dyDescent="0.25">
      <c r="Z33796"/>
    </row>
    <row r="33797" spans="26:26" x14ac:dyDescent="0.25">
      <c r="Z33797"/>
    </row>
    <row r="33798" spans="26:26" x14ac:dyDescent="0.25">
      <c r="Z33798"/>
    </row>
    <row r="33799" spans="26:26" x14ac:dyDescent="0.25">
      <c r="Z33799"/>
    </row>
    <row r="33800" spans="26:26" x14ac:dyDescent="0.25">
      <c r="Z33800"/>
    </row>
    <row r="33801" spans="26:26" x14ac:dyDescent="0.25">
      <c r="Z33801"/>
    </row>
    <row r="33802" spans="26:26" x14ac:dyDescent="0.25">
      <c r="Z33802"/>
    </row>
    <row r="33803" spans="26:26" x14ac:dyDescent="0.25">
      <c r="Z33803"/>
    </row>
    <row r="33804" spans="26:26" x14ac:dyDescent="0.25">
      <c r="Z33804"/>
    </row>
    <row r="33805" spans="26:26" x14ac:dyDescent="0.25">
      <c r="Z33805"/>
    </row>
    <row r="33806" spans="26:26" x14ac:dyDescent="0.25">
      <c r="Z33806"/>
    </row>
    <row r="33807" spans="26:26" x14ac:dyDescent="0.25">
      <c r="Z33807"/>
    </row>
    <row r="33808" spans="26:26" x14ac:dyDescent="0.25">
      <c r="Z33808"/>
    </row>
    <row r="33809" spans="26:26" x14ac:dyDescent="0.25">
      <c r="Z33809"/>
    </row>
    <row r="33810" spans="26:26" x14ac:dyDescent="0.25">
      <c r="Z33810"/>
    </row>
    <row r="33811" spans="26:26" x14ac:dyDescent="0.25">
      <c r="Z33811"/>
    </row>
    <row r="33812" spans="26:26" x14ac:dyDescent="0.25">
      <c r="Z33812"/>
    </row>
    <row r="33813" spans="26:26" x14ac:dyDescent="0.25">
      <c r="Z33813"/>
    </row>
    <row r="33814" spans="26:26" x14ac:dyDescent="0.25">
      <c r="Z33814"/>
    </row>
    <row r="33815" spans="26:26" x14ac:dyDescent="0.25">
      <c r="Z33815"/>
    </row>
    <row r="33816" spans="26:26" x14ac:dyDescent="0.25">
      <c r="Z33816"/>
    </row>
    <row r="33817" spans="26:26" x14ac:dyDescent="0.25">
      <c r="Z33817"/>
    </row>
    <row r="33818" spans="26:26" x14ac:dyDescent="0.25">
      <c r="Z33818"/>
    </row>
    <row r="33819" spans="26:26" x14ac:dyDescent="0.25">
      <c r="Z33819"/>
    </row>
    <row r="33820" spans="26:26" x14ac:dyDescent="0.25">
      <c r="Z33820"/>
    </row>
    <row r="33821" spans="26:26" x14ac:dyDescent="0.25">
      <c r="Z33821"/>
    </row>
    <row r="33822" spans="26:26" x14ac:dyDescent="0.25">
      <c r="Z33822"/>
    </row>
    <row r="33823" spans="26:26" x14ac:dyDescent="0.25">
      <c r="Z33823"/>
    </row>
    <row r="33824" spans="26:26" x14ac:dyDescent="0.25">
      <c r="Z33824"/>
    </row>
    <row r="33825" spans="26:26" x14ac:dyDescent="0.25">
      <c r="Z33825"/>
    </row>
    <row r="33826" spans="26:26" x14ac:dyDescent="0.25">
      <c r="Z33826"/>
    </row>
    <row r="33827" spans="26:26" x14ac:dyDescent="0.25">
      <c r="Z33827"/>
    </row>
    <row r="33828" spans="26:26" x14ac:dyDescent="0.25">
      <c r="Z33828"/>
    </row>
    <row r="33829" spans="26:26" x14ac:dyDescent="0.25">
      <c r="Z33829"/>
    </row>
    <row r="33830" spans="26:26" x14ac:dyDescent="0.25">
      <c r="Z33830"/>
    </row>
    <row r="33831" spans="26:26" x14ac:dyDescent="0.25">
      <c r="Z33831"/>
    </row>
    <row r="33832" spans="26:26" x14ac:dyDescent="0.25">
      <c r="Z33832"/>
    </row>
    <row r="33833" spans="26:26" x14ac:dyDescent="0.25">
      <c r="Z33833"/>
    </row>
    <row r="33834" spans="26:26" x14ac:dyDescent="0.25">
      <c r="Z33834"/>
    </row>
    <row r="33835" spans="26:26" x14ac:dyDescent="0.25">
      <c r="Z33835"/>
    </row>
    <row r="33836" spans="26:26" x14ac:dyDescent="0.25">
      <c r="Z33836"/>
    </row>
    <row r="33837" spans="26:26" x14ac:dyDescent="0.25">
      <c r="Z33837"/>
    </row>
    <row r="33838" spans="26:26" x14ac:dyDescent="0.25">
      <c r="Z33838"/>
    </row>
    <row r="33839" spans="26:26" x14ac:dyDescent="0.25">
      <c r="Z33839"/>
    </row>
    <row r="33840" spans="26:26" x14ac:dyDescent="0.25">
      <c r="Z33840"/>
    </row>
    <row r="33841" spans="26:26" x14ac:dyDescent="0.25">
      <c r="Z33841"/>
    </row>
    <row r="33842" spans="26:26" x14ac:dyDescent="0.25">
      <c r="Z33842"/>
    </row>
    <row r="33843" spans="26:26" x14ac:dyDescent="0.25">
      <c r="Z33843"/>
    </row>
    <row r="33844" spans="26:26" x14ac:dyDescent="0.25">
      <c r="Z33844"/>
    </row>
    <row r="33845" spans="26:26" x14ac:dyDescent="0.25">
      <c r="Z33845"/>
    </row>
    <row r="33846" spans="26:26" x14ac:dyDescent="0.25">
      <c r="Z33846"/>
    </row>
    <row r="33847" spans="26:26" x14ac:dyDescent="0.25">
      <c r="Z33847"/>
    </row>
    <row r="33848" spans="26:26" x14ac:dyDescent="0.25">
      <c r="Z33848"/>
    </row>
    <row r="33849" spans="26:26" x14ac:dyDescent="0.25">
      <c r="Z33849"/>
    </row>
    <row r="33850" spans="26:26" x14ac:dyDescent="0.25">
      <c r="Z33850"/>
    </row>
    <row r="33851" spans="26:26" x14ac:dyDescent="0.25">
      <c r="Z33851"/>
    </row>
    <row r="33852" spans="26:26" x14ac:dyDescent="0.25">
      <c r="Z33852"/>
    </row>
    <row r="33853" spans="26:26" x14ac:dyDescent="0.25">
      <c r="Z33853"/>
    </row>
    <row r="33854" spans="26:26" x14ac:dyDescent="0.25">
      <c r="Z33854"/>
    </row>
    <row r="33855" spans="26:26" x14ac:dyDescent="0.25">
      <c r="Z33855"/>
    </row>
    <row r="33856" spans="26:26" x14ac:dyDescent="0.25">
      <c r="Z33856"/>
    </row>
    <row r="33857" spans="26:26" x14ac:dyDescent="0.25">
      <c r="Z33857"/>
    </row>
    <row r="33858" spans="26:26" x14ac:dyDescent="0.25">
      <c r="Z33858"/>
    </row>
    <row r="33859" spans="26:26" x14ac:dyDescent="0.25">
      <c r="Z33859"/>
    </row>
    <row r="33860" spans="26:26" x14ac:dyDescent="0.25">
      <c r="Z33860"/>
    </row>
    <row r="33861" spans="26:26" x14ac:dyDescent="0.25">
      <c r="Z33861"/>
    </row>
    <row r="33862" spans="26:26" x14ac:dyDescent="0.25">
      <c r="Z33862"/>
    </row>
    <row r="33863" spans="26:26" x14ac:dyDescent="0.25">
      <c r="Z33863"/>
    </row>
    <row r="33864" spans="26:26" x14ac:dyDescent="0.25">
      <c r="Z33864"/>
    </row>
    <row r="33865" spans="26:26" x14ac:dyDescent="0.25">
      <c r="Z33865"/>
    </row>
    <row r="33866" spans="26:26" x14ac:dyDescent="0.25">
      <c r="Z33866"/>
    </row>
    <row r="33867" spans="26:26" x14ac:dyDescent="0.25">
      <c r="Z33867"/>
    </row>
    <row r="33868" spans="26:26" x14ac:dyDescent="0.25">
      <c r="Z33868"/>
    </row>
    <row r="33869" spans="26:26" x14ac:dyDescent="0.25">
      <c r="Z33869"/>
    </row>
    <row r="33870" spans="26:26" x14ac:dyDescent="0.25">
      <c r="Z33870"/>
    </row>
    <row r="33871" spans="26:26" x14ac:dyDescent="0.25">
      <c r="Z33871"/>
    </row>
    <row r="33872" spans="26:26" x14ac:dyDescent="0.25">
      <c r="Z33872"/>
    </row>
    <row r="33873" spans="26:26" x14ac:dyDescent="0.25">
      <c r="Z33873"/>
    </row>
    <row r="33874" spans="26:26" x14ac:dyDescent="0.25">
      <c r="Z33874"/>
    </row>
    <row r="33875" spans="26:26" x14ac:dyDescent="0.25">
      <c r="Z33875"/>
    </row>
    <row r="33876" spans="26:26" x14ac:dyDescent="0.25">
      <c r="Z33876"/>
    </row>
    <row r="33877" spans="26:26" x14ac:dyDescent="0.25">
      <c r="Z33877"/>
    </row>
    <row r="33878" spans="26:26" x14ac:dyDescent="0.25">
      <c r="Z33878"/>
    </row>
    <row r="33879" spans="26:26" x14ac:dyDescent="0.25">
      <c r="Z33879"/>
    </row>
    <row r="33880" spans="26:26" x14ac:dyDescent="0.25">
      <c r="Z33880"/>
    </row>
    <row r="33881" spans="26:26" x14ac:dyDescent="0.25">
      <c r="Z33881"/>
    </row>
    <row r="33882" spans="26:26" x14ac:dyDescent="0.25">
      <c r="Z33882"/>
    </row>
    <row r="33883" spans="26:26" x14ac:dyDescent="0.25">
      <c r="Z33883"/>
    </row>
    <row r="33884" spans="26:26" x14ac:dyDescent="0.25">
      <c r="Z33884"/>
    </row>
    <row r="33885" spans="26:26" x14ac:dyDescent="0.25">
      <c r="Z33885"/>
    </row>
    <row r="33886" spans="26:26" x14ac:dyDescent="0.25">
      <c r="Z33886"/>
    </row>
    <row r="33887" spans="26:26" x14ac:dyDescent="0.25">
      <c r="Z33887"/>
    </row>
    <row r="33888" spans="26:26" x14ac:dyDescent="0.25">
      <c r="Z33888"/>
    </row>
    <row r="33889" spans="26:26" x14ac:dyDescent="0.25">
      <c r="Z33889"/>
    </row>
    <row r="33890" spans="26:26" x14ac:dyDescent="0.25">
      <c r="Z33890"/>
    </row>
    <row r="33891" spans="26:26" x14ac:dyDescent="0.25">
      <c r="Z33891"/>
    </row>
    <row r="33892" spans="26:26" x14ac:dyDescent="0.25">
      <c r="Z33892"/>
    </row>
    <row r="33893" spans="26:26" x14ac:dyDescent="0.25">
      <c r="Z33893"/>
    </row>
    <row r="33894" spans="26:26" x14ac:dyDescent="0.25">
      <c r="Z33894"/>
    </row>
    <row r="33895" spans="26:26" x14ac:dyDescent="0.25">
      <c r="Z33895"/>
    </row>
    <row r="33896" spans="26:26" x14ac:dyDescent="0.25">
      <c r="Z33896"/>
    </row>
    <row r="33897" spans="26:26" x14ac:dyDescent="0.25">
      <c r="Z33897"/>
    </row>
    <row r="33898" spans="26:26" x14ac:dyDescent="0.25">
      <c r="Z33898"/>
    </row>
    <row r="33899" spans="26:26" x14ac:dyDescent="0.25">
      <c r="Z33899"/>
    </row>
    <row r="33900" spans="26:26" x14ac:dyDescent="0.25">
      <c r="Z33900"/>
    </row>
    <row r="33901" spans="26:26" x14ac:dyDescent="0.25">
      <c r="Z33901"/>
    </row>
    <row r="33902" spans="26:26" x14ac:dyDescent="0.25">
      <c r="Z33902"/>
    </row>
    <row r="33903" spans="26:26" x14ac:dyDescent="0.25">
      <c r="Z33903"/>
    </row>
    <row r="33904" spans="26:26" x14ac:dyDescent="0.25">
      <c r="Z33904"/>
    </row>
    <row r="33905" spans="26:26" x14ac:dyDescent="0.25">
      <c r="Z33905"/>
    </row>
    <row r="33906" spans="26:26" x14ac:dyDescent="0.25">
      <c r="Z33906"/>
    </row>
    <row r="33907" spans="26:26" x14ac:dyDescent="0.25">
      <c r="Z33907"/>
    </row>
    <row r="33908" spans="26:26" x14ac:dyDescent="0.25">
      <c r="Z33908"/>
    </row>
    <row r="33909" spans="26:26" x14ac:dyDescent="0.25">
      <c r="Z33909"/>
    </row>
    <row r="33910" spans="26:26" x14ac:dyDescent="0.25">
      <c r="Z33910"/>
    </row>
    <row r="33911" spans="26:26" x14ac:dyDescent="0.25">
      <c r="Z33911"/>
    </row>
    <row r="33912" spans="26:26" x14ac:dyDescent="0.25">
      <c r="Z33912"/>
    </row>
    <row r="33913" spans="26:26" x14ac:dyDescent="0.25">
      <c r="Z33913"/>
    </row>
    <row r="33914" spans="26:26" x14ac:dyDescent="0.25">
      <c r="Z33914"/>
    </row>
    <row r="33915" spans="26:26" x14ac:dyDescent="0.25">
      <c r="Z33915"/>
    </row>
    <row r="33916" spans="26:26" x14ac:dyDescent="0.25">
      <c r="Z33916"/>
    </row>
    <row r="33917" spans="26:26" x14ac:dyDescent="0.25">
      <c r="Z33917"/>
    </row>
    <row r="33918" spans="26:26" x14ac:dyDescent="0.25">
      <c r="Z33918"/>
    </row>
    <row r="33919" spans="26:26" x14ac:dyDescent="0.25">
      <c r="Z33919"/>
    </row>
    <row r="33920" spans="26:26" x14ac:dyDescent="0.25">
      <c r="Z33920"/>
    </row>
    <row r="33921" spans="26:26" x14ac:dyDescent="0.25">
      <c r="Z33921"/>
    </row>
    <row r="33922" spans="26:26" x14ac:dyDescent="0.25">
      <c r="Z33922"/>
    </row>
    <row r="33923" spans="26:26" x14ac:dyDescent="0.25">
      <c r="Z33923"/>
    </row>
    <row r="33924" spans="26:26" x14ac:dyDescent="0.25">
      <c r="Z33924"/>
    </row>
    <row r="33925" spans="26:26" x14ac:dyDescent="0.25">
      <c r="Z33925"/>
    </row>
    <row r="33926" spans="26:26" x14ac:dyDescent="0.25">
      <c r="Z33926"/>
    </row>
    <row r="33927" spans="26:26" x14ac:dyDescent="0.25">
      <c r="Z33927"/>
    </row>
    <row r="33928" spans="26:26" x14ac:dyDescent="0.25">
      <c r="Z33928"/>
    </row>
    <row r="33929" spans="26:26" x14ac:dyDescent="0.25">
      <c r="Z33929"/>
    </row>
    <row r="33930" spans="26:26" x14ac:dyDescent="0.25">
      <c r="Z33930"/>
    </row>
    <row r="33931" spans="26:26" x14ac:dyDescent="0.25">
      <c r="Z33931"/>
    </row>
    <row r="33932" spans="26:26" x14ac:dyDescent="0.25">
      <c r="Z33932"/>
    </row>
    <row r="33933" spans="26:26" x14ac:dyDescent="0.25">
      <c r="Z33933"/>
    </row>
    <row r="33934" spans="26:26" x14ac:dyDescent="0.25">
      <c r="Z33934"/>
    </row>
    <row r="33935" spans="26:26" x14ac:dyDescent="0.25">
      <c r="Z33935"/>
    </row>
    <row r="33936" spans="26:26" x14ac:dyDescent="0.25">
      <c r="Z33936"/>
    </row>
    <row r="33937" spans="26:26" x14ac:dyDescent="0.25">
      <c r="Z33937"/>
    </row>
    <row r="33938" spans="26:26" x14ac:dyDescent="0.25">
      <c r="Z33938"/>
    </row>
    <row r="33939" spans="26:26" x14ac:dyDescent="0.25">
      <c r="Z33939"/>
    </row>
    <row r="33940" spans="26:26" x14ac:dyDescent="0.25">
      <c r="Z33940"/>
    </row>
    <row r="33941" spans="26:26" x14ac:dyDescent="0.25">
      <c r="Z33941"/>
    </row>
    <row r="33942" spans="26:26" x14ac:dyDescent="0.25">
      <c r="Z33942"/>
    </row>
    <row r="33943" spans="26:26" x14ac:dyDescent="0.25">
      <c r="Z33943"/>
    </row>
    <row r="33944" spans="26:26" x14ac:dyDescent="0.25">
      <c r="Z33944"/>
    </row>
    <row r="33945" spans="26:26" x14ac:dyDescent="0.25">
      <c r="Z33945"/>
    </row>
    <row r="33946" spans="26:26" x14ac:dyDescent="0.25">
      <c r="Z33946"/>
    </row>
    <row r="33947" spans="26:26" x14ac:dyDescent="0.25">
      <c r="Z33947"/>
    </row>
    <row r="33948" spans="26:26" x14ac:dyDescent="0.25">
      <c r="Z33948"/>
    </row>
    <row r="33949" spans="26:26" x14ac:dyDescent="0.25">
      <c r="Z33949"/>
    </row>
    <row r="33950" spans="26:26" x14ac:dyDescent="0.25">
      <c r="Z33950"/>
    </row>
    <row r="33951" spans="26:26" x14ac:dyDescent="0.25">
      <c r="Z33951"/>
    </row>
    <row r="33952" spans="26:26" x14ac:dyDescent="0.25">
      <c r="Z33952"/>
    </row>
    <row r="33953" spans="26:26" x14ac:dyDescent="0.25">
      <c r="Z33953"/>
    </row>
    <row r="33954" spans="26:26" x14ac:dyDescent="0.25">
      <c r="Z33954"/>
    </row>
    <row r="33955" spans="26:26" x14ac:dyDescent="0.25">
      <c r="Z33955"/>
    </row>
    <row r="33956" spans="26:26" x14ac:dyDescent="0.25">
      <c r="Z33956"/>
    </row>
    <row r="33957" spans="26:26" x14ac:dyDescent="0.25">
      <c r="Z33957"/>
    </row>
    <row r="33958" spans="26:26" x14ac:dyDescent="0.25">
      <c r="Z33958"/>
    </row>
    <row r="33959" spans="26:26" x14ac:dyDescent="0.25">
      <c r="Z33959"/>
    </row>
    <row r="33960" spans="26:26" x14ac:dyDescent="0.25">
      <c r="Z33960"/>
    </row>
    <row r="33961" spans="26:26" x14ac:dyDescent="0.25">
      <c r="Z33961"/>
    </row>
    <row r="33962" spans="26:26" x14ac:dyDescent="0.25">
      <c r="Z33962"/>
    </row>
    <row r="33963" spans="26:26" x14ac:dyDescent="0.25">
      <c r="Z33963"/>
    </row>
    <row r="33964" spans="26:26" x14ac:dyDescent="0.25">
      <c r="Z33964"/>
    </row>
    <row r="33965" spans="26:26" x14ac:dyDescent="0.25">
      <c r="Z33965"/>
    </row>
    <row r="33966" spans="26:26" x14ac:dyDescent="0.25">
      <c r="Z33966"/>
    </row>
    <row r="33967" spans="26:26" x14ac:dyDescent="0.25">
      <c r="Z33967"/>
    </row>
    <row r="33968" spans="26:26" x14ac:dyDescent="0.25">
      <c r="Z33968"/>
    </row>
    <row r="33969" spans="26:26" x14ac:dyDescent="0.25">
      <c r="Z33969"/>
    </row>
    <row r="33970" spans="26:26" x14ac:dyDescent="0.25">
      <c r="Z33970"/>
    </row>
    <row r="33971" spans="26:26" x14ac:dyDescent="0.25">
      <c r="Z33971"/>
    </row>
    <row r="33972" spans="26:26" x14ac:dyDescent="0.25">
      <c r="Z33972"/>
    </row>
    <row r="33973" spans="26:26" x14ac:dyDescent="0.25">
      <c r="Z33973"/>
    </row>
    <row r="33974" spans="26:26" x14ac:dyDescent="0.25">
      <c r="Z33974"/>
    </row>
    <row r="33975" spans="26:26" x14ac:dyDescent="0.25">
      <c r="Z33975"/>
    </row>
    <row r="33976" spans="26:26" x14ac:dyDescent="0.25">
      <c r="Z33976"/>
    </row>
    <row r="33977" spans="26:26" x14ac:dyDescent="0.25">
      <c r="Z33977"/>
    </row>
    <row r="33978" spans="26:26" x14ac:dyDescent="0.25">
      <c r="Z33978"/>
    </row>
    <row r="33979" spans="26:26" x14ac:dyDescent="0.25">
      <c r="Z33979"/>
    </row>
    <row r="33980" spans="26:26" x14ac:dyDescent="0.25">
      <c r="Z33980"/>
    </row>
    <row r="33981" spans="26:26" x14ac:dyDescent="0.25">
      <c r="Z33981"/>
    </row>
    <row r="33982" spans="26:26" x14ac:dyDescent="0.25">
      <c r="Z33982"/>
    </row>
    <row r="33983" spans="26:26" x14ac:dyDescent="0.25">
      <c r="Z33983"/>
    </row>
    <row r="33984" spans="26:26" x14ac:dyDescent="0.25">
      <c r="Z33984"/>
    </row>
    <row r="33985" spans="26:26" x14ac:dyDescent="0.25">
      <c r="Z33985"/>
    </row>
    <row r="33986" spans="26:26" x14ac:dyDescent="0.25">
      <c r="Z33986"/>
    </row>
    <row r="33987" spans="26:26" x14ac:dyDescent="0.25">
      <c r="Z33987"/>
    </row>
    <row r="33988" spans="26:26" x14ac:dyDescent="0.25">
      <c r="Z33988"/>
    </row>
    <row r="33989" spans="26:26" x14ac:dyDescent="0.25">
      <c r="Z33989"/>
    </row>
    <row r="33990" spans="26:26" x14ac:dyDescent="0.25">
      <c r="Z33990"/>
    </row>
    <row r="33991" spans="26:26" x14ac:dyDescent="0.25">
      <c r="Z33991"/>
    </row>
    <row r="33992" spans="26:26" x14ac:dyDescent="0.25">
      <c r="Z33992"/>
    </row>
    <row r="33993" spans="26:26" x14ac:dyDescent="0.25">
      <c r="Z33993"/>
    </row>
    <row r="33994" spans="26:26" x14ac:dyDescent="0.25">
      <c r="Z33994"/>
    </row>
    <row r="33995" spans="26:26" x14ac:dyDescent="0.25">
      <c r="Z33995"/>
    </row>
    <row r="33996" spans="26:26" x14ac:dyDescent="0.25">
      <c r="Z33996"/>
    </row>
    <row r="33997" spans="26:26" x14ac:dyDescent="0.25">
      <c r="Z33997"/>
    </row>
    <row r="33998" spans="26:26" x14ac:dyDescent="0.25">
      <c r="Z33998"/>
    </row>
    <row r="33999" spans="26:26" x14ac:dyDescent="0.25">
      <c r="Z33999"/>
    </row>
    <row r="34000" spans="26:26" x14ac:dyDescent="0.25">
      <c r="Z34000"/>
    </row>
    <row r="34001" spans="26:26" x14ac:dyDescent="0.25">
      <c r="Z34001"/>
    </row>
    <row r="34002" spans="26:26" x14ac:dyDescent="0.25">
      <c r="Z34002"/>
    </row>
    <row r="34003" spans="26:26" x14ac:dyDescent="0.25">
      <c r="Z34003"/>
    </row>
    <row r="34004" spans="26:26" x14ac:dyDescent="0.25">
      <c r="Z34004"/>
    </row>
    <row r="34005" spans="26:26" x14ac:dyDescent="0.25">
      <c r="Z34005"/>
    </row>
    <row r="34006" spans="26:26" x14ac:dyDescent="0.25">
      <c r="Z34006"/>
    </row>
    <row r="34007" spans="26:26" x14ac:dyDescent="0.25">
      <c r="Z34007"/>
    </row>
    <row r="34008" spans="26:26" x14ac:dyDescent="0.25">
      <c r="Z34008"/>
    </row>
    <row r="34009" spans="26:26" x14ac:dyDescent="0.25">
      <c r="Z34009"/>
    </row>
    <row r="34010" spans="26:26" x14ac:dyDescent="0.25">
      <c r="Z34010"/>
    </row>
    <row r="34011" spans="26:26" x14ac:dyDescent="0.25">
      <c r="Z34011"/>
    </row>
    <row r="34012" spans="26:26" x14ac:dyDescent="0.25">
      <c r="Z34012"/>
    </row>
    <row r="34013" spans="26:26" x14ac:dyDescent="0.25">
      <c r="Z34013"/>
    </row>
    <row r="34014" spans="26:26" x14ac:dyDescent="0.25">
      <c r="Z34014"/>
    </row>
    <row r="34015" spans="26:26" x14ac:dyDescent="0.25">
      <c r="Z34015"/>
    </row>
    <row r="34016" spans="26:26" x14ac:dyDescent="0.25">
      <c r="Z34016"/>
    </row>
    <row r="34017" spans="26:26" x14ac:dyDescent="0.25">
      <c r="Z34017"/>
    </row>
    <row r="34018" spans="26:26" x14ac:dyDescent="0.25">
      <c r="Z34018"/>
    </row>
    <row r="34019" spans="26:26" x14ac:dyDescent="0.25">
      <c r="Z34019"/>
    </row>
    <row r="34020" spans="26:26" x14ac:dyDescent="0.25">
      <c r="Z34020"/>
    </row>
    <row r="34021" spans="26:26" x14ac:dyDescent="0.25">
      <c r="Z34021"/>
    </row>
    <row r="34022" spans="26:26" x14ac:dyDescent="0.25">
      <c r="Z34022"/>
    </row>
    <row r="34023" spans="26:26" x14ac:dyDescent="0.25">
      <c r="Z34023"/>
    </row>
    <row r="34024" spans="26:26" x14ac:dyDescent="0.25">
      <c r="Z34024"/>
    </row>
    <row r="34025" spans="26:26" x14ac:dyDescent="0.25">
      <c r="Z34025"/>
    </row>
    <row r="34026" spans="26:26" x14ac:dyDescent="0.25">
      <c r="Z34026"/>
    </row>
    <row r="34027" spans="26:26" x14ac:dyDescent="0.25">
      <c r="Z34027"/>
    </row>
    <row r="34028" spans="26:26" x14ac:dyDescent="0.25">
      <c r="Z34028"/>
    </row>
    <row r="34029" spans="26:26" x14ac:dyDescent="0.25">
      <c r="Z34029"/>
    </row>
    <row r="34030" spans="26:26" x14ac:dyDescent="0.25">
      <c r="Z34030"/>
    </row>
    <row r="34031" spans="26:26" x14ac:dyDescent="0.25">
      <c r="Z34031"/>
    </row>
    <row r="34032" spans="26:26" x14ac:dyDescent="0.25">
      <c r="Z34032"/>
    </row>
    <row r="34033" spans="26:26" x14ac:dyDescent="0.25">
      <c r="Z34033"/>
    </row>
    <row r="34034" spans="26:26" x14ac:dyDescent="0.25">
      <c r="Z34034"/>
    </row>
    <row r="34035" spans="26:26" x14ac:dyDescent="0.25">
      <c r="Z34035"/>
    </row>
    <row r="34036" spans="26:26" x14ac:dyDescent="0.25">
      <c r="Z34036"/>
    </row>
    <row r="34037" spans="26:26" x14ac:dyDescent="0.25">
      <c r="Z34037"/>
    </row>
    <row r="34038" spans="26:26" x14ac:dyDescent="0.25">
      <c r="Z34038"/>
    </row>
    <row r="34039" spans="26:26" x14ac:dyDescent="0.25">
      <c r="Z34039"/>
    </row>
    <row r="34040" spans="26:26" x14ac:dyDescent="0.25">
      <c r="Z34040"/>
    </row>
    <row r="34041" spans="26:26" x14ac:dyDescent="0.25">
      <c r="Z34041"/>
    </row>
    <row r="34042" spans="26:26" x14ac:dyDescent="0.25">
      <c r="Z34042"/>
    </row>
    <row r="34043" spans="26:26" x14ac:dyDescent="0.25">
      <c r="Z34043"/>
    </row>
    <row r="34044" spans="26:26" x14ac:dyDescent="0.25">
      <c r="Z34044"/>
    </row>
    <row r="34045" spans="26:26" x14ac:dyDescent="0.25">
      <c r="Z34045"/>
    </row>
    <row r="34046" spans="26:26" x14ac:dyDescent="0.25">
      <c r="Z34046"/>
    </row>
    <row r="34047" spans="26:26" x14ac:dyDescent="0.25">
      <c r="Z34047"/>
    </row>
    <row r="34048" spans="26:26" x14ac:dyDescent="0.25">
      <c r="Z34048"/>
    </row>
    <row r="34049" spans="26:26" x14ac:dyDescent="0.25">
      <c r="Z34049"/>
    </row>
    <row r="34050" spans="26:26" x14ac:dyDescent="0.25">
      <c r="Z34050"/>
    </row>
    <row r="34051" spans="26:26" x14ac:dyDescent="0.25">
      <c r="Z34051"/>
    </row>
    <row r="34052" spans="26:26" x14ac:dyDescent="0.25">
      <c r="Z34052"/>
    </row>
    <row r="34053" spans="26:26" x14ac:dyDescent="0.25">
      <c r="Z34053"/>
    </row>
    <row r="34054" spans="26:26" x14ac:dyDescent="0.25">
      <c r="Z34054"/>
    </row>
    <row r="34055" spans="26:26" x14ac:dyDescent="0.25">
      <c r="Z34055"/>
    </row>
    <row r="34056" spans="26:26" x14ac:dyDescent="0.25">
      <c r="Z34056"/>
    </row>
    <row r="34057" spans="26:26" x14ac:dyDescent="0.25">
      <c r="Z34057"/>
    </row>
    <row r="34058" spans="26:26" x14ac:dyDescent="0.25">
      <c r="Z34058"/>
    </row>
    <row r="34059" spans="26:26" x14ac:dyDescent="0.25">
      <c r="Z34059"/>
    </row>
    <row r="34060" spans="26:26" x14ac:dyDescent="0.25">
      <c r="Z34060"/>
    </row>
    <row r="34061" spans="26:26" x14ac:dyDescent="0.25">
      <c r="Z34061"/>
    </row>
    <row r="34062" spans="26:26" x14ac:dyDescent="0.25">
      <c r="Z34062"/>
    </row>
    <row r="34063" spans="26:26" x14ac:dyDescent="0.25">
      <c r="Z34063"/>
    </row>
    <row r="34064" spans="26:26" x14ac:dyDescent="0.25">
      <c r="Z34064"/>
    </row>
    <row r="34065" spans="26:26" x14ac:dyDescent="0.25">
      <c r="Z34065"/>
    </row>
    <row r="34066" spans="26:26" x14ac:dyDescent="0.25">
      <c r="Z34066"/>
    </row>
    <row r="34067" spans="26:26" x14ac:dyDescent="0.25">
      <c r="Z34067"/>
    </row>
    <row r="34068" spans="26:26" x14ac:dyDescent="0.25">
      <c r="Z34068"/>
    </row>
    <row r="34069" spans="26:26" x14ac:dyDescent="0.25">
      <c r="Z34069"/>
    </row>
    <row r="34070" spans="26:26" x14ac:dyDescent="0.25">
      <c r="Z34070"/>
    </row>
    <row r="34071" spans="26:26" x14ac:dyDescent="0.25">
      <c r="Z34071"/>
    </row>
    <row r="34072" spans="26:26" x14ac:dyDescent="0.25">
      <c r="Z34072"/>
    </row>
    <row r="34073" spans="26:26" x14ac:dyDescent="0.25">
      <c r="Z34073"/>
    </row>
    <row r="34074" spans="26:26" x14ac:dyDescent="0.25">
      <c r="Z34074"/>
    </row>
    <row r="34075" spans="26:26" x14ac:dyDescent="0.25">
      <c r="Z34075"/>
    </row>
    <row r="34076" spans="26:26" x14ac:dyDescent="0.25">
      <c r="Z34076"/>
    </row>
    <row r="34077" spans="26:26" x14ac:dyDescent="0.25">
      <c r="Z34077"/>
    </row>
    <row r="34078" spans="26:26" x14ac:dyDescent="0.25">
      <c r="Z34078"/>
    </row>
    <row r="34079" spans="26:26" x14ac:dyDescent="0.25">
      <c r="Z34079"/>
    </row>
    <row r="34080" spans="26:26" x14ac:dyDescent="0.25">
      <c r="Z34080"/>
    </row>
    <row r="34081" spans="26:26" x14ac:dyDescent="0.25">
      <c r="Z34081"/>
    </row>
    <row r="34082" spans="26:26" x14ac:dyDescent="0.25">
      <c r="Z34082"/>
    </row>
    <row r="34083" spans="26:26" x14ac:dyDescent="0.25">
      <c r="Z34083"/>
    </row>
    <row r="34084" spans="26:26" x14ac:dyDescent="0.25">
      <c r="Z34084"/>
    </row>
    <row r="34085" spans="26:26" x14ac:dyDescent="0.25">
      <c r="Z34085"/>
    </row>
    <row r="34086" spans="26:26" x14ac:dyDescent="0.25">
      <c r="Z34086"/>
    </row>
    <row r="34087" spans="26:26" x14ac:dyDescent="0.25">
      <c r="Z34087"/>
    </row>
    <row r="34088" spans="26:26" x14ac:dyDescent="0.25">
      <c r="Z34088"/>
    </row>
    <row r="34089" spans="26:26" x14ac:dyDescent="0.25">
      <c r="Z34089"/>
    </row>
    <row r="34090" spans="26:26" x14ac:dyDescent="0.25">
      <c r="Z34090"/>
    </row>
    <row r="34091" spans="26:26" x14ac:dyDescent="0.25">
      <c r="Z34091"/>
    </row>
    <row r="34092" spans="26:26" x14ac:dyDescent="0.25">
      <c r="Z34092"/>
    </row>
    <row r="34093" spans="26:26" x14ac:dyDescent="0.25">
      <c r="Z34093"/>
    </row>
    <row r="34094" spans="26:26" x14ac:dyDescent="0.25">
      <c r="Z34094"/>
    </row>
    <row r="34095" spans="26:26" x14ac:dyDescent="0.25">
      <c r="Z34095"/>
    </row>
    <row r="34096" spans="26:26" x14ac:dyDescent="0.25">
      <c r="Z34096"/>
    </row>
    <row r="34097" spans="26:26" x14ac:dyDescent="0.25">
      <c r="Z34097"/>
    </row>
    <row r="34098" spans="26:26" x14ac:dyDescent="0.25">
      <c r="Z34098"/>
    </row>
    <row r="34099" spans="26:26" x14ac:dyDescent="0.25">
      <c r="Z34099"/>
    </row>
    <row r="34100" spans="26:26" x14ac:dyDescent="0.25">
      <c r="Z34100"/>
    </row>
    <row r="34101" spans="26:26" x14ac:dyDescent="0.25">
      <c r="Z34101"/>
    </row>
    <row r="34102" spans="26:26" x14ac:dyDescent="0.25">
      <c r="Z34102"/>
    </row>
    <row r="34103" spans="26:26" x14ac:dyDescent="0.25">
      <c r="Z34103"/>
    </row>
    <row r="34104" spans="26:26" x14ac:dyDescent="0.25">
      <c r="Z34104"/>
    </row>
    <row r="34105" spans="26:26" x14ac:dyDescent="0.25">
      <c r="Z34105"/>
    </row>
    <row r="34106" spans="26:26" x14ac:dyDescent="0.25">
      <c r="Z34106"/>
    </row>
    <row r="34107" spans="26:26" x14ac:dyDescent="0.25">
      <c r="Z34107"/>
    </row>
    <row r="34108" spans="26:26" x14ac:dyDescent="0.25">
      <c r="Z34108"/>
    </row>
    <row r="34109" spans="26:26" x14ac:dyDescent="0.25">
      <c r="Z34109"/>
    </row>
    <row r="34110" spans="26:26" x14ac:dyDescent="0.25">
      <c r="Z34110"/>
    </row>
    <row r="34111" spans="26:26" x14ac:dyDescent="0.25">
      <c r="Z34111"/>
    </row>
    <row r="34112" spans="26:26" x14ac:dyDescent="0.25">
      <c r="Z34112"/>
    </row>
    <row r="34113" spans="26:26" x14ac:dyDescent="0.25">
      <c r="Z34113"/>
    </row>
    <row r="34114" spans="26:26" x14ac:dyDescent="0.25">
      <c r="Z34114"/>
    </row>
    <row r="34115" spans="26:26" x14ac:dyDescent="0.25">
      <c r="Z34115"/>
    </row>
    <row r="34116" spans="26:26" x14ac:dyDescent="0.25">
      <c r="Z34116"/>
    </row>
    <row r="34117" spans="26:26" x14ac:dyDescent="0.25">
      <c r="Z34117"/>
    </row>
    <row r="34118" spans="26:26" x14ac:dyDescent="0.25">
      <c r="Z34118"/>
    </row>
    <row r="34119" spans="26:26" x14ac:dyDescent="0.25">
      <c r="Z34119"/>
    </row>
    <row r="34120" spans="26:26" x14ac:dyDescent="0.25">
      <c r="Z34120"/>
    </row>
    <row r="34121" spans="26:26" x14ac:dyDescent="0.25">
      <c r="Z34121"/>
    </row>
    <row r="34122" spans="26:26" x14ac:dyDescent="0.25">
      <c r="Z34122"/>
    </row>
    <row r="34123" spans="26:26" x14ac:dyDescent="0.25">
      <c r="Z34123"/>
    </row>
    <row r="34124" spans="26:26" x14ac:dyDescent="0.25">
      <c r="Z34124"/>
    </row>
    <row r="34125" spans="26:26" x14ac:dyDescent="0.25">
      <c r="Z34125"/>
    </row>
    <row r="34126" spans="26:26" x14ac:dyDescent="0.25">
      <c r="Z34126"/>
    </row>
    <row r="34127" spans="26:26" x14ac:dyDescent="0.25">
      <c r="Z34127"/>
    </row>
    <row r="34128" spans="26:26" x14ac:dyDescent="0.25">
      <c r="Z34128"/>
    </row>
    <row r="34129" spans="26:26" x14ac:dyDescent="0.25">
      <c r="Z34129"/>
    </row>
    <row r="34130" spans="26:26" x14ac:dyDescent="0.25">
      <c r="Z34130"/>
    </row>
    <row r="34131" spans="26:26" x14ac:dyDescent="0.25">
      <c r="Z34131"/>
    </row>
    <row r="34132" spans="26:26" x14ac:dyDescent="0.25">
      <c r="Z34132"/>
    </row>
    <row r="34133" spans="26:26" x14ac:dyDescent="0.25">
      <c r="Z34133"/>
    </row>
    <row r="34134" spans="26:26" x14ac:dyDescent="0.25">
      <c r="Z34134"/>
    </row>
    <row r="34135" spans="26:26" x14ac:dyDescent="0.25">
      <c r="Z34135"/>
    </row>
    <row r="34136" spans="26:26" x14ac:dyDescent="0.25">
      <c r="Z34136"/>
    </row>
    <row r="34137" spans="26:26" x14ac:dyDescent="0.25">
      <c r="Z34137"/>
    </row>
    <row r="34138" spans="26:26" x14ac:dyDescent="0.25">
      <c r="Z34138"/>
    </row>
    <row r="34139" spans="26:26" x14ac:dyDescent="0.25">
      <c r="Z34139"/>
    </row>
    <row r="34140" spans="26:26" x14ac:dyDescent="0.25">
      <c r="Z34140"/>
    </row>
    <row r="34141" spans="26:26" x14ac:dyDescent="0.25">
      <c r="Z34141"/>
    </row>
    <row r="34142" spans="26:26" x14ac:dyDescent="0.25">
      <c r="Z34142"/>
    </row>
    <row r="34143" spans="26:26" x14ac:dyDescent="0.25">
      <c r="Z34143"/>
    </row>
    <row r="34144" spans="26:26" x14ac:dyDescent="0.25">
      <c r="Z34144"/>
    </row>
    <row r="34145" spans="26:26" x14ac:dyDescent="0.25">
      <c r="Z34145"/>
    </row>
    <row r="34146" spans="26:26" x14ac:dyDescent="0.25">
      <c r="Z34146"/>
    </row>
    <row r="34147" spans="26:26" x14ac:dyDescent="0.25">
      <c r="Z34147"/>
    </row>
    <row r="34148" spans="26:26" x14ac:dyDescent="0.25">
      <c r="Z34148"/>
    </row>
    <row r="34149" spans="26:26" x14ac:dyDescent="0.25">
      <c r="Z34149"/>
    </row>
    <row r="34150" spans="26:26" x14ac:dyDescent="0.25">
      <c r="Z34150"/>
    </row>
    <row r="34151" spans="26:26" x14ac:dyDescent="0.25">
      <c r="Z34151"/>
    </row>
    <row r="34152" spans="26:26" x14ac:dyDescent="0.25">
      <c r="Z34152"/>
    </row>
    <row r="34153" spans="26:26" x14ac:dyDescent="0.25">
      <c r="Z34153"/>
    </row>
    <row r="34154" spans="26:26" x14ac:dyDescent="0.25">
      <c r="Z34154"/>
    </row>
    <row r="34155" spans="26:26" x14ac:dyDescent="0.25">
      <c r="Z34155"/>
    </row>
    <row r="34156" spans="26:26" x14ac:dyDescent="0.25">
      <c r="Z34156"/>
    </row>
    <row r="34157" spans="26:26" x14ac:dyDescent="0.25">
      <c r="Z34157"/>
    </row>
    <row r="34158" spans="26:26" x14ac:dyDescent="0.25">
      <c r="Z34158"/>
    </row>
    <row r="34159" spans="26:26" x14ac:dyDescent="0.25">
      <c r="Z34159"/>
    </row>
    <row r="34160" spans="26:26" x14ac:dyDescent="0.25">
      <c r="Z34160"/>
    </row>
    <row r="34161" spans="26:26" x14ac:dyDescent="0.25">
      <c r="Z34161"/>
    </row>
    <row r="34162" spans="26:26" x14ac:dyDescent="0.25">
      <c r="Z34162"/>
    </row>
    <row r="34163" spans="26:26" x14ac:dyDescent="0.25">
      <c r="Z34163"/>
    </row>
    <row r="34164" spans="26:26" x14ac:dyDescent="0.25">
      <c r="Z34164"/>
    </row>
    <row r="34165" spans="26:26" x14ac:dyDescent="0.25">
      <c r="Z34165"/>
    </row>
    <row r="34166" spans="26:26" x14ac:dyDescent="0.25">
      <c r="Z34166"/>
    </row>
    <row r="34167" spans="26:26" x14ac:dyDescent="0.25">
      <c r="Z34167"/>
    </row>
    <row r="34168" spans="26:26" x14ac:dyDescent="0.25">
      <c r="Z34168"/>
    </row>
    <row r="34169" spans="26:26" x14ac:dyDescent="0.25">
      <c r="Z34169"/>
    </row>
    <row r="34170" spans="26:26" x14ac:dyDescent="0.25">
      <c r="Z34170"/>
    </row>
    <row r="34171" spans="26:26" x14ac:dyDescent="0.25">
      <c r="Z34171"/>
    </row>
    <row r="34172" spans="26:26" x14ac:dyDescent="0.25">
      <c r="Z34172"/>
    </row>
    <row r="34173" spans="26:26" x14ac:dyDescent="0.25">
      <c r="Z34173"/>
    </row>
    <row r="34174" spans="26:26" x14ac:dyDescent="0.25">
      <c r="Z34174"/>
    </row>
    <row r="34175" spans="26:26" x14ac:dyDescent="0.25">
      <c r="Z34175"/>
    </row>
    <row r="34176" spans="26:26" x14ac:dyDescent="0.25">
      <c r="Z34176"/>
    </row>
    <row r="34177" spans="26:26" x14ac:dyDescent="0.25">
      <c r="Z34177"/>
    </row>
    <row r="34178" spans="26:26" x14ac:dyDescent="0.25">
      <c r="Z34178"/>
    </row>
    <row r="34179" spans="26:26" x14ac:dyDescent="0.25">
      <c r="Z34179"/>
    </row>
    <row r="34180" spans="26:26" x14ac:dyDescent="0.25">
      <c r="Z34180"/>
    </row>
    <row r="34181" spans="26:26" x14ac:dyDescent="0.25">
      <c r="Z34181"/>
    </row>
    <row r="34182" spans="26:26" x14ac:dyDescent="0.25">
      <c r="Z34182"/>
    </row>
    <row r="34183" spans="26:26" x14ac:dyDescent="0.25">
      <c r="Z34183"/>
    </row>
    <row r="34184" spans="26:26" x14ac:dyDescent="0.25">
      <c r="Z34184"/>
    </row>
    <row r="34185" spans="26:26" x14ac:dyDescent="0.25">
      <c r="Z34185"/>
    </row>
    <row r="34186" spans="26:26" x14ac:dyDescent="0.25">
      <c r="Z34186"/>
    </row>
    <row r="34187" spans="26:26" x14ac:dyDescent="0.25">
      <c r="Z34187"/>
    </row>
    <row r="34188" spans="26:26" x14ac:dyDescent="0.25">
      <c r="Z34188"/>
    </row>
    <row r="34189" spans="26:26" x14ac:dyDescent="0.25">
      <c r="Z34189"/>
    </row>
    <row r="34190" spans="26:26" x14ac:dyDescent="0.25">
      <c r="Z34190"/>
    </row>
    <row r="34191" spans="26:26" x14ac:dyDescent="0.25">
      <c r="Z34191"/>
    </row>
    <row r="34192" spans="26:26" x14ac:dyDescent="0.25">
      <c r="Z34192"/>
    </row>
    <row r="34193" spans="26:26" x14ac:dyDescent="0.25">
      <c r="Z34193"/>
    </row>
    <row r="34194" spans="26:26" x14ac:dyDescent="0.25">
      <c r="Z34194"/>
    </row>
    <row r="34195" spans="26:26" x14ac:dyDescent="0.25">
      <c r="Z34195"/>
    </row>
    <row r="34196" spans="26:26" x14ac:dyDescent="0.25">
      <c r="Z34196"/>
    </row>
    <row r="34197" spans="26:26" x14ac:dyDescent="0.25">
      <c r="Z34197"/>
    </row>
    <row r="34198" spans="26:26" x14ac:dyDescent="0.25">
      <c r="Z34198"/>
    </row>
    <row r="34199" spans="26:26" x14ac:dyDescent="0.25">
      <c r="Z34199"/>
    </row>
    <row r="34200" spans="26:26" x14ac:dyDescent="0.25">
      <c r="Z34200"/>
    </row>
    <row r="34201" spans="26:26" x14ac:dyDescent="0.25">
      <c r="Z34201"/>
    </row>
    <row r="34202" spans="26:26" x14ac:dyDescent="0.25">
      <c r="Z34202"/>
    </row>
    <row r="34203" spans="26:26" x14ac:dyDescent="0.25">
      <c r="Z34203"/>
    </row>
    <row r="34204" spans="26:26" x14ac:dyDescent="0.25">
      <c r="Z34204"/>
    </row>
    <row r="34205" spans="26:26" x14ac:dyDescent="0.25">
      <c r="Z34205"/>
    </row>
    <row r="34206" spans="26:26" x14ac:dyDescent="0.25">
      <c r="Z34206"/>
    </row>
    <row r="34207" spans="26:26" x14ac:dyDescent="0.25">
      <c r="Z34207"/>
    </row>
    <row r="34208" spans="26:26" x14ac:dyDescent="0.25">
      <c r="Z34208"/>
    </row>
    <row r="34209" spans="26:26" x14ac:dyDescent="0.25">
      <c r="Z34209"/>
    </row>
    <row r="34210" spans="26:26" x14ac:dyDescent="0.25">
      <c r="Z34210"/>
    </row>
    <row r="34211" spans="26:26" x14ac:dyDescent="0.25">
      <c r="Z34211"/>
    </row>
    <row r="34212" spans="26:26" x14ac:dyDescent="0.25">
      <c r="Z34212"/>
    </row>
    <row r="34213" spans="26:26" x14ac:dyDescent="0.25">
      <c r="Z34213"/>
    </row>
    <row r="34214" spans="26:26" x14ac:dyDescent="0.25">
      <c r="Z34214"/>
    </row>
    <row r="34215" spans="26:26" x14ac:dyDescent="0.25">
      <c r="Z34215"/>
    </row>
    <row r="34216" spans="26:26" x14ac:dyDescent="0.25">
      <c r="Z34216"/>
    </row>
    <row r="34217" spans="26:26" x14ac:dyDescent="0.25">
      <c r="Z34217"/>
    </row>
    <row r="34218" spans="26:26" x14ac:dyDescent="0.25">
      <c r="Z34218"/>
    </row>
    <row r="34219" spans="26:26" x14ac:dyDescent="0.25">
      <c r="Z34219"/>
    </row>
    <row r="34220" spans="26:26" x14ac:dyDescent="0.25">
      <c r="Z34220"/>
    </row>
    <row r="34221" spans="26:26" x14ac:dyDescent="0.25">
      <c r="Z34221"/>
    </row>
    <row r="34222" spans="26:26" x14ac:dyDescent="0.25">
      <c r="Z34222"/>
    </row>
    <row r="34223" spans="26:26" x14ac:dyDescent="0.25">
      <c r="Z34223"/>
    </row>
    <row r="34224" spans="26:26" x14ac:dyDescent="0.25">
      <c r="Z34224"/>
    </row>
    <row r="34225" spans="26:26" x14ac:dyDescent="0.25">
      <c r="Z34225"/>
    </row>
    <row r="34226" spans="26:26" x14ac:dyDescent="0.25">
      <c r="Z34226"/>
    </row>
    <row r="34227" spans="26:26" x14ac:dyDescent="0.25">
      <c r="Z34227"/>
    </row>
    <row r="34228" spans="26:26" x14ac:dyDescent="0.25">
      <c r="Z34228"/>
    </row>
    <row r="34229" spans="26:26" x14ac:dyDescent="0.25">
      <c r="Z34229"/>
    </row>
    <row r="34230" spans="26:26" x14ac:dyDescent="0.25">
      <c r="Z34230"/>
    </row>
    <row r="34231" spans="26:26" x14ac:dyDescent="0.25">
      <c r="Z34231"/>
    </row>
    <row r="34232" spans="26:26" x14ac:dyDescent="0.25">
      <c r="Z34232"/>
    </row>
    <row r="34233" spans="26:26" x14ac:dyDescent="0.25">
      <c r="Z34233"/>
    </row>
    <row r="34234" spans="26:26" x14ac:dyDescent="0.25">
      <c r="Z34234"/>
    </row>
    <row r="34235" spans="26:26" x14ac:dyDescent="0.25">
      <c r="Z34235"/>
    </row>
    <row r="34236" spans="26:26" x14ac:dyDescent="0.25">
      <c r="Z34236"/>
    </row>
    <row r="34237" spans="26:26" x14ac:dyDescent="0.25">
      <c r="Z34237"/>
    </row>
    <row r="34238" spans="26:26" x14ac:dyDescent="0.25">
      <c r="Z34238"/>
    </row>
    <row r="34239" spans="26:26" x14ac:dyDescent="0.25">
      <c r="Z34239"/>
    </row>
    <row r="34240" spans="26:26" x14ac:dyDescent="0.25">
      <c r="Z34240"/>
    </row>
    <row r="34241" spans="26:26" x14ac:dyDescent="0.25">
      <c r="Z34241"/>
    </row>
    <row r="34242" spans="26:26" x14ac:dyDescent="0.25">
      <c r="Z34242"/>
    </row>
    <row r="34243" spans="26:26" x14ac:dyDescent="0.25">
      <c r="Z34243"/>
    </row>
    <row r="34244" spans="26:26" x14ac:dyDescent="0.25">
      <c r="Z34244"/>
    </row>
    <row r="34245" spans="26:26" x14ac:dyDescent="0.25">
      <c r="Z34245"/>
    </row>
    <row r="34246" spans="26:26" x14ac:dyDescent="0.25">
      <c r="Z34246"/>
    </row>
    <row r="34247" spans="26:26" x14ac:dyDescent="0.25">
      <c r="Z34247"/>
    </row>
    <row r="34248" spans="26:26" x14ac:dyDescent="0.25">
      <c r="Z34248"/>
    </row>
    <row r="34249" spans="26:26" x14ac:dyDescent="0.25">
      <c r="Z34249"/>
    </row>
    <row r="34250" spans="26:26" x14ac:dyDescent="0.25">
      <c r="Z34250"/>
    </row>
    <row r="34251" spans="26:26" x14ac:dyDescent="0.25">
      <c r="Z34251"/>
    </row>
    <row r="34252" spans="26:26" x14ac:dyDescent="0.25">
      <c r="Z34252"/>
    </row>
    <row r="34253" spans="26:26" x14ac:dyDescent="0.25">
      <c r="Z34253"/>
    </row>
    <row r="34254" spans="26:26" x14ac:dyDescent="0.25">
      <c r="Z34254"/>
    </row>
    <row r="34255" spans="26:26" x14ac:dyDescent="0.25">
      <c r="Z34255"/>
    </row>
    <row r="34256" spans="26:26" x14ac:dyDescent="0.25">
      <c r="Z34256"/>
    </row>
    <row r="34257" spans="26:26" x14ac:dyDescent="0.25">
      <c r="Z34257"/>
    </row>
    <row r="34258" spans="26:26" x14ac:dyDescent="0.25">
      <c r="Z34258"/>
    </row>
    <row r="34259" spans="26:26" x14ac:dyDescent="0.25">
      <c r="Z34259"/>
    </row>
    <row r="34260" spans="26:26" x14ac:dyDescent="0.25">
      <c r="Z34260"/>
    </row>
    <row r="34261" spans="26:26" x14ac:dyDescent="0.25">
      <c r="Z34261"/>
    </row>
    <row r="34262" spans="26:26" x14ac:dyDescent="0.25">
      <c r="Z34262"/>
    </row>
    <row r="34263" spans="26:26" x14ac:dyDescent="0.25">
      <c r="Z34263"/>
    </row>
    <row r="34264" spans="26:26" x14ac:dyDescent="0.25">
      <c r="Z34264"/>
    </row>
    <row r="34265" spans="26:26" x14ac:dyDescent="0.25">
      <c r="Z34265"/>
    </row>
    <row r="34266" spans="26:26" x14ac:dyDescent="0.25">
      <c r="Z34266"/>
    </row>
    <row r="34267" spans="26:26" x14ac:dyDescent="0.25">
      <c r="Z34267"/>
    </row>
    <row r="34268" spans="26:26" x14ac:dyDescent="0.25">
      <c r="Z34268"/>
    </row>
    <row r="34269" spans="26:26" x14ac:dyDescent="0.25">
      <c r="Z34269"/>
    </row>
    <row r="34270" spans="26:26" x14ac:dyDescent="0.25">
      <c r="Z34270"/>
    </row>
    <row r="34271" spans="26:26" x14ac:dyDescent="0.25">
      <c r="Z34271"/>
    </row>
    <row r="34272" spans="26:26" x14ac:dyDescent="0.25">
      <c r="Z34272"/>
    </row>
    <row r="34273" spans="26:26" x14ac:dyDescent="0.25">
      <c r="Z34273"/>
    </row>
    <row r="34274" spans="26:26" x14ac:dyDescent="0.25">
      <c r="Z34274"/>
    </row>
    <row r="34275" spans="26:26" x14ac:dyDescent="0.25">
      <c r="Z34275"/>
    </row>
    <row r="34276" spans="26:26" x14ac:dyDescent="0.25">
      <c r="Z34276"/>
    </row>
    <row r="34277" spans="26:26" x14ac:dyDescent="0.25">
      <c r="Z34277"/>
    </row>
    <row r="34278" spans="26:26" x14ac:dyDescent="0.25">
      <c r="Z34278"/>
    </row>
    <row r="34279" spans="26:26" x14ac:dyDescent="0.25">
      <c r="Z34279"/>
    </row>
    <row r="34280" spans="26:26" x14ac:dyDescent="0.25">
      <c r="Z34280"/>
    </row>
    <row r="34281" spans="26:26" x14ac:dyDescent="0.25">
      <c r="Z34281"/>
    </row>
    <row r="34282" spans="26:26" x14ac:dyDescent="0.25">
      <c r="Z34282"/>
    </row>
    <row r="34283" spans="26:26" x14ac:dyDescent="0.25">
      <c r="Z34283"/>
    </row>
    <row r="34284" spans="26:26" x14ac:dyDescent="0.25">
      <c r="Z34284"/>
    </row>
    <row r="34285" spans="26:26" x14ac:dyDescent="0.25">
      <c r="Z34285"/>
    </row>
    <row r="34286" spans="26:26" x14ac:dyDescent="0.25">
      <c r="Z34286"/>
    </row>
    <row r="34287" spans="26:26" x14ac:dyDescent="0.25">
      <c r="Z34287"/>
    </row>
    <row r="34288" spans="26:26" x14ac:dyDescent="0.25">
      <c r="Z34288"/>
    </row>
    <row r="34289" spans="26:26" x14ac:dyDescent="0.25">
      <c r="Z34289"/>
    </row>
    <row r="34290" spans="26:26" x14ac:dyDescent="0.25">
      <c r="Z34290"/>
    </row>
    <row r="34291" spans="26:26" x14ac:dyDescent="0.25">
      <c r="Z34291"/>
    </row>
    <row r="34292" spans="26:26" x14ac:dyDescent="0.25">
      <c r="Z34292"/>
    </row>
    <row r="34293" spans="26:26" x14ac:dyDescent="0.25">
      <c r="Z34293"/>
    </row>
    <row r="34294" spans="26:26" x14ac:dyDescent="0.25">
      <c r="Z34294"/>
    </row>
    <row r="34295" spans="26:26" x14ac:dyDescent="0.25">
      <c r="Z34295"/>
    </row>
    <row r="34296" spans="26:26" x14ac:dyDescent="0.25">
      <c r="Z34296"/>
    </row>
    <row r="34297" spans="26:26" x14ac:dyDescent="0.25">
      <c r="Z34297"/>
    </row>
    <row r="34298" spans="26:26" x14ac:dyDescent="0.25">
      <c r="Z34298"/>
    </row>
    <row r="34299" spans="26:26" x14ac:dyDescent="0.25">
      <c r="Z34299"/>
    </row>
    <row r="34300" spans="26:26" x14ac:dyDescent="0.25">
      <c r="Z34300"/>
    </row>
    <row r="34301" spans="26:26" x14ac:dyDescent="0.25">
      <c r="Z34301"/>
    </row>
    <row r="34302" spans="26:26" x14ac:dyDescent="0.25">
      <c r="Z34302"/>
    </row>
    <row r="34303" spans="26:26" x14ac:dyDescent="0.25">
      <c r="Z34303"/>
    </row>
    <row r="34304" spans="26:26" x14ac:dyDescent="0.25">
      <c r="Z34304"/>
    </row>
    <row r="34305" spans="26:26" x14ac:dyDescent="0.25">
      <c r="Z34305"/>
    </row>
    <row r="34306" spans="26:26" x14ac:dyDescent="0.25">
      <c r="Z34306"/>
    </row>
    <row r="34307" spans="26:26" x14ac:dyDescent="0.25">
      <c r="Z34307"/>
    </row>
    <row r="34308" spans="26:26" x14ac:dyDescent="0.25">
      <c r="Z34308"/>
    </row>
    <row r="34309" spans="26:26" x14ac:dyDescent="0.25">
      <c r="Z34309"/>
    </row>
    <row r="34310" spans="26:26" x14ac:dyDescent="0.25">
      <c r="Z34310"/>
    </row>
    <row r="34311" spans="26:26" x14ac:dyDescent="0.25">
      <c r="Z34311"/>
    </row>
    <row r="34312" spans="26:26" x14ac:dyDescent="0.25">
      <c r="Z34312"/>
    </row>
    <row r="34313" spans="26:26" x14ac:dyDescent="0.25">
      <c r="Z34313"/>
    </row>
    <row r="34314" spans="26:26" x14ac:dyDescent="0.25">
      <c r="Z34314"/>
    </row>
    <row r="34315" spans="26:26" x14ac:dyDescent="0.25">
      <c r="Z34315"/>
    </row>
    <row r="34316" spans="26:26" x14ac:dyDescent="0.25">
      <c r="Z34316"/>
    </row>
    <row r="34317" spans="26:26" x14ac:dyDescent="0.25">
      <c r="Z34317"/>
    </row>
    <row r="34318" spans="26:26" x14ac:dyDescent="0.25">
      <c r="Z34318"/>
    </row>
    <row r="34319" spans="26:26" x14ac:dyDescent="0.25">
      <c r="Z34319"/>
    </row>
    <row r="34320" spans="26:26" x14ac:dyDescent="0.25">
      <c r="Z34320"/>
    </row>
    <row r="34321" spans="26:26" x14ac:dyDescent="0.25">
      <c r="Z34321"/>
    </row>
    <row r="34322" spans="26:26" x14ac:dyDescent="0.25">
      <c r="Z34322"/>
    </row>
    <row r="34323" spans="26:26" x14ac:dyDescent="0.25">
      <c r="Z34323"/>
    </row>
    <row r="34324" spans="26:26" x14ac:dyDescent="0.25">
      <c r="Z34324"/>
    </row>
    <row r="34325" spans="26:26" x14ac:dyDescent="0.25">
      <c r="Z34325"/>
    </row>
    <row r="34326" spans="26:26" x14ac:dyDescent="0.25">
      <c r="Z34326"/>
    </row>
    <row r="34327" spans="26:26" x14ac:dyDescent="0.25">
      <c r="Z34327"/>
    </row>
    <row r="34328" spans="26:26" x14ac:dyDescent="0.25">
      <c r="Z34328"/>
    </row>
    <row r="34329" spans="26:26" x14ac:dyDescent="0.25">
      <c r="Z34329"/>
    </row>
    <row r="34330" spans="26:26" x14ac:dyDescent="0.25">
      <c r="Z34330"/>
    </row>
    <row r="34331" spans="26:26" x14ac:dyDescent="0.25">
      <c r="Z34331"/>
    </row>
    <row r="34332" spans="26:26" x14ac:dyDescent="0.25">
      <c r="Z34332"/>
    </row>
    <row r="34333" spans="26:26" x14ac:dyDescent="0.25">
      <c r="Z34333"/>
    </row>
    <row r="34334" spans="26:26" x14ac:dyDescent="0.25">
      <c r="Z34334"/>
    </row>
    <row r="34335" spans="26:26" x14ac:dyDescent="0.25">
      <c r="Z34335"/>
    </row>
    <row r="34336" spans="26:26" x14ac:dyDescent="0.25">
      <c r="Z34336"/>
    </row>
    <row r="34337" spans="26:26" x14ac:dyDescent="0.25">
      <c r="Z34337"/>
    </row>
    <row r="34338" spans="26:26" x14ac:dyDescent="0.25">
      <c r="Z34338"/>
    </row>
    <row r="34339" spans="26:26" x14ac:dyDescent="0.25">
      <c r="Z34339"/>
    </row>
    <row r="34340" spans="26:26" x14ac:dyDescent="0.25">
      <c r="Z34340"/>
    </row>
    <row r="34341" spans="26:26" x14ac:dyDescent="0.25">
      <c r="Z34341"/>
    </row>
    <row r="34342" spans="26:26" x14ac:dyDescent="0.25">
      <c r="Z34342"/>
    </row>
    <row r="34343" spans="26:26" x14ac:dyDescent="0.25">
      <c r="Z34343"/>
    </row>
    <row r="34344" spans="26:26" x14ac:dyDescent="0.25">
      <c r="Z34344"/>
    </row>
    <row r="34345" spans="26:26" x14ac:dyDescent="0.25">
      <c r="Z34345"/>
    </row>
    <row r="34346" spans="26:26" x14ac:dyDescent="0.25">
      <c r="Z34346"/>
    </row>
    <row r="34347" spans="26:26" x14ac:dyDescent="0.25">
      <c r="Z34347"/>
    </row>
    <row r="34348" spans="26:26" x14ac:dyDescent="0.25">
      <c r="Z34348"/>
    </row>
    <row r="34349" spans="26:26" x14ac:dyDescent="0.25">
      <c r="Z34349"/>
    </row>
    <row r="34350" spans="26:26" x14ac:dyDescent="0.25">
      <c r="Z34350"/>
    </row>
    <row r="34351" spans="26:26" x14ac:dyDescent="0.25">
      <c r="Z34351"/>
    </row>
    <row r="34352" spans="26:26" x14ac:dyDescent="0.25">
      <c r="Z34352"/>
    </row>
    <row r="34353" spans="26:26" x14ac:dyDescent="0.25">
      <c r="Z34353"/>
    </row>
    <row r="34354" spans="26:26" x14ac:dyDescent="0.25">
      <c r="Z34354"/>
    </row>
    <row r="34355" spans="26:26" x14ac:dyDescent="0.25">
      <c r="Z34355"/>
    </row>
    <row r="34356" spans="26:26" x14ac:dyDescent="0.25">
      <c r="Z34356"/>
    </row>
    <row r="34357" spans="26:26" x14ac:dyDescent="0.25">
      <c r="Z34357"/>
    </row>
    <row r="34358" spans="26:26" x14ac:dyDescent="0.25">
      <c r="Z34358"/>
    </row>
    <row r="34359" spans="26:26" x14ac:dyDescent="0.25">
      <c r="Z34359"/>
    </row>
    <row r="34360" spans="26:26" x14ac:dyDescent="0.25">
      <c r="Z34360"/>
    </row>
    <row r="34361" spans="26:26" x14ac:dyDescent="0.25">
      <c r="Z34361"/>
    </row>
    <row r="34362" spans="26:26" x14ac:dyDescent="0.25">
      <c r="Z34362"/>
    </row>
    <row r="34363" spans="26:26" x14ac:dyDescent="0.25">
      <c r="Z34363"/>
    </row>
    <row r="34364" spans="26:26" x14ac:dyDescent="0.25">
      <c r="Z34364"/>
    </row>
    <row r="34365" spans="26:26" x14ac:dyDescent="0.25">
      <c r="Z34365"/>
    </row>
    <row r="34366" spans="26:26" x14ac:dyDescent="0.25">
      <c r="Z34366"/>
    </row>
    <row r="34367" spans="26:26" x14ac:dyDescent="0.25">
      <c r="Z34367"/>
    </row>
    <row r="34368" spans="26:26" x14ac:dyDescent="0.25">
      <c r="Z34368"/>
    </row>
    <row r="34369" spans="26:26" x14ac:dyDescent="0.25">
      <c r="Z34369"/>
    </row>
    <row r="34370" spans="26:26" x14ac:dyDescent="0.25">
      <c r="Z34370"/>
    </row>
    <row r="34371" spans="26:26" x14ac:dyDescent="0.25">
      <c r="Z34371"/>
    </row>
    <row r="34372" spans="26:26" x14ac:dyDescent="0.25">
      <c r="Z34372"/>
    </row>
    <row r="34373" spans="26:26" x14ac:dyDescent="0.25">
      <c r="Z34373"/>
    </row>
    <row r="34374" spans="26:26" x14ac:dyDescent="0.25">
      <c r="Z34374"/>
    </row>
    <row r="34375" spans="26:26" x14ac:dyDescent="0.25">
      <c r="Z34375"/>
    </row>
    <row r="34376" spans="26:26" x14ac:dyDescent="0.25">
      <c r="Z34376"/>
    </row>
    <row r="34377" spans="26:26" x14ac:dyDescent="0.25">
      <c r="Z34377"/>
    </row>
    <row r="34378" spans="26:26" x14ac:dyDescent="0.25">
      <c r="Z34378"/>
    </row>
    <row r="34379" spans="26:26" x14ac:dyDescent="0.25">
      <c r="Z34379"/>
    </row>
    <row r="34380" spans="26:26" x14ac:dyDescent="0.25">
      <c r="Z34380"/>
    </row>
    <row r="34381" spans="26:26" x14ac:dyDescent="0.25">
      <c r="Z34381"/>
    </row>
    <row r="34382" spans="26:26" x14ac:dyDescent="0.25">
      <c r="Z34382"/>
    </row>
    <row r="34383" spans="26:26" x14ac:dyDescent="0.25">
      <c r="Z34383"/>
    </row>
    <row r="34384" spans="26:26" x14ac:dyDescent="0.25">
      <c r="Z34384"/>
    </row>
    <row r="34385" spans="26:26" x14ac:dyDescent="0.25">
      <c r="Z34385"/>
    </row>
    <row r="34386" spans="26:26" x14ac:dyDescent="0.25">
      <c r="Z34386"/>
    </row>
    <row r="34387" spans="26:26" x14ac:dyDescent="0.25">
      <c r="Z34387"/>
    </row>
    <row r="34388" spans="26:26" x14ac:dyDescent="0.25">
      <c r="Z34388"/>
    </row>
    <row r="34389" spans="26:26" x14ac:dyDescent="0.25">
      <c r="Z34389"/>
    </row>
    <row r="34390" spans="26:26" x14ac:dyDescent="0.25">
      <c r="Z34390"/>
    </row>
    <row r="34391" spans="26:26" x14ac:dyDescent="0.25">
      <c r="Z34391"/>
    </row>
    <row r="34392" spans="26:26" x14ac:dyDescent="0.25">
      <c r="Z34392"/>
    </row>
    <row r="34393" spans="26:26" x14ac:dyDescent="0.25">
      <c r="Z34393"/>
    </row>
    <row r="34394" spans="26:26" x14ac:dyDescent="0.25">
      <c r="Z34394"/>
    </row>
    <row r="34395" spans="26:26" x14ac:dyDescent="0.25">
      <c r="Z34395"/>
    </row>
    <row r="34396" spans="26:26" x14ac:dyDescent="0.25">
      <c r="Z34396"/>
    </row>
    <row r="34397" spans="26:26" x14ac:dyDescent="0.25">
      <c r="Z34397"/>
    </row>
    <row r="34398" spans="26:26" x14ac:dyDescent="0.25">
      <c r="Z34398"/>
    </row>
    <row r="34399" spans="26:26" x14ac:dyDescent="0.25">
      <c r="Z34399"/>
    </row>
    <row r="34400" spans="26:26" x14ac:dyDescent="0.25">
      <c r="Z34400"/>
    </row>
    <row r="34401" spans="26:26" x14ac:dyDescent="0.25">
      <c r="Z34401"/>
    </row>
    <row r="34402" spans="26:26" x14ac:dyDescent="0.25">
      <c r="Z34402"/>
    </row>
    <row r="34403" spans="26:26" x14ac:dyDescent="0.25">
      <c r="Z34403"/>
    </row>
    <row r="34404" spans="26:26" x14ac:dyDescent="0.25">
      <c r="Z34404"/>
    </row>
    <row r="34405" spans="26:26" x14ac:dyDescent="0.25">
      <c r="Z34405"/>
    </row>
    <row r="34406" spans="26:26" x14ac:dyDescent="0.25">
      <c r="Z34406"/>
    </row>
    <row r="34407" spans="26:26" x14ac:dyDescent="0.25">
      <c r="Z34407"/>
    </row>
    <row r="34408" spans="26:26" x14ac:dyDescent="0.25">
      <c r="Z34408"/>
    </row>
    <row r="34409" spans="26:26" x14ac:dyDescent="0.25">
      <c r="Z34409"/>
    </row>
    <row r="34410" spans="26:26" x14ac:dyDescent="0.25">
      <c r="Z34410"/>
    </row>
    <row r="34411" spans="26:26" x14ac:dyDescent="0.25">
      <c r="Z34411"/>
    </row>
    <row r="34412" spans="26:26" x14ac:dyDescent="0.25">
      <c r="Z34412"/>
    </row>
    <row r="34413" spans="26:26" x14ac:dyDescent="0.25">
      <c r="Z34413"/>
    </row>
    <row r="34414" spans="26:26" x14ac:dyDescent="0.25">
      <c r="Z34414"/>
    </row>
    <row r="34415" spans="26:26" x14ac:dyDescent="0.25">
      <c r="Z34415"/>
    </row>
    <row r="34416" spans="26:26" x14ac:dyDescent="0.25">
      <c r="Z34416"/>
    </row>
    <row r="34417" spans="26:26" x14ac:dyDescent="0.25">
      <c r="Z34417"/>
    </row>
    <row r="34418" spans="26:26" x14ac:dyDescent="0.25">
      <c r="Z34418"/>
    </row>
    <row r="34419" spans="26:26" x14ac:dyDescent="0.25">
      <c r="Z34419"/>
    </row>
    <row r="34420" spans="26:26" x14ac:dyDescent="0.25">
      <c r="Z34420"/>
    </row>
    <row r="34421" spans="26:26" x14ac:dyDescent="0.25">
      <c r="Z34421"/>
    </row>
    <row r="34422" spans="26:26" x14ac:dyDescent="0.25">
      <c r="Z34422"/>
    </row>
    <row r="34423" spans="26:26" x14ac:dyDescent="0.25">
      <c r="Z34423"/>
    </row>
    <row r="34424" spans="26:26" x14ac:dyDescent="0.25">
      <c r="Z34424"/>
    </row>
    <row r="34425" spans="26:26" x14ac:dyDescent="0.25">
      <c r="Z34425"/>
    </row>
    <row r="34426" spans="26:26" x14ac:dyDescent="0.25">
      <c r="Z34426"/>
    </row>
    <row r="34427" spans="26:26" x14ac:dyDescent="0.25">
      <c r="Z34427"/>
    </row>
    <row r="34428" spans="26:26" x14ac:dyDescent="0.25">
      <c r="Z34428"/>
    </row>
    <row r="34429" spans="26:26" x14ac:dyDescent="0.25">
      <c r="Z34429"/>
    </row>
    <row r="34430" spans="26:26" x14ac:dyDescent="0.25">
      <c r="Z34430"/>
    </row>
    <row r="34431" spans="26:26" x14ac:dyDescent="0.25">
      <c r="Z34431"/>
    </row>
    <row r="34432" spans="26:26" x14ac:dyDescent="0.25">
      <c r="Z34432"/>
    </row>
    <row r="34433" spans="26:26" x14ac:dyDescent="0.25">
      <c r="Z34433"/>
    </row>
    <row r="34434" spans="26:26" x14ac:dyDescent="0.25">
      <c r="Z34434"/>
    </row>
    <row r="34435" spans="26:26" x14ac:dyDescent="0.25">
      <c r="Z34435"/>
    </row>
    <row r="34436" spans="26:26" x14ac:dyDescent="0.25">
      <c r="Z34436"/>
    </row>
    <row r="34437" spans="26:26" x14ac:dyDescent="0.25">
      <c r="Z34437"/>
    </row>
    <row r="34438" spans="26:26" x14ac:dyDescent="0.25">
      <c r="Z34438"/>
    </row>
    <row r="34439" spans="26:26" x14ac:dyDescent="0.25">
      <c r="Z34439"/>
    </row>
    <row r="34440" spans="26:26" x14ac:dyDescent="0.25">
      <c r="Z34440"/>
    </row>
    <row r="34441" spans="26:26" x14ac:dyDescent="0.25">
      <c r="Z34441"/>
    </row>
    <row r="34442" spans="26:26" x14ac:dyDescent="0.25">
      <c r="Z34442"/>
    </row>
    <row r="34443" spans="26:26" x14ac:dyDescent="0.25">
      <c r="Z34443"/>
    </row>
    <row r="34444" spans="26:26" x14ac:dyDescent="0.25">
      <c r="Z34444"/>
    </row>
    <row r="34445" spans="26:26" x14ac:dyDescent="0.25">
      <c r="Z34445"/>
    </row>
    <row r="34446" spans="26:26" x14ac:dyDescent="0.25">
      <c r="Z34446"/>
    </row>
    <row r="34447" spans="26:26" x14ac:dyDescent="0.25">
      <c r="Z34447"/>
    </row>
    <row r="34448" spans="26:26" x14ac:dyDescent="0.25">
      <c r="Z34448"/>
    </row>
    <row r="34449" spans="26:26" x14ac:dyDescent="0.25">
      <c r="Z34449"/>
    </row>
    <row r="34450" spans="26:26" x14ac:dyDescent="0.25">
      <c r="Z34450"/>
    </row>
    <row r="34451" spans="26:26" x14ac:dyDescent="0.25">
      <c r="Z34451"/>
    </row>
    <row r="34452" spans="26:26" x14ac:dyDescent="0.25">
      <c r="Z34452"/>
    </row>
    <row r="34453" spans="26:26" x14ac:dyDescent="0.25">
      <c r="Z34453"/>
    </row>
    <row r="34454" spans="26:26" x14ac:dyDescent="0.25">
      <c r="Z34454"/>
    </row>
    <row r="34455" spans="26:26" x14ac:dyDescent="0.25">
      <c r="Z34455"/>
    </row>
    <row r="34456" spans="26:26" x14ac:dyDescent="0.25">
      <c r="Z34456"/>
    </row>
    <row r="34457" spans="26:26" x14ac:dyDescent="0.25">
      <c r="Z34457"/>
    </row>
    <row r="34458" spans="26:26" x14ac:dyDescent="0.25">
      <c r="Z34458"/>
    </row>
    <row r="34459" spans="26:26" x14ac:dyDescent="0.25">
      <c r="Z34459"/>
    </row>
    <row r="34460" spans="26:26" x14ac:dyDescent="0.25">
      <c r="Z34460"/>
    </row>
    <row r="34461" spans="26:26" x14ac:dyDescent="0.25">
      <c r="Z34461"/>
    </row>
    <row r="34462" spans="26:26" x14ac:dyDescent="0.25">
      <c r="Z34462"/>
    </row>
    <row r="34463" spans="26:26" x14ac:dyDescent="0.25">
      <c r="Z34463"/>
    </row>
    <row r="34464" spans="26:26" x14ac:dyDescent="0.25">
      <c r="Z34464"/>
    </row>
    <row r="34465" spans="26:26" x14ac:dyDescent="0.25">
      <c r="Z34465"/>
    </row>
    <row r="34466" spans="26:26" x14ac:dyDescent="0.25">
      <c r="Z34466"/>
    </row>
    <row r="34467" spans="26:26" x14ac:dyDescent="0.25">
      <c r="Z34467"/>
    </row>
    <row r="34468" spans="26:26" x14ac:dyDescent="0.25">
      <c r="Z34468"/>
    </row>
    <row r="34469" spans="26:26" x14ac:dyDescent="0.25">
      <c r="Z34469"/>
    </row>
    <row r="34470" spans="26:26" x14ac:dyDescent="0.25">
      <c r="Z34470"/>
    </row>
    <row r="34471" spans="26:26" x14ac:dyDescent="0.25">
      <c r="Z34471"/>
    </row>
    <row r="34472" spans="26:26" x14ac:dyDescent="0.25">
      <c r="Z34472"/>
    </row>
    <row r="34473" spans="26:26" x14ac:dyDescent="0.25">
      <c r="Z34473"/>
    </row>
    <row r="34474" spans="26:26" x14ac:dyDescent="0.25">
      <c r="Z34474"/>
    </row>
    <row r="34475" spans="26:26" x14ac:dyDescent="0.25">
      <c r="Z34475"/>
    </row>
    <row r="34476" spans="26:26" x14ac:dyDescent="0.25">
      <c r="Z34476"/>
    </row>
    <row r="34477" spans="26:26" x14ac:dyDescent="0.25">
      <c r="Z34477"/>
    </row>
    <row r="34478" spans="26:26" x14ac:dyDescent="0.25">
      <c r="Z34478"/>
    </row>
    <row r="34479" spans="26:26" x14ac:dyDescent="0.25">
      <c r="Z34479"/>
    </row>
    <row r="34480" spans="26:26" x14ac:dyDescent="0.25">
      <c r="Z34480"/>
    </row>
    <row r="34481" spans="26:26" x14ac:dyDescent="0.25">
      <c r="Z34481"/>
    </row>
    <row r="34482" spans="26:26" x14ac:dyDescent="0.25">
      <c r="Z34482"/>
    </row>
    <row r="34483" spans="26:26" x14ac:dyDescent="0.25">
      <c r="Z34483"/>
    </row>
    <row r="34484" spans="26:26" x14ac:dyDescent="0.25">
      <c r="Z34484"/>
    </row>
    <row r="34485" spans="26:26" x14ac:dyDescent="0.25">
      <c r="Z34485"/>
    </row>
    <row r="34486" spans="26:26" x14ac:dyDescent="0.25">
      <c r="Z34486"/>
    </row>
    <row r="34487" spans="26:26" x14ac:dyDescent="0.25">
      <c r="Z34487"/>
    </row>
    <row r="34488" spans="26:26" x14ac:dyDescent="0.25">
      <c r="Z34488"/>
    </row>
    <row r="34489" spans="26:26" x14ac:dyDescent="0.25">
      <c r="Z34489"/>
    </row>
    <row r="34490" spans="26:26" x14ac:dyDescent="0.25">
      <c r="Z34490"/>
    </row>
    <row r="34491" spans="26:26" x14ac:dyDescent="0.25">
      <c r="Z34491"/>
    </row>
    <row r="34492" spans="26:26" x14ac:dyDescent="0.25">
      <c r="Z34492"/>
    </row>
    <row r="34493" spans="26:26" x14ac:dyDescent="0.25">
      <c r="Z34493"/>
    </row>
    <row r="34494" spans="26:26" x14ac:dyDescent="0.25">
      <c r="Z34494"/>
    </row>
    <row r="34495" spans="26:26" x14ac:dyDescent="0.25">
      <c r="Z34495"/>
    </row>
    <row r="34496" spans="26:26" x14ac:dyDescent="0.25">
      <c r="Z34496"/>
    </row>
    <row r="34497" spans="26:26" x14ac:dyDescent="0.25">
      <c r="Z34497"/>
    </row>
    <row r="34498" spans="26:26" x14ac:dyDescent="0.25">
      <c r="Z34498"/>
    </row>
    <row r="34499" spans="26:26" x14ac:dyDescent="0.25">
      <c r="Z34499"/>
    </row>
    <row r="34500" spans="26:26" x14ac:dyDescent="0.25">
      <c r="Z34500"/>
    </row>
    <row r="34501" spans="26:26" x14ac:dyDescent="0.25">
      <c r="Z34501"/>
    </row>
    <row r="34502" spans="26:26" x14ac:dyDescent="0.25">
      <c r="Z34502"/>
    </row>
    <row r="34503" spans="26:26" x14ac:dyDescent="0.25">
      <c r="Z34503"/>
    </row>
    <row r="34504" spans="26:26" x14ac:dyDescent="0.25">
      <c r="Z34504"/>
    </row>
    <row r="34505" spans="26:26" x14ac:dyDescent="0.25">
      <c r="Z34505"/>
    </row>
    <row r="34506" spans="26:26" x14ac:dyDescent="0.25">
      <c r="Z34506"/>
    </row>
    <row r="34507" spans="26:26" x14ac:dyDescent="0.25">
      <c r="Z34507"/>
    </row>
    <row r="34508" spans="26:26" x14ac:dyDescent="0.25">
      <c r="Z34508"/>
    </row>
    <row r="34509" spans="26:26" x14ac:dyDescent="0.25">
      <c r="Z34509"/>
    </row>
    <row r="34510" spans="26:26" x14ac:dyDescent="0.25">
      <c r="Z34510"/>
    </row>
    <row r="34511" spans="26:26" x14ac:dyDescent="0.25">
      <c r="Z34511"/>
    </row>
    <row r="34512" spans="26:26" x14ac:dyDescent="0.25">
      <c r="Z34512"/>
    </row>
    <row r="34513" spans="26:26" x14ac:dyDescent="0.25">
      <c r="Z34513"/>
    </row>
    <row r="34514" spans="26:26" x14ac:dyDescent="0.25">
      <c r="Z34514"/>
    </row>
    <row r="34515" spans="26:26" x14ac:dyDescent="0.25">
      <c r="Z34515"/>
    </row>
    <row r="34516" spans="26:26" x14ac:dyDescent="0.25">
      <c r="Z34516"/>
    </row>
    <row r="34517" spans="26:26" x14ac:dyDescent="0.25">
      <c r="Z34517"/>
    </row>
    <row r="34518" spans="26:26" x14ac:dyDescent="0.25">
      <c r="Z34518"/>
    </row>
    <row r="34519" spans="26:26" x14ac:dyDescent="0.25">
      <c r="Z34519"/>
    </row>
    <row r="34520" spans="26:26" x14ac:dyDescent="0.25">
      <c r="Z34520"/>
    </row>
    <row r="34521" spans="26:26" x14ac:dyDescent="0.25">
      <c r="Z34521"/>
    </row>
    <row r="34522" spans="26:26" x14ac:dyDescent="0.25">
      <c r="Z34522"/>
    </row>
    <row r="34523" spans="26:26" x14ac:dyDescent="0.25">
      <c r="Z34523"/>
    </row>
    <row r="34524" spans="26:26" x14ac:dyDescent="0.25">
      <c r="Z34524"/>
    </row>
    <row r="34525" spans="26:26" x14ac:dyDescent="0.25">
      <c r="Z34525"/>
    </row>
    <row r="34526" spans="26:26" x14ac:dyDescent="0.25">
      <c r="Z34526"/>
    </row>
    <row r="34527" spans="26:26" x14ac:dyDescent="0.25">
      <c r="Z34527"/>
    </row>
    <row r="34528" spans="26:26" x14ac:dyDescent="0.25">
      <c r="Z34528"/>
    </row>
    <row r="34529" spans="26:26" x14ac:dyDescent="0.25">
      <c r="Z34529"/>
    </row>
    <row r="34530" spans="26:26" x14ac:dyDescent="0.25">
      <c r="Z34530"/>
    </row>
    <row r="34531" spans="26:26" x14ac:dyDescent="0.25">
      <c r="Z34531"/>
    </row>
    <row r="34532" spans="26:26" x14ac:dyDescent="0.25">
      <c r="Z34532"/>
    </row>
    <row r="34533" spans="26:26" x14ac:dyDescent="0.25">
      <c r="Z34533"/>
    </row>
    <row r="34534" spans="26:26" x14ac:dyDescent="0.25">
      <c r="Z34534"/>
    </row>
    <row r="34535" spans="26:26" x14ac:dyDescent="0.25">
      <c r="Z34535"/>
    </row>
    <row r="34536" spans="26:26" x14ac:dyDescent="0.25">
      <c r="Z34536"/>
    </row>
    <row r="34537" spans="26:26" x14ac:dyDescent="0.25">
      <c r="Z34537"/>
    </row>
    <row r="34538" spans="26:26" x14ac:dyDescent="0.25">
      <c r="Z34538"/>
    </row>
    <row r="34539" spans="26:26" x14ac:dyDescent="0.25">
      <c r="Z34539"/>
    </row>
    <row r="34540" spans="26:26" x14ac:dyDescent="0.25">
      <c r="Z34540"/>
    </row>
    <row r="34541" spans="26:26" x14ac:dyDescent="0.25">
      <c r="Z34541"/>
    </row>
    <row r="34542" spans="26:26" x14ac:dyDescent="0.25">
      <c r="Z34542"/>
    </row>
    <row r="34543" spans="26:26" x14ac:dyDescent="0.25">
      <c r="Z34543"/>
    </row>
    <row r="34544" spans="26:26" x14ac:dyDescent="0.25">
      <c r="Z34544"/>
    </row>
    <row r="34545" spans="26:26" x14ac:dyDescent="0.25">
      <c r="Z34545"/>
    </row>
    <row r="34546" spans="26:26" x14ac:dyDescent="0.25">
      <c r="Z34546"/>
    </row>
    <row r="34547" spans="26:26" x14ac:dyDescent="0.25">
      <c r="Z34547"/>
    </row>
    <row r="34548" spans="26:26" x14ac:dyDescent="0.25">
      <c r="Z34548"/>
    </row>
    <row r="34549" spans="26:26" x14ac:dyDescent="0.25">
      <c r="Z34549"/>
    </row>
    <row r="34550" spans="26:26" x14ac:dyDescent="0.25">
      <c r="Z34550"/>
    </row>
    <row r="34551" spans="26:26" x14ac:dyDescent="0.25">
      <c r="Z34551"/>
    </row>
    <row r="34552" spans="26:26" x14ac:dyDescent="0.25">
      <c r="Z34552"/>
    </row>
    <row r="34553" spans="26:26" x14ac:dyDescent="0.25">
      <c r="Z34553"/>
    </row>
    <row r="34554" spans="26:26" x14ac:dyDescent="0.25">
      <c r="Z34554"/>
    </row>
    <row r="34555" spans="26:26" x14ac:dyDescent="0.25">
      <c r="Z34555"/>
    </row>
    <row r="34556" spans="26:26" x14ac:dyDescent="0.25">
      <c r="Z34556"/>
    </row>
    <row r="34557" spans="26:26" x14ac:dyDescent="0.25">
      <c r="Z34557"/>
    </row>
    <row r="34558" spans="26:26" x14ac:dyDescent="0.25">
      <c r="Z34558"/>
    </row>
    <row r="34559" spans="26:26" x14ac:dyDescent="0.25">
      <c r="Z34559"/>
    </row>
    <row r="34560" spans="26:26" x14ac:dyDescent="0.25">
      <c r="Z34560"/>
    </row>
    <row r="34561" spans="26:26" x14ac:dyDescent="0.25">
      <c r="Z34561"/>
    </row>
    <row r="34562" spans="26:26" x14ac:dyDescent="0.25">
      <c r="Z34562"/>
    </row>
    <row r="34563" spans="26:26" x14ac:dyDescent="0.25">
      <c r="Z34563"/>
    </row>
    <row r="34564" spans="26:26" x14ac:dyDescent="0.25">
      <c r="Z34564"/>
    </row>
    <row r="34565" spans="26:26" x14ac:dyDescent="0.25">
      <c r="Z34565"/>
    </row>
    <row r="34566" spans="26:26" x14ac:dyDescent="0.25">
      <c r="Z34566"/>
    </row>
    <row r="34567" spans="26:26" x14ac:dyDescent="0.25">
      <c r="Z34567"/>
    </row>
    <row r="34568" spans="26:26" x14ac:dyDescent="0.25">
      <c r="Z34568"/>
    </row>
    <row r="34569" spans="26:26" x14ac:dyDescent="0.25">
      <c r="Z34569"/>
    </row>
    <row r="34570" spans="26:26" x14ac:dyDescent="0.25">
      <c r="Z34570"/>
    </row>
    <row r="34571" spans="26:26" x14ac:dyDescent="0.25">
      <c r="Z34571"/>
    </row>
    <row r="34572" spans="26:26" x14ac:dyDescent="0.25">
      <c r="Z34572"/>
    </row>
    <row r="34573" spans="26:26" x14ac:dyDescent="0.25">
      <c r="Z34573"/>
    </row>
    <row r="34574" spans="26:26" x14ac:dyDescent="0.25">
      <c r="Z34574"/>
    </row>
    <row r="34575" spans="26:26" x14ac:dyDescent="0.25">
      <c r="Z34575"/>
    </row>
    <row r="34576" spans="26:26" x14ac:dyDescent="0.25">
      <c r="Z34576"/>
    </row>
    <row r="34577" spans="26:26" x14ac:dyDescent="0.25">
      <c r="Z34577"/>
    </row>
    <row r="34578" spans="26:26" x14ac:dyDescent="0.25">
      <c r="Z34578"/>
    </row>
    <row r="34579" spans="26:26" x14ac:dyDescent="0.25">
      <c r="Z34579"/>
    </row>
    <row r="34580" spans="26:26" x14ac:dyDescent="0.25">
      <c r="Z34580"/>
    </row>
    <row r="34581" spans="26:26" x14ac:dyDescent="0.25">
      <c r="Z34581"/>
    </row>
    <row r="34582" spans="26:26" x14ac:dyDescent="0.25">
      <c r="Z34582"/>
    </row>
    <row r="34583" spans="26:26" x14ac:dyDescent="0.25">
      <c r="Z34583"/>
    </row>
    <row r="34584" spans="26:26" x14ac:dyDescent="0.25">
      <c r="Z34584"/>
    </row>
    <row r="34585" spans="26:26" x14ac:dyDescent="0.25">
      <c r="Z34585"/>
    </row>
    <row r="34586" spans="26:26" x14ac:dyDescent="0.25">
      <c r="Z34586"/>
    </row>
    <row r="34587" spans="26:26" x14ac:dyDescent="0.25">
      <c r="Z34587"/>
    </row>
    <row r="34588" spans="26:26" x14ac:dyDescent="0.25">
      <c r="Z34588"/>
    </row>
    <row r="34589" spans="26:26" x14ac:dyDescent="0.25">
      <c r="Z34589"/>
    </row>
    <row r="34590" spans="26:26" x14ac:dyDescent="0.25">
      <c r="Z34590"/>
    </row>
    <row r="34591" spans="26:26" x14ac:dyDescent="0.25">
      <c r="Z34591"/>
    </row>
    <row r="34592" spans="26:26" x14ac:dyDescent="0.25">
      <c r="Z34592"/>
    </row>
    <row r="34593" spans="26:26" x14ac:dyDescent="0.25">
      <c r="Z34593"/>
    </row>
    <row r="34594" spans="26:26" x14ac:dyDescent="0.25">
      <c r="Z34594"/>
    </row>
    <row r="34595" spans="26:26" x14ac:dyDescent="0.25">
      <c r="Z34595"/>
    </row>
    <row r="34596" spans="26:26" x14ac:dyDescent="0.25">
      <c r="Z34596"/>
    </row>
    <row r="34597" spans="26:26" x14ac:dyDescent="0.25">
      <c r="Z34597"/>
    </row>
    <row r="34598" spans="26:26" x14ac:dyDescent="0.25">
      <c r="Z34598"/>
    </row>
    <row r="34599" spans="26:26" x14ac:dyDescent="0.25">
      <c r="Z34599"/>
    </row>
    <row r="34600" spans="26:26" x14ac:dyDescent="0.25">
      <c r="Z34600"/>
    </row>
    <row r="34601" spans="26:26" x14ac:dyDescent="0.25">
      <c r="Z34601"/>
    </row>
    <row r="34602" spans="26:26" x14ac:dyDescent="0.25">
      <c r="Z34602"/>
    </row>
    <row r="34603" spans="26:26" x14ac:dyDescent="0.25">
      <c r="Z34603"/>
    </row>
    <row r="34604" spans="26:26" x14ac:dyDescent="0.25">
      <c r="Z34604"/>
    </row>
    <row r="34605" spans="26:26" x14ac:dyDescent="0.25">
      <c r="Z34605"/>
    </row>
    <row r="34606" spans="26:26" x14ac:dyDescent="0.25">
      <c r="Z34606"/>
    </row>
    <row r="34607" spans="26:26" x14ac:dyDescent="0.25">
      <c r="Z34607"/>
    </row>
    <row r="34608" spans="26:26" x14ac:dyDescent="0.25">
      <c r="Z34608"/>
    </row>
    <row r="34609" spans="26:26" x14ac:dyDescent="0.25">
      <c r="Z34609"/>
    </row>
    <row r="34610" spans="26:26" x14ac:dyDescent="0.25">
      <c r="Z34610"/>
    </row>
    <row r="34611" spans="26:26" x14ac:dyDescent="0.25">
      <c r="Z34611"/>
    </row>
    <row r="34612" spans="26:26" x14ac:dyDescent="0.25">
      <c r="Z34612"/>
    </row>
    <row r="34613" spans="26:26" x14ac:dyDescent="0.25">
      <c r="Z34613"/>
    </row>
    <row r="34614" spans="26:26" x14ac:dyDescent="0.25">
      <c r="Z34614"/>
    </row>
    <row r="34615" spans="26:26" x14ac:dyDescent="0.25">
      <c r="Z34615"/>
    </row>
    <row r="34616" spans="26:26" x14ac:dyDescent="0.25">
      <c r="Z34616"/>
    </row>
    <row r="34617" spans="26:26" x14ac:dyDescent="0.25">
      <c r="Z34617"/>
    </row>
    <row r="34618" spans="26:26" x14ac:dyDescent="0.25">
      <c r="Z34618"/>
    </row>
    <row r="34619" spans="26:26" x14ac:dyDescent="0.25">
      <c r="Z34619"/>
    </row>
    <row r="34620" spans="26:26" x14ac:dyDescent="0.25">
      <c r="Z34620"/>
    </row>
    <row r="34621" spans="26:26" x14ac:dyDescent="0.25">
      <c r="Z34621"/>
    </row>
    <row r="34622" spans="26:26" x14ac:dyDescent="0.25">
      <c r="Z34622"/>
    </row>
    <row r="34623" spans="26:26" x14ac:dyDescent="0.25">
      <c r="Z34623"/>
    </row>
    <row r="34624" spans="26:26" x14ac:dyDescent="0.25">
      <c r="Z34624"/>
    </row>
    <row r="34625" spans="26:26" x14ac:dyDescent="0.25">
      <c r="Z34625"/>
    </row>
    <row r="34626" spans="26:26" x14ac:dyDescent="0.25">
      <c r="Z34626"/>
    </row>
    <row r="34627" spans="26:26" x14ac:dyDescent="0.25">
      <c r="Z34627"/>
    </row>
    <row r="34628" spans="26:26" x14ac:dyDescent="0.25">
      <c r="Z34628"/>
    </row>
    <row r="34629" spans="26:26" x14ac:dyDescent="0.25">
      <c r="Z34629"/>
    </row>
    <row r="34630" spans="26:26" x14ac:dyDescent="0.25">
      <c r="Z34630"/>
    </row>
    <row r="34631" spans="26:26" x14ac:dyDescent="0.25">
      <c r="Z34631"/>
    </row>
    <row r="34632" spans="26:26" x14ac:dyDescent="0.25">
      <c r="Z34632"/>
    </row>
    <row r="34633" spans="26:26" x14ac:dyDescent="0.25">
      <c r="Z34633"/>
    </row>
    <row r="34634" spans="26:26" x14ac:dyDescent="0.25">
      <c r="Z34634"/>
    </row>
    <row r="34635" spans="26:26" x14ac:dyDescent="0.25">
      <c r="Z34635"/>
    </row>
    <row r="34636" spans="26:26" x14ac:dyDescent="0.25">
      <c r="Z34636"/>
    </row>
    <row r="34637" spans="26:26" x14ac:dyDescent="0.25">
      <c r="Z34637"/>
    </row>
    <row r="34638" spans="26:26" x14ac:dyDescent="0.25">
      <c r="Z34638"/>
    </row>
    <row r="34639" spans="26:26" x14ac:dyDescent="0.25">
      <c r="Z34639"/>
    </row>
    <row r="34640" spans="26:26" x14ac:dyDescent="0.25">
      <c r="Z34640"/>
    </row>
    <row r="34641" spans="26:26" x14ac:dyDescent="0.25">
      <c r="Z34641"/>
    </row>
    <row r="34642" spans="26:26" x14ac:dyDescent="0.25">
      <c r="Z34642"/>
    </row>
    <row r="34643" spans="26:26" x14ac:dyDescent="0.25">
      <c r="Z34643"/>
    </row>
    <row r="34644" spans="26:26" x14ac:dyDescent="0.25">
      <c r="Z34644"/>
    </row>
    <row r="34645" spans="26:26" x14ac:dyDescent="0.25">
      <c r="Z34645"/>
    </row>
    <row r="34646" spans="26:26" x14ac:dyDescent="0.25">
      <c r="Z34646"/>
    </row>
    <row r="34647" spans="26:26" x14ac:dyDescent="0.25">
      <c r="Z34647"/>
    </row>
    <row r="34648" spans="26:26" x14ac:dyDescent="0.25">
      <c r="Z34648"/>
    </row>
    <row r="34649" spans="26:26" x14ac:dyDescent="0.25">
      <c r="Z34649"/>
    </row>
    <row r="34650" spans="26:26" x14ac:dyDescent="0.25">
      <c r="Z34650"/>
    </row>
    <row r="34651" spans="26:26" x14ac:dyDescent="0.25">
      <c r="Z34651"/>
    </row>
    <row r="34652" spans="26:26" x14ac:dyDescent="0.25">
      <c r="Z34652"/>
    </row>
    <row r="34653" spans="26:26" x14ac:dyDescent="0.25">
      <c r="Z34653"/>
    </row>
    <row r="34654" spans="26:26" x14ac:dyDescent="0.25">
      <c r="Z34654"/>
    </row>
    <row r="34655" spans="26:26" x14ac:dyDescent="0.25">
      <c r="Z34655"/>
    </row>
    <row r="34656" spans="26:26" x14ac:dyDescent="0.25">
      <c r="Z34656"/>
    </row>
    <row r="34657" spans="26:26" x14ac:dyDescent="0.25">
      <c r="Z34657"/>
    </row>
    <row r="34658" spans="26:26" x14ac:dyDescent="0.25">
      <c r="Z34658"/>
    </row>
    <row r="34659" spans="26:26" x14ac:dyDescent="0.25">
      <c r="Z34659"/>
    </row>
    <row r="34660" spans="26:26" x14ac:dyDescent="0.25">
      <c r="Z34660"/>
    </row>
    <row r="34661" spans="26:26" x14ac:dyDescent="0.25">
      <c r="Z34661"/>
    </row>
    <row r="34662" spans="26:26" x14ac:dyDescent="0.25">
      <c r="Z34662"/>
    </row>
    <row r="34663" spans="26:26" x14ac:dyDescent="0.25">
      <c r="Z34663"/>
    </row>
    <row r="34664" spans="26:26" x14ac:dyDescent="0.25">
      <c r="Z34664"/>
    </row>
    <row r="34665" spans="26:26" x14ac:dyDescent="0.25">
      <c r="Z34665"/>
    </row>
    <row r="34666" spans="26:26" x14ac:dyDescent="0.25">
      <c r="Z34666"/>
    </row>
    <row r="34667" spans="26:26" x14ac:dyDescent="0.25">
      <c r="Z34667"/>
    </row>
    <row r="34668" spans="26:26" x14ac:dyDescent="0.25">
      <c r="Z34668"/>
    </row>
    <row r="34669" spans="26:26" x14ac:dyDescent="0.25">
      <c r="Z34669"/>
    </row>
    <row r="34670" spans="26:26" x14ac:dyDescent="0.25">
      <c r="Z34670"/>
    </row>
    <row r="34671" spans="26:26" x14ac:dyDescent="0.25">
      <c r="Z34671"/>
    </row>
    <row r="34672" spans="26:26" x14ac:dyDescent="0.25">
      <c r="Z34672"/>
    </row>
    <row r="34673" spans="26:26" x14ac:dyDescent="0.25">
      <c r="Z34673"/>
    </row>
    <row r="34674" spans="26:26" x14ac:dyDescent="0.25">
      <c r="Z34674"/>
    </row>
    <row r="34675" spans="26:26" x14ac:dyDescent="0.25">
      <c r="Z34675"/>
    </row>
    <row r="34676" spans="26:26" x14ac:dyDescent="0.25">
      <c r="Z34676"/>
    </row>
    <row r="34677" spans="26:26" x14ac:dyDescent="0.25">
      <c r="Z34677"/>
    </row>
    <row r="34678" spans="26:26" x14ac:dyDescent="0.25">
      <c r="Z34678"/>
    </row>
    <row r="34679" spans="26:26" x14ac:dyDescent="0.25">
      <c r="Z34679"/>
    </row>
    <row r="34680" spans="26:26" x14ac:dyDescent="0.25">
      <c r="Z34680"/>
    </row>
    <row r="34681" spans="26:26" x14ac:dyDescent="0.25">
      <c r="Z34681"/>
    </row>
    <row r="34682" spans="26:26" x14ac:dyDescent="0.25">
      <c r="Z34682"/>
    </row>
    <row r="34683" spans="26:26" x14ac:dyDescent="0.25">
      <c r="Z34683"/>
    </row>
    <row r="34684" spans="26:26" x14ac:dyDescent="0.25">
      <c r="Z34684"/>
    </row>
    <row r="34685" spans="26:26" x14ac:dyDescent="0.25">
      <c r="Z34685"/>
    </row>
    <row r="34686" spans="26:26" x14ac:dyDescent="0.25">
      <c r="Z34686"/>
    </row>
    <row r="34687" spans="26:26" x14ac:dyDescent="0.25">
      <c r="Z34687"/>
    </row>
    <row r="34688" spans="26:26" x14ac:dyDescent="0.25">
      <c r="Z34688"/>
    </row>
    <row r="34689" spans="26:26" x14ac:dyDescent="0.25">
      <c r="Z34689"/>
    </row>
    <row r="34690" spans="26:26" x14ac:dyDescent="0.25">
      <c r="Z34690"/>
    </row>
    <row r="34691" spans="26:26" x14ac:dyDescent="0.25">
      <c r="Z34691"/>
    </row>
    <row r="34692" spans="26:26" x14ac:dyDescent="0.25">
      <c r="Z34692"/>
    </row>
    <row r="34693" spans="26:26" x14ac:dyDescent="0.25">
      <c r="Z34693"/>
    </row>
    <row r="34694" spans="26:26" x14ac:dyDescent="0.25">
      <c r="Z34694"/>
    </row>
    <row r="34695" spans="26:26" x14ac:dyDescent="0.25">
      <c r="Z34695"/>
    </row>
    <row r="34696" spans="26:26" x14ac:dyDescent="0.25">
      <c r="Z34696"/>
    </row>
    <row r="34697" spans="26:26" x14ac:dyDescent="0.25">
      <c r="Z34697"/>
    </row>
    <row r="34698" spans="26:26" x14ac:dyDescent="0.25">
      <c r="Z34698"/>
    </row>
    <row r="34699" spans="26:26" x14ac:dyDescent="0.25">
      <c r="Z34699"/>
    </row>
    <row r="34700" spans="26:26" x14ac:dyDescent="0.25">
      <c r="Z34700"/>
    </row>
    <row r="34701" spans="26:26" x14ac:dyDescent="0.25">
      <c r="Z34701"/>
    </row>
    <row r="34702" spans="26:26" x14ac:dyDescent="0.25">
      <c r="Z34702"/>
    </row>
    <row r="34703" spans="26:26" x14ac:dyDescent="0.25">
      <c r="Z34703"/>
    </row>
    <row r="34704" spans="26:26" x14ac:dyDescent="0.25">
      <c r="Z34704"/>
    </row>
    <row r="34705" spans="26:26" x14ac:dyDescent="0.25">
      <c r="Z34705"/>
    </row>
    <row r="34706" spans="26:26" x14ac:dyDescent="0.25">
      <c r="Z34706"/>
    </row>
    <row r="34707" spans="26:26" x14ac:dyDescent="0.25">
      <c r="Z34707"/>
    </row>
    <row r="34708" spans="26:26" x14ac:dyDescent="0.25">
      <c r="Z34708"/>
    </row>
    <row r="34709" spans="26:26" x14ac:dyDescent="0.25">
      <c r="Z34709"/>
    </row>
    <row r="34710" spans="26:26" x14ac:dyDescent="0.25">
      <c r="Z34710"/>
    </row>
    <row r="34711" spans="26:26" x14ac:dyDescent="0.25">
      <c r="Z34711"/>
    </row>
    <row r="34712" spans="26:26" x14ac:dyDescent="0.25">
      <c r="Z34712"/>
    </row>
    <row r="34713" spans="26:26" x14ac:dyDescent="0.25">
      <c r="Z34713"/>
    </row>
    <row r="34714" spans="26:26" x14ac:dyDescent="0.25">
      <c r="Z34714"/>
    </row>
    <row r="34715" spans="26:26" x14ac:dyDescent="0.25">
      <c r="Z34715"/>
    </row>
    <row r="34716" spans="26:26" x14ac:dyDescent="0.25">
      <c r="Z34716"/>
    </row>
    <row r="34717" spans="26:26" x14ac:dyDescent="0.25">
      <c r="Z34717"/>
    </row>
    <row r="34718" spans="26:26" x14ac:dyDescent="0.25">
      <c r="Z34718"/>
    </row>
    <row r="34719" spans="26:26" x14ac:dyDescent="0.25">
      <c r="Z34719"/>
    </row>
    <row r="34720" spans="26:26" x14ac:dyDescent="0.25">
      <c r="Z34720"/>
    </row>
    <row r="34721" spans="26:26" x14ac:dyDescent="0.25">
      <c r="Z34721"/>
    </row>
    <row r="34722" spans="26:26" x14ac:dyDescent="0.25">
      <c r="Z34722"/>
    </row>
    <row r="34723" spans="26:26" x14ac:dyDescent="0.25">
      <c r="Z34723"/>
    </row>
    <row r="34724" spans="26:26" x14ac:dyDescent="0.25">
      <c r="Z34724"/>
    </row>
    <row r="34725" spans="26:26" x14ac:dyDescent="0.25">
      <c r="Z34725"/>
    </row>
    <row r="34726" spans="26:26" x14ac:dyDescent="0.25">
      <c r="Z34726"/>
    </row>
    <row r="34727" spans="26:26" x14ac:dyDescent="0.25">
      <c r="Z34727"/>
    </row>
    <row r="34728" spans="26:26" x14ac:dyDescent="0.25">
      <c r="Z34728"/>
    </row>
    <row r="34729" spans="26:26" x14ac:dyDescent="0.25">
      <c r="Z34729"/>
    </row>
    <row r="34730" spans="26:26" x14ac:dyDescent="0.25">
      <c r="Z34730"/>
    </row>
    <row r="34731" spans="26:26" x14ac:dyDescent="0.25">
      <c r="Z34731"/>
    </row>
    <row r="34732" spans="26:26" x14ac:dyDescent="0.25">
      <c r="Z34732"/>
    </row>
    <row r="34733" spans="26:26" x14ac:dyDescent="0.25">
      <c r="Z34733"/>
    </row>
    <row r="34734" spans="26:26" x14ac:dyDescent="0.25">
      <c r="Z34734"/>
    </row>
    <row r="34735" spans="26:26" x14ac:dyDescent="0.25">
      <c r="Z34735"/>
    </row>
    <row r="34736" spans="26:26" x14ac:dyDescent="0.25">
      <c r="Z34736"/>
    </row>
    <row r="34737" spans="26:26" x14ac:dyDescent="0.25">
      <c r="Z34737"/>
    </row>
    <row r="34738" spans="26:26" x14ac:dyDescent="0.25">
      <c r="Z34738"/>
    </row>
    <row r="34739" spans="26:26" x14ac:dyDescent="0.25">
      <c r="Z34739"/>
    </row>
    <row r="34740" spans="26:26" x14ac:dyDescent="0.25">
      <c r="Z34740"/>
    </row>
    <row r="34741" spans="26:26" x14ac:dyDescent="0.25">
      <c r="Z34741"/>
    </row>
    <row r="34742" spans="26:26" x14ac:dyDescent="0.25">
      <c r="Z34742"/>
    </row>
    <row r="34743" spans="26:26" x14ac:dyDescent="0.25">
      <c r="Z34743"/>
    </row>
    <row r="34744" spans="26:26" x14ac:dyDescent="0.25">
      <c r="Z34744"/>
    </row>
    <row r="34745" spans="26:26" x14ac:dyDescent="0.25">
      <c r="Z34745"/>
    </row>
    <row r="34746" spans="26:26" x14ac:dyDescent="0.25">
      <c r="Z34746"/>
    </row>
    <row r="34747" spans="26:26" x14ac:dyDescent="0.25">
      <c r="Z34747"/>
    </row>
    <row r="34748" spans="26:26" x14ac:dyDescent="0.25">
      <c r="Z34748"/>
    </row>
    <row r="34749" spans="26:26" x14ac:dyDescent="0.25">
      <c r="Z34749"/>
    </row>
    <row r="34750" spans="26:26" x14ac:dyDescent="0.25">
      <c r="Z34750"/>
    </row>
    <row r="34751" spans="26:26" x14ac:dyDescent="0.25">
      <c r="Z34751"/>
    </row>
    <row r="34752" spans="26:26" x14ac:dyDescent="0.25">
      <c r="Z34752"/>
    </row>
    <row r="34753" spans="26:26" x14ac:dyDescent="0.25">
      <c r="Z34753"/>
    </row>
    <row r="34754" spans="26:26" x14ac:dyDescent="0.25">
      <c r="Z34754"/>
    </row>
    <row r="34755" spans="26:26" x14ac:dyDescent="0.25">
      <c r="Z34755"/>
    </row>
    <row r="34756" spans="26:26" x14ac:dyDescent="0.25">
      <c r="Z34756"/>
    </row>
    <row r="34757" spans="26:26" x14ac:dyDescent="0.25">
      <c r="Z34757"/>
    </row>
    <row r="34758" spans="26:26" x14ac:dyDescent="0.25">
      <c r="Z34758"/>
    </row>
    <row r="34759" spans="26:26" x14ac:dyDescent="0.25">
      <c r="Z34759"/>
    </row>
    <row r="34760" spans="26:26" x14ac:dyDescent="0.25">
      <c r="Z34760"/>
    </row>
    <row r="34761" spans="26:26" x14ac:dyDescent="0.25">
      <c r="Z34761"/>
    </row>
    <row r="34762" spans="26:26" x14ac:dyDescent="0.25">
      <c r="Z34762"/>
    </row>
    <row r="34763" spans="26:26" x14ac:dyDescent="0.25">
      <c r="Z34763"/>
    </row>
    <row r="34764" spans="26:26" x14ac:dyDescent="0.25">
      <c r="Z34764"/>
    </row>
    <row r="34765" spans="26:26" x14ac:dyDescent="0.25">
      <c r="Z34765"/>
    </row>
    <row r="34766" spans="26:26" x14ac:dyDescent="0.25">
      <c r="Z34766"/>
    </row>
    <row r="34767" spans="26:26" x14ac:dyDescent="0.25">
      <c r="Z34767"/>
    </row>
    <row r="34768" spans="26:26" x14ac:dyDescent="0.25">
      <c r="Z34768"/>
    </row>
    <row r="34769" spans="26:26" x14ac:dyDescent="0.25">
      <c r="Z34769"/>
    </row>
    <row r="34770" spans="26:26" x14ac:dyDescent="0.25">
      <c r="Z34770"/>
    </row>
    <row r="34771" spans="26:26" x14ac:dyDescent="0.25">
      <c r="Z34771"/>
    </row>
    <row r="34772" spans="26:26" x14ac:dyDescent="0.25">
      <c r="Z34772"/>
    </row>
    <row r="34773" spans="26:26" x14ac:dyDescent="0.25">
      <c r="Z34773"/>
    </row>
    <row r="34774" spans="26:26" x14ac:dyDescent="0.25">
      <c r="Z34774"/>
    </row>
    <row r="34775" spans="26:26" x14ac:dyDescent="0.25">
      <c r="Z34775"/>
    </row>
    <row r="34776" spans="26:26" x14ac:dyDescent="0.25">
      <c r="Z34776"/>
    </row>
    <row r="34777" spans="26:26" x14ac:dyDescent="0.25">
      <c r="Z34777"/>
    </row>
    <row r="34778" spans="26:26" x14ac:dyDescent="0.25">
      <c r="Z34778"/>
    </row>
    <row r="34779" spans="26:26" x14ac:dyDescent="0.25">
      <c r="Z34779"/>
    </row>
    <row r="34780" spans="26:26" x14ac:dyDescent="0.25">
      <c r="Z34780"/>
    </row>
    <row r="34781" spans="26:26" x14ac:dyDescent="0.25">
      <c r="Z34781"/>
    </row>
    <row r="34782" spans="26:26" x14ac:dyDescent="0.25">
      <c r="Z34782"/>
    </row>
    <row r="34783" spans="26:26" x14ac:dyDescent="0.25">
      <c r="Z34783"/>
    </row>
    <row r="34784" spans="26:26" x14ac:dyDescent="0.25">
      <c r="Z34784"/>
    </row>
    <row r="34785" spans="26:26" x14ac:dyDescent="0.25">
      <c r="Z34785"/>
    </row>
    <row r="34786" spans="26:26" x14ac:dyDescent="0.25">
      <c r="Z34786"/>
    </row>
    <row r="34787" spans="26:26" x14ac:dyDescent="0.25">
      <c r="Z34787"/>
    </row>
    <row r="34788" spans="26:26" x14ac:dyDescent="0.25">
      <c r="Z34788"/>
    </row>
    <row r="34789" spans="26:26" x14ac:dyDescent="0.25">
      <c r="Z34789"/>
    </row>
    <row r="34790" spans="26:26" x14ac:dyDescent="0.25">
      <c r="Z34790"/>
    </row>
    <row r="34791" spans="26:26" x14ac:dyDescent="0.25">
      <c r="Z34791"/>
    </row>
    <row r="34792" spans="26:26" x14ac:dyDescent="0.25">
      <c r="Z34792"/>
    </row>
    <row r="34793" spans="26:26" x14ac:dyDescent="0.25">
      <c r="Z34793"/>
    </row>
    <row r="34794" spans="26:26" x14ac:dyDescent="0.25">
      <c r="Z34794"/>
    </row>
    <row r="34795" spans="26:26" x14ac:dyDescent="0.25">
      <c r="Z34795"/>
    </row>
    <row r="34796" spans="26:26" x14ac:dyDescent="0.25">
      <c r="Z34796"/>
    </row>
    <row r="34797" spans="26:26" x14ac:dyDescent="0.25">
      <c r="Z34797"/>
    </row>
    <row r="34798" spans="26:26" x14ac:dyDescent="0.25">
      <c r="Z34798"/>
    </row>
    <row r="34799" spans="26:26" x14ac:dyDescent="0.25">
      <c r="Z34799"/>
    </row>
    <row r="34800" spans="26:26" x14ac:dyDescent="0.25">
      <c r="Z34800"/>
    </row>
    <row r="34801" spans="26:26" x14ac:dyDescent="0.25">
      <c r="Z34801"/>
    </row>
    <row r="34802" spans="26:26" x14ac:dyDescent="0.25">
      <c r="Z34802"/>
    </row>
    <row r="34803" spans="26:26" x14ac:dyDescent="0.25">
      <c r="Z34803"/>
    </row>
    <row r="34804" spans="26:26" x14ac:dyDescent="0.25">
      <c r="Z34804"/>
    </row>
    <row r="34805" spans="26:26" x14ac:dyDescent="0.25">
      <c r="Z34805"/>
    </row>
    <row r="34806" spans="26:26" x14ac:dyDescent="0.25">
      <c r="Z34806"/>
    </row>
    <row r="34807" spans="26:26" x14ac:dyDescent="0.25">
      <c r="Z34807"/>
    </row>
    <row r="34808" spans="26:26" x14ac:dyDescent="0.25">
      <c r="Z34808"/>
    </row>
    <row r="34809" spans="26:26" x14ac:dyDescent="0.25">
      <c r="Z34809"/>
    </row>
    <row r="34810" spans="26:26" x14ac:dyDescent="0.25">
      <c r="Z34810"/>
    </row>
    <row r="34811" spans="26:26" x14ac:dyDescent="0.25">
      <c r="Z34811"/>
    </row>
    <row r="34812" spans="26:26" x14ac:dyDescent="0.25">
      <c r="Z34812"/>
    </row>
    <row r="34813" spans="26:26" x14ac:dyDescent="0.25">
      <c r="Z34813"/>
    </row>
    <row r="34814" spans="26:26" x14ac:dyDescent="0.25">
      <c r="Z34814"/>
    </row>
    <row r="34815" spans="26:26" x14ac:dyDescent="0.25">
      <c r="Z34815"/>
    </row>
    <row r="34816" spans="26:26" x14ac:dyDescent="0.25">
      <c r="Z34816"/>
    </row>
    <row r="34817" spans="26:26" x14ac:dyDescent="0.25">
      <c r="Z34817"/>
    </row>
    <row r="34818" spans="26:26" x14ac:dyDescent="0.25">
      <c r="Z34818"/>
    </row>
    <row r="34819" spans="26:26" x14ac:dyDescent="0.25">
      <c r="Z34819"/>
    </row>
    <row r="34820" spans="26:26" x14ac:dyDescent="0.25">
      <c r="Z34820"/>
    </row>
    <row r="34821" spans="26:26" x14ac:dyDescent="0.25">
      <c r="Z34821"/>
    </row>
    <row r="34822" spans="26:26" x14ac:dyDescent="0.25">
      <c r="Z34822"/>
    </row>
    <row r="34823" spans="26:26" x14ac:dyDescent="0.25">
      <c r="Z34823"/>
    </row>
    <row r="34824" spans="26:26" x14ac:dyDescent="0.25">
      <c r="Z34824"/>
    </row>
    <row r="34825" spans="26:26" x14ac:dyDescent="0.25">
      <c r="Z34825"/>
    </row>
    <row r="34826" spans="26:26" x14ac:dyDescent="0.25">
      <c r="Z34826"/>
    </row>
    <row r="34827" spans="26:26" x14ac:dyDescent="0.25">
      <c r="Z34827"/>
    </row>
    <row r="34828" spans="26:26" x14ac:dyDescent="0.25">
      <c r="Z34828"/>
    </row>
    <row r="34829" spans="26:26" x14ac:dyDescent="0.25">
      <c r="Z34829"/>
    </row>
    <row r="34830" spans="26:26" x14ac:dyDescent="0.25">
      <c r="Z34830"/>
    </row>
    <row r="34831" spans="26:26" x14ac:dyDescent="0.25">
      <c r="Z34831"/>
    </row>
    <row r="34832" spans="26:26" x14ac:dyDescent="0.25">
      <c r="Z34832"/>
    </row>
    <row r="34833" spans="26:26" x14ac:dyDescent="0.25">
      <c r="Z34833"/>
    </row>
    <row r="34834" spans="26:26" x14ac:dyDescent="0.25">
      <c r="Z34834"/>
    </row>
    <row r="34835" spans="26:26" x14ac:dyDescent="0.25">
      <c r="Z34835"/>
    </row>
    <row r="34836" spans="26:26" x14ac:dyDescent="0.25">
      <c r="Z34836"/>
    </row>
    <row r="34837" spans="26:26" x14ac:dyDescent="0.25">
      <c r="Z34837"/>
    </row>
    <row r="34838" spans="26:26" x14ac:dyDescent="0.25">
      <c r="Z34838"/>
    </row>
    <row r="34839" spans="26:26" x14ac:dyDescent="0.25">
      <c r="Z34839"/>
    </row>
    <row r="34840" spans="26:26" x14ac:dyDescent="0.25">
      <c r="Z34840"/>
    </row>
    <row r="34841" spans="26:26" x14ac:dyDescent="0.25">
      <c r="Z34841"/>
    </row>
    <row r="34842" spans="26:26" x14ac:dyDescent="0.25">
      <c r="Z34842"/>
    </row>
    <row r="34843" spans="26:26" x14ac:dyDescent="0.25">
      <c r="Z34843"/>
    </row>
    <row r="34844" spans="26:26" x14ac:dyDescent="0.25">
      <c r="Z34844"/>
    </row>
    <row r="34845" spans="26:26" x14ac:dyDescent="0.25">
      <c r="Z34845"/>
    </row>
    <row r="34846" spans="26:26" x14ac:dyDescent="0.25">
      <c r="Z34846"/>
    </row>
    <row r="34847" spans="26:26" x14ac:dyDescent="0.25">
      <c r="Z34847"/>
    </row>
    <row r="34848" spans="26:26" x14ac:dyDescent="0.25">
      <c r="Z34848"/>
    </row>
    <row r="34849" spans="26:26" x14ac:dyDescent="0.25">
      <c r="Z34849"/>
    </row>
    <row r="34850" spans="26:26" x14ac:dyDescent="0.25">
      <c r="Z34850"/>
    </row>
    <row r="34851" spans="26:26" x14ac:dyDescent="0.25">
      <c r="Z34851"/>
    </row>
    <row r="34852" spans="26:26" x14ac:dyDescent="0.25">
      <c r="Z34852"/>
    </row>
    <row r="34853" spans="26:26" x14ac:dyDescent="0.25">
      <c r="Z34853"/>
    </row>
    <row r="34854" spans="26:26" x14ac:dyDescent="0.25">
      <c r="Z34854"/>
    </row>
    <row r="34855" spans="26:26" x14ac:dyDescent="0.25">
      <c r="Z34855"/>
    </row>
    <row r="34856" spans="26:26" x14ac:dyDescent="0.25">
      <c r="Z34856"/>
    </row>
    <row r="34857" spans="26:26" x14ac:dyDescent="0.25">
      <c r="Z34857"/>
    </row>
    <row r="34858" spans="26:26" x14ac:dyDescent="0.25">
      <c r="Z34858"/>
    </row>
    <row r="34859" spans="26:26" x14ac:dyDescent="0.25">
      <c r="Z34859"/>
    </row>
    <row r="34860" spans="26:26" x14ac:dyDescent="0.25">
      <c r="Z34860"/>
    </row>
    <row r="34861" spans="26:26" x14ac:dyDescent="0.25">
      <c r="Z34861"/>
    </row>
    <row r="34862" spans="26:26" x14ac:dyDescent="0.25">
      <c r="Z34862"/>
    </row>
    <row r="34863" spans="26:26" x14ac:dyDescent="0.25">
      <c r="Z34863"/>
    </row>
    <row r="34864" spans="26:26" x14ac:dyDescent="0.25">
      <c r="Z34864"/>
    </row>
    <row r="34865" spans="26:26" x14ac:dyDescent="0.25">
      <c r="Z34865"/>
    </row>
    <row r="34866" spans="26:26" x14ac:dyDescent="0.25">
      <c r="Z34866"/>
    </row>
    <row r="34867" spans="26:26" x14ac:dyDescent="0.25">
      <c r="Z34867"/>
    </row>
    <row r="34868" spans="26:26" x14ac:dyDescent="0.25">
      <c r="Z34868"/>
    </row>
    <row r="34869" spans="26:26" x14ac:dyDescent="0.25">
      <c r="Z34869"/>
    </row>
    <row r="34870" spans="26:26" x14ac:dyDescent="0.25">
      <c r="Z34870"/>
    </row>
    <row r="34871" spans="26:26" x14ac:dyDescent="0.25">
      <c r="Z34871"/>
    </row>
    <row r="34872" spans="26:26" x14ac:dyDescent="0.25">
      <c r="Z34872"/>
    </row>
    <row r="34873" spans="26:26" x14ac:dyDescent="0.25">
      <c r="Z34873"/>
    </row>
    <row r="34874" spans="26:26" x14ac:dyDescent="0.25">
      <c r="Z34874"/>
    </row>
    <row r="34875" spans="26:26" x14ac:dyDescent="0.25">
      <c r="Z34875"/>
    </row>
    <row r="34876" spans="26:26" x14ac:dyDescent="0.25">
      <c r="Z34876"/>
    </row>
    <row r="34877" spans="26:26" x14ac:dyDescent="0.25">
      <c r="Z34877"/>
    </row>
    <row r="34878" spans="26:26" x14ac:dyDescent="0.25">
      <c r="Z34878"/>
    </row>
    <row r="34879" spans="26:26" x14ac:dyDescent="0.25">
      <c r="Z34879"/>
    </row>
    <row r="34880" spans="26:26" x14ac:dyDescent="0.25">
      <c r="Z34880"/>
    </row>
    <row r="34881" spans="26:26" x14ac:dyDescent="0.25">
      <c r="Z34881"/>
    </row>
    <row r="34882" spans="26:26" x14ac:dyDescent="0.25">
      <c r="Z34882"/>
    </row>
    <row r="34883" spans="26:26" x14ac:dyDescent="0.25">
      <c r="Z34883"/>
    </row>
    <row r="34884" spans="26:26" x14ac:dyDescent="0.25">
      <c r="Z34884"/>
    </row>
    <row r="34885" spans="26:26" x14ac:dyDescent="0.25">
      <c r="Z34885"/>
    </row>
    <row r="34886" spans="26:26" x14ac:dyDescent="0.25">
      <c r="Z34886"/>
    </row>
    <row r="34887" spans="26:26" x14ac:dyDescent="0.25">
      <c r="Z34887"/>
    </row>
    <row r="34888" spans="26:26" x14ac:dyDescent="0.25">
      <c r="Z34888"/>
    </row>
    <row r="34889" spans="26:26" x14ac:dyDescent="0.25">
      <c r="Z34889"/>
    </row>
    <row r="34890" spans="26:26" x14ac:dyDescent="0.25">
      <c r="Z34890"/>
    </row>
    <row r="34891" spans="26:26" x14ac:dyDescent="0.25">
      <c r="Z34891"/>
    </row>
    <row r="34892" spans="26:26" x14ac:dyDescent="0.25">
      <c r="Z34892"/>
    </row>
    <row r="34893" spans="26:26" x14ac:dyDescent="0.25">
      <c r="Z34893"/>
    </row>
    <row r="34894" spans="26:26" x14ac:dyDescent="0.25">
      <c r="Z34894"/>
    </row>
    <row r="34895" spans="26:26" x14ac:dyDescent="0.25">
      <c r="Z34895"/>
    </row>
    <row r="34896" spans="26:26" x14ac:dyDescent="0.25">
      <c r="Z34896"/>
    </row>
    <row r="34897" spans="26:26" x14ac:dyDescent="0.25">
      <c r="Z34897"/>
    </row>
    <row r="34898" spans="26:26" x14ac:dyDescent="0.25">
      <c r="Z34898"/>
    </row>
    <row r="34899" spans="26:26" x14ac:dyDescent="0.25">
      <c r="Z34899"/>
    </row>
    <row r="34900" spans="26:26" x14ac:dyDescent="0.25">
      <c r="Z34900"/>
    </row>
    <row r="34901" spans="26:26" x14ac:dyDescent="0.25">
      <c r="Z34901"/>
    </row>
    <row r="34902" spans="26:26" x14ac:dyDescent="0.25">
      <c r="Z34902"/>
    </row>
    <row r="34903" spans="26:26" x14ac:dyDescent="0.25">
      <c r="Z34903"/>
    </row>
    <row r="34904" spans="26:26" x14ac:dyDescent="0.25">
      <c r="Z34904"/>
    </row>
    <row r="34905" spans="26:26" x14ac:dyDescent="0.25">
      <c r="Z34905"/>
    </row>
    <row r="34906" spans="26:26" x14ac:dyDescent="0.25">
      <c r="Z34906"/>
    </row>
    <row r="34907" spans="26:26" x14ac:dyDescent="0.25">
      <c r="Z34907"/>
    </row>
    <row r="34908" spans="26:26" x14ac:dyDescent="0.25">
      <c r="Z34908"/>
    </row>
    <row r="34909" spans="26:26" x14ac:dyDescent="0.25">
      <c r="Z34909"/>
    </row>
    <row r="34910" spans="26:26" x14ac:dyDescent="0.25">
      <c r="Z34910"/>
    </row>
    <row r="34911" spans="26:26" x14ac:dyDescent="0.25">
      <c r="Z34911"/>
    </row>
    <row r="34912" spans="26:26" x14ac:dyDescent="0.25">
      <c r="Z34912"/>
    </row>
    <row r="34913" spans="26:26" x14ac:dyDescent="0.25">
      <c r="Z34913"/>
    </row>
    <row r="34914" spans="26:26" x14ac:dyDescent="0.25">
      <c r="Z34914"/>
    </row>
    <row r="34915" spans="26:26" x14ac:dyDescent="0.25">
      <c r="Z34915"/>
    </row>
    <row r="34916" spans="26:26" x14ac:dyDescent="0.25">
      <c r="Z34916"/>
    </row>
    <row r="34917" spans="26:26" x14ac:dyDescent="0.25">
      <c r="Z34917"/>
    </row>
    <row r="34918" spans="26:26" x14ac:dyDescent="0.25">
      <c r="Z34918"/>
    </row>
    <row r="34919" spans="26:26" x14ac:dyDescent="0.25">
      <c r="Z34919"/>
    </row>
    <row r="34920" spans="26:26" x14ac:dyDescent="0.25">
      <c r="Z34920"/>
    </row>
    <row r="34921" spans="26:26" x14ac:dyDescent="0.25">
      <c r="Z34921"/>
    </row>
    <row r="34922" spans="26:26" x14ac:dyDescent="0.25">
      <c r="Z34922"/>
    </row>
    <row r="34923" spans="26:26" x14ac:dyDescent="0.25">
      <c r="Z34923"/>
    </row>
    <row r="34924" spans="26:26" x14ac:dyDescent="0.25">
      <c r="Z34924"/>
    </row>
    <row r="34925" spans="26:26" x14ac:dyDescent="0.25">
      <c r="Z34925"/>
    </row>
    <row r="34926" spans="26:26" x14ac:dyDescent="0.25">
      <c r="Z34926"/>
    </row>
    <row r="34927" spans="26:26" x14ac:dyDescent="0.25">
      <c r="Z34927"/>
    </row>
    <row r="34928" spans="26:26" x14ac:dyDescent="0.25">
      <c r="Z34928"/>
    </row>
    <row r="34929" spans="26:26" x14ac:dyDescent="0.25">
      <c r="Z34929"/>
    </row>
    <row r="34930" spans="26:26" x14ac:dyDescent="0.25">
      <c r="Z34930"/>
    </row>
    <row r="34931" spans="26:26" x14ac:dyDescent="0.25">
      <c r="Z34931"/>
    </row>
    <row r="34932" spans="26:26" x14ac:dyDescent="0.25">
      <c r="Z34932"/>
    </row>
    <row r="34933" spans="26:26" x14ac:dyDescent="0.25">
      <c r="Z34933"/>
    </row>
    <row r="34934" spans="26:26" x14ac:dyDescent="0.25">
      <c r="Z34934"/>
    </row>
    <row r="34935" spans="26:26" x14ac:dyDescent="0.25">
      <c r="Z34935"/>
    </row>
    <row r="34936" spans="26:26" x14ac:dyDescent="0.25">
      <c r="Z34936"/>
    </row>
    <row r="34937" spans="26:26" x14ac:dyDescent="0.25">
      <c r="Z34937"/>
    </row>
    <row r="34938" spans="26:26" x14ac:dyDescent="0.25">
      <c r="Z34938"/>
    </row>
    <row r="34939" spans="26:26" x14ac:dyDescent="0.25">
      <c r="Z34939"/>
    </row>
    <row r="34940" spans="26:26" x14ac:dyDescent="0.25">
      <c r="Z34940"/>
    </row>
    <row r="34941" spans="26:26" x14ac:dyDescent="0.25">
      <c r="Z34941"/>
    </row>
    <row r="34942" spans="26:26" x14ac:dyDescent="0.25">
      <c r="Z34942"/>
    </row>
    <row r="34943" spans="26:26" x14ac:dyDescent="0.25">
      <c r="Z34943"/>
    </row>
    <row r="34944" spans="26:26" x14ac:dyDescent="0.25">
      <c r="Z34944"/>
    </row>
    <row r="34945" spans="26:26" x14ac:dyDescent="0.25">
      <c r="Z34945"/>
    </row>
    <row r="34946" spans="26:26" x14ac:dyDescent="0.25">
      <c r="Z34946"/>
    </row>
    <row r="34947" spans="26:26" x14ac:dyDescent="0.25">
      <c r="Z34947"/>
    </row>
    <row r="34948" spans="26:26" x14ac:dyDescent="0.25">
      <c r="Z34948"/>
    </row>
    <row r="34949" spans="26:26" x14ac:dyDescent="0.25">
      <c r="Z34949"/>
    </row>
    <row r="34950" spans="26:26" x14ac:dyDescent="0.25">
      <c r="Z34950"/>
    </row>
    <row r="34951" spans="26:26" x14ac:dyDescent="0.25">
      <c r="Z34951"/>
    </row>
    <row r="34952" spans="26:26" x14ac:dyDescent="0.25">
      <c r="Z34952"/>
    </row>
    <row r="34953" spans="26:26" x14ac:dyDescent="0.25">
      <c r="Z34953"/>
    </row>
    <row r="34954" spans="26:26" x14ac:dyDescent="0.25">
      <c r="Z34954"/>
    </row>
    <row r="34955" spans="26:26" x14ac:dyDescent="0.25">
      <c r="Z34955"/>
    </row>
    <row r="34956" spans="26:26" x14ac:dyDescent="0.25">
      <c r="Z34956"/>
    </row>
    <row r="34957" spans="26:26" x14ac:dyDescent="0.25">
      <c r="Z34957"/>
    </row>
    <row r="34958" spans="26:26" x14ac:dyDescent="0.25">
      <c r="Z34958"/>
    </row>
    <row r="34959" spans="26:26" x14ac:dyDescent="0.25">
      <c r="Z34959"/>
    </row>
    <row r="34960" spans="26:26" x14ac:dyDescent="0.25">
      <c r="Z34960"/>
    </row>
    <row r="34961" spans="26:26" x14ac:dyDescent="0.25">
      <c r="Z34961"/>
    </row>
    <row r="34962" spans="26:26" x14ac:dyDescent="0.25">
      <c r="Z34962"/>
    </row>
    <row r="34963" spans="26:26" x14ac:dyDescent="0.25">
      <c r="Z34963"/>
    </row>
    <row r="34964" spans="26:26" x14ac:dyDescent="0.25">
      <c r="Z34964"/>
    </row>
    <row r="34965" spans="26:26" x14ac:dyDescent="0.25">
      <c r="Z34965"/>
    </row>
    <row r="34966" spans="26:26" x14ac:dyDescent="0.25">
      <c r="Z34966"/>
    </row>
    <row r="34967" spans="26:26" x14ac:dyDescent="0.25">
      <c r="Z34967"/>
    </row>
    <row r="34968" spans="26:26" x14ac:dyDescent="0.25">
      <c r="Z34968"/>
    </row>
    <row r="34969" spans="26:26" x14ac:dyDescent="0.25">
      <c r="Z34969"/>
    </row>
    <row r="34970" spans="26:26" x14ac:dyDescent="0.25">
      <c r="Z34970"/>
    </row>
    <row r="34971" spans="26:26" x14ac:dyDescent="0.25">
      <c r="Z34971"/>
    </row>
    <row r="34972" spans="26:26" x14ac:dyDescent="0.25">
      <c r="Z34972"/>
    </row>
    <row r="34973" spans="26:26" x14ac:dyDescent="0.25">
      <c r="Z34973"/>
    </row>
    <row r="34974" spans="26:26" x14ac:dyDescent="0.25">
      <c r="Z34974"/>
    </row>
    <row r="34975" spans="26:26" x14ac:dyDescent="0.25">
      <c r="Z34975"/>
    </row>
    <row r="34976" spans="26:26" x14ac:dyDescent="0.25">
      <c r="Z34976"/>
    </row>
    <row r="34977" spans="26:26" x14ac:dyDescent="0.25">
      <c r="Z34977"/>
    </row>
    <row r="34978" spans="26:26" x14ac:dyDescent="0.25">
      <c r="Z34978"/>
    </row>
    <row r="34979" spans="26:26" x14ac:dyDescent="0.25">
      <c r="Z34979"/>
    </row>
    <row r="34980" spans="26:26" x14ac:dyDescent="0.25">
      <c r="Z34980"/>
    </row>
    <row r="34981" spans="26:26" x14ac:dyDescent="0.25">
      <c r="Z34981"/>
    </row>
    <row r="34982" spans="26:26" x14ac:dyDescent="0.25">
      <c r="Z34982"/>
    </row>
    <row r="34983" spans="26:26" x14ac:dyDescent="0.25">
      <c r="Z34983"/>
    </row>
    <row r="34984" spans="26:26" x14ac:dyDescent="0.25">
      <c r="Z34984"/>
    </row>
    <row r="34985" spans="26:26" x14ac:dyDescent="0.25">
      <c r="Z34985"/>
    </row>
    <row r="34986" spans="26:26" x14ac:dyDescent="0.25">
      <c r="Z34986"/>
    </row>
    <row r="34987" spans="26:26" x14ac:dyDescent="0.25">
      <c r="Z34987"/>
    </row>
    <row r="34988" spans="26:26" x14ac:dyDescent="0.25">
      <c r="Z34988"/>
    </row>
    <row r="34989" spans="26:26" x14ac:dyDescent="0.25">
      <c r="Z34989"/>
    </row>
    <row r="34990" spans="26:26" x14ac:dyDescent="0.25">
      <c r="Z34990"/>
    </row>
    <row r="34991" spans="26:26" x14ac:dyDescent="0.25">
      <c r="Z34991"/>
    </row>
    <row r="34992" spans="26:26" x14ac:dyDescent="0.25">
      <c r="Z34992"/>
    </row>
    <row r="34993" spans="26:26" x14ac:dyDescent="0.25">
      <c r="Z34993"/>
    </row>
    <row r="34994" spans="26:26" x14ac:dyDescent="0.25">
      <c r="Z34994"/>
    </row>
    <row r="34995" spans="26:26" x14ac:dyDescent="0.25">
      <c r="Z34995"/>
    </row>
    <row r="34996" spans="26:26" x14ac:dyDescent="0.25">
      <c r="Z34996"/>
    </row>
    <row r="34997" spans="26:26" x14ac:dyDescent="0.25">
      <c r="Z34997"/>
    </row>
    <row r="34998" spans="26:26" x14ac:dyDescent="0.25">
      <c r="Z34998"/>
    </row>
    <row r="34999" spans="26:26" x14ac:dyDescent="0.25">
      <c r="Z34999"/>
    </row>
    <row r="35000" spans="26:26" x14ac:dyDescent="0.25">
      <c r="Z35000"/>
    </row>
    <row r="35001" spans="26:26" x14ac:dyDescent="0.25">
      <c r="Z35001"/>
    </row>
    <row r="35002" spans="26:26" x14ac:dyDescent="0.25">
      <c r="Z35002"/>
    </row>
    <row r="35003" spans="26:26" x14ac:dyDescent="0.25">
      <c r="Z35003"/>
    </row>
    <row r="35004" spans="26:26" x14ac:dyDescent="0.25">
      <c r="Z35004"/>
    </row>
    <row r="35005" spans="26:26" x14ac:dyDescent="0.25">
      <c r="Z35005"/>
    </row>
    <row r="35006" spans="26:26" x14ac:dyDescent="0.25">
      <c r="Z35006"/>
    </row>
    <row r="35007" spans="26:26" x14ac:dyDescent="0.25">
      <c r="Z35007"/>
    </row>
    <row r="35008" spans="26:26" x14ac:dyDescent="0.25">
      <c r="Z35008"/>
    </row>
    <row r="35009" spans="26:26" x14ac:dyDescent="0.25">
      <c r="Z35009"/>
    </row>
    <row r="35010" spans="26:26" x14ac:dyDescent="0.25">
      <c r="Z35010"/>
    </row>
    <row r="35011" spans="26:26" x14ac:dyDescent="0.25">
      <c r="Z35011"/>
    </row>
    <row r="35012" spans="26:26" x14ac:dyDescent="0.25">
      <c r="Z35012"/>
    </row>
    <row r="35013" spans="26:26" x14ac:dyDescent="0.25">
      <c r="Z35013"/>
    </row>
    <row r="35014" spans="26:26" x14ac:dyDescent="0.25">
      <c r="Z35014"/>
    </row>
    <row r="35015" spans="26:26" x14ac:dyDescent="0.25">
      <c r="Z35015"/>
    </row>
    <row r="35016" spans="26:26" x14ac:dyDescent="0.25">
      <c r="Z35016"/>
    </row>
    <row r="35017" spans="26:26" x14ac:dyDescent="0.25">
      <c r="Z35017"/>
    </row>
    <row r="35018" spans="26:26" x14ac:dyDescent="0.25">
      <c r="Z35018"/>
    </row>
    <row r="35019" spans="26:26" x14ac:dyDescent="0.25">
      <c r="Z35019"/>
    </row>
    <row r="35020" spans="26:26" x14ac:dyDescent="0.25">
      <c r="Z35020"/>
    </row>
    <row r="35021" spans="26:26" x14ac:dyDescent="0.25">
      <c r="Z35021"/>
    </row>
    <row r="35022" spans="26:26" x14ac:dyDescent="0.25">
      <c r="Z35022"/>
    </row>
    <row r="35023" spans="26:26" x14ac:dyDescent="0.25">
      <c r="Z35023"/>
    </row>
    <row r="35024" spans="26:26" x14ac:dyDescent="0.25">
      <c r="Z35024"/>
    </row>
    <row r="35025" spans="26:26" x14ac:dyDescent="0.25">
      <c r="Z35025"/>
    </row>
    <row r="35026" spans="26:26" x14ac:dyDescent="0.25">
      <c r="Z35026"/>
    </row>
    <row r="35027" spans="26:26" x14ac:dyDescent="0.25">
      <c r="Z35027"/>
    </row>
    <row r="35028" spans="26:26" x14ac:dyDescent="0.25">
      <c r="Z35028"/>
    </row>
    <row r="35029" spans="26:26" x14ac:dyDescent="0.25">
      <c r="Z35029"/>
    </row>
    <row r="35030" spans="26:26" x14ac:dyDescent="0.25">
      <c r="Z35030"/>
    </row>
    <row r="35031" spans="26:26" x14ac:dyDescent="0.25">
      <c r="Z35031"/>
    </row>
    <row r="35032" spans="26:26" x14ac:dyDescent="0.25">
      <c r="Z35032"/>
    </row>
    <row r="35033" spans="26:26" x14ac:dyDescent="0.25">
      <c r="Z35033"/>
    </row>
    <row r="35034" spans="26:26" x14ac:dyDescent="0.25">
      <c r="Z35034"/>
    </row>
    <row r="35035" spans="26:26" x14ac:dyDescent="0.25">
      <c r="Z35035"/>
    </row>
    <row r="35036" spans="26:26" x14ac:dyDescent="0.25">
      <c r="Z35036"/>
    </row>
    <row r="35037" spans="26:26" x14ac:dyDescent="0.25">
      <c r="Z35037"/>
    </row>
    <row r="35038" spans="26:26" x14ac:dyDescent="0.25">
      <c r="Z35038"/>
    </row>
    <row r="35039" spans="26:26" x14ac:dyDescent="0.25">
      <c r="Z35039"/>
    </row>
    <row r="35040" spans="26:26" x14ac:dyDescent="0.25">
      <c r="Z35040"/>
    </row>
    <row r="35041" spans="26:26" x14ac:dyDescent="0.25">
      <c r="Z35041"/>
    </row>
    <row r="35042" spans="26:26" x14ac:dyDescent="0.25">
      <c r="Z35042"/>
    </row>
    <row r="35043" spans="26:26" x14ac:dyDescent="0.25">
      <c r="Z35043"/>
    </row>
    <row r="35044" spans="26:26" x14ac:dyDescent="0.25">
      <c r="Z35044"/>
    </row>
    <row r="35045" spans="26:26" x14ac:dyDescent="0.25">
      <c r="Z35045"/>
    </row>
    <row r="35046" spans="26:26" x14ac:dyDescent="0.25">
      <c r="Z35046"/>
    </row>
    <row r="35047" spans="26:26" x14ac:dyDescent="0.25">
      <c r="Z35047"/>
    </row>
    <row r="35048" spans="26:26" x14ac:dyDescent="0.25">
      <c r="Z35048"/>
    </row>
    <row r="35049" spans="26:26" x14ac:dyDescent="0.25">
      <c r="Z35049"/>
    </row>
    <row r="35050" spans="26:26" x14ac:dyDescent="0.25">
      <c r="Z35050"/>
    </row>
    <row r="35051" spans="26:26" x14ac:dyDescent="0.25">
      <c r="Z35051"/>
    </row>
    <row r="35052" spans="26:26" x14ac:dyDescent="0.25">
      <c r="Z35052"/>
    </row>
    <row r="35053" spans="26:26" x14ac:dyDescent="0.25">
      <c r="Z35053"/>
    </row>
    <row r="35054" spans="26:26" x14ac:dyDescent="0.25">
      <c r="Z35054"/>
    </row>
    <row r="35055" spans="26:26" x14ac:dyDescent="0.25">
      <c r="Z35055"/>
    </row>
    <row r="35056" spans="26:26" x14ac:dyDescent="0.25">
      <c r="Z35056"/>
    </row>
    <row r="35057" spans="26:26" x14ac:dyDescent="0.25">
      <c r="Z35057"/>
    </row>
    <row r="35058" spans="26:26" x14ac:dyDescent="0.25">
      <c r="Z35058"/>
    </row>
    <row r="35059" spans="26:26" x14ac:dyDescent="0.25">
      <c r="Z35059"/>
    </row>
    <row r="35060" spans="26:26" x14ac:dyDescent="0.25">
      <c r="Z35060"/>
    </row>
    <row r="35061" spans="26:26" x14ac:dyDescent="0.25">
      <c r="Z35061"/>
    </row>
    <row r="35062" spans="26:26" x14ac:dyDescent="0.25">
      <c r="Z35062"/>
    </row>
    <row r="35063" spans="26:26" x14ac:dyDescent="0.25">
      <c r="Z35063"/>
    </row>
    <row r="35064" spans="26:26" x14ac:dyDescent="0.25">
      <c r="Z35064"/>
    </row>
    <row r="35065" spans="26:26" x14ac:dyDescent="0.25">
      <c r="Z35065"/>
    </row>
    <row r="35066" spans="26:26" x14ac:dyDescent="0.25">
      <c r="Z35066"/>
    </row>
    <row r="35067" spans="26:26" x14ac:dyDescent="0.25">
      <c r="Z35067"/>
    </row>
    <row r="35068" spans="26:26" x14ac:dyDescent="0.25">
      <c r="Z35068"/>
    </row>
    <row r="35069" spans="26:26" x14ac:dyDescent="0.25">
      <c r="Z35069"/>
    </row>
    <row r="35070" spans="26:26" x14ac:dyDescent="0.25">
      <c r="Z35070"/>
    </row>
    <row r="35071" spans="26:26" x14ac:dyDescent="0.25">
      <c r="Z35071"/>
    </row>
    <row r="35072" spans="26:26" x14ac:dyDescent="0.25">
      <c r="Z35072"/>
    </row>
    <row r="35073" spans="26:26" x14ac:dyDescent="0.25">
      <c r="Z35073"/>
    </row>
    <row r="35074" spans="26:26" x14ac:dyDescent="0.25">
      <c r="Z35074"/>
    </row>
    <row r="35075" spans="26:26" x14ac:dyDescent="0.25">
      <c r="Z35075"/>
    </row>
    <row r="35076" spans="26:26" x14ac:dyDescent="0.25">
      <c r="Z35076"/>
    </row>
    <row r="35077" spans="26:26" x14ac:dyDescent="0.25">
      <c r="Z35077"/>
    </row>
    <row r="35078" spans="26:26" x14ac:dyDescent="0.25">
      <c r="Z35078"/>
    </row>
    <row r="35079" spans="26:26" x14ac:dyDescent="0.25">
      <c r="Z35079"/>
    </row>
    <row r="35080" spans="26:26" x14ac:dyDescent="0.25">
      <c r="Z35080"/>
    </row>
    <row r="35081" spans="26:26" x14ac:dyDescent="0.25">
      <c r="Z35081"/>
    </row>
    <row r="35082" spans="26:26" x14ac:dyDescent="0.25">
      <c r="Z35082"/>
    </row>
    <row r="35083" spans="26:26" x14ac:dyDescent="0.25">
      <c r="Z35083"/>
    </row>
    <row r="35084" spans="26:26" x14ac:dyDescent="0.25">
      <c r="Z35084"/>
    </row>
    <row r="35085" spans="26:26" x14ac:dyDescent="0.25">
      <c r="Z35085"/>
    </row>
    <row r="35086" spans="26:26" x14ac:dyDescent="0.25">
      <c r="Z35086"/>
    </row>
    <row r="35087" spans="26:26" x14ac:dyDescent="0.25">
      <c r="Z35087"/>
    </row>
    <row r="35088" spans="26:26" x14ac:dyDescent="0.25">
      <c r="Z35088"/>
    </row>
    <row r="35089" spans="26:26" x14ac:dyDescent="0.25">
      <c r="Z35089"/>
    </row>
    <row r="35090" spans="26:26" x14ac:dyDescent="0.25">
      <c r="Z35090"/>
    </row>
    <row r="35091" spans="26:26" x14ac:dyDescent="0.25">
      <c r="Z35091"/>
    </row>
    <row r="35092" spans="26:26" x14ac:dyDescent="0.25">
      <c r="Z35092"/>
    </row>
    <row r="35093" spans="26:26" x14ac:dyDescent="0.25">
      <c r="Z35093"/>
    </row>
    <row r="35094" spans="26:26" x14ac:dyDescent="0.25">
      <c r="Z35094"/>
    </row>
    <row r="35095" spans="26:26" x14ac:dyDescent="0.25">
      <c r="Z35095"/>
    </row>
    <row r="35096" spans="26:26" x14ac:dyDescent="0.25">
      <c r="Z35096"/>
    </row>
    <row r="35097" spans="26:26" x14ac:dyDescent="0.25">
      <c r="Z35097"/>
    </row>
    <row r="35098" spans="26:26" x14ac:dyDescent="0.25">
      <c r="Z35098"/>
    </row>
    <row r="35099" spans="26:26" x14ac:dyDescent="0.25">
      <c r="Z35099"/>
    </row>
    <row r="35100" spans="26:26" x14ac:dyDescent="0.25">
      <c r="Z35100"/>
    </row>
    <row r="35101" spans="26:26" x14ac:dyDescent="0.25">
      <c r="Z35101"/>
    </row>
    <row r="35102" spans="26:26" x14ac:dyDescent="0.25">
      <c r="Z35102"/>
    </row>
    <row r="35103" spans="26:26" x14ac:dyDescent="0.25">
      <c r="Z35103"/>
    </row>
    <row r="35104" spans="26:26" x14ac:dyDescent="0.25">
      <c r="Z35104"/>
    </row>
    <row r="35105" spans="26:26" x14ac:dyDescent="0.25">
      <c r="Z35105"/>
    </row>
    <row r="35106" spans="26:26" x14ac:dyDescent="0.25">
      <c r="Z35106"/>
    </row>
    <row r="35107" spans="26:26" x14ac:dyDescent="0.25">
      <c r="Z35107"/>
    </row>
    <row r="35108" spans="26:26" x14ac:dyDescent="0.25">
      <c r="Z35108"/>
    </row>
    <row r="35109" spans="26:26" x14ac:dyDescent="0.25">
      <c r="Z35109"/>
    </row>
    <row r="35110" spans="26:26" x14ac:dyDescent="0.25">
      <c r="Z35110"/>
    </row>
    <row r="35111" spans="26:26" x14ac:dyDescent="0.25">
      <c r="Z35111"/>
    </row>
    <row r="35112" spans="26:26" x14ac:dyDescent="0.25">
      <c r="Z35112"/>
    </row>
    <row r="35113" spans="26:26" x14ac:dyDescent="0.25">
      <c r="Z35113"/>
    </row>
    <row r="35114" spans="26:26" x14ac:dyDescent="0.25">
      <c r="Z35114"/>
    </row>
    <row r="35115" spans="26:26" x14ac:dyDescent="0.25">
      <c r="Z35115"/>
    </row>
    <row r="35116" spans="26:26" x14ac:dyDescent="0.25">
      <c r="Z35116"/>
    </row>
    <row r="35117" spans="26:26" x14ac:dyDescent="0.25">
      <c r="Z35117"/>
    </row>
    <row r="35118" spans="26:26" x14ac:dyDescent="0.25">
      <c r="Z35118"/>
    </row>
    <row r="35119" spans="26:26" x14ac:dyDescent="0.25">
      <c r="Z35119"/>
    </row>
    <row r="35120" spans="26:26" x14ac:dyDescent="0.25">
      <c r="Z35120"/>
    </row>
    <row r="35121" spans="26:26" x14ac:dyDescent="0.25">
      <c r="Z35121"/>
    </row>
    <row r="35122" spans="26:26" x14ac:dyDescent="0.25">
      <c r="Z35122"/>
    </row>
    <row r="35123" spans="26:26" x14ac:dyDescent="0.25">
      <c r="Z35123"/>
    </row>
    <row r="35124" spans="26:26" x14ac:dyDescent="0.25">
      <c r="Z35124"/>
    </row>
    <row r="35125" spans="26:26" x14ac:dyDescent="0.25">
      <c r="Z35125"/>
    </row>
    <row r="35126" spans="26:26" x14ac:dyDescent="0.25">
      <c r="Z35126"/>
    </row>
    <row r="35127" spans="26:26" x14ac:dyDescent="0.25">
      <c r="Z35127"/>
    </row>
    <row r="35128" spans="26:26" x14ac:dyDescent="0.25">
      <c r="Z35128"/>
    </row>
    <row r="35129" spans="26:26" x14ac:dyDescent="0.25">
      <c r="Z35129"/>
    </row>
    <row r="35130" spans="26:26" x14ac:dyDescent="0.25">
      <c r="Z35130"/>
    </row>
    <row r="35131" spans="26:26" x14ac:dyDescent="0.25">
      <c r="Z35131"/>
    </row>
    <row r="35132" spans="26:26" x14ac:dyDescent="0.25">
      <c r="Z35132"/>
    </row>
    <row r="35133" spans="26:26" x14ac:dyDescent="0.25">
      <c r="Z35133"/>
    </row>
    <row r="35134" spans="26:26" x14ac:dyDescent="0.25">
      <c r="Z35134"/>
    </row>
    <row r="35135" spans="26:26" x14ac:dyDescent="0.25">
      <c r="Z35135"/>
    </row>
    <row r="35136" spans="26:26" x14ac:dyDescent="0.25">
      <c r="Z35136"/>
    </row>
    <row r="35137" spans="26:26" x14ac:dyDescent="0.25">
      <c r="Z35137"/>
    </row>
    <row r="35138" spans="26:26" x14ac:dyDescent="0.25">
      <c r="Z35138"/>
    </row>
    <row r="35139" spans="26:26" x14ac:dyDescent="0.25">
      <c r="Z35139"/>
    </row>
    <row r="35140" spans="26:26" x14ac:dyDescent="0.25">
      <c r="Z35140"/>
    </row>
    <row r="35141" spans="26:26" x14ac:dyDescent="0.25">
      <c r="Z35141"/>
    </row>
    <row r="35142" spans="26:26" x14ac:dyDescent="0.25">
      <c r="Z35142"/>
    </row>
    <row r="35143" spans="26:26" x14ac:dyDescent="0.25">
      <c r="Z35143"/>
    </row>
    <row r="35144" spans="26:26" x14ac:dyDescent="0.25">
      <c r="Z35144"/>
    </row>
    <row r="35145" spans="26:26" x14ac:dyDescent="0.25">
      <c r="Z35145"/>
    </row>
    <row r="35146" spans="26:26" x14ac:dyDescent="0.25">
      <c r="Z35146"/>
    </row>
    <row r="35147" spans="26:26" x14ac:dyDescent="0.25">
      <c r="Z35147"/>
    </row>
    <row r="35148" spans="26:26" x14ac:dyDescent="0.25">
      <c r="Z35148"/>
    </row>
    <row r="35149" spans="26:26" x14ac:dyDescent="0.25">
      <c r="Z35149"/>
    </row>
    <row r="35150" spans="26:26" x14ac:dyDescent="0.25">
      <c r="Z35150"/>
    </row>
    <row r="35151" spans="26:26" x14ac:dyDescent="0.25">
      <c r="Z35151"/>
    </row>
    <row r="35152" spans="26:26" x14ac:dyDescent="0.25">
      <c r="Z35152"/>
    </row>
    <row r="35153" spans="26:26" x14ac:dyDescent="0.25">
      <c r="Z35153"/>
    </row>
    <row r="35154" spans="26:26" x14ac:dyDescent="0.25">
      <c r="Z35154"/>
    </row>
    <row r="35155" spans="26:26" x14ac:dyDescent="0.25">
      <c r="Z35155"/>
    </row>
    <row r="35156" spans="26:26" x14ac:dyDescent="0.25">
      <c r="Z35156"/>
    </row>
    <row r="35157" spans="26:26" x14ac:dyDescent="0.25">
      <c r="Z35157"/>
    </row>
    <row r="35158" spans="26:26" x14ac:dyDescent="0.25">
      <c r="Z35158"/>
    </row>
    <row r="35159" spans="26:26" x14ac:dyDescent="0.25">
      <c r="Z35159"/>
    </row>
    <row r="35160" spans="26:26" x14ac:dyDescent="0.25">
      <c r="Z35160"/>
    </row>
    <row r="35161" spans="26:26" x14ac:dyDescent="0.25">
      <c r="Z35161"/>
    </row>
    <row r="35162" spans="26:26" x14ac:dyDescent="0.25">
      <c r="Z35162"/>
    </row>
    <row r="35163" spans="26:26" x14ac:dyDescent="0.25">
      <c r="Z35163"/>
    </row>
    <row r="35164" spans="26:26" x14ac:dyDescent="0.25">
      <c r="Z35164"/>
    </row>
    <row r="35165" spans="26:26" x14ac:dyDescent="0.25">
      <c r="Z35165"/>
    </row>
    <row r="35166" spans="26:26" x14ac:dyDescent="0.25">
      <c r="Z35166"/>
    </row>
    <row r="35167" spans="26:26" x14ac:dyDescent="0.25">
      <c r="Z35167"/>
    </row>
    <row r="35168" spans="26:26" x14ac:dyDescent="0.25">
      <c r="Z35168"/>
    </row>
    <row r="35169" spans="26:26" x14ac:dyDescent="0.25">
      <c r="Z35169"/>
    </row>
    <row r="35170" spans="26:26" x14ac:dyDescent="0.25">
      <c r="Z35170"/>
    </row>
    <row r="35171" spans="26:26" x14ac:dyDescent="0.25">
      <c r="Z35171"/>
    </row>
    <row r="35172" spans="26:26" x14ac:dyDescent="0.25">
      <c r="Z35172"/>
    </row>
    <row r="35173" spans="26:26" x14ac:dyDescent="0.25">
      <c r="Z35173"/>
    </row>
    <row r="35174" spans="26:26" x14ac:dyDescent="0.25">
      <c r="Z35174"/>
    </row>
    <row r="35175" spans="26:26" x14ac:dyDescent="0.25">
      <c r="Z35175"/>
    </row>
    <row r="35176" spans="26:26" x14ac:dyDescent="0.25">
      <c r="Z35176"/>
    </row>
    <row r="35177" spans="26:26" x14ac:dyDescent="0.25">
      <c r="Z35177"/>
    </row>
    <row r="35178" spans="26:26" x14ac:dyDescent="0.25">
      <c r="Z35178"/>
    </row>
    <row r="35179" spans="26:26" x14ac:dyDescent="0.25">
      <c r="Z35179"/>
    </row>
    <row r="35180" spans="26:26" x14ac:dyDescent="0.25">
      <c r="Z35180"/>
    </row>
    <row r="35181" spans="26:26" x14ac:dyDescent="0.25">
      <c r="Z35181"/>
    </row>
    <row r="35182" spans="26:26" x14ac:dyDescent="0.25">
      <c r="Z35182"/>
    </row>
    <row r="35183" spans="26:26" x14ac:dyDescent="0.25">
      <c r="Z35183"/>
    </row>
    <row r="35184" spans="26:26" x14ac:dyDescent="0.25">
      <c r="Z35184"/>
    </row>
    <row r="35185" spans="26:26" x14ac:dyDescent="0.25">
      <c r="Z35185"/>
    </row>
    <row r="35186" spans="26:26" x14ac:dyDescent="0.25">
      <c r="Z35186"/>
    </row>
    <row r="35187" spans="26:26" x14ac:dyDescent="0.25">
      <c r="Z35187"/>
    </row>
    <row r="35188" spans="26:26" x14ac:dyDescent="0.25">
      <c r="Z35188"/>
    </row>
    <row r="35189" spans="26:26" x14ac:dyDescent="0.25">
      <c r="Z35189"/>
    </row>
    <row r="35190" spans="26:26" x14ac:dyDescent="0.25">
      <c r="Z35190"/>
    </row>
    <row r="35191" spans="26:26" x14ac:dyDescent="0.25">
      <c r="Z35191"/>
    </row>
    <row r="35192" spans="26:26" x14ac:dyDescent="0.25">
      <c r="Z35192"/>
    </row>
    <row r="35193" spans="26:26" x14ac:dyDescent="0.25">
      <c r="Z35193"/>
    </row>
    <row r="35194" spans="26:26" x14ac:dyDescent="0.25">
      <c r="Z35194"/>
    </row>
    <row r="35195" spans="26:26" x14ac:dyDescent="0.25">
      <c r="Z35195"/>
    </row>
    <row r="35196" spans="26:26" x14ac:dyDescent="0.25">
      <c r="Z35196"/>
    </row>
    <row r="35197" spans="26:26" x14ac:dyDescent="0.25">
      <c r="Z35197"/>
    </row>
    <row r="35198" spans="26:26" x14ac:dyDescent="0.25">
      <c r="Z35198"/>
    </row>
    <row r="35199" spans="26:26" x14ac:dyDescent="0.25">
      <c r="Z35199"/>
    </row>
    <row r="35200" spans="26:26" x14ac:dyDescent="0.25">
      <c r="Z35200"/>
    </row>
    <row r="35201" spans="26:26" x14ac:dyDescent="0.25">
      <c r="Z35201"/>
    </row>
    <row r="35202" spans="26:26" x14ac:dyDescent="0.25">
      <c r="Z35202"/>
    </row>
    <row r="35203" spans="26:26" x14ac:dyDescent="0.25">
      <c r="Z35203"/>
    </row>
    <row r="35204" spans="26:26" x14ac:dyDescent="0.25">
      <c r="Z35204"/>
    </row>
    <row r="35205" spans="26:26" x14ac:dyDescent="0.25">
      <c r="Z35205"/>
    </row>
    <row r="35206" spans="26:26" x14ac:dyDescent="0.25">
      <c r="Z35206"/>
    </row>
    <row r="35207" spans="26:26" x14ac:dyDescent="0.25">
      <c r="Z35207"/>
    </row>
    <row r="35208" spans="26:26" x14ac:dyDescent="0.25">
      <c r="Z35208"/>
    </row>
    <row r="35209" spans="26:26" x14ac:dyDescent="0.25">
      <c r="Z35209"/>
    </row>
    <row r="35210" spans="26:26" x14ac:dyDescent="0.25">
      <c r="Z35210"/>
    </row>
    <row r="35211" spans="26:26" x14ac:dyDescent="0.25">
      <c r="Z35211"/>
    </row>
    <row r="35212" spans="26:26" x14ac:dyDescent="0.25">
      <c r="Z35212"/>
    </row>
    <row r="35213" spans="26:26" x14ac:dyDescent="0.25">
      <c r="Z35213"/>
    </row>
    <row r="35214" spans="26:26" x14ac:dyDescent="0.25">
      <c r="Z35214"/>
    </row>
    <row r="35215" spans="26:26" x14ac:dyDescent="0.25">
      <c r="Z35215"/>
    </row>
    <row r="35216" spans="26:26" x14ac:dyDescent="0.25">
      <c r="Z35216"/>
    </row>
    <row r="35217" spans="26:26" x14ac:dyDescent="0.25">
      <c r="Z35217"/>
    </row>
    <row r="35218" spans="26:26" x14ac:dyDescent="0.25">
      <c r="Z35218"/>
    </row>
    <row r="35219" spans="26:26" x14ac:dyDescent="0.25">
      <c r="Z35219"/>
    </row>
    <row r="35220" spans="26:26" x14ac:dyDescent="0.25">
      <c r="Z35220"/>
    </row>
    <row r="35221" spans="26:26" x14ac:dyDescent="0.25">
      <c r="Z35221"/>
    </row>
    <row r="35222" spans="26:26" x14ac:dyDescent="0.25">
      <c r="Z35222"/>
    </row>
    <row r="35223" spans="26:26" x14ac:dyDescent="0.25">
      <c r="Z35223"/>
    </row>
    <row r="35224" spans="26:26" x14ac:dyDescent="0.25">
      <c r="Z35224"/>
    </row>
    <row r="35225" spans="26:26" x14ac:dyDescent="0.25">
      <c r="Z35225"/>
    </row>
    <row r="35226" spans="26:26" x14ac:dyDescent="0.25">
      <c r="Z35226"/>
    </row>
    <row r="35227" spans="26:26" x14ac:dyDescent="0.25">
      <c r="Z35227"/>
    </row>
    <row r="35228" spans="26:26" x14ac:dyDescent="0.25">
      <c r="Z35228"/>
    </row>
    <row r="35229" spans="26:26" x14ac:dyDescent="0.25">
      <c r="Z35229"/>
    </row>
    <row r="35230" spans="26:26" x14ac:dyDescent="0.25">
      <c r="Z35230"/>
    </row>
    <row r="35231" spans="26:26" x14ac:dyDescent="0.25">
      <c r="Z35231"/>
    </row>
    <row r="35232" spans="26:26" x14ac:dyDescent="0.25">
      <c r="Z35232"/>
    </row>
    <row r="35233" spans="26:26" x14ac:dyDescent="0.25">
      <c r="Z35233"/>
    </row>
    <row r="35234" spans="26:26" x14ac:dyDescent="0.25">
      <c r="Z35234"/>
    </row>
    <row r="35235" spans="26:26" x14ac:dyDescent="0.25">
      <c r="Z35235"/>
    </row>
    <row r="35236" spans="26:26" x14ac:dyDescent="0.25">
      <c r="Z35236"/>
    </row>
    <row r="35237" spans="26:26" x14ac:dyDescent="0.25">
      <c r="Z35237"/>
    </row>
    <row r="35238" spans="26:26" x14ac:dyDescent="0.25">
      <c r="Z35238"/>
    </row>
    <row r="35239" spans="26:26" x14ac:dyDescent="0.25">
      <c r="Z35239"/>
    </row>
    <row r="35240" spans="26:26" x14ac:dyDescent="0.25">
      <c r="Z35240"/>
    </row>
    <row r="35241" spans="26:26" x14ac:dyDescent="0.25">
      <c r="Z35241"/>
    </row>
    <row r="35242" spans="26:26" x14ac:dyDescent="0.25">
      <c r="Z35242"/>
    </row>
    <row r="35243" spans="26:26" x14ac:dyDescent="0.25">
      <c r="Z35243"/>
    </row>
    <row r="35244" spans="26:26" x14ac:dyDescent="0.25">
      <c r="Z35244"/>
    </row>
    <row r="35245" spans="26:26" x14ac:dyDescent="0.25">
      <c r="Z35245"/>
    </row>
    <row r="35246" spans="26:26" x14ac:dyDescent="0.25">
      <c r="Z35246"/>
    </row>
    <row r="35247" spans="26:26" x14ac:dyDescent="0.25">
      <c r="Z35247"/>
    </row>
    <row r="35248" spans="26:26" x14ac:dyDescent="0.25">
      <c r="Z35248"/>
    </row>
    <row r="35249" spans="26:26" x14ac:dyDescent="0.25">
      <c r="Z35249"/>
    </row>
    <row r="35250" spans="26:26" x14ac:dyDescent="0.25">
      <c r="Z35250"/>
    </row>
    <row r="35251" spans="26:26" x14ac:dyDescent="0.25">
      <c r="Z35251"/>
    </row>
    <row r="35252" spans="26:26" x14ac:dyDescent="0.25">
      <c r="Z35252"/>
    </row>
    <row r="35253" spans="26:26" x14ac:dyDescent="0.25">
      <c r="Z35253"/>
    </row>
    <row r="35254" spans="26:26" x14ac:dyDescent="0.25">
      <c r="Z35254"/>
    </row>
    <row r="35255" spans="26:26" x14ac:dyDescent="0.25">
      <c r="Z35255"/>
    </row>
    <row r="35256" spans="26:26" x14ac:dyDescent="0.25">
      <c r="Z35256"/>
    </row>
    <row r="35257" spans="26:26" x14ac:dyDescent="0.25">
      <c r="Z35257"/>
    </row>
    <row r="35258" spans="26:26" x14ac:dyDescent="0.25">
      <c r="Z35258"/>
    </row>
    <row r="35259" spans="26:26" x14ac:dyDescent="0.25">
      <c r="Z35259"/>
    </row>
    <row r="35260" spans="26:26" x14ac:dyDescent="0.25">
      <c r="Z35260"/>
    </row>
    <row r="35261" spans="26:26" x14ac:dyDescent="0.25">
      <c r="Z35261"/>
    </row>
    <row r="35262" spans="26:26" x14ac:dyDescent="0.25">
      <c r="Z35262"/>
    </row>
    <row r="35263" spans="26:26" x14ac:dyDescent="0.25">
      <c r="Z35263"/>
    </row>
    <row r="35264" spans="26:26" x14ac:dyDescent="0.25">
      <c r="Z35264"/>
    </row>
    <row r="35265" spans="26:26" x14ac:dyDescent="0.25">
      <c r="Z35265"/>
    </row>
    <row r="35266" spans="26:26" x14ac:dyDescent="0.25">
      <c r="Z35266"/>
    </row>
    <row r="35267" spans="26:26" x14ac:dyDescent="0.25">
      <c r="Z35267"/>
    </row>
    <row r="35268" spans="26:26" x14ac:dyDescent="0.25">
      <c r="Z35268"/>
    </row>
    <row r="35269" spans="26:26" x14ac:dyDescent="0.25">
      <c r="Z35269"/>
    </row>
    <row r="35270" spans="26:26" x14ac:dyDescent="0.25">
      <c r="Z35270"/>
    </row>
    <row r="35271" spans="26:26" x14ac:dyDescent="0.25">
      <c r="Z35271"/>
    </row>
    <row r="35272" spans="26:26" x14ac:dyDescent="0.25">
      <c r="Z35272"/>
    </row>
    <row r="35273" spans="26:26" x14ac:dyDescent="0.25">
      <c r="Z35273"/>
    </row>
    <row r="35274" spans="26:26" x14ac:dyDescent="0.25">
      <c r="Z35274"/>
    </row>
    <row r="35275" spans="26:26" x14ac:dyDescent="0.25">
      <c r="Z35275"/>
    </row>
    <row r="35276" spans="26:26" x14ac:dyDescent="0.25">
      <c r="Z35276"/>
    </row>
    <row r="35277" spans="26:26" x14ac:dyDescent="0.25">
      <c r="Z35277"/>
    </row>
    <row r="35278" spans="26:26" x14ac:dyDescent="0.25">
      <c r="Z35278"/>
    </row>
    <row r="35279" spans="26:26" x14ac:dyDescent="0.25">
      <c r="Z35279"/>
    </row>
    <row r="35280" spans="26:26" x14ac:dyDescent="0.25">
      <c r="Z35280"/>
    </row>
    <row r="35281" spans="26:26" x14ac:dyDescent="0.25">
      <c r="Z35281"/>
    </row>
    <row r="35282" spans="26:26" x14ac:dyDescent="0.25">
      <c r="Z35282"/>
    </row>
    <row r="35283" spans="26:26" x14ac:dyDescent="0.25">
      <c r="Z35283"/>
    </row>
    <row r="35284" spans="26:26" x14ac:dyDescent="0.25">
      <c r="Z35284"/>
    </row>
    <row r="35285" spans="26:26" x14ac:dyDescent="0.25">
      <c r="Z35285"/>
    </row>
    <row r="35286" spans="26:26" x14ac:dyDescent="0.25">
      <c r="Z35286"/>
    </row>
    <row r="35287" spans="26:26" x14ac:dyDescent="0.25">
      <c r="Z35287"/>
    </row>
    <row r="35288" spans="26:26" x14ac:dyDescent="0.25">
      <c r="Z35288"/>
    </row>
    <row r="35289" spans="26:26" x14ac:dyDescent="0.25">
      <c r="Z35289"/>
    </row>
    <row r="35290" spans="26:26" x14ac:dyDescent="0.25">
      <c r="Z35290"/>
    </row>
    <row r="35291" spans="26:26" x14ac:dyDescent="0.25">
      <c r="Z35291"/>
    </row>
    <row r="35292" spans="26:26" x14ac:dyDescent="0.25">
      <c r="Z35292"/>
    </row>
    <row r="35293" spans="26:26" x14ac:dyDescent="0.25">
      <c r="Z35293"/>
    </row>
    <row r="35294" spans="26:26" x14ac:dyDescent="0.25">
      <c r="Z35294"/>
    </row>
    <row r="35295" spans="26:26" x14ac:dyDescent="0.25">
      <c r="Z35295"/>
    </row>
    <row r="35296" spans="26:26" x14ac:dyDescent="0.25">
      <c r="Z35296"/>
    </row>
    <row r="35297" spans="26:26" x14ac:dyDescent="0.25">
      <c r="Z35297"/>
    </row>
    <row r="35298" spans="26:26" x14ac:dyDescent="0.25">
      <c r="Z35298"/>
    </row>
    <row r="35299" spans="26:26" x14ac:dyDescent="0.25">
      <c r="Z35299"/>
    </row>
    <row r="35300" spans="26:26" x14ac:dyDescent="0.25">
      <c r="Z35300"/>
    </row>
    <row r="35301" spans="26:26" x14ac:dyDescent="0.25">
      <c r="Z35301"/>
    </row>
    <row r="35302" spans="26:26" x14ac:dyDescent="0.25">
      <c r="Z35302"/>
    </row>
    <row r="35303" spans="26:26" x14ac:dyDescent="0.25">
      <c r="Z35303"/>
    </row>
    <row r="35304" spans="26:26" x14ac:dyDescent="0.25">
      <c r="Z35304"/>
    </row>
    <row r="35305" spans="26:26" x14ac:dyDescent="0.25">
      <c r="Z35305"/>
    </row>
    <row r="35306" spans="26:26" x14ac:dyDescent="0.25">
      <c r="Z35306"/>
    </row>
    <row r="35307" spans="26:26" x14ac:dyDescent="0.25">
      <c r="Z35307"/>
    </row>
    <row r="35308" spans="26:26" x14ac:dyDescent="0.25">
      <c r="Z35308"/>
    </row>
    <row r="35309" spans="26:26" x14ac:dyDescent="0.25">
      <c r="Z35309"/>
    </row>
    <row r="35310" spans="26:26" x14ac:dyDescent="0.25">
      <c r="Z35310"/>
    </row>
    <row r="35311" spans="26:26" x14ac:dyDescent="0.25">
      <c r="Z35311"/>
    </row>
    <row r="35312" spans="26:26" x14ac:dyDescent="0.25">
      <c r="Z35312"/>
    </row>
    <row r="35313" spans="26:26" x14ac:dyDescent="0.25">
      <c r="Z35313"/>
    </row>
    <row r="35314" spans="26:26" x14ac:dyDescent="0.25">
      <c r="Z35314"/>
    </row>
    <row r="35315" spans="26:26" x14ac:dyDescent="0.25">
      <c r="Z35315"/>
    </row>
    <row r="35316" spans="26:26" x14ac:dyDescent="0.25">
      <c r="Z35316"/>
    </row>
    <row r="35317" spans="26:26" x14ac:dyDescent="0.25">
      <c r="Z35317"/>
    </row>
    <row r="35318" spans="26:26" x14ac:dyDescent="0.25">
      <c r="Z35318"/>
    </row>
    <row r="35319" spans="26:26" x14ac:dyDescent="0.25">
      <c r="Z35319"/>
    </row>
    <row r="35320" spans="26:26" x14ac:dyDescent="0.25">
      <c r="Z35320"/>
    </row>
    <row r="35321" spans="26:26" x14ac:dyDescent="0.25">
      <c r="Z35321"/>
    </row>
    <row r="35322" spans="26:26" x14ac:dyDescent="0.25">
      <c r="Z35322"/>
    </row>
    <row r="35323" spans="26:26" x14ac:dyDescent="0.25">
      <c r="Z35323"/>
    </row>
    <row r="35324" spans="26:26" x14ac:dyDescent="0.25">
      <c r="Z35324"/>
    </row>
    <row r="35325" spans="26:26" x14ac:dyDescent="0.25">
      <c r="Z35325"/>
    </row>
    <row r="35326" spans="26:26" x14ac:dyDescent="0.25">
      <c r="Z35326"/>
    </row>
    <row r="35327" spans="26:26" x14ac:dyDescent="0.25">
      <c r="Z35327"/>
    </row>
    <row r="35328" spans="26:26" x14ac:dyDescent="0.25">
      <c r="Z35328"/>
    </row>
    <row r="35329" spans="26:26" x14ac:dyDescent="0.25">
      <c r="Z35329"/>
    </row>
    <row r="35330" spans="26:26" x14ac:dyDescent="0.25">
      <c r="Z35330"/>
    </row>
    <row r="35331" spans="26:26" x14ac:dyDescent="0.25">
      <c r="Z35331"/>
    </row>
    <row r="35332" spans="26:26" x14ac:dyDescent="0.25">
      <c r="Z35332"/>
    </row>
    <row r="35333" spans="26:26" x14ac:dyDescent="0.25">
      <c r="Z35333"/>
    </row>
    <row r="35334" spans="26:26" x14ac:dyDescent="0.25">
      <c r="Z35334"/>
    </row>
    <row r="35335" spans="26:26" x14ac:dyDescent="0.25">
      <c r="Z35335"/>
    </row>
    <row r="35336" spans="26:26" x14ac:dyDescent="0.25">
      <c r="Z35336"/>
    </row>
    <row r="35337" spans="26:26" x14ac:dyDescent="0.25">
      <c r="Z35337"/>
    </row>
    <row r="35338" spans="26:26" x14ac:dyDescent="0.25">
      <c r="Z35338"/>
    </row>
    <row r="35339" spans="26:26" x14ac:dyDescent="0.25">
      <c r="Z35339"/>
    </row>
    <row r="35340" spans="26:26" x14ac:dyDescent="0.25">
      <c r="Z35340"/>
    </row>
    <row r="35341" spans="26:26" x14ac:dyDescent="0.25">
      <c r="Z35341"/>
    </row>
    <row r="35342" spans="26:26" x14ac:dyDescent="0.25">
      <c r="Z35342"/>
    </row>
    <row r="35343" spans="26:26" x14ac:dyDescent="0.25">
      <c r="Z35343"/>
    </row>
    <row r="35344" spans="26:26" x14ac:dyDescent="0.25">
      <c r="Z35344"/>
    </row>
    <row r="35345" spans="26:26" x14ac:dyDescent="0.25">
      <c r="Z35345"/>
    </row>
    <row r="35346" spans="26:26" x14ac:dyDescent="0.25">
      <c r="Z35346"/>
    </row>
    <row r="35347" spans="26:26" x14ac:dyDescent="0.25">
      <c r="Z35347"/>
    </row>
    <row r="35348" spans="26:26" x14ac:dyDescent="0.25">
      <c r="Z35348"/>
    </row>
    <row r="35349" spans="26:26" x14ac:dyDescent="0.25">
      <c r="Z35349"/>
    </row>
    <row r="35350" spans="26:26" x14ac:dyDescent="0.25">
      <c r="Z35350"/>
    </row>
    <row r="35351" spans="26:26" x14ac:dyDescent="0.25">
      <c r="Z35351"/>
    </row>
    <row r="35352" spans="26:26" x14ac:dyDescent="0.25">
      <c r="Z35352"/>
    </row>
    <row r="35353" spans="26:26" x14ac:dyDescent="0.25">
      <c r="Z35353"/>
    </row>
    <row r="35354" spans="26:26" x14ac:dyDescent="0.25">
      <c r="Z35354"/>
    </row>
    <row r="35355" spans="26:26" x14ac:dyDescent="0.25">
      <c r="Z35355"/>
    </row>
    <row r="35356" spans="26:26" x14ac:dyDescent="0.25">
      <c r="Z35356"/>
    </row>
    <row r="35357" spans="26:26" x14ac:dyDescent="0.25">
      <c r="Z35357"/>
    </row>
    <row r="35358" spans="26:26" x14ac:dyDescent="0.25">
      <c r="Z35358"/>
    </row>
    <row r="35359" spans="26:26" x14ac:dyDescent="0.25">
      <c r="Z35359"/>
    </row>
    <row r="35360" spans="26:26" x14ac:dyDescent="0.25">
      <c r="Z35360"/>
    </row>
    <row r="35361" spans="26:26" x14ac:dyDescent="0.25">
      <c r="Z35361"/>
    </row>
    <row r="35362" spans="26:26" x14ac:dyDescent="0.25">
      <c r="Z35362"/>
    </row>
    <row r="35363" spans="26:26" x14ac:dyDescent="0.25">
      <c r="Z35363"/>
    </row>
    <row r="35364" spans="26:26" x14ac:dyDescent="0.25">
      <c r="Z35364"/>
    </row>
    <row r="35365" spans="26:26" x14ac:dyDescent="0.25">
      <c r="Z35365"/>
    </row>
    <row r="35366" spans="26:26" x14ac:dyDescent="0.25">
      <c r="Z35366"/>
    </row>
    <row r="35367" spans="26:26" x14ac:dyDescent="0.25">
      <c r="Z35367"/>
    </row>
    <row r="35368" spans="26:26" x14ac:dyDescent="0.25">
      <c r="Z35368"/>
    </row>
    <row r="35369" spans="26:26" x14ac:dyDescent="0.25">
      <c r="Z35369"/>
    </row>
    <row r="35370" spans="26:26" x14ac:dyDescent="0.25">
      <c r="Z35370"/>
    </row>
    <row r="35371" spans="26:26" x14ac:dyDescent="0.25">
      <c r="Z35371"/>
    </row>
    <row r="35372" spans="26:26" x14ac:dyDescent="0.25">
      <c r="Z35372"/>
    </row>
    <row r="35373" spans="26:26" x14ac:dyDescent="0.25">
      <c r="Z35373"/>
    </row>
    <row r="35374" spans="26:26" x14ac:dyDescent="0.25">
      <c r="Z35374"/>
    </row>
    <row r="35375" spans="26:26" x14ac:dyDescent="0.25">
      <c r="Z35375"/>
    </row>
    <row r="35376" spans="26:26" x14ac:dyDescent="0.25">
      <c r="Z35376"/>
    </row>
    <row r="35377" spans="26:26" x14ac:dyDescent="0.25">
      <c r="Z35377"/>
    </row>
    <row r="35378" spans="26:26" x14ac:dyDescent="0.25">
      <c r="Z35378"/>
    </row>
    <row r="35379" spans="26:26" x14ac:dyDescent="0.25">
      <c r="Z35379"/>
    </row>
    <row r="35380" spans="26:26" x14ac:dyDescent="0.25">
      <c r="Z35380"/>
    </row>
    <row r="35381" spans="26:26" x14ac:dyDescent="0.25">
      <c r="Z35381"/>
    </row>
    <row r="35382" spans="26:26" x14ac:dyDescent="0.25">
      <c r="Z35382"/>
    </row>
    <row r="35383" spans="26:26" x14ac:dyDescent="0.25">
      <c r="Z35383"/>
    </row>
    <row r="35384" spans="26:26" x14ac:dyDescent="0.25">
      <c r="Z35384"/>
    </row>
    <row r="35385" spans="26:26" x14ac:dyDescent="0.25">
      <c r="Z35385"/>
    </row>
    <row r="35386" spans="26:26" x14ac:dyDescent="0.25">
      <c r="Z35386"/>
    </row>
    <row r="35387" spans="26:26" x14ac:dyDescent="0.25">
      <c r="Z35387"/>
    </row>
    <row r="35388" spans="26:26" x14ac:dyDescent="0.25">
      <c r="Z35388"/>
    </row>
    <row r="35389" spans="26:26" x14ac:dyDescent="0.25">
      <c r="Z35389"/>
    </row>
    <row r="35390" spans="26:26" x14ac:dyDescent="0.25">
      <c r="Z35390"/>
    </row>
    <row r="35391" spans="26:26" x14ac:dyDescent="0.25">
      <c r="Z35391"/>
    </row>
    <row r="35392" spans="26:26" x14ac:dyDescent="0.25">
      <c r="Z35392"/>
    </row>
    <row r="35393" spans="26:26" x14ac:dyDescent="0.25">
      <c r="Z35393"/>
    </row>
    <row r="35394" spans="26:26" x14ac:dyDescent="0.25">
      <c r="Z35394"/>
    </row>
    <row r="35395" spans="26:26" x14ac:dyDescent="0.25">
      <c r="Z35395"/>
    </row>
    <row r="35396" spans="26:26" x14ac:dyDescent="0.25">
      <c r="Z35396"/>
    </row>
    <row r="35397" spans="26:26" x14ac:dyDescent="0.25">
      <c r="Z35397"/>
    </row>
    <row r="35398" spans="26:26" x14ac:dyDescent="0.25">
      <c r="Z35398"/>
    </row>
    <row r="35399" spans="26:26" x14ac:dyDescent="0.25">
      <c r="Z35399"/>
    </row>
    <row r="35400" spans="26:26" x14ac:dyDescent="0.25">
      <c r="Z35400"/>
    </row>
    <row r="35401" spans="26:26" x14ac:dyDescent="0.25">
      <c r="Z35401"/>
    </row>
    <row r="35402" spans="26:26" x14ac:dyDescent="0.25">
      <c r="Z35402"/>
    </row>
    <row r="35403" spans="26:26" x14ac:dyDescent="0.25">
      <c r="Z35403"/>
    </row>
    <row r="35404" spans="26:26" x14ac:dyDescent="0.25">
      <c r="Z35404"/>
    </row>
    <row r="35405" spans="26:26" x14ac:dyDescent="0.25">
      <c r="Z35405"/>
    </row>
    <row r="35406" spans="26:26" x14ac:dyDescent="0.25">
      <c r="Z35406"/>
    </row>
    <row r="35407" spans="26:26" x14ac:dyDescent="0.25">
      <c r="Z35407"/>
    </row>
    <row r="35408" spans="26:26" x14ac:dyDescent="0.25">
      <c r="Z35408"/>
    </row>
    <row r="35409" spans="26:26" x14ac:dyDescent="0.25">
      <c r="Z35409"/>
    </row>
    <row r="35410" spans="26:26" x14ac:dyDescent="0.25">
      <c r="Z35410"/>
    </row>
    <row r="35411" spans="26:26" x14ac:dyDescent="0.25">
      <c r="Z35411"/>
    </row>
    <row r="35412" spans="26:26" x14ac:dyDescent="0.25">
      <c r="Z35412"/>
    </row>
    <row r="35413" spans="26:26" x14ac:dyDescent="0.25">
      <c r="Z35413"/>
    </row>
    <row r="35414" spans="26:26" x14ac:dyDescent="0.25">
      <c r="Z35414"/>
    </row>
    <row r="35415" spans="26:26" x14ac:dyDescent="0.25">
      <c r="Z35415"/>
    </row>
    <row r="35416" spans="26:26" x14ac:dyDescent="0.25">
      <c r="Z35416"/>
    </row>
    <row r="35417" spans="26:26" x14ac:dyDescent="0.25">
      <c r="Z35417"/>
    </row>
    <row r="35418" spans="26:26" x14ac:dyDescent="0.25">
      <c r="Z35418"/>
    </row>
    <row r="35419" spans="26:26" x14ac:dyDescent="0.25">
      <c r="Z35419"/>
    </row>
    <row r="35420" spans="26:26" x14ac:dyDescent="0.25">
      <c r="Z35420"/>
    </row>
    <row r="35421" spans="26:26" x14ac:dyDescent="0.25">
      <c r="Z35421"/>
    </row>
    <row r="35422" spans="26:26" x14ac:dyDescent="0.25">
      <c r="Z35422"/>
    </row>
    <row r="35423" spans="26:26" x14ac:dyDescent="0.25">
      <c r="Z35423"/>
    </row>
    <row r="35424" spans="26:26" x14ac:dyDescent="0.25">
      <c r="Z35424"/>
    </row>
    <row r="35425" spans="26:26" x14ac:dyDescent="0.25">
      <c r="Z35425"/>
    </row>
    <row r="35426" spans="26:26" x14ac:dyDescent="0.25">
      <c r="Z35426"/>
    </row>
    <row r="35427" spans="26:26" x14ac:dyDescent="0.25">
      <c r="Z35427"/>
    </row>
    <row r="35428" spans="26:26" x14ac:dyDescent="0.25">
      <c r="Z35428"/>
    </row>
    <row r="35429" spans="26:26" x14ac:dyDescent="0.25">
      <c r="Z35429"/>
    </row>
    <row r="35430" spans="26:26" x14ac:dyDescent="0.25">
      <c r="Z35430"/>
    </row>
    <row r="35431" spans="26:26" x14ac:dyDescent="0.25">
      <c r="Z35431"/>
    </row>
    <row r="35432" spans="26:26" x14ac:dyDescent="0.25">
      <c r="Z35432"/>
    </row>
    <row r="35433" spans="26:26" x14ac:dyDescent="0.25">
      <c r="Z35433"/>
    </row>
    <row r="35434" spans="26:26" x14ac:dyDescent="0.25">
      <c r="Z35434"/>
    </row>
    <row r="35435" spans="26:26" x14ac:dyDescent="0.25">
      <c r="Z35435"/>
    </row>
    <row r="35436" spans="26:26" x14ac:dyDescent="0.25">
      <c r="Z35436"/>
    </row>
    <row r="35437" spans="26:26" x14ac:dyDescent="0.25">
      <c r="Z35437"/>
    </row>
    <row r="35438" spans="26:26" x14ac:dyDescent="0.25">
      <c r="Z35438"/>
    </row>
    <row r="35439" spans="26:26" x14ac:dyDescent="0.25">
      <c r="Z35439"/>
    </row>
    <row r="35440" spans="26:26" x14ac:dyDescent="0.25">
      <c r="Z35440"/>
    </row>
    <row r="35441" spans="26:26" x14ac:dyDescent="0.25">
      <c r="Z35441"/>
    </row>
    <row r="35442" spans="26:26" x14ac:dyDescent="0.25">
      <c r="Z35442"/>
    </row>
    <row r="35443" spans="26:26" x14ac:dyDescent="0.25">
      <c r="Z35443"/>
    </row>
    <row r="35444" spans="26:26" x14ac:dyDescent="0.25">
      <c r="Z35444"/>
    </row>
    <row r="35445" spans="26:26" x14ac:dyDescent="0.25">
      <c r="Z35445"/>
    </row>
    <row r="35446" spans="26:26" x14ac:dyDescent="0.25">
      <c r="Z35446"/>
    </row>
    <row r="35447" spans="26:26" x14ac:dyDescent="0.25">
      <c r="Z35447"/>
    </row>
    <row r="35448" spans="26:26" x14ac:dyDescent="0.25">
      <c r="Z35448"/>
    </row>
    <row r="35449" spans="26:26" x14ac:dyDescent="0.25">
      <c r="Z35449"/>
    </row>
    <row r="35450" spans="26:26" x14ac:dyDescent="0.25">
      <c r="Z35450"/>
    </row>
    <row r="35451" spans="26:26" x14ac:dyDescent="0.25">
      <c r="Z35451"/>
    </row>
    <row r="35452" spans="26:26" x14ac:dyDescent="0.25">
      <c r="Z35452"/>
    </row>
    <row r="35453" spans="26:26" x14ac:dyDescent="0.25">
      <c r="Z35453"/>
    </row>
    <row r="35454" spans="26:26" x14ac:dyDescent="0.25">
      <c r="Z35454"/>
    </row>
    <row r="35455" spans="26:26" x14ac:dyDescent="0.25">
      <c r="Z35455"/>
    </row>
    <row r="35456" spans="26:26" x14ac:dyDescent="0.25">
      <c r="Z35456"/>
    </row>
    <row r="35457" spans="26:26" x14ac:dyDescent="0.25">
      <c r="Z35457"/>
    </row>
    <row r="35458" spans="26:26" x14ac:dyDescent="0.25">
      <c r="Z35458"/>
    </row>
    <row r="35459" spans="26:26" x14ac:dyDescent="0.25">
      <c r="Z35459"/>
    </row>
    <row r="35460" spans="26:26" x14ac:dyDescent="0.25">
      <c r="Z35460"/>
    </row>
    <row r="35461" spans="26:26" x14ac:dyDescent="0.25">
      <c r="Z35461"/>
    </row>
    <row r="35462" spans="26:26" x14ac:dyDescent="0.25">
      <c r="Z35462"/>
    </row>
    <row r="35463" spans="26:26" x14ac:dyDescent="0.25">
      <c r="Z35463"/>
    </row>
    <row r="35464" spans="26:26" x14ac:dyDescent="0.25">
      <c r="Z35464"/>
    </row>
    <row r="35465" spans="26:26" x14ac:dyDescent="0.25">
      <c r="Z35465"/>
    </row>
    <row r="35466" spans="26:26" x14ac:dyDescent="0.25">
      <c r="Z35466"/>
    </row>
    <row r="35467" spans="26:26" x14ac:dyDescent="0.25">
      <c r="Z35467"/>
    </row>
    <row r="35468" spans="26:26" x14ac:dyDescent="0.25">
      <c r="Z35468"/>
    </row>
    <row r="35469" spans="26:26" x14ac:dyDescent="0.25">
      <c r="Z35469"/>
    </row>
    <row r="35470" spans="26:26" x14ac:dyDescent="0.25">
      <c r="Z35470"/>
    </row>
    <row r="35471" spans="26:26" x14ac:dyDescent="0.25">
      <c r="Z35471"/>
    </row>
    <row r="35472" spans="26:26" x14ac:dyDescent="0.25">
      <c r="Z35472"/>
    </row>
    <row r="35473" spans="26:26" x14ac:dyDescent="0.25">
      <c r="Z35473"/>
    </row>
    <row r="35474" spans="26:26" x14ac:dyDescent="0.25">
      <c r="Z35474"/>
    </row>
    <row r="35475" spans="26:26" x14ac:dyDescent="0.25">
      <c r="Z35475"/>
    </row>
    <row r="35476" spans="26:26" x14ac:dyDescent="0.25">
      <c r="Z35476"/>
    </row>
    <row r="35477" spans="26:26" x14ac:dyDescent="0.25">
      <c r="Z35477"/>
    </row>
    <row r="35478" spans="26:26" x14ac:dyDescent="0.25">
      <c r="Z35478"/>
    </row>
    <row r="35479" spans="26:26" x14ac:dyDescent="0.25">
      <c r="Z35479"/>
    </row>
    <row r="35480" spans="26:26" x14ac:dyDescent="0.25">
      <c r="Z35480"/>
    </row>
    <row r="35481" spans="26:26" x14ac:dyDescent="0.25">
      <c r="Z35481"/>
    </row>
    <row r="35482" spans="26:26" x14ac:dyDescent="0.25">
      <c r="Z35482"/>
    </row>
    <row r="35483" spans="26:26" x14ac:dyDescent="0.25">
      <c r="Z35483"/>
    </row>
    <row r="35484" spans="26:26" x14ac:dyDescent="0.25">
      <c r="Z35484"/>
    </row>
    <row r="35485" spans="26:26" x14ac:dyDescent="0.25">
      <c r="Z35485"/>
    </row>
    <row r="35486" spans="26:26" x14ac:dyDescent="0.25">
      <c r="Z35486"/>
    </row>
    <row r="35487" spans="26:26" x14ac:dyDescent="0.25">
      <c r="Z35487"/>
    </row>
    <row r="35488" spans="26:26" x14ac:dyDescent="0.25">
      <c r="Z35488"/>
    </row>
    <row r="35489" spans="26:26" x14ac:dyDescent="0.25">
      <c r="Z35489"/>
    </row>
    <row r="35490" spans="26:26" x14ac:dyDescent="0.25">
      <c r="Z35490"/>
    </row>
    <row r="35491" spans="26:26" x14ac:dyDescent="0.25">
      <c r="Z35491"/>
    </row>
    <row r="35492" spans="26:26" x14ac:dyDescent="0.25">
      <c r="Z35492"/>
    </row>
    <row r="35493" spans="26:26" x14ac:dyDescent="0.25">
      <c r="Z35493"/>
    </row>
    <row r="35494" spans="26:26" x14ac:dyDescent="0.25">
      <c r="Z35494"/>
    </row>
    <row r="35495" spans="26:26" x14ac:dyDescent="0.25">
      <c r="Z35495"/>
    </row>
    <row r="35496" spans="26:26" x14ac:dyDescent="0.25">
      <c r="Z35496"/>
    </row>
    <row r="35497" spans="26:26" x14ac:dyDescent="0.25">
      <c r="Z35497"/>
    </row>
    <row r="35498" spans="26:26" x14ac:dyDescent="0.25">
      <c r="Z35498"/>
    </row>
    <row r="35499" spans="26:26" x14ac:dyDescent="0.25">
      <c r="Z35499"/>
    </row>
    <row r="35500" spans="26:26" x14ac:dyDescent="0.25">
      <c r="Z35500"/>
    </row>
    <row r="35501" spans="26:26" x14ac:dyDescent="0.25">
      <c r="Z35501"/>
    </row>
    <row r="35502" spans="26:26" x14ac:dyDescent="0.25">
      <c r="Z35502"/>
    </row>
    <row r="35503" spans="26:26" x14ac:dyDescent="0.25">
      <c r="Z35503"/>
    </row>
    <row r="35504" spans="26:26" x14ac:dyDescent="0.25">
      <c r="Z35504"/>
    </row>
    <row r="35505" spans="26:26" x14ac:dyDescent="0.25">
      <c r="Z35505"/>
    </row>
    <row r="35506" spans="26:26" x14ac:dyDescent="0.25">
      <c r="Z35506"/>
    </row>
    <row r="35507" spans="26:26" x14ac:dyDescent="0.25">
      <c r="Z35507"/>
    </row>
    <row r="35508" spans="26:26" x14ac:dyDescent="0.25">
      <c r="Z35508"/>
    </row>
    <row r="35509" spans="26:26" x14ac:dyDescent="0.25">
      <c r="Z35509"/>
    </row>
    <row r="35510" spans="26:26" x14ac:dyDescent="0.25">
      <c r="Z35510"/>
    </row>
    <row r="35511" spans="26:26" x14ac:dyDescent="0.25">
      <c r="Z35511"/>
    </row>
    <row r="35512" spans="26:26" x14ac:dyDescent="0.25">
      <c r="Z35512"/>
    </row>
    <row r="35513" spans="26:26" x14ac:dyDescent="0.25">
      <c r="Z35513"/>
    </row>
    <row r="35514" spans="26:26" x14ac:dyDescent="0.25">
      <c r="Z35514"/>
    </row>
    <row r="35515" spans="26:26" x14ac:dyDescent="0.25">
      <c r="Z35515"/>
    </row>
    <row r="35516" spans="26:26" x14ac:dyDescent="0.25">
      <c r="Z35516"/>
    </row>
    <row r="35517" spans="26:26" x14ac:dyDescent="0.25">
      <c r="Z35517"/>
    </row>
    <row r="35518" spans="26:26" x14ac:dyDescent="0.25">
      <c r="Z35518"/>
    </row>
    <row r="35519" spans="26:26" x14ac:dyDescent="0.25">
      <c r="Z35519"/>
    </row>
    <row r="35520" spans="26:26" x14ac:dyDescent="0.25">
      <c r="Z35520"/>
    </row>
    <row r="35521" spans="26:26" x14ac:dyDescent="0.25">
      <c r="Z35521"/>
    </row>
    <row r="35522" spans="26:26" x14ac:dyDescent="0.25">
      <c r="Z35522"/>
    </row>
    <row r="35523" spans="26:26" x14ac:dyDescent="0.25">
      <c r="Z35523"/>
    </row>
    <row r="35524" spans="26:26" x14ac:dyDescent="0.25">
      <c r="Z35524"/>
    </row>
    <row r="35525" spans="26:26" x14ac:dyDescent="0.25">
      <c r="Z35525"/>
    </row>
    <row r="35526" spans="26:26" x14ac:dyDescent="0.25">
      <c r="Z35526"/>
    </row>
    <row r="35527" spans="26:26" x14ac:dyDescent="0.25">
      <c r="Z35527"/>
    </row>
    <row r="35528" spans="26:26" x14ac:dyDescent="0.25">
      <c r="Z35528"/>
    </row>
    <row r="35529" spans="26:26" x14ac:dyDescent="0.25">
      <c r="Z35529"/>
    </row>
    <row r="35530" spans="26:26" x14ac:dyDescent="0.25">
      <c r="Z35530"/>
    </row>
    <row r="35531" spans="26:26" x14ac:dyDescent="0.25">
      <c r="Z35531"/>
    </row>
    <row r="35532" spans="26:26" x14ac:dyDescent="0.25">
      <c r="Z35532"/>
    </row>
    <row r="35533" spans="26:26" x14ac:dyDescent="0.25">
      <c r="Z35533"/>
    </row>
    <row r="35534" spans="26:26" x14ac:dyDescent="0.25">
      <c r="Z35534"/>
    </row>
    <row r="35535" spans="26:26" x14ac:dyDescent="0.25">
      <c r="Z35535"/>
    </row>
    <row r="35536" spans="26:26" x14ac:dyDescent="0.25">
      <c r="Z35536"/>
    </row>
    <row r="35537" spans="26:26" x14ac:dyDescent="0.25">
      <c r="Z35537"/>
    </row>
    <row r="35538" spans="26:26" x14ac:dyDescent="0.25">
      <c r="Z35538"/>
    </row>
    <row r="35539" spans="26:26" x14ac:dyDescent="0.25">
      <c r="Z35539"/>
    </row>
    <row r="35540" spans="26:26" x14ac:dyDescent="0.25">
      <c r="Z35540"/>
    </row>
    <row r="35541" spans="26:26" x14ac:dyDescent="0.25">
      <c r="Z35541"/>
    </row>
    <row r="35542" spans="26:26" x14ac:dyDescent="0.25">
      <c r="Z35542"/>
    </row>
    <row r="35543" spans="26:26" x14ac:dyDescent="0.25">
      <c r="Z35543"/>
    </row>
    <row r="35544" spans="26:26" x14ac:dyDescent="0.25">
      <c r="Z35544"/>
    </row>
    <row r="35545" spans="26:26" x14ac:dyDescent="0.25">
      <c r="Z35545"/>
    </row>
    <row r="35546" spans="26:26" x14ac:dyDescent="0.25">
      <c r="Z35546"/>
    </row>
    <row r="35547" spans="26:26" x14ac:dyDescent="0.25">
      <c r="Z35547"/>
    </row>
    <row r="35548" spans="26:26" x14ac:dyDescent="0.25">
      <c r="Z35548"/>
    </row>
    <row r="35549" spans="26:26" x14ac:dyDescent="0.25">
      <c r="Z35549"/>
    </row>
    <row r="35550" spans="26:26" x14ac:dyDescent="0.25">
      <c r="Z35550"/>
    </row>
    <row r="35551" spans="26:26" x14ac:dyDescent="0.25">
      <c r="Z35551"/>
    </row>
    <row r="35552" spans="26:26" x14ac:dyDescent="0.25">
      <c r="Z35552"/>
    </row>
    <row r="35553" spans="26:26" x14ac:dyDescent="0.25">
      <c r="Z35553"/>
    </row>
    <row r="35554" spans="26:26" x14ac:dyDescent="0.25">
      <c r="Z35554"/>
    </row>
    <row r="35555" spans="26:26" x14ac:dyDescent="0.25">
      <c r="Z35555"/>
    </row>
    <row r="35556" spans="26:26" x14ac:dyDescent="0.25">
      <c r="Z35556"/>
    </row>
    <row r="35557" spans="26:26" x14ac:dyDescent="0.25">
      <c r="Z35557"/>
    </row>
    <row r="35558" spans="26:26" x14ac:dyDescent="0.25">
      <c r="Z35558"/>
    </row>
    <row r="35559" spans="26:26" x14ac:dyDescent="0.25">
      <c r="Z35559"/>
    </row>
    <row r="35560" spans="26:26" x14ac:dyDescent="0.25">
      <c r="Z35560"/>
    </row>
    <row r="35561" spans="26:26" x14ac:dyDescent="0.25">
      <c r="Z35561"/>
    </row>
    <row r="35562" spans="26:26" x14ac:dyDescent="0.25">
      <c r="Z35562"/>
    </row>
    <row r="35563" spans="26:26" x14ac:dyDescent="0.25">
      <c r="Z35563"/>
    </row>
    <row r="35564" spans="26:26" x14ac:dyDescent="0.25">
      <c r="Z35564"/>
    </row>
    <row r="35565" spans="26:26" x14ac:dyDescent="0.25">
      <c r="Z35565"/>
    </row>
    <row r="35566" spans="26:26" x14ac:dyDescent="0.25">
      <c r="Z35566"/>
    </row>
    <row r="35567" spans="26:26" x14ac:dyDescent="0.25">
      <c r="Z35567"/>
    </row>
    <row r="35568" spans="26:26" x14ac:dyDescent="0.25">
      <c r="Z35568"/>
    </row>
    <row r="35569" spans="26:26" x14ac:dyDescent="0.25">
      <c r="Z35569"/>
    </row>
    <row r="35570" spans="26:26" x14ac:dyDescent="0.25">
      <c r="Z35570"/>
    </row>
    <row r="35571" spans="26:26" x14ac:dyDescent="0.25">
      <c r="Z35571"/>
    </row>
    <row r="35572" spans="26:26" x14ac:dyDescent="0.25">
      <c r="Z35572"/>
    </row>
    <row r="35573" spans="26:26" x14ac:dyDescent="0.25">
      <c r="Z35573"/>
    </row>
    <row r="35574" spans="26:26" x14ac:dyDescent="0.25">
      <c r="Z35574"/>
    </row>
    <row r="35575" spans="26:26" x14ac:dyDescent="0.25">
      <c r="Z35575"/>
    </row>
    <row r="35576" spans="26:26" x14ac:dyDescent="0.25">
      <c r="Z35576"/>
    </row>
    <row r="35577" spans="26:26" x14ac:dyDescent="0.25">
      <c r="Z35577"/>
    </row>
    <row r="35578" spans="26:26" x14ac:dyDescent="0.25">
      <c r="Z35578"/>
    </row>
    <row r="35579" spans="26:26" x14ac:dyDescent="0.25">
      <c r="Z35579"/>
    </row>
    <row r="35580" spans="26:26" x14ac:dyDescent="0.25">
      <c r="Z35580"/>
    </row>
    <row r="35581" spans="26:26" x14ac:dyDescent="0.25">
      <c r="Z35581"/>
    </row>
    <row r="35582" spans="26:26" x14ac:dyDescent="0.25">
      <c r="Z35582"/>
    </row>
    <row r="35583" spans="26:26" x14ac:dyDescent="0.25">
      <c r="Z35583"/>
    </row>
    <row r="35584" spans="26:26" x14ac:dyDescent="0.25">
      <c r="Z35584"/>
    </row>
    <row r="35585" spans="26:26" x14ac:dyDescent="0.25">
      <c r="Z35585"/>
    </row>
    <row r="35586" spans="26:26" x14ac:dyDescent="0.25">
      <c r="Z35586"/>
    </row>
    <row r="35587" spans="26:26" x14ac:dyDescent="0.25">
      <c r="Z35587"/>
    </row>
    <row r="35588" spans="26:26" x14ac:dyDescent="0.25">
      <c r="Z35588"/>
    </row>
    <row r="35589" spans="26:26" x14ac:dyDescent="0.25">
      <c r="Z35589"/>
    </row>
    <row r="35590" spans="26:26" x14ac:dyDescent="0.25">
      <c r="Z35590"/>
    </row>
    <row r="35591" spans="26:26" x14ac:dyDescent="0.25">
      <c r="Z35591"/>
    </row>
    <row r="35592" spans="26:26" x14ac:dyDescent="0.25">
      <c r="Z35592"/>
    </row>
    <row r="35593" spans="26:26" x14ac:dyDescent="0.25">
      <c r="Z35593"/>
    </row>
    <row r="35594" spans="26:26" x14ac:dyDescent="0.25">
      <c r="Z35594"/>
    </row>
    <row r="35595" spans="26:26" x14ac:dyDescent="0.25">
      <c r="Z35595"/>
    </row>
    <row r="35596" spans="26:26" x14ac:dyDescent="0.25">
      <c r="Z35596"/>
    </row>
    <row r="35597" spans="26:26" x14ac:dyDescent="0.25">
      <c r="Z35597"/>
    </row>
    <row r="35598" spans="26:26" x14ac:dyDescent="0.25">
      <c r="Z35598"/>
    </row>
    <row r="35599" spans="26:26" x14ac:dyDescent="0.25">
      <c r="Z35599"/>
    </row>
    <row r="35600" spans="26:26" x14ac:dyDescent="0.25">
      <c r="Z35600"/>
    </row>
    <row r="35601" spans="26:26" x14ac:dyDescent="0.25">
      <c r="Z35601"/>
    </row>
    <row r="35602" spans="26:26" x14ac:dyDescent="0.25">
      <c r="Z35602"/>
    </row>
    <row r="35603" spans="26:26" x14ac:dyDescent="0.25">
      <c r="Z35603"/>
    </row>
    <row r="35604" spans="26:26" x14ac:dyDescent="0.25">
      <c r="Z35604"/>
    </row>
    <row r="35605" spans="26:26" x14ac:dyDescent="0.25">
      <c r="Z35605"/>
    </row>
    <row r="35606" spans="26:26" x14ac:dyDescent="0.25">
      <c r="Z35606"/>
    </row>
    <row r="35607" spans="26:26" x14ac:dyDescent="0.25">
      <c r="Z35607"/>
    </row>
    <row r="35608" spans="26:26" x14ac:dyDescent="0.25">
      <c r="Z35608"/>
    </row>
    <row r="35609" spans="26:26" x14ac:dyDescent="0.25">
      <c r="Z35609"/>
    </row>
    <row r="35610" spans="26:26" x14ac:dyDescent="0.25">
      <c r="Z35610"/>
    </row>
    <row r="35611" spans="26:26" x14ac:dyDescent="0.25">
      <c r="Z35611"/>
    </row>
    <row r="35612" spans="26:26" x14ac:dyDescent="0.25">
      <c r="Z35612"/>
    </row>
    <row r="35613" spans="26:26" x14ac:dyDescent="0.25">
      <c r="Z35613"/>
    </row>
    <row r="35614" spans="26:26" x14ac:dyDescent="0.25">
      <c r="Z35614"/>
    </row>
    <row r="35615" spans="26:26" x14ac:dyDescent="0.25">
      <c r="Z35615"/>
    </row>
    <row r="35616" spans="26:26" x14ac:dyDescent="0.25">
      <c r="Z35616"/>
    </row>
    <row r="35617" spans="26:26" x14ac:dyDescent="0.25">
      <c r="Z35617"/>
    </row>
    <row r="35618" spans="26:26" x14ac:dyDescent="0.25">
      <c r="Z35618"/>
    </row>
    <row r="35619" spans="26:26" x14ac:dyDescent="0.25">
      <c r="Z35619"/>
    </row>
    <row r="35620" spans="26:26" x14ac:dyDescent="0.25">
      <c r="Z35620"/>
    </row>
    <row r="35621" spans="26:26" x14ac:dyDescent="0.25">
      <c r="Z35621"/>
    </row>
    <row r="35622" spans="26:26" x14ac:dyDescent="0.25">
      <c r="Z35622"/>
    </row>
    <row r="35623" spans="26:26" x14ac:dyDescent="0.25">
      <c r="Z35623"/>
    </row>
    <row r="35624" spans="26:26" x14ac:dyDescent="0.25">
      <c r="Z35624"/>
    </row>
    <row r="35625" spans="26:26" x14ac:dyDescent="0.25">
      <c r="Z35625"/>
    </row>
    <row r="35626" spans="26:26" x14ac:dyDescent="0.25">
      <c r="Z35626"/>
    </row>
    <row r="35627" spans="26:26" x14ac:dyDescent="0.25">
      <c r="Z35627"/>
    </row>
    <row r="35628" spans="26:26" x14ac:dyDescent="0.25">
      <c r="Z35628"/>
    </row>
    <row r="35629" spans="26:26" x14ac:dyDescent="0.25">
      <c r="Z35629"/>
    </row>
    <row r="35630" spans="26:26" x14ac:dyDescent="0.25">
      <c r="Z35630"/>
    </row>
    <row r="35631" spans="26:26" x14ac:dyDescent="0.25">
      <c r="Z35631"/>
    </row>
    <row r="35632" spans="26:26" x14ac:dyDescent="0.25">
      <c r="Z35632"/>
    </row>
    <row r="35633" spans="26:26" x14ac:dyDescent="0.25">
      <c r="Z35633"/>
    </row>
    <row r="35634" spans="26:26" x14ac:dyDescent="0.25">
      <c r="Z35634"/>
    </row>
    <row r="35635" spans="26:26" x14ac:dyDescent="0.25">
      <c r="Z35635"/>
    </row>
    <row r="35636" spans="26:26" x14ac:dyDescent="0.25">
      <c r="Z35636"/>
    </row>
    <row r="35637" spans="26:26" x14ac:dyDescent="0.25">
      <c r="Z35637"/>
    </row>
    <row r="35638" spans="26:26" x14ac:dyDescent="0.25">
      <c r="Z35638"/>
    </row>
    <row r="35639" spans="26:26" x14ac:dyDescent="0.25">
      <c r="Z35639"/>
    </row>
    <row r="35640" spans="26:26" x14ac:dyDescent="0.25">
      <c r="Z35640"/>
    </row>
    <row r="35641" spans="26:26" x14ac:dyDescent="0.25">
      <c r="Z35641"/>
    </row>
    <row r="35642" spans="26:26" x14ac:dyDescent="0.25">
      <c r="Z35642"/>
    </row>
    <row r="35643" spans="26:26" x14ac:dyDescent="0.25">
      <c r="Z35643"/>
    </row>
    <row r="35644" spans="26:26" x14ac:dyDescent="0.25">
      <c r="Z35644"/>
    </row>
    <row r="35645" spans="26:26" x14ac:dyDescent="0.25">
      <c r="Z35645"/>
    </row>
    <row r="35646" spans="26:26" x14ac:dyDescent="0.25">
      <c r="Z35646"/>
    </row>
    <row r="35647" spans="26:26" x14ac:dyDescent="0.25">
      <c r="Z35647"/>
    </row>
    <row r="35648" spans="26:26" x14ac:dyDescent="0.25">
      <c r="Z35648"/>
    </row>
    <row r="35649" spans="26:26" x14ac:dyDescent="0.25">
      <c r="Z35649"/>
    </row>
    <row r="35650" spans="26:26" x14ac:dyDescent="0.25">
      <c r="Z35650"/>
    </row>
    <row r="35651" spans="26:26" x14ac:dyDescent="0.25">
      <c r="Z35651"/>
    </row>
    <row r="35652" spans="26:26" x14ac:dyDescent="0.25">
      <c r="Z35652"/>
    </row>
    <row r="35653" spans="26:26" x14ac:dyDescent="0.25">
      <c r="Z35653"/>
    </row>
    <row r="35654" spans="26:26" x14ac:dyDescent="0.25">
      <c r="Z35654"/>
    </row>
    <row r="35655" spans="26:26" x14ac:dyDescent="0.25">
      <c r="Z35655"/>
    </row>
    <row r="35656" spans="26:26" x14ac:dyDescent="0.25">
      <c r="Z35656"/>
    </row>
    <row r="35657" spans="26:26" x14ac:dyDescent="0.25">
      <c r="Z35657"/>
    </row>
    <row r="35658" spans="26:26" x14ac:dyDescent="0.25">
      <c r="Z35658"/>
    </row>
    <row r="35659" spans="26:26" x14ac:dyDescent="0.25">
      <c r="Z35659"/>
    </row>
    <row r="35660" spans="26:26" x14ac:dyDescent="0.25">
      <c r="Z35660"/>
    </row>
    <row r="35661" spans="26:26" x14ac:dyDescent="0.25">
      <c r="Z35661"/>
    </row>
    <row r="35662" spans="26:26" x14ac:dyDescent="0.25">
      <c r="Z35662"/>
    </row>
    <row r="35663" spans="26:26" x14ac:dyDescent="0.25">
      <c r="Z35663"/>
    </row>
    <row r="35664" spans="26:26" x14ac:dyDescent="0.25">
      <c r="Z35664"/>
    </row>
    <row r="35665" spans="26:26" x14ac:dyDescent="0.25">
      <c r="Z35665"/>
    </row>
    <row r="35666" spans="26:26" x14ac:dyDescent="0.25">
      <c r="Z35666"/>
    </row>
    <row r="35667" spans="26:26" x14ac:dyDescent="0.25">
      <c r="Z35667"/>
    </row>
    <row r="35668" spans="26:26" x14ac:dyDescent="0.25">
      <c r="Z35668"/>
    </row>
    <row r="35669" spans="26:26" x14ac:dyDescent="0.25">
      <c r="Z35669"/>
    </row>
    <row r="35670" spans="26:26" x14ac:dyDescent="0.25">
      <c r="Z35670"/>
    </row>
    <row r="35671" spans="26:26" x14ac:dyDescent="0.25">
      <c r="Z35671"/>
    </row>
    <row r="35672" spans="26:26" x14ac:dyDescent="0.25">
      <c r="Z35672"/>
    </row>
    <row r="35673" spans="26:26" x14ac:dyDescent="0.25">
      <c r="Z35673"/>
    </row>
    <row r="35674" spans="26:26" x14ac:dyDescent="0.25">
      <c r="Z35674"/>
    </row>
    <row r="35675" spans="26:26" x14ac:dyDescent="0.25">
      <c r="Z35675"/>
    </row>
    <row r="35676" spans="26:26" x14ac:dyDescent="0.25">
      <c r="Z35676"/>
    </row>
    <row r="35677" spans="26:26" x14ac:dyDescent="0.25">
      <c r="Z35677"/>
    </row>
    <row r="35678" spans="26:26" x14ac:dyDescent="0.25">
      <c r="Z35678"/>
    </row>
    <row r="35679" spans="26:26" x14ac:dyDescent="0.25">
      <c r="Z35679"/>
    </row>
    <row r="35680" spans="26:26" x14ac:dyDescent="0.25">
      <c r="Z35680"/>
    </row>
    <row r="35681" spans="26:26" x14ac:dyDescent="0.25">
      <c r="Z35681"/>
    </row>
    <row r="35682" spans="26:26" x14ac:dyDescent="0.25">
      <c r="Z35682"/>
    </row>
    <row r="35683" spans="26:26" x14ac:dyDescent="0.25">
      <c r="Z35683"/>
    </row>
    <row r="35684" spans="26:26" x14ac:dyDescent="0.25">
      <c r="Z35684"/>
    </row>
    <row r="35685" spans="26:26" x14ac:dyDescent="0.25">
      <c r="Z35685"/>
    </row>
    <row r="35686" spans="26:26" x14ac:dyDescent="0.25">
      <c r="Z35686"/>
    </row>
    <row r="35687" spans="26:26" x14ac:dyDescent="0.25">
      <c r="Z35687"/>
    </row>
    <row r="35688" spans="26:26" x14ac:dyDescent="0.25">
      <c r="Z35688"/>
    </row>
    <row r="35689" spans="26:26" x14ac:dyDescent="0.25">
      <c r="Z35689"/>
    </row>
    <row r="35690" spans="26:26" x14ac:dyDescent="0.25">
      <c r="Z35690"/>
    </row>
    <row r="35691" spans="26:26" x14ac:dyDescent="0.25">
      <c r="Z35691"/>
    </row>
    <row r="35692" spans="26:26" x14ac:dyDescent="0.25">
      <c r="Z35692"/>
    </row>
    <row r="35693" spans="26:26" x14ac:dyDescent="0.25">
      <c r="Z35693"/>
    </row>
    <row r="35694" spans="26:26" x14ac:dyDescent="0.25">
      <c r="Z35694"/>
    </row>
    <row r="35695" spans="26:26" x14ac:dyDescent="0.25">
      <c r="Z35695"/>
    </row>
    <row r="35696" spans="26:26" x14ac:dyDescent="0.25">
      <c r="Z35696"/>
    </row>
    <row r="35697" spans="26:26" x14ac:dyDescent="0.25">
      <c r="Z35697"/>
    </row>
    <row r="35698" spans="26:26" x14ac:dyDescent="0.25">
      <c r="Z35698"/>
    </row>
    <row r="35699" spans="26:26" x14ac:dyDescent="0.25">
      <c r="Z35699"/>
    </row>
    <row r="35700" spans="26:26" x14ac:dyDescent="0.25">
      <c r="Z35700"/>
    </row>
    <row r="35701" spans="26:26" x14ac:dyDescent="0.25">
      <c r="Z35701"/>
    </row>
    <row r="35702" spans="26:26" x14ac:dyDescent="0.25">
      <c r="Z35702"/>
    </row>
    <row r="35703" spans="26:26" x14ac:dyDescent="0.25">
      <c r="Z35703"/>
    </row>
    <row r="35704" spans="26:26" x14ac:dyDescent="0.25">
      <c r="Z35704"/>
    </row>
    <row r="35705" spans="26:26" x14ac:dyDescent="0.25">
      <c r="Z35705"/>
    </row>
    <row r="35706" spans="26:26" x14ac:dyDescent="0.25">
      <c r="Z35706"/>
    </row>
    <row r="35707" spans="26:26" x14ac:dyDescent="0.25">
      <c r="Z35707"/>
    </row>
    <row r="35708" spans="26:26" x14ac:dyDescent="0.25">
      <c r="Z35708"/>
    </row>
    <row r="35709" spans="26:26" x14ac:dyDescent="0.25">
      <c r="Z35709"/>
    </row>
    <row r="35710" spans="26:26" x14ac:dyDescent="0.25">
      <c r="Z35710"/>
    </row>
    <row r="35711" spans="26:26" x14ac:dyDescent="0.25">
      <c r="Z35711"/>
    </row>
    <row r="35712" spans="26:26" x14ac:dyDescent="0.25">
      <c r="Z35712"/>
    </row>
    <row r="35713" spans="26:26" x14ac:dyDescent="0.25">
      <c r="Z35713"/>
    </row>
    <row r="35714" spans="26:26" x14ac:dyDescent="0.25">
      <c r="Z35714"/>
    </row>
    <row r="35715" spans="26:26" x14ac:dyDescent="0.25">
      <c r="Z35715"/>
    </row>
    <row r="35716" spans="26:26" x14ac:dyDescent="0.25">
      <c r="Z35716"/>
    </row>
    <row r="35717" spans="26:26" x14ac:dyDescent="0.25">
      <c r="Z35717"/>
    </row>
    <row r="35718" spans="26:26" x14ac:dyDescent="0.25">
      <c r="Z35718"/>
    </row>
    <row r="35719" spans="26:26" x14ac:dyDescent="0.25">
      <c r="Z35719"/>
    </row>
    <row r="35720" spans="26:26" x14ac:dyDescent="0.25">
      <c r="Z35720"/>
    </row>
    <row r="35721" spans="26:26" x14ac:dyDescent="0.25">
      <c r="Z35721"/>
    </row>
    <row r="35722" spans="26:26" x14ac:dyDescent="0.25">
      <c r="Z35722"/>
    </row>
    <row r="35723" spans="26:26" x14ac:dyDescent="0.25">
      <c r="Z35723"/>
    </row>
    <row r="35724" spans="26:26" x14ac:dyDescent="0.25">
      <c r="Z35724"/>
    </row>
    <row r="35725" spans="26:26" x14ac:dyDescent="0.25">
      <c r="Z35725"/>
    </row>
    <row r="35726" spans="26:26" x14ac:dyDescent="0.25">
      <c r="Z35726"/>
    </row>
    <row r="35727" spans="26:26" x14ac:dyDescent="0.25">
      <c r="Z35727"/>
    </row>
    <row r="35728" spans="26:26" x14ac:dyDescent="0.25">
      <c r="Z35728"/>
    </row>
    <row r="35729" spans="26:26" x14ac:dyDescent="0.25">
      <c r="Z35729"/>
    </row>
    <row r="35730" spans="26:26" x14ac:dyDescent="0.25">
      <c r="Z35730"/>
    </row>
    <row r="35731" spans="26:26" x14ac:dyDescent="0.25">
      <c r="Z35731"/>
    </row>
    <row r="35732" spans="26:26" x14ac:dyDescent="0.25">
      <c r="Z35732"/>
    </row>
    <row r="35733" spans="26:26" x14ac:dyDescent="0.25">
      <c r="Z35733"/>
    </row>
    <row r="35734" spans="26:26" x14ac:dyDescent="0.25">
      <c r="Z35734"/>
    </row>
    <row r="35735" spans="26:26" x14ac:dyDescent="0.25">
      <c r="Z35735"/>
    </row>
    <row r="35736" spans="26:26" x14ac:dyDescent="0.25">
      <c r="Z35736"/>
    </row>
    <row r="35737" spans="26:26" x14ac:dyDescent="0.25">
      <c r="Z35737"/>
    </row>
    <row r="35738" spans="26:26" x14ac:dyDescent="0.25">
      <c r="Z35738"/>
    </row>
    <row r="35739" spans="26:26" x14ac:dyDescent="0.25">
      <c r="Z35739"/>
    </row>
    <row r="35740" spans="26:26" x14ac:dyDescent="0.25">
      <c r="Z35740"/>
    </row>
    <row r="35741" spans="26:26" x14ac:dyDescent="0.25">
      <c r="Z35741"/>
    </row>
    <row r="35742" spans="26:26" x14ac:dyDescent="0.25">
      <c r="Z35742"/>
    </row>
    <row r="35743" spans="26:26" x14ac:dyDescent="0.25">
      <c r="Z35743"/>
    </row>
    <row r="35744" spans="26:26" x14ac:dyDescent="0.25">
      <c r="Z35744"/>
    </row>
    <row r="35745" spans="26:26" x14ac:dyDescent="0.25">
      <c r="Z35745"/>
    </row>
    <row r="35746" spans="26:26" x14ac:dyDescent="0.25">
      <c r="Z35746"/>
    </row>
    <row r="35747" spans="26:26" x14ac:dyDescent="0.25">
      <c r="Z35747"/>
    </row>
    <row r="35748" spans="26:26" x14ac:dyDescent="0.25">
      <c r="Z35748"/>
    </row>
    <row r="35749" spans="26:26" x14ac:dyDescent="0.25">
      <c r="Z35749"/>
    </row>
    <row r="35750" spans="26:26" x14ac:dyDescent="0.25">
      <c r="Z35750"/>
    </row>
    <row r="35751" spans="26:26" x14ac:dyDescent="0.25">
      <c r="Z35751"/>
    </row>
    <row r="35752" spans="26:26" x14ac:dyDescent="0.25">
      <c r="Z35752"/>
    </row>
    <row r="35753" spans="26:26" x14ac:dyDescent="0.25">
      <c r="Z35753"/>
    </row>
    <row r="35754" spans="26:26" x14ac:dyDescent="0.25">
      <c r="Z35754"/>
    </row>
    <row r="35755" spans="26:26" x14ac:dyDescent="0.25">
      <c r="Z35755"/>
    </row>
    <row r="35756" spans="26:26" x14ac:dyDescent="0.25">
      <c r="Z35756"/>
    </row>
    <row r="35757" spans="26:26" x14ac:dyDescent="0.25">
      <c r="Z35757"/>
    </row>
    <row r="35758" spans="26:26" x14ac:dyDescent="0.25">
      <c r="Z35758"/>
    </row>
    <row r="35759" spans="26:26" x14ac:dyDescent="0.25">
      <c r="Z35759"/>
    </row>
    <row r="35760" spans="26:26" x14ac:dyDescent="0.25">
      <c r="Z35760"/>
    </row>
    <row r="35761" spans="26:26" x14ac:dyDescent="0.25">
      <c r="Z35761"/>
    </row>
    <row r="35762" spans="26:26" x14ac:dyDescent="0.25">
      <c r="Z35762"/>
    </row>
    <row r="35763" spans="26:26" x14ac:dyDescent="0.25">
      <c r="Z35763"/>
    </row>
    <row r="35764" spans="26:26" x14ac:dyDescent="0.25">
      <c r="Z35764"/>
    </row>
    <row r="35765" spans="26:26" x14ac:dyDescent="0.25">
      <c r="Z35765"/>
    </row>
    <row r="35766" spans="26:26" x14ac:dyDescent="0.25">
      <c r="Z35766"/>
    </row>
    <row r="35767" spans="26:26" x14ac:dyDescent="0.25">
      <c r="Z35767"/>
    </row>
    <row r="35768" spans="26:26" x14ac:dyDescent="0.25">
      <c r="Z35768"/>
    </row>
    <row r="35769" spans="26:26" x14ac:dyDescent="0.25">
      <c r="Z35769"/>
    </row>
    <row r="35770" spans="26:26" x14ac:dyDescent="0.25">
      <c r="Z35770"/>
    </row>
    <row r="35771" spans="26:26" x14ac:dyDescent="0.25">
      <c r="Z35771"/>
    </row>
    <row r="35772" spans="26:26" x14ac:dyDescent="0.25">
      <c r="Z35772"/>
    </row>
    <row r="35773" spans="26:26" x14ac:dyDescent="0.25">
      <c r="Z35773"/>
    </row>
    <row r="35774" spans="26:26" x14ac:dyDescent="0.25">
      <c r="Z35774"/>
    </row>
    <row r="35775" spans="26:26" x14ac:dyDescent="0.25">
      <c r="Z35775"/>
    </row>
    <row r="35776" spans="26:26" x14ac:dyDescent="0.25">
      <c r="Z35776"/>
    </row>
    <row r="35777" spans="26:26" x14ac:dyDescent="0.25">
      <c r="Z35777"/>
    </row>
    <row r="35778" spans="26:26" x14ac:dyDescent="0.25">
      <c r="Z35778"/>
    </row>
    <row r="35779" spans="26:26" x14ac:dyDescent="0.25">
      <c r="Z35779"/>
    </row>
    <row r="35780" spans="26:26" x14ac:dyDescent="0.25">
      <c r="Z35780"/>
    </row>
    <row r="35781" spans="26:26" x14ac:dyDescent="0.25">
      <c r="Z35781"/>
    </row>
    <row r="35782" spans="26:26" x14ac:dyDescent="0.25">
      <c r="Z35782"/>
    </row>
    <row r="35783" spans="26:26" x14ac:dyDescent="0.25">
      <c r="Z35783"/>
    </row>
    <row r="35784" spans="26:26" x14ac:dyDescent="0.25">
      <c r="Z35784"/>
    </row>
    <row r="35785" spans="26:26" x14ac:dyDescent="0.25">
      <c r="Z35785"/>
    </row>
    <row r="35786" spans="26:26" x14ac:dyDescent="0.25">
      <c r="Z35786"/>
    </row>
    <row r="35787" spans="26:26" x14ac:dyDescent="0.25">
      <c r="Z35787"/>
    </row>
    <row r="35788" spans="26:26" x14ac:dyDescent="0.25">
      <c r="Z35788"/>
    </row>
    <row r="35789" spans="26:26" x14ac:dyDescent="0.25">
      <c r="Z35789"/>
    </row>
    <row r="35790" spans="26:26" x14ac:dyDescent="0.25">
      <c r="Z35790"/>
    </row>
    <row r="35791" spans="26:26" x14ac:dyDescent="0.25">
      <c r="Z35791"/>
    </row>
    <row r="35792" spans="26:26" x14ac:dyDescent="0.25">
      <c r="Z35792"/>
    </row>
    <row r="35793" spans="26:26" x14ac:dyDescent="0.25">
      <c r="Z35793"/>
    </row>
    <row r="35794" spans="26:26" x14ac:dyDescent="0.25">
      <c r="Z35794"/>
    </row>
    <row r="35795" spans="26:26" x14ac:dyDescent="0.25">
      <c r="Z35795"/>
    </row>
    <row r="35796" spans="26:26" x14ac:dyDescent="0.25">
      <c r="Z35796"/>
    </row>
    <row r="35797" spans="26:26" x14ac:dyDescent="0.25">
      <c r="Z35797"/>
    </row>
    <row r="35798" spans="26:26" x14ac:dyDescent="0.25">
      <c r="Z35798"/>
    </row>
    <row r="35799" spans="26:26" x14ac:dyDescent="0.25">
      <c r="Z35799"/>
    </row>
    <row r="35800" spans="26:26" x14ac:dyDescent="0.25">
      <c r="Z35800"/>
    </row>
    <row r="35801" spans="26:26" x14ac:dyDescent="0.25">
      <c r="Z35801"/>
    </row>
    <row r="35802" spans="26:26" x14ac:dyDescent="0.25">
      <c r="Z35802"/>
    </row>
    <row r="35803" spans="26:26" x14ac:dyDescent="0.25">
      <c r="Z35803"/>
    </row>
    <row r="35804" spans="26:26" x14ac:dyDescent="0.25">
      <c r="Z35804"/>
    </row>
    <row r="35805" spans="26:26" x14ac:dyDescent="0.25">
      <c r="Z35805"/>
    </row>
    <row r="35806" spans="26:26" x14ac:dyDescent="0.25">
      <c r="Z35806"/>
    </row>
    <row r="35807" spans="26:26" x14ac:dyDescent="0.25">
      <c r="Z35807"/>
    </row>
    <row r="35808" spans="26:26" x14ac:dyDescent="0.25">
      <c r="Z35808"/>
    </row>
    <row r="35809" spans="26:26" x14ac:dyDescent="0.25">
      <c r="Z35809"/>
    </row>
    <row r="35810" spans="26:26" x14ac:dyDescent="0.25">
      <c r="Z35810"/>
    </row>
    <row r="35811" spans="26:26" x14ac:dyDescent="0.25">
      <c r="Z35811"/>
    </row>
    <row r="35812" spans="26:26" x14ac:dyDescent="0.25">
      <c r="Z35812"/>
    </row>
    <row r="35813" spans="26:26" x14ac:dyDescent="0.25">
      <c r="Z35813"/>
    </row>
    <row r="35814" spans="26:26" x14ac:dyDescent="0.25">
      <c r="Z35814"/>
    </row>
    <row r="35815" spans="26:26" x14ac:dyDescent="0.25">
      <c r="Z35815"/>
    </row>
    <row r="35816" spans="26:26" x14ac:dyDescent="0.25">
      <c r="Z35816"/>
    </row>
    <row r="35817" spans="26:26" x14ac:dyDescent="0.25">
      <c r="Z35817"/>
    </row>
    <row r="35818" spans="26:26" x14ac:dyDescent="0.25">
      <c r="Z35818"/>
    </row>
    <row r="35819" spans="26:26" x14ac:dyDescent="0.25">
      <c r="Z35819"/>
    </row>
    <row r="35820" spans="26:26" x14ac:dyDescent="0.25">
      <c r="Z35820"/>
    </row>
    <row r="35821" spans="26:26" x14ac:dyDescent="0.25">
      <c r="Z35821"/>
    </row>
    <row r="35822" spans="26:26" x14ac:dyDescent="0.25">
      <c r="Z35822"/>
    </row>
    <row r="35823" spans="26:26" x14ac:dyDescent="0.25">
      <c r="Z35823"/>
    </row>
    <row r="35824" spans="26:26" x14ac:dyDescent="0.25">
      <c r="Z35824"/>
    </row>
    <row r="35825" spans="26:26" x14ac:dyDescent="0.25">
      <c r="Z35825"/>
    </row>
    <row r="35826" spans="26:26" x14ac:dyDescent="0.25">
      <c r="Z35826"/>
    </row>
    <row r="35827" spans="26:26" x14ac:dyDescent="0.25">
      <c r="Z35827"/>
    </row>
    <row r="35828" spans="26:26" x14ac:dyDescent="0.25">
      <c r="Z35828"/>
    </row>
    <row r="35829" spans="26:26" x14ac:dyDescent="0.25">
      <c r="Z35829"/>
    </row>
    <row r="35830" spans="26:26" x14ac:dyDescent="0.25">
      <c r="Z35830"/>
    </row>
    <row r="35831" spans="26:26" x14ac:dyDescent="0.25">
      <c r="Z35831"/>
    </row>
    <row r="35832" spans="26:26" x14ac:dyDescent="0.25">
      <c r="Z35832"/>
    </row>
    <row r="35833" spans="26:26" x14ac:dyDescent="0.25">
      <c r="Z35833"/>
    </row>
    <row r="35834" spans="26:26" x14ac:dyDescent="0.25">
      <c r="Z35834"/>
    </row>
    <row r="35835" spans="26:26" x14ac:dyDescent="0.25">
      <c r="Z35835"/>
    </row>
    <row r="35836" spans="26:26" x14ac:dyDescent="0.25">
      <c r="Z35836"/>
    </row>
    <row r="35837" spans="26:26" x14ac:dyDescent="0.25">
      <c r="Z35837"/>
    </row>
    <row r="35838" spans="26:26" x14ac:dyDescent="0.25">
      <c r="Z35838"/>
    </row>
    <row r="35839" spans="26:26" x14ac:dyDescent="0.25">
      <c r="Z35839"/>
    </row>
    <row r="35840" spans="26:26" x14ac:dyDescent="0.25">
      <c r="Z35840"/>
    </row>
    <row r="35841" spans="26:26" x14ac:dyDescent="0.25">
      <c r="Z35841"/>
    </row>
    <row r="35842" spans="26:26" x14ac:dyDescent="0.25">
      <c r="Z35842"/>
    </row>
    <row r="35843" spans="26:26" x14ac:dyDescent="0.25">
      <c r="Z35843"/>
    </row>
    <row r="35844" spans="26:26" x14ac:dyDescent="0.25">
      <c r="Z35844"/>
    </row>
    <row r="35845" spans="26:26" x14ac:dyDescent="0.25">
      <c r="Z35845"/>
    </row>
    <row r="35846" spans="26:26" x14ac:dyDescent="0.25">
      <c r="Z35846"/>
    </row>
    <row r="35847" spans="26:26" x14ac:dyDescent="0.25">
      <c r="Z35847"/>
    </row>
    <row r="35848" spans="26:26" x14ac:dyDescent="0.25">
      <c r="Z35848"/>
    </row>
    <row r="35849" spans="26:26" x14ac:dyDescent="0.25">
      <c r="Z35849"/>
    </row>
    <row r="35850" spans="26:26" x14ac:dyDescent="0.25">
      <c r="Z35850"/>
    </row>
    <row r="35851" spans="26:26" x14ac:dyDescent="0.25">
      <c r="Z35851"/>
    </row>
    <row r="35852" spans="26:26" x14ac:dyDescent="0.25">
      <c r="Z35852"/>
    </row>
    <row r="35853" spans="26:26" x14ac:dyDescent="0.25">
      <c r="Z35853"/>
    </row>
    <row r="35854" spans="26:26" x14ac:dyDescent="0.25">
      <c r="Z35854"/>
    </row>
    <row r="35855" spans="26:26" x14ac:dyDescent="0.25">
      <c r="Z35855"/>
    </row>
    <row r="35856" spans="26:26" x14ac:dyDescent="0.25">
      <c r="Z35856"/>
    </row>
    <row r="35857" spans="26:26" x14ac:dyDescent="0.25">
      <c r="Z35857"/>
    </row>
    <row r="35858" spans="26:26" x14ac:dyDescent="0.25">
      <c r="Z35858"/>
    </row>
    <row r="35859" spans="26:26" x14ac:dyDescent="0.25">
      <c r="Z35859"/>
    </row>
    <row r="35860" spans="26:26" x14ac:dyDescent="0.25">
      <c r="Z35860"/>
    </row>
    <row r="35861" spans="26:26" x14ac:dyDescent="0.25">
      <c r="Z35861"/>
    </row>
    <row r="35862" spans="26:26" x14ac:dyDescent="0.25">
      <c r="Z35862"/>
    </row>
    <row r="35863" spans="26:26" x14ac:dyDescent="0.25">
      <c r="Z35863"/>
    </row>
    <row r="35864" spans="26:26" x14ac:dyDescent="0.25">
      <c r="Z35864"/>
    </row>
    <row r="35865" spans="26:26" x14ac:dyDescent="0.25">
      <c r="Z35865"/>
    </row>
    <row r="35866" spans="26:26" x14ac:dyDescent="0.25">
      <c r="Z35866"/>
    </row>
    <row r="35867" spans="26:26" x14ac:dyDescent="0.25">
      <c r="Z35867"/>
    </row>
    <row r="35868" spans="26:26" x14ac:dyDescent="0.25">
      <c r="Z35868"/>
    </row>
    <row r="35869" spans="26:26" x14ac:dyDescent="0.25">
      <c r="Z35869"/>
    </row>
    <row r="35870" spans="26:26" x14ac:dyDescent="0.25">
      <c r="Z35870"/>
    </row>
    <row r="35871" spans="26:26" x14ac:dyDescent="0.25">
      <c r="Z35871"/>
    </row>
    <row r="35872" spans="26:26" x14ac:dyDescent="0.25">
      <c r="Z35872"/>
    </row>
    <row r="35873" spans="26:26" x14ac:dyDescent="0.25">
      <c r="Z35873"/>
    </row>
    <row r="35874" spans="26:26" x14ac:dyDescent="0.25">
      <c r="Z35874"/>
    </row>
    <row r="35875" spans="26:26" x14ac:dyDescent="0.25">
      <c r="Z35875"/>
    </row>
    <row r="35876" spans="26:26" x14ac:dyDescent="0.25">
      <c r="Z35876"/>
    </row>
    <row r="35877" spans="26:26" x14ac:dyDescent="0.25">
      <c r="Z35877"/>
    </row>
    <row r="35878" spans="26:26" x14ac:dyDescent="0.25">
      <c r="Z35878"/>
    </row>
    <row r="35879" spans="26:26" x14ac:dyDescent="0.25">
      <c r="Z35879"/>
    </row>
    <row r="35880" spans="26:26" x14ac:dyDescent="0.25">
      <c r="Z35880"/>
    </row>
    <row r="35881" spans="26:26" x14ac:dyDescent="0.25">
      <c r="Z35881"/>
    </row>
    <row r="35882" spans="26:26" x14ac:dyDescent="0.25">
      <c r="Z35882"/>
    </row>
    <row r="35883" spans="26:26" x14ac:dyDescent="0.25">
      <c r="Z35883"/>
    </row>
    <row r="35884" spans="26:26" x14ac:dyDescent="0.25">
      <c r="Z35884"/>
    </row>
    <row r="35885" spans="26:26" x14ac:dyDescent="0.25">
      <c r="Z35885"/>
    </row>
    <row r="35886" spans="26:26" x14ac:dyDescent="0.25">
      <c r="Z35886"/>
    </row>
    <row r="35887" spans="26:26" x14ac:dyDescent="0.25">
      <c r="Z35887"/>
    </row>
    <row r="35888" spans="26:26" x14ac:dyDescent="0.25">
      <c r="Z35888"/>
    </row>
    <row r="35889" spans="26:26" x14ac:dyDescent="0.25">
      <c r="Z35889"/>
    </row>
    <row r="35890" spans="26:26" x14ac:dyDescent="0.25">
      <c r="Z35890"/>
    </row>
    <row r="35891" spans="26:26" x14ac:dyDescent="0.25">
      <c r="Z35891"/>
    </row>
    <row r="35892" spans="26:26" x14ac:dyDescent="0.25">
      <c r="Z35892"/>
    </row>
    <row r="35893" spans="26:26" x14ac:dyDescent="0.25">
      <c r="Z35893"/>
    </row>
    <row r="35894" spans="26:26" x14ac:dyDescent="0.25">
      <c r="Z35894"/>
    </row>
    <row r="35895" spans="26:26" x14ac:dyDescent="0.25">
      <c r="Z35895"/>
    </row>
    <row r="35896" spans="26:26" x14ac:dyDescent="0.25">
      <c r="Z35896"/>
    </row>
    <row r="35897" spans="26:26" x14ac:dyDescent="0.25">
      <c r="Z35897"/>
    </row>
    <row r="35898" spans="26:26" x14ac:dyDescent="0.25">
      <c r="Z35898"/>
    </row>
    <row r="35899" spans="26:26" x14ac:dyDescent="0.25">
      <c r="Z35899"/>
    </row>
    <row r="35900" spans="26:26" x14ac:dyDescent="0.25">
      <c r="Z35900"/>
    </row>
    <row r="35901" spans="26:26" x14ac:dyDescent="0.25">
      <c r="Z35901"/>
    </row>
    <row r="35902" spans="26:26" x14ac:dyDescent="0.25">
      <c r="Z35902"/>
    </row>
    <row r="35903" spans="26:26" x14ac:dyDescent="0.25">
      <c r="Z35903"/>
    </row>
    <row r="35904" spans="26:26" x14ac:dyDescent="0.25">
      <c r="Z35904"/>
    </row>
    <row r="35905" spans="26:26" x14ac:dyDescent="0.25">
      <c r="Z35905"/>
    </row>
    <row r="35906" spans="26:26" x14ac:dyDescent="0.25">
      <c r="Z35906"/>
    </row>
    <row r="35907" spans="26:26" x14ac:dyDescent="0.25">
      <c r="Z35907"/>
    </row>
    <row r="35908" spans="26:26" x14ac:dyDescent="0.25">
      <c r="Z35908"/>
    </row>
    <row r="35909" spans="26:26" x14ac:dyDescent="0.25">
      <c r="Z35909"/>
    </row>
    <row r="35910" spans="26:26" x14ac:dyDescent="0.25">
      <c r="Z35910"/>
    </row>
    <row r="35911" spans="26:26" x14ac:dyDescent="0.25">
      <c r="Z35911"/>
    </row>
    <row r="35912" spans="26:26" x14ac:dyDescent="0.25">
      <c r="Z35912"/>
    </row>
    <row r="35913" spans="26:26" x14ac:dyDescent="0.25">
      <c r="Z35913"/>
    </row>
    <row r="35914" spans="26:26" x14ac:dyDescent="0.25">
      <c r="Z35914"/>
    </row>
    <row r="35915" spans="26:26" x14ac:dyDescent="0.25">
      <c r="Z35915"/>
    </row>
    <row r="35916" spans="26:26" x14ac:dyDescent="0.25">
      <c r="Z35916"/>
    </row>
    <row r="35917" spans="26:26" x14ac:dyDescent="0.25">
      <c r="Z35917"/>
    </row>
    <row r="35918" spans="26:26" x14ac:dyDescent="0.25">
      <c r="Z35918"/>
    </row>
    <row r="35919" spans="26:26" x14ac:dyDescent="0.25">
      <c r="Z35919"/>
    </row>
    <row r="35920" spans="26:26" x14ac:dyDescent="0.25">
      <c r="Z35920"/>
    </row>
    <row r="35921" spans="26:26" x14ac:dyDescent="0.25">
      <c r="Z35921"/>
    </row>
    <row r="35922" spans="26:26" x14ac:dyDescent="0.25">
      <c r="Z35922"/>
    </row>
    <row r="35923" spans="26:26" x14ac:dyDescent="0.25">
      <c r="Z35923"/>
    </row>
    <row r="35924" spans="26:26" x14ac:dyDescent="0.25">
      <c r="Z35924"/>
    </row>
    <row r="35925" spans="26:26" x14ac:dyDescent="0.25">
      <c r="Z35925"/>
    </row>
    <row r="35926" spans="26:26" x14ac:dyDescent="0.25">
      <c r="Z35926"/>
    </row>
    <row r="35927" spans="26:26" x14ac:dyDescent="0.25">
      <c r="Z35927"/>
    </row>
    <row r="35928" spans="26:26" x14ac:dyDescent="0.25">
      <c r="Z35928"/>
    </row>
    <row r="35929" spans="26:26" x14ac:dyDescent="0.25">
      <c r="Z35929"/>
    </row>
    <row r="35930" spans="26:26" x14ac:dyDescent="0.25">
      <c r="Z35930"/>
    </row>
    <row r="35931" spans="26:26" x14ac:dyDescent="0.25">
      <c r="Z35931"/>
    </row>
    <row r="35932" spans="26:26" x14ac:dyDescent="0.25">
      <c r="Z35932"/>
    </row>
    <row r="35933" spans="26:26" x14ac:dyDescent="0.25">
      <c r="Z35933"/>
    </row>
    <row r="35934" spans="26:26" x14ac:dyDescent="0.25">
      <c r="Z35934"/>
    </row>
    <row r="35935" spans="26:26" x14ac:dyDescent="0.25">
      <c r="Z35935"/>
    </row>
    <row r="35936" spans="26:26" x14ac:dyDescent="0.25">
      <c r="Z35936"/>
    </row>
    <row r="35937" spans="26:26" x14ac:dyDescent="0.25">
      <c r="Z35937"/>
    </row>
    <row r="35938" spans="26:26" x14ac:dyDescent="0.25">
      <c r="Z35938"/>
    </row>
    <row r="35939" spans="26:26" x14ac:dyDescent="0.25">
      <c r="Z35939"/>
    </row>
    <row r="35940" spans="26:26" x14ac:dyDescent="0.25">
      <c r="Z35940"/>
    </row>
    <row r="35941" spans="26:26" x14ac:dyDescent="0.25">
      <c r="Z35941"/>
    </row>
    <row r="35942" spans="26:26" x14ac:dyDescent="0.25">
      <c r="Z35942"/>
    </row>
    <row r="35943" spans="26:26" x14ac:dyDescent="0.25">
      <c r="Z35943"/>
    </row>
    <row r="35944" spans="26:26" x14ac:dyDescent="0.25">
      <c r="Z35944"/>
    </row>
    <row r="35945" spans="26:26" x14ac:dyDescent="0.25">
      <c r="Z35945"/>
    </row>
    <row r="35946" spans="26:26" x14ac:dyDescent="0.25">
      <c r="Z35946"/>
    </row>
    <row r="35947" spans="26:26" x14ac:dyDescent="0.25">
      <c r="Z35947"/>
    </row>
    <row r="35948" spans="26:26" x14ac:dyDescent="0.25">
      <c r="Z35948"/>
    </row>
    <row r="35949" spans="26:26" x14ac:dyDescent="0.25">
      <c r="Z35949"/>
    </row>
    <row r="35950" spans="26:26" x14ac:dyDescent="0.25">
      <c r="Z35950"/>
    </row>
    <row r="35951" spans="26:26" x14ac:dyDescent="0.25">
      <c r="Z35951"/>
    </row>
    <row r="35952" spans="26:26" x14ac:dyDescent="0.25">
      <c r="Z35952"/>
    </row>
    <row r="35953" spans="26:26" x14ac:dyDescent="0.25">
      <c r="Z35953"/>
    </row>
    <row r="35954" spans="26:26" x14ac:dyDescent="0.25">
      <c r="Z35954"/>
    </row>
    <row r="35955" spans="26:26" x14ac:dyDescent="0.25">
      <c r="Z35955"/>
    </row>
    <row r="35956" spans="26:26" x14ac:dyDescent="0.25">
      <c r="Z35956"/>
    </row>
    <row r="35957" spans="26:26" x14ac:dyDescent="0.25">
      <c r="Z35957"/>
    </row>
    <row r="35958" spans="26:26" x14ac:dyDescent="0.25">
      <c r="Z35958"/>
    </row>
    <row r="35959" spans="26:26" x14ac:dyDescent="0.25">
      <c r="Z35959"/>
    </row>
    <row r="35960" spans="26:26" x14ac:dyDescent="0.25">
      <c r="Z35960"/>
    </row>
    <row r="35961" spans="26:26" x14ac:dyDescent="0.25">
      <c r="Z35961"/>
    </row>
    <row r="35962" spans="26:26" x14ac:dyDescent="0.25">
      <c r="Z35962"/>
    </row>
    <row r="35963" spans="26:26" x14ac:dyDescent="0.25">
      <c r="Z35963"/>
    </row>
    <row r="35964" spans="26:26" x14ac:dyDescent="0.25">
      <c r="Z35964"/>
    </row>
    <row r="35965" spans="26:26" x14ac:dyDescent="0.25">
      <c r="Z35965"/>
    </row>
    <row r="35966" spans="26:26" x14ac:dyDescent="0.25">
      <c r="Z35966"/>
    </row>
    <row r="35967" spans="26:26" x14ac:dyDescent="0.25">
      <c r="Z35967"/>
    </row>
    <row r="35968" spans="26:26" x14ac:dyDescent="0.25">
      <c r="Z35968"/>
    </row>
    <row r="35969" spans="26:26" x14ac:dyDescent="0.25">
      <c r="Z35969"/>
    </row>
    <row r="35970" spans="26:26" x14ac:dyDescent="0.25">
      <c r="Z35970"/>
    </row>
    <row r="35971" spans="26:26" x14ac:dyDescent="0.25">
      <c r="Z35971"/>
    </row>
    <row r="35972" spans="26:26" x14ac:dyDescent="0.25">
      <c r="Z35972"/>
    </row>
    <row r="35973" spans="26:26" x14ac:dyDescent="0.25">
      <c r="Z35973"/>
    </row>
    <row r="35974" spans="26:26" x14ac:dyDescent="0.25">
      <c r="Z35974"/>
    </row>
    <row r="35975" spans="26:26" x14ac:dyDescent="0.25">
      <c r="Z35975"/>
    </row>
    <row r="35976" spans="26:26" x14ac:dyDescent="0.25">
      <c r="Z35976"/>
    </row>
    <row r="35977" spans="26:26" x14ac:dyDescent="0.25">
      <c r="Z35977"/>
    </row>
    <row r="35978" spans="26:26" x14ac:dyDescent="0.25">
      <c r="Z35978"/>
    </row>
    <row r="35979" spans="26:26" x14ac:dyDescent="0.25">
      <c r="Z35979"/>
    </row>
    <row r="35980" spans="26:26" x14ac:dyDescent="0.25">
      <c r="Z35980"/>
    </row>
    <row r="35981" spans="26:26" x14ac:dyDescent="0.25">
      <c r="Z35981"/>
    </row>
    <row r="35982" spans="26:26" x14ac:dyDescent="0.25">
      <c r="Z35982"/>
    </row>
    <row r="35983" spans="26:26" x14ac:dyDescent="0.25">
      <c r="Z35983"/>
    </row>
    <row r="35984" spans="26:26" x14ac:dyDescent="0.25">
      <c r="Z35984"/>
    </row>
    <row r="35985" spans="26:26" x14ac:dyDescent="0.25">
      <c r="Z35985"/>
    </row>
    <row r="35986" spans="26:26" x14ac:dyDescent="0.25">
      <c r="Z35986"/>
    </row>
    <row r="35987" spans="26:26" x14ac:dyDescent="0.25">
      <c r="Z35987"/>
    </row>
    <row r="35988" spans="26:26" x14ac:dyDescent="0.25">
      <c r="Z35988"/>
    </row>
    <row r="35989" spans="26:26" x14ac:dyDescent="0.25">
      <c r="Z35989"/>
    </row>
    <row r="35990" spans="26:26" x14ac:dyDescent="0.25">
      <c r="Z35990"/>
    </row>
    <row r="35991" spans="26:26" x14ac:dyDescent="0.25">
      <c r="Z35991"/>
    </row>
    <row r="35992" spans="26:26" x14ac:dyDescent="0.25">
      <c r="Z35992"/>
    </row>
    <row r="35993" spans="26:26" x14ac:dyDescent="0.25">
      <c r="Z35993"/>
    </row>
    <row r="35994" spans="26:26" x14ac:dyDescent="0.25">
      <c r="Z35994"/>
    </row>
    <row r="35995" spans="26:26" x14ac:dyDescent="0.25">
      <c r="Z35995"/>
    </row>
    <row r="35996" spans="26:26" x14ac:dyDescent="0.25">
      <c r="Z35996"/>
    </row>
    <row r="35997" spans="26:26" x14ac:dyDescent="0.25">
      <c r="Z35997"/>
    </row>
    <row r="35998" spans="26:26" x14ac:dyDescent="0.25">
      <c r="Z35998"/>
    </row>
    <row r="35999" spans="26:26" x14ac:dyDescent="0.25">
      <c r="Z35999"/>
    </row>
    <row r="36000" spans="26:26" x14ac:dyDescent="0.25">
      <c r="Z36000"/>
    </row>
    <row r="36001" spans="26:26" x14ac:dyDescent="0.25">
      <c r="Z36001"/>
    </row>
    <row r="36002" spans="26:26" x14ac:dyDescent="0.25">
      <c r="Z36002"/>
    </row>
    <row r="36003" spans="26:26" x14ac:dyDescent="0.25">
      <c r="Z36003"/>
    </row>
    <row r="36004" spans="26:26" x14ac:dyDescent="0.25">
      <c r="Z36004"/>
    </row>
    <row r="36005" spans="26:26" x14ac:dyDescent="0.25">
      <c r="Z36005"/>
    </row>
    <row r="36006" spans="26:26" x14ac:dyDescent="0.25">
      <c r="Z36006"/>
    </row>
    <row r="36007" spans="26:26" x14ac:dyDescent="0.25">
      <c r="Z36007"/>
    </row>
    <row r="36008" spans="26:26" x14ac:dyDescent="0.25">
      <c r="Z36008"/>
    </row>
    <row r="36009" spans="26:26" x14ac:dyDescent="0.25">
      <c r="Z36009"/>
    </row>
    <row r="36010" spans="26:26" x14ac:dyDescent="0.25">
      <c r="Z36010"/>
    </row>
    <row r="36011" spans="26:26" x14ac:dyDescent="0.25">
      <c r="Z36011"/>
    </row>
    <row r="36012" spans="26:26" x14ac:dyDescent="0.25">
      <c r="Z36012"/>
    </row>
    <row r="36013" spans="26:26" x14ac:dyDescent="0.25">
      <c r="Z36013"/>
    </row>
    <row r="36014" spans="26:26" x14ac:dyDescent="0.25">
      <c r="Z36014"/>
    </row>
    <row r="36015" spans="26:26" x14ac:dyDescent="0.25">
      <c r="Z36015"/>
    </row>
    <row r="36016" spans="26:26" x14ac:dyDescent="0.25">
      <c r="Z36016"/>
    </row>
    <row r="36017" spans="26:26" x14ac:dyDescent="0.25">
      <c r="Z36017"/>
    </row>
    <row r="36018" spans="26:26" x14ac:dyDescent="0.25">
      <c r="Z36018"/>
    </row>
    <row r="36019" spans="26:26" x14ac:dyDescent="0.25">
      <c r="Z36019"/>
    </row>
    <row r="36020" spans="26:26" x14ac:dyDescent="0.25">
      <c r="Z36020"/>
    </row>
    <row r="36021" spans="26:26" x14ac:dyDescent="0.25">
      <c r="Z36021"/>
    </row>
    <row r="36022" spans="26:26" x14ac:dyDescent="0.25">
      <c r="Z36022"/>
    </row>
    <row r="36023" spans="26:26" x14ac:dyDescent="0.25">
      <c r="Z36023"/>
    </row>
    <row r="36024" spans="26:26" x14ac:dyDescent="0.25">
      <c r="Z36024"/>
    </row>
    <row r="36025" spans="26:26" x14ac:dyDescent="0.25">
      <c r="Z36025"/>
    </row>
    <row r="36026" spans="26:26" x14ac:dyDescent="0.25">
      <c r="Z36026"/>
    </row>
    <row r="36027" spans="26:26" x14ac:dyDescent="0.25">
      <c r="Z36027"/>
    </row>
    <row r="36028" spans="26:26" x14ac:dyDescent="0.25">
      <c r="Z36028"/>
    </row>
    <row r="36029" spans="26:26" x14ac:dyDescent="0.25">
      <c r="Z36029"/>
    </row>
    <row r="36030" spans="26:26" x14ac:dyDescent="0.25">
      <c r="Z36030"/>
    </row>
    <row r="36031" spans="26:26" x14ac:dyDescent="0.25">
      <c r="Z36031"/>
    </row>
    <row r="36032" spans="26:26" x14ac:dyDescent="0.25">
      <c r="Z36032"/>
    </row>
    <row r="36033" spans="26:26" x14ac:dyDescent="0.25">
      <c r="Z36033"/>
    </row>
    <row r="36034" spans="26:26" x14ac:dyDescent="0.25">
      <c r="Z36034"/>
    </row>
    <row r="36035" spans="26:26" x14ac:dyDescent="0.25">
      <c r="Z36035"/>
    </row>
    <row r="36036" spans="26:26" x14ac:dyDescent="0.25">
      <c r="Z36036"/>
    </row>
    <row r="36037" spans="26:26" x14ac:dyDescent="0.25">
      <c r="Z36037"/>
    </row>
    <row r="36038" spans="26:26" x14ac:dyDescent="0.25">
      <c r="Z36038"/>
    </row>
    <row r="36039" spans="26:26" x14ac:dyDescent="0.25">
      <c r="Z36039"/>
    </row>
    <row r="36040" spans="26:26" x14ac:dyDescent="0.25">
      <c r="Z36040"/>
    </row>
    <row r="36041" spans="26:26" x14ac:dyDescent="0.25">
      <c r="Z36041"/>
    </row>
    <row r="36042" spans="26:26" x14ac:dyDescent="0.25">
      <c r="Z36042"/>
    </row>
    <row r="36043" spans="26:26" x14ac:dyDescent="0.25">
      <c r="Z36043"/>
    </row>
    <row r="36044" spans="26:26" x14ac:dyDescent="0.25">
      <c r="Z36044"/>
    </row>
    <row r="36045" spans="26:26" x14ac:dyDescent="0.25">
      <c r="Z36045"/>
    </row>
    <row r="36046" spans="26:26" x14ac:dyDescent="0.25">
      <c r="Z36046"/>
    </row>
    <row r="36047" spans="26:26" x14ac:dyDescent="0.25">
      <c r="Z36047"/>
    </row>
    <row r="36048" spans="26:26" x14ac:dyDescent="0.25">
      <c r="Z36048"/>
    </row>
    <row r="36049" spans="26:26" x14ac:dyDescent="0.25">
      <c r="Z36049"/>
    </row>
    <row r="36050" spans="26:26" x14ac:dyDescent="0.25">
      <c r="Z36050"/>
    </row>
    <row r="36051" spans="26:26" x14ac:dyDescent="0.25">
      <c r="Z36051"/>
    </row>
    <row r="36052" spans="26:26" x14ac:dyDescent="0.25">
      <c r="Z36052"/>
    </row>
    <row r="36053" spans="26:26" x14ac:dyDescent="0.25">
      <c r="Z36053"/>
    </row>
    <row r="36054" spans="26:26" x14ac:dyDescent="0.25">
      <c r="Z36054"/>
    </row>
    <row r="36055" spans="26:26" x14ac:dyDescent="0.25">
      <c r="Z36055"/>
    </row>
    <row r="36056" spans="26:26" x14ac:dyDescent="0.25">
      <c r="Z36056"/>
    </row>
    <row r="36057" spans="26:26" x14ac:dyDescent="0.25">
      <c r="Z36057"/>
    </row>
    <row r="36058" spans="26:26" x14ac:dyDescent="0.25">
      <c r="Z36058"/>
    </row>
    <row r="36059" spans="26:26" x14ac:dyDescent="0.25">
      <c r="Z36059"/>
    </row>
    <row r="36060" spans="26:26" x14ac:dyDescent="0.25">
      <c r="Z36060"/>
    </row>
    <row r="36061" spans="26:26" x14ac:dyDescent="0.25">
      <c r="Z36061"/>
    </row>
    <row r="36062" spans="26:26" x14ac:dyDescent="0.25">
      <c r="Z36062"/>
    </row>
    <row r="36063" spans="26:26" x14ac:dyDescent="0.25">
      <c r="Z36063"/>
    </row>
    <row r="36064" spans="26:26" x14ac:dyDescent="0.25">
      <c r="Z36064"/>
    </row>
    <row r="36065" spans="26:26" x14ac:dyDescent="0.25">
      <c r="Z36065"/>
    </row>
    <row r="36066" spans="26:26" x14ac:dyDescent="0.25">
      <c r="Z36066"/>
    </row>
    <row r="36067" spans="26:26" x14ac:dyDescent="0.25">
      <c r="Z36067"/>
    </row>
    <row r="36068" spans="26:26" x14ac:dyDescent="0.25">
      <c r="Z36068"/>
    </row>
    <row r="36069" spans="26:26" x14ac:dyDescent="0.25">
      <c r="Z36069"/>
    </row>
    <row r="36070" spans="26:26" x14ac:dyDescent="0.25">
      <c r="Z36070"/>
    </row>
    <row r="36071" spans="26:26" x14ac:dyDescent="0.25">
      <c r="Z36071"/>
    </row>
    <row r="36072" spans="26:26" x14ac:dyDescent="0.25">
      <c r="Z36072"/>
    </row>
    <row r="36073" spans="26:26" x14ac:dyDescent="0.25">
      <c r="Z36073"/>
    </row>
    <row r="36074" spans="26:26" x14ac:dyDescent="0.25">
      <c r="Z36074"/>
    </row>
    <row r="36075" spans="26:26" x14ac:dyDescent="0.25">
      <c r="Z36075"/>
    </row>
    <row r="36076" spans="26:26" x14ac:dyDescent="0.25">
      <c r="Z36076"/>
    </row>
    <row r="36077" spans="26:26" x14ac:dyDescent="0.25">
      <c r="Z36077"/>
    </row>
    <row r="36078" spans="26:26" x14ac:dyDescent="0.25">
      <c r="Z36078"/>
    </row>
    <row r="36079" spans="26:26" x14ac:dyDescent="0.25">
      <c r="Z36079"/>
    </row>
    <row r="36080" spans="26:26" x14ac:dyDescent="0.25">
      <c r="Z36080"/>
    </row>
    <row r="36081" spans="26:26" x14ac:dyDescent="0.25">
      <c r="Z36081"/>
    </row>
    <row r="36082" spans="26:26" x14ac:dyDescent="0.25">
      <c r="Z36082"/>
    </row>
    <row r="36083" spans="26:26" x14ac:dyDescent="0.25">
      <c r="Z36083"/>
    </row>
    <row r="36084" spans="26:26" x14ac:dyDescent="0.25">
      <c r="Z36084"/>
    </row>
    <row r="36085" spans="26:26" x14ac:dyDescent="0.25">
      <c r="Z36085"/>
    </row>
    <row r="36086" spans="26:26" x14ac:dyDescent="0.25">
      <c r="Z36086"/>
    </row>
    <row r="36087" spans="26:26" x14ac:dyDescent="0.25">
      <c r="Z36087"/>
    </row>
    <row r="36088" spans="26:26" x14ac:dyDescent="0.25">
      <c r="Z36088"/>
    </row>
    <row r="36089" spans="26:26" x14ac:dyDescent="0.25">
      <c r="Z36089"/>
    </row>
    <row r="36090" spans="26:26" x14ac:dyDescent="0.25">
      <c r="Z36090"/>
    </row>
    <row r="36091" spans="26:26" x14ac:dyDescent="0.25">
      <c r="Z36091"/>
    </row>
    <row r="36092" spans="26:26" x14ac:dyDescent="0.25">
      <c r="Z36092"/>
    </row>
    <row r="36093" spans="26:26" x14ac:dyDescent="0.25">
      <c r="Z36093"/>
    </row>
    <row r="36094" spans="26:26" x14ac:dyDescent="0.25">
      <c r="Z36094"/>
    </row>
    <row r="36095" spans="26:26" x14ac:dyDescent="0.25">
      <c r="Z36095"/>
    </row>
    <row r="36096" spans="26:26" x14ac:dyDescent="0.25">
      <c r="Z36096"/>
    </row>
    <row r="36097" spans="26:26" x14ac:dyDescent="0.25">
      <c r="Z36097"/>
    </row>
    <row r="36098" spans="26:26" x14ac:dyDescent="0.25">
      <c r="Z36098"/>
    </row>
    <row r="36099" spans="26:26" x14ac:dyDescent="0.25">
      <c r="Z36099"/>
    </row>
    <row r="36100" spans="26:26" x14ac:dyDescent="0.25">
      <c r="Z36100"/>
    </row>
    <row r="36101" spans="26:26" x14ac:dyDescent="0.25">
      <c r="Z36101"/>
    </row>
    <row r="36102" spans="26:26" x14ac:dyDescent="0.25">
      <c r="Z36102"/>
    </row>
    <row r="36103" spans="26:26" x14ac:dyDescent="0.25">
      <c r="Z36103"/>
    </row>
    <row r="36104" spans="26:26" x14ac:dyDescent="0.25">
      <c r="Z36104"/>
    </row>
    <row r="36105" spans="26:26" x14ac:dyDescent="0.25">
      <c r="Z36105"/>
    </row>
    <row r="36106" spans="26:26" x14ac:dyDescent="0.25">
      <c r="Z36106"/>
    </row>
    <row r="36107" spans="26:26" x14ac:dyDescent="0.25">
      <c r="Z36107"/>
    </row>
    <row r="36108" spans="26:26" x14ac:dyDescent="0.25">
      <c r="Z36108"/>
    </row>
    <row r="36109" spans="26:26" x14ac:dyDescent="0.25">
      <c r="Z36109"/>
    </row>
    <row r="36110" spans="26:26" x14ac:dyDescent="0.25">
      <c r="Z36110"/>
    </row>
    <row r="36111" spans="26:26" x14ac:dyDescent="0.25">
      <c r="Z36111"/>
    </row>
    <row r="36112" spans="26:26" x14ac:dyDescent="0.25">
      <c r="Z36112"/>
    </row>
    <row r="36113" spans="26:26" x14ac:dyDescent="0.25">
      <c r="Z36113"/>
    </row>
    <row r="36114" spans="26:26" x14ac:dyDescent="0.25">
      <c r="Z36114"/>
    </row>
    <row r="36115" spans="26:26" x14ac:dyDescent="0.25">
      <c r="Z36115"/>
    </row>
    <row r="36116" spans="26:26" x14ac:dyDescent="0.25">
      <c r="Z36116"/>
    </row>
    <row r="36117" spans="26:26" x14ac:dyDescent="0.25">
      <c r="Z36117"/>
    </row>
    <row r="36118" spans="26:26" x14ac:dyDescent="0.25">
      <c r="Z36118"/>
    </row>
    <row r="36119" spans="26:26" x14ac:dyDescent="0.25">
      <c r="Z36119"/>
    </row>
    <row r="36120" spans="26:26" x14ac:dyDescent="0.25">
      <c r="Z36120"/>
    </row>
    <row r="36121" spans="26:26" x14ac:dyDescent="0.25">
      <c r="Z36121"/>
    </row>
    <row r="36122" spans="26:26" x14ac:dyDescent="0.25">
      <c r="Z36122"/>
    </row>
    <row r="36123" spans="26:26" x14ac:dyDescent="0.25">
      <c r="Z36123"/>
    </row>
    <row r="36124" spans="26:26" x14ac:dyDescent="0.25">
      <c r="Z36124"/>
    </row>
    <row r="36125" spans="26:26" x14ac:dyDescent="0.25">
      <c r="Z36125"/>
    </row>
    <row r="36126" spans="26:26" x14ac:dyDescent="0.25">
      <c r="Z36126"/>
    </row>
    <row r="36127" spans="26:26" x14ac:dyDescent="0.25">
      <c r="Z36127"/>
    </row>
    <row r="36128" spans="26:26" x14ac:dyDescent="0.25">
      <c r="Z36128"/>
    </row>
    <row r="36129" spans="26:26" x14ac:dyDescent="0.25">
      <c r="Z36129"/>
    </row>
    <row r="36130" spans="26:26" x14ac:dyDescent="0.25">
      <c r="Z36130"/>
    </row>
    <row r="36131" spans="26:26" x14ac:dyDescent="0.25">
      <c r="Z36131"/>
    </row>
    <row r="36132" spans="26:26" x14ac:dyDescent="0.25">
      <c r="Z36132"/>
    </row>
    <row r="36133" spans="26:26" x14ac:dyDescent="0.25">
      <c r="Z36133"/>
    </row>
    <row r="36134" spans="26:26" x14ac:dyDescent="0.25">
      <c r="Z36134"/>
    </row>
    <row r="36135" spans="26:26" x14ac:dyDescent="0.25">
      <c r="Z36135"/>
    </row>
    <row r="36136" spans="26:26" x14ac:dyDescent="0.25">
      <c r="Z36136"/>
    </row>
    <row r="36137" spans="26:26" x14ac:dyDescent="0.25">
      <c r="Z36137"/>
    </row>
    <row r="36138" spans="26:26" x14ac:dyDescent="0.25">
      <c r="Z36138"/>
    </row>
    <row r="36139" spans="26:26" x14ac:dyDescent="0.25">
      <c r="Z36139"/>
    </row>
    <row r="36140" spans="26:26" x14ac:dyDescent="0.25">
      <c r="Z36140"/>
    </row>
    <row r="36141" spans="26:26" x14ac:dyDescent="0.25">
      <c r="Z36141"/>
    </row>
    <row r="36142" spans="26:26" x14ac:dyDescent="0.25">
      <c r="Z36142"/>
    </row>
    <row r="36143" spans="26:26" x14ac:dyDescent="0.25">
      <c r="Z36143"/>
    </row>
    <row r="36144" spans="26:26" x14ac:dyDescent="0.25">
      <c r="Z36144"/>
    </row>
    <row r="36145" spans="26:26" x14ac:dyDescent="0.25">
      <c r="Z36145"/>
    </row>
    <row r="36146" spans="26:26" x14ac:dyDescent="0.25">
      <c r="Z36146"/>
    </row>
    <row r="36147" spans="26:26" x14ac:dyDescent="0.25">
      <c r="Z36147"/>
    </row>
    <row r="36148" spans="26:26" x14ac:dyDescent="0.25">
      <c r="Z36148"/>
    </row>
    <row r="36149" spans="26:26" x14ac:dyDescent="0.25">
      <c r="Z36149"/>
    </row>
    <row r="36150" spans="26:26" x14ac:dyDescent="0.25">
      <c r="Z36150"/>
    </row>
    <row r="36151" spans="26:26" x14ac:dyDescent="0.25">
      <c r="Z36151"/>
    </row>
    <row r="36152" spans="26:26" x14ac:dyDescent="0.25">
      <c r="Z36152"/>
    </row>
    <row r="36153" spans="26:26" x14ac:dyDescent="0.25">
      <c r="Z36153"/>
    </row>
    <row r="36154" spans="26:26" x14ac:dyDescent="0.25">
      <c r="Z36154"/>
    </row>
    <row r="36155" spans="26:26" x14ac:dyDescent="0.25">
      <c r="Z36155"/>
    </row>
    <row r="36156" spans="26:26" x14ac:dyDescent="0.25">
      <c r="Z36156"/>
    </row>
    <row r="36157" spans="26:26" x14ac:dyDescent="0.25">
      <c r="Z36157"/>
    </row>
    <row r="36158" spans="26:26" x14ac:dyDescent="0.25">
      <c r="Z36158"/>
    </row>
    <row r="36159" spans="26:26" x14ac:dyDescent="0.25">
      <c r="Z36159"/>
    </row>
    <row r="36160" spans="26:26" x14ac:dyDescent="0.25">
      <c r="Z36160"/>
    </row>
    <row r="36161" spans="26:26" x14ac:dyDescent="0.25">
      <c r="Z36161"/>
    </row>
    <row r="36162" spans="26:26" x14ac:dyDescent="0.25">
      <c r="Z36162"/>
    </row>
    <row r="36163" spans="26:26" x14ac:dyDescent="0.25">
      <c r="Z36163"/>
    </row>
    <row r="36164" spans="26:26" x14ac:dyDescent="0.25">
      <c r="Z36164"/>
    </row>
    <row r="36165" spans="26:26" x14ac:dyDescent="0.25">
      <c r="Z36165"/>
    </row>
    <row r="36166" spans="26:26" x14ac:dyDescent="0.25">
      <c r="Z36166"/>
    </row>
    <row r="36167" spans="26:26" x14ac:dyDescent="0.25">
      <c r="Z36167"/>
    </row>
    <row r="36168" spans="26:26" x14ac:dyDescent="0.25">
      <c r="Z36168"/>
    </row>
    <row r="36169" spans="26:26" x14ac:dyDescent="0.25">
      <c r="Z36169"/>
    </row>
    <row r="36170" spans="26:26" x14ac:dyDescent="0.25">
      <c r="Z36170"/>
    </row>
    <row r="36171" spans="26:26" x14ac:dyDescent="0.25">
      <c r="Z36171"/>
    </row>
    <row r="36172" spans="26:26" x14ac:dyDescent="0.25">
      <c r="Z36172"/>
    </row>
    <row r="36173" spans="26:26" x14ac:dyDescent="0.25">
      <c r="Z36173"/>
    </row>
    <row r="36174" spans="26:26" x14ac:dyDescent="0.25">
      <c r="Z36174"/>
    </row>
    <row r="36175" spans="26:26" x14ac:dyDescent="0.25">
      <c r="Z36175"/>
    </row>
    <row r="36176" spans="26:26" x14ac:dyDescent="0.25">
      <c r="Z36176"/>
    </row>
    <row r="36177" spans="26:26" x14ac:dyDescent="0.25">
      <c r="Z36177"/>
    </row>
    <row r="36178" spans="26:26" x14ac:dyDescent="0.25">
      <c r="Z36178"/>
    </row>
    <row r="36179" spans="26:26" x14ac:dyDescent="0.25">
      <c r="Z36179"/>
    </row>
    <row r="36180" spans="26:26" x14ac:dyDescent="0.25">
      <c r="Z36180"/>
    </row>
    <row r="36181" spans="26:26" x14ac:dyDescent="0.25">
      <c r="Z36181"/>
    </row>
    <row r="36182" spans="26:26" x14ac:dyDescent="0.25">
      <c r="Z36182"/>
    </row>
    <row r="36183" spans="26:26" x14ac:dyDescent="0.25">
      <c r="Z36183"/>
    </row>
    <row r="36184" spans="26:26" x14ac:dyDescent="0.25">
      <c r="Z36184"/>
    </row>
    <row r="36185" spans="26:26" x14ac:dyDescent="0.25">
      <c r="Z36185"/>
    </row>
    <row r="36186" spans="26:26" x14ac:dyDescent="0.25">
      <c r="Z36186"/>
    </row>
    <row r="36187" spans="26:26" x14ac:dyDescent="0.25">
      <c r="Z36187"/>
    </row>
    <row r="36188" spans="26:26" x14ac:dyDescent="0.25">
      <c r="Z36188"/>
    </row>
    <row r="36189" spans="26:26" x14ac:dyDescent="0.25">
      <c r="Z36189"/>
    </row>
    <row r="36190" spans="26:26" x14ac:dyDescent="0.25">
      <c r="Z36190"/>
    </row>
    <row r="36191" spans="26:26" x14ac:dyDescent="0.25">
      <c r="Z36191"/>
    </row>
    <row r="36192" spans="26:26" x14ac:dyDescent="0.25">
      <c r="Z36192"/>
    </row>
    <row r="36193" spans="26:26" x14ac:dyDescent="0.25">
      <c r="Z36193"/>
    </row>
    <row r="36194" spans="26:26" x14ac:dyDescent="0.25">
      <c r="Z36194"/>
    </row>
    <row r="36195" spans="26:26" x14ac:dyDescent="0.25">
      <c r="Z36195"/>
    </row>
    <row r="36196" spans="26:26" x14ac:dyDescent="0.25">
      <c r="Z36196"/>
    </row>
    <row r="36197" spans="26:26" x14ac:dyDescent="0.25">
      <c r="Z36197"/>
    </row>
    <row r="36198" spans="26:26" x14ac:dyDescent="0.25">
      <c r="Z36198"/>
    </row>
    <row r="36199" spans="26:26" x14ac:dyDescent="0.25">
      <c r="Z36199"/>
    </row>
    <row r="36200" spans="26:26" x14ac:dyDescent="0.25">
      <c r="Z36200"/>
    </row>
    <row r="36201" spans="26:26" x14ac:dyDescent="0.25">
      <c r="Z36201"/>
    </row>
    <row r="36202" spans="26:26" x14ac:dyDescent="0.25">
      <c r="Z36202"/>
    </row>
    <row r="36203" spans="26:26" x14ac:dyDescent="0.25">
      <c r="Z36203"/>
    </row>
    <row r="36204" spans="26:26" x14ac:dyDescent="0.25">
      <c r="Z36204"/>
    </row>
    <row r="36205" spans="26:26" x14ac:dyDescent="0.25">
      <c r="Z36205"/>
    </row>
    <row r="36206" spans="26:26" x14ac:dyDescent="0.25">
      <c r="Z36206"/>
    </row>
    <row r="36207" spans="26:26" x14ac:dyDescent="0.25">
      <c r="Z36207"/>
    </row>
    <row r="36208" spans="26:26" x14ac:dyDescent="0.25">
      <c r="Z36208"/>
    </row>
    <row r="36209" spans="26:26" x14ac:dyDescent="0.25">
      <c r="Z36209"/>
    </row>
    <row r="36210" spans="26:26" x14ac:dyDescent="0.25">
      <c r="Z36210"/>
    </row>
    <row r="36211" spans="26:26" x14ac:dyDescent="0.25">
      <c r="Z36211"/>
    </row>
    <row r="36212" spans="26:26" x14ac:dyDescent="0.25">
      <c r="Z36212"/>
    </row>
    <row r="36213" spans="26:26" x14ac:dyDescent="0.25">
      <c r="Z36213"/>
    </row>
    <row r="36214" spans="26:26" x14ac:dyDescent="0.25">
      <c r="Z36214"/>
    </row>
    <row r="36215" spans="26:26" x14ac:dyDescent="0.25">
      <c r="Z36215"/>
    </row>
    <row r="36216" spans="26:26" x14ac:dyDescent="0.25">
      <c r="Z36216"/>
    </row>
    <row r="36217" spans="26:26" x14ac:dyDescent="0.25">
      <c r="Z36217"/>
    </row>
    <row r="36218" spans="26:26" x14ac:dyDescent="0.25">
      <c r="Z36218"/>
    </row>
    <row r="36219" spans="26:26" x14ac:dyDescent="0.25">
      <c r="Z36219"/>
    </row>
    <row r="36220" spans="26:26" x14ac:dyDescent="0.25">
      <c r="Z36220"/>
    </row>
    <row r="36221" spans="26:26" x14ac:dyDescent="0.25">
      <c r="Z36221"/>
    </row>
    <row r="36222" spans="26:26" x14ac:dyDescent="0.25">
      <c r="Z36222"/>
    </row>
    <row r="36223" spans="26:26" x14ac:dyDescent="0.25">
      <c r="Z36223"/>
    </row>
    <row r="36224" spans="26:26" x14ac:dyDescent="0.25">
      <c r="Z36224"/>
    </row>
    <row r="36225" spans="26:26" x14ac:dyDescent="0.25">
      <c r="Z36225"/>
    </row>
    <row r="36226" spans="26:26" x14ac:dyDescent="0.25">
      <c r="Z36226"/>
    </row>
    <row r="36227" spans="26:26" x14ac:dyDescent="0.25">
      <c r="Z36227"/>
    </row>
    <row r="36228" spans="26:26" x14ac:dyDescent="0.25">
      <c r="Z36228"/>
    </row>
    <row r="36229" spans="26:26" x14ac:dyDescent="0.25">
      <c r="Z36229"/>
    </row>
    <row r="36230" spans="26:26" x14ac:dyDescent="0.25">
      <c r="Z36230"/>
    </row>
    <row r="36231" spans="26:26" x14ac:dyDescent="0.25">
      <c r="Z36231"/>
    </row>
    <row r="36232" spans="26:26" x14ac:dyDescent="0.25">
      <c r="Z36232"/>
    </row>
    <row r="36233" spans="26:26" x14ac:dyDescent="0.25">
      <c r="Z36233"/>
    </row>
    <row r="36234" spans="26:26" x14ac:dyDescent="0.25">
      <c r="Z36234"/>
    </row>
    <row r="36235" spans="26:26" x14ac:dyDescent="0.25">
      <c r="Z36235"/>
    </row>
    <row r="36236" spans="26:26" x14ac:dyDescent="0.25">
      <c r="Z36236"/>
    </row>
    <row r="36237" spans="26:26" x14ac:dyDescent="0.25">
      <c r="Z36237"/>
    </row>
    <row r="36238" spans="26:26" x14ac:dyDescent="0.25">
      <c r="Z36238"/>
    </row>
    <row r="36239" spans="26:26" x14ac:dyDescent="0.25">
      <c r="Z36239"/>
    </row>
    <row r="36240" spans="26:26" x14ac:dyDescent="0.25">
      <c r="Z36240"/>
    </row>
    <row r="36241" spans="26:26" x14ac:dyDescent="0.25">
      <c r="Z36241"/>
    </row>
    <row r="36242" spans="26:26" x14ac:dyDescent="0.25">
      <c r="Z36242"/>
    </row>
    <row r="36243" spans="26:26" x14ac:dyDescent="0.25">
      <c r="Z36243"/>
    </row>
    <row r="36244" spans="26:26" x14ac:dyDescent="0.25">
      <c r="Z36244"/>
    </row>
    <row r="36245" spans="26:26" x14ac:dyDescent="0.25">
      <c r="Z36245"/>
    </row>
    <row r="36246" spans="26:26" x14ac:dyDescent="0.25">
      <c r="Z36246"/>
    </row>
    <row r="36247" spans="26:26" x14ac:dyDescent="0.25">
      <c r="Z36247"/>
    </row>
    <row r="36248" spans="26:26" x14ac:dyDescent="0.25">
      <c r="Z36248"/>
    </row>
    <row r="36249" spans="26:26" x14ac:dyDescent="0.25">
      <c r="Z36249"/>
    </row>
    <row r="36250" spans="26:26" x14ac:dyDescent="0.25">
      <c r="Z36250"/>
    </row>
    <row r="36251" spans="26:26" x14ac:dyDescent="0.25">
      <c r="Z36251"/>
    </row>
    <row r="36252" spans="26:26" x14ac:dyDescent="0.25">
      <c r="Z36252"/>
    </row>
    <row r="36253" spans="26:26" x14ac:dyDescent="0.25">
      <c r="Z36253"/>
    </row>
    <row r="36254" spans="26:26" x14ac:dyDescent="0.25">
      <c r="Z36254"/>
    </row>
    <row r="36255" spans="26:26" x14ac:dyDescent="0.25">
      <c r="Z36255"/>
    </row>
    <row r="36256" spans="26:26" x14ac:dyDescent="0.25">
      <c r="Z36256"/>
    </row>
    <row r="36257" spans="26:26" x14ac:dyDescent="0.25">
      <c r="Z36257"/>
    </row>
    <row r="36258" spans="26:26" x14ac:dyDescent="0.25">
      <c r="Z36258"/>
    </row>
    <row r="36259" spans="26:26" x14ac:dyDescent="0.25">
      <c r="Z36259"/>
    </row>
    <row r="36260" spans="26:26" x14ac:dyDescent="0.25">
      <c r="Z36260"/>
    </row>
    <row r="36261" spans="26:26" x14ac:dyDescent="0.25">
      <c r="Z36261"/>
    </row>
    <row r="36262" spans="26:26" x14ac:dyDescent="0.25">
      <c r="Z36262"/>
    </row>
    <row r="36263" spans="26:26" x14ac:dyDescent="0.25">
      <c r="Z36263"/>
    </row>
    <row r="36264" spans="26:26" x14ac:dyDescent="0.25">
      <c r="Z36264"/>
    </row>
    <row r="36265" spans="26:26" x14ac:dyDescent="0.25">
      <c r="Z36265"/>
    </row>
    <row r="36266" spans="26:26" x14ac:dyDescent="0.25">
      <c r="Z36266"/>
    </row>
    <row r="36267" spans="26:26" x14ac:dyDescent="0.25">
      <c r="Z36267"/>
    </row>
    <row r="36268" spans="26:26" x14ac:dyDescent="0.25">
      <c r="Z36268"/>
    </row>
    <row r="36269" spans="26:26" x14ac:dyDescent="0.25">
      <c r="Z36269"/>
    </row>
    <row r="36270" spans="26:26" x14ac:dyDescent="0.25">
      <c r="Z36270"/>
    </row>
    <row r="36271" spans="26:26" x14ac:dyDescent="0.25">
      <c r="Z36271"/>
    </row>
    <row r="36272" spans="26:26" x14ac:dyDescent="0.25">
      <c r="Z36272"/>
    </row>
    <row r="36273" spans="26:26" x14ac:dyDescent="0.25">
      <c r="Z36273"/>
    </row>
    <row r="36274" spans="26:26" x14ac:dyDescent="0.25">
      <c r="Z36274"/>
    </row>
    <row r="36275" spans="26:26" x14ac:dyDescent="0.25">
      <c r="Z36275"/>
    </row>
    <row r="36276" spans="26:26" x14ac:dyDescent="0.25">
      <c r="Z36276"/>
    </row>
    <row r="36277" spans="26:26" x14ac:dyDescent="0.25">
      <c r="Z36277"/>
    </row>
    <row r="36278" spans="26:26" x14ac:dyDescent="0.25">
      <c r="Z36278"/>
    </row>
    <row r="36279" spans="26:26" x14ac:dyDescent="0.25">
      <c r="Z36279"/>
    </row>
    <row r="36280" spans="26:26" x14ac:dyDescent="0.25">
      <c r="Z36280"/>
    </row>
    <row r="36281" spans="26:26" x14ac:dyDescent="0.25">
      <c r="Z36281"/>
    </row>
    <row r="36282" spans="26:26" x14ac:dyDescent="0.25">
      <c r="Z36282"/>
    </row>
    <row r="36283" spans="26:26" x14ac:dyDescent="0.25">
      <c r="Z36283"/>
    </row>
    <row r="36284" spans="26:26" x14ac:dyDescent="0.25">
      <c r="Z36284"/>
    </row>
    <row r="36285" spans="26:26" x14ac:dyDescent="0.25">
      <c r="Z36285"/>
    </row>
    <row r="36286" spans="26:26" x14ac:dyDescent="0.25">
      <c r="Z36286"/>
    </row>
    <row r="36287" spans="26:26" x14ac:dyDescent="0.25">
      <c r="Z36287"/>
    </row>
    <row r="36288" spans="26:26" x14ac:dyDescent="0.25">
      <c r="Z36288"/>
    </row>
    <row r="36289" spans="26:26" x14ac:dyDescent="0.25">
      <c r="Z36289"/>
    </row>
    <row r="36290" spans="26:26" x14ac:dyDescent="0.25">
      <c r="Z36290"/>
    </row>
    <row r="36291" spans="26:26" x14ac:dyDescent="0.25">
      <c r="Z36291"/>
    </row>
    <row r="36292" spans="26:26" x14ac:dyDescent="0.25">
      <c r="Z36292"/>
    </row>
    <row r="36293" spans="26:26" x14ac:dyDescent="0.25">
      <c r="Z36293"/>
    </row>
    <row r="36294" spans="26:26" x14ac:dyDescent="0.25">
      <c r="Z36294"/>
    </row>
    <row r="36295" spans="26:26" x14ac:dyDescent="0.25">
      <c r="Z36295"/>
    </row>
    <row r="36296" spans="26:26" x14ac:dyDescent="0.25">
      <c r="Z36296"/>
    </row>
    <row r="36297" spans="26:26" x14ac:dyDescent="0.25">
      <c r="Z36297"/>
    </row>
    <row r="36298" spans="26:26" x14ac:dyDescent="0.25">
      <c r="Z36298"/>
    </row>
    <row r="36299" spans="26:26" x14ac:dyDescent="0.25">
      <c r="Z36299"/>
    </row>
    <row r="36300" spans="26:26" x14ac:dyDescent="0.25">
      <c r="Z36300"/>
    </row>
    <row r="36301" spans="26:26" x14ac:dyDescent="0.25">
      <c r="Z36301"/>
    </row>
    <row r="36302" spans="26:26" x14ac:dyDescent="0.25">
      <c r="Z36302"/>
    </row>
    <row r="36303" spans="26:26" x14ac:dyDescent="0.25">
      <c r="Z36303"/>
    </row>
    <row r="36304" spans="26:26" x14ac:dyDescent="0.25">
      <c r="Z36304"/>
    </row>
    <row r="36305" spans="26:26" x14ac:dyDescent="0.25">
      <c r="Z36305"/>
    </row>
    <row r="36306" spans="26:26" x14ac:dyDescent="0.25">
      <c r="Z36306"/>
    </row>
    <row r="36307" spans="26:26" x14ac:dyDescent="0.25">
      <c r="Z36307"/>
    </row>
    <row r="36308" spans="26:26" x14ac:dyDescent="0.25">
      <c r="Z36308"/>
    </row>
    <row r="36309" spans="26:26" x14ac:dyDescent="0.25">
      <c r="Z36309"/>
    </row>
    <row r="36310" spans="26:26" x14ac:dyDescent="0.25">
      <c r="Z36310"/>
    </row>
    <row r="36311" spans="26:26" x14ac:dyDescent="0.25">
      <c r="Z36311"/>
    </row>
    <row r="36312" spans="26:26" x14ac:dyDescent="0.25">
      <c r="Z36312"/>
    </row>
    <row r="36313" spans="26:26" x14ac:dyDescent="0.25">
      <c r="Z36313"/>
    </row>
    <row r="36314" spans="26:26" x14ac:dyDescent="0.25">
      <c r="Z36314"/>
    </row>
    <row r="36315" spans="26:26" x14ac:dyDescent="0.25">
      <c r="Z36315"/>
    </row>
    <row r="36316" spans="26:26" x14ac:dyDescent="0.25">
      <c r="Z36316"/>
    </row>
    <row r="36317" spans="26:26" x14ac:dyDescent="0.25">
      <c r="Z36317"/>
    </row>
    <row r="36318" spans="26:26" x14ac:dyDescent="0.25">
      <c r="Z36318"/>
    </row>
    <row r="36319" spans="26:26" x14ac:dyDescent="0.25">
      <c r="Z36319"/>
    </row>
    <row r="36320" spans="26:26" x14ac:dyDescent="0.25">
      <c r="Z36320"/>
    </row>
    <row r="36321" spans="26:26" x14ac:dyDescent="0.25">
      <c r="Z36321"/>
    </row>
    <row r="36322" spans="26:26" x14ac:dyDescent="0.25">
      <c r="Z36322"/>
    </row>
    <row r="36323" spans="26:26" x14ac:dyDescent="0.25">
      <c r="Z36323"/>
    </row>
    <row r="36324" spans="26:26" x14ac:dyDescent="0.25">
      <c r="Z36324"/>
    </row>
    <row r="36325" spans="26:26" x14ac:dyDescent="0.25">
      <c r="Z36325"/>
    </row>
    <row r="36326" spans="26:26" x14ac:dyDescent="0.25">
      <c r="Z36326"/>
    </row>
    <row r="36327" spans="26:26" x14ac:dyDescent="0.25">
      <c r="Z36327"/>
    </row>
    <row r="36328" spans="26:26" x14ac:dyDescent="0.25">
      <c r="Z36328"/>
    </row>
    <row r="36329" spans="26:26" x14ac:dyDescent="0.25">
      <c r="Z36329"/>
    </row>
    <row r="36330" spans="26:26" x14ac:dyDescent="0.25">
      <c r="Z36330"/>
    </row>
    <row r="36331" spans="26:26" x14ac:dyDescent="0.25">
      <c r="Z36331"/>
    </row>
    <row r="36332" spans="26:26" x14ac:dyDescent="0.25">
      <c r="Z36332"/>
    </row>
    <row r="36333" spans="26:26" x14ac:dyDescent="0.25">
      <c r="Z36333"/>
    </row>
    <row r="36334" spans="26:26" x14ac:dyDescent="0.25">
      <c r="Z36334"/>
    </row>
    <row r="36335" spans="26:26" x14ac:dyDescent="0.25">
      <c r="Z36335"/>
    </row>
    <row r="36336" spans="26:26" x14ac:dyDescent="0.25">
      <c r="Z36336"/>
    </row>
    <row r="36337" spans="26:26" x14ac:dyDescent="0.25">
      <c r="Z36337"/>
    </row>
    <row r="36338" spans="26:26" x14ac:dyDescent="0.25">
      <c r="Z36338"/>
    </row>
    <row r="36339" spans="26:26" x14ac:dyDescent="0.25">
      <c r="Z36339"/>
    </row>
    <row r="36340" spans="26:26" x14ac:dyDescent="0.25">
      <c r="Z36340"/>
    </row>
    <row r="36341" spans="26:26" x14ac:dyDescent="0.25">
      <c r="Z36341"/>
    </row>
    <row r="36342" spans="26:26" x14ac:dyDescent="0.25">
      <c r="Z36342"/>
    </row>
    <row r="36343" spans="26:26" x14ac:dyDescent="0.25">
      <c r="Z36343"/>
    </row>
    <row r="36344" spans="26:26" x14ac:dyDescent="0.25">
      <c r="Z36344"/>
    </row>
    <row r="36345" spans="26:26" x14ac:dyDescent="0.25">
      <c r="Z36345"/>
    </row>
    <row r="36346" spans="26:26" x14ac:dyDescent="0.25">
      <c r="Z36346"/>
    </row>
    <row r="36347" spans="26:26" x14ac:dyDescent="0.25">
      <c r="Z36347"/>
    </row>
    <row r="36348" spans="26:26" x14ac:dyDescent="0.25">
      <c r="Z36348"/>
    </row>
    <row r="36349" spans="26:26" x14ac:dyDescent="0.25">
      <c r="Z36349"/>
    </row>
    <row r="36350" spans="26:26" x14ac:dyDescent="0.25">
      <c r="Z36350"/>
    </row>
    <row r="36351" spans="26:26" x14ac:dyDescent="0.25">
      <c r="Z36351"/>
    </row>
    <row r="36352" spans="26:26" x14ac:dyDescent="0.25">
      <c r="Z36352"/>
    </row>
    <row r="36353" spans="26:26" x14ac:dyDescent="0.25">
      <c r="Z36353"/>
    </row>
    <row r="36354" spans="26:26" x14ac:dyDescent="0.25">
      <c r="Z36354"/>
    </row>
    <row r="36355" spans="26:26" x14ac:dyDescent="0.25">
      <c r="Z36355"/>
    </row>
    <row r="36356" spans="26:26" x14ac:dyDescent="0.25">
      <c r="Z36356"/>
    </row>
    <row r="36357" spans="26:26" x14ac:dyDescent="0.25">
      <c r="Z36357"/>
    </row>
    <row r="36358" spans="26:26" x14ac:dyDescent="0.25">
      <c r="Z36358"/>
    </row>
    <row r="36359" spans="26:26" x14ac:dyDescent="0.25">
      <c r="Z36359"/>
    </row>
    <row r="36360" spans="26:26" x14ac:dyDescent="0.25">
      <c r="Z36360"/>
    </row>
    <row r="36361" spans="26:26" x14ac:dyDescent="0.25">
      <c r="Z36361"/>
    </row>
    <row r="36362" spans="26:26" x14ac:dyDescent="0.25">
      <c r="Z36362"/>
    </row>
    <row r="36363" spans="26:26" x14ac:dyDescent="0.25">
      <c r="Z36363"/>
    </row>
    <row r="36364" spans="26:26" x14ac:dyDescent="0.25">
      <c r="Z36364"/>
    </row>
    <row r="36365" spans="26:26" x14ac:dyDescent="0.25">
      <c r="Z36365"/>
    </row>
    <row r="36366" spans="26:26" x14ac:dyDescent="0.25">
      <c r="Z36366"/>
    </row>
    <row r="36367" spans="26:26" x14ac:dyDescent="0.25">
      <c r="Z36367"/>
    </row>
    <row r="36368" spans="26:26" x14ac:dyDescent="0.25">
      <c r="Z36368"/>
    </row>
    <row r="36369" spans="26:26" x14ac:dyDescent="0.25">
      <c r="Z36369"/>
    </row>
    <row r="36370" spans="26:26" x14ac:dyDescent="0.25">
      <c r="Z36370"/>
    </row>
    <row r="36371" spans="26:26" x14ac:dyDescent="0.25">
      <c r="Z36371"/>
    </row>
    <row r="36372" spans="26:26" x14ac:dyDescent="0.25">
      <c r="Z36372"/>
    </row>
    <row r="36373" spans="26:26" x14ac:dyDescent="0.25">
      <c r="Z36373"/>
    </row>
    <row r="36374" spans="26:26" x14ac:dyDescent="0.25">
      <c r="Z36374"/>
    </row>
    <row r="36375" spans="26:26" x14ac:dyDescent="0.25">
      <c r="Z36375"/>
    </row>
    <row r="36376" spans="26:26" x14ac:dyDescent="0.25">
      <c r="Z36376"/>
    </row>
    <row r="36377" spans="26:26" x14ac:dyDescent="0.25">
      <c r="Z36377"/>
    </row>
    <row r="36378" spans="26:26" x14ac:dyDescent="0.25">
      <c r="Z36378"/>
    </row>
    <row r="36379" spans="26:26" x14ac:dyDescent="0.25">
      <c r="Z36379"/>
    </row>
    <row r="36380" spans="26:26" x14ac:dyDescent="0.25">
      <c r="Z36380"/>
    </row>
    <row r="36381" spans="26:26" x14ac:dyDescent="0.25">
      <c r="Z36381"/>
    </row>
    <row r="36382" spans="26:26" x14ac:dyDescent="0.25">
      <c r="Z36382"/>
    </row>
    <row r="36383" spans="26:26" x14ac:dyDescent="0.25">
      <c r="Z36383"/>
    </row>
    <row r="36384" spans="26:26" x14ac:dyDescent="0.25">
      <c r="Z36384"/>
    </row>
    <row r="36385" spans="26:26" x14ac:dyDescent="0.25">
      <c r="Z36385"/>
    </row>
    <row r="36386" spans="26:26" x14ac:dyDescent="0.25">
      <c r="Z36386"/>
    </row>
    <row r="36387" spans="26:26" x14ac:dyDescent="0.25">
      <c r="Z36387"/>
    </row>
    <row r="36388" spans="26:26" x14ac:dyDescent="0.25">
      <c r="Z36388"/>
    </row>
    <row r="36389" spans="26:26" x14ac:dyDescent="0.25">
      <c r="Z36389"/>
    </row>
    <row r="36390" spans="26:26" x14ac:dyDescent="0.25">
      <c r="Z36390"/>
    </row>
    <row r="36391" spans="26:26" x14ac:dyDescent="0.25">
      <c r="Z36391"/>
    </row>
    <row r="36392" spans="26:26" x14ac:dyDescent="0.25">
      <c r="Z36392"/>
    </row>
    <row r="36393" spans="26:26" x14ac:dyDescent="0.25">
      <c r="Z36393"/>
    </row>
    <row r="36394" spans="26:26" x14ac:dyDescent="0.25">
      <c r="Z36394"/>
    </row>
    <row r="36395" spans="26:26" x14ac:dyDescent="0.25">
      <c r="Z36395"/>
    </row>
    <row r="36396" spans="26:26" x14ac:dyDescent="0.25">
      <c r="Z36396"/>
    </row>
    <row r="36397" spans="26:26" x14ac:dyDescent="0.25">
      <c r="Z36397"/>
    </row>
    <row r="36398" spans="26:26" x14ac:dyDescent="0.25">
      <c r="Z36398"/>
    </row>
    <row r="36399" spans="26:26" x14ac:dyDescent="0.25">
      <c r="Z36399"/>
    </row>
    <row r="36400" spans="26:26" x14ac:dyDescent="0.25">
      <c r="Z36400"/>
    </row>
    <row r="36401" spans="26:26" x14ac:dyDescent="0.25">
      <c r="Z36401"/>
    </row>
    <row r="36402" spans="26:26" x14ac:dyDescent="0.25">
      <c r="Z36402"/>
    </row>
    <row r="36403" spans="26:26" x14ac:dyDescent="0.25">
      <c r="Z36403"/>
    </row>
    <row r="36404" spans="26:26" x14ac:dyDescent="0.25">
      <c r="Z36404"/>
    </row>
    <row r="36405" spans="26:26" x14ac:dyDescent="0.25">
      <c r="Z36405"/>
    </row>
    <row r="36406" spans="26:26" x14ac:dyDescent="0.25">
      <c r="Z36406"/>
    </row>
    <row r="36407" spans="26:26" x14ac:dyDescent="0.25">
      <c r="Z36407"/>
    </row>
    <row r="36408" spans="26:26" x14ac:dyDescent="0.25">
      <c r="Z36408"/>
    </row>
    <row r="36409" spans="26:26" x14ac:dyDescent="0.25">
      <c r="Z36409"/>
    </row>
    <row r="36410" spans="26:26" x14ac:dyDescent="0.25">
      <c r="Z36410"/>
    </row>
    <row r="36411" spans="26:26" x14ac:dyDescent="0.25">
      <c r="Z36411"/>
    </row>
    <row r="36412" spans="26:26" x14ac:dyDescent="0.25">
      <c r="Z36412"/>
    </row>
    <row r="36413" spans="26:26" x14ac:dyDescent="0.25">
      <c r="Z36413"/>
    </row>
    <row r="36414" spans="26:26" x14ac:dyDescent="0.25">
      <c r="Z36414"/>
    </row>
    <row r="36415" spans="26:26" x14ac:dyDescent="0.25">
      <c r="Z36415"/>
    </row>
    <row r="36416" spans="26:26" x14ac:dyDescent="0.25">
      <c r="Z36416"/>
    </row>
    <row r="36417" spans="26:26" x14ac:dyDescent="0.25">
      <c r="Z36417"/>
    </row>
    <row r="36418" spans="26:26" x14ac:dyDescent="0.25">
      <c r="Z36418"/>
    </row>
    <row r="36419" spans="26:26" x14ac:dyDescent="0.25">
      <c r="Z36419"/>
    </row>
    <row r="36420" spans="26:26" x14ac:dyDescent="0.25">
      <c r="Z36420"/>
    </row>
    <row r="36421" spans="26:26" x14ac:dyDescent="0.25">
      <c r="Z36421"/>
    </row>
    <row r="36422" spans="26:26" x14ac:dyDescent="0.25">
      <c r="Z36422"/>
    </row>
    <row r="36423" spans="26:26" x14ac:dyDescent="0.25">
      <c r="Z36423"/>
    </row>
    <row r="36424" spans="26:26" x14ac:dyDescent="0.25">
      <c r="Z36424"/>
    </row>
    <row r="36425" spans="26:26" x14ac:dyDescent="0.25">
      <c r="Z36425"/>
    </row>
    <row r="36426" spans="26:26" x14ac:dyDescent="0.25">
      <c r="Z36426"/>
    </row>
    <row r="36427" spans="26:26" x14ac:dyDescent="0.25">
      <c r="Z36427"/>
    </row>
    <row r="36428" spans="26:26" x14ac:dyDescent="0.25">
      <c r="Z36428"/>
    </row>
    <row r="36429" spans="26:26" x14ac:dyDescent="0.25">
      <c r="Z36429"/>
    </row>
    <row r="36430" spans="26:26" x14ac:dyDescent="0.25">
      <c r="Z36430"/>
    </row>
    <row r="36431" spans="26:26" x14ac:dyDescent="0.25">
      <c r="Z36431"/>
    </row>
    <row r="36432" spans="26:26" x14ac:dyDescent="0.25">
      <c r="Z36432"/>
    </row>
    <row r="36433" spans="26:26" x14ac:dyDescent="0.25">
      <c r="Z36433"/>
    </row>
    <row r="36434" spans="26:26" x14ac:dyDescent="0.25">
      <c r="Z36434"/>
    </row>
    <row r="36435" spans="26:26" x14ac:dyDescent="0.25">
      <c r="Z36435"/>
    </row>
    <row r="36436" spans="26:26" x14ac:dyDescent="0.25">
      <c r="Z36436"/>
    </row>
    <row r="36437" spans="26:26" x14ac:dyDescent="0.25">
      <c r="Z36437"/>
    </row>
    <row r="36438" spans="26:26" x14ac:dyDescent="0.25">
      <c r="Z36438"/>
    </row>
    <row r="36439" spans="26:26" x14ac:dyDescent="0.25">
      <c r="Z36439"/>
    </row>
    <row r="36440" spans="26:26" x14ac:dyDescent="0.25">
      <c r="Z36440"/>
    </row>
    <row r="36441" spans="26:26" x14ac:dyDescent="0.25">
      <c r="Z36441"/>
    </row>
    <row r="36442" spans="26:26" x14ac:dyDescent="0.25">
      <c r="Z36442"/>
    </row>
    <row r="36443" spans="26:26" x14ac:dyDescent="0.25">
      <c r="Z36443"/>
    </row>
    <row r="36444" spans="26:26" x14ac:dyDescent="0.25">
      <c r="Z36444"/>
    </row>
    <row r="36445" spans="26:26" x14ac:dyDescent="0.25">
      <c r="Z36445"/>
    </row>
    <row r="36446" spans="26:26" x14ac:dyDescent="0.25">
      <c r="Z36446"/>
    </row>
    <row r="36447" spans="26:26" x14ac:dyDescent="0.25">
      <c r="Z36447"/>
    </row>
    <row r="36448" spans="26:26" x14ac:dyDescent="0.25">
      <c r="Z36448"/>
    </row>
    <row r="36449" spans="26:26" x14ac:dyDescent="0.25">
      <c r="Z36449"/>
    </row>
    <row r="36450" spans="26:26" x14ac:dyDescent="0.25">
      <c r="Z36450"/>
    </row>
    <row r="36451" spans="26:26" x14ac:dyDescent="0.25">
      <c r="Z36451"/>
    </row>
    <row r="36452" spans="26:26" x14ac:dyDescent="0.25">
      <c r="Z36452"/>
    </row>
    <row r="36453" spans="26:26" x14ac:dyDescent="0.25">
      <c r="Z36453"/>
    </row>
    <row r="36454" spans="26:26" x14ac:dyDescent="0.25">
      <c r="Z36454"/>
    </row>
    <row r="36455" spans="26:26" x14ac:dyDescent="0.25">
      <c r="Z36455"/>
    </row>
    <row r="36456" spans="26:26" x14ac:dyDescent="0.25">
      <c r="Z36456"/>
    </row>
    <row r="36457" spans="26:26" x14ac:dyDescent="0.25">
      <c r="Z36457"/>
    </row>
    <row r="36458" spans="26:26" x14ac:dyDescent="0.25">
      <c r="Z36458"/>
    </row>
    <row r="36459" spans="26:26" x14ac:dyDescent="0.25">
      <c r="Z36459"/>
    </row>
    <row r="36460" spans="26:26" x14ac:dyDescent="0.25">
      <c r="Z36460"/>
    </row>
    <row r="36461" spans="26:26" x14ac:dyDescent="0.25">
      <c r="Z36461"/>
    </row>
    <row r="36462" spans="26:26" x14ac:dyDescent="0.25">
      <c r="Z36462"/>
    </row>
    <row r="36463" spans="26:26" x14ac:dyDescent="0.25">
      <c r="Z36463"/>
    </row>
    <row r="36464" spans="26:26" x14ac:dyDescent="0.25">
      <c r="Z36464"/>
    </row>
    <row r="36465" spans="26:26" x14ac:dyDescent="0.25">
      <c r="Z36465"/>
    </row>
    <row r="36466" spans="26:26" x14ac:dyDescent="0.25">
      <c r="Z36466"/>
    </row>
    <row r="36467" spans="26:26" x14ac:dyDescent="0.25">
      <c r="Z36467"/>
    </row>
    <row r="36468" spans="26:26" x14ac:dyDescent="0.25">
      <c r="Z36468"/>
    </row>
    <row r="36469" spans="26:26" x14ac:dyDescent="0.25">
      <c r="Z36469"/>
    </row>
    <row r="36470" spans="26:26" x14ac:dyDescent="0.25">
      <c r="Z36470"/>
    </row>
    <row r="36471" spans="26:26" x14ac:dyDescent="0.25">
      <c r="Z36471"/>
    </row>
    <row r="36472" spans="26:26" x14ac:dyDescent="0.25">
      <c r="Z36472"/>
    </row>
    <row r="36473" spans="26:26" x14ac:dyDescent="0.25">
      <c r="Z36473"/>
    </row>
    <row r="36474" spans="26:26" x14ac:dyDescent="0.25">
      <c r="Z36474"/>
    </row>
    <row r="36475" spans="26:26" x14ac:dyDescent="0.25">
      <c r="Z36475"/>
    </row>
    <row r="36476" spans="26:26" x14ac:dyDescent="0.25">
      <c r="Z36476"/>
    </row>
    <row r="36477" spans="26:26" x14ac:dyDescent="0.25">
      <c r="Z36477"/>
    </row>
    <row r="36478" spans="26:26" x14ac:dyDescent="0.25">
      <c r="Z36478"/>
    </row>
    <row r="36479" spans="26:26" x14ac:dyDescent="0.25">
      <c r="Z36479"/>
    </row>
    <row r="36480" spans="26:26" x14ac:dyDescent="0.25">
      <c r="Z36480"/>
    </row>
    <row r="36481" spans="26:26" x14ac:dyDescent="0.25">
      <c r="Z36481"/>
    </row>
    <row r="36482" spans="26:26" x14ac:dyDescent="0.25">
      <c r="Z36482"/>
    </row>
    <row r="36483" spans="26:26" x14ac:dyDescent="0.25">
      <c r="Z36483"/>
    </row>
    <row r="36484" spans="26:26" x14ac:dyDescent="0.25">
      <c r="Z36484"/>
    </row>
    <row r="36485" spans="26:26" x14ac:dyDescent="0.25">
      <c r="Z36485"/>
    </row>
    <row r="36486" spans="26:26" x14ac:dyDescent="0.25">
      <c r="Z36486"/>
    </row>
    <row r="36487" spans="26:26" x14ac:dyDescent="0.25">
      <c r="Z36487"/>
    </row>
    <row r="36488" spans="26:26" x14ac:dyDescent="0.25">
      <c r="Z36488"/>
    </row>
    <row r="36489" spans="26:26" x14ac:dyDescent="0.25">
      <c r="Z36489"/>
    </row>
    <row r="36490" spans="26:26" x14ac:dyDescent="0.25">
      <c r="Z36490"/>
    </row>
    <row r="36491" spans="26:26" x14ac:dyDescent="0.25">
      <c r="Z36491"/>
    </row>
    <row r="36492" spans="26:26" x14ac:dyDescent="0.25">
      <c r="Z36492"/>
    </row>
    <row r="36493" spans="26:26" x14ac:dyDescent="0.25">
      <c r="Z36493"/>
    </row>
    <row r="36494" spans="26:26" x14ac:dyDescent="0.25">
      <c r="Z36494"/>
    </row>
    <row r="36495" spans="26:26" x14ac:dyDescent="0.25">
      <c r="Z36495"/>
    </row>
    <row r="36496" spans="26:26" x14ac:dyDescent="0.25">
      <c r="Z36496"/>
    </row>
    <row r="36497" spans="26:26" x14ac:dyDescent="0.25">
      <c r="Z36497"/>
    </row>
    <row r="36498" spans="26:26" x14ac:dyDescent="0.25">
      <c r="Z36498"/>
    </row>
    <row r="36499" spans="26:26" x14ac:dyDescent="0.25">
      <c r="Z36499"/>
    </row>
    <row r="36500" spans="26:26" x14ac:dyDescent="0.25">
      <c r="Z36500"/>
    </row>
    <row r="36501" spans="26:26" x14ac:dyDescent="0.25">
      <c r="Z36501"/>
    </row>
    <row r="36502" spans="26:26" x14ac:dyDescent="0.25">
      <c r="Z36502"/>
    </row>
    <row r="36503" spans="26:26" x14ac:dyDescent="0.25">
      <c r="Z36503"/>
    </row>
    <row r="36504" spans="26:26" x14ac:dyDescent="0.25">
      <c r="Z36504"/>
    </row>
    <row r="36505" spans="26:26" x14ac:dyDescent="0.25">
      <c r="Z36505"/>
    </row>
    <row r="36506" spans="26:26" x14ac:dyDescent="0.25">
      <c r="Z36506"/>
    </row>
    <row r="36507" spans="26:26" x14ac:dyDescent="0.25">
      <c r="Z36507"/>
    </row>
    <row r="36508" spans="26:26" x14ac:dyDescent="0.25">
      <c r="Z36508"/>
    </row>
    <row r="36509" spans="26:26" x14ac:dyDescent="0.25">
      <c r="Z36509"/>
    </row>
    <row r="36510" spans="26:26" x14ac:dyDescent="0.25">
      <c r="Z36510"/>
    </row>
    <row r="36511" spans="26:26" x14ac:dyDescent="0.25">
      <c r="Z36511"/>
    </row>
    <row r="36512" spans="26:26" x14ac:dyDescent="0.25">
      <c r="Z36512"/>
    </row>
    <row r="36513" spans="26:26" x14ac:dyDescent="0.25">
      <c r="Z36513"/>
    </row>
    <row r="36514" spans="26:26" x14ac:dyDescent="0.25">
      <c r="Z36514"/>
    </row>
    <row r="36515" spans="26:26" x14ac:dyDescent="0.25">
      <c r="Z36515"/>
    </row>
    <row r="36516" spans="26:26" x14ac:dyDescent="0.25">
      <c r="Z36516"/>
    </row>
    <row r="36517" spans="26:26" x14ac:dyDescent="0.25">
      <c r="Z36517"/>
    </row>
    <row r="36518" spans="26:26" x14ac:dyDescent="0.25">
      <c r="Z36518"/>
    </row>
    <row r="36519" spans="26:26" x14ac:dyDescent="0.25">
      <c r="Z36519"/>
    </row>
    <row r="36520" spans="26:26" x14ac:dyDescent="0.25">
      <c r="Z36520"/>
    </row>
    <row r="36521" spans="26:26" x14ac:dyDescent="0.25">
      <c r="Z36521"/>
    </row>
    <row r="36522" spans="26:26" x14ac:dyDescent="0.25">
      <c r="Z36522"/>
    </row>
    <row r="36523" spans="26:26" x14ac:dyDescent="0.25">
      <c r="Z36523"/>
    </row>
    <row r="36524" spans="26:26" x14ac:dyDescent="0.25">
      <c r="Z36524"/>
    </row>
    <row r="36525" spans="26:26" x14ac:dyDescent="0.25">
      <c r="Z36525"/>
    </row>
    <row r="36526" spans="26:26" x14ac:dyDescent="0.25">
      <c r="Z36526"/>
    </row>
    <row r="36527" spans="26:26" x14ac:dyDescent="0.25">
      <c r="Z36527"/>
    </row>
    <row r="36528" spans="26:26" x14ac:dyDescent="0.25">
      <c r="Z36528"/>
    </row>
    <row r="36529" spans="26:26" x14ac:dyDescent="0.25">
      <c r="Z36529"/>
    </row>
    <row r="36530" spans="26:26" x14ac:dyDescent="0.25">
      <c r="Z36530"/>
    </row>
    <row r="36531" spans="26:26" x14ac:dyDescent="0.25">
      <c r="Z36531"/>
    </row>
    <row r="36532" spans="26:26" x14ac:dyDescent="0.25">
      <c r="Z36532"/>
    </row>
    <row r="36533" spans="26:26" x14ac:dyDescent="0.25">
      <c r="Z36533"/>
    </row>
    <row r="36534" spans="26:26" x14ac:dyDescent="0.25">
      <c r="Z36534"/>
    </row>
    <row r="36535" spans="26:26" x14ac:dyDescent="0.25">
      <c r="Z36535"/>
    </row>
    <row r="36536" spans="26:26" x14ac:dyDescent="0.25">
      <c r="Z36536"/>
    </row>
    <row r="36537" spans="26:26" x14ac:dyDescent="0.25">
      <c r="Z36537"/>
    </row>
    <row r="36538" spans="26:26" x14ac:dyDescent="0.25">
      <c r="Z36538"/>
    </row>
    <row r="36539" spans="26:26" x14ac:dyDescent="0.25">
      <c r="Z36539"/>
    </row>
    <row r="36540" spans="26:26" x14ac:dyDescent="0.25">
      <c r="Z36540"/>
    </row>
    <row r="36541" spans="26:26" x14ac:dyDescent="0.25">
      <c r="Z36541"/>
    </row>
    <row r="36542" spans="26:26" x14ac:dyDescent="0.25">
      <c r="Z36542"/>
    </row>
    <row r="36543" spans="26:26" x14ac:dyDescent="0.25">
      <c r="Z36543"/>
    </row>
    <row r="36544" spans="26:26" x14ac:dyDescent="0.25">
      <c r="Z36544"/>
    </row>
    <row r="36545" spans="26:26" x14ac:dyDescent="0.25">
      <c r="Z36545"/>
    </row>
    <row r="36546" spans="26:26" x14ac:dyDescent="0.25">
      <c r="Z36546"/>
    </row>
    <row r="36547" spans="26:26" x14ac:dyDescent="0.25">
      <c r="Z36547"/>
    </row>
    <row r="36548" spans="26:26" x14ac:dyDescent="0.25">
      <c r="Z36548"/>
    </row>
    <row r="36549" spans="26:26" x14ac:dyDescent="0.25">
      <c r="Z36549"/>
    </row>
    <row r="36550" spans="26:26" x14ac:dyDescent="0.25">
      <c r="Z36550"/>
    </row>
    <row r="36551" spans="26:26" x14ac:dyDescent="0.25">
      <c r="Z36551"/>
    </row>
    <row r="36552" spans="26:26" x14ac:dyDescent="0.25">
      <c r="Z36552"/>
    </row>
    <row r="36553" spans="26:26" x14ac:dyDescent="0.25">
      <c r="Z36553"/>
    </row>
    <row r="36554" spans="26:26" x14ac:dyDescent="0.25">
      <c r="Z36554"/>
    </row>
    <row r="36555" spans="26:26" x14ac:dyDescent="0.25">
      <c r="Z36555"/>
    </row>
    <row r="36556" spans="26:26" x14ac:dyDescent="0.25">
      <c r="Z36556"/>
    </row>
    <row r="36557" spans="26:26" x14ac:dyDescent="0.25">
      <c r="Z36557"/>
    </row>
    <row r="36558" spans="26:26" x14ac:dyDescent="0.25">
      <c r="Z36558"/>
    </row>
    <row r="36559" spans="26:26" x14ac:dyDescent="0.25">
      <c r="Z36559"/>
    </row>
    <row r="36560" spans="26:26" x14ac:dyDescent="0.25">
      <c r="Z36560"/>
    </row>
    <row r="36561" spans="26:26" x14ac:dyDescent="0.25">
      <c r="Z36561"/>
    </row>
    <row r="36562" spans="26:26" x14ac:dyDescent="0.25">
      <c r="Z36562"/>
    </row>
    <row r="36563" spans="26:26" x14ac:dyDescent="0.25">
      <c r="Z36563"/>
    </row>
    <row r="36564" spans="26:26" x14ac:dyDescent="0.25">
      <c r="Z36564"/>
    </row>
    <row r="36565" spans="26:26" x14ac:dyDescent="0.25">
      <c r="Z36565"/>
    </row>
    <row r="36566" spans="26:26" x14ac:dyDescent="0.25">
      <c r="Z36566"/>
    </row>
    <row r="36567" spans="26:26" x14ac:dyDescent="0.25">
      <c r="Z36567"/>
    </row>
    <row r="36568" spans="26:26" x14ac:dyDescent="0.25">
      <c r="Z36568"/>
    </row>
    <row r="36569" spans="26:26" x14ac:dyDescent="0.25">
      <c r="Z36569"/>
    </row>
    <row r="36570" spans="26:26" x14ac:dyDescent="0.25">
      <c r="Z36570"/>
    </row>
    <row r="36571" spans="26:26" x14ac:dyDescent="0.25">
      <c r="Z36571"/>
    </row>
    <row r="36572" spans="26:26" x14ac:dyDescent="0.25">
      <c r="Z36572"/>
    </row>
    <row r="36573" spans="26:26" x14ac:dyDescent="0.25">
      <c r="Z36573"/>
    </row>
    <row r="36574" spans="26:26" x14ac:dyDescent="0.25">
      <c r="Z36574"/>
    </row>
    <row r="36575" spans="26:26" x14ac:dyDescent="0.25">
      <c r="Z36575"/>
    </row>
    <row r="36576" spans="26:26" x14ac:dyDescent="0.25">
      <c r="Z36576"/>
    </row>
    <row r="36577" spans="26:26" x14ac:dyDescent="0.25">
      <c r="Z36577"/>
    </row>
    <row r="36578" spans="26:26" x14ac:dyDescent="0.25">
      <c r="Z36578"/>
    </row>
    <row r="36579" spans="26:26" x14ac:dyDescent="0.25">
      <c r="Z36579"/>
    </row>
    <row r="36580" spans="26:26" x14ac:dyDescent="0.25">
      <c r="Z36580"/>
    </row>
    <row r="36581" spans="26:26" x14ac:dyDescent="0.25">
      <c r="Z36581"/>
    </row>
    <row r="36582" spans="26:26" x14ac:dyDescent="0.25">
      <c r="Z36582"/>
    </row>
    <row r="36583" spans="26:26" x14ac:dyDescent="0.25">
      <c r="Z36583"/>
    </row>
    <row r="36584" spans="26:26" x14ac:dyDescent="0.25">
      <c r="Z36584"/>
    </row>
    <row r="36585" spans="26:26" x14ac:dyDescent="0.25">
      <c r="Z36585"/>
    </row>
    <row r="36586" spans="26:26" x14ac:dyDescent="0.25">
      <c r="Z36586"/>
    </row>
    <row r="36587" spans="26:26" x14ac:dyDescent="0.25">
      <c r="Z36587"/>
    </row>
    <row r="36588" spans="26:26" x14ac:dyDescent="0.25">
      <c r="Z36588"/>
    </row>
    <row r="36589" spans="26:26" x14ac:dyDescent="0.25">
      <c r="Z36589"/>
    </row>
    <row r="36590" spans="26:26" x14ac:dyDescent="0.25">
      <c r="Z36590"/>
    </row>
    <row r="36591" spans="26:26" x14ac:dyDescent="0.25">
      <c r="Z36591"/>
    </row>
    <row r="36592" spans="26:26" x14ac:dyDescent="0.25">
      <c r="Z36592"/>
    </row>
    <row r="36593" spans="26:26" x14ac:dyDescent="0.25">
      <c r="Z36593"/>
    </row>
    <row r="36594" spans="26:26" x14ac:dyDescent="0.25">
      <c r="Z36594"/>
    </row>
    <row r="36595" spans="26:26" x14ac:dyDescent="0.25">
      <c r="Z36595"/>
    </row>
    <row r="36596" spans="26:26" x14ac:dyDescent="0.25">
      <c r="Z36596"/>
    </row>
    <row r="36597" spans="26:26" x14ac:dyDescent="0.25">
      <c r="Z36597"/>
    </row>
    <row r="36598" spans="26:26" x14ac:dyDescent="0.25">
      <c r="Z36598"/>
    </row>
    <row r="36599" spans="26:26" x14ac:dyDescent="0.25">
      <c r="Z36599"/>
    </row>
    <row r="36600" spans="26:26" x14ac:dyDescent="0.25">
      <c r="Z36600"/>
    </row>
    <row r="36601" spans="26:26" x14ac:dyDescent="0.25">
      <c r="Z36601"/>
    </row>
    <row r="36602" spans="26:26" x14ac:dyDescent="0.25">
      <c r="Z36602"/>
    </row>
    <row r="36603" spans="26:26" x14ac:dyDescent="0.25">
      <c r="Z36603"/>
    </row>
    <row r="36604" spans="26:26" x14ac:dyDescent="0.25">
      <c r="Z36604"/>
    </row>
    <row r="36605" spans="26:26" x14ac:dyDescent="0.25">
      <c r="Z36605"/>
    </row>
    <row r="36606" spans="26:26" x14ac:dyDescent="0.25">
      <c r="Z36606"/>
    </row>
    <row r="36607" spans="26:26" x14ac:dyDescent="0.25">
      <c r="Z36607"/>
    </row>
    <row r="36608" spans="26:26" x14ac:dyDescent="0.25">
      <c r="Z36608"/>
    </row>
    <row r="36609" spans="26:26" x14ac:dyDescent="0.25">
      <c r="Z36609"/>
    </row>
    <row r="36610" spans="26:26" x14ac:dyDescent="0.25">
      <c r="Z36610"/>
    </row>
    <row r="36611" spans="26:26" x14ac:dyDescent="0.25">
      <c r="Z36611"/>
    </row>
    <row r="36612" spans="26:26" x14ac:dyDescent="0.25">
      <c r="Z36612"/>
    </row>
    <row r="36613" spans="26:26" x14ac:dyDescent="0.25">
      <c r="Z36613"/>
    </row>
    <row r="36614" spans="26:26" x14ac:dyDescent="0.25">
      <c r="Z36614"/>
    </row>
    <row r="36615" spans="26:26" x14ac:dyDescent="0.25">
      <c r="Z36615"/>
    </row>
    <row r="36616" spans="26:26" x14ac:dyDescent="0.25">
      <c r="Z36616"/>
    </row>
    <row r="36617" spans="26:26" x14ac:dyDescent="0.25">
      <c r="Z36617"/>
    </row>
    <row r="36618" spans="26:26" x14ac:dyDescent="0.25">
      <c r="Z36618"/>
    </row>
    <row r="36619" spans="26:26" x14ac:dyDescent="0.25">
      <c r="Z36619"/>
    </row>
    <row r="36620" spans="26:26" x14ac:dyDescent="0.25">
      <c r="Z36620"/>
    </row>
    <row r="36621" spans="26:26" x14ac:dyDescent="0.25">
      <c r="Z36621"/>
    </row>
    <row r="36622" spans="26:26" x14ac:dyDescent="0.25">
      <c r="Z36622"/>
    </row>
    <row r="36623" spans="26:26" x14ac:dyDescent="0.25">
      <c r="Z36623"/>
    </row>
    <row r="36624" spans="26:26" x14ac:dyDescent="0.25">
      <c r="Z36624"/>
    </row>
    <row r="36625" spans="26:26" x14ac:dyDescent="0.25">
      <c r="Z36625"/>
    </row>
    <row r="36626" spans="26:26" x14ac:dyDescent="0.25">
      <c r="Z36626"/>
    </row>
    <row r="36627" spans="26:26" x14ac:dyDescent="0.25">
      <c r="Z36627"/>
    </row>
    <row r="36628" spans="26:26" x14ac:dyDescent="0.25">
      <c r="Z36628"/>
    </row>
    <row r="36629" spans="26:26" x14ac:dyDescent="0.25">
      <c r="Z36629"/>
    </row>
    <row r="36630" spans="26:26" x14ac:dyDescent="0.25">
      <c r="Z36630"/>
    </row>
    <row r="36631" spans="26:26" x14ac:dyDescent="0.25">
      <c r="Z36631"/>
    </row>
    <row r="36632" spans="26:26" x14ac:dyDescent="0.25">
      <c r="Z36632"/>
    </row>
    <row r="36633" spans="26:26" x14ac:dyDescent="0.25">
      <c r="Z36633"/>
    </row>
    <row r="36634" spans="26:26" x14ac:dyDescent="0.25">
      <c r="Z36634"/>
    </row>
    <row r="36635" spans="26:26" x14ac:dyDescent="0.25">
      <c r="Z36635"/>
    </row>
    <row r="36636" spans="26:26" x14ac:dyDescent="0.25">
      <c r="Z36636"/>
    </row>
    <row r="36637" spans="26:26" x14ac:dyDescent="0.25">
      <c r="Z36637"/>
    </row>
    <row r="36638" spans="26:26" x14ac:dyDescent="0.25">
      <c r="Z36638"/>
    </row>
    <row r="36639" spans="26:26" x14ac:dyDescent="0.25">
      <c r="Z36639"/>
    </row>
    <row r="36640" spans="26:26" x14ac:dyDescent="0.25">
      <c r="Z36640"/>
    </row>
    <row r="36641" spans="26:26" x14ac:dyDescent="0.25">
      <c r="Z36641"/>
    </row>
    <row r="36642" spans="26:26" x14ac:dyDescent="0.25">
      <c r="Z36642"/>
    </row>
    <row r="36643" spans="26:26" x14ac:dyDescent="0.25">
      <c r="Z36643"/>
    </row>
    <row r="36644" spans="26:26" x14ac:dyDescent="0.25">
      <c r="Z36644"/>
    </row>
    <row r="36645" spans="26:26" x14ac:dyDescent="0.25">
      <c r="Z36645"/>
    </row>
    <row r="36646" spans="26:26" x14ac:dyDescent="0.25">
      <c r="Z36646"/>
    </row>
    <row r="36647" spans="26:26" x14ac:dyDescent="0.25">
      <c r="Z36647"/>
    </row>
    <row r="36648" spans="26:26" x14ac:dyDescent="0.25">
      <c r="Z36648"/>
    </row>
    <row r="36649" spans="26:26" x14ac:dyDescent="0.25">
      <c r="Z36649"/>
    </row>
    <row r="36650" spans="26:26" x14ac:dyDescent="0.25">
      <c r="Z36650"/>
    </row>
    <row r="36651" spans="26:26" x14ac:dyDescent="0.25">
      <c r="Z36651"/>
    </row>
    <row r="36652" spans="26:26" x14ac:dyDescent="0.25">
      <c r="Z36652"/>
    </row>
    <row r="36653" spans="26:26" x14ac:dyDescent="0.25">
      <c r="Z36653"/>
    </row>
    <row r="36654" spans="26:26" x14ac:dyDescent="0.25">
      <c r="Z36654"/>
    </row>
    <row r="36655" spans="26:26" x14ac:dyDescent="0.25">
      <c r="Z36655"/>
    </row>
    <row r="36656" spans="26:26" x14ac:dyDescent="0.25">
      <c r="Z36656"/>
    </row>
    <row r="36657" spans="26:26" x14ac:dyDescent="0.25">
      <c r="Z36657"/>
    </row>
    <row r="36658" spans="26:26" x14ac:dyDescent="0.25">
      <c r="Z36658"/>
    </row>
    <row r="36659" spans="26:26" x14ac:dyDescent="0.25">
      <c r="Z36659"/>
    </row>
    <row r="36660" spans="26:26" x14ac:dyDescent="0.25">
      <c r="Z36660"/>
    </row>
    <row r="36661" spans="26:26" x14ac:dyDescent="0.25">
      <c r="Z36661"/>
    </row>
    <row r="36662" spans="26:26" x14ac:dyDescent="0.25">
      <c r="Z36662"/>
    </row>
    <row r="36663" spans="26:26" x14ac:dyDescent="0.25">
      <c r="Z36663"/>
    </row>
    <row r="36664" spans="26:26" x14ac:dyDescent="0.25">
      <c r="Z36664"/>
    </row>
    <row r="36665" spans="26:26" x14ac:dyDescent="0.25">
      <c r="Z36665"/>
    </row>
    <row r="36666" spans="26:26" x14ac:dyDescent="0.25">
      <c r="Z36666"/>
    </row>
    <row r="36667" spans="26:26" x14ac:dyDescent="0.25">
      <c r="Z36667"/>
    </row>
    <row r="36668" spans="26:26" x14ac:dyDescent="0.25">
      <c r="Z36668"/>
    </row>
    <row r="36669" spans="26:26" x14ac:dyDescent="0.25">
      <c r="Z36669"/>
    </row>
    <row r="36670" spans="26:26" x14ac:dyDescent="0.25">
      <c r="Z36670"/>
    </row>
    <row r="36671" spans="26:26" x14ac:dyDescent="0.25">
      <c r="Z36671"/>
    </row>
    <row r="36672" spans="26:26" x14ac:dyDescent="0.25">
      <c r="Z36672"/>
    </row>
    <row r="36673" spans="26:26" x14ac:dyDescent="0.25">
      <c r="Z36673"/>
    </row>
    <row r="36674" spans="26:26" x14ac:dyDescent="0.25">
      <c r="Z36674"/>
    </row>
    <row r="36675" spans="26:26" x14ac:dyDescent="0.25">
      <c r="Z36675"/>
    </row>
    <row r="36676" spans="26:26" x14ac:dyDescent="0.25">
      <c r="Z36676"/>
    </row>
    <row r="36677" spans="26:26" x14ac:dyDescent="0.25">
      <c r="Z36677"/>
    </row>
    <row r="36678" spans="26:26" x14ac:dyDescent="0.25">
      <c r="Z36678"/>
    </row>
    <row r="36679" spans="26:26" x14ac:dyDescent="0.25">
      <c r="Z36679"/>
    </row>
    <row r="36680" spans="26:26" x14ac:dyDescent="0.25">
      <c r="Z36680"/>
    </row>
    <row r="36681" spans="26:26" x14ac:dyDescent="0.25">
      <c r="Z36681"/>
    </row>
    <row r="36682" spans="26:26" x14ac:dyDescent="0.25">
      <c r="Z36682"/>
    </row>
    <row r="36683" spans="26:26" x14ac:dyDescent="0.25">
      <c r="Z36683"/>
    </row>
    <row r="36684" spans="26:26" x14ac:dyDescent="0.25">
      <c r="Z36684"/>
    </row>
    <row r="36685" spans="26:26" x14ac:dyDescent="0.25">
      <c r="Z36685"/>
    </row>
    <row r="36686" spans="26:26" x14ac:dyDescent="0.25">
      <c r="Z36686"/>
    </row>
    <row r="36687" spans="26:26" x14ac:dyDescent="0.25">
      <c r="Z36687"/>
    </row>
    <row r="36688" spans="26:26" x14ac:dyDescent="0.25">
      <c r="Z36688"/>
    </row>
    <row r="36689" spans="26:26" x14ac:dyDescent="0.25">
      <c r="Z36689"/>
    </row>
    <row r="36690" spans="26:26" x14ac:dyDescent="0.25">
      <c r="Z36690"/>
    </row>
    <row r="36691" spans="26:26" x14ac:dyDescent="0.25">
      <c r="Z36691"/>
    </row>
    <row r="36692" spans="26:26" x14ac:dyDescent="0.25">
      <c r="Z36692"/>
    </row>
    <row r="36693" spans="26:26" x14ac:dyDescent="0.25">
      <c r="Z36693"/>
    </row>
    <row r="36694" spans="26:26" x14ac:dyDescent="0.25">
      <c r="Z36694"/>
    </row>
    <row r="36695" spans="26:26" x14ac:dyDescent="0.25">
      <c r="Z36695"/>
    </row>
    <row r="36696" spans="26:26" x14ac:dyDescent="0.25">
      <c r="Z36696"/>
    </row>
    <row r="36697" spans="26:26" x14ac:dyDescent="0.25">
      <c r="Z36697"/>
    </row>
    <row r="36698" spans="26:26" x14ac:dyDescent="0.25">
      <c r="Z36698"/>
    </row>
    <row r="36699" spans="26:26" x14ac:dyDescent="0.25">
      <c r="Z36699"/>
    </row>
    <row r="36700" spans="26:26" x14ac:dyDescent="0.25">
      <c r="Z36700"/>
    </row>
    <row r="36701" spans="26:26" x14ac:dyDescent="0.25">
      <c r="Z36701"/>
    </row>
    <row r="36702" spans="26:26" x14ac:dyDescent="0.25">
      <c r="Z36702"/>
    </row>
    <row r="36703" spans="26:26" x14ac:dyDescent="0.25">
      <c r="Z36703"/>
    </row>
    <row r="36704" spans="26:26" x14ac:dyDescent="0.25">
      <c r="Z36704"/>
    </row>
    <row r="36705" spans="26:26" x14ac:dyDescent="0.25">
      <c r="Z36705"/>
    </row>
    <row r="36706" spans="26:26" x14ac:dyDescent="0.25">
      <c r="Z36706"/>
    </row>
    <row r="36707" spans="26:26" x14ac:dyDescent="0.25">
      <c r="Z36707"/>
    </row>
    <row r="36708" spans="26:26" x14ac:dyDescent="0.25">
      <c r="Z36708"/>
    </row>
    <row r="36709" spans="26:26" x14ac:dyDescent="0.25">
      <c r="Z36709"/>
    </row>
    <row r="36710" spans="26:26" x14ac:dyDescent="0.25">
      <c r="Z36710"/>
    </row>
    <row r="36711" spans="26:26" x14ac:dyDescent="0.25">
      <c r="Z36711"/>
    </row>
    <row r="36712" spans="26:26" x14ac:dyDescent="0.25">
      <c r="Z36712"/>
    </row>
    <row r="36713" spans="26:26" x14ac:dyDescent="0.25">
      <c r="Z36713"/>
    </row>
    <row r="36714" spans="26:26" x14ac:dyDescent="0.25">
      <c r="Z36714"/>
    </row>
    <row r="36715" spans="26:26" x14ac:dyDescent="0.25">
      <c r="Z36715"/>
    </row>
    <row r="36716" spans="26:26" x14ac:dyDescent="0.25">
      <c r="Z36716"/>
    </row>
    <row r="36717" spans="26:26" x14ac:dyDescent="0.25">
      <c r="Z36717"/>
    </row>
    <row r="36718" spans="26:26" x14ac:dyDescent="0.25">
      <c r="Z36718"/>
    </row>
    <row r="36719" spans="26:26" x14ac:dyDescent="0.25">
      <c r="Z36719"/>
    </row>
    <row r="36720" spans="26:26" x14ac:dyDescent="0.25">
      <c r="Z36720"/>
    </row>
    <row r="36721" spans="26:26" x14ac:dyDescent="0.25">
      <c r="Z36721"/>
    </row>
    <row r="36722" spans="26:26" x14ac:dyDescent="0.25">
      <c r="Z36722"/>
    </row>
    <row r="36723" spans="26:26" x14ac:dyDescent="0.25">
      <c r="Z36723"/>
    </row>
    <row r="36724" spans="26:26" x14ac:dyDescent="0.25">
      <c r="Z36724"/>
    </row>
    <row r="36725" spans="26:26" x14ac:dyDescent="0.25">
      <c r="Z36725"/>
    </row>
    <row r="36726" spans="26:26" x14ac:dyDescent="0.25">
      <c r="Z36726"/>
    </row>
    <row r="36727" spans="26:26" x14ac:dyDescent="0.25">
      <c r="Z36727"/>
    </row>
    <row r="36728" spans="26:26" x14ac:dyDescent="0.25">
      <c r="Z36728"/>
    </row>
    <row r="36729" spans="26:26" x14ac:dyDescent="0.25">
      <c r="Z36729"/>
    </row>
    <row r="36730" spans="26:26" x14ac:dyDescent="0.25">
      <c r="Z36730"/>
    </row>
    <row r="36731" spans="26:26" x14ac:dyDescent="0.25">
      <c r="Z36731"/>
    </row>
    <row r="36732" spans="26:26" x14ac:dyDescent="0.25">
      <c r="Z36732"/>
    </row>
    <row r="36733" spans="26:26" x14ac:dyDescent="0.25">
      <c r="Z36733"/>
    </row>
    <row r="36734" spans="26:26" x14ac:dyDescent="0.25">
      <c r="Z36734"/>
    </row>
    <row r="36735" spans="26:26" x14ac:dyDescent="0.25">
      <c r="Z36735"/>
    </row>
    <row r="36736" spans="26:26" x14ac:dyDescent="0.25">
      <c r="Z36736"/>
    </row>
    <row r="36737" spans="26:26" x14ac:dyDescent="0.25">
      <c r="Z36737"/>
    </row>
    <row r="36738" spans="26:26" x14ac:dyDescent="0.25">
      <c r="Z36738"/>
    </row>
    <row r="36739" spans="26:26" x14ac:dyDescent="0.25">
      <c r="Z36739"/>
    </row>
    <row r="36740" spans="26:26" x14ac:dyDescent="0.25">
      <c r="Z36740"/>
    </row>
    <row r="36741" spans="26:26" x14ac:dyDescent="0.25">
      <c r="Z36741"/>
    </row>
    <row r="36742" spans="26:26" x14ac:dyDescent="0.25">
      <c r="Z36742"/>
    </row>
    <row r="36743" spans="26:26" x14ac:dyDescent="0.25">
      <c r="Z36743"/>
    </row>
    <row r="36744" spans="26:26" x14ac:dyDescent="0.25">
      <c r="Z36744"/>
    </row>
    <row r="36745" spans="26:26" x14ac:dyDescent="0.25">
      <c r="Z36745"/>
    </row>
    <row r="36746" spans="26:26" x14ac:dyDescent="0.25">
      <c r="Z36746"/>
    </row>
    <row r="36747" spans="26:26" x14ac:dyDescent="0.25">
      <c r="Z36747"/>
    </row>
    <row r="36748" spans="26:26" x14ac:dyDescent="0.25">
      <c r="Z36748"/>
    </row>
    <row r="36749" spans="26:26" x14ac:dyDescent="0.25">
      <c r="Z36749"/>
    </row>
    <row r="36750" spans="26:26" x14ac:dyDescent="0.25">
      <c r="Z36750"/>
    </row>
    <row r="36751" spans="26:26" x14ac:dyDescent="0.25">
      <c r="Z36751"/>
    </row>
    <row r="36752" spans="26:26" x14ac:dyDescent="0.25">
      <c r="Z36752"/>
    </row>
    <row r="36753" spans="26:26" x14ac:dyDescent="0.25">
      <c r="Z36753"/>
    </row>
    <row r="36754" spans="26:26" x14ac:dyDescent="0.25">
      <c r="Z36754"/>
    </row>
    <row r="36755" spans="26:26" x14ac:dyDescent="0.25">
      <c r="Z36755"/>
    </row>
    <row r="36756" spans="26:26" x14ac:dyDescent="0.25">
      <c r="Z36756"/>
    </row>
    <row r="36757" spans="26:26" x14ac:dyDescent="0.25">
      <c r="Z36757"/>
    </row>
    <row r="36758" spans="26:26" x14ac:dyDescent="0.25">
      <c r="Z36758"/>
    </row>
    <row r="36759" spans="26:26" x14ac:dyDescent="0.25">
      <c r="Z36759"/>
    </row>
    <row r="36760" spans="26:26" x14ac:dyDescent="0.25">
      <c r="Z36760"/>
    </row>
    <row r="36761" spans="26:26" x14ac:dyDescent="0.25">
      <c r="Z36761"/>
    </row>
    <row r="36762" spans="26:26" x14ac:dyDescent="0.25">
      <c r="Z36762"/>
    </row>
    <row r="36763" spans="26:26" x14ac:dyDescent="0.25">
      <c r="Z36763"/>
    </row>
    <row r="36764" spans="26:26" x14ac:dyDescent="0.25">
      <c r="Z36764"/>
    </row>
    <row r="36765" spans="26:26" x14ac:dyDescent="0.25">
      <c r="Z36765"/>
    </row>
    <row r="36766" spans="26:26" x14ac:dyDescent="0.25">
      <c r="Z36766"/>
    </row>
    <row r="36767" spans="26:26" x14ac:dyDescent="0.25">
      <c r="Z36767"/>
    </row>
    <row r="36768" spans="26:26" x14ac:dyDescent="0.25">
      <c r="Z36768"/>
    </row>
    <row r="36769" spans="26:26" x14ac:dyDescent="0.25">
      <c r="Z36769"/>
    </row>
    <row r="36770" spans="26:26" x14ac:dyDescent="0.25">
      <c r="Z36770"/>
    </row>
    <row r="36771" spans="26:26" x14ac:dyDescent="0.25">
      <c r="Z36771"/>
    </row>
    <row r="36772" spans="26:26" x14ac:dyDescent="0.25">
      <c r="Z36772"/>
    </row>
    <row r="36773" spans="26:26" x14ac:dyDescent="0.25">
      <c r="Z36773"/>
    </row>
    <row r="36774" spans="26:26" x14ac:dyDescent="0.25">
      <c r="Z36774"/>
    </row>
    <row r="36775" spans="26:26" x14ac:dyDescent="0.25">
      <c r="Z36775"/>
    </row>
    <row r="36776" spans="26:26" x14ac:dyDescent="0.25">
      <c r="Z36776"/>
    </row>
    <row r="36777" spans="26:26" x14ac:dyDescent="0.25">
      <c r="Z36777"/>
    </row>
    <row r="36778" spans="26:26" x14ac:dyDescent="0.25">
      <c r="Z36778"/>
    </row>
    <row r="36779" spans="26:26" x14ac:dyDescent="0.25">
      <c r="Z36779"/>
    </row>
    <row r="36780" spans="26:26" x14ac:dyDescent="0.25">
      <c r="Z36780"/>
    </row>
    <row r="36781" spans="26:26" x14ac:dyDescent="0.25">
      <c r="Z36781"/>
    </row>
    <row r="36782" spans="26:26" x14ac:dyDescent="0.25">
      <c r="Z36782"/>
    </row>
    <row r="36783" spans="26:26" x14ac:dyDescent="0.25">
      <c r="Z36783"/>
    </row>
    <row r="36784" spans="26:26" x14ac:dyDescent="0.25">
      <c r="Z36784"/>
    </row>
    <row r="36785" spans="26:26" x14ac:dyDescent="0.25">
      <c r="Z36785"/>
    </row>
    <row r="36786" spans="26:26" x14ac:dyDescent="0.25">
      <c r="Z36786"/>
    </row>
    <row r="36787" spans="26:26" x14ac:dyDescent="0.25">
      <c r="Z36787"/>
    </row>
    <row r="36788" spans="26:26" x14ac:dyDescent="0.25">
      <c r="Z36788"/>
    </row>
    <row r="36789" spans="26:26" x14ac:dyDescent="0.25">
      <c r="Z36789"/>
    </row>
    <row r="36790" spans="26:26" x14ac:dyDescent="0.25">
      <c r="Z36790"/>
    </row>
    <row r="36791" spans="26:26" x14ac:dyDescent="0.25">
      <c r="Z36791"/>
    </row>
    <row r="36792" spans="26:26" x14ac:dyDescent="0.25">
      <c r="Z36792"/>
    </row>
    <row r="36793" spans="26:26" x14ac:dyDescent="0.25">
      <c r="Z36793"/>
    </row>
    <row r="36794" spans="26:26" x14ac:dyDescent="0.25">
      <c r="Z36794"/>
    </row>
    <row r="36795" spans="26:26" x14ac:dyDescent="0.25">
      <c r="Z36795"/>
    </row>
    <row r="36796" spans="26:26" x14ac:dyDescent="0.25">
      <c r="Z36796"/>
    </row>
    <row r="36797" spans="26:26" x14ac:dyDescent="0.25">
      <c r="Z36797"/>
    </row>
    <row r="36798" spans="26:26" x14ac:dyDescent="0.25">
      <c r="Z36798"/>
    </row>
    <row r="36799" spans="26:26" x14ac:dyDescent="0.25">
      <c r="Z36799"/>
    </row>
    <row r="36800" spans="26:26" x14ac:dyDescent="0.25">
      <c r="Z36800"/>
    </row>
    <row r="36801" spans="26:26" x14ac:dyDescent="0.25">
      <c r="Z36801"/>
    </row>
    <row r="36802" spans="26:26" x14ac:dyDescent="0.25">
      <c r="Z36802"/>
    </row>
    <row r="36803" spans="26:26" x14ac:dyDescent="0.25">
      <c r="Z36803"/>
    </row>
    <row r="36804" spans="26:26" x14ac:dyDescent="0.25">
      <c r="Z36804"/>
    </row>
    <row r="36805" spans="26:26" x14ac:dyDescent="0.25">
      <c r="Z36805"/>
    </row>
    <row r="36806" spans="26:26" x14ac:dyDescent="0.25">
      <c r="Z36806"/>
    </row>
    <row r="36807" spans="26:26" x14ac:dyDescent="0.25">
      <c r="Z36807"/>
    </row>
    <row r="36808" spans="26:26" x14ac:dyDescent="0.25">
      <c r="Z36808"/>
    </row>
    <row r="36809" spans="26:26" x14ac:dyDescent="0.25">
      <c r="Z36809"/>
    </row>
    <row r="36810" spans="26:26" x14ac:dyDescent="0.25">
      <c r="Z36810"/>
    </row>
    <row r="36811" spans="26:26" x14ac:dyDescent="0.25">
      <c r="Z36811"/>
    </row>
    <row r="36812" spans="26:26" x14ac:dyDescent="0.25">
      <c r="Z36812"/>
    </row>
    <row r="36813" spans="26:26" x14ac:dyDescent="0.25">
      <c r="Z36813"/>
    </row>
    <row r="36814" spans="26:26" x14ac:dyDescent="0.25">
      <c r="Z36814"/>
    </row>
    <row r="36815" spans="26:26" x14ac:dyDescent="0.25">
      <c r="Z36815"/>
    </row>
    <row r="36816" spans="26:26" x14ac:dyDescent="0.25">
      <c r="Z36816"/>
    </row>
    <row r="36817" spans="26:26" x14ac:dyDescent="0.25">
      <c r="Z36817"/>
    </row>
    <row r="36818" spans="26:26" x14ac:dyDescent="0.25">
      <c r="Z36818"/>
    </row>
    <row r="36819" spans="26:26" x14ac:dyDescent="0.25">
      <c r="Z36819"/>
    </row>
    <row r="36820" spans="26:26" x14ac:dyDescent="0.25">
      <c r="Z36820"/>
    </row>
    <row r="36821" spans="26:26" x14ac:dyDescent="0.25">
      <c r="Z36821"/>
    </row>
    <row r="36822" spans="26:26" x14ac:dyDescent="0.25">
      <c r="Z36822"/>
    </row>
    <row r="36823" spans="26:26" x14ac:dyDescent="0.25">
      <c r="Z36823"/>
    </row>
    <row r="36824" spans="26:26" x14ac:dyDescent="0.25">
      <c r="Z36824"/>
    </row>
    <row r="36825" spans="26:26" x14ac:dyDescent="0.25">
      <c r="Z36825"/>
    </row>
    <row r="36826" spans="26:26" x14ac:dyDescent="0.25">
      <c r="Z36826"/>
    </row>
    <row r="36827" spans="26:26" x14ac:dyDescent="0.25">
      <c r="Z36827"/>
    </row>
    <row r="36828" spans="26:26" x14ac:dyDescent="0.25">
      <c r="Z36828"/>
    </row>
    <row r="36829" spans="26:26" x14ac:dyDescent="0.25">
      <c r="Z36829"/>
    </row>
    <row r="36830" spans="26:26" x14ac:dyDescent="0.25">
      <c r="Z36830"/>
    </row>
    <row r="36831" spans="26:26" x14ac:dyDescent="0.25">
      <c r="Z36831"/>
    </row>
    <row r="36832" spans="26:26" x14ac:dyDescent="0.25">
      <c r="Z36832"/>
    </row>
    <row r="36833" spans="26:26" x14ac:dyDescent="0.25">
      <c r="Z36833"/>
    </row>
    <row r="36834" spans="26:26" x14ac:dyDescent="0.25">
      <c r="Z36834"/>
    </row>
    <row r="36835" spans="26:26" x14ac:dyDescent="0.25">
      <c r="Z36835"/>
    </row>
    <row r="36836" spans="26:26" x14ac:dyDescent="0.25">
      <c r="Z36836"/>
    </row>
    <row r="36837" spans="26:26" x14ac:dyDescent="0.25">
      <c r="Z36837"/>
    </row>
    <row r="36838" spans="26:26" x14ac:dyDescent="0.25">
      <c r="Z36838"/>
    </row>
    <row r="36839" spans="26:26" x14ac:dyDescent="0.25">
      <c r="Z36839"/>
    </row>
    <row r="36840" spans="26:26" x14ac:dyDescent="0.25">
      <c r="Z36840"/>
    </row>
    <row r="36841" spans="26:26" x14ac:dyDescent="0.25">
      <c r="Z36841"/>
    </row>
    <row r="36842" spans="26:26" x14ac:dyDescent="0.25">
      <c r="Z36842"/>
    </row>
    <row r="36843" spans="26:26" x14ac:dyDescent="0.25">
      <c r="Z36843"/>
    </row>
    <row r="36844" spans="26:26" x14ac:dyDescent="0.25">
      <c r="Z36844"/>
    </row>
    <row r="36845" spans="26:26" x14ac:dyDescent="0.25">
      <c r="Z36845"/>
    </row>
    <row r="36846" spans="26:26" x14ac:dyDescent="0.25">
      <c r="Z36846"/>
    </row>
    <row r="36847" spans="26:26" x14ac:dyDescent="0.25">
      <c r="Z36847"/>
    </row>
    <row r="36848" spans="26:26" x14ac:dyDescent="0.25">
      <c r="Z36848"/>
    </row>
    <row r="36849" spans="26:26" x14ac:dyDescent="0.25">
      <c r="Z36849"/>
    </row>
    <row r="36850" spans="26:26" x14ac:dyDescent="0.25">
      <c r="Z36850"/>
    </row>
    <row r="36851" spans="26:26" x14ac:dyDescent="0.25">
      <c r="Z36851"/>
    </row>
    <row r="36852" spans="26:26" x14ac:dyDescent="0.25">
      <c r="Z36852"/>
    </row>
    <row r="36853" spans="26:26" x14ac:dyDescent="0.25">
      <c r="Z36853"/>
    </row>
    <row r="36854" spans="26:26" x14ac:dyDescent="0.25">
      <c r="Z36854"/>
    </row>
    <row r="36855" spans="26:26" x14ac:dyDescent="0.25">
      <c r="Z36855"/>
    </row>
    <row r="36856" spans="26:26" x14ac:dyDescent="0.25">
      <c r="Z36856"/>
    </row>
    <row r="36857" spans="26:26" x14ac:dyDescent="0.25">
      <c r="Z36857"/>
    </row>
    <row r="36858" spans="26:26" x14ac:dyDescent="0.25">
      <c r="Z36858"/>
    </row>
    <row r="36859" spans="26:26" x14ac:dyDescent="0.25">
      <c r="Z36859"/>
    </row>
    <row r="36860" spans="26:26" x14ac:dyDescent="0.25">
      <c r="Z36860"/>
    </row>
    <row r="36861" spans="26:26" x14ac:dyDescent="0.25">
      <c r="Z36861"/>
    </row>
    <row r="36862" spans="26:26" x14ac:dyDescent="0.25">
      <c r="Z36862"/>
    </row>
    <row r="36863" spans="26:26" x14ac:dyDescent="0.25">
      <c r="Z36863"/>
    </row>
    <row r="36864" spans="26:26" x14ac:dyDescent="0.25">
      <c r="Z36864"/>
    </row>
    <row r="36865" spans="26:26" x14ac:dyDescent="0.25">
      <c r="Z36865"/>
    </row>
    <row r="36866" spans="26:26" x14ac:dyDescent="0.25">
      <c r="Z36866"/>
    </row>
    <row r="36867" spans="26:26" x14ac:dyDescent="0.25">
      <c r="Z36867"/>
    </row>
    <row r="36868" spans="26:26" x14ac:dyDescent="0.25">
      <c r="Z36868"/>
    </row>
    <row r="36869" spans="26:26" x14ac:dyDescent="0.25">
      <c r="Z36869"/>
    </row>
    <row r="36870" spans="26:26" x14ac:dyDescent="0.25">
      <c r="Z36870"/>
    </row>
    <row r="36871" spans="26:26" x14ac:dyDescent="0.25">
      <c r="Z36871"/>
    </row>
    <row r="36872" spans="26:26" x14ac:dyDescent="0.25">
      <c r="Z36872"/>
    </row>
    <row r="36873" spans="26:26" x14ac:dyDescent="0.25">
      <c r="Z36873"/>
    </row>
    <row r="36874" spans="26:26" x14ac:dyDescent="0.25">
      <c r="Z36874"/>
    </row>
    <row r="36875" spans="26:26" x14ac:dyDescent="0.25">
      <c r="Z36875"/>
    </row>
    <row r="36876" spans="26:26" x14ac:dyDescent="0.25">
      <c r="Z36876"/>
    </row>
    <row r="36877" spans="26:26" x14ac:dyDescent="0.25">
      <c r="Z36877"/>
    </row>
    <row r="36878" spans="26:26" x14ac:dyDescent="0.25">
      <c r="Z36878"/>
    </row>
    <row r="36879" spans="26:26" x14ac:dyDescent="0.25">
      <c r="Z36879"/>
    </row>
    <row r="36880" spans="26:26" x14ac:dyDescent="0.25">
      <c r="Z36880"/>
    </row>
    <row r="36881" spans="26:26" x14ac:dyDescent="0.25">
      <c r="Z36881"/>
    </row>
    <row r="36882" spans="26:26" x14ac:dyDescent="0.25">
      <c r="Z36882"/>
    </row>
    <row r="36883" spans="26:26" x14ac:dyDescent="0.25">
      <c r="Z36883"/>
    </row>
    <row r="36884" spans="26:26" x14ac:dyDescent="0.25">
      <c r="Z36884"/>
    </row>
    <row r="36885" spans="26:26" x14ac:dyDescent="0.25">
      <c r="Z36885"/>
    </row>
    <row r="36886" spans="26:26" x14ac:dyDescent="0.25">
      <c r="Z36886"/>
    </row>
    <row r="36887" spans="26:26" x14ac:dyDescent="0.25">
      <c r="Z36887"/>
    </row>
    <row r="36888" spans="26:26" x14ac:dyDescent="0.25">
      <c r="Z36888"/>
    </row>
    <row r="36889" spans="26:26" x14ac:dyDescent="0.25">
      <c r="Z36889"/>
    </row>
    <row r="36890" spans="26:26" x14ac:dyDescent="0.25">
      <c r="Z36890"/>
    </row>
    <row r="36891" spans="26:26" x14ac:dyDescent="0.25">
      <c r="Z36891"/>
    </row>
    <row r="36892" spans="26:26" x14ac:dyDescent="0.25">
      <c r="Z36892"/>
    </row>
    <row r="36893" spans="26:26" x14ac:dyDescent="0.25">
      <c r="Z36893"/>
    </row>
    <row r="36894" spans="26:26" x14ac:dyDescent="0.25">
      <c r="Z36894"/>
    </row>
    <row r="36895" spans="26:26" x14ac:dyDescent="0.25">
      <c r="Z36895"/>
    </row>
    <row r="36896" spans="26:26" x14ac:dyDescent="0.25">
      <c r="Z36896"/>
    </row>
    <row r="36897" spans="26:26" x14ac:dyDescent="0.25">
      <c r="Z36897"/>
    </row>
    <row r="36898" spans="26:26" x14ac:dyDescent="0.25">
      <c r="Z36898"/>
    </row>
    <row r="36899" spans="26:26" x14ac:dyDescent="0.25">
      <c r="Z36899"/>
    </row>
    <row r="36900" spans="26:26" x14ac:dyDescent="0.25">
      <c r="Z36900"/>
    </row>
    <row r="36901" spans="26:26" x14ac:dyDescent="0.25">
      <c r="Z36901"/>
    </row>
    <row r="36902" spans="26:26" x14ac:dyDescent="0.25">
      <c r="Z36902"/>
    </row>
    <row r="36903" spans="26:26" x14ac:dyDescent="0.25">
      <c r="Z36903"/>
    </row>
    <row r="36904" spans="26:26" x14ac:dyDescent="0.25">
      <c r="Z36904"/>
    </row>
    <row r="36905" spans="26:26" x14ac:dyDescent="0.25">
      <c r="Z36905"/>
    </row>
    <row r="36906" spans="26:26" x14ac:dyDescent="0.25">
      <c r="Z36906"/>
    </row>
    <row r="36907" spans="26:26" x14ac:dyDescent="0.25">
      <c r="Z36907"/>
    </row>
    <row r="36908" spans="26:26" x14ac:dyDescent="0.25">
      <c r="Z36908"/>
    </row>
    <row r="36909" spans="26:26" x14ac:dyDescent="0.25">
      <c r="Z36909"/>
    </row>
    <row r="36910" spans="26:26" x14ac:dyDescent="0.25">
      <c r="Z36910"/>
    </row>
    <row r="36911" spans="26:26" x14ac:dyDescent="0.25">
      <c r="Z36911"/>
    </row>
    <row r="36912" spans="26:26" x14ac:dyDescent="0.25">
      <c r="Z36912"/>
    </row>
    <row r="36913" spans="26:26" x14ac:dyDescent="0.25">
      <c r="Z36913"/>
    </row>
    <row r="36914" spans="26:26" x14ac:dyDescent="0.25">
      <c r="Z36914"/>
    </row>
    <row r="36915" spans="26:26" x14ac:dyDescent="0.25">
      <c r="Z36915"/>
    </row>
    <row r="36916" spans="26:26" x14ac:dyDescent="0.25">
      <c r="Z36916"/>
    </row>
    <row r="36917" spans="26:26" x14ac:dyDescent="0.25">
      <c r="Z36917"/>
    </row>
    <row r="36918" spans="26:26" x14ac:dyDescent="0.25">
      <c r="Z36918"/>
    </row>
    <row r="36919" spans="26:26" x14ac:dyDescent="0.25">
      <c r="Z36919"/>
    </row>
    <row r="36920" spans="26:26" x14ac:dyDescent="0.25">
      <c r="Z36920"/>
    </row>
    <row r="36921" spans="26:26" x14ac:dyDescent="0.25">
      <c r="Z36921"/>
    </row>
    <row r="36922" spans="26:26" x14ac:dyDescent="0.25">
      <c r="Z36922"/>
    </row>
    <row r="36923" spans="26:26" x14ac:dyDescent="0.25">
      <c r="Z36923"/>
    </row>
    <row r="36924" spans="26:26" x14ac:dyDescent="0.25">
      <c r="Z36924"/>
    </row>
    <row r="36925" spans="26:26" x14ac:dyDescent="0.25">
      <c r="Z36925"/>
    </row>
    <row r="36926" spans="26:26" x14ac:dyDescent="0.25">
      <c r="Z36926"/>
    </row>
    <row r="36927" spans="26:26" x14ac:dyDescent="0.25">
      <c r="Z36927"/>
    </row>
    <row r="36928" spans="26:26" x14ac:dyDescent="0.25">
      <c r="Z36928"/>
    </row>
    <row r="36929" spans="26:26" x14ac:dyDescent="0.25">
      <c r="Z36929"/>
    </row>
    <row r="36930" spans="26:26" x14ac:dyDescent="0.25">
      <c r="Z36930"/>
    </row>
    <row r="36931" spans="26:26" x14ac:dyDescent="0.25">
      <c r="Z36931"/>
    </row>
    <row r="36932" spans="26:26" x14ac:dyDescent="0.25">
      <c r="Z36932"/>
    </row>
    <row r="36933" spans="26:26" x14ac:dyDescent="0.25">
      <c r="Z36933"/>
    </row>
    <row r="36934" spans="26:26" x14ac:dyDescent="0.25">
      <c r="Z36934"/>
    </row>
    <row r="36935" spans="26:26" x14ac:dyDescent="0.25">
      <c r="Z36935"/>
    </row>
    <row r="36936" spans="26:26" x14ac:dyDescent="0.25">
      <c r="Z36936"/>
    </row>
    <row r="36937" spans="26:26" x14ac:dyDescent="0.25">
      <c r="Z36937"/>
    </row>
    <row r="36938" spans="26:26" x14ac:dyDescent="0.25">
      <c r="Z36938"/>
    </row>
    <row r="36939" spans="26:26" x14ac:dyDescent="0.25">
      <c r="Z36939"/>
    </row>
    <row r="36940" spans="26:26" x14ac:dyDescent="0.25">
      <c r="Z36940"/>
    </row>
    <row r="36941" spans="26:26" x14ac:dyDescent="0.25">
      <c r="Z36941"/>
    </row>
    <row r="36942" spans="26:26" x14ac:dyDescent="0.25">
      <c r="Z36942"/>
    </row>
    <row r="36943" spans="26:26" x14ac:dyDescent="0.25">
      <c r="Z36943"/>
    </row>
    <row r="36944" spans="26:26" x14ac:dyDescent="0.25">
      <c r="Z36944"/>
    </row>
    <row r="36945" spans="26:26" x14ac:dyDescent="0.25">
      <c r="Z36945"/>
    </row>
    <row r="36946" spans="26:26" x14ac:dyDescent="0.25">
      <c r="Z36946"/>
    </row>
    <row r="36947" spans="26:26" x14ac:dyDescent="0.25">
      <c r="Z36947"/>
    </row>
    <row r="36948" spans="26:26" x14ac:dyDescent="0.25">
      <c r="Z36948"/>
    </row>
    <row r="36949" spans="26:26" x14ac:dyDescent="0.25">
      <c r="Z36949"/>
    </row>
    <row r="36950" spans="26:26" x14ac:dyDescent="0.25">
      <c r="Z36950"/>
    </row>
    <row r="36951" spans="26:26" x14ac:dyDescent="0.25">
      <c r="Z36951"/>
    </row>
    <row r="36952" spans="26:26" x14ac:dyDescent="0.25">
      <c r="Z36952"/>
    </row>
    <row r="36953" spans="26:26" x14ac:dyDescent="0.25">
      <c r="Z36953"/>
    </row>
    <row r="36954" spans="26:26" x14ac:dyDescent="0.25">
      <c r="Z36954"/>
    </row>
    <row r="36955" spans="26:26" x14ac:dyDescent="0.25">
      <c r="Z36955"/>
    </row>
    <row r="36956" spans="26:26" x14ac:dyDescent="0.25">
      <c r="Z36956"/>
    </row>
    <row r="36957" spans="26:26" x14ac:dyDescent="0.25">
      <c r="Z36957"/>
    </row>
    <row r="36958" spans="26:26" x14ac:dyDescent="0.25">
      <c r="Z36958"/>
    </row>
    <row r="36959" spans="26:26" x14ac:dyDescent="0.25">
      <c r="Z36959"/>
    </row>
    <row r="36960" spans="26:26" x14ac:dyDescent="0.25">
      <c r="Z36960"/>
    </row>
    <row r="36961" spans="26:26" x14ac:dyDescent="0.25">
      <c r="Z36961"/>
    </row>
    <row r="36962" spans="26:26" x14ac:dyDescent="0.25">
      <c r="Z36962"/>
    </row>
    <row r="36963" spans="26:26" x14ac:dyDescent="0.25">
      <c r="Z36963"/>
    </row>
    <row r="36964" spans="26:26" x14ac:dyDescent="0.25">
      <c r="Z36964"/>
    </row>
    <row r="36965" spans="26:26" x14ac:dyDescent="0.25">
      <c r="Z36965"/>
    </row>
    <row r="36966" spans="26:26" x14ac:dyDescent="0.25">
      <c r="Z36966"/>
    </row>
    <row r="36967" spans="26:26" x14ac:dyDescent="0.25">
      <c r="Z36967"/>
    </row>
    <row r="36968" spans="26:26" x14ac:dyDescent="0.25">
      <c r="Z36968"/>
    </row>
    <row r="36969" spans="26:26" x14ac:dyDescent="0.25">
      <c r="Z36969"/>
    </row>
    <row r="36970" spans="26:26" x14ac:dyDescent="0.25">
      <c r="Z36970"/>
    </row>
    <row r="36971" spans="26:26" x14ac:dyDescent="0.25">
      <c r="Z36971"/>
    </row>
    <row r="36972" spans="26:26" x14ac:dyDescent="0.25">
      <c r="Z36972"/>
    </row>
    <row r="36973" spans="26:26" x14ac:dyDescent="0.25">
      <c r="Z36973"/>
    </row>
    <row r="36974" spans="26:26" x14ac:dyDescent="0.25">
      <c r="Z36974"/>
    </row>
    <row r="36975" spans="26:26" x14ac:dyDescent="0.25">
      <c r="Z36975"/>
    </row>
    <row r="36976" spans="26:26" x14ac:dyDescent="0.25">
      <c r="Z36976"/>
    </row>
    <row r="36977" spans="26:26" x14ac:dyDescent="0.25">
      <c r="Z36977"/>
    </row>
    <row r="36978" spans="26:26" x14ac:dyDescent="0.25">
      <c r="Z36978"/>
    </row>
    <row r="36979" spans="26:26" x14ac:dyDescent="0.25">
      <c r="Z36979"/>
    </row>
    <row r="36980" spans="26:26" x14ac:dyDescent="0.25">
      <c r="Z36980"/>
    </row>
    <row r="36981" spans="26:26" x14ac:dyDescent="0.25">
      <c r="Z36981"/>
    </row>
    <row r="36982" spans="26:26" x14ac:dyDescent="0.25">
      <c r="Z36982"/>
    </row>
    <row r="36983" spans="26:26" x14ac:dyDescent="0.25">
      <c r="Z36983"/>
    </row>
    <row r="36984" spans="26:26" x14ac:dyDescent="0.25">
      <c r="Z36984"/>
    </row>
    <row r="36985" spans="26:26" x14ac:dyDescent="0.25">
      <c r="Z36985"/>
    </row>
    <row r="36986" spans="26:26" x14ac:dyDescent="0.25">
      <c r="Z36986"/>
    </row>
    <row r="36987" spans="26:26" x14ac:dyDescent="0.25">
      <c r="Z36987"/>
    </row>
    <row r="36988" spans="26:26" x14ac:dyDescent="0.25">
      <c r="Z36988"/>
    </row>
    <row r="36989" spans="26:26" x14ac:dyDescent="0.25">
      <c r="Z36989"/>
    </row>
    <row r="36990" spans="26:26" x14ac:dyDescent="0.25">
      <c r="Z36990"/>
    </row>
    <row r="36991" spans="26:26" x14ac:dyDescent="0.25">
      <c r="Z36991"/>
    </row>
    <row r="36992" spans="26:26" x14ac:dyDescent="0.25">
      <c r="Z36992"/>
    </row>
    <row r="36993" spans="26:26" x14ac:dyDescent="0.25">
      <c r="Z36993"/>
    </row>
    <row r="36994" spans="26:26" x14ac:dyDescent="0.25">
      <c r="Z36994"/>
    </row>
    <row r="36995" spans="26:26" x14ac:dyDescent="0.25">
      <c r="Z36995"/>
    </row>
    <row r="36996" spans="26:26" x14ac:dyDescent="0.25">
      <c r="Z36996"/>
    </row>
    <row r="36997" spans="26:26" x14ac:dyDescent="0.25">
      <c r="Z36997"/>
    </row>
    <row r="36998" spans="26:26" x14ac:dyDescent="0.25">
      <c r="Z36998"/>
    </row>
    <row r="36999" spans="26:26" x14ac:dyDescent="0.25">
      <c r="Z36999"/>
    </row>
    <row r="37000" spans="26:26" x14ac:dyDescent="0.25">
      <c r="Z37000"/>
    </row>
    <row r="37001" spans="26:26" x14ac:dyDescent="0.25">
      <c r="Z37001"/>
    </row>
    <row r="37002" spans="26:26" x14ac:dyDescent="0.25">
      <c r="Z37002"/>
    </row>
    <row r="37003" spans="26:26" x14ac:dyDescent="0.25">
      <c r="Z37003"/>
    </row>
    <row r="37004" spans="26:26" x14ac:dyDescent="0.25">
      <c r="Z37004"/>
    </row>
    <row r="37005" spans="26:26" x14ac:dyDescent="0.25">
      <c r="Z37005"/>
    </row>
    <row r="37006" spans="26:26" x14ac:dyDescent="0.25">
      <c r="Z37006"/>
    </row>
    <row r="37007" spans="26:26" x14ac:dyDescent="0.25">
      <c r="Z37007"/>
    </row>
    <row r="37008" spans="26:26" x14ac:dyDescent="0.25">
      <c r="Z37008"/>
    </row>
    <row r="37009" spans="26:26" x14ac:dyDescent="0.25">
      <c r="Z37009"/>
    </row>
    <row r="37010" spans="26:26" x14ac:dyDescent="0.25">
      <c r="Z37010"/>
    </row>
    <row r="37011" spans="26:26" x14ac:dyDescent="0.25">
      <c r="Z37011"/>
    </row>
    <row r="37012" spans="26:26" x14ac:dyDescent="0.25">
      <c r="Z37012"/>
    </row>
    <row r="37013" spans="26:26" x14ac:dyDescent="0.25">
      <c r="Z37013"/>
    </row>
    <row r="37014" spans="26:26" x14ac:dyDescent="0.25">
      <c r="Z37014"/>
    </row>
    <row r="37015" spans="26:26" x14ac:dyDescent="0.25">
      <c r="Z37015"/>
    </row>
    <row r="37016" spans="26:26" x14ac:dyDescent="0.25">
      <c r="Z37016"/>
    </row>
    <row r="37017" spans="26:26" x14ac:dyDescent="0.25">
      <c r="Z37017"/>
    </row>
    <row r="37018" spans="26:26" x14ac:dyDescent="0.25">
      <c r="Z37018"/>
    </row>
    <row r="37019" spans="26:26" x14ac:dyDescent="0.25">
      <c r="Z37019"/>
    </row>
    <row r="37020" spans="26:26" x14ac:dyDescent="0.25">
      <c r="Z37020"/>
    </row>
    <row r="37021" spans="26:26" x14ac:dyDescent="0.25">
      <c r="Z37021"/>
    </row>
    <row r="37022" spans="26:26" x14ac:dyDescent="0.25">
      <c r="Z37022"/>
    </row>
    <row r="37023" spans="26:26" x14ac:dyDescent="0.25">
      <c r="Z37023"/>
    </row>
    <row r="37024" spans="26:26" x14ac:dyDescent="0.25">
      <c r="Z37024"/>
    </row>
    <row r="37025" spans="26:26" x14ac:dyDescent="0.25">
      <c r="Z37025"/>
    </row>
    <row r="37026" spans="26:26" x14ac:dyDescent="0.25">
      <c r="Z37026"/>
    </row>
    <row r="37027" spans="26:26" x14ac:dyDescent="0.25">
      <c r="Z37027"/>
    </row>
    <row r="37028" spans="26:26" x14ac:dyDescent="0.25">
      <c r="Z37028"/>
    </row>
    <row r="37029" spans="26:26" x14ac:dyDescent="0.25">
      <c r="Z37029"/>
    </row>
    <row r="37030" spans="26:26" x14ac:dyDescent="0.25">
      <c r="Z37030"/>
    </row>
    <row r="37031" spans="26:26" x14ac:dyDescent="0.25">
      <c r="Z37031"/>
    </row>
    <row r="37032" spans="26:26" x14ac:dyDescent="0.25">
      <c r="Z37032"/>
    </row>
    <row r="37033" spans="26:26" x14ac:dyDescent="0.25">
      <c r="Z37033"/>
    </row>
    <row r="37034" spans="26:26" x14ac:dyDescent="0.25">
      <c r="Z37034"/>
    </row>
    <row r="37035" spans="26:26" x14ac:dyDescent="0.25">
      <c r="Z37035"/>
    </row>
    <row r="37036" spans="26:26" x14ac:dyDescent="0.25">
      <c r="Z37036"/>
    </row>
    <row r="37037" spans="26:26" x14ac:dyDescent="0.25">
      <c r="Z37037"/>
    </row>
    <row r="37038" spans="26:26" x14ac:dyDescent="0.25">
      <c r="Z37038"/>
    </row>
    <row r="37039" spans="26:26" x14ac:dyDescent="0.25">
      <c r="Z37039"/>
    </row>
    <row r="37040" spans="26:26" x14ac:dyDescent="0.25">
      <c r="Z37040"/>
    </row>
    <row r="37041" spans="26:26" x14ac:dyDescent="0.25">
      <c r="Z37041"/>
    </row>
    <row r="37042" spans="26:26" x14ac:dyDescent="0.25">
      <c r="Z37042"/>
    </row>
    <row r="37043" spans="26:26" x14ac:dyDescent="0.25">
      <c r="Z37043"/>
    </row>
    <row r="37044" spans="26:26" x14ac:dyDescent="0.25">
      <c r="Z37044"/>
    </row>
    <row r="37045" spans="26:26" x14ac:dyDescent="0.25">
      <c r="Z37045"/>
    </row>
    <row r="37046" spans="26:26" x14ac:dyDescent="0.25">
      <c r="Z37046"/>
    </row>
    <row r="37047" spans="26:26" x14ac:dyDescent="0.25">
      <c r="Z37047"/>
    </row>
    <row r="37048" spans="26:26" x14ac:dyDescent="0.25">
      <c r="Z37048"/>
    </row>
    <row r="37049" spans="26:26" x14ac:dyDescent="0.25">
      <c r="Z37049"/>
    </row>
    <row r="37050" spans="26:26" x14ac:dyDescent="0.25">
      <c r="Z37050"/>
    </row>
    <row r="37051" spans="26:26" x14ac:dyDescent="0.25">
      <c r="Z37051"/>
    </row>
    <row r="37052" spans="26:26" x14ac:dyDescent="0.25">
      <c r="Z37052"/>
    </row>
    <row r="37053" spans="26:26" x14ac:dyDescent="0.25">
      <c r="Z37053"/>
    </row>
    <row r="37054" spans="26:26" x14ac:dyDescent="0.25">
      <c r="Z37054"/>
    </row>
    <row r="37055" spans="26:26" x14ac:dyDescent="0.25">
      <c r="Z37055"/>
    </row>
    <row r="37056" spans="26:26" x14ac:dyDescent="0.25">
      <c r="Z37056"/>
    </row>
    <row r="37057" spans="26:26" x14ac:dyDescent="0.25">
      <c r="Z37057"/>
    </row>
    <row r="37058" spans="26:26" x14ac:dyDescent="0.25">
      <c r="Z37058"/>
    </row>
    <row r="37059" spans="26:26" x14ac:dyDescent="0.25">
      <c r="Z37059"/>
    </row>
    <row r="37060" spans="26:26" x14ac:dyDescent="0.25">
      <c r="Z37060"/>
    </row>
    <row r="37061" spans="26:26" x14ac:dyDescent="0.25">
      <c r="Z37061"/>
    </row>
    <row r="37062" spans="26:26" x14ac:dyDescent="0.25">
      <c r="Z37062"/>
    </row>
    <row r="37063" spans="26:26" x14ac:dyDescent="0.25">
      <c r="Z37063"/>
    </row>
    <row r="37064" spans="26:26" x14ac:dyDescent="0.25">
      <c r="Z37064"/>
    </row>
    <row r="37065" spans="26:26" x14ac:dyDescent="0.25">
      <c r="Z37065"/>
    </row>
    <row r="37066" spans="26:26" x14ac:dyDescent="0.25">
      <c r="Z37066"/>
    </row>
    <row r="37067" spans="26:26" x14ac:dyDescent="0.25">
      <c r="Z37067"/>
    </row>
    <row r="37068" spans="26:26" x14ac:dyDescent="0.25">
      <c r="Z37068"/>
    </row>
    <row r="37069" spans="26:26" x14ac:dyDescent="0.25">
      <c r="Z37069"/>
    </row>
    <row r="37070" spans="26:26" x14ac:dyDescent="0.25">
      <c r="Z37070"/>
    </row>
    <row r="37071" spans="26:26" x14ac:dyDescent="0.25">
      <c r="Z37071"/>
    </row>
    <row r="37072" spans="26:26" x14ac:dyDescent="0.25">
      <c r="Z37072"/>
    </row>
    <row r="37073" spans="26:26" x14ac:dyDescent="0.25">
      <c r="Z37073"/>
    </row>
    <row r="37074" spans="26:26" x14ac:dyDescent="0.25">
      <c r="Z37074"/>
    </row>
    <row r="37075" spans="26:26" x14ac:dyDescent="0.25">
      <c r="Z37075"/>
    </row>
    <row r="37076" spans="26:26" x14ac:dyDescent="0.25">
      <c r="Z37076"/>
    </row>
    <row r="37077" spans="26:26" x14ac:dyDescent="0.25">
      <c r="Z37077"/>
    </row>
    <row r="37078" spans="26:26" x14ac:dyDescent="0.25">
      <c r="Z37078"/>
    </row>
    <row r="37079" spans="26:26" x14ac:dyDescent="0.25">
      <c r="Z37079"/>
    </row>
    <row r="37080" spans="26:26" x14ac:dyDescent="0.25">
      <c r="Z37080"/>
    </row>
    <row r="37081" spans="26:26" x14ac:dyDescent="0.25">
      <c r="Z37081"/>
    </row>
    <row r="37082" spans="26:26" x14ac:dyDescent="0.25">
      <c r="Z37082"/>
    </row>
    <row r="37083" spans="26:26" x14ac:dyDescent="0.25">
      <c r="Z37083"/>
    </row>
    <row r="37084" spans="26:26" x14ac:dyDescent="0.25">
      <c r="Z37084"/>
    </row>
    <row r="37085" spans="26:26" x14ac:dyDescent="0.25">
      <c r="Z37085"/>
    </row>
    <row r="37086" spans="26:26" x14ac:dyDescent="0.25">
      <c r="Z37086"/>
    </row>
    <row r="37087" spans="26:26" x14ac:dyDescent="0.25">
      <c r="Z37087"/>
    </row>
    <row r="37088" spans="26:26" x14ac:dyDescent="0.25">
      <c r="Z37088"/>
    </row>
    <row r="37089" spans="26:26" x14ac:dyDescent="0.25">
      <c r="Z37089"/>
    </row>
    <row r="37090" spans="26:26" x14ac:dyDescent="0.25">
      <c r="Z37090"/>
    </row>
    <row r="37091" spans="26:26" x14ac:dyDescent="0.25">
      <c r="Z37091"/>
    </row>
    <row r="37092" spans="26:26" x14ac:dyDescent="0.25">
      <c r="Z37092"/>
    </row>
    <row r="37093" spans="26:26" x14ac:dyDescent="0.25">
      <c r="Z37093"/>
    </row>
    <row r="37094" spans="26:26" x14ac:dyDescent="0.25">
      <c r="Z37094"/>
    </row>
    <row r="37095" spans="26:26" x14ac:dyDescent="0.25">
      <c r="Z37095"/>
    </row>
    <row r="37096" spans="26:26" x14ac:dyDescent="0.25">
      <c r="Z37096"/>
    </row>
    <row r="37097" spans="26:26" x14ac:dyDescent="0.25">
      <c r="Z37097"/>
    </row>
    <row r="37098" spans="26:26" x14ac:dyDescent="0.25">
      <c r="Z37098"/>
    </row>
    <row r="37099" spans="26:26" x14ac:dyDescent="0.25">
      <c r="Z37099"/>
    </row>
    <row r="37100" spans="26:26" x14ac:dyDescent="0.25">
      <c r="Z37100"/>
    </row>
    <row r="37101" spans="26:26" x14ac:dyDescent="0.25">
      <c r="Z37101"/>
    </row>
    <row r="37102" spans="26:26" x14ac:dyDescent="0.25">
      <c r="Z37102"/>
    </row>
    <row r="37103" spans="26:26" x14ac:dyDescent="0.25">
      <c r="Z37103"/>
    </row>
    <row r="37104" spans="26:26" x14ac:dyDescent="0.25">
      <c r="Z37104"/>
    </row>
    <row r="37105" spans="26:26" x14ac:dyDescent="0.25">
      <c r="Z37105"/>
    </row>
    <row r="37106" spans="26:26" x14ac:dyDescent="0.25">
      <c r="Z37106"/>
    </row>
    <row r="37107" spans="26:26" x14ac:dyDescent="0.25">
      <c r="Z37107"/>
    </row>
    <row r="37108" spans="26:26" x14ac:dyDescent="0.25">
      <c r="Z37108"/>
    </row>
    <row r="37109" spans="26:26" x14ac:dyDescent="0.25">
      <c r="Z37109"/>
    </row>
    <row r="37110" spans="26:26" x14ac:dyDescent="0.25">
      <c r="Z37110"/>
    </row>
    <row r="37111" spans="26:26" x14ac:dyDescent="0.25">
      <c r="Z37111"/>
    </row>
    <row r="37112" spans="26:26" x14ac:dyDescent="0.25">
      <c r="Z37112"/>
    </row>
    <row r="37113" spans="26:26" x14ac:dyDescent="0.25">
      <c r="Z37113"/>
    </row>
    <row r="37114" spans="26:26" x14ac:dyDescent="0.25">
      <c r="Z37114"/>
    </row>
    <row r="37115" spans="26:26" x14ac:dyDescent="0.25">
      <c r="Z37115"/>
    </row>
    <row r="37116" spans="26:26" x14ac:dyDescent="0.25">
      <c r="Z37116"/>
    </row>
    <row r="37117" spans="26:26" x14ac:dyDescent="0.25">
      <c r="Z37117"/>
    </row>
    <row r="37118" spans="26:26" x14ac:dyDescent="0.25">
      <c r="Z37118"/>
    </row>
    <row r="37119" spans="26:26" x14ac:dyDescent="0.25">
      <c r="Z37119"/>
    </row>
    <row r="37120" spans="26:26" x14ac:dyDescent="0.25">
      <c r="Z37120"/>
    </row>
    <row r="37121" spans="26:26" x14ac:dyDescent="0.25">
      <c r="Z37121"/>
    </row>
    <row r="37122" spans="26:26" x14ac:dyDescent="0.25">
      <c r="Z37122"/>
    </row>
    <row r="37123" spans="26:26" x14ac:dyDescent="0.25">
      <c r="Z37123"/>
    </row>
    <row r="37124" spans="26:26" x14ac:dyDescent="0.25">
      <c r="Z37124"/>
    </row>
    <row r="37125" spans="26:26" x14ac:dyDescent="0.25">
      <c r="Z37125"/>
    </row>
    <row r="37126" spans="26:26" x14ac:dyDescent="0.25">
      <c r="Z37126"/>
    </row>
    <row r="37127" spans="26:26" x14ac:dyDescent="0.25">
      <c r="Z37127"/>
    </row>
    <row r="37128" spans="26:26" x14ac:dyDescent="0.25">
      <c r="Z37128"/>
    </row>
    <row r="37129" spans="26:26" x14ac:dyDescent="0.25">
      <c r="Z37129"/>
    </row>
    <row r="37130" spans="26:26" x14ac:dyDescent="0.25">
      <c r="Z37130"/>
    </row>
    <row r="37131" spans="26:26" x14ac:dyDescent="0.25">
      <c r="Z37131"/>
    </row>
    <row r="37132" spans="26:26" x14ac:dyDescent="0.25">
      <c r="Z37132"/>
    </row>
    <row r="37133" spans="26:26" x14ac:dyDescent="0.25">
      <c r="Z37133"/>
    </row>
    <row r="37134" spans="26:26" x14ac:dyDescent="0.25">
      <c r="Z37134"/>
    </row>
    <row r="37135" spans="26:26" x14ac:dyDescent="0.25">
      <c r="Z37135"/>
    </row>
    <row r="37136" spans="26:26" x14ac:dyDescent="0.25">
      <c r="Z37136"/>
    </row>
    <row r="37137" spans="26:26" x14ac:dyDescent="0.25">
      <c r="Z37137"/>
    </row>
    <row r="37138" spans="26:26" x14ac:dyDescent="0.25">
      <c r="Z37138"/>
    </row>
    <row r="37139" spans="26:26" x14ac:dyDescent="0.25">
      <c r="Z37139"/>
    </row>
    <row r="37140" spans="26:26" x14ac:dyDescent="0.25">
      <c r="Z37140"/>
    </row>
    <row r="37141" spans="26:26" x14ac:dyDescent="0.25">
      <c r="Z37141"/>
    </row>
    <row r="37142" spans="26:26" x14ac:dyDescent="0.25">
      <c r="Z37142"/>
    </row>
    <row r="37143" spans="26:26" x14ac:dyDescent="0.25">
      <c r="Z37143"/>
    </row>
    <row r="37144" spans="26:26" x14ac:dyDescent="0.25">
      <c r="Z37144"/>
    </row>
    <row r="37145" spans="26:26" x14ac:dyDescent="0.25">
      <c r="Z37145"/>
    </row>
    <row r="37146" spans="26:26" x14ac:dyDescent="0.25">
      <c r="Z37146"/>
    </row>
    <row r="37147" spans="26:26" x14ac:dyDescent="0.25">
      <c r="Z37147"/>
    </row>
    <row r="37148" spans="26:26" x14ac:dyDescent="0.25">
      <c r="Z37148"/>
    </row>
    <row r="37149" spans="26:26" x14ac:dyDescent="0.25">
      <c r="Z37149"/>
    </row>
    <row r="37150" spans="26:26" x14ac:dyDescent="0.25">
      <c r="Z37150"/>
    </row>
    <row r="37151" spans="26:26" x14ac:dyDescent="0.25">
      <c r="Z37151"/>
    </row>
    <row r="37152" spans="26:26" x14ac:dyDescent="0.25">
      <c r="Z37152"/>
    </row>
    <row r="37153" spans="26:26" x14ac:dyDescent="0.25">
      <c r="Z37153"/>
    </row>
    <row r="37154" spans="26:26" x14ac:dyDescent="0.25">
      <c r="Z37154"/>
    </row>
    <row r="37155" spans="26:26" x14ac:dyDescent="0.25">
      <c r="Z37155"/>
    </row>
    <row r="37156" spans="26:26" x14ac:dyDescent="0.25">
      <c r="Z37156"/>
    </row>
    <row r="37157" spans="26:26" x14ac:dyDescent="0.25">
      <c r="Z37157"/>
    </row>
    <row r="37158" spans="26:26" x14ac:dyDescent="0.25">
      <c r="Z37158"/>
    </row>
    <row r="37159" spans="26:26" x14ac:dyDescent="0.25">
      <c r="Z37159"/>
    </row>
    <row r="37160" spans="26:26" x14ac:dyDescent="0.25">
      <c r="Z37160"/>
    </row>
    <row r="37161" spans="26:26" x14ac:dyDescent="0.25">
      <c r="Z37161"/>
    </row>
    <row r="37162" spans="26:26" x14ac:dyDescent="0.25">
      <c r="Z37162"/>
    </row>
    <row r="37163" spans="26:26" x14ac:dyDescent="0.25">
      <c r="Z37163"/>
    </row>
    <row r="37164" spans="26:26" x14ac:dyDescent="0.25">
      <c r="Z37164"/>
    </row>
    <row r="37165" spans="26:26" x14ac:dyDescent="0.25">
      <c r="Z37165"/>
    </row>
    <row r="37166" spans="26:26" x14ac:dyDescent="0.25">
      <c r="Z37166"/>
    </row>
    <row r="37167" spans="26:26" x14ac:dyDescent="0.25">
      <c r="Z37167"/>
    </row>
    <row r="37168" spans="26:26" x14ac:dyDescent="0.25">
      <c r="Z37168"/>
    </row>
    <row r="37169" spans="26:26" x14ac:dyDescent="0.25">
      <c r="Z37169"/>
    </row>
    <row r="37170" spans="26:26" x14ac:dyDescent="0.25">
      <c r="Z37170"/>
    </row>
    <row r="37171" spans="26:26" x14ac:dyDescent="0.25">
      <c r="Z37171"/>
    </row>
    <row r="37172" spans="26:26" x14ac:dyDescent="0.25">
      <c r="Z37172"/>
    </row>
    <row r="37173" spans="26:26" x14ac:dyDescent="0.25">
      <c r="Z37173"/>
    </row>
    <row r="37174" spans="26:26" x14ac:dyDescent="0.25">
      <c r="Z37174"/>
    </row>
    <row r="37175" spans="26:26" x14ac:dyDescent="0.25">
      <c r="Z37175"/>
    </row>
    <row r="37176" spans="26:26" x14ac:dyDescent="0.25">
      <c r="Z37176"/>
    </row>
    <row r="37177" spans="26:26" x14ac:dyDescent="0.25">
      <c r="Z37177"/>
    </row>
    <row r="37178" spans="26:26" x14ac:dyDescent="0.25">
      <c r="Z37178"/>
    </row>
    <row r="37179" spans="26:26" x14ac:dyDescent="0.25">
      <c r="Z37179"/>
    </row>
    <row r="37180" spans="26:26" x14ac:dyDescent="0.25">
      <c r="Z37180"/>
    </row>
    <row r="37181" spans="26:26" x14ac:dyDescent="0.25">
      <c r="Z37181"/>
    </row>
    <row r="37182" spans="26:26" x14ac:dyDescent="0.25">
      <c r="Z37182"/>
    </row>
    <row r="37183" spans="26:26" x14ac:dyDescent="0.25">
      <c r="Z37183"/>
    </row>
    <row r="37184" spans="26:26" x14ac:dyDescent="0.25">
      <c r="Z37184"/>
    </row>
    <row r="37185" spans="26:26" x14ac:dyDescent="0.25">
      <c r="Z37185"/>
    </row>
    <row r="37186" spans="26:26" x14ac:dyDescent="0.25">
      <c r="Z37186"/>
    </row>
    <row r="37187" spans="26:26" x14ac:dyDescent="0.25">
      <c r="Z37187"/>
    </row>
    <row r="37188" spans="26:26" x14ac:dyDescent="0.25">
      <c r="Z37188"/>
    </row>
    <row r="37189" spans="26:26" x14ac:dyDescent="0.25">
      <c r="Z37189"/>
    </row>
    <row r="37190" spans="26:26" x14ac:dyDescent="0.25">
      <c r="Z37190"/>
    </row>
    <row r="37191" spans="26:26" x14ac:dyDescent="0.25">
      <c r="Z37191"/>
    </row>
    <row r="37192" spans="26:26" x14ac:dyDescent="0.25">
      <c r="Z37192"/>
    </row>
    <row r="37193" spans="26:26" x14ac:dyDescent="0.25">
      <c r="Z37193"/>
    </row>
    <row r="37194" spans="26:26" x14ac:dyDescent="0.25">
      <c r="Z37194"/>
    </row>
    <row r="37195" spans="26:26" x14ac:dyDescent="0.25">
      <c r="Z37195"/>
    </row>
    <row r="37196" spans="26:26" x14ac:dyDescent="0.25">
      <c r="Z37196"/>
    </row>
    <row r="37197" spans="26:26" x14ac:dyDescent="0.25">
      <c r="Z37197"/>
    </row>
    <row r="37198" spans="26:26" x14ac:dyDescent="0.25">
      <c r="Z37198"/>
    </row>
    <row r="37199" spans="26:26" x14ac:dyDescent="0.25">
      <c r="Z37199"/>
    </row>
    <row r="37200" spans="26:26" x14ac:dyDescent="0.25">
      <c r="Z37200"/>
    </row>
    <row r="37201" spans="26:26" x14ac:dyDescent="0.25">
      <c r="Z37201"/>
    </row>
    <row r="37202" spans="26:26" x14ac:dyDescent="0.25">
      <c r="Z37202"/>
    </row>
    <row r="37203" spans="26:26" x14ac:dyDescent="0.25">
      <c r="Z37203"/>
    </row>
    <row r="37204" spans="26:26" x14ac:dyDescent="0.25">
      <c r="Z37204"/>
    </row>
    <row r="37205" spans="26:26" x14ac:dyDescent="0.25">
      <c r="Z37205"/>
    </row>
    <row r="37206" spans="26:26" x14ac:dyDescent="0.25">
      <c r="Z37206"/>
    </row>
    <row r="37207" spans="26:26" x14ac:dyDescent="0.25">
      <c r="Z37207"/>
    </row>
    <row r="37208" spans="26:26" x14ac:dyDescent="0.25">
      <c r="Z37208"/>
    </row>
    <row r="37209" spans="26:26" x14ac:dyDescent="0.25">
      <c r="Z37209"/>
    </row>
    <row r="37210" spans="26:26" x14ac:dyDescent="0.25">
      <c r="Z37210"/>
    </row>
    <row r="37211" spans="26:26" x14ac:dyDescent="0.25">
      <c r="Z37211"/>
    </row>
    <row r="37212" spans="26:26" x14ac:dyDescent="0.25">
      <c r="Z37212"/>
    </row>
    <row r="37213" spans="26:26" x14ac:dyDescent="0.25">
      <c r="Z37213"/>
    </row>
    <row r="37214" spans="26:26" x14ac:dyDescent="0.25">
      <c r="Z37214"/>
    </row>
    <row r="37215" spans="26:26" x14ac:dyDescent="0.25">
      <c r="Z37215"/>
    </row>
    <row r="37216" spans="26:26" x14ac:dyDescent="0.25">
      <c r="Z37216"/>
    </row>
    <row r="37217" spans="26:26" x14ac:dyDescent="0.25">
      <c r="Z37217"/>
    </row>
    <row r="37218" spans="26:26" x14ac:dyDescent="0.25">
      <c r="Z37218"/>
    </row>
    <row r="37219" spans="26:26" x14ac:dyDescent="0.25">
      <c r="Z37219"/>
    </row>
    <row r="37220" spans="26:26" x14ac:dyDescent="0.25">
      <c r="Z37220"/>
    </row>
    <row r="37221" spans="26:26" x14ac:dyDescent="0.25">
      <c r="Z37221"/>
    </row>
    <row r="37222" spans="26:26" x14ac:dyDescent="0.25">
      <c r="Z37222"/>
    </row>
    <row r="37223" spans="26:26" x14ac:dyDescent="0.25">
      <c r="Z37223"/>
    </row>
    <row r="37224" spans="26:26" x14ac:dyDescent="0.25">
      <c r="Z37224"/>
    </row>
    <row r="37225" spans="26:26" x14ac:dyDescent="0.25">
      <c r="Z37225"/>
    </row>
    <row r="37226" spans="26:26" x14ac:dyDescent="0.25">
      <c r="Z37226"/>
    </row>
    <row r="37227" spans="26:26" x14ac:dyDescent="0.25">
      <c r="Z37227"/>
    </row>
    <row r="37228" spans="26:26" x14ac:dyDescent="0.25">
      <c r="Z37228"/>
    </row>
    <row r="37229" spans="26:26" x14ac:dyDescent="0.25">
      <c r="Z37229"/>
    </row>
    <row r="37230" spans="26:26" x14ac:dyDescent="0.25">
      <c r="Z37230"/>
    </row>
    <row r="37231" spans="26:26" x14ac:dyDescent="0.25">
      <c r="Z37231"/>
    </row>
    <row r="37232" spans="26:26" x14ac:dyDescent="0.25">
      <c r="Z37232"/>
    </row>
    <row r="37233" spans="26:26" x14ac:dyDescent="0.25">
      <c r="Z37233"/>
    </row>
    <row r="37234" spans="26:26" x14ac:dyDescent="0.25">
      <c r="Z37234"/>
    </row>
    <row r="37235" spans="26:26" x14ac:dyDescent="0.25">
      <c r="Z37235"/>
    </row>
    <row r="37236" spans="26:26" x14ac:dyDescent="0.25">
      <c r="Z37236"/>
    </row>
    <row r="37237" spans="26:26" x14ac:dyDescent="0.25">
      <c r="Z37237"/>
    </row>
    <row r="37238" spans="26:26" x14ac:dyDescent="0.25">
      <c r="Z37238"/>
    </row>
    <row r="37239" spans="26:26" x14ac:dyDescent="0.25">
      <c r="Z37239"/>
    </row>
    <row r="37240" spans="26:26" x14ac:dyDescent="0.25">
      <c r="Z37240"/>
    </row>
    <row r="37241" spans="26:26" x14ac:dyDescent="0.25">
      <c r="Z37241"/>
    </row>
    <row r="37242" spans="26:26" x14ac:dyDescent="0.25">
      <c r="Z37242"/>
    </row>
    <row r="37243" spans="26:26" x14ac:dyDescent="0.25">
      <c r="Z37243"/>
    </row>
    <row r="37244" spans="26:26" x14ac:dyDescent="0.25">
      <c r="Z37244"/>
    </row>
    <row r="37245" spans="26:26" x14ac:dyDescent="0.25">
      <c r="Z37245"/>
    </row>
    <row r="37246" spans="26:26" x14ac:dyDescent="0.25">
      <c r="Z37246"/>
    </row>
    <row r="37247" spans="26:26" x14ac:dyDescent="0.25">
      <c r="Z37247"/>
    </row>
    <row r="37248" spans="26:26" x14ac:dyDescent="0.25">
      <c r="Z37248"/>
    </row>
    <row r="37249" spans="26:26" x14ac:dyDescent="0.25">
      <c r="Z37249"/>
    </row>
    <row r="37250" spans="26:26" x14ac:dyDescent="0.25">
      <c r="Z37250"/>
    </row>
    <row r="37251" spans="26:26" x14ac:dyDescent="0.25">
      <c r="Z37251"/>
    </row>
    <row r="37252" spans="26:26" x14ac:dyDescent="0.25">
      <c r="Z37252"/>
    </row>
    <row r="37253" spans="26:26" x14ac:dyDescent="0.25">
      <c r="Z37253"/>
    </row>
    <row r="37254" spans="26:26" x14ac:dyDescent="0.25">
      <c r="Z37254"/>
    </row>
    <row r="37255" spans="26:26" x14ac:dyDescent="0.25">
      <c r="Z37255"/>
    </row>
    <row r="37256" spans="26:26" x14ac:dyDescent="0.25">
      <c r="Z37256"/>
    </row>
    <row r="37257" spans="26:26" x14ac:dyDescent="0.25">
      <c r="Z37257"/>
    </row>
    <row r="37258" spans="26:26" x14ac:dyDescent="0.25">
      <c r="Z37258"/>
    </row>
    <row r="37259" spans="26:26" x14ac:dyDescent="0.25">
      <c r="Z37259"/>
    </row>
    <row r="37260" spans="26:26" x14ac:dyDescent="0.25">
      <c r="Z37260"/>
    </row>
    <row r="37261" spans="26:26" x14ac:dyDescent="0.25">
      <c r="Z37261"/>
    </row>
    <row r="37262" spans="26:26" x14ac:dyDescent="0.25">
      <c r="Z37262"/>
    </row>
    <row r="37263" spans="26:26" x14ac:dyDescent="0.25">
      <c r="Z37263"/>
    </row>
    <row r="37264" spans="26:26" x14ac:dyDescent="0.25">
      <c r="Z37264"/>
    </row>
    <row r="37265" spans="26:26" x14ac:dyDescent="0.25">
      <c r="Z37265"/>
    </row>
    <row r="37266" spans="26:26" x14ac:dyDescent="0.25">
      <c r="Z37266"/>
    </row>
    <row r="37267" spans="26:26" x14ac:dyDescent="0.25">
      <c r="Z37267"/>
    </row>
    <row r="37268" spans="26:26" x14ac:dyDescent="0.25">
      <c r="Z37268"/>
    </row>
    <row r="37269" spans="26:26" x14ac:dyDescent="0.25">
      <c r="Z37269"/>
    </row>
    <row r="37270" spans="26:26" x14ac:dyDescent="0.25">
      <c r="Z37270"/>
    </row>
    <row r="37271" spans="26:26" x14ac:dyDescent="0.25">
      <c r="Z37271"/>
    </row>
    <row r="37272" spans="26:26" x14ac:dyDescent="0.25">
      <c r="Z37272"/>
    </row>
    <row r="37273" spans="26:26" x14ac:dyDescent="0.25">
      <c r="Z37273"/>
    </row>
    <row r="37274" spans="26:26" x14ac:dyDescent="0.25">
      <c r="Z37274"/>
    </row>
    <row r="37275" spans="26:26" x14ac:dyDescent="0.25">
      <c r="Z37275"/>
    </row>
    <row r="37276" spans="26:26" x14ac:dyDescent="0.25">
      <c r="Z37276"/>
    </row>
    <row r="37277" spans="26:26" x14ac:dyDescent="0.25">
      <c r="Z37277"/>
    </row>
    <row r="37278" spans="26:26" x14ac:dyDescent="0.25">
      <c r="Z37278"/>
    </row>
    <row r="37279" spans="26:26" x14ac:dyDescent="0.25">
      <c r="Z37279"/>
    </row>
    <row r="37280" spans="26:26" x14ac:dyDescent="0.25">
      <c r="Z37280"/>
    </row>
    <row r="37281" spans="26:26" x14ac:dyDescent="0.25">
      <c r="Z37281"/>
    </row>
    <row r="37282" spans="26:26" x14ac:dyDescent="0.25">
      <c r="Z37282"/>
    </row>
    <row r="37283" spans="26:26" x14ac:dyDescent="0.25">
      <c r="Z37283"/>
    </row>
    <row r="37284" spans="26:26" x14ac:dyDescent="0.25">
      <c r="Z37284"/>
    </row>
    <row r="37285" spans="26:26" x14ac:dyDescent="0.25">
      <c r="Z37285"/>
    </row>
    <row r="37286" spans="26:26" x14ac:dyDescent="0.25">
      <c r="Z37286"/>
    </row>
    <row r="37287" spans="26:26" x14ac:dyDescent="0.25">
      <c r="Z37287"/>
    </row>
    <row r="37288" spans="26:26" x14ac:dyDescent="0.25">
      <c r="Z37288"/>
    </row>
    <row r="37289" spans="26:26" x14ac:dyDescent="0.25">
      <c r="Z37289"/>
    </row>
    <row r="37290" spans="26:26" x14ac:dyDescent="0.25">
      <c r="Z37290"/>
    </row>
    <row r="37291" spans="26:26" x14ac:dyDescent="0.25">
      <c r="Z37291"/>
    </row>
    <row r="37292" spans="26:26" x14ac:dyDescent="0.25">
      <c r="Z37292"/>
    </row>
    <row r="37293" spans="26:26" x14ac:dyDescent="0.25">
      <c r="Z37293"/>
    </row>
    <row r="37294" spans="26:26" x14ac:dyDescent="0.25">
      <c r="Z37294"/>
    </row>
    <row r="37295" spans="26:26" x14ac:dyDescent="0.25">
      <c r="Z37295"/>
    </row>
    <row r="37296" spans="26:26" x14ac:dyDescent="0.25">
      <c r="Z37296"/>
    </row>
    <row r="37297" spans="26:26" x14ac:dyDescent="0.25">
      <c r="Z37297"/>
    </row>
    <row r="37298" spans="26:26" x14ac:dyDescent="0.25">
      <c r="Z37298"/>
    </row>
    <row r="37299" spans="26:26" x14ac:dyDescent="0.25">
      <c r="Z37299"/>
    </row>
    <row r="37300" spans="26:26" x14ac:dyDescent="0.25">
      <c r="Z37300"/>
    </row>
    <row r="37301" spans="26:26" x14ac:dyDescent="0.25">
      <c r="Z37301"/>
    </row>
    <row r="37302" spans="26:26" x14ac:dyDescent="0.25">
      <c r="Z37302"/>
    </row>
    <row r="37303" spans="26:26" x14ac:dyDescent="0.25">
      <c r="Z37303"/>
    </row>
    <row r="37304" spans="26:26" x14ac:dyDescent="0.25">
      <c r="Z37304"/>
    </row>
    <row r="37305" spans="26:26" x14ac:dyDescent="0.25">
      <c r="Z37305"/>
    </row>
    <row r="37306" spans="26:26" x14ac:dyDescent="0.25">
      <c r="Z37306"/>
    </row>
    <row r="37307" spans="26:26" x14ac:dyDescent="0.25">
      <c r="Z37307"/>
    </row>
    <row r="37308" spans="26:26" x14ac:dyDescent="0.25">
      <c r="Z37308"/>
    </row>
    <row r="37309" spans="26:26" x14ac:dyDescent="0.25">
      <c r="Z37309"/>
    </row>
    <row r="37310" spans="26:26" x14ac:dyDescent="0.25">
      <c r="Z37310"/>
    </row>
    <row r="37311" spans="26:26" x14ac:dyDescent="0.25">
      <c r="Z37311"/>
    </row>
    <row r="37312" spans="26:26" x14ac:dyDescent="0.25">
      <c r="Z37312"/>
    </row>
    <row r="37313" spans="26:26" x14ac:dyDescent="0.25">
      <c r="Z37313"/>
    </row>
    <row r="37314" spans="26:26" x14ac:dyDescent="0.25">
      <c r="Z37314"/>
    </row>
    <row r="37315" spans="26:26" x14ac:dyDescent="0.25">
      <c r="Z37315"/>
    </row>
    <row r="37316" spans="26:26" x14ac:dyDescent="0.25">
      <c r="Z37316"/>
    </row>
    <row r="37317" spans="26:26" x14ac:dyDescent="0.25">
      <c r="Z37317"/>
    </row>
    <row r="37318" spans="26:26" x14ac:dyDescent="0.25">
      <c r="Z37318"/>
    </row>
    <row r="37319" spans="26:26" x14ac:dyDescent="0.25">
      <c r="Z37319"/>
    </row>
    <row r="37320" spans="26:26" x14ac:dyDescent="0.25">
      <c r="Z37320"/>
    </row>
    <row r="37321" spans="26:26" x14ac:dyDescent="0.25">
      <c r="Z37321"/>
    </row>
    <row r="37322" spans="26:26" x14ac:dyDescent="0.25">
      <c r="Z37322"/>
    </row>
    <row r="37323" spans="26:26" x14ac:dyDescent="0.25">
      <c r="Z37323"/>
    </row>
    <row r="37324" spans="26:26" x14ac:dyDescent="0.25">
      <c r="Z37324"/>
    </row>
    <row r="37325" spans="26:26" x14ac:dyDescent="0.25">
      <c r="Z37325"/>
    </row>
    <row r="37326" spans="26:26" x14ac:dyDescent="0.25">
      <c r="Z37326"/>
    </row>
    <row r="37327" spans="26:26" x14ac:dyDescent="0.25">
      <c r="Z37327"/>
    </row>
    <row r="37328" spans="26:26" x14ac:dyDescent="0.25">
      <c r="Z37328"/>
    </row>
    <row r="37329" spans="26:26" x14ac:dyDescent="0.25">
      <c r="Z37329"/>
    </row>
    <row r="37330" spans="26:26" x14ac:dyDescent="0.25">
      <c r="Z37330"/>
    </row>
    <row r="37331" spans="26:26" x14ac:dyDescent="0.25">
      <c r="Z37331"/>
    </row>
    <row r="37332" spans="26:26" x14ac:dyDescent="0.25">
      <c r="Z37332"/>
    </row>
    <row r="37333" spans="26:26" x14ac:dyDescent="0.25">
      <c r="Z37333"/>
    </row>
    <row r="37334" spans="26:26" x14ac:dyDescent="0.25">
      <c r="Z37334"/>
    </row>
    <row r="37335" spans="26:26" x14ac:dyDescent="0.25">
      <c r="Z37335"/>
    </row>
    <row r="37336" spans="26:26" x14ac:dyDescent="0.25">
      <c r="Z37336"/>
    </row>
    <row r="37337" spans="26:26" x14ac:dyDescent="0.25">
      <c r="Z37337"/>
    </row>
    <row r="37338" spans="26:26" x14ac:dyDescent="0.25">
      <c r="Z37338"/>
    </row>
    <row r="37339" spans="26:26" x14ac:dyDescent="0.25">
      <c r="Z37339"/>
    </row>
    <row r="37340" spans="26:26" x14ac:dyDescent="0.25">
      <c r="Z37340"/>
    </row>
    <row r="37341" spans="26:26" x14ac:dyDescent="0.25">
      <c r="Z37341"/>
    </row>
    <row r="37342" spans="26:26" x14ac:dyDescent="0.25">
      <c r="Z37342"/>
    </row>
    <row r="37343" spans="26:26" x14ac:dyDescent="0.25">
      <c r="Z37343"/>
    </row>
    <row r="37344" spans="26:26" x14ac:dyDescent="0.25">
      <c r="Z37344"/>
    </row>
    <row r="37345" spans="26:26" x14ac:dyDescent="0.25">
      <c r="Z37345"/>
    </row>
    <row r="37346" spans="26:26" x14ac:dyDescent="0.25">
      <c r="Z37346"/>
    </row>
    <row r="37347" spans="26:26" x14ac:dyDescent="0.25">
      <c r="Z37347"/>
    </row>
    <row r="37348" spans="26:26" x14ac:dyDescent="0.25">
      <c r="Z37348"/>
    </row>
    <row r="37349" spans="26:26" x14ac:dyDescent="0.25">
      <c r="Z37349"/>
    </row>
    <row r="37350" spans="26:26" x14ac:dyDescent="0.25">
      <c r="Z37350"/>
    </row>
    <row r="37351" spans="26:26" x14ac:dyDescent="0.25">
      <c r="Z37351"/>
    </row>
    <row r="37352" spans="26:26" x14ac:dyDescent="0.25">
      <c r="Z37352"/>
    </row>
    <row r="37353" spans="26:26" x14ac:dyDescent="0.25">
      <c r="Z37353"/>
    </row>
    <row r="37354" spans="26:26" x14ac:dyDescent="0.25">
      <c r="Z37354"/>
    </row>
    <row r="37355" spans="26:26" x14ac:dyDescent="0.25">
      <c r="Z37355"/>
    </row>
    <row r="37356" spans="26:26" x14ac:dyDescent="0.25">
      <c r="Z37356"/>
    </row>
    <row r="37357" spans="26:26" x14ac:dyDescent="0.25">
      <c r="Z37357"/>
    </row>
    <row r="37358" spans="26:26" x14ac:dyDescent="0.25">
      <c r="Z37358"/>
    </row>
    <row r="37359" spans="26:26" x14ac:dyDescent="0.25">
      <c r="Z37359"/>
    </row>
    <row r="37360" spans="26:26" x14ac:dyDescent="0.25">
      <c r="Z37360"/>
    </row>
    <row r="37361" spans="26:26" x14ac:dyDescent="0.25">
      <c r="Z37361"/>
    </row>
    <row r="37362" spans="26:26" x14ac:dyDescent="0.25">
      <c r="Z37362"/>
    </row>
    <row r="37363" spans="26:26" x14ac:dyDescent="0.25">
      <c r="Z37363"/>
    </row>
    <row r="37364" spans="26:26" x14ac:dyDescent="0.25">
      <c r="Z37364"/>
    </row>
    <row r="37365" spans="26:26" x14ac:dyDescent="0.25">
      <c r="Z37365"/>
    </row>
    <row r="37366" spans="26:26" x14ac:dyDescent="0.25">
      <c r="Z37366"/>
    </row>
    <row r="37367" spans="26:26" x14ac:dyDescent="0.25">
      <c r="Z37367"/>
    </row>
    <row r="37368" spans="26:26" x14ac:dyDescent="0.25">
      <c r="Z37368"/>
    </row>
    <row r="37369" spans="26:26" x14ac:dyDescent="0.25">
      <c r="Z37369"/>
    </row>
    <row r="37370" spans="26:26" x14ac:dyDescent="0.25">
      <c r="Z37370"/>
    </row>
    <row r="37371" spans="26:26" x14ac:dyDescent="0.25">
      <c r="Z37371"/>
    </row>
    <row r="37372" spans="26:26" x14ac:dyDescent="0.25">
      <c r="Z37372"/>
    </row>
    <row r="37373" spans="26:26" x14ac:dyDescent="0.25">
      <c r="Z37373"/>
    </row>
    <row r="37374" spans="26:26" x14ac:dyDescent="0.25">
      <c r="Z37374"/>
    </row>
    <row r="37375" spans="26:26" x14ac:dyDescent="0.25">
      <c r="Z37375"/>
    </row>
    <row r="37376" spans="26:26" x14ac:dyDescent="0.25">
      <c r="Z37376"/>
    </row>
    <row r="37377" spans="26:26" x14ac:dyDescent="0.25">
      <c r="Z37377"/>
    </row>
    <row r="37378" spans="26:26" x14ac:dyDescent="0.25">
      <c r="Z37378"/>
    </row>
    <row r="37379" spans="26:26" x14ac:dyDescent="0.25">
      <c r="Z37379"/>
    </row>
    <row r="37380" spans="26:26" x14ac:dyDescent="0.25">
      <c r="Z37380"/>
    </row>
    <row r="37381" spans="26:26" x14ac:dyDescent="0.25">
      <c r="Z37381"/>
    </row>
    <row r="37382" spans="26:26" x14ac:dyDescent="0.25">
      <c r="Z37382"/>
    </row>
    <row r="37383" spans="26:26" x14ac:dyDescent="0.25">
      <c r="Z37383"/>
    </row>
    <row r="37384" spans="26:26" x14ac:dyDescent="0.25">
      <c r="Z37384"/>
    </row>
    <row r="37385" spans="26:26" x14ac:dyDescent="0.25">
      <c r="Z37385"/>
    </row>
    <row r="37386" spans="26:26" x14ac:dyDescent="0.25">
      <c r="Z37386"/>
    </row>
    <row r="37387" spans="26:26" x14ac:dyDescent="0.25">
      <c r="Z37387"/>
    </row>
    <row r="37388" spans="26:26" x14ac:dyDescent="0.25">
      <c r="Z37388"/>
    </row>
    <row r="37389" spans="26:26" x14ac:dyDescent="0.25">
      <c r="Z37389"/>
    </row>
    <row r="37390" spans="26:26" x14ac:dyDescent="0.25">
      <c r="Z37390"/>
    </row>
    <row r="37391" spans="26:26" x14ac:dyDescent="0.25">
      <c r="Z37391"/>
    </row>
    <row r="37392" spans="26:26" x14ac:dyDescent="0.25">
      <c r="Z37392"/>
    </row>
    <row r="37393" spans="26:26" x14ac:dyDescent="0.25">
      <c r="Z37393"/>
    </row>
    <row r="37394" spans="26:26" x14ac:dyDescent="0.25">
      <c r="Z37394"/>
    </row>
    <row r="37395" spans="26:26" x14ac:dyDescent="0.25">
      <c r="Z37395"/>
    </row>
    <row r="37396" spans="26:26" x14ac:dyDescent="0.25">
      <c r="Z37396"/>
    </row>
    <row r="37397" spans="26:26" x14ac:dyDescent="0.25">
      <c r="Z37397"/>
    </row>
    <row r="37398" spans="26:26" x14ac:dyDescent="0.25">
      <c r="Z37398"/>
    </row>
    <row r="37399" spans="26:26" x14ac:dyDescent="0.25">
      <c r="Z37399"/>
    </row>
    <row r="37400" spans="26:26" x14ac:dyDescent="0.25">
      <c r="Z37400"/>
    </row>
    <row r="37401" spans="26:26" x14ac:dyDescent="0.25">
      <c r="Z37401"/>
    </row>
    <row r="37402" spans="26:26" x14ac:dyDescent="0.25">
      <c r="Z37402"/>
    </row>
    <row r="37403" spans="26:26" x14ac:dyDescent="0.25">
      <c r="Z37403"/>
    </row>
    <row r="37404" spans="26:26" x14ac:dyDescent="0.25">
      <c r="Z37404"/>
    </row>
    <row r="37405" spans="26:26" x14ac:dyDescent="0.25">
      <c r="Z37405"/>
    </row>
    <row r="37406" spans="26:26" x14ac:dyDescent="0.25">
      <c r="Z37406"/>
    </row>
    <row r="37407" spans="26:26" x14ac:dyDescent="0.25">
      <c r="Z37407"/>
    </row>
    <row r="37408" spans="26:26" x14ac:dyDescent="0.25">
      <c r="Z37408"/>
    </row>
    <row r="37409" spans="26:26" x14ac:dyDescent="0.25">
      <c r="Z37409"/>
    </row>
    <row r="37410" spans="26:26" x14ac:dyDescent="0.25">
      <c r="Z37410"/>
    </row>
    <row r="37411" spans="26:26" x14ac:dyDescent="0.25">
      <c r="Z37411"/>
    </row>
    <row r="37412" spans="26:26" x14ac:dyDescent="0.25">
      <c r="Z37412"/>
    </row>
    <row r="37413" spans="26:26" x14ac:dyDescent="0.25">
      <c r="Z37413"/>
    </row>
    <row r="37414" spans="26:26" x14ac:dyDescent="0.25">
      <c r="Z37414"/>
    </row>
    <row r="37415" spans="26:26" x14ac:dyDescent="0.25">
      <c r="Z37415"/>
    </row>
    <row r="37416" spans="26:26" x14ac:dyDescent="0.25">
      <c r="Z37416"/>
    </row>
    <row r="37417" spans="26:26" x14ac:dyDescent="0.25">
      <c r="Z37417"/>
    </row>
    <row r="37418" spans="26:26" x14ac:dyDescent="0.25">
      <c r="Z37418"/>
    </row>
    <row r="37419" spans="26:26" x14ac:dyDescent="0.25">
      <c r="Z37419"/>
    </row>
    <row r="37420" spans="26:26" x14ac:dyDescent="0.25">
      <c r="Z37420"/>
    </row>
    <row r="37421" spans="26:26" x14ac:dyDescent="0.25">
      <c r="Z37421"/>
    </row>
    <row r="37422" spans="26:26" x14ac:dyDescent="0.25">
      <c r="Z37422"/>
    </row>
    <row r="37423" spans="26:26" x14ac:dyDescent="0.25">
      <c r="Z37423"/>
    </row>
    <row r="37424" spans="26:26" x14ac:dyDescent="0.25">
      <c r="Z37424"/>
    </row>
    <row r="37425" spans="26:26" x14ac:dyDescent="0.25">
      <c r="Z37425"/>
    </row>
    <row r="37426" spans="26:26" x14ac:dyDescent="0.25">
      <c r="Z37426"/>
    </row>
    <row r="37427" spans="26:26" x14ac:dyDescent="0.25">
      <c r="Z37427"/>
    </row>
    <row r="37428" spans="26:26" x14ac:dyDescent="0.25">
      <c r="Z37428"/>
    </row>
    <row r="37429" spans="26:26" x14ac:dyDescent="0.25">
      <c r="Z37429"/>
    </row>
    <row r="37430" spans="26:26" x14ac:dyDescent="0.25">
      <c r="Z37430"/>
    </row>
    <row r="37431" spans="26:26" x14ac:dyDescent="0.25">
      <c r="Z37431"/>
    </row>
    <row r="37432" spans="26:26" x14ac:dyDescent="0.25">
      <c r="Z37432"/>
    </row>
    <row r="37433" spans="26:26" x14ac:dyDescent="0.25">
      <c r="Z37433"/>
    </row>
    <row r="37434" spans="26:26" x14ac:dyDescent="0.25">
      <c r="Z37434"/>
    </row>
    <row r="37435" spans="26:26" x14ac:dyDescent="0.25">
      <c r="Z37435"/>
    </row>
    <row r="37436" spans="26:26" x14ac:dyDescent="0.25">
      <c r="Z37436"/>
    </row>
    <row r="37437" spans="26:26" x14ac:dyDescent="0.25">
      <c r="Z37437"/>
    </row>
    <row r="37438" spans="26:26" x14ac:dyDescent="0.25">
      <c r="Z37438"/>
    </row>
    <row r="37439" spans="26:26" x14ac:dyDescent="0.25">
      <c r="Z37439"/>
    </row>
    <row r="37440" spans="26:26" x14ac:dyDescent="0.25">
      <c r="Z37440"/>
    </row>
    <row r="37441" spans="26:26" x14ac:dyDescent="0.25">
      <c r="Z37441"/>
    </row>
    <row r="37442" spans="26:26" x14ac:dyDescent="0.25">
      <c r="Z37442"/>
    </row>
    <row r="37443" spans="26:26" x14ac:dyDescent="0.25">
      <c r="Z37443"/>
    </row>
    <row r="37444" spans="26:26" x14ac:dyDescent="0.25">
      <c r="Z37444"/>
    </row>
    <row r="37445" spans="26:26" x14ac:dyDescent="0.25">
      <c r="Z37445"/>
    </row>
    <row r="37446" spans="26:26" x14ac:dyDescent="0.25">
      <c r="Z37446"/>
    </row>
    <row r="37447" spans="26:26" x14ac:dyDescent="0.25">
      <c r="Z37447"/>
    </row>
    <row r="37448" spans="26:26" x14ac:dyDescent="0.25">
      <c r="Z37448"/>
    </row>
    <row r="37449" spans="26:26" x14ac:dyDescent="0.25">
      <c r="Z37449"/>
    </row>
    <row r="37450" spans="26:26" x14ac:dyDescent="0.25">
      <c r="Z37450"/>
    </row>
    <row r="37451" spans="26:26" x14ac:dyDescent="0.25">
      <c r="Z37451"/>
    </row>
    <row r="37452" spans="26:26" x14ac:dyDescent="0.25">
      <c r="Z37452"/>
    </row>
    <row r="37453" spans="26:26" x14ac:dyDescent="0.25">
      <c r="Z37453"/>
    </row>
    <row r="37454" spans="26:26" x14ac:dyDescent="0.25">
      <c r="Z37454"/>
    </row>
    <row r="37455" spans="26:26" x14ac:dyDescent="0.25">
      <c r="Z37455"/>
    </row>
    <row r="37456" spans="26:26" x14ac:dyDescent="0.25">
      <c r="Z37456"/>
    </row>
    <row r="37457" spans="26:26" x14ac:dyDescent="0.25">
      <c r="Z37457"/>
    </row>
    <row r="37458" spans="26:26" x14ac:dyDescent="0.25">
      <c r="Z37458"/>
    </row>
    <row r="37459" spans="26:26" x14ac:dyDescent="0.25">
      <c r="Z37459"/>
    </row>
    <row r="37460" spans="26:26" x14ac:dyDescent="0.25">
      <c r="Z37460"/>
    </row>
    <row r="37461" spans="26:26" x14ac:dyDescent="0.25">
      <c r="Z37461"/>
    </row>
    <row r="37462" spans="26:26" x14ac:dyDescent="0.25">
      <c r="Z37462"/>
    </row>
    <row r="37463" spans="26:26" x14ac:dyDescent="0.25">
      <c r="Z37463"/>
    </row>
    <row r="37464" spans="26:26" x14ac:dyDescent="0.25">
      <c r="Z37464"/>
    </row>
    <row r="37465" spans="26:26" x14ac:dyDescent="0.25">
      <c r="Z37465"/>
    </row>
    <row r="37466" spans="26:26" x14ac:dyDescent="0.25">
      <c r="Z37466"/>
    </row>
    <row r="37467" spans="26:26" x14ac:dyDescent="0.25">
      <c r="Z37467"/>
    </row>
    <row r="37468" spans="26:26" x14ac:dyDescent="0.25">
      <c r="Z37468"/>
    </row>
    <row r="37469" spans="26:26" x14ac:dyDescent="0.25">
      <c r="Z37469"/>
    </row>
    <row r="37470" spans="26:26" x14ac:dyDescent="0.25">
      <c r="Z37470"/>
    </row>
    <row r="37471" spans="26:26" x14ac:dyDescent="0.25">
      <c r="Z37471"/>
    </row>
    <row r="37472" spans="26:26" x14ac:dyDescent="0.25">
      <c r="Z37472"/>
    </row>
    <row r="37473" spans="26:26" x14ac:dyDescent="0.25">
      <c r="Z37473"/>
    </row>
    <row r="37474" spans="26:26" x14ac:dyDescent="0.25">
      <c r="Z37474"/>
    </row>
    <row r="37475" spans="26:26" x14ac:dyDescent="0.25">
      <c r="Z37475"/>
    </row>
    <row r="37476" spans="26:26" x14ac:dyDescent="0.25">
      <c r="Z37476"/>
    </row>
    <row r="37477" spans="26:26" x14ac:dyDescent="0.25">
      <c r="Z37477"/>
    </row>
    <row r="37478" spans="26:26" x14ac:dyDescent="0.25">
      <c r="Z37478"/>
    </row>
    <row r="37479" spans="26:26" x14ac:dyDescent="0.25">
      <c r="Z37479"/>
    </row>
    <row r="37480" spans="26:26" x14ac:dyDescent="0.25">
      <c r="Z37480"/>
    </row>
    <row r="37481" spans="26:26" x14ac:dyDescent="0.25">
      <c r="Z37481"/>
    </row>
    <row r="37482" spans="26:26" x14ac:dyDescent="0.25">
      <c r="Z37482"/>
    </row>
    <row r="37483" spans="26:26" x14ac:dyDescent="0.25">
      <c r="Z37483"/>
    </row>
    <row r="37484" spans="26:26" x14ac:dyDescent="0.25">
      <c r="Z37484"/>
    </row>
    <row r="37485" spans="26:26" x14ac:dyDescent="0.25">
      <c r="Z37485"/>
    </row>
    <row r="37486" spans="26:26" x14ac:dyDescent="0.25">
      <c r="Z37486"/>
    </row>
    <row r="37487" spans="26:26" x14ac:dyDescent="0.25">
      <c r="Z37487"/>
    </row>
    <row r="37488" spans="26:26" x14ac:dyDescent="0.25">
      <c r="Z37488"/>
    </row>
    <row r="37489" spans="26:26" x14ac:dyDescent="0.25">
      <c r="Z37489"/>
    </row>
    <row r="37490" spans="26:26" x14ac:dyDescent="0.25">
      <c r="Z37490"/>
    </row>
    <row r="37491" spans="26:26" x14ac:dyDescent="0.25">
      <c r="Z37491"/>
    </row>
    <row r="37492" spans="26:26" x14ac:dyDescent="0.25">
      <c r="Z37492"/>
    </row>
    <row r="37493" spans="26:26" x14ac:dyDescent="0.25">
      <c r="Z37493"/>
    </row>
    <row r="37494" spans="26:26" x14ac:dyDescent="0.25">
      <c r="Z37494"/>
    </row>
    <row r="37495" spans="26:26" x14ac:dyDescent="0.25">
      <c r="Z37495"/>
    </row>
    <row r="37496" spans="26:26" x14ac:dyDescent="0.25">
      <c r="Z37496"/>
    </row>
    <row r="37497" spans="26:26" x14ac:dyDescent="0.25">
      <c r="Z37497"/>
    </row>
    <row r="37498" spans="26:26" x14ac:dyDescent="0.25">
      <c r="Z37498"/>
    </row>
    <row r="37499" spans="26:26" x14ac:dyDescent="0.25">
      <c r="Z37499"/>
    </row>
    <row r="37500" spans="26:26" x14ac:dyDescent="0.25">
      <c r="Z37500"/>
    </row>
    <row r="37501" spans="26:26" x14ac:dyDescent="0.25">
      <c r="Z37501"/>
    </row>
    <row r="37502" spans="26:26" x14ac:dyDescent="0.25">
      <c r="Z37502"/>
    </row>
    <row r="37503" spans="26:26" x14ac:dyDescent="0.25">
      <c r="Z37503"/>
    </row>
    <row r="37504" spans="26:26" x14ac:dyDescent="0.25">
      <c r="Z37504"/>
    </row>
    <row r="37505" spans="26:26" x14ac:dyDescent="0.25">
      <c r="Z37505"/>
    </row>
    <row r="37506" spans="26:26" x14ac:dyDescent="0.25">
      <c r="Z37506"/>
    </row>
    <row r="37507" spans="26:26" x14ac:dyDescent="0.25">
      <c r="Z37507"/>
    </row>
    <row r="37508" spans="26:26" x14ac:dyDescent="0.25">
      <c r="Z37508"/>
    </row>
    <row r="37509" spans="26:26" x14ac:dyDescent="0.25">
      <c r="Z37509"/>
    </row>
    <row r="37510" spans="26:26" x14ac:dyDescent="0.25">
      <c r="Z37510"/>
    </row>
    <row r="37511" spans="26:26" x14ac:dyDescent="0.25">
      <c r="Z37511"/>
    </row>
    <row r="37512" spans="26:26" x14ac:dyDescent="0.25">
      <c r="Z37512"/>
    </row>
    <row r="37513" spans="26:26" x14ac:dyDescent="0.25">
      <c r="Z37513"/>
    </row>
    <row r="37514" spans="26:26" x14ac:dyDescent="0.25">
      <c r="Z37514"/>
    </row>
    <row r="37515" spans="26:26" x14ac:dyDescent="0.25">
      <c r="Z37515"/>
    </row>
    <row r="37516" spans="26:26" x14ac:dyDescent="0.25">
      <c r="Z37516"/>
    </row>
    <row r="37517" spans="26:26" x14ac:dyDescent="0.25">
      <c r="Z37517"/>
    </row>
    <row r="37518" spans="26:26" x14ac:dyDescent="0.25">
      <c r="Z37518"/>
    </row>
    <row r="37519" spans="26:26" x14ac:dyDescent="0.25">
      <c r="Z37519"/>
    </row>
    <row r="37520" spans="26:26" x14ac:dyDescent="0.25">
      <c r="Z37520"/>
    </row>
    <row r="37521" spans="26:26" x14ac:dyDescent="0.25">
      <c r="Z37521"/>
    </row>
    <row r="37522" spans="26:26" x14ac:dyDescent="0.25">
      <c r="Z37522"/>
    </row>
    <row r="37523" spans="26:26" x14ac:dyDescent="0.25">
      <c r="Z37523"/>
    </row>
    <row r="37524" spans="26:26" x14ac:dyDescent="0.25">
      <c r="Z37524"/>
    </row>
    <row r="37525" spans="26:26" x14ac:dyDescent="0.25">
      <c r="Z37525"/>
    </row>
    <row r="37526" spans="26:26" x14ac:dyDescent="0.25">
      <c r="Z37526"/>
    </row>
    <row r="37527" spans="26:26" x14ac:dyDescent="0.25">
      <c r="Z37527"/>
    </row>
    <row r="37528" spans="26:26" x14ac:dyDescent="0.25">
      <c r="Z37528"/>
    </row>
    <row r="37529" spans="26:26" x14ac:dyDescent="0.25">
      <c r="Z37529"/>
    </row>
    <row r="37530" spans="26:26" x14ac:dyDescent="0.25">
      <c r="Z37530"/>
    </row>
    <row r="37531" spans="26:26" x14ac:dyDescent="0.25">
      <c r="Z37531"/>
    </row>
    <row r="37532" spans="26:26" x14ac:dyDescent="0.25">
      <c r="Z37532"/>
    </row>
    <row r="37533" spans="26:26" x14ac:dyDescent="0.25">
      <c r="Z37533"/>
    </row>
    <row r="37534" spans="26:26" x14ac:dyDescent="0.25">
      <c r="Z37534"/>
    </row>
    <row r="37535" spans="26:26" x14ac:dyDescent="0.25">
      <c r="Z37535"/>
    </row>
    <row r="37536" spans="26:26" x14ac:dyDescent="0.25">
      <c r="Z37536"/>
    </row>
    <row r="37537" spans="26:26" x14ac:dyDescent="0.25">
      <c r="Z37537"/>
    </row>
    <row r="37538" spans="26:26" x14ac:dyDescent="0.25">
      <c r="Z37538"/>
    </row>
    <row r="37539" spans="26:26" x14ac:dyDescent="0.25">
      <c r="Z37539"/>
    </row>
    <row r="37540" spans="26:26" x14ac:dyDescent="0.25">
      <c r="Z37540"/>
    </row>
    <row r="37541" spans="26:26" x14ac:dyDescent="0.25">
      <c r="Z37541"/>
    </row>
    <row r="37542" spans="26:26" x14ac:dyDescent="0.25">
      <c r="Z37542"/>
    </row>
    <row r="37543" spans="26:26" x14ac:dyDescent="0.25">
      <c r="Z37543"/>
    </row>
    <row r="37544" spans="26:26" x14ac:dyDescent="0.25">
      <c r="Z37544"/>
    </row>
    <row r="37545" spans="26:26" x14ac:dyDescent="0.25">
      <c r="Z37545"/>
    </row>
    <row r="37546" spans="26:26" x14ac:dyDescent="0.25">
      <c r="Z37546"/>
    </row>
    <row r="37547" spans="26:26" x14ac:dyDescent="0.25">
      <c r="Z37547"/>
    </row>
    <row r="37548" spans="26:26" x14ac:dyDescent="0.25">
      <c r="Z37548"/>
    </row>
    <row r="37549" spans="26:26" x14ac:dyDescent="0.25">
      <c r="Z37549"/>
    </row>
    <row r="37550" spans="26:26" x14ac:dyDescent="0.25">
      <c r="Z37550"/>
    </row>
    <row r="37551" spans="26:26" x14ac:dyDescent="0.25">
      <c r="Z37551"/>
    </row>
    <row r="37552" spans="26:26" x14ac:dyDescent="0.25">
      <c r="Z37552"/>
    </row>
    <row r="37553" spans="26:26" x14ac:dyDescent="0.25">
      <c r="Z37553"/>
    </row>
    <row r="37554" spans="26:26" x14ac:dyDescent="0.25">
      <c r="Z37554"/>
    </row>
    <row r="37555" spans="26:26" x14ac:dyDescent="0.25">
      <c r="Z37555"/>
    </row>
    <row r="37556" spans="26:26" x14ac:dyDescent="0.25">
      <c r="Z37556"/>
    </row>
    <row r="37557" spans="26:26" x14ac:dyDescent="0.25">
      <c r="Z37557"/>
    </row>
    <row r="37558" spans="26:26" x14ac:dyDescent="0.25">
      <c r="Z37558"/>
    </row>
    <row r="37559" spans="26:26" x14ac:dyDescent="0.25">
      <c r="Z37559"/>
    </row>
    <row r="37560" spans="26:26" x14ac:dyDescent="0.25">
      <c r="Z37560"/>
    </row>
    <row r="37561" spans="26:26" x14ac:dyDescent="0.25">
      <c r="Z37561"/>
    </row>
    <row r="37562" spans="26:26" x14ac:dyDescent="0.25">
      <c r="Z37562"/>
    </row>
    <row r="37563" spans="26:26" x14ac:dyDescent="0.25">
      <c r="Z37563"/>
    </row>
    <row r="37564" spans="26:26" x14ac:dyDescent="0.25">
      <c r="Z37564"/>
    </row>
    <row r="37565" spans="26:26" x14ac:dyDescent="0.25">
      <c r="Z37565"/>
    </row>
    <row r="37566" spans="26:26" x14ac:dyDescent="0.25">
      <c r="Z37566"/>
    </row>
    <row r="37567" spans="26:26" x14ac:dyDescent="0.25">
      <c r="Z37567"/>
    </row>
    <row r="37568" spans="26:26" x14ac:dyDescent="0.25">
      <c r="Z37568"/>
    </row>
    <row r="37569" spans="26:26" x14ac:dyDescent="0.25">
      <c r="Z37569"/>
    </row>
    <row r="37570" spans="26:26" x14ac:dyDescent="0.25">
      <c r="Z37570"/>
    </row>
    <row r="37571" spans="26:26" x14ac:dyDescent="0.25">
      <c r="Z37571"/>
    </row>
    <row r="37572" spans="26:26" x14ac:dyDescent="0.25">
      <c r="Z37572"/>
    </row>
    <row r="37573" spans="26:26" x14ac:dyDescent="0.25">
      <c r="Z37573"/>
    </row>
    <row r="37574" spans="26:26" x14ac:dyDescent="0.25">
      <c r="Z37574"/>
    </row>
    <row r="37575" spans="26:26" x14ac:dyDescent="0.25">
      <c r="Z37575"/>
    </row>
    <row r="37576" spans="26:26" x14ac:dyDescent="0.25">
      <c r="Z37576"/>
    </row>
    <row r="37577" spans="26:26" x14ac:dyDescent="0.25">
      <c r="Z37577"/>
    </row>
    <row r="37578" spans="26:26" x14ac:dyDescent="0.25">
      <c r="Z37578"/>
    </row>
    <row r="37579" spans="26:26" x14ac:dyDescent="0.25">
      <c r="Z37579"/>
    </row>
    <row r="37580" spans="26:26" x14ac:dyDescent="0.25">
      <c r="Z37580"/>
    </row>
    <row r="37581" spans="26:26" x14ac:dyDescent="0.25">
      <c r="Z37581"/>
    </row>
    <row r="37582" spans="26:26" x14ac:dyDescent="0.25">
      <c r="Z37582"/>
    </row>
    <row r="37583" spans="26:26" x14ac:dyDescent="0.25">
      <c r="Z37583"/>
    </row>
    <row r="37584" spans="26:26" x14ac:dyDescent="0.25">
      <c r="Z37584"/>
    </row>
    <row r="37585" spans="26:26" x14ac:dyDescent="0.25">
      <c r="Z37585"/>
    </row>
    <row r="37586" spans="26:26" x14ac:dyDescent="0.25">
      <c r="Z37586"/>
    </row>
    <row r="37587" spans="26:26" x14ac:dyDescent="0.25">
      <c r="Z37587"/>
    </row>
    <row r="37588" spans="26:26" x14ac:dyDescent="0.25">
      <c r="Z37588"/>
    </row>
    <row r="37589" spans="26:26" x14ac:dyDescent="0.25">
      <c r="Z37589"/>
    </row>
    <row r="37590" spans="26:26" x14ac:dyDescent="0.25">
      <c r="Z37590"/>
    </row>
    <row r="37591" spans="26:26" x14ac:dyDescent="0.25">
      <c r="Z37591"/>
    </row>
    <row r="37592" spans="26:26" x14ac:dyDescent="0.25">
      <c r="Z37592"/>
    </row>
    <row r="37593" spans="26:26" x14ac:dyDescent="0.25">
      <c r="Z37593"/>
    </row>
    <row r="37594" spans="26:26" x14ac:dyDescent="0.25">
      <c r="Z37594"/>
    </row>
    <row r="37595" spans="26:26" x14ac:dyDescent="0.25">
      <c r="Z37595"/>
    </row>
    <row r="37596" spans="26:26" x14ac:dyDescent="0.25">
      <c r="Z37596"/>
    </row>
    <row r="37597" spans="26:26" x14ac:dyDescent="0.25">
      <c r="Z37597"/>
    </row>
    <row r="37598" spans="26:26" x14ac:dyDescent="0.25">
      <c r="Z37598"/>
    </row>
    <row r="37599" spans="26:26" x14ac:dyDescent="0.25">
      <c r="Z37599"/>
    </row>
    <row r="37600" spans="26:26" x14ac:dyDescent="0.25">
      <c r="Z37600"/>
    </row>
    <row r="37601" spans="26:26" x14ac:dyDescent="0.25">
      <c r="Z37601"/>
    </row>
    <row r="37602" spans="26:26" x14ac:dyDescent="0.25">
      <c r="Z37602"/>
    </row>
    <row r="37603" spans="26:26" x14ac:dyDescent="0.25">
      <c r="Z37603"/>
    </row>
    <row r="37604" spans="26:26" x14ac:dyDescent="0.25">
      <c r="Z37604"/>
    </row>
    <row r="37605" spans="26:26" x14ac:dyDescent="0.25">
      <c r="Z37605"/>
    </row>
    <row r="37606" spans="26:26" x14ac:dyDescent="0.25">
      <c r="Z37606"/>
    </row>
    <row r="37607" spans="26:26" x14ac:dyDescent="0.25">
      <c r="Z37607"/>
    </row>
    <row r="37608" spans="26:26" x14ac:dyDescent="0.25">
      <c r="Z37608"/>
    </row>
    <row r="37609" spans="26:26" x14ac:dyDescent="0.25">
      <c r="Z37609"/>
    </row>
    <row r="37610" spans="26:26" x14ac:dyDescent="0.25">
      <c r="Z37610"/>
    </row>
    <row r="37611" spans="26:26" x14ac:dyDescent="0.25">
      <c r="Z37611"/>
    </row>
    <row r="37612" spans="26:26" x14ac:dyDescent="0.25">
      <c r="Z37612"/>
    </row>
    <row r="37613" spans="26:26" x14ac:dyDescent="0.25">
      <c r="Z37613"/>
    </row>
    <row r="37614" spans="26:26" x14ac:dyDescent="0.25">
      <c r="Z37614"/>
    </row>
    <row r="37615" spans="26:26" x14ac:dyDescent="0.25">
      <c r="Z37615"/>
    </row>
    <row r="37616" spans="26:26" x14ac:dyDescent="0.25">
      <c r="Z37616"/>
    </row>
    <row r="37617" spans="26:26" x14ac:dyDescent="0.25">
      <c r="Z37617"/>
    </row>
    <row r="37618" spans="26:26" x14ac:dyDescent="0.25">
      <c r="Z37618"/>
    </row>
    <row r="37619" spans="26:26" x14ac:dyDescent="0.25">
      <c r="Z37619"/>
    </row>
    <row r="37620" spans="26:26" x14ac:dyDescent="0.25">
      <c r="Z37620"/>
    </row>
    <row r="37621" spans="26:26" x14ac:dyDescent="0.25">
      <c r="Z37621"/>
    </row>
    <row r="37622" spans="26:26" x14ac:dyDescent="0.25">
      <c r="Z37622"/>
    </row>
    <row r="37623" spans="26:26" x14ac:dyDescent="0.25">
      <c r="Z37623"/>
    </row>
    <row r="37624" spans="26:26" x14ac:dyDescent="0.25">
      <c r="Z37624"/>
    </row>
    <row r="37625" spans="26:26" x14ac:dyDescent="0.25">
      <c r="Z37625"/>
    </row>
    <row r="37626" spans="26:26" x14ac:dyDescent="0.25">
      <c r="Z37626"/>
    </row>
    <row r="37627" spans="26:26" x14ac:dyDescent="0.25">
      <c r="Z37627"/>
    </row>
    <row r="37628" spans="26:26" x14ac:dyDescent="0.25">
      <c r="Z37628"/>
    </row>
    <row r="37629" spans="26:26" x14ac:dyDescent="0.25">
      <c r="Z37629"/>
    </row>
    <row r="37630" spans="26:26" x14ac:dyDescent="0.25">
      <c r="Z37630"/>
    </row>
    <row r="37631" spans="26:26" x14ac:dyDescent="0.25">
      <c r="Z37631"/>
    </row>
    <row r="37632" spans="26:26" x14ac:dyDescent="0.25">
      <c r="Z37632"/>
    </row>
    <row r="37633" spans="26:26" x14ac:dyDescent="0.25">
      <c r="Z37633"/>
    </row>
    <row r="37634" spans="26:26" x14ac:dyDescent="0.25">
      <c r="Z37634"/>
    </row>
    <row r="37635" spans="26:26" x14ac:dyDescent="0.25">
      <c r="Z37635"/>
    </row>
    <row r="37636" spans="26:26" x14ac:dyDescent="0.25">
      <c r="Z37636"/>
    </row>
    <row r="37637" spans="26:26" x14ac:dyDescent="0.25">
      <c r="Z37637"/>
    </row>
    <row r="37638" spans="26:26" x14ac:dyDescent="0.25">
      <c r="Z37638"/>
    </row>
    <row r="37639" spans="26:26" x14ac:dyDescent="0.25">
      <c r="Z37639"/>
    </row>
    <row r="37640" spans="26:26" x14ac:dyDescent="0.25">
      <c r="Z37640"/>
    </row>
    <row r="37641" spans="26:26" x14ac:dyDescent="0.25">
      <c r="Z37641"/>
    </row>
    <row r="37642" spans="26:26" x14ac:dyDescent="0.25">
      <c r="Z37642"/>
    </row>
    <row r="37643" spans="26:26" x14ac:dyDescent="0.25">
      <c r="Z37643"/>
    </row>
    <row r="37644" spans="26:26" x14ac:dyDescent="0.25">
      <c r="Z37644"/>
    </row>
    <row r="37645" spans="26:26" x14ac:dyDescent="0.25">
      <c r="Z37645"/>
    </row>
    <row r="37646" spans="26:26" x14ac:dyDescent="0.25">
      <c r="Z37646"/>
    </row>
    <row r="37647" spans="26:26" x14ac:dyDescent="0.25">
      <c r="Z37647"/>
    </row>
    <row r="37648" spans="26:26" x14ac:dyDescent="0.25">
      <c r="Z37648"/>
    </row>
    <row r="37649" spans="26:26" x14ac:dyDescent="0.25">
      <c r="Z37649"/>
    </row>
    <row r="37650" spans="26:26" x14ac:dyDescent="0.25">
      <c r="Z37650"/>
    </row>
    <row r="37651" spans="26:26" x14ac:dyDescent="0.25">
      <c r="Z37651"/>
    </row>
    <row r="37652" spans="26:26" x14ac:dyDescent="0.25">
      <c r="Z37652"/>
    </row>
    <row r="37653" spans="26:26" x14ac:dyDescent="0.25">
      <c r="Z37653"/>
    </row>
    <row r="37654" spans="26:26" x14ac:dyDescent="0.25">
      <c r="Z37654"/>
    </row>
    <row r="37655" spans="26:26" x14ac:dyDescent="0.25">
      <c r="Z37655"/>
    </row>
    <row r="37656" spans="26:26" x14ac:dyDescent="0.25">
      <c r="Z37656"/>
    </row>
    <row r="37657" spans="26:26" x14ac:dyDescent="0.25">
      <c r="Z37657"/>
    </row>
    <row r="37658" spans="26:26" x14ac:dyDescent="0.25">
      <c r="Z37658"/>
    </row>
    <row r="37659" spans="26:26" x14ac:dyDescent="0.25">
      <c r="Z37659"/>
    </row>
    <row r="37660" spans="26:26" x14ac:dyDescent="0.25">
      <c r="Z37660"/>
    </row>
    <row r="37661" spans="26:26" x14ac:dyDescent="0.25">
      <c r="Z37661"/>
    </row>
    <row r="37662" spans="26:26" x14ac:dyDescent="0.25">
      <c r="Z37662"/>
    </row>
    <row r="37663" spans="26:26" x14ac:dyDescent="0.25">
      <c r="Z37663"/>
    </row>
    <row r="37664" spans="26:26" x14ac:dyDescent="0.25">
      <c r="Z37664"/>
    </row>
    <row r="37665" spans="26:26" x14ac:dyDescent="0.25">
      <c r="Z37665"/>
    </row>
    <row r="37666" spans="26:26" x14ac:dyDescent="0.25">
      <c r="Z37666"/>
    </row>
    <row r="37667" spans="26:26" x14ac:dyDescent="0.25">
      <c r="Z37667"/>
    </row>
    <row r="37668" spans="26:26" x14ac:dyDescent="0.25">
      <c r="Z37668"/>
    </row>
    <row r="37669" spans="26:26" x14ac:dyDescent="0.25">
      <c r="Z37669"/>
    </row>
    <row r="37670" spans="26:26" x14ac:dyDescent="0.25">
      <c r="Z37670"/>
    </row>
    <row r="37671" spans="26:26" x14ac:dyDescent="0.25">
      <c r="Z37671"/>
    </row>
    <row r="37672" spans="26:26" x14ac:dyDescent="0.25">
      <c r="Z37672"/>
    </row>
    <row r="37673" spans="26:26" x14ac:dyDescent="0.25">
      <c r="Z37673"/>
    </row>
    <row r="37674" spans="26:26" x14ac:dyDescent="0.25">
      <c r="Z37674"/>
    </row>
    <row r="37675" spans="26:26" x14ac:dyDescent="0.25">
      <c r="Z37675"/>
    </row>
    <row r="37676" spans="26:26" x14ac:dyDescent="0.25">
      <c r="Z37676"/>
    </row>
    <row r="37677" spans="26:26" x14ac:dyDescent="0.25">
      <c r="Z37677"/>
    </row>
    <row r="37678" spans="26:26" x14ac:dyDescent="0.25">
      <c r="Z37678"/>
    </row>
    <row r="37679" spans="26:26" x14ac:dyDescent="0.25">
      <c r="Z37679"/>
    </row>
    <row r="37680" spans="26:26" x14ac:dyDescent="0.25">
      <c r="Z37680"/>
    </row>
    <row r="37681" spans="26:26" x14ac:dyDescent="0.25">
      <c r="Z37681"/>
    </row>
    <row r="37682" spans="26:26" x14ac:dyDescent="0.25">
      <c r="Z37682"/>
    </row>
    <row r="37683" spans="26:26" x14ac:dyDescent="0.25">
      <c r="Z37683"/>
    </row>
    <row r="37684" spans="26:26" x14ac:dyDescent="0.25">
      <c r="Z37684"/>
    </row>
    <row r="37685" spans="26:26" x14ac:dyDescent="0.25">
      <c r="Z37685"/>
    </row>
    <row r="37686" spans="26:26" x14ac:dyDescent="0.25">
      <c r="Z37686"/>
    </row>
    <row r="37687" spans="26:26" x14ac:dyDescent="0.25">
      <c r="Z37687"/>
    </row>
    <row r="37688" spans="26:26" x14ac:dyDescent="0.25">
      <c r="Z37688"/>
    </row>
    <row r="37689" spans="26:26" x14ac:dyDescent="0.25">
      <c r="Z37689"/>
    </row>
    <row r="37690" spans="26:26" x14ac:dyDescent="0.25">
      <c r="Z37690"/>
    </row>
    <row r="37691" spans="26:26" x14ac:dyDescent="0.25">
      <c r="Z37691"/>
    </row>
    <row r="37692" spans="26:26" x14ac:dyDescent="0.25">
      <c r="Z37692"/>
    </row>
    <row r="37693" spans="26:26" x14ac:dyDescent="0.25">
      <c r="Z37693"/>
    </row>
    <row r="37694" spans="26:26" x14ac:dyDescent="0.25">
      <c r="Z37694"/>
    </row>
    <row r="37695" spans="26:26" x14ac:dyDescent="0.25">
      <c r="Z37695"/>
    </row>
    <row r="37696" spans="26:26" x14ac:dyDescent="0.25">
      <c r="Z37696"/>
    </row>
    <row r="37697" spans="26:26" x14ac:dyDescent="0.25">
      <c r="Z37697"/>
    </row>
    <row r="37698" spans="26:26" x14ac:dyDescent="0.25">
      <c r="Z37698"/>
    </row>
    <row r="37699" spans="26:26" x14ac:dyDescent="0.25">
      <c r="Z37699"/>
    </row>
    <row r="37700" spans="26:26" x14ac:dyDescent="0.25">
      <c r="Z37700"/>
    </row>
    <row r="37701" spans="26:26" x14ac:dyDescent="0.25">
      <c r="Z37701"/>
    </row>
    <row r="37702" spans="26:26" x14ac:dyDescent="0.25">
      <c r="Z37702"/>
    </row>
    <row r="37703" spans="26:26" x14ac:dyDescent="0.25">
      <c r="Z37703"/>
    </row>
    <row r="37704" spans="26:26" x14ac:dyDescent="0.25">
      <c r="Z37704"/>
    </row>
    <row r="37705" spans="26:26" x14ac:dyDescent="0.25">
      <c r="Z37705"/>
    </row>
    <row r="37706" spans="26:26" x14ac:dyDescent="0.25">
      <c r="Z37706"/>
    </row>
    <row r="37707" spans="26:26" x14ac:dyDescent="0.25">
      <c r="Z37707"/>
    </row>
    <row r="37708" spans="26:26" x14ac:dyDescent="0.25">
      <c r="Z37708"/>
    </row>
    <row r="37709" spans="26:26" x14ac:dyDescent="0.25">
      <c r="Z37709"/>
    </row>
    <row r="37710" spans="26:26" x14ac:dyDescent="0.25">
      <c r="Z37710"/>
    </row>
    <row r="37711" spans="26:26" x14ac:dyDescent="0.25">
      <c r="Z37711"/>
    </row>
    <row r="37712" spans="26:26" x14ac:dyDescent="0.25">
      <c r="Z37712"/>
    </row>
    <row r="37713" spans="26:26" x14ac:dyDescent="0.25">
      <c r="Z37713"/>
    </row>
    <row r="37714" spans="26:26" x14ac:dyDescent="0.25">
      <c r="Z37714"/>
    </row>
    <row r="37715" spans="26:26" x14ac:dyDescent="0.25">
      <c r="Z37715"/>
    </row>
    <row r="37716" spans="26:26" x14ac:dyDescent="0.25">
      <c r="Z37716"/>
    </row>
    <row r="37717" spans="26:26" x14ac:dyDescent="0.25">
      <c r="Z37717"/>
    </row>
    <row r="37718" spans="26:26" x14ac:dyDescent="0.25">
      <c r="Z37718"/>
    </row>
    <row r="37719" spans="26:26" x14ac:dyDescent="0.25">
      <c r="Z37719"/>
    </row>
    <row r="37720" spans="26:26" x14ac:dyDescent="0.25">
      <c r="Z37720"/>
    </row>
    <row r="37721" spans="26:26" x14ac:dyDescent="0.25">
      <c r="Z37721"/>
    </row>
    <row r="37722" spans="26:26" x14ac:dyDescent="0.25">
      <c r="Z37722"/>
    </row>
    <row r="37723" spans="26:26" x14ac:dyDescent="0.25">
      <c r="Z37723"/>
    </row>
    <row r="37724" spans="26:26" x14ac:dyDescent="0.25">
      <c r="Z37724"/>
    </row>
    <row r="37725" spans="26:26" x14ac:dyDescent="0.25">
      <c r="Z37725"/>
    </row>
    <row r="37726" spans="26:26" x14ac:dyDescent="0.25">
      <c r="Z37726"/>
    </row>
    <row r="37727" spans="26:26" x14ac:dyDescent="0.25">
      <c r="Z37727"/>
    </row>
    <row r="37728" spans="26:26" x14ac:dyDescent="0.25">
      <c r="Z37728"/>
    </row>
    <row r="37729" spans="26:26" x14ac:dyDescent="0.25">
      <c r="Z37729"/>
    </row>
    <row r="37730" spans="26:26" x14ac:dyDescent="0.25">
      <c r="Z37730"/>
    </row>
    <row r="37731" spans="26:26" x14ac:dyDescent="0.25">
      <c r="Z37731"/>
    </row>
    <row r="37732" spans="26:26" x14ac:dyDescent="0.25">
      <c r="Z37732"/>
    </row>
    <row r="37733" spans="26:26" x14ac:dyDescent="0.25">
      <c r="Z37733"/>
    </row>
    <row r="37734" spans="26:26" x14ac:dyDescent="0.25">
      <c r="Z37734"/>
    </row>
    <row r="37735" spans="26:26" x14ac:dyDescent="0.25">
      <c r="Z37735"/>
    </row>
    <row r="37736" spans="26:26" x14ac:dyDescent="0.25">
      <c r="Z37736"/>
    </row>
    <row r="37737" spans="26:26" x14ac:dyDescent="0.25">
      <c r="Z37737"/>
    </row>
    <row r="37738" spans="26:26" x14ac:dyDescent="0.25">
      <c r="Z37738"/>
    </row>
    <row r="37739" spans="26:26" x14ac:dyDescent="0.25">
      <c r="Z37739"/>
    </row>
    <row r="37740" spans="26:26" x14ac:dyDescent="0.25">
      <c r="Z37740"/>
    </row>
    <row r="37741" spans="26:26" x14ac:dyDescent="0.25">
      <c r="Z37741"/>
    </row>
    <row r="37742" spans="26:26" x14ac:dyDescent="0.25">
      <c r="Z37742"/>
    </row>
    <row r="37743" spans="26:26" x14ac:dyDescent="0.25">
      <c r="Z37743"/>
    </row>
    <row r="37744" spans="26:26" x14ac:dyDescent="0.25">
      <c r="Z37744"/>
    </row>
    <row r="37745" spans="26:26" x14ac:dyDescent="0.25">
      <c r="Z37745"/>
    </row>
    <row r="37746" spans="26:26" x14ac:dyDescent="0.25">
      <c r="Z37746"/>
    </row>
    <row r="37747" spans="26:26" x14ac:dyDescent="0.25">
      <c r="Z37747"/>
    </row>
    <row r="37748" spans="26:26" x14ac:dyDescent="0.25">
      <c r="Z37748"/>
    </row>
    <row r="37749" spans="26:26" x14ac:dyDescent="0.25">
      <c r="Z37749"/>
    </row>
    <row r="37750" spans="26:26" x14ac:dyDescent="0.25">
      <c r="Z37750"/>
    </row>
    <row r="37751" spans="26:26" x14ac:dyDescent="0.25">
      <c r="Z37751"/>
    </row>
    <row r="37752" spans="26:26" x14ac:dyDescent="0.25">
      <c r="Z37752"/>
    </row>
    <row r="37753" spans="26:26" x14ac:dyDescent="0.25">
      <c r="Z37753"/>
    </row>
    <row r="37754" spans="26:26" x14ac:dyDescent="0.25">
      <c r="Z37754"/>
    </row>
    <row r="37755" spans="26:26" x14ac:dyDescent="0.25">
      <c r="Z37755"/>
    </row>
    <row r="37756" spans="26:26" x14ac:dyDescent="0.25">
      <c r="Z37756"/>
    </row>
    <row r="37757" spans="26:26" x14ac:dyDescent="0.25">
      <c r="Z37757"/>
    </row>
    <row r="37758" spans="26:26" x14ac:dyDescent="0.25">
      <c r="Z37758"/>
    </row>
    <row r="37759" spans="26:26" x14ac:dyDescent="0.25">
      <c r="Z37759"/>
    </row>
    <row r="37760" spans="26:26" x14ac:dyDescent="0.25">
      <c r="Z37760"/>
    </row>
    <row r="37761" spans="26:26" x14ac:dyDescent="0.25">
      <c r="Z37761"/>
    </row>
    <row r="37762" spans="26:26" x14ac:dyDescent="0.25">
      <c r="Z37762"/>
    </row>
    <row r="37763" spans="26:26" x14ac:dyDescent="0.25">
      <c r="Z37763"/>
    </row>
    <row r="37764" spans="26:26" x14ac:dyDescent="0.25">
      <c r="Z37764"/>
    </row>
    <row r="37765" spans="26:26" x14ac:dyDescent="0.25">
      <c r="Z37765"/>
    </row>
    <row r="37766" spans="26:26" x14ac:dyDescent="0.25">
      <c r="Z37766"/>
    </row>
    <row r="37767" spans="26:26" x14ac:dyDescent="0.25">
      <c r="Z37767"/>
    </row>
    <row r="37768" spans="26:26" x14ac:dyDescent="0.25">
      <c r="Z37768"/>
    </row>
    <row r="37769" spans="26:26" x14ac:dyDescent="0.25">
      <c r="Z37769"/>
    </row>
    <row r="37770" spans="26:26" x14ac:dyDescent="0.25">
      <c r="Z37770"/>
    </row>
    <row r="37771" spans="26:26" x14ac:dyDescent="0.25">
      <c r="Z37771"/>
    </row>
    <row r="37772" spans="26:26" x14ac:dyDescent="0.25">
      <c r="Z37772"/>
    </row>
    <row r="37773" spans="26:26" x14ac:dyDescent="0.25">
      <c r="Z37773"/>
    </row>
    <row r="37774" spans="26:26" x14ac:dyDescent="0.25">
      <c r="Z37774"/>
    </row>
    <row r="37775" spans="26:26" x14ac:dyDescent="0.25">
      <c r="Z37775"/>
    </row>
    <row r="37776" spans="26:26" x14ac:dyDescent="0.25">
      <c r="Z37776"/>
    </row>
    <row r="37777" spans="26:26" x14ac:dyDescent="0.25">
      <c r="Z37777"/>
    </row>
    <row r="37778" spans="26:26" x14ac:dyDescent="0.25">
      <c r="Z37778"/>
    </row>
    <row r="37779" spans="26:26" x14ac:dyDescent="0.25">
      <c r="Z37779"/>
    </row>
    <row r="37780" spans="26:26" x14ac:dyDescent="0.25">
      <c r="Z37780"/>
    </row>
    <row r="37781" spans="26:26" x14ac:dyDescent="0.25">
      <c r="Z37781"/>
    </row>
    <row r="37782" spans="26:26" x14ac:dyDescent="0.25">
      <c r="Z37782"/>
    </row>
    <row r="37783" spans="26:26" x14ac:dyDescent="0.25">
      <c r="Z37783"/>
    </row>
    <row r="37784" spans="26:26" x14ac:dyDescent="0.25">
      <c r="Z37784"/>
    </row>
    <row r="37785" spans="26:26" x14ac:dyDescent="0.25">
      <c r="Z37785"/>
    </row>
    <row r="37786" spans="26:26" x14ac:dyDescent="0.25">
      <c r="Z37786"/>
    </row>
    <row r="37787" spans="26:26" x14ac:dyDescent="0.25">
      <c r="Z37787"/>
    </row>
    <row r="37788" spans="26:26" x14ac:dyDescent="0.25">
      <c r="Z37788"/>
    </row>
    <row r="37789" spans="26:26" x14ac:dyDescent="0.25">
      <c r="Z37789"/>
    </row>
    <row r="37790" spans="26:26" x14ac:dyDescent="0.25">
      <c r="Z37790"/>
    </row>
    <row r="37791" spans="26:26" x14ac:dyDescent="0.25">
      <c r="Z37791"/>
    </row>
    <row r="37792" spans="26:26" x14ac:dyDescent="0.25">
      <c r="Z37792"/>
    </row>
    <row r="37793" spans="26:26" x14ac:dyDescent="0.25">
      <c r="Z37793"/>
    </row>
    <row r="37794" spans="26:26" x14ac:dyDescent="0.25">
      <c r="Z37794"/>
    </row>
    <row r="37795" spans="26:26" x14ac:dyDescent="0.25">
      <c r="Z37795"/>
    </row>
    <row r="37796" spans="26:26" x14ac:dyDescent="0.25">
      <c r="Z37796"/>
    </row>
    <row r="37797" spans="26:26" x14ac:dyDescent="0.25">
      <c r="Z37797"/>
    </row>
    <row r="37798" spans="26:26" x14ac:dyDescent="0.25">
      <c r="Z37798"/>
    </row>
    <row r="37799" spans="26:26" x14ac:dyDescent="0.25">
      <c r="Z37799"/>
    </row>
    <row r="37800" spans="26:26" x14ac:dyDescent="0.25">
      <c r="Z37800"/>
    </row>
    <row r="37801" spans="26:26" x14ac:dyDescent="0.25">
      <c r="Z37801"/>
    </row>
    <row r="37802" spans="26:26" x14ac:dyDescent="0.25">
      <c r="Z37802"/>
    </row>
    <row r="37803" spans="26:26" x14ac:dyDescent="0.25">
      <c r="Z37803"/>
    </row>
    <row r="37804" spans="26:26" x14ac:dyDescent="0.25">
      <c r="Z37804"/>
    </row>
    <row r="37805" spans="26:26" x14ac:dyDescent="0.25">
      <c r="Z37805"/>
    </row>
    <row r="37806" spans="26:26" x14ac:dyDescent="0.25">
      <c r="Z37806"/>
    </row>
    <row r="37807" spans="26:26" x14ac:dyDescent="0.25">
      <c r="Z37807"/>
    </row>
    <row r="37808" spans="26:26" x14ac:dyDescent="0.25">
      <c r="Z37808"/>
    </row>
    <row r="37809" spans="26:26" x14ac:dyDescent="0.25">
      <c r="Z37809"/>
    </row>
    <row r="37810" spans="26:26" x14ac:dyDescent="0.25">
      <c r="Z37810"/>
    </row>
    <row r="37811" spans="26:26" x14ac:dyDescent="0.25">
      <c r="Z37811"/>
    </row>
    <row r="37812" spans="26:26" x14ac:dyDescent="0.25">
      <c r="Z37812"/>
    </row>
    <row r="37813" spans="26:26" x14ac:dyDescent="0.25">
      <c r="Z37813"/>
    </row>
    <row r="37814" spans="26:26" x14ac:dyDescent="0.25">
      <c r="Z37814"/>
    </row>
    <row r="37815" spans="26:26" x14ac:dyDescent="0.25">
      <c r="Z37815"/>
    </row>
    <row r="37816" spans="26:26" x14ac:dyDescent="0.25">
      <c r="Z37816"/>
    </row>
    <row r="37817" spans="26:26" x14ac:dyDescent="0.25">
      <c r="Z37817"/>
    </row>
    <row r="37818" spans="26:26" x14ac:dyDescent="0.25">
      <c r="Z37818"/>
    </row>
    <row r="37819" spans="26:26" x14ac:dyDescent="0.25">
      <c r="Z37819"/>
    </row>
    <row r="37820" spans="26:26" x14ac:dyDescent="0.25">
      <c r="Z37820"/>
    </row>
    <row r="37821" spans="26:26" x14ac:dyDescent="0.25">
      <c r="Z37821"/>
    </row>
    <row r="37822" spans="26:26" x14ac:dyDescent="0.25">
      <c r="Z37822"/>
    </row>
    <row r="37823" spans="26:26" x14ac:dyDescent="0.25">
      <c r="Z37823"/>
    </row>
    <row r="37824" spans="26:26" x14ac:dyDescent="0.25">
      <c r="Z37824"/>
    </row>
    <row r="37825" spans="26:26" x14ac:dyDescent="0.25">
      <c r="Z37825"/>
    </row>
    <row r="37826" spans="26:26" x14ac:dyDescent="0.25">
      <c r="Z37826"/>
    </row>
    <row r="37827" spans="26:26" x14ac:dyDescent="0.25">
      <c r="Z37827"/>
    </row>
    <row r="37828" spans="26:26" x14ac:dyDescent="0.25">
      <c r="Z37828"/>
    </row>
    <row r="37829" spans="26:26" x14ac:dyDescent="0.25">
      <c r="Z37829"/>
    </row>
    <row r="37830" spans="26:26" x14ac:dyDescent="0.25">
      <c r="Z37830"/>
    </row>
    <row r="37831" spans="26:26" x14ac:dyDescent="0.25">
      <c r="Z37831"/>
    </row>
    <row r="37832" spans="26:26" x14ac:dyDescent="0.25">
      <c r="Z37832"/>
    </row>
    <row r="37833" spans="26:26" x14ac:dyDescent="0.25">
      <c r="Z37833"/>
    </row>
    <row r="37834" spans="26:26" x14ac:dyDescent="0.25">
      <c r="Z37834"/>
    </row>
    <row r="37835" spans="26:26" x14ac:dyDescent="0.25">
      <c r="Z37835"/>
    </row>
    <row r="37836" spans="26:26" x14ac:dyDescent="0.25">
      <c r="Z37836"/>
    </row>
    <row r="37837" spans="26:26" x14ac:dyDescent="0.25">
      <c r="Z37837"/>
    </row>
    <row r="37838" spans="26:26" x14ac:dyDescent="0.25">
      <c r="Z37838"/>
    </row>
    <row r="37839" spans="26:26" x14ac:dyDescent="0.25">
      <c r="Z37839"/>
    </row>
    <row r="37840" spans="26:26" x14ac:dyDescent="0.25">
      <c r="Z37840"/>
    </row>
    <row r="37841" spans="26:26" x14ac:dyDescent="0.25">
      <c r="Z37841"/>
    </row>
    <row r="37842" spans="26:26" x14ac:dyDescent="0.25">
      <c r="Z37842"/>
    </row>
    <row r="37843" spans="26:26" x14ac:dyDescent="0.25">
      <c r="Z37843"/>
    </row>
    <row r="37844" spans="26:26" x14ac:dyDescent="0.25">
      <c r="Z37844"/>
    </row>
    <row r="37845" spans="26:26" x14ac:dyDescent="0.25">
      <c r="Z37845"/>
    </row>
    <row r="37846" spans="26:26" x14ac:dyDescent="0.25">
      <c r="Z37846"/>
    </row>
    <row r="37847" spans="26:26" x14ac:dyDescent="0.25">
      <c r="Z37847"/>
    </row>
    <row r="37848" spans="26:26" x14ac:dyDescent="0.25">
      <c r="Z37848"/>
    </row>
    <row r="37849" spans="26:26" x14ac:dyDescent="0.25">
      <c r="Z37849"/>
    </row>
    <row r="37850" spans="26:26" x14ac:dyDescent="0.25">
      <c r="Z37850"/>
    </row>
    <row r="37851" spans="26:26" x14ac:dyDescent="0.25">
      <c r="Z37851"/>
    </row>
    <row r="37852" spans="26:26" x14ac:dyDescent="0.25">
      <c r="Z37852"/>
    </row>
    <row r="37853" spans="26:26" x14ac:dyDescent="0.25">
      <c r="Z37853"/>
    </row>
    <row r="37854" spans="26:26" x14ac:dyDescent="0.25">
      <c r="Z37854"/>
    </row>
    <row r="37855" spans="26:26" x14ac:dyDescent="0.25">
      <c r="Z37855"/>
    </row>
    <row r="37856" spans="26:26" x14ac:dyDescent="0.25">
      <c r="Z37856"/>
    </row>
    <row r="37857" spans="26:26" x14ac:dyDescent="0.25">
      <c r="Z37857"/>
    </row>
    <row r="37858" spans="26:26" x14ac:dyDescent="0.25">
      <c r="Z37858"/>
    </row>
    <row r="37859" spans="26:26" x14ac:dyDescent="0.25">
      <c r="Z37859"/>
    </row>
    <row r="37860" spans="26:26" x14ac:dyDescent="0.25">
      <c r="Z37860"/>
    </row>
    <row r="37861" spans="26:26" x14ac:dyDescent="0.25">
      <c r="Z37861"/>
    </row>
    <row r="37862" spans="26:26" x14ac:dyDescent="0.25">
      <c r="Z37862"/>
    </row>
    <row r="37863" spans="26:26" x14ac:dyDescent="0.25">
      <c r="Z37863"/>
    </row>
    <row r="37864" spans="26:26" x14ac:dyDescent="0.25">
      <c r="Z37864"/>
    </row>
    <row r="37865" spans="26:26" x14ac:dyDescent="0.25">
      <c r="Z37865"/>
    </row>
    <row r="37866" spans="26:26" x14ac:dyDescent="0.25">
      <c r="Z37866"/>
    </row>
    <row r="37867" spans="26:26" x14ac:dyDescent="0.25">
      <c r="Z37867"/>
    </row>
    <row r="37868" spans="26:26" x14ac:dyDescent="0.25">
      <c r="Z37868"/>
    </row>
    <row r="37869" spans="26:26" x14ac:dyDescent="0.25">
      <c r="Z37869"/>
    </row>
    <row r="37870" spans="26:26" x14ac:dyDescent="0.25">
      <c r="Z37870"/>
    </row>
    <row r="37871" spans="26:26" x14ac:dyDescent="0.25">
      <c r="Z37871"/>
    </row>
    <row r="37872" spans="26:26" x14ac:dyDescent="0.25">
      <c r="Z37872"/>
    </row>
    <row r="37873" spans="26:26" x14ac:dyDescent="0.25">
      <c r="Z37873"/>
    </row>
    <row r="37874" spans="26:26" x14ac:dyDescent="0.25">
      <c r="Z37874"/>
    </row>
    <row r="37875" spans="26:26" x14ac:dyDescent="0.25">
      <c r="Z37875"/>
    </row>
    <row r="37876" spans="26:26" x14ac:dyDescent="0.25">
      <c r="Z37876"/>
    </row>
    <row r="37877" spans="26:26" x14ac:dyDescent="0.25">
      <c r="Z37877"/>
    </row>
    <row r="37878" spans="26:26" x14ac:dyDescent="0.25">
      <c r="Z37878"/>
    </row>
    <row r="37879" spans="26:26" x14ac:dyDescent="0.25">
      <c r="Z37879"/>
    </row>
    <row r="37880" spans="26:26" x14ac:dyDescent="0.25">
      <c r="Z37880"/>
    </row>
    <row r="37881" spans="26:26" x14ac:dyDescent="0.25">
      <c r="Z37881"/>
    </row>
    <row r="37882" spans="26:26" x14ac:dyDescent="0.25">
      <c r="Z37882"/>
    </row>
    <row r="37883" spans="26:26" x14ac:dyDescent="0.25">
      <c r="Z37883"/>
    </row>
    <row r="37884" spans="26:26" x14ac:dyDescent="0.25">
      <c r="Z37884"/>
    </row>
    <row r="37885" spans="26:26" x14ac:dyDescent="0.25">
      <c r="Z37885"/>
    </row>
    <row r="37886" spans="26:26" x14ac:dyDescent="0.25">
      <c r="Z37886"/>
    </row>
    <row r="37887" spans="26:26" x14ac:dyDescent="0.25">
      <c r="Z37887"/>
    </row>
    <row r="37888" spans="26:26" x14ac:dyDescent="0.25">
      <c r="Z37888"/>
    </row>
    <row r="37889" spans="26:26" x14ac:dyDescent="0.25">
      <c r="Z37889"/>
    </row>
    <row r="37890" spans="26:26" x14ac:dyDescent="0.25">
      <c r="Z37890"/>
    </row>
    <row r="37891" spans="26:26" x14ac:dyDescent="0.25">
      <c r="Z37891"/>
    </row>
    <row r="37892" spans="26:26" x14ac:dyDescent="0.25">
      <c r="Z37892"/>
    </row>
    <row r="37893" spans="26:26" x14ac:dyDescent="0.25">
      <c r="Z37893"/>
    </row>
    <row r="37894" spans="26:26" x14ac:dyDescent="0.25">
      <c r="Z37894"/>
    </row>
    <row r="37895" spans="26:26" x14ac:dyDescent="0.25">
      <c r="Z37895"/>
    </row>
    <row r="37896" spans="26:26" x14ac:dyDescent="0.25">
      <c r="Z37896"/>
    </row>
    <row r="37897" spans="26:26" x14ac:dyDescent="0.25">
      <c r="Z37897"/>
    </row>
    <row r="37898" spans="26:26" x14ac:dyDescent="0.25">
      <c r="Z37898"/>
    </row>
    <row r="37899" spans="26:26" x14ac:dyDescent="0.25">
      <c r="Z37899"/>
    </row>
    <row r="37900" spans="26:26" x14ac:dyDescent="0.25">
      <c r="Z37900"/>
    </row>
    <row r="37901" spans="26:26" x14ac:dyDescent="0.25">
      <c r="Z37901"/>
    </row>
    <row r="37902" spans="26:26" x14ac:dyDescent="0.25">
      <c r="Z37902"/>
    </row>
    <row r="37903" spans="26:26" x14ac:dyDescent="0.25">
      <c r="Z37903"/>
    </row>
    <row r="37904" spans="26:26" x14ac:dyDescent="0.25">
      <c r="Z37904"/>
    </row>
    <row r="37905" spans="26:26" x14ac:dyDescent="0.25">
      <c r="Z37905"/>
    </row>
    <row r="37906" spans="26:26" x14ac:dyDescent="0.25">
      <c r="Z37906"/>
    </row>
    <row r="37907" spans="26:26" x14ac:dyDescent="0.25">
      <c r="Z37907"/>
    </row>
    <row r="37908" spans="26:26" x14ac:dyDescent="0.25">
      <c r="Z37908"/>
    </row>
    <row r="37909" spans="26:26" x14ac:dyDescent="0.25">
      <c r="Z37909"/>
    </row>
    <row r="37910" spans="26:26" x14ac:dyDescent="0.25">
      <c r="Z37910"/>
    </row>
    <row r="37911" spans="26:26" x14ac:dyDescent="0.25">
      <c r="Z37911"/>
    </row>
    <row r="37912" spans="26:26" x14ac:dyDescent="0.25">
      <c r="Z37912"/>
    </row>
    <row r="37913" spans="26:26" x14ac:dyDescent="0.25">
      <c r="Z37913"/>
    </row>
    <row r="37914" spans="26:26" x14ac:dyDescent="0.25">
      <c r="Z37914"/>
    </row>
    <row r="37915" spans="26:26" x14ac:dyDescent="0.25">
      <c r="Z37915"/>
    </row>
    <row r="37916" spans="26:26" x14ac:dyDescent="0.25">
      <c r="Z37916"/>
    </row>
    <row r="37917" spans="26:26" x14ac:dyDescent="0.25">
      <c r="Z37917"/>
    </row>
    <row r="37918" spans="26:26" x14ac:dyDescent="0.25">
      <c r="Z37918"/>
    </row>
    <row r="37919" spans="26:26" x14ac:dyDescent="0.25">
      <c r="Z37919"/>
    </row>
    <row r="37920" spans="26:26" x14ac:dyDescent="0.25">
      <c r="Z37920"/>
    </row>
    <row r="37921" spans="26:26" x14ac:dyDescent="0.25">
      <c r="Z37921"/>
    </row>
    <row r="37922" spans="26:26" x14ac:dyDescent="0.25">
      <c r="Z37922"/>
    </row>
    <row r="37923" spans="26:26" x14ac:dyDescent="0.25">
      <c r="Z37923"/>
    </row>
    <row r="37924" spans="26:26" x14ac:dyDescent="0.25">
      <c r="Z37924"/>
    </row>
    <row r="37925" spans="26:26" x14ac:dyDescent="0.25">
      <c r="Z37925"/>
    </row>
    <row r="37926" spans="26:26" x14ac:dyDescent="0.25">
      <c r="Z37926"/>
    </row>
    <row r="37927" spans="26:26" x14ac:dyDescent="0.25">
      <c r="Z37927"/>
    </row>
    <row r="37928" spans="26:26" x14ac:dyDescent="0.25">
      <c r="Z37928"/>
    </row>
    <row r="37929" spans="26:26" x14ac:dyDescent="0.25">
      <c r="Z37929"/>
    </row>
    <row r="37930" spans="26:26" x14ac:dyDescent="0.25">
      <c r="Z37930"/>
    </row>
    <row r="37931" spans="26:26" x14ac:dyDescent="0.25">
      <c r="Z37931"/>
    </row>
    <row r="37932" spans="26:26" x14ac:dyDescent="0.25">
      <c r="Z37932"/>
    </row>
    <row r="37933" spans="26:26" x14ac:dyDescent="0.25">
      <c r="Z37933"/>
    </row>
    <row r="37934" spans="26:26" x14ac:dyDescent="0.25">
      <c r="Z37934"/>
    </row>
    <row r="37935" spans="26:26" x14ac:dyDescent="0.25">
      <c r="Z37935"/>
    </row>
    <row r="37936" spans="26:26" x14ac:dyDescent="0.25">
      <c r="Z37936"/>
    </row>
    <row r="37937" spans="26:26" x14ac:dyDescent="0.25">
      <c r="Z37937"/>
    </row>
    <row r="37938" spans="26:26" x14ac:dyDescent="0.25">
      <c r="Z37938"/>
    </row>
    <row r="37939" spans="26:26" x14ac:dyDescent="0.25">
      <c r="Z37939"/>
    </row>
    <row r="37940" spans="26:26" x14ac:dyDescent="0.25">
      <c r="Z37940"/>
    </row>
    <row r="37941" spans="26:26" x14ac:dyDescent="0.25">
      <c r="Z37941"/>
    </row>
    <row r="37942" spans="26:26" x14ac:dyDescent="0.25">
      <c r="Z37942"/>
    </row>
    <row r="37943" spans="26:26" x14ac:dyDescent="0.25">
      <c r="Z37943"/>
    </row>
    <row r="37944" spans="26:26" x14ac:dyDescent="0.25">
      <c r="Z37944"/>
    </row>
    <row r="37945" spans="26:26" x14ac:dyDescent="0.25">
      <c r="Z37945"/>
    </row>
    <row r="37946" spans="26:26" x14ac:dyDescent="0.25">
      <c r="Z37946"/>
    </row>
    <row r="37947" spans="26:26" x14ac:dyDescent="0.25">
      <c r="Z37947"/>
    </row>
    <row r="37948" spans="26:26" x14ac:dyDescent="0.25">
      <c r="Z37948"/>
    </row>
    <row r="37949" spans="26:26" x14ac:dyDescent="0.25">
      <c r="Z37949"/>
    </row>
    <row r="37950" spans="26:26" x14ac:dyDescent="0.25">
      <c r="Z37950"/>
    </row>
    <row r="37951" spans="26:26" x14ac:dyDescent="0.25">
      <c r="Z37951"/>
    </row>
    <row r="37952" spans="26:26" x14ac:dyDescent="0.25">
      <c r="Z37952"/>
    </row>
    <row r="37953" spans="26:26" x14ac:dyDescent="0.25">
      <c r="Z37953"/>
    </row>
    <row r="37954" spans="26:26" x14ac:dyDescent="0.25">
      <c r="Z37954"/>
    </row>
    <row r="37955" spans="26:26" x14ac:dyDescent="0.25">
      <c r="Z37955"/>
    </row>
    <row r="37956" spans="26:26" x14ac:dyDescent="0.25">
      <c r="Z37956"/>
    </row>
    <row r="37957" spans="26:26" x14ac:dyDescent="0.25">
      <c r="Z37957"/>
    </row>
    <row r="37958" spans="26:26" x14ac:dyDescent="0.25">
      <c r="Z37958"/>
    </row>
    <row r="37959" spans="26:26" x14ac:dyDescent="0.25">
      <c r="Z37959"/>
    </row>
    <row r="37960" spans="26:26" x14ac:dyDescent="0.25">
      <c r="Z37960"/>
    </row>
    <row r="37961" spans="26:26" x14ac:dyDescent="0.25">
      <c r="Z37961"/>
    </row>
    <row r="37962" spans="26:26" x14ac:dyDescent="0.25">
      <c r="Z37962"/>
    </row>
    <row r="37963" spans="26:26" x14ac:dyDescent="0.25">
      <c r="Z37963"/>
    </row>
    <row r="37964" spans="26:26" x14ac:dyDescent="0.25">
      <c r="Z37964"/>
    </row>
    <row r="37965" spans="26:26" x14ac:dyDescent="0.25">
      <c r="Z37965"/>
    </row>
    <row r="37966" spans="26:26" x14ac:dyDescent="0.25">
      <c r="Z37966"/>
    </row>
    <row r="37967" spans="26:26" x14ac:dyDescent="0.25">
      <c r="Z37967"/>
    </row>
    <row r="37968" spans="26:26" x14ac:dyDescent="0.25">
      <c r="Z37968"/>
    </row>
    <row r="37969" spans="26:26" x14ac:dyDescent="0.25">
      <c r="Z37969"/>
    </row>
    <row r="37970" spans="26:26" x14ac:dyDescent="0.25">
      <c r="Z37970"/>
    </row>
    <row r="37971" spans="26:26" x14ac:dyDescent="0.25">
      <c r="Z37971"/>
    </row>
    <row r="37972" spans="26:26" x14ac:dyDescent="0.25">
      <c r="Z37972"/>
    </row>
    <row r="37973" spans="26:26" x14ac:dyDescent="0.25">
      <c r="Z37973"/>
    </row>
    <row r="37974" spans="26:26" x14ac:dyDescent="0.25">
      <c r="Z37974"/>
    </row>
    <row r="37975" spans="26:26" x14ac:dyDescent="0.25">
      <c r="Z37975"/>
    </row>
    <row r="37976" spans="26:26" x14ac:dyDescent="0.25">
      <c r="Z37976"/>
    </row>
    <row r="37977" spans="26:26" x14ac:dyDescent="0.25">
      <c r="Z37977"/>
    </row>
    <row r="37978" spans="26:26" x14ac:dyDescent="0.25">
      <c r="Z37978"/>
    </row>
    <row r="37979" spans="26:26" x14ac:dyDescent="0.25">
      <c r="Z37979"/>
    </row>
    <row r="37980" spans="26:26" x14ac:dyDescent="0.25">
      <c r="Z37980"/>
    </row>
    <row r="37981" spans="26:26" x14ac:dyDescent="0.25">
      <c r="Z37981"/>
    </row>
    <row r="37982" spans="26:26" x14ac:dyDescent="0.25">
      <c r="Z37982"/>
    </row>
    <row r="37983" spans="26:26" x14ac:dyDescent="0.25">
      <c r="Z37983"/>
    </row>
    <row r="37984" spans="26:26" x14ac:dyDescent="0.25">
      <c r="Z37984"/>
    </row>
    <row r="37985" spans="26:26" x14ac:dyDescent="0.25">
      <c r="Z37985"/>
    </row>
    <row r="37986" spans="26:26" x14ac:dyDescent="0.25">
      <c r="Z37986"/>
    </row>
    <row r="37987" spans="26:26" x14ac:dyDescent="0.25">
      <c r="Z37987"/>
    </row>
    <row r="37988" spans="26:26" x14ac:dyDescent="0.25">
      <c r="Z37988"/>
    </row>
    <row r="37989" spans="26:26" x14ac:dyDescent="0.25">
      <c r="Z37989"/>
    </row>
    <row r="37990" spans="26:26" x14ac:dyDescent="0.25">
      <c r="Z37990"/>
    </row>
    <row r="37991" spans="26:26" x14ac:dyDescent="0.25">
      <c r="Z37991"/>
    </row>
    <row r="37992" spans="26:26" x14ac:dyDescent="0.25">
      <c r="Z37992"/>
    </row>
    <row r="37993" spans="26:26" x14ac:dyDescent="0.25">
      <c r="Z37993"/>
    </row>
    <row r="37994" spans="26:26" x14ac:dyDescent="0.25">
      <c r="Z37994"/>
    </row>
    <row r="37995" spans="26:26" x14ac:dyDescent="0.25">
      <c r="Z37995"/>
    </row>
    <row r="37996" spans="26:26" x14ac:dyDescent="0.25">
      <c r="Z37996"/>
    </row>
    <row r="37997" spans="26:26" x14ac:dyDescent="0.25">
      <c r="Z37997"/>
    </row>
    <row r="37998" spans="26:26" x14ac:dyDescent="0.25">
      <c r="Z37998"/>
    </row>
    <row r="37999" spans="26:26" x14ac:dyDescent="0.25">
      <c r="Z37999"/>
    </row>
    <row r="38000" spans="26:26" x14ac:dyDescent="0.25">
      <c r="Z38000"/>
    </row>
    <row r="38001" spans="26:26" x14ac:dyDescent="0.25">
      <c r="Z38001"/>
    </row>
    <row r="38002" spans="26:26" x14ac:dyDescent="0.25">
      <c r="Z38002"/>
    </row>
    <row r="38003" spans="26:26" x14ac:dyDescent="0.25">
      <c r="Z38003"/>
    </row>
    <row r="38004" spans="26:26" x14ac:dyDescent="0.25">
      <c r="Z38004"/>
    </row>
    <row r="38005" spans="26:26" x14ac:dyDescent="0.25">
      <c r="Z38005"/>
    </row>
    <row r="38006" spans="26:26" x14ac:dyDescent="0.25">
      <c r="Z38006"/>
    </row>
    <row r="38007" spans="26:26" x14ac:dyDescent="0.25">
      <c r="Z38007"/>
    </row>
    <row r="38008" spans="26:26" x14ac:dyDescent="0.25">
      <c r="Z38008"/>
    </row>
    <row r="38009" spans="26:26" x14ac:dyDescent="0.25">
      <c r="Z38009"/>
    </row>
    <row r="38010" spans="26:26" x14ac:dyDescent="0.25">
      <c r="Z38010"/>
    </row>
    <row r="38011" spans="26:26" x14ac:dyDescent="0.25">
      <c r="Z38011"/>
    </row>
    <row r="38012" spans="26:26" x14ac:dyDescent="0.25">
      <c r="Z38012"/>
    </row>
    <row r="38013" spans="26:26" x14ac:dyDescent="0.25">
      <c r="Z38013"/>
    </row>
    <row r="38014" spans="26:26" x14ac:dyDescent="0.25">
      <c r="Z38014"/>
    </row>
    <row r="38015" spans="26:26" x14ac:dyDescent="0.25">
      <c r="Z38015"/>
    </row>
    <row r="38016" spans="26:26" x14ac:dyDescent="0.25">
      <c r="Z38016"/>
    </row>
    <row r="38017" spans="26:26" x14ac:dyDescent="0.25">
      <c r="Z38017"/>
    </row>
    <row r="38018" spans="26:26" x14ac:dyDescent="0.25">
      <c r="Z38018"/>
    </row>
    <row r="38019" spans="26:26" x14ac:dyDescent="0.25">
      <c r="Z38019"/>
    </row>
    <row r="38020" spans="26:26" x14ac:dyDescent="0.25">
      <c r="Z38020"/>
    </row>
    <row r="38021" spans="26:26" x14ac:dyDescent="0.25">
      <c r="Z38021"/>
    </row>
    <row r="38022" spans="26:26" x14ac:dyDescent="0.25">
      <c r="Z38022"/>
    </row>
    <row r="38023" spans="26:26" x14ac:dyDescent="0.25">
      <c r="Z38023"/>
    </row>
    <row r="38024" spans="26:26" x14ac:dyDescent="0.25">
      <c r="Z38024"/>
    </row>
    <row r="38025" spans="26:26" x14ac:dyDescent="0.25">
      <c r="Z38025"/>
    </row>
    <row r="38026" spans="26:26" x14ac:dyDescent="0.25">
      <c r="Z38026"/>
    </row>
    <row r="38027" spans="26:26" x14ac:dyDescent="0.25">
      <c r="Z38027"/>
    </row>
    <row r="38028" spans="26:26" x14ac:dyDescent="0.25">
      <c r="Z38028"/>
    </row>
    <row r="38029" spans="26:26" x14ac:dyDescent="0.25">
      <c r="Z38029"/>
    </row>
    <row r="38030" spans="26:26" x14ac:dyDescent="0.25">
      <c r="Z38030"/>
    </row>
    <row r="38031" spans="26:26" x14ac:dyDescent="0.25">
      <c r="Z38031"/>
    </row>
    <row r="38032" spans="26:26" x14ac:dyDescent="0.25">
      <c r="Z38032"/>
    </row>
    <row r="38033" spans="26:26" x14ac:dyDescent="0.25">
      <c r="Z38033"/>
    </row>
    <row r="38034" spans="26:26" x14ac:dyDescent="0.25">
      <c r="Z38034"/>
    </row>
    <row r="38035" spans="26:26" x14ac:dyDescent="0.25">
      <c r="Z38035"/>
    </row>
    <row r="38036" spans="26:26" x14ac:dyDescent="0.25">
      <c r="Z38036"/>
    </row>
    <row r="38037" spans="26:26" x14ac:dyDescent="0.25">
      <c r="Z38037"/>
    </row>
    <row r="38038" spans="26:26" x14ac:dyDescent="0.25">
      <c r="Z38038"/>
    </row>
    <row r="38039" spans="26:26" x14ac:dyDescent="0.25">
      <c r="Z38039"/>
    </row>
    <row r="38040" spans="26:26" x14ac:dyDescent="0.25">
      <c r="Z38040"/>
    </row>
    <row r="38041" spans="26:26" x14ac:dyDescent="0.25">
      <c r="Z38041"/>
    </row>
    <row r="38042" spans="26:26" x14ac:dyDescent="0.25">
      <c r="Z38042"/>
    </row>
    <row r="38043" spans="26:26" x14ac:dyDescent="0.25">
      <c r="Z38043"/>
    </row>
    <row r="38044" spans="26:26" x14ac:dyDescent="0.25">
      <c r="Z38044"/>
    </row>
    <row r="38045" spans="26:26" x14ac:dyDescent="0.25">
      <c r="Z38045"/>
    </row>
    <row r="38046" spans="26:26" x14ac:dyDescent="0.25">
      <c r="Z38046"/>
    </row>
    <row r="38047" spans="26:26" x14ac:dyDescent="0.25">
      <c r="Z38047"/>
    </row>
    <row r="38048" spans="26:26" x14ac:dyDescent="0.25">
      <c r="Z38048"/>
    </row>
    <row r="38049" spans="26:26" x14ac:dyDescent="0.25">
      <c r="Z38049"/>
    </row>
    <row r="38050" spans="26:26" x14ac:dyDescent="0.25">
      <c r="Z38050"/>
    </row>
    <row r="38051" spans="26:26" x14ac:dyDescent="0.25">
      <c r="Z38051"/>
    </row>
    <row r="38052" spans="26:26" x14ac:dyDescent="0.25">
      <c r="Z38052"/>
    </row>
    <row r="38053" spans="26:26" x14ac:dyDescent="0.25">
      <c r="Z38053"/>
    </row>
    <row r="38054" spans="26:26" x14ac:dyDescent="0.25">
      <c r="Z38054"/>
    </row>
    <row r="38055" spans="26:26" x14ac:dyDescent="0.25">
      <c r="Z38055"/>
    </row>
    <row r="38056" spans="26:26" x14ac:dyDescent="0.25">
      <c r="Z38056"/>
    </row>
    <row r="38057" spans="26:26" x14ac:dyDescent="0.25">
      <c r="Z38057"/>
    </row>
    <row r="38058" spans="26:26" x14ac:dyDescent="0.25">
      <c r="Z38058"/>
    </row>
    <row r="38059" spans="26:26" x14ac:dyDescent="0.25">
      <c r="Z38059"/>
    </row>
    <row r="38060" spans="26:26" x14ac:dyDescent="0.25">
      <c r="Z38060"/>
    </row>
    <row r="38061" spans="26:26" x14ac:dyDescent="0.25">
      <c r="Z38061"/>
    </row>
    <row r="38062" spans="26:26" x14ac:dyDescent="0.25">
      <c r="Z38062"/>
    </row>
    <row r="38063" spans="26:26" x14ac:dyDescent="0.25">
      <c r="Z38063"/>
    </row>
    <row r="38064" spans="26:26" x14ac:dyDescent="0.25">
      <c r="Z38064"/>
    </row>
    <row r="38065" spans="26:26" x14ac:dyDescent="0.25">
      <c r="Z38065"/>
    </row>
    <row r="38066" spans="26:26" x14ac:dyDescent="0.25">
      <c r="Z38066"/>
    </row>
    <row r="38067" spans="26:26" x14ac:dyDescent="0.25">
      <c r="Z38067"/>
    </row>
    <row r="38068" spans="26:26" x14ac:dyDescent="0.25">
      <c r="Z38068"/>
    </row>
    <row r="38069" spans="26:26" x14ac:dyDescent="0.25">
      <c r="Z38069"/>
    </row>
    <row r="38070" spans="26:26" x14ac:dyDescent="0.25">
      <c r="Z38070"/>
    </row>
    <row r="38071" spans="26:26" x14ac:dyDescent="0.25">
      <c r="Z38071"/>
    </row>
    <row r="38072" spans="26:26" x14ac:dyDescent="0.25">
      <c r="Z38072"/>
    </row>
    <row r="38073" spans="26:26" x14ac:dyDescent="0.25">
      <c r="Z38073"/>
    </row>
    <row r="38074" spans="26:26" x14ac:dyDescent="0.25">
      <c r="Z38074"/>
    </row>
    <row r="38075" spans="26:26" x14ac:dyDescent="0.25">
      <c r="Z38075"/>
    </row>
    <row r="38076" spans="26:26" x14ac:dyDescent="0.25">
      <c r="Z38076"/>
    </row>
    <row r="38077" spans="26:26" x14ac:dyDescent="0.25">
      <c r="Z38077"/>
    </row>
    <row r="38078" spans="26:26" x14ac:dyDescent="0.25">
      <c r="Z38078"/>
    </row>
    <row r="38079" spans="26:26" x14ac:dyDescent="0.25">
      <c r="Z38079"/>
    </row>
    <row r="38080" spans="26:26" x14ac:dyDescent="0.25">
      <c r="Z38080"/>
    </row>
    <row r="38081" spans="26:26" x14ac:dyDescent="0.25">
      <c r="Z38081"/>
    </row>
    <row r="38082" spans="26:26" x14ac:dyDescent="0.25">
      <c r="Z38082"/>
    </row>
    <row r="38083" spans="26:26" x14ac:dyDescent="0.25">
      <c r="Z38083"/>
    </row>
    <row r="38084" spans="26:26" x14ac:dyDescent="0.25">
      <c r="Z38084"/>
    </row>
    <row r="38085" spans="26:26" x14ac:dyDescent="0.25">
      <c r="Z38085"/>
    </row>
    <row r="38086" spans="26:26" x14ac:dyDescent="0.25">
      <c r="Z38086"/>
    </row>
    <row r="38087" spans="26:26" x14ac:dyDescent="0.25">
      <c r="Z38087"/>
    </row>
    <row r="38088" spans="26:26" x14ac:dyDescent="0.25">
      <c r="Z38088"/>
    </row>
    <row r="38089" spans="26:26" x14ac:dyDescent="0.25">
      <c r="Z38089"/>
    </row>
    <row r="38090" spans="26:26" x14ac:dyDescent="0.25">
      <c r="Z38090"/>
    </row>
    <row r="38091" spans="26:26" x14ac:dyDescent="0.25">
      <c r="Z38091"/>
    </row>
    <row r="38092" spans="26:26" x14ac:dyDescent="0.25">
      <c r="Z38092"/>
    </row>
    <row r="38093" spans="26:26" x14ac:dyDescent="0.25">
      <c r="Z38093"/>
    </row>
    <row r="38094" spans="26:26" x14ac:dyDescent="0.25">
      <c r="Z38094"/>
    </row>
    <row r="38095" spans="26:26" x14ac:dyDescent="0.25">
      <c r="Z38095"/>
    </row>
    <row r="38096" spans="26:26" x14ac:dyDescent="0.25">
      <c r="Z38096"/>
    </row>
    <row r="38097" spans="26:26" x14ac:dyDescent="0.25">
      <c r="Z38097"/>
    </row>
    <row r="38098" spans="26:26" x14ac:dyDescent="0.25">
      <c r="Z38098"/>
    </row>
    <row r="38099" spans="26:26" x14ac:dyDescent="0.25">
      <c r="Z38099"/>
    </row>
    <row r="38100" spans="26:26" x14ac:dyDescent="0.25">
      <c r="Z38100"/>
    </row>
    <row r="38101" spans="26:26" x14ac:dyDescent="0.25">
      <c r="Z38101"/>
    </row>
    <row r="38102" spans="26:26" x14ac:dyDescent="0.25">
      <c r="Z38102"/>
    </row>
    <row r="38103" spans="26:26" x14ac:dyDescent="0.25">
      <c r="Z38103"/>
    </row>
    <row r="38104" spans="26:26" x14ac:dyDescent="0.25">
      <c r="Z38104"/>
    </row>
    <row r="38105" spans="26:26" x14ac:dyDescent="0.25">
      <c r="Z38105"/>
    </row>
    <row r="38106" spans="26:26" x14ac:dyDescent="0.25">
      <c r="Z38106"/>
    </row>
    <row r="38107" spans="26:26" x14ac:dyDescent="0.25">
      <c r="Z38107"/>
    </row>
    <row r="38108" spans="26:26" x14ac:dyDescent="0.25">
      <c r="Z38108"/>
    </row>
    <row r="38109" spans="26:26" x14ac:dyDescent="0.25">
      <c r="Z38109"/>
    </row>
    <row r="38110" spans="26:26" x14ac:dyDescent="0.25">
      <c r="Z38110"/>
    </row>
    <row r="38111" spans="26:26" x14ac:dyDescent="0.25">
      <c r="Z38111"/>
    </row>
    <row r="38112" spans="26:26" x14ac:dyDescent="0.25">
      <c r="Z38112"/>
    </row>
    <row r="38113" spans="26:26" x14ac:dyDescent="0.25">
      <c r="Z38113"/>
    </row>
    <row r="38114" spans="26:26" x14ac:dyDescent="0.25">
      <c r="Z38114"/>
    </row>
    <row r="38115" spans="26:26" x14ac:dyDescent="0.25">
      <c r="Z38115"/>
    </row>
    <row r="38116" spans="26:26" x14ac:dyDescent="0.25">
      <c r="Z38116"/>
    </row>
    <row r="38117" spans="26:26" x14ac:dyDescent="0.25">
      <c r="Z38117"/>
    </row>
    <row r="38118" spans="26:26" x14ac:dyDescent="0.25">
      <c r="Z38118"/>
    </row>
    <row r="38119" spans="26:26" x14ac:dyDescent="0.25">
      <c r="Z38119"/>
    </row>
    <row r="38120" spans="26:26" x14ac:dyDescent="0.25">
      <c r="Z38120"/>
    </row>
    <row r="38121" spans="26:26" x14ac:dyDescent="0.25">
      <c r="Z38121"/>
    </row>
    <row r="38122" spans="26:26" x14ac:dyDescent="0.25">
      <c r="Z38122"/>
    </row>
    <row r="38123" spans="26:26" x14ac:dyDescent="0.25">
      <c r="Z38123"/>
    </row>
    <row r="38124" spans="26:26" x14ac:dyDescent="0.25">
      <c r="Z38124"/>
    </row>
    <row r="38125" spans="26:26" x14ac:dyDescent="0.25">
      <c r="Z38125"/>
    </row>
    <row r="38126" spans="26:26" x14ac:dyDescent="0.25">
      <c r="Z38126"/>
    </row>
    <row r="38127" spans="26:26" x14ac:dyDescent="0.25">
      <c r="Z38127"/>
    </row>
    <row r="38128" spans="26:26" x14ac:dyDescent="0.25">
      <c r="Z38128"/>
    </row>
    <row r="38129" spans="26:26" x14ac:dyDescent="0.25">
      <c r="Z38129"/>
    </row>
    <row r="38130" spans="26:26" x14ac:dyDescent="0.25">
      <c r="Z38130"/>
    </row>
    <row r="38131" spans="26:26" x14ac:dyDescent="0.25">
      <c r="Z38131"/>
    </row>
    <row r="38132" spans="26:26" x14ac:dyDescent="0.25">
      <c r="Z38132"/>
    </row>
    <row r="38133" spans="26:26" x14ac:dyDescent="0.25">
      <c r="Z38133"/>
    </row>
    <row r="38134" spans="26:26" x14ac:dyDescent="0.25">
      <c r="Z38134"/>
    </row>
    <row r="38135" spans="26:26" x14ac:dyDescent="0.25">
      <c r="Z38135"/>
    </row>
    <row r="38136" spans="26:26" x14ac:dyDescent="0.25">
      <c r="Z38136"/>
    </row>
    <row r="38137" spans="26:26" x14ac:dyDescent="0.25">
      <c r="Z38137"/>
    </row>
    <row r="38138" spans="26:26" x14ac:dyDescent="0.25">
      <c r="Z38138"/>
    </row>
    <row r="38139" spans="26:26" x14ac:dyDescent="0.25">
      <c r="Z38139"/>
    </row>
    <row r="38140" spans="26:26" x14ac:dyDescent="0.25">
      <c r="Z38140"/>
    </row>
    <row r="38141" spans="26:26" x14ac:dyDescent="0.25">
      <c r="Z38141"/>
    </row>
    <row r="38142" spans="26:26" x14ac:dyDescent="0.25">
      <c r="Z38142"/>
    </row>
    <row r="38143" spans="26:26" x14ac:dyDescent="0.25">
      <c r="Z38143"/>
    </row>
    <row r="38144" spans="26:26" x14ac:dyDescent="0.25">
      <c r="Z38144"/>
    </row>
    <row r="38145" spans="26:26" x14ac:dyDescent="0.25">
      <c r="Z38145"/>
    </row>
    <row r="38146" spans="26:26" x14ac:dyDescent="0.25">
      <c r="Z38146"/>
    </row>
    <row r="38147" spans="26:26" x14ac:dyDescent="0.25">
      <c r="Z38147"/>
    </row>
    <row r="38148" spans="26:26" x14ac:dyDescent="0.25">
      <c r="Z38148"/>
    </row>
    <row r="38149" spans="26:26" x14ac:dyDescent="0.25">
      <c r="Z38149"/>
    </row>
    <row r="38150" spans="26:26" x14ac:dyDescent="0.25">
      <c r="Z38150"/>
    </row>
    <row r="38151" spans="26:26" x14ac:dyDescent="0.25">
      <c r="Z38151"/>
    </row>
    <row r="38152" spans="26:26" x14ac:dyDescent="0.25">
      <c r="Z38152"/>
    </row>
    <row r="38153" spans="26:26" x14ac:dyDescent="0.25">
      <c r="Z38153"/>
    </row>
    <row r="38154" spans="26:26" x14ac:dyDescent="0.25">
      <c r="Z38154"/>
    </row>
    <row r="38155" spans="26:26" x14ac:dyDescent="0.25">
      <c r="Z38155"/>
    </row>
    <row r="38156" spans="26:26" x14ac:dyDescent="0.25">
      <c r="Z38156"/>
    </row>
    <row r="38157" spans="26:26" x14ac:dyDescent="0.25">
      <c r="Z38157"/>
    </row>
    <row r="38158" spans="26:26" x14ac:dyDescent="0.25">
      <c r="Z38158"/>
    </row>
    <row r="38159" spans="26:26" x14ac:dyDescent="0.25">
      <c r="Z38159"/>
    </row>
    <row r="38160" spans="26:26" x14ac:dyDescent="0.25">
      <c r="Z38160"/>
    </row>
    <row r="38161" spans="26:26" x14ac:dyDescent="0.25">
      <c r="Z38161"/>
    </row>
    <row r="38162" spans="26:26" x14ac:dyDescent="0.25">
      <c r="Z38162"/>
    </row>
    <row r="38163" spans="26:26" x14ac:dyDescent="0.25">
      <c r="Z38163"/>
    </row>
    <row r="38164" spans="26:26" x14ac:dyDescent="0.25">
      <c r="Z38164"/>
    </row>
    <row r="38165" spans="26:26" x14ac:dyDescent="0.25">
      <c r="Z38165"/>
    </row>
    <row r="38166" spans="26:26" x14ac:dyDescent="0.25">
      <c r="Z38166"/>
    </row>
    <row r="38167" spans="26:26" x14ac:dyDescent="0.25">
      <c r="Z38167"/>
    </row>
    <row r="38168" spans="26:26" x14ac:dyDescent="0.25">
      <c r="Z38168"/>
    </row>
    <row r="38169" spans="26:26" x14ac:dyDescent="0.25">
      <c r="Z38169"/>
    </row>
    <row r="38170" spans="26:26" x14ac:dyDescent="0.25">
      <c r="Z38170"/>
    </row>
    <row r="38171" spans="26:26" x14ac:dyDescent="0.25">
      <c r="Z38171"/>
    </row>
    <row r="38172" spans="26:26" x14ac:dyDescent="0.25">
      <c r="Z38172"/>
    </row>
    <row r="38173" spans="26:26" x14ac:dyDescent="0.25">
      <c r="Z38173"/>
    </row>
    <row r="38174" spans="26:26" x14ac:dyDescent="0.25">
      <c r="Z38174"/>
    </row>
    <row r="38175" spans="26:26" x14ac:dyDescent="0.25">
      <c r="Z38175"/>
    </row>
    <row r="38176" spans="26:26" x14ac:dyDescent="0.25">
      <c r="Z38176"/>
    </row>
    <row r="38177" spans="26:26" x14ac:dyDescent="0.25">
      <c r="Z38177"/>
    </row>
    <row r="38178" spans="26:26" x14ac:dyDescent="0.25">
      <c r="Z38178"/>
    </row>
    <row r="38179" spans="26:26" x14ac:dyDescent="0.25">
      <c r="Z38179"/>
    </row>
    <row r="38180" spans="26:26" x14ac:dyDescent="0.25">
      <c r="Z38180"/>
    </row>
    <row r="38181" spans="26:26" x14ac:dyDescent="0.25">
      <c r="Z38181"/>
    </row>
    <row r="38182" spans="26:26" x14ac:dyDescent="0.25">
      <c r="Z38182"/>
    </row>
    <row r="38183" spans="26:26" x14ac:dyDescent="0.25">
      <c r="Z38183"/>
    </row>
    <row r="38184" spans="26:26" x14ac:dyDescent="0.25">
      <c r="Z38184"/>
    </row>
    <row r="38185" spans="26:26" x14ac:dyDescent="0.25">
      <c r="Z38185"/>
    </row>
    <row r="38186" spans="26:26" x14ac:dyDescent="0.25">
      <c r="Z38186"/>
    </row>
    <row r="38187" spans="26:26" x14ac:dyDescent="0.25">
      <c r="Z38187"/>
    </row>
    <row r="38188" spans="26:26" x14ac:dyDescent="0.25">
      <c r="Z38188"/>
    </row>
    <row r="38189" spans="26:26" x14ac:dyDescent="0.25">
      <c r="Z38189"/>
    </row>
    <row r="38190" spans="26:26" x14ac:dyDescent="0.25">
      <c r="Z38190"/>
    </row>
    <row r="38191" spans="26:26" x14ac:dyDescent="0.25">
      <c r="Z38191"/>
    </row>
    <row r="38192" spans="26:26" x14ac:dyDescent="0.25">
      <c r="Z38192"/>
    </row>
    <row r="38193" spans="26:26" x14ac:dyDescent="0.25">
      <c r="Z38193"/>
    </row>
    <row r="38194" spans="26:26" x14ac:dyDescent="0.25">
      <c r="Z38194"/>
    </row>
    <row r="38195" spans="26:26" x14ac:dyDescent="0.25">
      <c r="Z38195"/>
    </row>
    <row r="38196" spans="26:26" x14ac:dyDescent="0.25">
      <c r="Z38196"/>
    </row>
    <row r="38197" spans="26:26" x14ac:dyDescent="0.25">
      <c r="Z38197"/>
    </row>
    <row r="38198" spans="26:26" x14ac:dyDescent="0.25">
      <c r="Z38198"/>
    </row>
    <row r="38199" spans="26:26" x14ac:dyDescent="0.25">
      <c r="Z38199"/>
    </row>
    <row r="38200" spans="26:26" x14ac:dyDescent="0.25">
      <c r="Z38200"/>
    </row>
    <row r="38201" spans="26:26" x14ac:dyDescent="0.25">
      <c r="Z38201"/>
    </row>
    <row r="38202" spans="26:26" x14ac:dyDescent="0.25">
      <c r="Z38202"/>
    </row>
    <row r="38203" spans="26:26" x14ac:dyDescent="0.25">
      <c r="Z38203"/>
    </row>
    <row r="38204" spans="26:26" x14ac:dyDescent="0.25">
      <c r="Z38204"/>
    </row>
    <row r="38205" spans="26:26" x14ac:dyDescent="0.25">
      <c r="Z38205"/>
    </row>
    <row r="38206" spans="26:26" x14ac:dyDescent="0.25">
      <c r="Z38206"/>
    </row>
    <row r="38207" spans="26:26" x14ac:dyDescent="0.25">
      <c r="Z38207"/>
    </row>
    <row r="38208" spans="26:26" x14ac:dyDescent="0.25">
      <c r="Z38208"/>
    </row>
    <row r="38209" spans="26:26" x14ac:dyDescent="0.25">
      <c r="Z38209"/>
    </row>
    <row r="38210" spans="26:26" x14ac:dyDescent="0.25">
      <c r="Z38210"/>
    </row>
    <row r="38211" spans="26:26" x14ac:dyDescent="0.25">
      <c r="Z38211"/>
    </row>
    <row r="38212" spans="26:26" x14ac:dyDescent="0.25">
      <c r="Z38212"/>
    </row>
    <row r="38213" spans="26:26" x14ac:dyDescent="0.25">
      <c r="Z38213"/>
    </row>
    <row r="38214" spans="26:26" x14ac:dyDescent="0.25">
      <c r="Z38214"/>
    </row>
    <row r="38215" spans="26:26" x14ac:dyDescent="0.25">
      <c r="Z38215"/>
    </row>
    <row r="38216" spans="26:26" x14ac:dyDescent="0.25">
      <c r="Z38216"/>
    </row>
    <row r="38217" spans="26:26" x14ac:dyDescent="0.25">
      <c r="Z38217"/>
    </row>
    <row r="38218" spans="26:26" x14ac:dyDescent="0.25">
      <c r="Z38218"/>
    </row>
    <row r="38219" spans="26:26" x14ac:dyDescent="0.25">
      <c r="Z38219"/>
    </row>
    <row r="38220" spans="26:26" x14ac:dyDescent="0.25">
      <c r="Z38220"/>
    </row>
    <row r="38221" spans="26:26" x14ac:dyDescent="0.25">
      <c r="Z38221"/>
    </row>
    <row r="38222" spans="26:26" x14ac:dyDescent="0.25">
      <c r="Z38222"/>
    </row>
    <row r="38223" spans="26:26" x14ac:dyDescent="0.25">
      <c r="Z38223"/>
    </row>
    <row r="38224" spans="26:26" x14ac:dyDescent="0.25">
      <c r="Z38224"/>
    </row>
    <row r="38225" spans="26:26" x14ac:dyDescent="0.25">
      <c r="Z38225"/>
    </row>
    <row r="38226" spans="26:26" x14ac:dyDescent="0.25">
      <c r="Z38226"/>
    </row>
    <row r="38227" spans="26:26" x14ac:dyDescent="0.25">
      <c r="Z38227"/>
    </row>
    <row r="38228" spans="26:26" x14ac:dyDescent="0.25">
      <c r="Z38228"/>
    </row>
    <row r="38229" spans="26:26" x14ac:dyDescent="0.25">
      <c r="Z38229"/>
    </row>
    <row r="38230" spans="26:26" x14ac:dyDescent="0.25">
      <c r="Z38230"/>
    </row>
    <row r="38231" spans="26:26" x14ac:dyDescent="0.25">
      <c r="Z38231"/>
    </row>
    <row r="38232" spans="26:26" x14ac:dyDescent="0.25">
      <c r="Z38232"/>
    </row>
    <row r="38233" spans="26:26" x14ac:dyDescent="0.25">
      <c r="Z38233"/>
    </row>
    <row r="38234" spans="26:26" x14ac:dyDescent="0.25">
      <c r="Z38234"/>
    </row>
    <row r="38235" spans="26:26" x14ac:dyDescent="0.25">
      <c r="Z38235"/>
    </row>
    <row r="38236" spans="26:26" x14ac:dyDescent="0.25">
      <c r="Z38236"/>
    </row>
    <row r="38237" spans="26:26" x14ac:dyDescent="0.25">
      <c r="Z38237"/>
    </row>
    <row r="38238" spans="26:26" x14ac:dyDescent="0.25">
      <c r="Z38238"/>
    </row>
    <row r="38239" spans="26:26" x14ac:dyDescent="0.25">
      <c r="Z38239"/>
    </row>
    <row r="38240" spans="26:26" x14ac:dyDescent="0.25">
      <c r="Z38240"/>
    </row>
    <row r="38241" spans="26:26" x14ac:dyDescent="0.25">
      <c r="Z38241"/>
    </row>
    <row r="38242" spans="26:26" x14ac:dyDescent="0.25">
      <c r="Z38242"/>
    </row>
    <row r="38243" spans="26:26" x14ac:dyDescent="0.25">
      <c r="Z38243"/>
    </row>
    <row r="38244" spans="26:26" x14ac:dyDescent="0.25">
      <c r="Z38244"/>
    </row>
    <row r="38245" spans="26:26" x14ac:dyDescent="0.25">
      <c r="Z38245"/>
    </row>
    <row r="38246" spans="26:26" x14ac:dyDescent="0.25">
      <c r="Z38246"/>
    </row>
    <row r="38247" spans="26:26" x14ac:dyDescent="0.25">
      <c r="Z38247"/>
    </row>
    <row r="38248" spans="26:26" x14ac:dyDescent="0.25">
      <c r="Z38248"/>
    </row>
    <row r="38249" spans="26:26" x14ac:dyDescent="0.25">
      <c r="Z38249"/>
    </row>
    <row r="38250" spans="26:26" x14ac:dyDescent="0.25">
      <c r="Z38250"/>
    </row>
    <row r="38251" spans="26:26" x14ac:dyDescent="0.25">
      <c r="Z38251"/>
    </row>
    <row r="38252" spans="26:26" x14ac:dyDescent="0.25">
      <c r="Z38252"/>
    </row>
    <row r="38253" spans="26:26" x14ac:dyDescent="0.25">
      <c r="Z38253"/>
    </row>
    <row r="38254" spans="26:26" x14ac:dyDescent="0.25">
      <c r="Z38254"/>
    </row>
    <row r="38255" spans="26:26" x14ac:dyDescent="0.25">
      <c r="Z38255"/>
    </row>
    <row r="38256" spans="26:26" x14ac:dyDescent="0.25">
      <c r="Z38256"/>
    </row>
    <row r="38257" spans="26:26" x14ac:dyDescent="0.25">
      <c r="Z38257"/>
    </row>
    <row r="38258" spans="26:26" x14ac:dyDescent="0.25">
      <c r="Z38258"/>
    </row>
    <row r="38259" spans="26:26" x14ac:dyDescent="0.25">
      <c r="Z38259"/>
    </row>
    <row r="38260" spans="26:26" x14ac:dyDescent="0.25">
      <c r="Z38260"/>
    </row>
    <row r="38261" spans="26:26" x14ac:dyDescent="0.25">
      <c r="Z38261"/>
    </row>
    <row r="38262" spans="26:26" x14ac:dyDescent="0.25">
      <c r="Z38262"/>
    </row>
    <row r="38263" spans="26:26" x14ac:dyDescent="0.25">
      <c r="Z38263"/>
    </row>
    <row r="38264" spans="26:26" x14ac:dyDescent="0.25">
      <c r="Z38264"/>
    </row>
    <row r="38265" spans="26:26" x14ac:dyDescent="0.25">
      <c r="Z38265"/>
    </row>
    <row r="38266" spans="26:26" x14ac:dyDescent="0.25">
      <c r="Z38266"/>
    </row>
    <row r="38267" spans="26:26" x14ac:dyDescent="0.25">
      <c r="Z38267"/>
    </row>
    <row r="38268" spans="26:26" x14ac:dyDescent="0.25">
      <c r="Z38268"/>
    </row>
    <row r="38269" spans="26:26" x14ac:dyDescent="0.25">
      <c r="Z38269"/>
    </row>
    <row r="38270" spans="26:26" x14ac:dyDescent="0.25">
      <c r="Z38270"/>
    </row>
    <row r="38271" spans="26:26" x14ac:dyDescent="0.25">
      <c r="Z38271"/>
    </row>
    <row r="38272" spans="26:26" x14ac:dyDescent="0.25">
      <c r="Z38272"/>
    </row>
    <row r="38273" spans="26:26" x14ac:dyDescent="0.25">
      <c r="Z38273"/>
    </row>
    <row r="38274" spans="26:26" x14ac:dyDescent="0.25">
      <c r="Z38274"/>
    </row>
    <row r="38275" spans="26:26" x14ac:dyDescent="0.25">
      <c r="Z38275"/>
    </row>
    <row r="38276" spans="26:26" x14ac:dyDescent="0.25">
      <c r="Z38276"/>
    </row>
    <row r="38277" spans="26:26" x14ac:dyDescent="0.25">
      <c r="Z38277"/>
    </row>
    <row r="38278" spans="26:26" x14ac:dyDescent="0.25">
      <c r="Z38278"/>
    </row>
    <row r="38279" spans="26:26" x14ac:dyDescent="0.25">
      <c r="Z38279"/>
    </row>
    <row r="38280" spans="26:26" x14ac:dyDescent="0.25">
      <c r="Z38280"/>
    </row>
    <row r="38281" spans="26:26" x14ac:dyDescent="0.25">
      <c r="Z38281"/>
    </row>
    <row r="38282" spans="26:26" x14ac:dyDescent="0.25">
      <c r="Z38282"/>
    </row>
    <row r="38283" spans="26:26" x14ac:dyDescent="0.25">
      <c r="Z38283"/>
    </row>
    <row r="38284" spans="26:26" x14ac:dyDescent="0.25">
      <c r="Z38284"/>
    </row>
    <row r="38285" spans="26:26" x14ac:dyDescent="0.25">
      <c r="Z38285"/>
    </row>
    <row r="38286" spans="26:26" x14ac:dyDescent="0.25">
      <c r="Z38286"/>
    </row>
    <row r="38287" spans="26:26" x14ac:dyDescent="0.25">
      <c r="Z38287"/>
    </row>
    <row r="38288" spans="26:26" x14ac:dyDescent="0.25">
      <c r="Z38288"/>
    </row>
    <row r="38289" spans="26:26" x14ac:dyDescent="0.25">
      <c r="Z38289"/>
    </row>
    <row r="38290" spans="26:26" x14ac:dyDescent="0.25">
      <c r="Z38290"/>
    </row>
    <row r="38291" spans="26:26" x14ac:dyDescent="0.25">
      <c r="Z38291"/>
    </row>
    <row r="38292" spans="26:26" x14ac:dyDescent="0.25">
      <c r="Z38292"/>
    </row>
    <row r="38293" spans="26:26" x14ac:dyDescent="0.25">
      <c r="Z38293"/>
    </row>
    <row r="38294" spans="26:26" x14ac:dyDescent="0.25">
      <c r="Z38294"/>
    </row>
    <row r="38295" spans="26:26" x14ac:dyDescent="0.25">
      <c r="Z38295"/>
    </row>
    <row r="38296" spans="26:26" x14ac:dyDescent="0.25">
      <c r="Z38296"/>
    </row>
    <row r="38297" spans="26:26" x14ac:dyDescent="0.25">
      <c r="Z38297"/>
    </row>
    <row r="38298" spans="26:26" x14ac:dyDescent="0.25">
      <c r="Z38298"/>
    </row>
    <row r="38299" spans="26:26" x14ac:dyDescent="0.25">
      <c r="Z38299"/>
    </row>
    <row r="38300" spans="26:26" x14ac:dyDescent="0.25">
      <c r="Z38300"/>
    </row>
    <row r="38301" spans="26:26" x14ac:dyDescent="0.25">
      <c r="Z38301"/>
    </row>
    <row r="38302" spans="26:26" x14ac:dyDescent="0.25">
      <c r="Z38302"/>
    </row>
    <row r="38303" spans="26:26" x14ac:dyDescent="0.25">
      <c r="Z38303"/>
    </row>
    <row r="38304" spans="26:26" x14ac:dyDescent="0.25">
      <c r="Z38304"/>
    </row>
    <row r="38305" spans="26:26" x14ac:dyDescent="0.25">
      <c r="Z38305"/>
    </row>
    <row r="38306" spans="26:26" x14ac:dyDescent="0.25">
      <c r="Z38306"/>
    </row>
    <row r="38307" spans="26:26" x14ac:dyDescent="0.25">
      <c r="Z38307"/>
    </row>
    <row r="38308" spans="26:26" x14ac:dyDescent="0.25">
      <c r="Z38308"/>
    </row>
    <row r="38309" spans="26:26" x14ac:dyDescent="0.25">
      <c r="Z38309"/>
    </row>
    <row r="38310" spans="26:26" x14ac:dyDescent="0.25">
      <c r="Z38310"/>
    </row>
    <row r="38311" spans="26:26" x14ac:dyDescent="0.25">
      <c r="Z38311"/>
    </row>
    <row r="38312" spans="26:26" x14ac:dyDescent="0.25">
      <c r="Z38312"/>
    </row>
    <row r="38313" spans="26:26" x14ac:dyDescent="0.25">
      <c r="Z38313"/>
    </row>
    <row r="38314" spans="26:26" x14ac:dyDescent="0.25">
      <c r="Z38314"/>
    </row>
    <row r="38315" spans="26:26" x14ac:dyDescent="0.25">
      <c r="Z38315"/>
    </row>
    <row r="38316" spans="26:26" x14ac:dyDescent="0.25">
      <c r="Z38316"/>
    </row>
    <row r="38317" spans="26:26" x14ac:dyDescent="0.25">
      <c r="Z38317"/>
    </row>
    <row r="38318" spans="26:26" x14ac:dyDescent="0.25">
      <c r="Z38318"/>
    </row>
    <row r="38319" spans="26:26" x14ac:dyDescent="0.25">
      <c r="Z38319"/>
    </row>
    <row r="38320" spans="26:26" x14ac:dyDescent="0.25">
      <c r="Z38320"/>
    </row>
    <row r="38321" spans="26:26" x14ac:dyDescent="0.25">
      <c r="Z38321"/>
    </row>
    <row r="38322" spans="26:26" x14ac:dyDescent="0.25">
      <c r="Z38322"/>
    </row>
    <row r="38323" spans="26:26" x14ac:dyDescent="0.25">
      <c r="Z38323"/>
    </row>
    <row r="38324" spans="26:26" x14ac:dyDescent="0.25">
      <c r="Z38324"/>
    </row>
    <row r="38325" spans="26:26" x14ac:dyDescent="0.25">
      <c r="Z38325"/>
    </row>
    <row r="38326" spans="26:26" x14ac:dyDescent="0.25">
      <c r="Z38326"/>
    </row>
    <row r="38327" spans="26:26" x14ac:dyDescent="0.25">
      <c r="Z38327"/>
    </row>
    <row r="38328" spans="26:26" x14ac:dyDescent="0.25">
      <c r="Z38328"/>
    </row>
    <row r="38329" spans="26:26" x14ac:dyDescent="0.25">
      <c r="Z38329"/>
    </row>
    <row r="38330" spans="26:26" x14ac:dyDescent="0.25">
      <c r="Z38330"/>
    </row>
    <row r="38331" spans="26:26" x14ac:dyDescent="0.25">
      <c r="Z38331"/>
    </row>
    <row r="38332" spans="26:26" x14ac:dyDescent="0.25">
      <c r="Z38332"/>
    </row>
    <row r="38333" spans="26:26" x14ac:dyDescent="0.25">
      <c r="Z38333"/>
    </row>
    <row r="38334" spans="26:26" x14ac:dyDescent="0.25">
      <c r="Z38334"/>
    </row>
    <row r="38335" spans="26:26" x14ac:dyDescent="0.25">
      <c r="Z38335"/>
    </row>
    <row r="38336" spans="26:26" x14ac:dyDescent="0.25">
      <c r="Z38336"/>
    </row>
    <row r="38337" spans="26:26" x14ac:dyDescent="0.25">
      <c r="Z38337"/>
    </row>
    <row r="38338" spans="26:26" x14ac:dyDescent="0.25">
      <c r="Z38338"/>
    </row>
    <row r="38339" spans="26:26" x14ac:dyDescent="0.25">
      <c r="Z38339"/>
    </row>
    <row r="38340" spans="26:26" x14ac:dyDescent="0.25">
      <c r="Z38340"/>
    </row>
    <row r="38341" spans="26:26" x14ac:dyDescent="0.25">
      <c r="Z38341"/>
    </row>
    <row r="38342" spans="26:26" x14ac:dyDescent="0.25">
      <c r="Z38342"/>
    </row>
    <row r="38343" spans="26:26" x14ac:dyDescent="0.25">
      <c r="Z38343"/>
    </row>
    <row r="38344" spans="26:26" x14ac:dyDescent="0.25">
      <c r="Z38344"/>
    </row>
    <row r="38345" spans="26:26" x14ac:dyDescent="0.25">
      <c r="Z38345"/>
    </row>
    <row r="38346" spans="26:26" x14ac:dyDescent="0.25">
      <c r="Z38346"/>
    </row>
    <row r="38347" spans="26:26" x14ac:dyDescent="0.25">
      <c r="Z38347"/>
    </row>
    <row r="38348" spans="26:26" x14ac:dyDescent="0.25">
      <c r="Z38348"/>
    </row>
    <row r="38349" spans="26:26" x14ac:dyDescent="0.25">
      <c r="Z38349"/>
    </row>
    <row r="38350" spans="26:26" x14ac:dyDescent="0.25">
      <c r="Z38350"/>
    </row>
    <row r="38351" spans="26:26" x14ac:dyDescent="0.25">
      <c r="Z38351"/>
    </row>
    <row r="38352" spans="26:26" x14ac:dyDescent="0.25">
      <c r="Z38352"/>
    </row>
    <row r="38353" spans="26:26" x14ac:dyDescent="0.25">
      <c r="Z38353"/>
    </row>
    <row r="38354" spans="26:26" x14ac:dyDescent="0.25">
      <c r="Z38354"/>
    </row>
    <row r="38355" spans="26:26" x14ac:dyDescent="0.25">
      <c r="Z38355"/>
    </row>
    <row r="38356" spans="26:26" x14ac:dyDescent="0.25">
      <c r="Z38356"/>
    </row>
    <row r="38357" spans="26:26" x14ac:dyDescent="0.25">
      <c r="Z38357"/>
    </row>
    <row r="38358" spans="26:26" x14ac:dyDescent="0.25">
      <c r="Z38358"/>
    </row>
    <row r="38359" spans="26:26" x14ac:dyDescent="0.25">
      <c r="Z38359"/>
    </row>
    <row r="38360" spans="26:26" x14ac:dyDescent="0.25">
      <c r="Z38360"/>
    </row>
    <row r="38361" spans="26:26" x14ac:dyDescent="0.25">
      <c r="Z38361"/>
    </row>
    <row r="38362" spans="26:26" x14ac:dyDescent="0.25">
      <c r="Z38362"/>
    </row>
    <row r="38363" spans="26:26" x14ac:dyDescent="0.25">
      <c r="Z38363"/>
    </row>
    <row r="38364" spans="26:26" x14ac:dyDescent="0.25">
      <c r="Z38364"/>
    </row>
    <row r="38365" spans="26:26" x14ac:dyDescent="0.25">
      <c r="Z38365"/>
    </row>
    <row r="38366" spans="26:26" x14ac:dyDescent="0.25">
      <c r="Z38366"/>
    </row>
    <row r="38367" spans="26:26" x14ac:dyDescent="0.25">
      <c r="Z38367"/>
    </row>
    <row r="38368" spans="26:26" x14ac:dyDescent="0.25">
      <c r="Z38368"/>
    </row>
    <row r="38369" spans="26:26" x14ac:dyDescent="0.25">
      <c r="Z38369"/>
    </row>
    <row r="38370" spans="26:26" x14ac:dyDescent="0.25">
      <c r="Z38370"/>
    </row>
    <row r="38371" spans="26:26" x14ac:dyDescent="0.25">
      <c r="Z38371"/>
    </row>
    <row r="38372" spans="26:26" x14ac:dyDescent="0.25">
      <c r="Z38372"/>
    </row>
    <row r="38373" spans="26:26" x14ac:dyDescent="0.25">
      <c r="Z38373"/>
    </row>
    <row r="38374" spans="26:26" x14ac:dyDescent="0.25">
      <c r="Z38374"/>
    </row>
    <row r="38375" spans="26:26" x14ac:dyDescent="0.25">
      <c r="Z38375"/>
    </row>
    <row r="38376" spans="26:26" x14ac:dyDescent="0.25">
      <c r="Z38376"/>
    </row>
    <row r="38377" spans="26:26" x14ac:dyDescent="0.25">
      <c r="Z38377"/>
    </row>
    <row r="38378" spans="26:26" x14ac:dyDescent="0.25">
      <c r="Z38378"/>
    </row>
    <row r="38379" spans="26:26" x14ac:dyDescent="0.25">
      <c r="Z38379"/>
    </row>
    <row r="38380" spans="26:26" x14ac:dyDescent="0.25">
      <c r="Z38380"/>
    </row>
    <row r="38381" spans="26:26" x14ac:dyDescent="0.25">
      <c r="Z38381"/>
    </row>
    <row r="38382" spans="26:26" x14ac:dyDescent="0.25">
      <c r="Z38382"/>
    </row>
    <row r="38383" spans="26:26" x14ac:dyDescent="0.25">
      <c r="Z38383"/>
    </row>
    <row r="38384" spans="26:26" x14ac:dyDescent="0.25">
      <c r="Z38384"/>
    </row>
    <row r="38385" spans="26:26" x14ac:dyDescent="0.25">
      <c r="Z38385"/>
    </row>
    <row r="38386" spans="26:26" x14ac:dyDescent="0.25">
      <c r="Z38386"/>
    </row>
    <row r="38387" spans="26:26" x14ac:dyDescent="0.25">
      <c r="Z38387"/>
    </row>
    <row r="38388" spans="26:26" x14ac:dyDescent="0.25">
      <c r="Z38388"/>
    </row>
    <row r="38389" spans="26:26" x14ac:dyDescent="0.25">
      <c r="Z38389"/>
    </row>
    <row r="38390" spans="26:26" x14ac:dyDescent="0.25">
      <c r="Z38390"/>
    </row>
    <row r="38391" spans="26:26" x14ac:dyDescent="0.25">
      <c r="Z38391"/>
    </row>
    <row r="38392" spans="26:26" x14ac:dyDescent="0.25">
      <c r="Z38392"/>
    </row>
    <row r="38393" spans="26:26" x14ac:dyDescent="0.25">
      <c r="Z38393"/>
    </row>
    <row r="38394" spans="26:26" x14ac:dyDescent="0.25">
      <c r="Z38394"/>
    </row>
    <row r="38395" spans="26:26" x14ac:dyDescent="0.25">
      <c r="Z38395"/>
    </row>
    <row r="38396" spans="26:26" x14ac:dyDescent="0.25">
      <c r="Z38396"/>
    </row>
    <row r="38397" spans="26:26" x14ac:dyDescent="0.25">
      <c r="Z38397"/>
    </row>
    <row r="38398" spans="26:26" x14ac:dyDescent="0.25">
      <c r="Z38398"/>
    </row>
    <row r="38399" spans="26:26" x14ac:dyDescent="0.25">
      <c r="Z38399"/>
    </row>
    <row r="38400" spans="26:26" x14ac:dyDescent="0.25">
      <c r="Z38400"/>
    </row>
    <row r="38401" spans="26:26" x14ac:dyDescent="0.25">
      <c r="Z38401"/>
    </row>
    <row r="38402" spans="26:26" x14ac:dyDescent="0.25">
      <c r="Z38402"/>
    </row>
    <row r="38403" spans="26:26" x14ac:dyDescent="0.25">
      <c r="Z38403"/>
    </row>
    <row r="38404" spans="26:26" x14ac:dyDescent="0.25">
      <c r="Z38404"/>
    </row>
    <row r="38405" spans="26:26" x14ac:dyDescent="0.25">
      <c r="Z38405"/>
    </row>
    <row r="38406" spans="26:26" x14ac:dyDescent="0.25">
      <c r="Z38406"/>
    </row>
    <row r="38407" spans="26:26" x14ac:dyDescent="0.25">
      <c r="Z38407"/>
    </row>
    <row r="38408" spans="26:26" x14ac:dyDescent="0.25">
      <c r="Z38408"/>
    </row>
    <row r="38409" spans="26:26" x14ac:dyDescent="0.25">
      <c r="Z38409"/>
    </row>
    <row r="38410" spans="26:26" x14ac:dyDescent="0.25">
      <c r="Z38410"/>
    </row>
    <row r="38411" spans="26:26" x14ac:dyDescent="0.25">
      <c r="Z38411"/>
    </row>
    <row r="38412" spans="26:26" x14ac:dyDescent="0.25">
      <c r="Z38412"/>
    </row>
    <row r="38413" spans="26:26" x14ac:dyDescent="0.25">
      <c r="Z38413"/>
    </row>
    <row r="38414" spans="26:26" x14ac:dyDescent="0.25">
      <c r="Z38414"/>
    </row>
    <row r="38415" spans="26:26" x14ac:dyDescent="0.25">
      <c r="Z38415"/>
    </row>
    <row r="38416" spans="26:26" x14ac:dyDescent="0.25">
      <c r="Z38416"/>
    </row>
    <row r="38417" spans="26:26" x14ac:dyDescent="0.25">
      <c r="Z38417"/>
    </row>
    <row r="38418" spans="26:26" x14ac:dyDescent="0.25">
      <c r="Z38418"/>
    </row>
    <row r="38419" spans="26:26" x14ac:dyDescent="0.25">
      <c r="Z38419"/>
    </row>
    <row r="38420" spans="26:26" x14ac:dyDescent="0.25">
      <c r="Z38420"/>
    </row>
    <row r="38421" spans="26:26" x14ac:dyDescent="0.25">
      <c r="Z38421"/>
    </row>
    <row r="38422" spans="26:26" x14ac:dyDescent="0.25">
      <c r="Z38422"/>
    </row>
    <row r="38423" spans="26:26" x14ac:dyDescent="0.25">
      <c r="Z38423"/>
    </row>
    <row r="38424" spans="26:26" x14ac:dyDescent="0.25">
      <c r="Z38424"/>
    </row>
    <row r="38425" spans="26:26" x14ac:dyDescent="0.25">
      <c r="Z38425"/>
    </row>
    <row r="38426" spans="26:26" x14ac:dyDescent="0.25">
      <c r="Z38426"/>
    </row>
    <row r="38427" spans="26:26" x14ac:dyDescent="0.25">
      <c r="Z38427"/>
    </row>
    <row r="38428" spans="26:26" x14ac:dyDescent="0.25">
      <c r="Z38428"/>
    </row>
    <row r="38429" spans="26:26" x14ac:dyDescent="0.25">
      <c r="Z38429"/>
    </row>
    <row r="38430" spans="26:26" x14ac:dyDescent="0.25">
      <c r="Z38430"/>
    </row>
    <row r="38431" spans="26:26" x14ac:dyDescent="0.25">
      <c r="Z38431"/>
    </row>
    <row r="38432" spans="26:26" x14ac:dyDescent="0.25">
      <c r="Z38432"/>
    </row>
    <row r="38433" spans="26:26" x14ac:dyDescent="0.25">
      <c r="Z38433"/>
    </row>
    <row r="38434" spans="26:26" x14ac:dyDescent="0.25">
      <c r="Z38434"/>
    </row>
    <row r="38435" spans="26:26" x14ac:dyDescent="0.25">
      <c r="Z38435"/>
    </row>
    <row r="38436" spans="26:26" x14ac:dyDescent="0.25">
      <c r="Z38436"/>
    </row>
    <row r="38437" spans="26:26" x14ac:dyDescent="0.25">
      <c r="Z38437"/>
    </row>
    <row r="38438" spans="26:26" x14ac:dyDescent="0.25">
      <c r="Z38438"/>
    </row>
    <row r="38439" spans="26:26" x14ac:dyDescent="0.25">
      <c r="Z38439"/>
    </row>
    <row r="38440" spans="26:26" x14ac:dyDescent="0.25">
      <c r="Z38440"/>
    </row>
    <row r="38441" spans="26:26" x14ac:dyDescent="0.25">
      <c r="Z38441"/>
    </row>
    <row r="38442" spans="26:26" x14ac:dyDescent="0.25">
      <c r="Z38442"/>
    </row>
    <row r="38443" spans="26:26" x14ac:dyDescent="0.25">
      <c r="Z38443"/>
    </row>
    <row r="38444" spans="26:26" x14ac:dyDescent="0.25">
      <c r="Z38444"/>
    </row>
    <row r="38445" spans="26:26" x14ac:dyDescent="0.25">
      <c r="Z38445"/>
    </row>
    <row r="38446" spans="26:26" x14ac:dyDescent="0.25">
      <c r="Z38446"/>
    </row>
    <row r="38447" spans="26:26" x14ac:dyDescent="0.25">
      <c r="Z38447"/>
    </row>
    <row r="38448" spans="26:26" x14ac:dyDescent="0.25">
      <c r="Z38448"/>
    </row>
    <row r="38449" spans="26:26" x14ac:dyDescent="0.25">
      <c r="Z38449"/>
    </row>
    <row r="38450" spans="26:26" x14ac:dyDescent="0.25">
      <c r="Z38450"/>
    </row>
    <row r="38451" spans="26:26" x14ac:dyDescent="0.25">
      <c r="Z38451"/>
    </row>
    <row r="38452" spans="26:26" x14ac:dyDescent="0.25">
      <c r="Z38452"/>
    </row>
    <row r="38453" spans="26:26" x14ac:dyDescent="0.25">
      <c r="Z38453"/>
    </row>
    <row r="38454" spans="26:26" x14ac:dyDescent="0.25">
      <c r="Z38454"/>
    </row>
    <row r="38455" spans="26:26" x14ac:dyDescent="0.25">
      <c r="Z38455"/>
    </row>
    <row r="38456" spans="26:26" x14ac:dyDescent="0.25">
      <c r="Z38456"/>
    </row>
    <row r="38457" spans="26:26" x14ac:dyDescent="0.25">
      <c r="Z38457"/>
    </row>
    <row r="38458" spans="26:26" x14ac:dyDescent="0.25">
      <c r="Z38458"/>
    </row>
    <row r="38459" spans="26:26" x14ac:dyDescent="0.25">
      <c r="Z38459"/>
    </row>
    <row r="38460" spans="26:26" x14ac:dyDescent="0.25">
      <c r="Z38460"/>
    </row>
    <row r="38461" spans="26:26" x14ac:dyDescent="0.25">
      <c r="Z38461"/>
    </row>
    <row r="38462" spans="26:26" x14ac:dyDescent="0.25">
      <c r="Z38462"/>
    </row>
    <row r="38463" spans="26:26" x14ac:dyDescent="0.25">
      <c r="Z38463"/>
    </row>
    <row r="38464" spans="26:26" x14ac:dyDescent="0.25">
      <c r="Z38464"/>
    </row>
    <row r="38465" spans="26:26" x14ac:dyDescent="0.25">
      <c r="Z38465"/>
    </row>
    <row r="38466" spans="26:26" x14ac:dyDescent="0.25">
      <c r="Z38466"/>
    </row>
    <row r="38467" spans="26:26" x14ac:dyDescent="0.25">
      <c r="Z38467"/>
    </row>
    <row r="38468" spans="26:26" x14ac:dyDescent="0.25">
      <c r="Z38468"/>
    </row>
    <row r="38469" spans="26:26" x14ac:dyDescent="0.25">
      <c r="Z38469"/>
    </row>
    <row r="38470" spans="26:26" x14ac:dyDescent="0.25">
      <c r="Z38470"/>
    </row>
    <row r="38471" spans="26:26" x14ac:dyDescent="0.25">
      <c r="Z38471"/>
    </row>
    <row r="38472" spans="26:26" x14ac:dyDescent="0.25">
      <c r="Z38472"/>
    </row>
    <row r="38473" spans="26:26" x14ac:dyDescent="0.25">
      <c r="Z38473"/>
    </row>
    <row r="38474" spans="26:26" x14ac:dyDescent="0.25">
      <c r="Z38474"/>
    </row>
    <row r="38475" spans="26:26" x14ac:dyDescent="0.25">
      <c r="Z38475"/>
    </row>
    <row r="38476" spans="26:26" x14ac:dyDescent="0.25">
      <c r="Z38476"/>
    </row>
    <row r="38477" spans="26:26" x14ac:dyDescent="0.25">
      <c r="Z38477"/>
    </row>
    <row r="38478" spans="26:26" x14ac:dyDescent="0.25">
      <c r="Z38478"/>
    </row>
    <row r="38479" spans="26:26" x14ac:dyDescent="0.25">
      <c r="Z38479"/>
    </row>
    <row r="38480" spans="26:26" x14ac:dyDescent="0.25">
      <c r="Z38480"/>
    </row>
    <row r="38481" spans="26:26" x14ac:dyDescent="0.25">
      <c r="Z38481"/>
    </row>
    <row r="38482" spans="26:26" x14ac:dyDescent="0.25">
      <c r="Z38482"/>
    </row>
    <row r="38483" spans="26:26" x14ac:dyDescent="0.25">
      <c r="Z38483"/>
    </row>
    <row r="38484" spans="26:26" x14ac:dyDescent="0.25">
      <c r="Z38484"/>
    </row>
    <row r="38485" spans="26:26" x14ac:dyDescent="0.25">
      <c r="Z38485"/>
    </row>
    <row r="38486" spans="26:26" x14ac:dyDescent="0.25">
      <c r="Z38486"/>
    </row>
    <row r="38487" spans="26:26" x14ac:dyDescent="0.25">
      <c r="Z38487"/>
    </row>
    <row r="38488" spans="26:26" x14ac:dyDescent="0.25">
      <c r="Z38488"/>
    </row>
    <row r="38489" spans="26:26" x14ac:dyDescent="0.25">
      <c r="Z38489"/>
    </row>
    <row r="38490" spans="26:26" x14ac:dyDescent="0.25">
      <c r="Z38490"/>
    </row>
    <row r="38491" spans="26:26" x14ac:dyDescent="0.25">
      <c r="Z38491"/>
    </row>
    <row r="38492" spans="26:26" x14ac:dyDescent="0.25">
      <c r="Z38492"/>
    </row>
    <row r="38493" spans="26:26" x14ac:dyDescent="0.25">
      <c r="Z38493"/>
    </row>
    <row r="38494" spans="26:26" x14ac:dyDescent="0.25">
      <c r="Z38494"/>
    </row>
    <row r="38495" spans="26:26" x14ac:dyDescent="0.25">
      <c r="Z38495"/>
    </row>
    <row r="38496" spans="26:26" x14ac:dyDescent="0.25">
      <c r="Z38496"/>
    </row>
    <row r="38497" spans="26:26" x14ac:dyDescent="0.25">
      <c r="Z38497"/>
    </row>
    <row r="38498" spans="26:26" x14ac:dyDescent="0.25">
      <c r="Z38498"/>
    </row>
    <row r="38499" spans="26:26" x14ac:dyDescent="0.25">
      <c r="Z38499"/>
    </row>
    <row r="38500" spans="26:26" x14ac:dyDescent="0.25">
      <c r="Z38500"/>
    </row>
    <row r="38501" spans="26:26" x14ac:dyDescent="0.25">
      <c r="Z38501"/>
    </row>
    <row r="38502" spans="26:26" x14ac:dyDescent="0.25">
      <c r="Z38502"/>
    </row>
    <row r="38503" spans="26:26" x14ac:dyDescent="0.25">
      <c r="Z38503"/>
    </row>
    <row r="38504" spans="26:26" x14ac:dyDescent="0.25">
      <c r="Z38504"/>
    </row>
    <row r="38505" spans="26:26" x14ac:dyDescent="0.25">
      <c r="Z38505"/>
    </row>
    <row r="38506" spans="26:26" x14ac:dyDescent="0.25">
      <c r="Z38506"/>
    </row>
    <row r="38507" spans="26:26" x14ac:dyDescent="0.25">
      <c r="Z38507"/>
    </row>
    <row r="38508" spans="26:26" x14ac:dyDescent="0.25">
      <c r="Z38508"/>
    </row>
    <row r="38509" spans="26:26" x14ac:dyDescent="0.25">
      <c r="Z38509"/>
    </row>
    <row r="38510" spans="26:26" x14ac:dyDescent="0.25">
      <c r="Z38510"/>
    </row>
    <row r="38511" spans="26:26" x14ac:dyDescent="0.25">
      <c r="Z38511"/>
    </row>
    <row r="38512" spans="26:26" x14ac:dyDescent="0.25">
      <c r="Z38512"/>
    </row>
    <row r="38513" spans="26:26" x14ac:dyDescent="0.25">
      <c r="Z38513"/>
    </row>
    <row r="38514" spans="26:26" x14ac:dyDescent="0.25">
      <c r="Z38514"/>
    </row>
    <row r="38515" spans="26:26" x14ac:dyDescent="0.25">
      <c r="Z38515"/>
    </row>
    <row r="38516" spans="26:26" x14ac:dyDescent="0.25">
      <c r="Z38516"/>
    </row>
    <row r="38517" spans="26:26" x14ac:dyDescent="0.25">
      <c r="Z38517"/>
    </row>
    <row r="38518" spans="26:26" x14ac:dyDescent="0.25">
      <c r="Z38518"/>
    </row>
    <row r="38519" spans="26:26" x14ac:dyDescent="0.25">
      <c r="Z38519"/>
    </row>
    <row r="38520" spans="26:26" x14ac:dyDescent="0.25">
      <c r="Z38520"/>
    </row>
    <row r="38521" spans="26:26" x14ac:dyDescent="0.25">
      <c r="Z38521"/>
    </row>
    <row r="38522" spans="26:26" x14ac:dyDescent="0.25">
      <c r="Z38522"/>
    </row>
    <row r="38523" spans="26:26" x14ac:dyDescent="0.25">
      <c r="Z38523"/>
    </row>
    <row r="38524" spans="26:26" x14ac:dyDescent="0.25">
      <c r="Z38524"/>
    </row>
    <row r="38525" spans="26:26" x14ac:dyDescent="0.25">
      <c r="Z38525"/>
    </row>
    <row r="38526" spans="26:26" x14ac:dyDescent="0.25">
      <c r="Z38526"/>
    </row>
    <row r="38527" spans="26:26" x14ac:dyDescent="0.25">
      <c r="Z38527"/>
    </row>
    <row r="38528" spans="26:26" x14ac:dyDescent="0.25">
      <c r="Z38528"/>
    </row>
    <row r="38529" spans="26:26" x14ac:dyDescent="0.25">
      <c r="Z38529"/>
    </row>
    <row r="38530" spans="26:26" x14ac:dyDescent="0.25">
      <c r="Z38530"/>
    </row>
    <row r="38531" spans="26:26" x14ac:dyDescent="0.25">
      <c r="Z38531"/>
    </row>
    <row r="38532" spans="26:26" x14ac:dyDescent="0.25">
      <c r="Z38532"/>
    </row>
    <row r="38533" spans="26:26" x14ac:dyDescent="0.25">
      <c r="Z38533"/>
    </row>
    <row r="38534" spans="26:26" x14ac:dyDescent="0.25">
      <c r="Z38534"/>
    </row>
    <row r="38535" spans="26:26" x14ac:dyDescent="0.25">
      <c r="Z38535"/>
    </row>
    <row r="38536" spans="26:26" x14ac:dyDescent="0.25">
      <c r="Z38536"/>
    </row>
    <row r="38537" spans="26:26" x14ac:dyDescent="0.25">
      <c r="Z38537"/>
    </row>
    <row r="38538" spans="26:26" x14ac:dyDescent="0.25">
      <c r="Z38538"/>
    </row>
    <row r="38539" spans="26:26" x14ac:dyDescent="0.25">
      <c r="Z38539"/>
    </row>
    <row r="38540" spans="26:26" x14ac:dyDescent="0.25">
      <c r="Z38540"/>
    </row>
    <row r="38541" spans="26:26" x14ac:dyDescent="0.25">
      <c r="Z38541"/>
    </row>
    <row r="38542" spans="26:26" x14ac:dyDescent="0.25">
      <c r="Z38542"/>
    </row>
    <row r="38543" spans="26:26" x14ac:dyDescent="0.25">
      <c r="Z38543"/>
    </row>
    <row r="38544" spans="26:26" x14ac:dyDescent="0.25">
      <c r="Z38544"/>
    </row>
    <row r="38545" spans="26:26" x14ac:dyDescent="0.25">
      <c r="Z38545"/>
    </row>
    <row r="38546" spans="26:26" x14ac:dyDescent="0.25">
      <c r="Z38546"/>
    </row>
    <row r="38547" spans="26:26" x14ac:dyDescent="0.25">
      <c r="Z38547"/>
    </row>
    <row r="38548" spans="26:26" x14ac:dyDescent="0.25">
      <c r="Z38548"/>
    </row>
    <row r="38549" spans="26:26" x14ac:dyDescent="0.25">
      <c r="Z38549"/>
    </row>
    <row r="38550" spans="26:26" x14ac:dyDescent="0.25">
      <c r="Z38550"/>
    </row>
    <row r="38551" spans="26:26" x14ac:dyDescent="0.25">
      <c r="Z38551"/>
    </row>
    <row r="38552" spans="26:26" x14ac:dyDescent="0.25">
      <c r="Z38552"/>
    </row>
    <row r="38553" spans="26:26" x14ac:dyDescent="0.25">
      <c r="Z38553"/>
    </row>
    <row r="38554" spans="26:26" x14ac:dyDescent="0.25">
      <c r="Z38554"/>
    </row>
    <row r="38555" spans="26:26" x14ac:dyDescent="0.25">
      <c r="Z38555"/>
    </row>
    <row r="38556" spans="26:26" x14ac:dyDescent="0.25">
      <c r="Z38556"/>
    </row>
    <row r="38557" spans="26:26" x14ac:dyDescent="0.25">
      <c r="Z38557"/>
    </row>
    <row r="38558" spans="26:26" x14ac:dyDescent="0.25">
      <c r="Z38558"/>
    </row>
    <row r="38559" spans="26:26" x14ac:dyDescent="0.25">
      <c r="Z38559"/>
    </row>
    <row r="38560" spans="26:26" x14ac:dyDescent="0.25">
      <c r="Z38560"/>
    </row>
    <row r="38561" spans="26:26" x14ac:dyDescent="0.25">
      <c r="Z38561"/>
    </row>
    <row r="38562" spans="26:26" x14ac:dyDescent="0.25">
      <c r="Z38562"/>
    </row>
    <row r="38563" spans="26:26" x14ac:dyDescent="0.25">
      <c r="Z38563"/>
    </row>
    <row r="38564" spans="26:26" x14ac:dyDescent="0.25">
      <c r="Z38564"/>
    </row>
    <row r="38565" spans="26:26" x14ac:dyDescent="0.25">
      <c r="Z38565"/>
    </row>
    <row r="38566" spans="26:26" x14ac:dyDescent="0.25">
      <c r="Z38566"/>
    </row>
    <row r="38567" spans="26:26" x14ac:dyDescent="0.25">
      <c r="Z38567"/>
    </row>
    <row r="38568" spans="26:26" x14ac:dyDescent="0.25">
      <c r="Z38568"/>
    </row>
    <row r="38569" spans="26:26" x14ac:dyDescent="0.25">
      <c r="Z38569"/>
    </row>
    <row r="38570" spans="26:26" x14ac:dyDescent="0.25">
      <c r="Z38570"/>
    </row>
    <row r="38571" spans="26:26" x14ac:dyDescent="0.25">
      <c r="Z38571"/>
    </row>
    <row r="38572" spans="26:26" x14ac:dyDescent="0.25">
      <c r="Z38572"/>
    </row>
    <row r="38573" spans="26:26" x14ac:dyDescent="0.25">
      <c r="Z38573"/>
    </row>
    <row r="38574" spans="26:26" x14ac:dyDescent="0.25">
      <c r="Z38574"/>
    </row>
    <row r="38575" spans="26:26" x14ac:dyDescent="0.25">
      <c r="Z38575"/>
    </row>
    <row r="38576" spans="26:26" x14ac:dyDescent="0.25">
      <c r="Z38576"/>
    </row>
    <row r="38577" spans="26:26" x14ac:dyDescent="0.25">
      <c r="Z38577"/>
    </row>
    <row r="38578" spans="26:26" x14ac:dyDescent="0.25">
      <c r="Z38578"/>
    </row>
    <row r="38579" spans="26:26" x14ac:dyDescent="0.25">
      <c r="Z38579"/>
    </row>
    <row r="38580" spans="26:26" x14ac:dyDescent="0.25">
      <c r="Z38580"/>
    </row>
    <row r="38581" spans="26:26" x14ac:dyDescent="0.25">
      <c r="Z38581"/>
    </row>
    <row r="38582" spans="26:26" x14ac:dyDescent="0.25">
      <c r="Z38582"/>
    </row>
    <row r="38583" spans="26:26" x14ac:dyDescent="0.25">
      <c r="Z38583"/>
    </row>
    <row r="38584" spans="26:26" x14ac:dyDescent="0.25">
      <c r="Z38584"/>
    </row>
    <row r="38585" spans="26:26" x14ac:dyDescent="0.25">
      <c r="Z38585"/>
    </row>
    <row r="38586" spans="26:26" x14ac:dyDescent="0.25">
      <c r="Z38586"/>
    </row>
    <row r="38587" spans="26:26" x14ac:dyDescent="0.25">
      <c r="Z38587"/>
    </row>
    <row r="38588" spans="26:26" x14ac:dyDescent="0.25">
      <c r="Z38588"/>
    </row>
    <row r="38589" spans="26:26" x14ac:dyDescent="0.25">
      <c r="Z38589"/>
    </row>
    <row r="38590" spans="26:26" x14ac:dyDescent="0.25">
      <c r="Z38590"/>
    </row>
    <row r="38591" spans="26:26" x14ac:dyDescent="0.25">
      <c r="Z38591"/>
    </row>
    <row r="38592" spans="26:26" x14ac:dyDescent="0.25">
      <c r="Z38592"/>
    </row>
    <row r="38593" spans="26:26" x14ac:dyDescent="0.25">
      <c r="Z38593"/>
    </row>
    <row r="38594" spans="26:26" x14ac:dyDescent="0.25">
      <c r="Z38594"/>
    </row>
    <row r="38595" spans="26:26" x14ac:dyDescent="0.25">
      <c r="Z38595"/>
    </row>
    <row r="38596" spans="26:26" x14ac:dyDescent="0.25">
      <c r="Z38596"/>
    </row>
    <row r="38597" spans="26:26" x14ac:dyDescent="0.25">
      <c r="Z38597"/>
    </row>
    <row r="38598" spans="26:26" x14ac:dyDescent="0.25">
      <c r="Z38598"/>
    </row>
    <row r="38599" spans="26:26" x14ac:dyDescent="0.25">
      <c r="Z38599"/>
    </row>
    <row r="38600" spans="26:26" x14ac:dyDescent="0.25">
      <c r="Z38600"/>
    </row>
    <row r="38601" spans="26:26" x14ac:dyDescent="0.25">
      <c r="Z38601"/>
    </row>
    <row r="38602" spans="26:26" x14ac:dyDescent="0.25">
      <c r="Z38602"/>
    </row>
    <row r="38603" spans="26:26" x14ac:dyDescent="0.25">
      <c r="Z38603"/>
    </row>
    <row r="38604" spans="26:26" x14ac:dyDescent="0.25">
      <c r="Z38604"/>
    </row>
    <row r="38605" spans="26:26" x14ac:dyDescent="0.25">
      <c r="Z38605"/>
    </row>
    <row r="38606" spans="26:26" x14ac:dyDescent="0.25">
      <c r="Z38606"/>
    </row>
    <row r="38607" spans="26:26" x14ac:dyDescent="0.25">
      <c r="Z38607"/>
    </row>
    <row r="38608" spans="26:26" x14ac:dyDescent="0.25">
      <c r="Z38608"/>
    </row>
    <row r="38609" spans="26:26" x14ac:dyDescent="0.25">
      <c r="Z38609"/>
    </row>
    <row r="38610" spans="26:26" x14ac:dyDescent="0.25">
      <c r="Z38610"/>
    </row>
    <row r="38611" spans="26:26" x14ac:dyDescent="0.25">
      <c r="Z38611"/>
    </row>
    <row r="38612" spans="26:26" x14ac:dyDescent="0.25">
      <c r="Z38612"/>
    </row>
    <row r="38613" spans="26:26" x14ac:dyDescent="0.25">
      <c r="Z38613"/>
    </row>
    <row r="38614" spans="26:26" x14ac:dyDescent="0.25">
      <c r="Z38614"/>
    </row>
    <row r="38615" spans="26:26" x14ac:dyDescent="0.25">
      <c r="Z38615"/>
    </row>
    <row r="38616" spans="26:26" x14ac:dyDescent="0.25">
      <c r="Z38616"/>
    </row>
    <row r="38617" spans="26:26" x14ac:dyDescent="0.25">
      <c r="Z38617"/>
    </row>
    <row r="38618" spans="26:26" x14ac:dyDescent="0.25">
      <c r="Z38618"/>
    </row>
    <row r="38619" spans="26:26" x14ac:dyDescent="0.25">
      <c r="Z38619"/>
    </row>
    <row r="38620" spans="26:26" x14ac:dyDescent="0.25">
      <c r="Z38620"/>
    </row>
    <row r="38621" spans="26:26" x14ac:dyDescent="0.25">
      <c r="Z38621"/>
    </row>
    <row r="38622" spans="26:26" x14ac:dyDescent="0.25">
      <c r="Z38622"/>
    </row>
    <row r="38623" spans="26:26" x14ac:dyDescent="0.25">
      <c r="Z38623"/>
    </row>
    <row r="38624" spans="26:26" x14ac:dyDescent="0.25">
      <c r="Z38624"/>
    </row>
    <row r="38625" spans="26:26" x14ac:dyDescent="0.25">
      <c r="Z38625"/>
    </row>
    <row r="38626" spans="26:26" x14ac:dyDescent="0.25">
      <c r="Z38626"/>
    </row>
    <row r="38627" spans="26:26" x14ac:dyDescent="0.25">
      <c r="Z38627"/>
    </row>
    <row r="38628" spans="26:26" x14ac:dyDescent="0.25">
      <c r="Z38628"/>
    </row>
    <row r="38629" spans="26:26" x14ac:dyDescent="0.25">
      <c r="Z38629"/>
    </row>
    <row r="38630" spans="26:26" x14ac:dyDescent="0.25">
      <c r="Z38630"/>
    </row>
    <row r="38631" spans="26:26" x14ac:dyDescent="0.25">
      <c r="Z38631"/>
    </row>
    <row r="38632" spans="26:26" x14ac:dyDescent="0.25">
      <c r="Z38632"/>
    </row>
    <row r="38633" spans="26:26" x14ac:dyDescent="0.25">
      <c r="Z38633"/>
    </row>
    <row r="38634" spans="26:26" x14ac:dyDescent="0.25">
      <c r="Z38634"/>
    </row>
    <row r="38635" spans="26:26" x14ac:dyDescent="0.25">
      <c r="Z38635"/>
    </row>
    <row r="38636" spans="26:26" x14ac:dyDescent="0.25">
      <c r="Z38636"/>
    </row>
    <row r="38637" spans="26:26" x14ac:dyDescent="0.25">
      <c r="Z38637"/>
    </row>
    <row r="38638" spans="26:26" x14ac:dyDescent="0.25">
      <c r="Z38638"/>
    </row>
    <row r="38639" spans="26:26" x14ac:dyDescent="0.25">
      <c r="Z38639"/>
    </row>
    <row r="38640" spans="26:26" x14ac:dyDescent="0.25">
      <c r="Z38640"/>
    </row>
    <row r="38641" spans="26:26" x14ac:dyDescent="0.25">
      <c r="Z38641"/>
    </row>
    <row r="38642" spans="26:26" x14ac:dyDescent="0.25">
      <c r="Z38642"/>
    </row>
    <row r="38643" spans="26:26" x14ac:dyDescent="0.25">
      <c r="Z38643"/>
    </row>
    <row r="38644" spans="26:26" x14ac:dyDescent="0.25">
      <c r="Z38644"/>
    </row>
    <row r="38645" spans="26:26" x14ac:dyDescent="0.25">
      <c r="Z38645"/>
    </row>
    <row r="38646" spans="26:26" x14ac:dyDescent="0.25">
      <c r="Z38646"/>
    </row>
    <row r="38647" spans="26:26" x14ac:dyDescent="0.25">
      <c r="Z38647"/>
    </row>
    <row r="38648" spans="26:26" x14ac:dyDescent="0.25">
      <c r="Z38648"/>
    </row>
    <row r="38649" spans="26:26" x14ac:dyDescent="0.25">
      <c r="Z38649"/>
    </row>
    <row r="38650" spans="26:26" x14ac:dyDescent="0.25">
      <c r="Z38650"/>
    </row>
    <row r="38651" spans="26:26" x14ac:dyDescent="0.25">
      <c r="Z38651"/>
    </row>
    <row r="38652" spans="26:26" x14ac:dyDescent="0.25">
      <c r="Z38652"/>
    </row>
    <row r="38653" spans="26:26" x14ac:dyDescent="0.25">
      <c r="Z38653"/>
    </row>
    <row r="38654" spans="26:26" x14ac:dyDescent="0.25">
      <c r="Z38654"/>
    </row>
    <row r="38655" spans="26:26" x14ac:dyDescent="0.25">
      <c r="Z38655"/>
    </row>
    <row r="38656" spans="26:26" x14ac:dyDescent="0.25">
      <c r="Z38656"/>
    </row>
    <row r="38657" spans="26:26" x14ac:dyDescent="0.25">
      <c r="Z38657"/>
    </row>
    <row r="38658" spans="26:26" x14ac:dyDescent="0.25">
      <c r="Z38658"/>
    </row>
    <row r="38659" spans="26:26" x14ac:dyDescent="0.25">
      <c r="Z38659"/>
    </row>
    <row r="38660" spans="26:26" x14ac:dyDescent="0.25">
      <c r="Z38660"/>
    </row>
    <row r="38661" spans="26:26" x14ac:dyDescent="0.25">
      <c r="Z38661"/>
    </row>
    <row r="38662" spans="26:26" x14ac:dyDescent="0.25">
      <c r="Z38662"/>
    </row>
    <row r="38663" spans="26:26" x14ac:dyDescent="0.25">
      <c r="Z38663"/>
    </row>
    <row r="38664" spans="26:26" x14ac:dyDescent="0.25">
      <c r="Z38664"/>
    </row>
    <row r="38665" spans="26:26" x14ac:dyDescent="0.25">
      <c r="Z38665"/>
    </row>
    <row r="38666" spans="26:26" x14ac:dyDescent="0.25">
      <c r="Z38666"/>
    </row>
    <row r="38667" spans="26:26" x14ac:dyDescent="0.25">
      <c r="Z38667"/>
    </row>
    <row r="38668" spans="26:26" x14ac:dyDescent="0.25">
      <c r="Z38668"/>
    </row>
    <row r="38669" spans="26:26" x14ac:dyDescent="0.25">
      <c r="Z38669"/>
    </row>
    <row r="38670" spans="26:26" x14ac:dyDescent="0.25">
      <c r="Z38670"/>
    </row>
    <row r="38671" spans="26:26" x14ac:dyDescent="0.25">
      <c r="Z38671"/>
    </row>
    <row r="38672" spans="26:26" x14ac:dyDescent="0.25">
      <c r="Z38672"/>
    </row>
    <row r="38673" spans="26:26" x14ac:dyDescent="0.25">
      <c r="Z38673"/>
    </row>
    <row r="38674" spans="26:26" x14ac:dyDescent="0.25">
      <c r="Z38674"/>
    </row>
    <row r="38675" spans="26:26" x14ac:dyDescent="0.25">
      <c r="Z38675"/>
    </row>
    <row r="38676" spans="26:26" x14ac:dyDescent="0.25">
      <c r="Z38676"/>
    </row>
    <row r="38677" spans="26:26" x14ac:dyDescent="0.25">
      <c r="Z38677"/>
    </row>
    <row r="38678" spans="26:26" x14ac:dyDescent="0.25">
      <c r="Z38678"/>
    </row>
    <row r="38679" spans="26:26" x14ac:dyDescent="0.25">
      <c r="Z38679"/>
    </row>
    <row r="38680" spans="26:26" x14ac:dyDescent="0.25">
      <c r="Z38680"/>
    </row>
    <row r="38681" spans="26:26" x14ac:dyDescent="0.25">
      <c r="Z38681"/>
    </row>
    <row r="38682" spans="26:26" x14ac:dyDescent="0.25">
      <c r="Z38682"/>
    </row>
    <row r="38683" spans="26:26" x14ac:dyDescent="0.25">
      <c r="Z38683"/>
    </row>
    <row r="38684" spans="26:26" x14ac:dyDescent="0.25">
      <c r="Z38684"/>
    </row>
    <row r="38685" spans="26:26" x14ac:dyDescent="0.25">
      <c r="Z38685"/>
    </row>
    <row r="38686" spans="26:26" x14ac:dyDescent="0.25">
      <c r="Z38686"/>
    </row>
    <row r="38687" spans="26:26" x14ac:dyDescent="0.25">
      <c r="Z38687"/>
    </row>
    <row r="38688" spans="26:26" x14ac:dyDescent="0.25">
      <c r="Z38688"/>
    </row>
    <row r="38689" spans="26:26" x14ac:dyDescent="0.25">
      <c r="Z38689"/>
    </row>
    <row r="38690" spans="26:26" x14ac:dyDescent="0.25">
      <c r="Z38690"/>
    </row>
    <row r="38691" spans="26:26" x14ac:dyDescent="0.25">
      <c r="Z38691"/>
    </row>
    <row r="38692" spans="26:26" x14ac:dyDescent="0.25">
      <c r="Z38692"/>
    </row>
    <row r="38693" spans="26:26" x14ac:dyDescent="0.25">
      <c r="Z38693"/>
    </row>
    <row r="38694" spans="26:26" x14ac:dyDescent="0.25">
      <c r="Z38694"/>
    </row>
    <row r="38695" spans="26:26" x14ac:dyDescent="0.25">
      <c r="Z38695"/>
    </row>
    <row r="38696" spans="26:26" x14ac:dyDescent="0.25">
      <c r="Z38696"/>
    </row>
    <row r="38697" spans="26:26" x14ac:dyDescent="0.25">
      <c r="Z38697"/>
    </row>
    <row r="38698" spans="26:26" x14ac:dyDescent="0.25">
      <c r="Z38698"/>
    </row>
    <row r="38699" spans="26:26" x14ac:dyDescent="0.25">
      <c r="Z38699"/>
    </row>
    <row r="38700" spans="26:26" x14ac:dyDescent="0.25">
      <c r="Z38700"/>
    </row>
    <row r="38701" spans="26:26" x14ac:dyDescent="0.25">
      <c r="Z38701"/>
    </row>
    <row r="38702" spans="26:26" x14ac:dyDescent="0.25">
      <c r="Z38702"/>
    </row>
    <row r="38703" spans="26:26" x14ac:dyDescent="0.25">
      <c r="Z38703"/>
    </row>
    <row r="38704" spans="26:26" x14ac:dyDescent="0.25">
      <c r="Z38704"/>
    </row>
    <row r="38705" spans="26:26" x14ac:dyDescent="0.25">
      <c r="Z38705"/>
    </row>
    <row r="38706" spans="26:26" x14ac:dyDescent="0.25">
      <c r="Z38706"/>
    </row>
    <row r="38707" spans="26:26" x14ac:dyDescent="0.25">
      <c r="Z38707"/>
    </row>
    <row r="38708" spans="26:26" x14ac:dyDescent="0.25">
      <c r="Z38708"/>
    </row>
    <row r="38709" spans="26:26" x14ac:dyDescent="0.25">
      <c r="Z38709"/>
    </row>
    <row r="38710" spans="26:26" x14ac:dyDescent="0.25">
      <c r="Z38710"/>
    </row>
    <row r="38711" spans="26:26" x14ac:dyDescent="0.25">
      <c r="Z38711"/>
    </row>
    <row r="38712" spans="26:26" x14ac:dyDescent="0.25">
      <c r="Z38712"/>
    </row>
    <row r="38713" spans="26:26" x14ac:dyDescent="0.25">
      <c r="Z38713"/>
    </row>
    <row r="38714" spans="26:26" x14ac:dyDescent="0.25">
      <c r="Z38714"/>
    </row>
    <row r="38715" spans="26:26" x14ac:dyDescent="0.25">
      <c r="Z38715"/>
    </row>
    <row r="38716" spans="26:26" x14ac:dyDescent="0.25">
      <c r="Z38716"/>
    </row>
    <row r="38717" spans="26:26" x14ac:dyDescent="0.25">
      <c r="Z38717"/>
    </row>
    <row r="38718" spans="26:26" x14ac:dyDescent="0.25">
      <c r="Z38718"/>
    </row>
    <row r="38719" spans="26:26" x14ac:dyDescent="0.25">
      <c r="Z38719"/>
    </row>
    <row r="38720" spans="26:26" x14ac:dyDescent="0.25">
      <c r="Z38720"/>
    </row>
    <row r="38721" spans="26:26" x14ac:dyDescent="0.25">
      <c r="Z38721"/>
    </row>
    <row r="38722" spans="26:26" x14ac:dyDescent="0.25">
      <c r="Z38722"/>
    </row>
    <row r="38723" spans="26:26" x14ac:dyDescent="0.25">
      <c r="Z38723"/>
    </row>
    <row r="38724" spans="26:26" x14ac:dyDescent="0.25">
      <c r="Z38724"/>
    </row>
    <row r="38725" spans="26:26" x14ac:dyDescent="0.25">
      <c r="Z38725"/>
    </row>
    <row r="38726" spans="26:26" x14ac:dyDescent="0.25">
      <c r="Z38726"/>
    </row>
    <row r="38727" spans="26:26" x14ac:dyDescent="0.25">
      <c r="Z38727"/>
    </row>
    <row r="38728" spans="26:26" x14ac:dyDescent="0.25">
      <c r="Z38728"/>
    </row>
    <row r="38729" spans="26:26" x14ac:dyDescent="0.25">
      <c r="Z38729"/>
    </row>
    <row r="38730" spans="26:26" x14ac:dyDescent="0.25">
      <c r="Z38730"/>
    </row>
    <row r="38731" spans="26:26" x14ac:dyDescent="0.25">
      <c r="Z38731"/>
    </row>
    <row r="38732" spans="26:26" x14ac:dyDescent="0.25">
      <c r="Z38732"/>
    </row>
    <row r="38733" spans="26:26" x14ac:dyDescent="0.25">
      <c r="Z38733"/>
    </row>
    <row r="38734" spans="26:26" x14ac:dyDescent="0.25">
      <c r="Z38734"/>
    </row>
    <row r="38735" spans="26:26" x14ac:dyDescent="0.25">
      <c r="Z38735"/>
    </row>
    <row r="38736" spans="26:26" x14ac:dyDescent="0.25">
      <c r="Z38736"/>
    </row>
    <row r="38737" spans="26:26" x14ac:dyDescent="0.25">
      <c r="Z38737"/>
    </row>
    <row r="38738" spans="26:26" x14ac:dyDescent="0.25">
      <c r="Z38738"/>
    </row>
    <row r="38739" spans="26:26" x14ac:dyDescent="0.25">
      <c r="Z38739"/>
    </row>
    <row r="38740" spans="26:26" x14ac:dyDescent="0.25">
      <c r="Z38740"/>
    </row>
    <row r="38741" spans="26:26" x14ac:dyDescent="0.25">
      <c r="Z38741"/>
    </row>
    <row r="38742" spans="26:26" x14ac:dyDescent="0.25">
      <c r="Z38742"/>
    </row>
    <row r="38743" spans="26:26" x14ac:dyDescent="0.25">
      <c r="Z38743"/>
    </row>
    <row r="38744" spans="26:26" x14ac:dyDescent="0.25">
      <c r="Z38744"/>
    </row>
    <row r="38745" spans="26:26" x14ac:dyDescent="0.25">
      <c r="Z38745"/>
    </row>
    <row r="38746" spans="26:26" x14ac:dyDescent="0.25">
      <c r="Z38746"/>
    </row>
    <row r="38747" spans="26:26" x14ac:dyDescent="0.25">
      <c r="Z38747"/>
    </row>
    <row r="38748" spans="26:26" x14ac:dyDescent="0.25">
      <c r="Z38748"/>
    </row>
    <row r="38749" spans="26:26" x14ac:dyDescent="0.25">
      <c r="Z38749"/>
    </row>
    <row r="38750" spans="26:26" x14ac:dyDescent="0.25">
      <c r="Z38750"/>
    </row>
    <row r="38751" spans="26:26" x14ac:dyDescent="0.25">
      <c r="Z38751"/>
    </row>
    <row r="38752" spans="26:26" x14ac:dyDescent="0.25">
      <c r="Z38752"/>
    </row>
    <row r="38753" spans="26:26" x14ac:dyDescent="0.25">
      <c r="Z38753"/>
    </row>
    <row r="38754" spans="26:26" x14ac:dyDescent="0.25">
      <c r="Z38754"/>
    </row>
    <row r="38755" spans="26:26" x14ac:dyDescent="0.25">
      <c r="Z38755"/>
    </row>
    <row r="38756" spans="26:26" x14ac:dyDescent="0.25">
      <c r="Z38756"/>
    </row>
    <row r="38757" spans="26:26" x14ac:dyDescent="0.25">
      <c r="Z38757"/>
    </row>
    <row r="38758" spans="26:26" x14ac:dyDescent="0.25">
      <c r="Z38758"/>
    </row>
    <row r="38759" spans="26:26" x14ac:dyDescent="0.25">
      <c r="Z38759"/>
    </row>
    <row r="38760" spans="26:26" x14ac:dyDescent="0.25">
      <c r="Z38760"/>
    </row>
    <row r="38761" spans="26:26" x14ac:dyDescent="0.25">
      <c r="Z38761"/>
    </row>
    <row r="38762" spans="26:26" x14ac:dyDescent="0.25">
      <c r="Z38762"/>
    </row>
    <row r="38763" spans="26:26" x14ac:dyDescent="0.25">
      <c r="Z38763"/>
    </row>
    <row r="38764" spans="26:26" x14ac:dyDescent="0.25">
      <c r="Z38764"/>
    </row>
    <row r="38765" spans="26:26" x14ac:dyDescent="0.25">
      <c r="Z38765"/>
    </row>
    <row r="38766" spans="26:26" x14ac:dyDescent="0.25">
      <c r="Z38766"/>
    </row>
    <row r="38767" spans="26:26" x14ac:dyDescent="0.25">
      <c r="Z38767"/>
    </row>
    <row r="38768" spans="26:26" x14ac:dyDescent="0.25">
      <c r="Z38768"/>
    </row>
    <row r="38769" spans="26:26" x14ac:dyDescent="0.25">
      <c r="Z38769"/>
    </row>
    <row r="38770" spans="26:26" x14ac:dyDescent="0.25">
      <c r="Z38770"/>
    </row>
    <row r="38771" spans="26:26" x14ac:dyDescent="0.25">
      <c r="Z38771"/>
    </row>
    <row r="38772" spans="26:26" x14ac:dyDescent="0.25">
      <c r="Z38772"/>
    </row>
    <row r="38773" spans="26:26" x14ac:dyDescent="0.25">
      <c r="Z38773"/>
    </row>
    <row r="38774" spans="26:26" x14ac:dyDescent="0.25">
      <c r="Z38774"/>
    </row>
    <row r="38775" spans="26:26" x14ac:dyDescent="0.25">
      <c r="Z38775"/>
    </row>
    <row r="38776" spans="26:26" x14ac:dyDescent="0.25">
      <c r="Z38776"/>
    </row>
    <row r="38777" spans="26:26" x14ac:dyDescent="0.25">
      <c r="Z38777"/>
    </row>
    <row r="38778" spans="26:26" x14ac:dyDescent="0.25">
      <c r="Z38778"/>
    </row>
    <row r="38779" spans="26:26" x14ac:dyDescent="0.25">
      <c r="Z38779"/>
    </row>
    <row r="38780" spans="26:26" x14ac:dyDescent="0.25">
      <c r="Z38780"/>
    </row>
    <row r="38781" spans="26:26" x14ac:dyDescent="0.25">
      <c r="Z38781"/>
    </row>
    <row r="38782" spans="26:26" x14ac:dyDescent="0.25">
      <c r="Z38782"/>
    </row>
    <row r="38783" spans="26:26" x14ac:dyDescent="0.25">
      <c r="Z38783"/>
    </row>
    <row r="38784" spans="26:26" x14ac:dyDescent="0.25">
      <c r="Z38784"/>
    </row>
    <row r="38785" spans="26:26" x14ac:dyDescent="0.25">
      <c r="Z38785"/>
    </row>
    <row r="38786" spans="26:26" x14ac:dyDescent="0.25">
      <c r="Z38786"/>
    </row>
    <row r="38787" spans="26:26" x14ac:dyDescent="0.25">
      <c r="Z38787"/>
    </row>
    <row r="38788" spans="26:26" x14ac:dyDescent="0.25">
      <c r="Z38788"/>
    </row>
    <row r="38789" spans="26:26" x14ac:dyDescent="0.25">
      <c r="Z38789"/>
    </row>
    <row r="38790" spans="26:26" x14ac:dyDescent="0.25">
      <c r="Z38790"/>
    </row>
    <row r="38791" spans="26:26" x14ac:dyDescent="0.25">
      <c r="Z38791"/>
    </row>
    <row r="38792" spans="26:26" x14ac:dyDescent="0.25">
      <c r="Z38792"/>
    </row>
    <row r="38793" spans="26:26" x14ac:dyDescent="0.25">
      <c r="Z38793"/>
    </row>
    <row r="38794" spans="26:26" x14ac:dyDescent="0.25">
      <c r="Z38794"/>
    </row>
    <row r="38795" spans="26:26" x14ac:dyDescent="0.25">
      <c r="Z38795"/>
    </row>
    <row r="38796" spans="26:26" x14ac:dyDescent="0.25">
      <c r="Z38796"/>
    </row>
    <row r="38797" spans="26:26" x14ac:dyDescent="0.25">
      <c r="Z38797"/>
    </row>
    <row r="38798" spans="26:26" x14ac:dyDescent="0.25">
      <c r="Z38798"/>
    </row>
    <row r="38799" spans="26:26" x14ac:dyDescent="0.25">
      <c r="Z38799"/>
    </row>
    <row r="38800" spans="26:26" x14ac:dyDescent="0.25">
      <c r="Z38800"/>
    </row>
    <row r="38801" spans="26:26" x14ac:dyDescent="0.25">
      <c r="Z38801"/>
    </row>
    <row r="38802" spans="26:26" x14ac:dyDescent="0.25">
      <c r="Z38802"/>
    </row>
    <row r="38803" spans="26:26" x14ac:dyDescent="0.25">
      <c r="Z38803"/>
    </row>
    <row r="38804" spans="26:26" x14ac:dyDescent="0.25">
      <c r="Z38804"/>
    </row>
    <row r="38805" spans="26:26" x14ac:dyDescent="0.25">
      <c r="Z38805"/>
    </row>
    <row r="38806" spans="26:26" x14ac:dyDescent="0.25">
      <c r="Z38806"/>
    </row>
    <row r="38807" spans="26:26" x14ac:dyDescent="0.25">
      <c r="Z38807"/>
    </row>
    <row r="38808" spans="26:26" x14ac:dyDescent="0.25">
      <c r="Z38808"/>
    </row>
    <row r="38809" spans="26:26" x14ac:dyDescent="0.25">
      <c r="Z38809"/>
    </row>
    <row r="38810" spans="26:26" x14ac:dyDescent="0.25">
      <c r="Z38810"/>
    </row>
    <row r="38811" spans="26:26" x14ac:dyDescent="0.25">
      <c r="Z38811"/>
    </row>
    <row r="38812" spans="26:26" x14ac:dyDescent="0.25">
      <c r="Z38812"/>
    </row>
    <row r="38813" spans="26:26" x14ac:dyDescent="0.25">
      <c r="Z38813"/>
    </row>
    <row r="38814" spans="26:26" x14ac:dyDescent="0.25">
      <c r="Z38814"/>
    </row>
    <row r="38815" spans="26:26" x14ac:dyDescent="0.25">
      <c r="Z38815"/>
    </row>
    <row r="38816" spans="26:26" x14ac:dyDescent="0.25">
      <c r="Z38816"/>
    </row>
    <row r="38817" spans="26:26" x14ac:dyDescent="0.25">
      <c r="Z38817"/>
    </row>
    <row r="38818" spans="26:26" x14ac:dyDescent="0.25">
      <c r="Z38818"/>
    </row>
    <row r="38819" spans="26:26" x14ac:dyDescent="0.25">
      <c r="Z38819"/>
    </row>
    <row r="38820" spans="26:26" x14ac:dyDescent="0.25">
      <c r="Z38820"/>
    </row>
    <row r="38821" spans="26:26" x14ac:dyDescent="0.25">
      <c r="Z38821"/>
    </row>
    <row r="38822" spans="26:26" x14ac:dyDescent="0.25">
      <c r="Z38822"/>
    </row>
    <row r="38823" spans="26:26" x14ac:dyDescent="0.25">
      <c r="Z38823"/>
    </row>
    <row r="38824" spans="26:26" x14ac:dyDescent="0.25">
      <c r="Z38824"/>
    </row>
    <row r="38825" spans="26:26" x14ac:dyDescent="0.25">
      <c r="Z38825"/>
    </row>
    <row r="38826" spans="26:26" x14ac:dyDescent="0.25">
      <c r="Z38826"/>
    </row>
    <row r="38827" spans="26:26" x14ac:dyDescent="0.25">
      <c r="Z38827"/>
    </row>
    <row r="38828" spans="26:26" x14ac:dyDescent="0.25">
      <c r="Z38828"/>
    </row>
    <row r="38829" spans="26:26" x14ac:dyDescent="0.25">
      <c r="Z38829"/>
    </row>
    <row r="38830" spans="26:26" x14ac:dyDescent="0.25">
      <c r="Z38830"/>
    </row>
    <row r="38831" spans="26:26" x14ac:dyDescent="0.25">
      <c r="Z38831"/>
    </row>
    <row r="38832" spans="26:26" x14ac:dyDescent="0.25">
      <c r="Z38832"/>
    </row>
    <row r="38833" spans="26:26" x14ac:dyDescent="0.25">
      <c r="Z38833"/>
    </row>
    <row r="38834" spans="26:26" x14ac:dyDescent="0.25">
      <c r="Z38834"/>
    </row>
    <row r="38835" spans="26:26" x14ac:dyDescent="0.25">
      <c r="Z38835"/>
    </row>
    <row r="38836" spans="26:26" x14ac:dyDescent="0.25">
      <c r="Z38836"/>
    </row>
    <row r="38837" spans="26:26" x14ac:dyDescent="0.25">
      <c r="Z38837"/>
    </row>
    <row r="38838" spans="26:26" x14ac:dyDescent="0.25">
      <c r="Z38838"/>
    </row>
    <row r="38839" spans="26:26" x14ac:dyDescent="0.25">
      <c r="Z38839"/>
    </row>
    <row r="38840" spans="26:26" x14ac:dyDescent="0.25">
      <c r="Z38840"/>
    </row>
    <row r="38841" spans="26:26" x14ac:dyDescent="0.25">
      <c r="Z38841"/>
    </row>
    <row r="38842" spans="26:26" x14ac:dyDescent="0.25">
      <c r="Z38842"/>
    </row>
    <row r="38843" spans="26:26" x14ac:dyDescent="0.25">
      <c r="Z38843"/>
    </row>
    <row r="38844" spans="26:26" x14ac:dyDescent="0.25">
      <c r="Z38844"/>
    </row>
    <row r="38845" spans="26:26" x14ac:dyDescent="0.25">
      <c r="Z38845"/>
    </row>
    <row r="38846" spans="26:26" x14ac:dyDescent="0.25">
      <c r="Z38846"/>
    </row>
    <row r="38847" spans="26:26" x14ac:dyDescent="0.25">
      <c r="Z38847"/>
    </row>
    <row r="38848" spans="26:26" x14ac:dyDescent="0.25">
      <c r="Z38848"/>
    </row>
    <row r="38849" spans="26:26" x14ac:dyDescent="0.25">
      <c r="Z38849"/>
    </row>
    <row r="38850" spans="26:26" x14ac:dyDescent="0.25">
      <c r="Z38850"/>
    </row>
    <row r="38851" spans="26:26" x14ac:dyDescent="0.25">
      <c r="Z38851"/>
    </row>
    <row r="38852" spans="26:26" x14ac:dyDescent="0.25">
      <c r="Z38852"/>
    </row>
    <row r="38853" spans="26:26" x14ac:dyDescent="0.25">
      <c r="Z38853"/>
    </row>
    <row r="38854" spans="26:26" x14ac:dyDescent="0.25">
      <c r="Z38854"/>
    </row>
    <row r="38855" spans="26:26" x14ac:dyDescent="0.25">
      <c r="Z38855"/>
    </row>
    <row r="38856" spans="26:26" x14ac:dyDescent="0.25">
      <c r="Z38856"/>
    </row>
    <row r="38857" spans="26:26" x14ac:dyDescent="0.25">
      <c r="Z38857"/>
    </row>
    <row r="38858" spans="26:26" x14ac:dyDescent="0.25">
      <c r="Z38858"/>
    </row>
    <row r="38859" spans="26:26" x14ac:dyDescent="0.25">
      <c r="Z38859"/>
    </row>
    <row r="38860" spans="26:26" x14ac:dyDescent="0.25">
      <c r="Z38860"/>
    </row>
    <row r="38861" spans="26:26" x14ac:dyDescent="0.25">
      <c r="Z38861"/>
    </row>
    <row r="38862" spans="26:26" x14ac:dyDescent="0.25">
      <c r="Z38862"/>
    </row>
    <row r="38863" spans="26:26" x14ac:dyDescent="0.25">
      <c r="Z38863"/>
    </row>
    <row r="38864" spans="26:26" x14ac:dyDescent="0.25">
      <c r="Z38864"/>
    </row>
    <row r="38865" spans="26:26" x14ac:dyDescent="0.25">
      <c r="Z38865"/>
    </row>
    <row r="38866" spans="26:26" x14ac:dyDescent="0.25">
      <c r="Z38866"/>
    </row>
    <row r="38867" spans="26:26" x14ac:dyDescent="0.25">
      <c r="Z38867"/>
    </row>
    <row r="38868" spans="26:26" x14ac:dyDescent="0.25">
      <c r="Z38868"/>
    </row>
    <row r="38869" spans="26:26" x14ac:dyDescent="0.25">
      <c r="Z38869"/>
    </row>
    <row r="38870" spans="26:26" x14ac:dyDescent="0.25">
      <c r="Z38870"/>
    </row>
    <row r="38871" spans="26:26" x14ac:dyDescent="0.25">
      <c r="Z38871"/>
    </row>
    <row r="38872" spans="26:26" x14ac:dyDescent="0.25">
      <c r="Z38872"/>
    </row>
    <row r="38873" spans="26:26" x14ac:dyDescent="0.25">
      <c r="Z38873"/>
    </row>
    <row r="38874" spans="26:26" x14ac:dyDescent="0.25">
      <c r="Z38874"/>
    </row>
    <row r="38875" spans="26:26" x14ac:dyDescent="0.25">
      <c r="Z38875"/>
    </row>
    <row r="38876" spans="26:26" x14ac:dyDescent="0.25">
      <c r="Z38876"/>
    </row>
    <row r="38877" spans="26:26" x14ac:dyDescent="0.25">
      <c r="Z38877"/>
    </row>
    <row r="38878" spans="26:26" x14ac:dyDescent="0.25">
      <c r="Z38878"/>
    </row>
    <row r="38879" spans="26:26" x14ac:dyDescent="0.25">
      <c r="Z38879"/>
    </row>
    <row r="38880" spans="26:26" x14ac:dyDescent="0.25">
      <c r="Z38880"/>
    </row>
    <row r="38881" spans="26:26" x14ac:dyDescent="0.25">
      <c r="Z38881"/>
    </row>
    <row r="38882" spans="26:26" x14ac:dyDescent="0.25">
      <c r="Z38882"/>
    </row>
    <row r="38883" spans="26:26" x14ac:dyDescent="0.25">
      <c r="Z38883"/>
    </row>
    <row r="38884" spans="26:26" x14ac:dyDescent="0.25">
      <c r="Z38884"/>
    </row>
    <row r="38885" spans="26:26" x14ac:dyDescent="0.25">
      <c r="Z38885"/>
    </row>
    <row r="38886" spans="26:26" x14ac:dyDescent="0.25">
      <c r="Z38886"/>
    </row>
    <row r="38887" spans="26:26" x14ac:dyDescent="0.25">
      <c r="Z38887"/>
    </row>
    <row r="38888" spans="26:26" x14ac:dyDescent="0.25">
      <c r="Z38888"/>
    </row>
    <row r="38889" spans="26:26" x14ac:dyDescent="0.25">
      <c r="Z38889"/>
    </row>
    <row r="38890" spans="26:26" x14ac:dyDescent="0.25">
      <c r="Z38890"/>
    </row>
    <row r="38891" spans="26:26" x14ac:dyDescent="0.25">
      <c r="Z38891"/>
    </row>
    <row r="38892" spans="26:26" x14ac:dyDescent="0.25">
      <c r="Z38892"/>
    </row>
    <row r="38893" spans="26:26" x14ac:dyDescent="0.25">
      <c r="Z38893"/>
    </row>
    <row r="38894" spans="26:26" x14ac:dyDescent="0.25">
      <c r="Z38894"/>
    </row>
    <row r="38895" spans="26:26" x14ac:dyDescent="0.25">
      <c r="Z38895"/>
    </row>
    <row r="38896" spans="26:26" x14ac:dyDescent="0.25">
      <c r="Z38896"/>
    </row>
    <row r="38897" spans="26:26" x14ac:dyDescent="0.25">
      <c r="Z38897"/>
    </row>
    <row r="38898" spans="26:26" x14ac:dyDescent="0.25">
      <c r="Z38898"/>
    </row>
    <row r="38899" spans="26:26" x14ac:dyDescent="0.25">
      <c r="Z38899"/>
    </row>
    <row r="38900" spans="26:26" x14ac:dyDescent="0.25">
      <c r="Z38900"/>
    </row>
    <row r="38901" spans="26:26" x14ac:dyDescent="0.25">
      <c r="Z38901"/>
    </row>
    <row r="38902" spans="26:26" x14ac:dyDescent="0.25">
      <c r="Z38902"/>
    </row>
    <row r="38903" spans="26:26" x14ac:dyDescent="0.25">
      <c r="Z38903"/>
    </row>
    <row r="38904" spans="26:26" x14ac:dyDescent="0.25">
      <c r="Z38904"/>
    </row>
    <row r="38905" spans="26:26" x14ac:dyDescent="0.25">
      <c r="Z38905"/>
    </row>
    <row r="38906" spans="26:26" x14ac:dyDescent="0.25">
      <c r="Z38906"/>
    </row>
    <row r="38907" spans="26:26" x14ac:dyDescent="0.25">
      <c r="Z38907"/>
    </row>
    <row r="38908" spans="26:26" x14ac:dyDescent="0.25">
      <c r="Z38908"/>
    </row>
    <row r="38909" spans="26:26" x14ac:dyDescent="0.25">
      <c r="Z38909"/>
    </row>
    <row r="38910" spans="26:26" x14ac:dyDescent="0.25">
      <c r="Z38910"/>
    </row>
    <row r="38911" spans="26:26" x14ac:dyDescent="0.25">
      <c r="Z38911"/>
    </row>
    <row r="38912" spans="26:26" x14ac:dyDescent="0.25">
      <c r="Z38912"/>
    </row>
    <row r="38913" spans="26:26" x14ac:dyDescent="0.25">
      <c r="Z38913"/>
    </row>
    <row r="38914" spans="26:26" x14ac:dyDescent="0.25">
      <c r="Z38914"/>
    </row>
    <row r="38915" spans="26:26" x14ac:dyDescent="0.25">
      <c r="Z38915"/>
    </row>
    <row r="38916" spans="26:26" x14ac:dyDescent="0.25">
      <c r="Z38916"/>
    </row>
    <row r="38917" spans="26:26" x14ac:dyDescent="0.25">
      <c r="Z38917"/>
    </row>
    <row r="38918" spans="26:26" x14ac:dyDescent="0.25">
      <c r="Z38918"/>
    </row>
    <row r="38919" spans="26:26" x14ac:dyDescent="0.25">
      <c r="Z38919"/>
    </row>
    <row r="38920" spans="26:26" x14ac:dyDescent="0.25">
      <c r="Z38920"/>
    </row>
    <row r="38921" spans="26:26" x14ac:dyDescent="0.25">
      <c r="Z38921"/>
    </row>
    <row r="38922" spans="26:26" x14ac:dyDescent="0.25">
      <c r="Z38922"/>
    </row>
    <row r="38923" spans="26:26" x14ac:dyDescent="0.25">
      <c r="Z38923"/>
    </row>
    <row r="38924" spans="26:26" x14ac:dyDescent="0.25">
      <c r="Z38924"/>
    </row>
    <row r="38925" spans="26:26" x14ac:dyDescent="0.25">
      <c r="Z38925"/>
    </row>
    <row r="38926" spans="26:26" x14ac:dyDescent="0.25">
      <c r="Z38926"/>
    </row>
    <row r="38927" spans="26:26" x14ac:dyDescent="0.25">
      <c r="Z38927"/>
    </row>
    <row r="38928" spans="26:26" x14ac:dyDescent="0.25">
      <c r="Z38928"/>
    </row>
    <row r="38929" spans="26:26" x14ac:dyDescent="0.25">
      <c r="Z38929"/>
    </row>
    <row r="38930" spans="26:26" x14ac:dyDescent="0.25">
      <c r="Z38930"/>
    </row>
    <row r="38931" spans="26:26" x14ac:dyDescent="0.25">
      <c r="Z38931"/>
    </row>
    <row r="38932" spans="26:26" x14ac:dyDescent="0.25">
      <c r="Z38932"/>
    </row>
    <row r="38933" spans="26:26" x14ac:dyDescent="0.25">
      <c r="Z38933"/>
    </row>
    <row r="38934" spans="26:26" x14ac:dyDescent="0.25">
      <c r="Z38934"/>
    </row>
    <row r="38935" spans="26:26" x14ac:dyDescent="0.25">
      <c r="Z38935"/>
    </row>
    <row r="38936" spans="26:26" x14ac:dyDescent="0.25">
      <c r="Z38936"/>
    </row>
    <row r="38937" spans="26:26" x14ac:dyDescent="0.25">
      <c r="Z38937"/>
    </row>
    <row r="38938" spans="26:26" x14ac:dyDescent="0.25">
      <c r="Z38938"/>
    </row>
    <row r="38939" spans="26:26" x14ac:dyDescent="0.25">
      <c r="Z38939"/>
    </row>
    <row r="38940" spans="26:26" x14ac:dyDescent="0.25">
      <c r="Z38940"/>
    </row>
    <row r="38941" spans="26:26" x14ac:dyDescent="0.25">
      <c r="Z38941"/>
    </row>
    <row r="38942" spans="26:26" x14ac:dyDescent="0.25">
      <c r="Z38942"/>
    </row>
    <row r="38943" spans="26:26" x14ac:dyDescent="0.25">
      <c r="Z38943"/>
    </row>
    <row r="38944" spans="26:26" x14ac:dyDescent="0.25">
      <c r="Z38944"/>
    </row>
    <row r="38945" spans="26:26" x14ac:dyDescent="0.25">
      <c r="Z38945"/>
    </row>
    <row r="38946" spans="26:26" x14ac:dyDescent="0.25">
      <c r="Z38946"/>
    </row>
    <row r="38947" spans="26:26" x14ac:dyDescent="0.25">
      <c r="Z38947"/>
    </row>
    <row r="38948" spans="26:26" x14ac:dyDescent="0.25">
      <c r="Z38948"/>
    </row>
    <row r="38949" spans="26:26" x14ac:dyDescent="0.25">
      <c r="Z38949"/>
    </row>
    <row r="38950" spans="26:26" x14ac:dyDescent="0.25">
      <c r="Z38950"/>
    </row>
    <row r="38951" spans="26:26" x14ac:dyDescent="0.25">
      <c r="Z38951"/>
    </row>
    <row r="38952" spans="26:26" x14ac:dyDescent="0.25">
      <c r="Z38952"/>
    </row>
    <row r="38953" spans="26:26" x14ac:dyDescent="0.25">
      <c r="Z38953"/>
    </row>
    <row r="38954" spans="26:26" x14ac:dyDescent="0.25">
      <c r="Z38954"/>
    </row>
    <row r="38955" spans="26:26" x14ac:dyDescent="0.25">
      <c r="Z38955"/>
    </row>
    <row r="38956" spans="26:26" x14ac:dyDescent="0.25">
      <c r="Z38956"/>
    </row>
    <row r="38957" spans="26:26" x14ac:dyDescent="0.25">
      <c r="Z38957"/>
    </row>
    <row r="38958" spans="26:26" x14ac:dyDescent="0.25">
      <c r="Z38958"/>
    </row>
    <row r="38959" spans="26:26" x14ac:dyDescent="0.25">
      <c r="Z38959"/>
    </row>
    <row r="38960" spans="26:26" x14ac:dyDescent="0.25">
      <c r="Z38960"/>
    </row>
    <row r="38961" spans="26:26" x14ac:dyDescent="0.25">
      <c r="Z38961"/>
    </row>
    <row r="38962" spans="26:26" x14ac:dyDescent="0.25">
      <c r="Z38962"/>
    </row>
    <row r="38963" spans="26:26" x14ac:dyDescent="0.25">
      <c r="Z38963"/>
    </row>
    <row r="38964" spans="26:26" x14ac:dyDescent="0.25">
      <c r="Z38964"/>
    </row>
    <row r="38965" spans="26:26" x14ac:dyDescent="0.25">
      <c r="Z38965"/>
    </row>
    <row r="38966" spans="26:26" x14ac:dyDescent="0.25">
      <c r="Z38966"/>
    </row>
    <row r="38967" spans="26:26" x14ac:dyDescent="0.25">
      <c r="Z38967"/>
    </row>
    <row r="38968" spans="26:26" x14ac:dyDescent="0.25">
      <c r="Z38968"/>
    </row>
    <row r="38969" spans="26:26" x14ac:dyDescent="0.25">
      <c r="Z38969"/>
    </row>
    <row r="38970" spans="26:26" x14ac:dyDescent="0.25">
      <c r="Z38970"/>
    </row>
    <row r="38971" spans="26:26" x14ac:dyDescent="0.25">
      <c r="Z38971"/>
    </row>
    <row r="38972" spans="26:26" x14ac:dyDescent="0.25">
      <c r="Z38972"/>
    </row>
    <row r="38973" spans="26:26" x14ac:dyDescent="0.25">
      <c r="Z38973"/>
    </row>
    <row r="38974" spans="26:26" x14ac:dyDescent="0.25">
      <c r="Z38974"/>
    </row>
    <row r="38975" spans="26:26" x14ac:dyDescent="0.25">
      <c r="Z38975"/>
    </row>
    <row r="38976" spans="26:26" x14ac:dyDescent="0.25">
      <c r="Z38976"/>
    </row>
    <row r="38977" spans="26:26" x14ac:dyDescent="0.25">
      <c r="Z38977"/>
    </row>
    <row r="38978" spans="26:26" x14ac:dyDescent="0.25">
      <c r="Z38978"/>
    </row>
    <row r="38979" spans="26:26" x14ac:dyDescent="0.25">
      <c r="Z38979"/>
    </row>
    <row r="38980" spans="26:26" x14ac:dyDescent="0.25">
      <c r="Z38980"/>
    </row>
    <row r="38981" spans="26:26" x14ac:dyDescent="0.25">
      <c r="Z38981"/>
    </row>
    <row r="38982" spans="26:26" x14ac:dyDescent="0.25">
      <c r="Z38982"/>
    </row>
    <row r="38983" spans="26:26" x14ac:dyDescent="0.25">
      <c r="Z38983"/>
    </row>
    <row r="38984" spans="26:26" x14ac:dyDescent="0.25">
      <c r="Z38984"/>
    </row>
    <row r="38985" spans="26:26" x14ac:dyDescent="0.25">
      <c r="Z38985"/>
    </row>
    <row r="38986" spans="26:26" x14ac:dyDescent="0.25">
      <c r="Z38986"/>
    </row>
    <row r="38987" spans="26:26" x14ac:dyDescent="0.25">
      <c r="Z38987"/>
    </row>
    <row r="38988" spans="26:26" x14ac:dyDescent="0.25">
      <c r="Z38988"/>
    </row>
    <row r="38989" spans="26:26" x14ac:dyDescent="0.25">
      <c r="Z38989"/>
    </row>
    <row r="38990" spans="26:26" x14ac:dyDescent="0.25">
      <c r="Z38990"/>
    </row>
    <row r="38991" spans="26:26" x14ac:dyDescent="0.25">
      <c r="Z38991"/>
    </row>
    <row r="38992" spans="26:26" x14ac:dyDescent="0.25">
      <c r="Z38992"/>
    </row>
    <row r="38993" spans="26:26" x14ac:dyDescent="0.25">
      <c r="Z38993"/>
    </row>
    <row r="38994" spans="26:26" x14ac:dyDescent="0.25">
      <c r="Z38994"/>
    </row>
    <row r="38995" spans="26:26" x14ac:dyDescent="0.25">
      <c r="Z38995"/>
    </row>
    <row r="38996" spans="26:26" x14ac:dyDescent="0.25">
      <c r="Z38996"/>
    </row>
    <row r="38997" spans="26:26" x14ac:dyDescent="0.25">
      <c r="Z38997"/>
    </row>
    <row r="38998" spans="26:26" x14ac:dyDescent="0.25">
      <c r="Z38998"/>
    </row>
    <row r="38999" spans="26:26" x14ac:dyDescent="0.25">
      <c r="Z38999"/>
    </row>
    <row r="39000" spans="26:26" x14ac:dyDescent="0.25">
      <c r="Z39000"/>
    </row>
    <row r="39001" spans="26:26" x14ac:dyDescent="0.25">
      <c r="Z39001"/>
    </row>
    <row r="39002" spans="26:26" x14ac:dyDescent="0.25">
      <c r="Z39002"/>
    </row>
    <row r="39003" spans="26:26" x14ac:dyDescent="0.25">
      <c r="Z39003"/>
    </row>
    <row r="39004" spans="26:26" x14ac:dyDescent="0.25">
      <c r="Z39004"/>
    </row>
    <row r="39005" spans="26:26" x14ac:dyDescent="0.25">
      <c r="Z39005"/>
    </row>
    <row r="39006" spans="26:26" x14ac:dyDescent="0.25">
      <c r="Z39006"/>
    </row>
    <row r="39007" spans="26:26" x14ac:dyDescent="0.25">
      <c r="Z39007"/>
    </row>
    <row r="39008" spans="26:26" x14ac:dyDescent="0.25">
      <c r="Z39008"/>
    </row>
    <row r="39009" spans="26:26" x14ac:dyDescent="0.25">
      <c r="Z39009"/>
    </row>
    <row r="39010" spans="26:26" x14ac:dyDescent="0.25">
      <c r="Z39010"/>
    </row>
    <row r="39011" spans="26:26" x14ac:dyDescent="0.25">
      <c r="Z39011"/>
    </row>
    <row r="39012" spans="26:26" x14ac:dyDescent="0.25">
      <c r="Z39012"/>
    </row>
    <row r="39013" spans="26:26" x14ac:dyDescent="0.25">
      <c r="Z39013"/>
    </row>
    <row r="39014" spans="26:26" x14ac:dyDescent="0.25">
      <c r="Z39014"/>
    </row>
    <row r="39015" spans="26:26" x14ac:dyDescent="0.25">
      <c r="Z39015"/>
    </row>
    <row r="39016" spans="26:26" x14ac:dyDescent="0.25">
      <c r="Z39016"/>
    </row>
    <row r="39017" spans="26:26" x14ac:dyDescent="0.25">
      <c r="Z39017"/>
    </row>
    <row r="39018" spans="26:26" x14ac:dyDescent="0.25">
      <c r="Z39018"/>
    </row>
    <row r="39019" spans="26:26" x14ac:dyDescent="0.25">
      <c r="Z39019"/>
    </row>
    <row r="39020" spans="26:26" x14ac:dyDescent="0.25">
      <c r="Z39020"/>
    </row>
    <row r="39021" spans="26:26" x14ac:dyDescent="0.25">
      <c r="Z39021"/>
    </row>
    <row r="39022" spans="26:26" x14ac:dyDescent="0.25">
      <c r="Z39022"/>
    </row>
    <row r="39023" spans="26:26" x14ac:dyDescent="0.25">
      <c r="Z39023"/>
    </row>
    <row r="39024" spans="26:26" x14ac:dyDescent="0.25">
      <c r="Z39024"/>
    </row>
    <row r="39025" spans="26:26" x14ac:dyDescent="0.25">
      <c r="Z39025"/>
    </row>
    <row r="39026" spans="26:26" x14ac:dyDescent="0.25">
      <c r="Z39026"/>
    </row>
    <row r="39027" spans="26:26" x14ac:dyDescent="0.25">
      <c r="Z39027"/>
    </row>
    <row r="39028" spans="26:26" x14ac:dyDescent="0.25">
      <c r="Z39028"/>
    </row>
    <row r="39029" spans="26:26" x14ac:dyDescent="0.25">
      <c r="Z39029"/>
    </row>
    <row r="39030" spans="26:26" x14ac:dyDescent="0.25">
      <c r="Z39030"/>
    </row>
    <row r="39031" spans="26:26" x14ac:dyDescent="0.25">
      <c r="Z39031"/>
    </row>
    <row r="39032" spans="26:26" x14ac:dyDescent="0.25">
      <c r="Z39032"/>
    </row>
    <row r="39033" spans="26:26" x14ac:dyDescent="0.25">
      <c r="Z39033"/>
    </row>
    <row r="39034" spans="26:26" x14ac:dyDescent="0.25">
      <c r="Z39034"/>
    </row>
    <row r="39035" spans="26:26" x14ac:dyDescent="0.25">
      <c r="Z39035"/>
    </row>
    <row r="39036" spans="26:26" x14ac:dyDescent="0.25">
      <c r="Z39036"/>
    </row>
    <row r="39037" spans="26:26" x14ac:dyDescent="0.25">
      <c r="Z39037"/>
    </row>
    <row r="39038" spans="26:26" x14ac:dyDescent="0.25">
      <c r="Z39038"/>
    </row>
    <row r="39039" spans="26:26" x14ac:dyDescent="0.25">
      <c r="Z39039"/>
    </row>
    <row r="39040" spans="26:26" x14ac:dyDescent="0.25">
      <c r="Z39040"/>
    </row>
    <row r="39041" spans="26:26" x14ac:dyDescent="0.25">
      <c r="Z39041"/>
    </row>
    <row r="39042" spans="26:26" x14ac:dyDescent="0.25">
      <c r="Z39042"/>
    </row>
    <row r="39043" spans="26:26" x14ac:dyDescent="0.25">
      <c r="Z39043"/>
    </row>
    <row r="39044" spans="26:26" x14ac:dyDescent="0.25">
      <c r="Z39044"/>
    </row>
    <row r="39045" spans="26:26" x14ac:dyDescent="0.25">
      <c r="Z39045"/>
    </row>
    <row r="39046" spans="26:26" x14ac:dyDescent="0.25">
      <c r="Z39046"/>
    </row>
    <row r="39047" spans="26:26" x14ac:dyDescent="0.25">
      <c r="Z39047"/>
    </row>
    <row r="39048" spans="26:26" x14ac:dyDescent="0.25">
      <c r="Z39048"/>
    </row>
    <row r="39049" spans="26:26" x14ac:dyDescent="0.25">
      <c r="Z39049"/>
    </row>
    <row r="39050" spans="26:26" x14ac:dyDescent="0.25">
      <c r="Z39050"/>
    </row>
    <row r="39051" spans="26:26" x14ac:dyDescent="0.25">
      <c r="Z39051"/>
    </row>
    <row r="39052" spans="26:26" x14ac:dyDescent="0.25">
      <c r="Z39052"/>
    </row>
    <row r="39053" spans="26:26" x14ac:dyDescent="0.25">
      <c r="Z39053"/>
    </row>
    <row r="39054" spans="26:26" x14ac:dyDescent="0.25">
      <c r="Z39054"/>
    </row>
    <row r="39055" spans="26:26" x14ac:dyDescent="0.25">
      <c r="Z39055"/>
    </row>
    <row r="39056" spans="26:26" x14ac:dyDescent="0.25">
      <c r="Z39056"/>
    </row>
    <row r="39057" spans="26:26" x14ac:dyDescent="0.25">
      <c r="Z39057"/>
    </row>
    <row r="39058" spans="26:26" x14ac:dyDescent="0.25">
      <c r="Z39058"/>
    </row>
    <row r="39059" spans="26:26" x14ac:dyDescent="0.25">
      <c r="Z39059"/>
    </row>
    <row r="39060" spans="26:26" x14ac:dyDescent="0.25">
      <c r="Z39060"/>
    </row>
    <row r="39061" spans="26:26" x14ac:dyDescent="0.25">
      <c r="Z39061"/>
    </row>
    <row r="39062" spans="26:26" x14ac:dyDescent="0.25">
      <c r="Z39062"/>
    </row>
    <row r="39063" spans="26:26" x14ac:dyDescent="0.25">
      <c r="Z39063"/>
    </row>
    <row r="39064" spans="26:26" x14ac:dyDescent="0.25">
      <c r="Z39064"/>
    </row>
    <row r="39065" spans="26:26" x14ac:dyDescent="0.25">
      <c r="Z39065"/>
    </row>
    <row r="39066" spans="26:26" x14ac:dyDescent="0.25">
      <c r="Z39066"/>
    </row>
    <row r="39067" spans="26:26" x14ac:dyDescent="0.25">
      <c r="Z39067"/>
    </row>
    <row r="39068" spans="26:26" x14ac:dyDescent="0.25">
      <c r="Z39068"/>
    </row>
    <row r="39069" spans="26:26" x14ac:dyDescent="0.25">
      <c r="Z39069"/>
    </row>
    <row r="39070" spans="26:26" x14ac:dyDescent="0.25">
      <c r="Z39070"/>
    </row>
    <row r="39071" spans="26:26" x14ac:dyDescent="0.25">
      <c r="Z39071"/>
    </row>
    <row r="39072" spans="26:26" x14ac:dyDescent="0.25">
      <c r="Z39072"/>
    </row>
    <row r="39073" spans="26:26" x14ac:dyDescent="0.25">
      <c r="Z39073"/>
    </row>
    <row r="39074" spans="26:26" x14ac:dyDescent="0.25">
      <c r="Z39074"/>
    </row>
    <row r="39075" spans="26:26" x14ac:dyDescent="0.25">
      <c r="Z39075"/>
    </row>
    <row r="39076" spans="26:26" x14ac:dyDescent="0.25">
      <c r="Z39076"/>
    </row>
    <row r="39077" spans="26:26" x14ac:dyDescent="0.25">
      <c r="Z39077"/>
    </row>
    <row r="39078" spans="26:26" x14ac:dyDescent="0.25">
      <c r="Z39078"/>
    </row>
    <row r="39079" spans="26:26" x14ac:dyDescent="0.25">
      <c r="Z39079"/>
    </row>
    <row r="39080" spans="26:26" x14ac:dyDescent="0.25">
      <c r="Z39080"/>
    </row>
    <row r="39081" spans="26:26" x14ac:dyDescent="0.25">
      <c r="Z39081"/>
    </row>
    <row r="39082" spans="26:26" x14ac:dyDescent="0.25">
      <c r="Z39082"/>
    </row>
    <row r="39083" spans="26:26" x14ac:dyDescent="0.25">
      <c r="Z39083"/>
    </row>
    <row r="39084" spans="26:26" x14ac:dyDescent="0.25">
      <c r="Z39084"/>
    </row>
    <row r="39085" spans="26:26" x14ac:dyDescent="0.25">
      <c r="Z39085"/>
    </row>
    <row r="39086" spans="26:26" x14ac:dyDescent="0.25">
      <c r="Z39086"/>
    </row>
    <row r="39087" spans="26:26" x14ac:dyDescent="0.25">
      <c r="Z39087"/>
    </row>
    <row r="39088" spans="26:26" x14ac:dyDescent="0.25">
      <c r="Z39088"/>
    </row>
    <row r="39089" spans="26:26" x14ac:dyDescent="0.25">
      <c r="Z39089"/>
    </row>
    <row r="39090" spans="26:26" x14ac:dyDescent="0.25">
      <c r="Z39090"/>
    </row>
    <row r="39091" spans="26:26" x14ac:dyDescent="0.25">
      <c r="Z39091"/>
    </row>
    <row r="39092" spans="26:26" x14ac:dyDescent="0.25">
      <c r="Z39092"/>
    </row>
    <row r="39093" spans="26:26" x14ac:dyDescent="0.25">
      <c r="Z39093"/>
    </row>
    <row r="39094" spans="26:26" x14ac:dyDescent="0.25">
      <c r="Z39094"/>
    </row>
    <row r="39095" spans="26:26" x14ac:dyDescent="0.25">
      <c r="Z39095"/>
    </row>
    <row r="39096" spans="26:26" x14ac:dyDescent="0.25">
      <c r="Z39096"/>
    </row>
    <row r="39097" spans="26:26" x14ac:dyDescent="0.25">
      <c r="Z39097"/>
    </row>
    <row r="39098" spans="26:26" x14ac:dyDescent="0.25">
      <c r="Z39098"/>
    </row>
    <row r="39099" spans="26:26" x14ac:dyDescent="0.25">
      <c r="Z39099"/>
    </row>
    <row r="39100" spans="26:26" x14ac:dyDescent="0.25">
      <c r="Z39100"/>
    </row>
    <row r="39101" spans="26:26" x14ac:dyDescent="0.25">
      <c r="Z39101"/>
    </row>
    <row r="39102" spans="26:26" x14ac:dyDescent="0.25">
      <c r="Z39102"/>
    </row>
    <row r="39103" spans="26:26" x14ac:dyDescent="0.25">
      <c r="Z39103"/>
    </row>
    <row r="39104" spans="26:26" x14ac:dyDescent="0.25">
      <c r="Z39104"/>
    </row>
    <row r="39105" spans="26:26" x14ac:dyDescent="0.25">
      <c r="Z39105"/>
    </row>
    <row r="39106" spans="26:26" x14ac:dyDescent="0.25">
      <c r="Z39106"/>
    </row>
    <row r="39107" spans="26:26" x14ac:dyDescent="0.25">
      <c r="Z39107"/>
    </row>
    <row r="39108" spans="26:26" x14ac:dyDescent="0.25">
      <c r="Z39108"/>
    </row>
    <row r="39109" spans="26:26" x14ac:dyDescent="0.25">
      <c r="Z39109"/>
    </row>
    <row r="39110" spans="26:26" x14ac:dyDescent="0.25">
      <c r="Z39110"/>
    </row>
    <row r="39111" spans="26:26" x14ac:dyDescent="0.25">
      <c r="Z39111"/>
    </row>
    <row r="39112" spans="26:26" x14ac:dyDescent="0.25">
      <c r="Z39112"/>
    </row>
    <row r="39113" spans="26:26" x14ac:dyDescent="0.25">
      <c r="Z39113"/>
    </row>
    <row r="39114" spans="26:26" x14ac:dyDescent="0.25">
      <c r="Z39114"/>
    </row>
    <row r="39115" spans="26:26" x14ac:dyDescent="0.25">
      <c r="Z39115"/>
    </row>
    <row r="39116" spans="26:26" x14ac:dyDescent="0.25">
      <c r="Z39116"/>
    </row>
    <row r="39117" spans="26:26" x14ac:dyDescent="0.25">
      <c r="Z39117"/>
    </row>
    <row r="39118" spans="26:26" x14ac:dyDescent="0.25">
      <c r="Z39118"/>
    </row>
    <row r="39119" spans="26:26" x14ac:dyDescent="0.25">
      <c r="Z39119"/>
    </row>
    <row r="39120" spans="26:26" x14ac:dyDescent="0.25">
      <c r="Z39120"/>
    </row>
    <row r="39121" spans="26:26" x14ac:dyDescent="0.25">
      <c r="Z39121"/>
    </row>
    <row r="39122" spans="26:26" x14ac:dyDescent="0.25">
      <c r="Z39122"/>
    </row>
    <row r="39123" spans="26:26" x14ac:dyDescent="0.25">
      <c r="Z39123"/>
    </row>
    <row r="39124" spans="26:26" x14ac:dyDescent="0.25">
      <c r="Z39124"/>
    </row>
    <row r="39125" spans="26:26" x14ac:dyDescent="0.25">
      <c r="Z39125"/>
    </row>
    <row r="39126" spans="26:26" x14ac:dyDescent="0.25">
      <c r="Z39126"/>
    </row>
    <row r="39127" spans="26:26" x14ac:dyDescent="0.25">
      <c r="Z39127"/>
    </row>
    <row r="39128" spans="26:26" x14ac:dyDescent="0.25">
      <c r="Z39128"/>
    </row>
    <row r="39129" spans="26:26" x14ac:dyDescent="0.25">
      <c r="Z39129"/>
    </row>
    <row r="39130" spans="26:26" x14ac:dyDescent="0.25">
      <c r="Z39130"/>
    </row>
    <row r="39131" spans="26:26" x14ac:dyDescent="0.25">
      <c r="Z39131"/>
    </row>
    <row r="39132" spans="26:26" x14ac:dyDescent="0.25">
      <c r="Z39132"/>
    </row>
    <row r="39133" spans="26:26" x14ac:dyDescent="0.25">
      <c r="Z39133"/>
    </row>
    <row r="39134" spans="26:26" x14ac:dyDescent="0.25">
      <c r="Z39134"/>
    </row>
    <row r="39135" spans="26:26" x14ac:dyDescent="0.25">
      <c r="Z39135"/>
    </row>
    <row r="39136" spans="26:26" x14ac:dyDescent="0.25">
      <c r="Z39136"/>
    </row>
    <row r="39137" spans="26:26" x14ac:dyDescent="0.25">
      <c r="Z39137"/>
    </row>
    <row r="39138" spans="26:26" x14ac:dyDescent="0.25">
      <c r="Z39138"/>
    </row>
    <row r="39139" spans="26:26" x14ac:dyDescent="0.25">
      <c r="Z39139"/>
    </row>
    <row r="39140" spans="26:26" x14ac:dyDescent="0.25">
      <c r="Z39140"/>
    </row>
    <row r="39141" spans="26:26" x14ac:dyDescent="0.25">
      <c r="Z39141"/>
    </row>
    <row r="39142" spans="26:26" x14ac:dyDescent="0.25">
      <c r="Z39142"/>
    </row>
    <row r="39143" spans="26:26" x14ac:dyDescent="0.25">
      <c r="Z39143"/>
    </row>
    <row r="39144" spans="26:26" x14ac:dyDescent="0.25">
      <c r="Z39144"/>
    </row>
    <row r="39145" spans="26:26" x14ac:dyDescent="0.25">
      <c r="Z39145"/>
    </row>
    <row r="39146" spans="26:26" x14ac:dyDescent="0.25">
      <c r="Z39146"/>
    </row>
    <row r="39147" spans="26:26" x14ac:dyDescent="0.25">
      <c r="Z39147"/>
    </row>
    <row r="39148" spans="26:26" x14ac:dyDescent="0.25">
      <c r="Z39148"/>
    </row>
    <row r="39149" spans="26:26" x14ac:dyDescent="0.25">
      <c r="Z39149"/>
    </row>
    <row r="39150" spans="26:26" x14ac:dyDescent="0.25">
      <c r="Z39150"/>
    </row>
    <row r="39151" spans="26:26" x14ac:dyDescent="0.25">
      <c r="Z39151"/>
    </row>
    <row r="39152" spans="26:26" x14ac:dyDescent="0.25">
      <c r="Z39152"/>
    </row>
    <row r="39153" spans="26:26" x14ac:dyDescent="0.25">
      <c r="Z39153"/>
    </row>
    <row r="39154" spans="26:26" x14ac:dyDescent="0.25">
      <c r="Z39154"/>
    </row>
    <row r="39155" spans="26:26" x14ac:dyDescent="0.25">
      <c r="Z39155"/>
    </row>
    <row r="39156" spans="26:26" x14ac:dyDescent="0.25">
      <c r="Z39156"/>
    </row>
    <row r="39157" spans="26:26" x14ac:dyDescent="0.25">
      <c r="Z39157"/>
    </row>
    <row r="39158" spans="26:26" x14ac:dyDescent="0.25">
      <c r="Z39158"/>
    </row>
    <row r="39159" spans="26:26" x14ac:dyDescent="0.25">
      <c r="Z39159"/>
    </row>
    <row r="39160" spans="26:26" x14ac:dyDescent="0.25">
      <c r="Z39160"/>
    </row>
    <row r="39161" spans="26:26" x14ac:dyDescent="0.25">
      <c r="Z39161"/>
    </row>
    <row r="39162" spans="26:26" x14ac:dyDescent="0.25">
      <c r="Z39162"/>
    </row>
    <row r="39163" spans="26:26" x14ac:dyDescent="0.25">
      <c r="Z39163"/>
    </row>
    <row r="39164" spans="26:26" x14ac:dyDescent="0.25">
      <c r="Z39164"/>
    </row>
    <row r="39165" spans="26:26" x14ac:dyDescent="0.25">
      <c r="Z39165"/>
    </row>
    <row r="39166" spans="26:26" x14ac:dyDescent="0.25">
      <c r="Z39166"/>
    </row>
    <row r="39167" spans="26:26" x14ac:dyDescent="0.25">
      <c r="Z39167"/>
    </row>
    <row r="39168" spans="26:26" x14ac:dyDescent="0.25">
      <c r="Z39168"/>
    </row>
    <row r="39169" spans="26:26" x14ac:dyDescent="0.25">
      <c r="Z39169"/>
    </row>
    <row r="39170" spans="26:26" x14ac:dyDescent="0.25">
      <c r="Z39170"/>
    </row>
    <row r="39171" spans="26:26" x14ac:dyDescent="0.25">
      <c r="Z39171"/>
    </row>
    <row r="39172" spans="26:26" x14ac:dyDescent="0.25">
      <c r="Z39172"/>
    </row>
    <row r="39173" spans="26:26" x14ac:dyDescent="0.25">
      <c r="Z39173"/>
    </row>
    <row r="39174" spans="26:26" x14ac:dyDescent="0.25">
      <c r="Z39174"/>
    </row>
    <row r="39175" spans="26:26" x14ac:dyDescent="0.25">
      <c r="Z39175"/>
    </row>
    <row r="39176" spans="26:26" x14ac:dyDescent="0.25">
      <c r="Z39176"/>
    </row>
    <row r="39177" spans="26:26" x14ac:dyDescent="0.25">
      <c r="Z39177"/>
    </row>
    <row r="39178" spans="26:26" x14ac:dyDescent="0.25">
      <c r="Z39178"/>
    </row>
    <row r="39179" spans="26:26" x14ac:dyDescent="0.25">
      <c r="Z39179"/>
    </row>
    <row r="39180" spans="26:26" x14ac:dyDescent="0.25">
      <c r="Z39180"/>
    </row>
    <row r="39181" spans="26:26" x14ac:dyDescent="0.25">
      <c r="Z39181"/>
    </row>
    <row r="39182" spans="26:26" x14ac:dyDescent="0.25">
      <c r="Z39182"/>
    </row>
    <row r="39183" spans="26:26" x14ac:dyDescent="0.25">
      <c r="Z39183"/>
    </row>
    <row r="39184" spans="26:26" x14ac:dyDescent="0.25">
      <c r="Z39184"/>
    </row>
    <row r="39185" spans="26:26" x14ac:dyDescent="0.25">
      <c r="Z39185"/>
    </row>
    <row r="39186" spans="26:26" x14ac:dyDescent="0.25">
      <c r="Z39186"/>
    </row>
    <row r="39187" spans="26:26" x14ac:dyDescent="0.25">
      <c r="Z39187"/>
    </row>
    <row r="39188" spans="26:26" x14ac:dyDescent="0.25">
      <c r="Z39188"/>
    </row>
    <row r="39189" spans="26:26" x14ac:dyDescent="0.25">
      <c r="Z39189"/>
    </row>
    <row r="39190" spans="26:26" x14ac:dyDescent="0.25">
      <c r="Z39190"/>
    </row>
    <row r="39191" spans="26:26" x14ac:dyDescent="0.25">
      <c r="Z39191"/>
    </row>
    <row r="39192" spans="26:26" x14ac:dyDescent="0.25">
      <c r="Z39192"/>
    </row>
    <row r="39193" spans="26:26" x14ac:dyDescent="0.25">
      <c r="Z39193"/>
    </row>
    <row r="39194" spans="26:26" x14ac:dyDescent="0.25">
      <c r="Z39194"/>
    </row>
    <row r="39195" spans="26:26" x14ac:dyDescent="0.25">
      <c r="Z39195"/>
    </row>
    <row r="39196" spans="26:26" x14ac:dyDescent="0.25">
      <c r="Z39196"/>
    </row>
    <row r="39197" spans="26:26" x14ac:dyDescent="0.25">
      <c r="Z39197"/>
    </row>
    <row r="39198" spans="26:26" x14ac:dyDescent="0.25">
      <c r="Z39198"/>
    </row>
    <row r="39199" spans="26:26" x14ac:dyDescent="0.25">
      <c r="Z39199"/>
    </row>
    <row r="39200" spans="26:26" x14ac:dyDescent="0.25">
      <c r="Z39200"/>
    </row>
    <row r="39201" spans="26:26" x14ac:dyDescent="0.25">
      <c r="Z39201"/>
    </row>
    <row r="39202" spans="26:26" x14ac:dyDescent="0.25">
      <c r="Z39202"/>
    </row>
    <row r="39203" spans="26:26" x14ac:dyDescent="0.25">
      <c r="Z39203"/>
    </row>
    <row r="39204" spans="26:26" x14ac:dyDescent="0.25">
      <c r="Z39204"/>
    </row>
    <row r="39205" spans="26:26" x14ac:dyDescent="0.25">
      <c r="Z39205"/>
    </row>
    <row r="39206" spans="26:26" x14ac:dyDescent="0.25">
      <c r="Z39206"/>
    </row>
    <row r="39207" spans="26:26" x14ac:dyDescent="0.25">
      <c r="Z39207"/>
    </row>
    <row r="39208" spans="26:26" x14ac:dyDescent="0.25">
      <c r="Z39208"/>
    </row>
    <row r="39209" spans="26:26" x14ac:dyDescent="0.25">
      <c r="Z39209"/>
    </row>
    <row r="39210" spans="26:26" x14ac:dyDescent="0.25">
      <c r="Z39210"/>
    </row>
    <row r="39211" spans="26:26" x14ac:dyDescent="0.25">
      <c r="Z39211"/>
    </row>
    <row r="39212" spans="26:26" x14ac:dyDescent="0.25">
      <c r="Z39212"/>
    </row>
    <row r="39213" spans="26:26" x14ac:dyDescent="0.25">
      <c r="Z39213"/>
    </row>
    <row r="39214" spans="26:26" x14ac:dyDescent="0.25">
      <c r="Z39214"/>
    </row>
    <row r="39215" spans="26:26" x14ac:dyDescent="0.25">
      <c r="Z39215"/>
    </row>
    <row r="39216" spans="26:26" x14ac:dyDescent="0.25">
      <c r="Z39216"/>
    </row>
    <row r="39217" spans="26:26" x14ac:dyDescent="0.25">
      <c r="Z39217"/>
    </row>
    <row r="39218" spans="26:26" x14ac:dyDescent="0.25">
      <c r="Z39218"/>
    </row>
    <row r="39219" spans="26:26" x14ac:dyDescent="0.25">
      <c r="Z39219"/>
    </row>
    <row r="39220" spans="26:26" x14ac:dyDescent="0.25">
      <c r="Z39220"/>
    </row>
    <row r="39221" spans="26:26" x14ac:dyDescent="0.25">
      <c r="Z39221"/>
    </row>
    <row r="39222" spans="26:26" x14ac:dyDescent="0.25">
      <c r="Z39222"/>
    </row>
    <row r="39223" spans="26:26" x14ac:dyDescent="0.25">
      <c r="Z39223"/>
    </row>
    <row r="39224" spans="26:26" x14ac:dyDescent="0.25">
      <c r="Z39224"/>
    </row>
    <row r="39225" spans="26:26" x14ac:dyDescent="0.25">
      <c r="Z39225"/>
    </row>
    <row r="39226" spans="26:26" x14ac:dyDescent="0.25">
      <c r="Z39226"/>
    </row>
    <row r="39227" spans="26:26" x14ac:dyDescent="0.25">
      <c r="Z39227"/>
    </row>
    <row r="39228" spans="26:26" x14ac:dyDescent="0.25">
      <c r="Z39228"/>
    </row>
    <row r="39229" spans="26:26" x14ac:dyDescent="0.25">
      <c r="Z39229"/>
    </row>
    <row r="39230" spans="26:26" x14ac:dyDescent="0.25">
      <c r="Z39230"/>
    </row>
    <row r="39231" spans="26:26" x14ac:dyDescent="0.25">
      <c r="Z39231"/>
    </row>
    <row r="39232" spans="26:26" x14ac:dyDescent="0.25">
      <c r="Z39232"/>
    </row>
    <row r="39233" spans="26:26" x14ac:dyDescent="0.25">
      <c r="Z39233"/>
    </row>
    <row r="39234" spans="26:26" x14ac:dyDescent="0.25">
      <c r="Z39234"/>
    </row>
    <row r="39235" spans="26:26" x14ac:dyDescent="0.25">
      <c r="Z39235"/>
    </row>
    <row r="39236" spans="26:26" x14ac:dyDescent="0.25">
      <c r="Z39236"/>
    </row>
    <row r="39237" spans="26:26" x14ac:dyDescent="0.25">
      <c r="Z39237"/>
    </row>
    <row r="39238" spans="26:26" x14ac:dyDescent="0.25">
      <c r="Z39238"/>
    </row>
    <row r="39239" spans="26:26" x14ac:dyDescent="0.25">
      <c r="Z39239"/>
    </row>
    <row r="39240" spans="26:26" x14ac:dyDescent="0.25">
      <c r="Z39240"/>
    </row>
    <row r="39241" spans="26:26" x14ac:dyDescent="0.25">
      <c r="Z39241"/>
    </row>
    <row r="39242" spans="26:26" x14ac:dyDescent="0.25">
      <c r="Z39242"/>
    </row>
    <row r="39243" spans="26:26" x14ac:dyDescent="0.25">
      <c r="Z39243"/>
    </row>
    <row r="39244" spans="26:26" x14ac:dyDescent="0.25">
      <c r="Z39244"/>
    </row>
    <row r="39245" spans="26:26" x14ac:dyDescent="0.25">
      <c r="Z39245"/>
    </row>
    <row r="39246" spans="26:26" x14ac:dyDescent="0.25">
      <c r="Z39246"/>
    </row>
    <row r="39247" spans="26:26" x14ac:dyDescent="0.25">
      <c r="Z39247"/>
    </row>
    <row r="39248" spans="26:26" x14ac:dyDescent="0.25">
      <c r="Z39248"/>
    </row>
    <row r="39249" spans="26:26" x14ac:dyDescent="0.25">
      <c r="Z39249"/>
    </row>
    <row r="39250" spans="26:26" x14ac:dyDescent="0.25">
      <c r="Z39250"/>
    </row>
    <row r="39251" spans="26:26" x14ac:dyDescent="0.25">
      <c r="Z39251"/>
    </row>
    <row r="39252" spans="26:26" x14ac:dyDescent="0.25">
      <c r="Z39252"/>
    </row>
    <row r="39253" spans="26:26" x14ac:dyDescent="0.25">
      <c r="Z39253"/>
    </row>
    <row r="39254" spans="26:26" x14ac:dyDescent="0.25">
      <c r="Z39254"/>
    </row>
    <row r="39255" spans="26:26" x14ac:dyDescent="0.25">
      <c r="Z39255"/>
    </row>
    <row r="39256" spans="26:26" x14ac:dyDescent="0.25">
      <c r="Z39256"/>
    </row>
    <row r="39257" spans="26:26" x14ac:dyDescent="0.25">
      <c r="Z39257"/>
    </row>
    <row r="39258" spans="26:26" x14ac:dyDescent="0.25">
      <c r="Z39258"/>
    </row>
    <row r="39259" spans="26:26" x14ac:dyDescent="0.25">
      <c r="Z39259"/>
    </row>
    <row r="39260" spans="26:26" x14ac:dyDescent="0.25">
      <c r="Z39260"/>
    </row>
    <row r="39261" spans="26:26" x14ac:dyDescent="0.25">
      <c r="Z39261"/>
    </row>
    <row r="39262" spans="26:26" x14ac:dyDescent="0.25">
      <c r="Z39262"/>
    </row>
    <row r="39263" spans="26:26" x14ac:dyDescent="0.25">
      <c r="Z39263"/>
    </row>
    <row r="39264" spans="26:26" x14ac:dyDescent="0.25">
      <c r="Z39264"/>
    </row>
    <row r="39265" spans="26:26" x14ac:dyDescent="0.25">
      <c r="Z39265"/>
    </row>
    <row r="39266" spans="26:26" x14ac:dyDescent="0.25">
      <c r="Z39266"/>
    </row>
    <row r="39267" spans="26:26" x14ac:dyDescent="0.25">
      <c r="Z39267"/>
    </row>
    <row r="39268" spans="26:26" x14ac:dyDescent="0.25">
      <c r="Z39268"/>
    </row>
    <row r="39269" spans="26:26" x14ac:dyDescent="0.25">
      <c r="Z39269"/>
    </row>
    <row r="39270" spans="26:26" x14ac:dyDescent="0.25">
      <c r="Z39270"/>
    </row>
    <row r="39271" spans="26:26" x14ac:dyDescent="0.25">
      <c r="Z39271"/>
    </row>
    <row r="39272" spans="26:26" x14ac:dyDescent="0.25">
      <c r="Z39272"/>
    </row>
    <row r="39273" spans="26:26" x14ac:dyDescent="0.25">
      <c r="Z39273"/>
    </row>
    <row r="39274" spans="26:26" x14ac:dyDescent="0.25">
      <c r="Z39274"/>
    </row>
    <row r="39275" spans="26:26" x14ac:dyDescent="0.25">
      <c r="Z39275"/>
    </row>
    <row r="39276" spans="26:26" x14ac:dyDescent="0.25">
      <c r="Z39276"/>
    </row>
    <row r="39277" spans="26:26" x14ac:dyDescent="0.25">
      <c r="Z39277"/>
    </row>
    <row r="39278" spans="26:26" x14ac:dyDescent="0.25">
      <c r="Z39278"/>
    </row>
    <row r="39279" spans="26:26" x14ac:dyDescent="0.25">
      <c r="Z39279"/>
    </row>
    <row r="39280" spans="26:26" x14ac:dyDescent="0.25">
      <c r="Z39280"/>
    </row>
    <row r="39281" spans="26:26" x14ac:dyDescent="0.25">
      <c r="Z39281"/>
    </row>
    <row r="39282" spans="26:26" x14ac:dyDescent="0.25">
      <c r="Z39282"/>
    </row>
    <row r="39283" spans="26:26" x14ac:dyDescent="0.25">
      <c r="Z39283"/>
    </row>
    <row r="39284" spans="26:26" x14ac:dyDescent="0.25">
      <c r="Z39284"/>
    </row>
    <row r="39285" spans="26:26" x14ac:dyDescent="0.25">
      <c r="Z39285"/>
    </row>
    <row r="39286" spans="26:26" x14ac:dyDescent="0.25">
      <c r="Z39286"/>
    </row>
    <row r="39287" spans="26:26" x14ac:dyDescent="0.25">
      <c r="Z39287"/>
    </row>
    <row r="39288" spans="26:26" x14ac:dyDescent="0.25">
      <c r="Z39288"/>
    </row>
    <row r="39289" spans="26:26" x14ac:dyDescent="0.25">
      <c r="Z39289"/>
    </row>
    <row r="39290" spans="26:26" x14ac:dyDescent="0.25">
      <c r="Z39290"/>
    </row>
    <row r="39291" spans="26:26" x14ac:dyDescent="0.25">
      <c r="Z39291"/>
    </row>
    <row r="39292" spans="26:26" x14ac:dyDescent="0.25">
      <c r="Z39292"/>
    </row>
    <row r="39293" spans="26:26" x14ac:dyDescent="0.25">
      <c r="Z39293"/>
    </row>
    <row r="39294" spans="26:26" x14ac:dyDescent="0.25">
      <c r="Z39294"/>
    </row>
    <row r="39295" spans="26:26" x14ac:dyDescent="0.25">
      <c r="Z39295"/>
    </row>
    <row r="39296" spans="26:26" x14ac:dyDescent="0.25">
      <c r="Z39296"/>
    </row>
    <row r="39297" spans="26:26" x14ac:dyDescent="0.25">
      <c r="Z39297"/>
    </row>
    <row r="39298" spans="26:26" x14ac:dyDescent="0.25">
      <c r="Z39298"/>
    </row>
    <row r="39299" spans="26:26" x14ac:dyDescent="0.25">
      <c r="Z39299"/>
    </row>
    <row r="39300" spans="26:26" x14ac:dyDescent="0.25">
      <c r="Z39300"/>
    </row>
    <row r="39301" spans="26:26" x14ac:dyDescent="0.25">
      <c r="Z39301"/>
    </row>
    <row r="39302" spans="26:26" x14ac:dyDescent="0.25">
      <c r="Z39302"/>
    </row>
    <row r="39303" spans="26:26" x14ac:dyDescent="0.25">
      <c r="Z39303"/>
    </row>
    <row r="39304" spans="26:26" x14ac:dyDescent="0.25">
      <c r="Z39304"/>
    </row>
    <row r="39305" spans="26:26" x14ac:dyDescent="0.25">
      <c r="Z39305"/>
    </row>
    <row r="39306" spans="26:26" x14ac:dyDescent="0.25">
      <c r="Z39306"/>
    </row>
    <row r="39307" spans="26:26" x14ac:dyDescent="0.25">
      <c r="Z39307"/>
    </row>
    <row r="39308" spans="26:26" x14ac:dyDescent="0.25">
      <c r="Z39308"/>
    </row>
    <row r="39309" spans="26:26" x14ac:dyDescent="0.25">
      <c r="Z39309"/>
    </row>
    <row r="39310" spans="26:26" x14ac:dyDescent="0.25">
      <c r="Z39310"/>
    </row>
    <row r="39311" spans="26:26" x14ac:dyDescent="0.25">
      <c r="Z39311"/>
    </row>
    <row r="39312" spans="26:26" x14ac:dyDescent="0.25">
      <c r="Z39312"/>
    </row>
    <row r="39313" spans="26:26" x14ac:dyDescent="0.25">
      <c r="Z39313"/>
    </row>
    <row r="39314" spans="26:26" x14ac:dyDescent="0.25">
      <c r="Z39314"/>
    </row>
    <row r="39315" spans="26:26" x14ac:dyDescent="0.25">
      <c r="Z39315"/>
    </row>
    <row r="39316" spans="26:26" x14ac:dyDescent="0.25">
      <c r="Z39316"/>
    </row>
    <row r="39317" spans="26:26" x14ac:dyDescent="0.25">
      <c r="Z39317"/>
    </row>
    <row r="39318" spans="26:26" x14ac:dyDescent="0.25">
      <c r="Z39318"/>
    </row>
    <row r="39319" spans="26:26" x14ac:dyDescent="0.25">
      <c r="Z39319"/>
    </row>
    <row r="39320" spans="26:26" x14ac:dyDescent="0.25">
      <c r="Z39320"/>
    </row>
    <row r="39321" spans="26:26" x14ac:dyDescent="0.25">
      <c r="Z39321"/>
    </row>
    <row r="39322" spans="26:26" x14ac:dyDescent="0.25">
      <c r="Z39322"/>
    </row>
    <row r="39323" spans="26:26" x14ac:dyDescent="0.25">
      <c r="Z39323"/>
    </row>
    <row r="39324" spans="26:26" x14ac:dyDescent="0.25">
      <c r="Z39324"/>
    </row>
    <row r="39325" spans="26:26" x14ac:dyDescent="0.25">
      <c r="Z39325"/>
    </row>
    <row r="39326" spans="26:26" x14ac:dyDescent="0.25">
      <c r="Z39326"/>
    </row>
    <row r="39327" spans="26:26" x14ac:dyDescent="0.25">
      <c r="Z39327"/>
    </row>
    <row r="39328" spans="26:26" x14ac:dyDescent="0.25">
      <c r="Z39328"/>
    </row>
    <row r="39329" spans="26:26" x14ac:dyDescent="0.25">
      <c r="Z39329"/>
    </row>
    <row r="39330" spans="26:26" x14ac:dyDescent="0.25">
      <c r="Z39330"/>
    </row>
    <row r="39331" spans="26:26" x14ac:dyDescent="0.25">
      <c r="Z39331"/>
    </row>
    <row r="39332" spans="26:26" x14ac:dyDescent="0.25">
      <c r="Z39332"/>
    </row>
    <row r="39333" spans="26:26" x14ac:dyDescent="0.25">
      <c r="Z39333"/>
    </row>
    <row r="39334" spans="26:26" x14ac:dyDescent="0.25">
      <c r="Z39334"/>
    </row>
    <row r="39335" spans="26:26" x14ac:dyDescent="0.25">
      <c r="Z39335"/>
    </row>
    <row r="39336" spans="26:26" x14ac:dyDescent="0.25">
      <c r="Z39336"/>
    </row>
    <row r="39337" spans="26:26" x14ac:dyDescent="0.25">
      <c r="Z39337"/>
    </row>
    <row r="39338" spans="26:26" x14ac:dyDescent="0.25">
      <c r="Z39338"/>
    </row>
    <row r="39339" spans="26:26" x14ac:dyDescent="0.25">
      <c r="Z39339"/>
    </row>
    <row r="39340" spans="26:26" x14ac:dyDescent="0.25">
      <c r="Z39340"/>
    </row>
    <row r="39341" spans="26:26" x14ac:dyDescent="0.25">
      <c r="Z39341"/>
    </row>
    <row r="39342" spans="26:26" x14ac:dyDescent="0.25">
      <c r="Z39342"/>
    </row>
    <row r="39343" spans="26:26" x14ac:dyDescent="0.25">
      <c r="Z39343"/>
    </row>
    <row r="39344" spans="26:26" x14ac:dyDescent="0.25">
      <c r="Z39344"/>
    </row>
    <row r="39345" spans="26:26" x14ac:dyDescent="0.25">
      <c r="Z39345"/>
    </row>
    <row r="39346" spans="26:26" x14ac:dyDescent="0.25">
      <c r="Z39346"/>
    </row>
    <row r="39347" spans="26:26" x14ac:dyDescent="0.25">
      <c r="Z39347"/>
    </row>
    <row r="39348" spans="26:26" x14ac:dyDescent="0.25">
      <c r="Z39348"/>
    </row>
    <row r="39349" spans="26:26" x14ac:dyDescent="0.25">
      <c r="Z39349"/>
    </row>
    <row r="39350" spans="26:26" x14ac:dyDescent="0.25">
      <c r="Z39350"/>
    </row>
    <row r="39351" spans="26:26" x14ac:dyDescent="0.25">
      <c r="Z39351"/>
    </row>
    <row r="39352" spans="26:26" x14ac:dyDescent="0.25">
      <c r="Z39352"/>
    </row>
    <row r="39353" spans="26:26" x14ac:dyDescent="0.25">
      <c r="Z39353"/>
    </row>
    <row r="39354" spans="26:26" x14ac:dyDescent="0.25">
      <c r="Z39354"/>
    </row>
    <row r="39355" spans="26:26" x14ac:dyDescent="0.25">
      <c r="Z39355"/>
    </row>
    <row r="39356" spans="26:26" x14ac:dyDescent="0.25">
      <c r="Z39356"/>
    </row>
    <row r="39357" spans="26:26" x14ac:dyDescent="0.25">
      <c r="Z39357"/>
    </row>
    <row r="39358" spans="26:26" x14ac:dyDescent="0.25">
      <c r="Z39358"/>
    </row>
    <row r="39359" spans="26:26" x14ac:dyDescent="0.25">
      <c r="Z39359"/>
    </row>
    <row r="39360" spans="26:26" x14ac:dyDescent="0.25">
      <c r="Z39360"/>
    </row>
    <row r="39361" spans="26:26" x14ac:dyDescent="0.25">
      <c r="Z39361"/>
    </row>
    <row r="39362" spans="26:26" x14ac:dyDescent="0.25">
      <c r="Z39362"/>
    </row>
    <row r="39363" spans="26:26" x14ac:dyDescent="0.25">
      <c r="Z39363"/>
    </row>
    <row r="39364" spans="26:26" x14ac:dyDescent="0.25">
      <c r="Z39364"/>
    </row>
    <row r="39365" spans="26:26" x14ac:dyDescent="0.25">
      <c r="Z39365"/>
    </row>
    <row r="39366" spans="26:26" x14ac:dyDescent="0.25">
      <c r="Z39366"/>
    </row>
    <row r="39367" spans="26:26" x14ac:dyDescent="0.25">
      <c r="Z39367"/>
    </row>
    <row r="39368" spans="26:26" x14ac:dyDescent="0.25">
      <c r="Z39368"/>
    </row>
    <row r="39369" spans="26:26" x14ac:dyDescent="0.25">
      <c r="Z39369"/>
    </row>
    <row r="39370" spans="26:26" x14ac:dyDescent="0.25">
      <c r="Z39370"/>
    </row>
    <row r="39371" spans="26:26" x14ac:dyDescent="0.25">
      <c r="Z39371"/>
    </row>
    <row r="39372" spans="26:26" x14ac:dyDescent="0.25">
      <c r="Z39372"/>
    </row>
    <row r="39373" spans="26:26" x14ac:dyDescent="0.25">
      <c r="Z39373"/>
    </row>
    <row r="39374" spans="26:26" x14ac:dyDescent="0.25">
      <c r="Z39374"/>
    </row>
    <row r="39375" spans="26:26" x14ac:dyDescent="0.25">
      <c r="Z39375"/>
    </row>
    <row r="39376" spans="26:26" x14ac:dyDescent="0.25">
      <c r="Z39376"/>
    </row>
    <row r="39377" spans="26:26" x14ac:dyDescent="0.25">
      <c r="Z39377"/>
    </row>
    <row r="39378" spans="26:26" x14ac:dyDescent="0.25">
      <c r="Z39378"/>
    </row>
    <row r="39379" spans="26:26" x14ac:dyDescent="0.25">
      <c r="Z39379"/>
    </row>
    <row r="39380" spans="26:26" x14ac:dyDescent="0.25">
      <c r="Z39380"/>
    </row>
    <row r="39381" spans="26:26" x14ac:dyDescent="0.25">
      <c r="Z39381"/>
    </row>
    <row r="39382" spans="26:26" x14ac:dyDescent="0.25">
      <c r="Z39382"/>
    </row>
    <row r="39383" spans="26:26" x14ac:dyDescent="0.25">
      <c r="Z39383"/>
    </row>
    <row r="39384" spans="26:26" x14ac:dyDescent="0.25">
      <c r="Z39384"/>
    </row>
    <row r="39385" spans="26:26" x14ac:dyDescent="0.25">
      <c r="Z39385"/>
    </row>
    <row r="39386" spans="26:26" x14ac:dyDescent="0.25">
      <c r="Z39386"/>
    </row>
    <row r="39387" spans="26:26" x14ac:dyDescent="0.25">
      <c r="Z39387"/>
    </row>
    <row r="39388" spans="26:26" x14ac:dyDescent="0.25">
      <c r="Z39388"/>
    </row>
    <row r="39389" spans="26:26" x14ac:dyDescent="0.25">
      <c r="Z39389"/>
    </row>
    <row r="39390" spans="26:26" x14ac:dyDescent="0.25">
      <c r="Z39390"/>
    </row>
    <row r="39391" spans="26:26" x14ac:dyDescent="0.25">
      <c r="Z39391"/>
    </row>
    <row r="39392" spans="26:26" x14ac:dyDescent="0.25">
      <c r="Z39392"/>
    </row>
    <row r="39393" spans="26:26" x14ac:dyDescent="0.25">
      <c r="Z39393"/>
    </row>
    <row r="39394" spans="26:26" x14ac:dyDescent="0.25">
      <c r="Z39394"/>
    </row>
    <row r="39395" spans="26:26" x14ac:dyDescent="0.25">
      <c r="Z39395"/>
    </row>
    <row r="39396" spans="26:26" x14ac:dyDescent="0.25">
      <c r="Z39396"/>
    </row>
    <row r="39397" spans="26:26" x14ac:dyDescent="0.25">
      <c r="Z39397"/>
    </row>
    <row r="39398" spans="26:26" x14ac:dyDescent="0.25">
      <c r="Z39398"/>
    </row>
    <row r="39399" spans="26:26" x14ac:dyDescent="0.25">
      <c r="Z39399"/>
    </row>
    <row r="39400" spans="26:26" x14ac:dyDescent="0.25">
      <c r="Z39400"/>
    </row>
    <row r="39401" spans="26:26" x14ac:dyDescent="0.25">
      <c r="Z39401"/>
    </row>
    <row r="39402" spans="26:26" x14ac:dyDescent="0.25">
      <c r="Z39402"/>
    </row>
    <row r="39403" spans="26:26" x14ac:dyDescent="0.25">
      <c r="Z39403"/>
    </row>
    <row r="39404" spans="26:26" x14ac:dyDescent="0.25">
      <c r="Z39404"/>
    </row>
    <row r="39405" spans="26:26" x14ac:dyDescent="0.25">
      <c r="Z39405"/>
    </row>
    <row r="39406" spans="26:26" x14ac:dyDescent="0.25">
      <c r="Z39406"/>
    </row>
    <row r="39407" spans="26:26" x14ac:dyDescent="0.25">
      <c r="Z39407"/>
    </row>
    <row r="39408" spans="26:26" x14ac:dyDescent="0.25">
      <c r="Z39408"/>
    </row>
    <row r="39409" spans="26:26" x14ac:dyDescent="0.25">
      <c r="Z39409"/>
    </row>
    <row r="39410" spans="26:26" x14ac:dyDescent="0.25">
      <c r="Z39410"/>
    </row>
    <row r="39411" spans="26:26" x14ac:dyDescent="0.25">
      <c r="Z39411"/>
    </row>
    <row r="39412" spans="26:26" x14ac:dyDescent="0.25">
      <c r="Z39412"/>
    </row>
    <row r="39413" spans="26:26" x14ac:dyDescent="0.25">
      <c r="Z39413"/>
    </row>
    <row r="39414" spans="26:26" x14ac:dyDescent="0.25">
      <c r="Z39414"/>
    </row>
    <row r="39415" spans="26:26" x14ac:dyDescent="0.25">
      <c r="Z39415"/>
    </row>
    <row r="39416" spans="26:26" x14ac:dyDescent="0.25">
      <c r="Z39416"/>
    </row>
    <row r="39417" spans="26:26" x14ac:dyDescent="0.25">
      <c r="Z39417"/>
    </row>
    <row r="39418" spans="26:26" x14ac:dyDescent="0.25">
      <c r="Z39418"/>
    </row>
    <row r="39419" spans="26:26" x14ac:dyDescent="0.25">
      <c r="Z39419"/>
    </row>
    <row r="39420" spans="26:26" x14ac:dyDescent="0.25">
      <c r="Z39420"/>
    </row>
    <row r="39421" spans="26:26" x14ac:dyDescent="0.25">
      <c r="Z39421"/>
    </row>
    <row r="39422" spans="26:26" x14ac:dyDescent="0.25">
      <c r="Z39422"/>
    </row>
    <row r="39423" spans="26:26" x14ac:dyDescent="0.25">
      <c r="Z39423"/>
    </row>
    <row r="39424" spans="26:26" x14ac:dyDescent="0.25">
      <c r="Z39424"/>
    </row>
    <row r="39425" spans="26:26" x14ac:dyDescent="0.25">
      <c r="Z39425"/>
    </row>
    <row r="39426" spans="26:26" x14ac:dyDescent="0.25">
      <c r="Z39426"/>
    </row>
    <row r="39427" spans="26:26" x14ac:dyDescent="0.25">
      <c r="Z39427"/>
    </row>
    <row r="39428" spans="26:26" x14ac:dyDescent="0.25">
      <c r="Z39428"/>
    </row>
    <row r="39429" spans="26:26" x14ac:dyDescent="0.25">
      <c r="Z39429"/>
    </row>
    <row r="39430" spans="26:26" x14ac:dyDescent="0.25">
      <c r="Z39430"/>
    </row>
    <row r="39431" spans="26:26" x14ac:dyDescent="0.25">
      <c r="Z39431"/>
    </row>
    <row r="39432" spans="26:26" x14ac:dyDescent="0.25">
      <c r="Z39432"/>
    </row>
    <row r="39433" spans="26:26" x14ac:dyDescent="0.25">
      <c r="Z39433"/>
    </row>
    <row r="39434" spans="26:26" x14ac:dyDescent="0.25">
      <c r="Z39434"/>
    </row>
    <row r="39435" spans="26:26" x14ac:dyDescent="0.25">
      <c r="Z39435"/>
    </row>
    <row r="39436" spans="26:26" x14ac:dyDescent="0.25">
      <c r="Z39436"/>
    </row>
    <row r="39437" spans="26:26" x14ac:dyDescent="0.25">
      <c r="Z39437"/>
    </row>
    <row r="39438" spans="26:26" x14ac:dyDescent="0.25">
      <c r="Z39438"/>
    </row>
    <row r="39439" spans="26:26" x14ac:dyDescent="0.25">
      <c r="Z39439"/>
    </row>
    <row r="39440" spans="26:26" x14ac:dyDescent="0.25">
      <c r="Z39440"/>
    </row>
    <row r="39441" spans="26:26" x14ac:dyDescent="0.25">
      <c r="Z39441"/>
    </row>
    <row r="39442" spans="26:26" x14ac:dyDescent="0.25">
      <c r="Z39442"/>
    </row>
    <row r="39443" spans="26:26" x14ac:dyDescent="0.25">
      <c r="Z39443"/>
    </row>
    <row r="39444" spans="26:26" x14ac:dyDescent="0.25">
      <c r="Z39444"/>
    </row>
    <row r="39445" spans="26:26" x14ac:dyDescent="0.25">
      <c r="Z39445"/>
    </row>
    <row r="39446" spans="26:26" x14ac:dyDescent="0.25">
      <c r="Z39446"/>
    </row>
    <row r="39447" spans="26:26" x14ac:dyDescent="0.25">
      <c r="Z39447"/>
    </row>
    <row r="39448" spans="26:26" x14ac:dyDescent="0.25">
      <c r="Z39448"/>
    </row>
    <row r="39449" spans="26:26" x14ac:dyDescent="0.25">
      <c r="Z39449"/>
    </row>
    <row r="39450" spans="26:26" x14ac:dyDescent="0.25">
      <c r="Z39450"/>
    </row>
    <row r="39451" spans="26:26" x14ac:dyDescent="0.25">
      <c r="Z39451"/>
    </row>
    <row r="39452" spans="26:26" x14ac:dyDescent="0.25">
      <c r="Z39452"/>
    </row>
    <row r="39453" spans="26:26" x14ac:dyDescent="0.25">
      <c r="Z39453"/>
    </row>
    <row r="39454" spans="26:26" x14ac:dyDescent="0.25">
      <c r="Z39454"/>
    </row>
    <row r="39455" spans="26:26" x14ac:dyDescent="0.25">
      <c r="Z39455"/>
    </row>
    <row r="39456" spans="26:26" x14ac:dyDescent="0.25">
      <c r="Z39456"/>
    </row>
    <row r="39457" spans="26:26" x14ac:dyDescent="0.25">
      <c r="Z39457"/>
    </row>
    <row r="39458" spans="26:26" x14ac:dyDescent="0.25">
      <c r="Z39458"/>
    </row>
    <row r="39459" spans="26:26" x14ac:dyDescent="0.25">
      <c r="Z39459"/>
    </row>
    <row r="39460" spans="26:26" x14ac:dyDescent="0.25">
      <c r="Z39460"/>
    </row>
    <row r="39461" spans="26:26" x14ac:dyDescent="0.25">
      <c r="Z39461"/>
    </row>
    <row r="39462" spans="26:26" x14ac:dyDescent="0.25">
      <c r="Z39462"/>
    </row>
    <row r="39463" spans="26:26" x14ac:dyDescent="0.25">
      <c r="Z39463"/>
    </row>
    <row r="39464" spans="26:26" x14ac:dyDescent="0.25">
      <c r="Z39464"/>
    </row>
    <row r="39465" spans="26:26" x14ac:dyDescent="0.25">
      <c r="Z39465"/>
    </row>
    <row r="39466" spans="26:26" x14ac:dyDescent="0.25">
      <c r="Z39466"/>
    </row>
    <row r="39467" spans="26:26" x14ac:dyDescent="0.25">
      <c r="Z39467"/>
    </row>
    <row r="39468" spans="26:26" x14ac:dyDescent="0.25">
      <c r="Z39468"/>
    </row>
    <row r="39469" spans="26:26" x14ac:dyDescent="0.25">
      <c r="Z39469"/>
    </row>
    <row r="39470" spans="26:26" x14ac:dyDescent="0.25">
      <c r="Z39470"/>
    </row>
    <row r="39471" spans="26:26" x14ac:dyDescent="0.25">
      <c r="Z39471"/>
    </row>
    <row r="39472" spans="26:26" x14ac:dyDescent="0.25">
      <c r="Z39472"/>
    </row>
    <row r="39473" spans="26:26" x14ac:dyDescent="0.25">
      <c r="Z39473"/>
    </row>
    <row r="39474" spans="26:26" x14ac:dyDescent="0.25">
      <c r="Z39474"/>
    </row>
    <row r="39475" spans="26:26" x14ac:dyDescent="0.25">
      <c r="Z39475"/>
    </row>
    <row r="39476" spans="26:26" x14ac:dyDescent="0.25">
      <c r="Z39476"/>
    </row>
    <row r="39477" spans="26:26" x14ac:dyDescent="0.25">
      <c r="Z39477"/>
    </row>
    <row r="39478" spans="26:26" x14ac:dyDescent="0.25">
      <c r="Z39478"/>
    </row>
    <row r="39479" spans="26:26" x14ac:dyDescent="0.25">
      <c r="Z39479"/>
    </row>
    <row r="39480" spans="26:26" x14ac:dyDescent="0.25">
      <c r="Z39480"/>
    </row>
    <row r="39481" spans="26:26" x14ac:dyDescent="0.25">
      <c r="Z39481"/>
    </row>
    <row r="39482" spans="26:26" x14ac:dyDescent="0.25">
      <c r="Z39482"/>
    </row>
    <row r="39483" spans="26:26" x14ac:dyDescent="0.25">
      <c r="Z39483"/>
    </row>
    <row r="39484" spans="26:26" x14ac:dyDescent="0.25">
      <c r="Z39484"/>
    </row>
    <row r="39485" spans="26:26" x14ac:dyDescent="0.25">
      <c r="Z39485"/>
    </row>
    <row r="39486" spans="26:26" x14ac:dyDescent="0.25">
      <c r="Z39486"/>
    </row>
    <row r="39487" spans="26:26" x14ac:dyDescent="0.25">
      <c r="Z39487"/>
    </row>
    <row r="39488" spans="26:26" x14ac:dyDescent="0.25">
      <c r="Z39488"/>
    </row>
    <row r="39489" spans="26:26" x14ac:dyDescent="0.25">
      <c r="Z39489"/>
    </row>
    <row r="39490" spans="26:26" x14ac:dyDescent="0.25">
      <c r="Z39490"/>
    </row>
    <row r="39491" spans="26:26" x14ac:dyDescent="0.25">
      <c r="Z39491"/>
    </row>
    <row r="39492" spans="26:26" x14ac:dyDescent="0.25">
      <c r="Z39492"/>
    </row>
    <row r="39493" spans="26:26" x14ac:dyDescent="0.25">
      <c r="Z39493"/>
    </row>
    <row r="39494" spans="26:26" x14ac:dyDescent="0.25">
      <c r="Z39494"/>
    </row>
    <row r="39495" spans="26:26" x14ac:dyDescent="0.25">
      <c r="Z39495"/>
    </row>
    <row r="39496" spans="26:26" x14ac:dyDescent="0.25">
      <c r="Z39496"/>
    </row>
    <row r="39497" spans="26:26" x14ac:dyDescent="0.25">
      <c r="Z39497"/>
    </row>
    <row r="39498" spans="26:26" x14ac:dyDescent="0.25">
      <c r="Z39498"/>
    </row>
    <row r="39499" spans="26:26" x14ac:dyDescent="0.25">
      <c r="Z39499"/>
    </row>
    <row r="39500" spans="26:26" x14ac:dyDescent="0.25">
      <c r="Z39500"/>
    </row>
    <row r="39501" spans="26:26" x14ac:dyDescent="0.25">
      <c r="Z39501"/>
    </row>
    <row r="39502" spans="26:26" x14ac:dyDescent="0.25">
      <c r="Z39502"/>
    </row>
    <row r="39503" spans="26:26" x14ac:dyDescent="0.25">
      <c r="Z39503"/>
    </row>
    <row r="39504" spans="26:26" x14ac:dyDescent="0.25">
      <c r="Z39504"/>
    </row>
    <row r="39505" spans="26:26" x14ac:dyDescent="0.25">
      <c r="Z39505"/>
    </row>
    <row r="39506" spans="26:26" x14ac:dyDescent="0.25">
      <c r="Z39506"/>
    </row>
    <row r="39507" spans="26:26" x14ac:dyDescent="0.25">
      <c r="Z39507"/>
    </row>
    <row r="39508" spans="26:26" x14ac:dyDescent="0.25">
      <c r="Z39508"/>
    </row>
    <row r="39509" spans="26:26" x14ac:dyDescent="0.25">
      <c r="Z39509"/>
    </row>
    <row r="39510" spans="26:26" x14ac:dyDescent="0.25">
      <c r="Z39510"/>
    </row>
    <row r="39511" spans="26:26" x14ac:dyDescent="0.25">
      <c r="Z39511"/>
    </row>
    <row r="39512" spans="26:26" x14ac:dyDescent="0.25">
      <c r="Z39512"/>
    </row>
    <row r="39513" spans="26:26" x14ac:dyDescent="0.25">
      <c r="Z39513"/>
    </row>
    <row r="39514" spans="26:26" x14ac:dyDescent="0.25">
      <c r="Z39514"/>
    </row>
    <row r="39515" spans="26:26" x14ac:dyDescent="0.25">
      <c r="Z39515"/>
    </row>
    <row r="39516" spans="26:26" x14ac:dyDescent="0.25">
      <c r="Z39516"/>
    </row>
    <row r="39517" spans="26:26" x14ac:dyDescent="0.25">
      <c r="Z39517"/>
    </row>
    <row r="39518" spans="26:26" x14ac:dyDescent="0.25">
      <c r="Z39518"/>
    </row>
    <row r="39519" spans="26:26" x14ac:dyDescent="0.25">
      <c r="Z39519"/>
    </row>
    <row r="39520" spans="26:26" x14ac:dyDescent="0.25">
      <c r="Z39520"/>
    </row>
    <row r="39521" spans="26:26" x14ac:dyDescent="0.25">
      <c r="Z39521"/>
    </row>
    <row r="39522" spans="26:26" x14ac:dyDescent="0.25">
      <c r="Z39522"/>
    </row>
    <row r="39523" spans="26:26" x14ac:dyDescent="0.25">
      <c r="Z39523"/>
    </row>
    <row r="39524" spans="26:26" x14ac:dyDescent="0.25">
      <c r="Z39524"/>
    </row>
    <row r="39525" spans="26:26" x14ac:dyDescent="0.25">
      <c r="Z39525"/>
    </row>
    <row r="39526" spans="26:26" x14ac:dyDescent="0.25">
      <c r="Z39526"/>
    </row>
    <row r="39527" spans="26:26" x14ac:dyDescent="0.25">
      <c r="Z39527"/>
    </row>
    <row r="39528" spans="26:26" x14ac:dyDescent="0.25">
      <c r="Z39528"/>
    </row>
    <row r="39529" spans="26:26" x14ac:dyDescent="0.25">
      <c r="Z39529"/>
    </row>
    <row r="39530" spans="26:26" x14ac:dyDescent="0.25">
      <c r="Z39530"/>
    </row>
    <row r="39531" spans="26:26" x14ac:dyDescent="0.25">
      <c r="Z39531"/>
    </row>
    <row r="39532" spans="26:26" x14ac:dyDescent="0.25">
      <c r="Z39532"/>
    </row>
    <row r="39533" spans="26:26" x14ac:dyDescent="0.25">
      <c r="Z39533"/>
    </row>
    <row r="39534" spans="26:26" x14ac:dyDescent="0.25">
      <c r="Z39534"/>
    </row>
    <row r="39535" spans="26:26" x14ac:dyDescent="0.25">
      <c r="Z39535"/>
    </row>
    <row r="39536" spans="26:26" x14ac:dyDescent="0.25">
      <c r="Z39536"/>
    </row>
    <row r="39537" spans="26:26" x14ac:dyDescent="0.25">
      <c r="Z39537"/>
    </row>
    <row r="39538" spans="26:26" x14ac:dyDescent="0.25">
      <c r="Z39538"/>
    </row>
    <row r="39539" spans="26:26" x14ac:dyDescent="0.25">
      <c r="Z39539"/>
    </row>
    <row r="39540" spans="26:26" x14ac:dyDescent="0.25">
      <c r="Z39540"/>
    </row>
    <row r="39541" spans="26:26" x14ac:dyDescent="0.25">
      <c r="Z39541"/>
    </row>
    <row r="39542" spans="26:26" x14ac:dyDescent="0.25">
      <c r="Z39542"/>
    </row>
    <row r="39543" spans="26:26" x14ac:dyDescent="0.25">
      <c r="Z39543"/>
    </row>
    <row r="39544" spans="26:26" x14ac:dyDescent="0.25">
      <c r="Z39544"/>
    </row>
    <row r="39545" spans="26:26" x14ac:dyDescent="0.25">
      <c r="Z39545"/>
    </row>
    <row r="39546" spans="26:26" x14ac:dyDescent="0.25">
      <c r="Z39546"/>
    </row>
    <row r="39547" spans="26:26" x14ac:dyDescent="0.25">
      <c r="Z39547"/>
    </row>
    <row r="39548" spans="26:26" x14ac:dyDescent="0.25">
      <c r="Z39548"/>
    </row>
    <row r="39549" spans="26:26" x14ac:dyDescent="0.25">
      <c r="Z39549"/>
    </row>
    <row r="39550" spans="26:26" x14ac:dyDescent="0.25">
      <c r="Z39550"/>
    </row>
    <row r="39551" spans="26:26" x14ac:dyDescent="0.25">
      <c r="Z39551"/>
    </row>
    <row r="39552" spans="26:26" x14ac:dyDescent="0.25">
      <c r="Z39552"/>
    </row>
    <row r="39553" spans="26:26" x14ac:dyDescent="0.25">
      <c r="Z39553"/>
    </row>
    <row r="39554" spans="26:26" x14ac:dyDescent="0.25">
      <c r="Z39554"/>
    </row>
    <row r="39555" spans="26:26" x14ac:dyDescent="0.25">
      <c r="Z39555"/>
    </row>
    <row r="39556" spans="26:26" x14ac:dyDescent="0.25">
      <c r="Z39556"/>
    </row>
    <row r="39557" spans="26:26" x14ac:dyDescent="0.25">
      <c r="Z39557"/>
    </row>
    <row r="39558" spans="26:26" x14ac:dyDescent="0.25">
      <c r="Z39558"/>
    </row>
    <row r="39559" spans="26:26" x14ac:dyDescent="0.25">
      <c r="Z39559"/>
    </row>
    <row r="39560" spans="26:26" x14ac:dyDescent="0.25">
      <c r="Z39560"/>
    </row>
    <row r="39561" spans="26:26" x14ac:dyDescent="0.25">
      <c r="Z39561"/>
    </row>
    <row r="39562" spans="26:26" x14ac:dyDescent="0.25">
      <c r="Z39562"/>
    </row>
    <row r="39563" spans="26:26" x14ac:dyDescent="0.25">
      <c r="Z39563"/>
    </row>
    <row r="39564" spans="26:26" x14ac:dyDescent="0.25">
      <c r="Z39564"/>
    </row>
    <row r="39565" spans="26:26" x14ac:dyDescent="0.25">
      <c r="Z39565"/>
    </row>
    <row r="39566" spans="26:26" x14ac:dyDescent="0.25">
      <c r="Z39566"/>
    </row>
    <row r="39567" spans="26:26" x14ac:dyDescent="0.25">
      <c r="Z39567"/>
    </row>
    <row r="39568" spans="26:26" x14ac:dyDescent="0.25">
      <c r="Z39568"/>
    </row>
    <row r="39569" spans="26:26" x14ac:dyDescent="0.25">
      <c r="Z39569"/>
    </row>
    <row r="39570" spans="26:26" x14ac:dyDescent="0.25">
      <c r="Z39570"/>
    </row>
    <row r="39571" spans="26:26" x14ac:dyDescent="0.25">
      <c r="Z39571"/>
    </row>
    <row r="39572" spans="26:26" x14ac:dyDescent="0.25">
      <c r="Z39572"/>
    </row>
    <row r="39573" spans="26:26" x14ac:dyDescent="0.25">
      <c r="Z39573"/>
    </row>
    <row r="39574" spans="26:26" x14ac:dyDescent="0.25">
      <c r="Z39574"/>
    </row>
    <row r="39575" spans="26:26" x14ac:dyDescent="0.25">
      <c r="Z39575"/>
    </row>
    <row r="39576" spans="26:26" x14ac:dyDescent="0.25">
      <c r="Z39576"/>
    </row>
    <row r="39577" spans="26:26" x14ac:dyDescent="0.25">
      <c r="Z39577"/>
    </row>
    <row r="39578" spans="26:26" x14ac:dyDescent="0.25">
      <c r="Z39578"/>
    </row>
    <row r="39579" spans="26:26" x14ac:dyDescent="0.25">
      <c r="Z39579"/>
    </row>
    <row r="39580" spans="26:26" x14ac:dyDescent="0.25">
      <c r="Z39580"/>
    </row>
    <row r="39581" spans="26:26" x14ac:dyDescent="0.25">
      <c r="Z39581"/>
    </row>
    <row r="39582" spans="26:26" x14ac:dyDescent="0.25">
      <c r="Z39582"/>
    </row>
    <row r="39583" spans="26:26" x14ac:dyDescent="0.25">
      <c r="Z39583"/>
    </row>
    <row r="39584" spans="26:26" x14ac:dyDescent="0.25">
      <c r="Z39584"/>
    </row>
    <row r="39585" spans="26:26" x14ac:dyDescent="0.25">
      <c r="Z39585"/>
    </row>
    <row r="39586" spans="26:26" x14ac:dyDescent="0.25">
      <c r="Z39586"/>
    </row>
    <row r="39587" spans="26:26" x14ac:dyDescent="0.25">
      <c r="Z39587"/>
    </row>
    <row r="39588" spans="26:26" x14ac:dyDescent="0.25">
      <c r="Z39588"/>
    </row>
    <row r="39589" spans="26:26" x14ac:dyDescent="0.25">
      <c r="Z39589"/>
    </row>
    <row r="39590" spans="26:26" x14ac:dyDescent="0.25">
      <c r="Z39590"/>
    </row>
    <row r="39591" spans="26:26" x14ac:dyDescent="0.25">
      <c r="Z39591"/>
    </row>
    <row r="39592" spans="26:26" x14ac:dyDescent="0.25">
      <c r="Z39592"/>
    </row>
    <row r="39593" spans="26:26" x14ac:dyDescent="0.25">
      <c r="Z39593"/>
    </row>
    <row r="39594" spans="26:26" x14ac:dyDescent="0.25">
      <c r="Z39594"/>
    </row>
    <row r="39595" spans="26:26" x14ac:dyDescent="0.25">
      <c r="Z39595"/>
    </row>
    <row r="39596" spans="26:26" x14ac:dyDescent="0.25">
      <c r="Z39596"/>
    </row>
    <row r="39597" spans="26:26" x14ac:dyDescent="0.25">
      <c r="Z39597"/>
    </row>
    <row r="39598" spans="26:26" x14ac:dyDescent="0.25">
      <c r="Z39598"/>
    </row>
    <row r="39599" spans="26:26" x14ac:dyDescent="0.25">
      <c r="Z39599"/>
    </row>
    <row r="39600" spans="26:26" x14ac:dyDescent="0.25">
      <c r="Z39600"/>
    </row>
    <row r="39601" spans="26:26" x14ac:dyDescent="0.25">
      <c r="Z39601"/>
    </row>
    <row r="39602" spans="26:26" x14ac:dyDescent="0.25">
      <c r="Z39602"/>
    </row>
    <row r="39603" spans="26:26" x14ac:dyDescent="0.25">
      <c r="Z39603"/>
    </row>
    <row r="39604" spans="26:26" x14ac:dyDescent="0.25">
      <c r="Z39604"/>
    </row>
    <row r="39605" spans="26:26" x14ac:dyDescent="0.25">
      <c r="Z39605"/>
    </row>
    <row r="39606" spans="26:26" x14ac:dyDescent="0.25">
      <c r="Z39606"/>
    </row>
    <row r="39607" spans="26:26" x14ac:dyDescent="0.25">
      <c r="Z39607"/>
    </row>
    <row r="39608" spans="26:26" x14ac:dyDescent="0.25">
      <c r="Z39608"/>
    </row>
    <row r="39609" spans="26:26" x14ac:dyDescent="0.25">
      <c r="Z39609"/>
    </row>
    <row r="39610" spans="26:26" x14ac:dyDescent="0.25">
      <c r="Z39610"/>
    </row>
    <row r="39611" spans="26:26" x14ac:dyDescent="0.25">
      <c r="Z39611"/>
    </row>
    <row r="39612" spans="26:26" x14ac:dyDescent="0.25">
      <c r="Z39612"/>
    </row>
    <row r="39613" spans="26:26" x14ac:dyDescent="0.25">
      <c r="Z39613"/>
    </row>
    <row r="39614" spans="26:26" x14ac:dyDescent="0.25">
      <c r="Z39614"/>
    </row>
    <row r="39615" spans="26:26" x14ac:dyDescent="0.25">
      <c r="Z39615"/>
    </row>
    <row r="39616" spans="26:26" x14ac:dyDescent="0.25">
      <c r="Z39616"/>
    </row>
    <row r="39617" spans="26:26" x14ac:dyDescent="0.25">
      <c r="Z39617"/>
    </row>
    <row r="39618" spans="26:26" x14ac:dyDescent="0.25">
      <c r="Z39618"/>
    </row>
    <row r="39619" spans="26:26" x14ac:dyDescent="0.25">
      <c r="Z39619"/>
    </row>
    <row r="39620" spans="26:26" x14ac:dyDescent="0.25">
      <c r="Z39620"/>
    </row>
    <row r="39621" spans="26:26" x14ac:dyDescent="0.25">
      <c r="Z39621"/>
    </row>
    <row r="39622" spans="26:26" x14ac:dyDescent="0.25">
      <c r="Z39622"/>
    </row>
    <row r="39623" spans="26:26" x14ac:dyDescent="0.25">
      <c r="Z39623"/>
    </row>
    <row r="39624" spans="26:26" x14ac:dyDescent="0.25">
      <c r="Z39624"/>
    </row>
    <row r="39625" spans="26:26" x14ac:dyDescent="0.25">
      <c r="Z39625"/>
    </row>
    <row r="39626" spans="26:26" x14ac:dyDescent="0.25">
      <c r="Z39626"/>
    </row>
    <row r="39627" spans="26:26" x14ac:dyDescent="0.25">
      <c r="Z39627"/>
    </row>
    <row r="39628" spans="26:26" x14ac:dyDescent="0.25">
      <c r="Z39628"/>
    </row>
    <row r="39629" spans="26:26" x14ac:dyDescent="0.25">
      <c r="Z39629"/>
    </row>
    <row r="39630" spans="26:26" x14ac:dyDescent="0.25">
      <c r="Z39630"/>
    </row>
    <row r="39631" spans="26:26" x14ac:dyDescent="0.25">
      <c r="Z39631"/>
    </row>
    <row r="39632" spans="26:26" x14ac:dyDescent="0.25">
      <c r="Z39632"/>
    </row>
    <row r="39633" spans="26:26" x14ac:dyDescent="0.25">
      <c r="Z39633"/>
    </row>
    <row r="39634" spans="26:26" x14ac:dyDescent="0.25">
      <c r="Z39634"/>
    </row>
    <row r="39635" spans="26:26" x14ac:dyDescent="0.25">
      <c r="Z39635"/>
    </row>
    <row r="39636" spans="26:26" x14ac:dyDescent="0.25">
      <c r="Z39636"/>
    </row>
    <row r="39637" spans="26:26" x14ac:dyDescent="0.25">
      <c r="Z39637"/>
    </row>
    <row r="39638" spans="26:26" x14ac:dyDescent="0.25">
      <c r="Z39638"/>
    </row>
    <row r="39639" spans="26:26" x14ac:dyDescent="0.25">
      <c r="Z39639"/>
    </row>
    <row r="39640" spans="26:26" x14ac:dyDescent="0.25">
      <c r="Z39640"/>
    </row>
    <row r="39641" spans="26:26" x14ac:dyDescent="0.25">
      <c r="Z39641"/>
    </row>
    <row r="39642" spans="26:26" x14ac:dyDescent="0.25">
      <c r="Z39642"/>
    </row>
    <row r="39643" spans="26:26" x14ac:dyDescent="0.25">
      <c r="Z39643"/>
    </row>
    <row r="39644" spans="26:26" x14ac:dyDescent="0.25">
      <c r="Z39644"/>
    </row>
    <row r="39645" spans="26:26" x14ac:dyDescent="0.25">
      <c r="Z39645"/>
    </row>
    <row r="39646" spans="26:26" x14ac:dyDescent="0.25">
      <c r="Z39646"/>
    </row>
    <row r="39647" spans="26:26" x14ac:dyDescent="0.25">
      <c r="Z39647"/>
    </row>
    <row r="39648" spans="26:26" x14ac:dyDescent="0.25">
      <c r="Z39648"/>
    </row>
    <row r="39649" spans="26:26" x14ac:dyDescent="0.25">
      <c r="Z39649"/>
    </row>
    <row r="39650" spans="26:26" x14ac:dyDescent="0.25">
      <c r="Z39650"/>
    </row>
    <row r="39651" spans="26:26" x14ac:dyDescent="0.25">
      <c r="Z39651"/>
    </row>
    <row r="39652" spans="26:26" x14ac:dyDescent="0.25">
      <c r="Z39652"/>
    </row>
    <row r="39653" spans="26:26" x14ac:dyDescent="0.25">
      <c r="Z39653"/>
    </row>
    <row r="39654" spans="26:26" x14ac:dyDescent="0.25">
      <c r="Z39654"/>
    </row>
    <row r="39655" spans="26:26" x14ac:dyDescent="0.25">
      <c r="Z39655"/>
    </row>
    <row r="39656" spans="26:26" x14ac:dyDescent="0.25">
      <c r="Z39656"/>
    </row>
    <row r="39657" spans="26:26" x14ac:dyDescent="0.25">
      <c r="Z39657"/>
    </row>
    <row r="39658" spans="26:26" x14ac:dyDescent="0.25">
      <c r="Z39658"/>
    </row>
    <row r="39659" spans="26:26" x14ac:dyDescent="0.25">
      <c r="Z39659"/>
    </row>
    <row r="39660" spans="26:26" x14ac:dyDescent="0.25">
      <c r="Z39660"/>
    </row>
    <row r="39661" spans="26:26" x14ac:dyDescent="0.25">
      <c r="Z39661"/>
    </row>
    <row r="39662" spans="26:26" x14ac:dyDescent="0.25">
      <c r="Z39662"/>
    </row>
    <row r="39663" spans="26:26" x14ac:dyDescent="0.25">
      <c r="Z39663"/>
    </row>
    <row r="39664" spans="26:26" x14ac:dyDescent="0.25">
      <c r="Z39664"/>
    </row>
    <row r="39665" spans="26:26" x14ac:dyDescent="0.25">
      <c r="Z39665"/>
    </row>
    <row r="39666" spans="26:26" x14ac:dyDescent="0.25">
      <c r="Z39666"/>
    </row>
    <row r="39667" spans="26:26" x14ac:dyDescent="0.25">
      <c r="Z39667"/>
    </row>
    <row r="39668" spans="26:26" x14ac:dyDescent="0.25">
      <c r="Z39668"/>
    </row>
    <row r="39669" spans="26:26" x14ac:dyDescent="0.25">
      <c r="Z39669"/>
    </row>
    <row r="39670" spans="26:26" x14ac:dyDescent="0.25">
      <c r="Z39670"/>
    </row>
    <row r="39671" spans="26:26" x14ac:dyDescent="0.25">
      <c r="Z39671"/>
    </row>
    <row r="39672" spans="26:26" x14ac:dyDescent="0.25">
      <c r="Z39672"/>
    </row>
    <row r="39673" spans="26:26" x14ac:dyDescent="0.25">
      <c r="Z39673"/>
    </row>
    <row r="39674" spans="26:26" x14ac:dyDescent="0.25">
      <c r="Z39674"/>
    </row>
    <row r="39675" spans="26:26" x14ac:dyDescent="0.25">
      <c r="Z39675"/>
    </row>
    <row r="39676" spans="26:26" x14ac:dyDescent="0.25">
      <c r="Z39676"/>
    </row>
    <row r="39677" spans="26:26" x14ac:dyDescent="0.25">
      <c r="Z39677"/>
    </row>
    <row r="39678" spans="26:26" x14ac:dyDescent="0.25">
      <c r="Z39678"/>
    </row>
    <row r="39679" spans="26:26" x14ac:dyDescent="0.25">
      <c r="Z39679"/>
    </row>
    <row r="39680" spans="26:26" x14ac:dyDescent="0.25">
      <c r="Z39680"/>
    </row>
    <row r="39681" spans="26:26" x14ac:dyDescent="0.25">
      <c r="Z39681"/>
    </row>
    <row r="39682" spans="26:26" x14ac:dyDescent="0.25">
      <c r="Z39682"/>
    </row>
    <row r="39683" spans="26:26" x14ac:dyDescent="0.25">
      <c r="Z39683"/>
    </row>
    <row r="39684" spans="26:26" x14ac:dyDescent="0.25">
      <c r="Z39684"/>
    </row>
    <row r="39685" spans="26:26" x14ac:dyDescent="0.25">
      <c r="Z39685"/>
    </row>
    <row r="39686" spans="26:26" x14ac:dyDescent="0.25">
      <c r="Z39686"/>
    </row>
    <row r="39687" spans="26:26" x14ac:dyDescent="0.25">
      <c r="Z39687"/>
    </row>
    <row r="39688" spans="26:26" x14ac:dyDescent="0.25">
      <c r="Z39688"/>
    </row>
    <row r="39689" spans="26:26" x14ac:dyDescent="0.25">
      <c r="Z39689"/>
    </row>
    <row r="39690" spans="26:26" x14ac:dyDescent="0.25">
      <c r="Z39690"/>
    </row>
    <row r="39691" spans="26:26" x14ac:dyDescent="0.25">
      <c r="Z39691"/>
    </row>
    <row r="39692" spans="26:26" x14ac:dyDescent="0.25">
      <c r="Z39692"/>
    </row>
    <row r="39693" spans="26:26" x14ac:dyDescent="0.25">
      <c r="Z39693"/>
    </row>
    <row r="39694" spans="26:26" x14ac:dyDescent="0.25">
      <c r="Z39694"/>
    </row>
    <row r="39695" spans="26:26" x14ac:dyDescent="0.25">
      <c r="Z39695"/>
    </row>
    <row r="39696" spans="26:26" x14ac:dyDescent="0.25">
      <c r="Z39696"/>
    </row>
    <row r="39697" spans="26:26" x14ac:dyDescent="0.25">
      <c r="Z39697"/>
    </row>
    <row r="39698" spans="26:26" x14ac:dyDescent="0.25">
      <c r="Z39698"/>
    </row>
    <row r="39699" spans="26:26" x14ac:dyDescent="0.25">
      <c r="Z39699"/>
    </row>
    <row r="39700" spans="26:26" x14ac:dyDescent="0.25">
      <c r="Z39700"/>
    </row>
    <row r="39701" spans="26:26" x14ac:dyDescent="0.25">
      <c r="Z39701"/>
    </row>
    <row r="39702" spans="26:26" x14ac:dyDescent="0.25">
      <c r="Z39702"/>
    </row>
    <row r="39703" spans="26:26" x14ac:dyDescent="0.25">
      <c r="Z39703"/>
    </row>
    <row r="39704" spans="26:26" x14ac:dyDescent="0.25">
      <c r="Z39704"/>
    </row>
    <row r="39705" spans="26:26" x14ac:dyDescent="0.25">
      <c r="Z39705"/>
    </row>
    <row r="39706" spans="26:26" x14ac:dyDescent="0.25">
      <c r="Z39706"/>
    </row>
    <row r="39707" spans="26:26" x14ac:dyDescent="0.25">
      <c r="Z39707"/>
    </row>
    <row r="39708" spans="26:26" x14ac:dyDescent="0.25">
      <c r="Z39708"/>
    </row>
    <row r="39709" spans="26:26" x14ac:dyDescent="0.25">
      <c r="Z39709"/>
    </row>
    <row r="39710" spans="26:26" x14ac:dyDescent="0.25">
      <c r="Z39710"/>
    </row>
    <row r="39711" spans="26:26" x14ac:dyDescent="0.25">
      <c r="Z39711"/>
    </row>
    <row r="39712" spans="26:26" x14ac:dyDescent="0.25">
      <c r="Z39712"/>
    </row>
    <row r="39713" spans="26:26" x14ac:dyDescent="0.25">
      <c r="Z39713"/>
    </row>
    <row r="39714" spans="26:26" x14ac:dyDescent="0.25">
      <c r="Z39714"/>
    </row>
    <row r="39715" spans="26:26" x14ac:dyDescent="0.25">
      <c r="Z39715"/>
    </row>
    <row r="39716" spans="26:26" x14ac:dyDescent="0.25">
      <c r="Z39716"/>
    </row>
    <row r="39717" spans="26:26" x14ac:dyDescent="0.25">
      <c r="Z39717"/>
    </row>
    <row r="39718" spans="26:26" x14ac:dyDescent="0.25">
      <c r="Z39718"/>
    </row>
    <row r="39719" spans="26:26" x14ac:dyDescent="0.25">
      <c r="Z39719"/>
    </row>
    <row r="39720" spans="26:26" x14ac:dyDescent="0.25">
      <c r="Z39720"/>
    </row>
    <row r="39721" spans="26:26" x14ac:dyDescent="0.25">
      <c r="Z39721"/>
    </row>
    <row r="39722" spans="26:26" x14ac:dyDescent="0.25">
      <c r="Z39722"/>
    </row>
    <row r="39723" spans="26:26" x14ac:dyDescent="0.25">
      <c r="Z39723"/>
    </row>
    <row r="39724" spans="26:26" x14ac:dyDescent="0.25">
      <c r="Z39724"/>
    </row>
    <row r="39725" spans="26:26" x14ac:dyDescent="0.25">
      <c r="Z39725"/>
    </row>
    <row r="39726" spans="26:26" x14ac:dyDescent="0.25">
      <c r="Z39726"/>
    </row>
    <row r="39727" spans="26:26" x14ac:dyDescent="0.25">
      <c r="Z39727"/>
    </row>
    <row r="39728" spans="26:26" x14ac:dyDescent="0.25">
      <c r="Z39728"/>
    </row>
    <row r="39729" spans="26:26" x14ac:dyDescent="0.25">
      <c r="Z39729"/>
    </row>
    <row r="39730" spans="26:26" x14ac:dyDescent="0.25">
      <c r="Z39730"/>
    </row>
    <row r="39731" spans="26:26" x14ac:dyDescent="0.25">
      <c r="Z39731"/>
    </row>
    <row r="39732" spans="26:26" x14ac:dyDescent="0.25">
      <c r="Z39732"/>
    </row>
    <row r="39733" spans="26:26" x14ac:dyDescent="0.25">
      <c r="Z39733"/>
    </row>
    <row r="39734" spans="26:26" x14ac:dyDescent="0.25">
      <c r="Z39734"/>
    </row>
    <row r="39735" spans="26:26" x14ac:dyDescent="0.25">
      <c r="Z39735"/>
    </row>
    <row r="39736" spans="26:26" x14ac:dyDescent="0.25">
      <c r="Z39736"/>
    </row>
    <row r="39737" spans="26:26" x14ac:dyDescent="0.25">
      <c r="Z39737"/>
    </row>
    <row r="39738" spans="26:26" x14ac:dyDescent="0.25">
      <c r="Z39738"/>
    </row>
    <row r="39739" spans="26:26" x14ac:dyDescent="0.25">
      <c r="Z39739"/>
    </row>
    <row r="39740" spans="26:26" x14ac:dyDescent="0.25">
      <c r="Z39740"/>
    </row>
    <row r="39741" spans="26:26" x14ac:dyDescent="0.25">
      <c r="Z39741"/>
    </row>
    <row r="39742" spans="26:26" x14ac:dyDescent="0.25">
      <c r="Z39742"/>
    </row>
    <row r="39743" spans="26:26" x14ac:dyDescent="0.25">
      <c r="Z39743"/>
    </row>
    <row r="39744" spans="26:26" x14ac:dyDescent="0.25">
      <c r="Z39744"/>
    </row>
    <row r="39745" spans="26:26" x14ac:dyDescent="0.25">
      <c r="Z39745"/>
    </row>
    <row r="39746" spans="26:26" x14ac:dyDescent="0.25">
      <c r="Z39746"/>
    </row>
    <row r="39747" spans="26:26" x14ac:dyDescent="0.25">
      <c r="Z39747"/>
    </row>
    <row r="39748" spans="26:26" x14ac:dyDescent="0.25">
      <c r="Z39748"/>
    </row>
    <row r="39749" spans="26:26" x14ac:dyDescent="0.25">
      <c r="Z39749"/>
    </row>
    <row r="39750" spans="26:26" x14ac:dyDescent="0.25">
      <c r="Z39750"/>
    </row>
    <row r="39751" spans="26:26" x14ac:dyDescent="0.25">
      <c r="Z39751"/>
    </row>
    <row r="39752" spans="26:26" x14ac:dyDescent="0.25">
      <c r="Z39752"/>
    </row>
    <row r="39753" spans="26:26" x14ac:dyDescent="0.25">
      <c r="Z39753"/>
    </row>
    <row r="39754" spans="26:26" x14ac:dyDescent="0.25">
      <c r="Z39754"/>
    </row>
    <row r="39755" spans="26:26" x14ac:dyDescent="0.25">
      <c r="Z39755"/>
    </row>
    <row r="39756" spans="26:26" x14ac:dyDescent="0.25">
      <c r="Z39756"/>
    </row>
    <row r="39757" spans="26:26" x14ac:dyDescent="0.25">
      <c r="Z39757"/>
    </row>
    <row r="39758" spans="26:26" x14ac:dyDescent="0.25">
      <c r="Z39758"/>
    </row>
    <row r="39759" spans="26:26" x14ac:dyDescent="0.25">
      <c r="Z39759"/>
    </row>
    <row r="39760" spans="26:26" x14ac:dyDescent="0.25">
      <c r="Z39760"/>
    </row>
    <row r="39761" spans="26:26" x14ac:dyDescent="0.25">
      <c r="Z39761"/>
    </row>
    <row r="39762" spans="26:26" x14ac:dyDescent="0.25">
      <c r="Z39762"/>
    </row>
    <row r="39763" spans="26:26" x14ac:dyDescent="0.25">
      <c r="Z39763"/>
    </row>
    <row r="39764" spans="26:26" x14ac:dyDescent="0.25">
      <c r="Z39764"/>
    </row>
    <row r="39765" spans="26:26" x14ac:dyDescent="0.25">
      <c r="Z39765"/>
    </row>
    <row r="39766" spans="26:26" x14ac:dyDescent="0.25">
      <c r="Z39766"/>
    </row>
    <row r="39767" spans="26:26" x14ac:dyDescent="0.25">
      <c r="Z39767"/>
    </row>
    <row r="39768" spans="26:26" x14ac:dyDescent="0.25">
      <c r="Z39768"/>
    </row>
    <row r="39769" spans="26:26" x14ac:dyDescent="0.25">
      <c r="Z39769"/>
    </row>
    <row r="39770" spans="26:26" x14ac:dyDescent="0.25">
      <c r="Z39770"/>
    </row>
    <row r="39771" spans="26:26" x14ac:dyDescent="0.25">
      <c r="Z39771"/>
    </row>
    <row r="39772" spans="26:26" x14ac:dyDescent="0.25">
      <c r="Z39772"/>
    </row>
    <row r="39773" spans="26:26" x14ac:dyDescent="0.25">
      <c r="Z39773"/>
    </row>
    <row r="39774" spans="26:26" x14ac:dyDescent="0.25">
      <c r="Z39774"/>
    </row>
    <row r="39775" spans="26:26" x14ac:dyDescent="0.25">
      <c r="Z39775"/>
    </row>
    <row r="39776" spans="26:26" x14ac:dyDescent="0.25">
      <c r="Z39776"/>
    </row>
    <row r="39777" spans="26:26" x14ac:dyDescent="0.25">
      <c r="Z39777"/>
    </row>
    <row r="39778" spans="26:26" x14ac:dyDescent="0.25">
      <c r="Z39778"/>
    </row>
    <row r="39779" spans="26:26" x14ac:dyDescent="0.25">
      <c r="Z39779"/>
    </row>
    <row r="39780" spans="26:26" x14ac:dyDescent="0.25">
      <c r="Z39780"/>
    </row>
    <row r="39781" spans="26:26" x14ac:dyDescent="0.25">
      <c r="Z39781"/>
    </row>
    <row r="39782" spans="26:26" x14ac:dyDescent="0.25">
      <c r="Z39782"/>
    </row>
    <row r="39783" spans="26:26" x14ac:dyDescent="0.25">
      <c r="Z39783"/>
    </row>
    <row r="39784" spans="26:26" x14ac:dyDescent="0.25">
      <c r="Z39784"/>
    </row>
    <row r="39785" spans="26:26" x14ac:dyDescent="0.25">
      <c r="Z39785"/>
    </row>
    <row r="39786" spans="26:26" x14ac:dyDescent="0.25">
      <c r="Z39786"/>
    </row>
    <row r="39787" spans="26:26" x14ac:dyDescent="0.25">
      <c r="Z39787"/>
    </row>
    <row r="39788" spans="26:26" x14ac:dyDescent="0.25">
      <c r="Z39788"/>
    </row>
    <row r="39789" spans="26:26" x14ac:dyDescent="0.25">
      <c r="Z39789"/>
    </row>
    <row r="39790" spans="26:26" x14ac:dyDescent="0.25">
      <c r="Z39790"/>
    </row>
    <row r="39791" spans="26:26" x14ac:dyDescent="0.25">
      <c r="Z39791"/>
    </row>
    <row r="39792" spans="26:26" x14ac:dyDescent="0.25">
      <c r="Z39792"/>
    </row>
    <row r="39793" spans="26:26" x14ac:dyDescent="0.25">
      <c r="Z39793"/>
    </row>
    <row r="39794" spans="26:26" x14ac:dyDescent="0.25">
      <c r="Z39794"/>
    </row>
    <row r="39795" spans="26:26" x14ac:dyDescent="0.25">
      <c r="Z39795"/>
    </row>
    <row r="39796" spans="26:26" x14ac:dyDescent="0.25">
      <c r="Z39796"/>
    </row>
    <row r="39797" spans="26:26" x14ac:dyDescent="0.25">
      <c r="Z39797"/>
    </row>
    <row r="39798" spans="26:26" x14ac:dyDescent="0.25">
      <c r="Z39798"/>
    </row>
    <row r="39799" spans="26:26" x14ac:dyDescent="0.25">
      <c r="Z39799"/>
    </row>
    <row r="39800" spans="26:26" x14ac:dyDescent="0.25">
      <c r="Z39800"/>
    </row>
    <row r="39801" spans="26:26" x14ac:dyDescent="0.25">
      <c r="Z39801"/>
    </row>
    <row r="39802" spans="26:26" x14ac:dyDescent="0.25">
      <c r="Z39802"/>
    </row>
    <row r="39803" spans="26:26" x14ac:dyDescent="0.25">
      <c r="Z39803"/>
    </row>
    <row r="39804" spans="26:26" x14ac:dyDescent="0.25">
      <c r="Z39804"/>
    </row>
    <row r="39805" spans="26:26" x14ac:dyDescent="0.25">
      <c r="Z39805"/>
    </row>
    <row r="39806" spans="26:26" x14ac:dyDescent="0.25">
      <c r="Z39806"/>
    </row>
    <row r="39807" spans="26:26" x14ac:dyDescent="0.25">
      <c r="Z39807"/>
    </row>
    <row r="39808" spans="26:26" x14ac:dyDescent="0.25">
      <c r="Z39808"/>
    </row>
    <row r="39809" spans="26:26" x14ac:dyDescent="0.25">
      <c r="Z39809"/>
    </row>
    <row r="39810" spans="26:26" x14ac:dyDescent="0.25">
      <c r="Z39810"/>
    </row>
    <row r="39811" spans="26:26" x14ac:dyDescent="0.25">
      <c r="Z39811"/>
    </row>
    <row r="39812" spans="26:26" x14ac:dyDescent="0.25">
      <c r="Z39812"/>
    </row>
    <row r="39813" spans="26:26" x14ac:dyDescent="0.25">
      <c r="Z39813"/>
    </row>
    <row r="39814" spans="26:26" x14ac:dyDescent="0.25">
      <c r="Z39814"/>
    </row>
    <row r="39815" spans="26:26" x14ac:dyDescent="0.25">
      <c r="Z39815"/>
    </row>
    <row r="39816" spans="26:26" x14ac:dyDescent="0.25">
      <c r="Z39816"/>
    </row>
    <row r="39817" spans="26:26" x14ac:dyDescent="0.25">
      <c r="Z39817"/>
    </row>
    <row r="39818" spans="26:26" x14ac:dyDescent="0.25">
      <c r="Z39818"/>
    </row>
    <row r="39819" spans="26:26" x14ac:dyDescent="0.25">
      <c r="Z39819"/>
    </row>
    <row r="39820" spans="26:26" x14ac:dyDescent="0.25">
      <c r="Z39820"/>
    </row>
    <row r="39821" spans="26:26" x14ac:dyDescent="0.25">
      <c r="Z39821"/>
    </row>
    <row r="39822" spans="26:26" x14ac:dyDescent="0.25">
      <c r="Z39822"/>
    </row>
    <row r="39823" spans="26:26" x14ac:dyDescent="0.25">
      <c r="Z39823"/>
    </row>
    <row r="39824" spans="26:26" x14ac:dyDescent="0.25">
      <c r="Z39824"/>
    </row>
    <row r="39825" spans="26:26" x14ac:dyDescent="0.25">
      <c r="Z39825"/>
    </row>
    <row r="39826" spans="26:26" x14ac:dyDescent="0.25">
      <c r="Z39826"/>
    </row>
    <row r="39827" spans="26:26" x14ac:dyDescent="0.25">
      <c r="Z39827"/>
    </row>
    <row r="39828" spans="26:26" x14ac:dyDescent="0.25">
      <c r="Z39828"/>
    </row>
    <row r="39829" spans="26:26" x14ac:dyDescent="0.25">
      <c r="Z39829"/>
    </row>
    <row r="39830" spans="26:26" x14ac:dyDescent="0.25">
      <c r="Z39830"/>
    </row>
    <row r="39831" spans="26:26" x14ac:dyDescent="0.25">
      <c r="Z39831"/>
    </row>
    <row r="39832" spans="26:26" x14ac:dyDescent="0.25">
      <c r="Z39832"/>
    </row>
    <row r="39833" spans="26:26" x14ac:dyDescent="0.25">
      <c r="Z39833"/>
    </row>
    <row r="39834" spans="26:26" x14ac:dyDescent="0.25">
      <c r="Z39834"/>
    </row>
    <row r="39835" spans="26:26" x14ac:dyDescent="0.25">
      <c r="Z39835"/>
    </row>
    <row r="39836" spans="26:26" x14ac:dyDescent="0.25">
      <c r="Z39836"/>
    </row>
    <row r="39837" spans="26:26" x14ac:dyDescent="0.25">
      <c r="Z39837"/>
    </row>
    <row r="39838" spans="26:26" x14ac:dyDescent="0.25">
      <c r="Z39838"/>
    </row>
    <row r="39839" spans="26:26" x14ac:dyDescent="0.25">
      <c r="Z39839"/>
    </row>
    <row r="39840" spans="26:26" x14ac:dyDescent="0.25">
      <c r="Z39840"/>
    </row>
    <row r="39841" spans="26:26" x14ac:dyDescent="0.25">
      <c r="Z39841"/>
    </row>
    <row r="39842" spans="26:26" x14ac:dyDescent="0.25">
      <c r="Z39842"/>
    </row>
    <row r="39843" spans="26:26" x14ac:dyDescent="0.25">
      <c r="Z39843"/>
    </row>
    <row r="39844" spans="26:26" x14ac:dyDescent="0.25">
      <c r="Z39844"/>
    </row>
    <row r="39845" spans="26:26" x14ac:dyDescent="0.25">
      <c r="Z39845"/>
    </row>
    <row r="39846" spans="26:26" x14ac:dyDescent="0.25">
      <c r="Z39846"/>
    </row>
    <row r="39847" spans="26:26" x14ac:dyDescent="0.25">
      <c r="Z39847"/>
    </row>
    <row r="39848" spans="26:26" x14ac:dyDescent="0.25">
      <c r="Z39848"/>
    </row>
    <row r="39849" spans="26:26" x14ac:dyDescent="0.25">
      <c r="Z39849"/>
    </row>
    <row r="39850" spans="26:26" x14ac:dyDescent="0.25">
      <c r="Z39850"/>
    </row>
    <row r="39851" spans="26:26" x14ac:dyDescent="0.25">
      <c r="Z39851"/>
    </row>
    <row r="39852" spans="26:26" x14ac:dyDescent="0.25">
      <c r="Z39852"/>
    </row>
    <row r="39853" spans="26:26" x14ac:dyDescent="0.25">
      <c r="Z39853"/>
    </row>
    <row r="39854" spans="26:26" x14ac:dyDescent="0.25">
      <c r="Z39854"/>
    </row>
    <row r="39855" spans="26:26" x14ac:dyDescent="0.25">
      <c r="Z39855"/>
    </row>
    <row r="39856" spans="26:26" x14ac:dyDescent="0.25">
      <c r="Z39856"/>
    </row>
    <row r="39857" spans="26:26" x14ac:dyDescent="0.25">
      <c r="Z39857"/>
    </row>
    <row r="39858" spans="26:26" x14ac:dyDescent="0.25">
      <c r="Z39858"/>
    </row>
    <row r="39859" spans="26:26" x14ac:dyDescent="0.25">
      <c r="Z39859"/>
    </row>
    <row r="39860" spans="26:26" x14ac:dyDescent="0.25">
      <c r="Z39860"/>
    </row>
    <row r="39861" spans="26:26" x14ac:dyDescent="0.25">
      <c r="Z39861"/>
    </row>
    <row r="39862" spans="26:26" x14ac:dyDescent="0.25">
      <c r="Z39862"/>
    </row>
    <row r="39863" spans="26:26" x14ac:dyDescent="0.25">
      <c r="Z39863"/>
    </row>
    <row r="39864" spans="26:26" x14ac:dyDescent="0.25">
      <c r="Z39864"/>
    </row>
    <row r="39865" spans="26:26" x14ac:dyDescent="0.25">
      <c r="Z39865"/>
    </row>
    <row r="39866" spans="26:26" x14ac:dyDescent="0.25">
      <c r="Z39866"/>
    </row>
    <row r="39867" spans="26:26" x14ac:dyDescent="0.25">
      <c r="Z39867"/>
    </row>
    <row r="39868" spans="26:26" x14ac:dyDescent="0.25">
      <c r="Z39868"/>
    </row>
    <row r="39869" spans="26:26" x14ac:dyDescent="0.25">
      <c r="Z39869"/>
    </row>
    <row r="39870" spans="26:26" x14ac:dyDescent="0.25">
      <c r="Z39870"/>
    </row>
    <row r="39871" spans="26:26" x14ac:dyDescent="0.25">
      <c r="Z39871"/>
    </row>
    <row r="39872" spans="26:26" x14ac:dyDescent="0.25">
      <c r="Z39872"/>
    </row>
    <row r="39873" spans="26:26" x14ac:dyDescent="0.25">
      <c r="Z39873"/>
    </row>
    <row r="39874" spans="26:26" x14ac:dyDescent="0.25">
      <c r="Z39874"/>
    </row>
    <row r="39875" spans="26:26" x14ac:dyDescent="0.25">
      <c r="Z39875"/>
    </row>
    <row r="39876" spans="26:26" x14ac:dyDescent="0.25">
      <c r="Z39876"/>
    </row>
    <row r="39877" spans="26:26" x14ac:dyDescent="0.25">
      <c r="Z39877"/>
    </row>
    <row r="39878" spans="26:26" x14ac:dyDescent="0.25">
      <c r="Z39878"/>
    </row>
    <row r="39879" spans="26:26" x14ac:dyDescent="0.25">
      <c r="Z39879"/>
    </row>
    <row r="39880" spans="26:26" x14ac:dyDescent="0.25">
      <c r="Z39880"/>
    </row>
    <row r="39881" spans="26:26" x14ac:dyDescent="0.25">
      <c r="Z39881"/>
    </row>
    <row r="39882" spans="26:26" x14ac:dyDescent="0.25">
      <c r="Z39882"/>
    </row>
    <row r="39883" spans="26:26" x14ac:dyDescent="0.25">
      <c r="Z39883"/>
    </row>
    <row r="39884" spans="26:26" x14ac:dyDescent="0.25">
      <c r="Z39884"/>
    </row>
    <row r="39885" spans="26:26" x14ac:dyDescent="0.25">
      <c r="Z39885"/>
    </row>
    <row r="39886" spans="26:26" x14ac:dyDescent="0.25">
      <c r="Z39886"/>
    </row>
    <row r="39887" spans="26:26" x14ac:dyDescent="0.25">
      <c r="Z39887"/>
    </row>
    <row r="39888" spans="26:26" x14ac:dyDescent="0.25">
      <c r="Z39888"/>
    </row>
    <row r="39889" spans="26:26" x14ac:dyDescent="0.25">
      <c r="Z39889"/>
    </row>
    <row r="39890" spans="26:26" x14ac:dyDescent="0.25">
      <c r="Z39890"/>
    </row>
    <row r="39891" spans="26:26" x14ac:dyDescent="0.25">
      <c r="Z39891"/>
    </row>
    <row r="39892" spans="26:26" x14ac:dyDescent="0.25">
      <c r="Z39892"/>
    </row>
    <row r="39893" spans="26:26" x14ac:dyDescent="0.25">
      <c r="Z39893"/>
    </row>
    <row r="39894" spans="26:26" x14ac:dyDescent="0.25">
      <c r="Z39894"/>
    </row>
    <row r="39895" spans="26:26" x14ac:dyDescent="0.25">
      <c r="Z39895"/>
    </row>
    <row r="39896" spans="26:26" x14ac:dyDescent="0.25">
      <c r="Z39896"/>
    </row>
    <row r="39897" spans="26:26" x14ac:dyDescent="0.25">
      <c r="Z39897"/>
    </row>
    <row r="39898" spans="26:26" x14ac:dyDescent="0.25">
      <c r="Z39898"/>
    </row>
    <row r="39899" spans="26:26" x14ac:dyDescent="0.25">
      <c r="Z39899"/>
    </row>
    <row r="39900" spans="26:26" x14ac:dyDescent="0.25">
      <c r="Z39900"/>
    </row>
    <row r="39901" spans="26:26" x14ac:dyDescent="0.25">
      <c r="Z39901"/>
    </row>
    <row r="39902" spans="26:26" x14ac:dyDescent="0.25">
      <c r="Z39902"/>
    </row>
    <row r="39903" spans="26:26" x14ac:dyDescent="0.25">
      <c r="Z39903"/>
    </row>
    <row r="39904" spans="26:26" x14ac:dyDescent="0.25">
      <c r="Z39904"/>
    </row>
    <row r="39905" spans="26:26" x14ac:dyDescent="0.25">
      <c r="Z39905"/>
    </row>
    <row r="39906" spans="26:26" x14ac:dyDescent="0.25">
      <c r="Z39906"/>
    </row>
    <row r="39907" spans="26:26" x14ac:dyDescent="0.25">
      <c r="Z39907"/>
    </row>
    <row r="39908" spans="26:26" x14ac:dyDescent="0.25">
      <c r="Z39908"/>
    </row>
    <row r="39909" spans="26:26" x14ac:dyDescent="0.25">
      <c r="Z39909"/>
    </row>
    <row r="39910" spans="26:26" x14ac:dyDescent="0.25">
      <c r="Z39910"/>
    </row>
    <row r="39911" spans="26:26" x14ac:dyDescent="0.25">
      <c r="Z39911"/>
    </row>
    <row r="39912" spans="26:26" x14ac:dyDescent="0.25">
      <c r="Z39912"/>
    </row>
    <row r="39913" spans="26:26" x14ac:dyDescent="0.25">
      <c r="Z39913"/>
    </row>
    <row r="39914" spans="26:26" x14ac:dyDescent="0.25">
      <c r="Z39914"/>
    </row>
    <row r="39915" spans="26:26" x14ac:dyDescent="0.25">
      <c r="Z39915"/>
    </row>
    <row r="39916" spans="26:26" x14ac:dyDescent="0.25">
      <c r="Z39916"/>
    </row>
    <row r="39917" spans="26:26" x14ac:dyDescent="0.25">
      <c r="Z39917"/>
    </row>
    <row r="39918" spans="26:26" x14ac:dyDescent="0.25">
      <c r="Z39918"/>
    </row>
    <row r="39919" spans="26:26" x14ac:dyDescent="0.25">
      <c r="Z39919"/>
    </row>
    <row r="39920" spans="26:26" x14ac:dyDescent="0.25">
      <c r="Z39920"/>
    </row>
    <row r="39921" spans="26:26" x14ac:dyDescent="0.25">
      <c r="Z39921"/>
    </row>
    <row r="39922" spans="26:26" x14ac:dyDescent="0.25">
      <c r="Z39922"/>
    </row>
    <row r="39923" spans="26:26" x14ac:dyDescent="0.25">
      <c r="Z39923"/>
    </row>
    <row r="39924" spans="26:26" x14ac:dyDescent="0.25">
      <c r="Z39924"/>
    </row>
    <row r="39925" spans="26:26" x14ac:dyDescent="0.25">
      <c r="Z39925"/>
    </row>
    <row r="39926" spans="26:26" x14ac:dyDescent="0.25">
      <c r="Z39926"/>
    </row>
    <row r="39927" spans="26:26" x14ac:dyDescent="0.25">
      <c r="Z39927"/>
    </row>
    <row r="39928" spans="26:26" x14ac:dyDescent="0.25">
      <c r="Z39928"/>
    </row>
    <row r="39929" spans="26:26" x14ac:dyDescent="0.25">
      <c r="Z39929"/>
    </row>
    <row r="39930" spans="26:26" x14ac:dyDescent="0.25">
      <c r="Z39930"/>
    </row>
    <row r="39931" spans="26:26" x14ac:dyDescent="0.25">
      <c r="Z39931"/>
    </row>
    <row r="39932" spans="26:26" x14ac:dyDescent="0.25">
      <c r="Z39932"/>
    </row>
    <row r="39933" spans="26:26" x14ac:dyDescent="0.25">
      <c r="Z39933"/>
    </row>
    <row r="39934" spans="26:26" x14ac:dyDescent="0.25">
      <c r="Z39934"/>
    </row>
    <row r="39935" spans="26:26" x14ac:dyDescent="0.25">
      <c r="Z39935"/>
    </row>
    <row r="39936" spans="26:26" x14ac:dyDescent="0.25">
      <c r="Z39936"/>
    </row>
    <row r="39937" spans="26:26" x14ac:dyDescent="0.25">
      <c r="Z39937"/>
    </row>
    <row r="39938" spans="26:26" x14ac:dyDescent="0.25">
      <c r="Z39938"/>
    </row>
    <row r="39939" spans="26:26" x14ac:dyDescent="0.25">
      <c r="Z39939"/>
    </row>
    <row r="39940" spans="26:26" x14ac:dyDescent="0.25">
      <c r="Z39940"/>
    </row>
    <row r="39941" spans="26:26" x14ac:dyDescent="0.25">
      <c r="Z39941"/>
    </row>
    <row r="39942" spans="26:26" x14ac:dyDescent="0.25">
      <c r="Z39942"/>
    </row>
    <row r="39943" spans="26:26" x14ac:dyDescent="0.25">
      <c r="Z39943"/>
    </row>
    <row r="39944" spans="26:26" x14ac:dyDescent="0.25">
      <c r="Z39944"/>
    </row>
    <row r="39945" spans="26:26" x14ac:dyDescent="0.25">
      <c r="Z39945"/>
    </row>
    <row r="39946" spans="26:26" x14ac:dyDescent="0.25">
      <c r="Z39946"/>
    </row>
    <row r="39947" spans="26:26" x14ac:dyDescent="0.25">
      <c r="Z39947"/>
    </row>
    <row r="39948" spans="26:26" x14ac:dyDescent="0.25">
      <c r="Z39948"/>
    </row>
    <row r="39949" spans="26:26" x14ac:dyDescent="0.25">
      <c r="Z39949"/>
    </row>
    <row r="39950" spans="26:26" x14ac:dyDescent="0.25">
      <c r="Z39950"/>
    </row>
    <row r="39951" spans="26:26" x14ac:dyDescent="0.25">
      <c r="Z39951"/>
    </row>
    <row r="39952" spans="26:26" x14ac:dyDescent="0.25">
      <c r="Z39952"/>
    </row>
    <row r="39953" spans="26:26" x14ac:dyDescent="0.25">
      <c r="Z39953"/>
    </row>
    <row r="39954" spans="26:26" x14ac:dyDescent="0.25">
      <c r="Z39954"/>
    </row>
    <row r="39955" spans="26:26" x14ac:dyDescent="0.25">
      <c r="Z39955"/>
    </row>
    <row r="39956" spans="26:26" x14ac:dyDescent="0.25">
      <c r="Z39956"/>
    </row>
    <row r="39957" spans="26:26" x14ac:dyDescent="0.25">
      <c r="Z39957"/>
    </row>
    <row r="39958" spans="26:26" x14ac:dyDescent="0.25">
      <c r="Z39958"/>
    </row>
    <row r="39959" spans="26:26" x14ac:dyDescent="0.25">
      <c r="Z39959"/>
    </row>
    <row r="39960" spans="26:26" x14ac:dyDescent="0.25">
      <c r="Z39960"/>
    </row>
    <row r="39961" spans="26:26" x14ac:dyDescent="0.25">
      <c r="Z39961"/>
    </row>
    <row r="39962" spans="26:26" x14ac:dyDescent="0.25">
      <c r="Z39962"/>
    </row>
    <row r="39963" spans="26:26" x14ac:dyDescent="0.25">
      <c r="Z39963"/>
    </row>
    <row r="39964" spans="26:26" x14ac:dyDescent="0.25">
      <c r="Z39964"/>
    </row>
    <row r="39965" spans="26:26" x14ac:dyDescent="0.25">
      <c r="Z39965"/>
    </row>
    <row r="39966" spans="26:26" x14ac:dyDescent="0.25">
      <c r="Z39966"/>
    </row>
    <row r="39967" spans="26:26" x14ac:dyDescent="0.25">
      <c r="Z39967"/>
    </row>
    <row r="39968" spans="26:26" x14ac:dyDescent="0.25">
      <c r="Z39968"/>
    </row>
    <row r="39969" spans="26:26" x14ac:dyDescent="0.25">
      <c r="Z39969"/>
    </row>
    <row r="39970" spans="26:26" x14ac:dyDescent="0.25">
      <c r="Z39970"/>
    </row>
    <row r="39971" spans="26:26" x14ac:dyDescent="0.25">
      <c r="Z39971"/>
    </row>
    <row r="39972" spans="26:26" x14ac:dyDescent="0.25">
      <c r="Z39972"/>
    </row>
    <row r="39973" spans="26:26" x14ac:dyDescent="0.25">
      <c r="Z39973"/>
    </row>
    <row r="39974" spans="26:26" x14ac:dyDescent="0.25">
      <c r="Z39974"/>
    </row>
    <row r="39975" spans="26:26" x14ac:dyDescent="0.25">
      <c r="Z39975"/>
    </row>
    <row r="39976" spans="26:26" x14ac:dyDescent="0.25">
      <c r="Z39976"/>
    </row>
    <row r="39977" spans="26:26" x14ac:dyDescent="0.25">
      <c r="Z39977"/>
    </row>
    <row r="39978" spans="26:26" x14ac:dyDescent="0.25">
      <c r="Z39978"/>
    </row>
    <row r="39979" spans="26:26" x14ac:dyDescent="0.25">
      <c r="Z39979"/>
    </row>
    <row r="39980" spans="26:26" x14ac:dyDescent="0.25">
      <c r="Z39980"/>
    </row>
    <row r="39981" spans="26:26" x14ac:dyDescent="0.25">
      <c r="Z39981"/>
    </row>
    <row r="39982" spans="26:26" x14ac:dyDescent="0.25">
      <c r="Z39982"/>
    </row>
    <row r="39983" spans="26:26" x14ac:dyDescent="0.25">
      <c r="Z39983"/>
    </row>
    <row r="39984" spans="26:26" x14ac:dyDescent="0.25">
      <c r="Z39984"/>
    </row>
    <row r="39985" spans="26:26" x14ac:dyDescent="0.25">
      <c r="Z39985"/>
    </row>
    <row r="39986" spans="26:26" x14ac:dyDescent="0.25">
      <c r="Z39986"/>
    </row>
    <row r="39987" spans="26:26" x14ac:dyDescent="0.25">
      <c r="Z39987"/>
    </row>
    <row r="39988" spans="26:26" x14ac:dyDescent="0.25">
      <c r="Z39988"/>
    </row>
    <row r="39989" spans="26:26" x14ac:dyDescent="0.25">
      <c r="Z39989"/>
    </row>
    <row r="39990" spans="26:26" x14ac:dyDescent="0.25">
      <c r="Z39990"/>
    </row>
    <row r="39991" spans="26:26" x14ac:dyDescent="0.25">
      <c r="Z39991"/>
    </row>
    <row r="39992" spans="26:26" x14ac:dyDescent="0.25">
      <c r="Z39992"/>
    </row>
    <row r="39993" spans="26:26" x14ac:dyDescent="0.25">
      <c r="Z39993"/>
    </row>
    <row r="39994" spans="26:26" x14ac:dyDescent="0.25">
      <c r="Z39994"/>
    </row>
    <row r="39995" spans="26:26" x14ac:dyDescent="0.25">
      <c r="Z39995"/>
    </row>
    <row r="39996" spans="26:26" x14ac:dyDescent="0.25">
      <c r="Z39996"/>
    </row>
    <row r="39997" spans="26:26" x14ac:dyDescent="0.25">
      <c r="Z39997"/>
    </row>
    <row r="39998" spans="26:26" x14ac:dyDescent="0.25">
      <c r="Z39998"/>
    </row>
    <row r="39999" spans="26:26" x14ac:dyDescent="0.25">
      <c r="Z39999"/>
    </row>
    <row r="40000" spans="26:26" x14ac:dyDescent="0.25">
      <c r="Z40000"/>
    </row>
    <row r="40001" spans="26:26" x14ac:dyDescent="0.25">
      <c r="Z40001"/>
    </row>
    <row r="40002" spans="26:26" x14ac:dyDescent="0.25">
      <c r="Z40002"/>
    </row>
    <row r="40003" spans="26:26" x14ac:dyDescent="0.25">
      <c r="Z40003"/>
    </row>
    <row r="40004" spans="26:26" x14ac:dyDescent="0.25">
      <c r="Z40004"/>
    </row>
    <row r="40005" spans="26:26" x14ac:dyDescent="0.25">
      <c r="Z40005"/>
    </row>
    <row r="40006" spans="26:26" x14ac:dyDescent="0.25">
      <c r="Z40006"/>
    </row>
    <row r="40007" spans="26:26" x14ac:dyDescent="0.25">
      <c r="Z40007"/>
    </row>
    <row r="40008" spans="26:26" x14ac:dyDescent="0.25">
      <c r="Z40008"/>
    </row>
    <row r="40009" spans="26:26" x14ac:dyDescent="0.25">
      <c r="Z40009"/>
    </row>
    <row r="40010" spans="26:26" x14ac:dyDescent="0.25">
      <c r="Z40010"/>
    </row>
    <row r="40011" spans="26:26" x14ac:dyDescent="0.25">
      <c r="Z40011"/>
    </row>
    <row r="40012" spans="26:26" x14ac:dyDescent="0.25">
      <c r="Z40012"/>
    </row>
    <row r="40013" spans="26:26" x14ac:dyDescent="0.25">
      <c r="Z40013"/>
    </row>
    <row r="40014" spans="26:26" x14ac:dyDescent="0.25">
      <c r="Z40014"/>
    </row>
    <row r="40015" spans="26:26" x14ac:dyDescent="0.25">
      <c r="Z40015"/>
    </row>
    <row r="40016" spans="26:26" x14ac:dyDescent="0.25">
      <c r="Z40016"/>
    </row>
    <row r="40017" spans="26:26" x14ac:dyDescent="0.25">
      <c r="Z40017"/>
    </row>
    <row r="40018" spans="26:26" x14ac:dyDescent="0.25">
      <c r="Z40018"/>
    </row>
    <row r="40019" spans="26:26" x14ac:dyDescent="0.25">
      <c r="Z40019"/>
    </row>
    <row r="40020" spans="26:26" x14ac:dyDescent="0.25">
      <c r="Z40020"/>
    </row>
    <row r="40021" spans="26:26" x14ac:dyDescent="0.25">
      <c r="Z40021"/>
    </row>
    <row r="40022" spans="26:26" x14ac:dyDescent="0.25">
      <c r="Z40022"/>
    </row>
    <row r="40023" spans="26:26" x14ac:dyDescent="0.25">
      <c r="Z40023"/>
    </row>
    <row r="40024" spans="26:26" x14ac:dyDescent="0.25">
      <c r="Z40024"/>
    </row>
    <row r="40025" spans="26:26" x14ac:dyDescent="0.25">
      <c r="Z40025"/>
    </row>
    <row r="40026" spans="26:26" x14ac:dyDescent="0.25">
      <c r="Z40026"/>
    </row>
    <row r="40027" spans="26:26" x14ac:dyDescent="0.25">
      <c r="Z40027"/>
    </row>
    <row r="40028" spans="26:26" x14ac:dyDescent="0.25">
      <c r="Z40028"/>
    </row>
    <row r="40029" spans="26:26" x14ac:dyDescent="0.25">
      <c r="Z40029"/>
    </row>
    <row r="40030" spans="26:26" x14ac:dyDescent="0.25">
      <c r="Z40030"/>
    </row>
    <row r="40031" spans="26:26" x14ac:dyDescent="0.25">
      <c r="Z40031"/>
    </row>
    <row r="40032" spans="26:26" x14ac:dyDescent="0.25">
      <c r="Z40032"/>
    </row>
    <row r="40033" spans="26:26" x14ac:dyDescent="0.25">
      <c r="Z40033"/>
    </row>
    <row r="40034" spans="26:26" x14ac:dyDescent="0.25">
      <c r="Z40034"/>
    </row>
    <row r="40035" spans="26:26" x14ac:dyDescent="0.25">
      <c r="Z40035"/>
    </row>
    <row r="40036" spans="26:26" x14ac:dyDescent="0.25">
      <c r="Z40036"/>
    </row>
    <row r="40037" spans="26:26" x14ac:dyDescent="0.25">
      <c r="Z40037"/>
    </row>
    <row r="40038" spans="26:26" x14ac:dyDescent="0.25">
      <c r="Z40038"/>
    </row>
    <row r="40039" spans="26:26" x14ac:dyDescent="0.25">
      <c r="Z40039"/>
    </row>
    <row r="40040" spans="26:26" x14ac:dyDescent="0.25">
      <c r="Z40040"/>
    </row>
    <row r="40041" spans="26:26" x14ac:dyDescent="0.25">
      <c r="Z40041"/>
    </row>
    <row r="40042" spans="26:26" x14ac:dyDescent="0.25">
      <c r="Z40042"/>
    </row>
    <row r="40043" spans="26:26" x14ac:dyDescent="0.25">
      <c r="Z40043"/>
    </row>
    <row r="40044" spans="26:26" x14ac:dyDescent="0.25">
      <c r="Z40044"/>
    </row>
    <row r="40045" spans="26:26" x14ac:dyDescent="0.25">
      <c r="Z40045"/>
    </row>
    <row r="40046" spans="26:26" x14ac:dyDescent="0.25">
      <c r="Z40046"/>
    </row>
    <row r="40047" spans="26:26" x14ac:dyDescent="0.25">
      <c r="Z40047"/>
    </row>
    <row r="40048" spans="26:26" x14ac:dyDescent="0.25">
      <c r="Z40048"/>
    </row>
    <row r="40049" spans="26:26" x14ac:dyDescent="0.25">
      <c r="Z40049"/>
    </row>
    <row r="40050" spans="26:26" x14ac:dyDescent="0.25">
      <c r="Z40050"/>
    </row>
    <row r="40051" spans="26:26" x14ac:dyDescent="0.25">
      <c r="Z40051"/>
    </row>
    <row r="40052" spans="26:26" x14ac:dyDescent="0.25">
      <c r="Z40052"/>
    </row>
    <row r="40053" spans="26:26" x14ac:dyDescent="0.25">
      <c r="Z40053"/>
    </row>
    <row r="40054" spans="26:26" x14ac:dyDescent="0.25">
      <c r="Z40054"/>
    </row>
    <row r="40055" spans="26:26" x14ac:dyDescent="0.25">
      <c r="Z40055"/>
    </row>
    <row r="40056" spans="26:26" x14ac:dyDescent="0.25">
      <c r="Z40056"/>
    </row>
    <row r="40057" spans="26:26" x14ac:dyDescent="0.25">
      <c r="Z40057"/>
    </row>
    <row r="40058" spans="26:26" x14ac:dyDescent="0.25">
      <c r="Z40058"/>
    </row>
    <row r="40059" spans="26:26" x14ac:dyDescent="0.25">
      <c r="Z40059"/>
    </row>
    <row r="40060" spans="26:26" x14ac:dyDescent="0.25">
      <c r="Z40060"/>
    </row>
    <row r="40061" spans="26:26" x14ac:dyDescent="0.25">
      <c r="Z40061"/>
    </row>
    <row r="40062" spans="26:26" x14ac:dyDescent="0.25">
      <c r="Z40062"/>
    </row>
    <row r="40063" spans="26:26" x14ac:dyDescent="0.25">
      <c r="Z40063"/>
    </row>
    <row r="40064" spans="26:26" x14ac:dyDescent="0.25">
      <c r="Z40064"/>
    </row>
    <row r="40065" spans="26:26" x14ac:dyDescent="0.25">
      <c r="Z40065"/>
    </row>
    <row r="40066" spans="26:26" x14ac:dyDescent="0.25">
      <c r="Z40066"/>
    </row>
    <row r="40067" spans="26:26" x14ac:dyDescent="0.25">
      <c r="Z40067"/>
    </row>
    <row r="40068" spans="26:26" x14ac:dyDescent="0.25">
      <c r="Z40068"/>
    </row>
    <row r="40069" spans="26:26" x14ac:dyDescent="0.25">
      <c r="Z40069"/>
    </row>
    <row r="40070" spans="26:26" x14ac:dyDescent="0.25">
      <c r="Z40070"/>
    </row>
    <row r="40071" spans="26:26" x14ac:dyDescent="0.25">
      <c r="Z40071"/>
    </row>
    <row r="40072" spans="26:26" x14ac:dyDescent="0.25">
      <c r="Z40072"/>
    </row>
    <row r="40073" spans="26:26" x14ac:dyDescent="0.25">
      <c r="Z40073"/>
    </row>
    <row r="40074" spans="26:26" x14ac:dyDescent="0.25">
      <c r="Z40074"/>
    </row>
    <row r="40075" spans="26:26" x14ac:dyDescent="0.25">
      <c r="Z40075"/>
    </row>
    <row r="40076" spans="26:26" x14ac:dyDescent="0.25">
      <c r="Z40076"/>
    </row>
    <row r="40077" spans="26:26" x14ac:dyDescent="0.25">
      <c r="Z40077"/>
    </row>
    <row r="40078" spans="26:26" x14ac:dyDescent="0.25">
      <c r="Z40078"/>
    </row>
    <row r="40079" spans="26:26" x14ac:dyDescent="0.25">
      <c r="Z40079"/>
    </row>
    <row r="40080" spans="26:26" x14ac:dyDescent="0.25">
      <c r="Z40080"/>
    </row>
    <row r="40081" spans="26:26" x14ac:dyDescent="0.25">
      <c r="Z40081"/>
    </row>
    <row r="40082" spans="26:26" x14ac:dyDescent="0.25">
      <c r="Z40082"/>
    </row>
    <row r="40083" spans="26:26" x14ac:dyDescent="0.25">
      <c r="Z40083"/>
    </row>
    <row r="40084" spans="26:26" x14ac:dyDescent="0.25">
      <c r="Z40084"/>
    </row>
    <row r="40085" spans="26:26" x14ac:dyDescent="0.25">
      <c r="Z40085"/>
    </row>
    <row r="40086" spans="26:26" x14ac:dyDescent="0.25">
      <c r="Z40086"/>
    </row>
    <row r="40087" spans="26:26" x14ac:dyDescent="0.25">
      <c r="Z40087"/>
    </row>
    <row r="40088" spans="26:26" x14ac:dyDescent="0.25">
      <c r="Z40088"/>
    </row>
    <row r="40089" spans="26:26" x14ac:dyDescent="0.25">
      <c r="Z40089"/>
    </row>
    <row r="40090" spans="26:26" x14ac:dyDescent="0.25">
      <c r="Z40090"/>
    </row>
    <row r="40091" spans="26:26" x14ac:dyDescent="0.25">
      <c r="Z40091"/>
    </row>
    <row r="40092" spans="26:26" x14ac:dyDescent="0.25">
      <c r="Z40092"/>
    </row>
    <row r="40093" spans="26:26" x14ac:dyDescent="0.25">
      <c r="Z40093"/>
    </row>
    <row r="40094" spans="26:26" x14ac:dyDescent="0.25">
      <c r="Z40094"/>
    </row>
    <row r="40095" spans="26:26" x14ac:dyDescent="0.25">
      <c r="Z40095"/>
    </row>
    <row r="40096" spans="26:26" x14ac:dyDescent="0.25">
      <c r="Z40096"/>
    </row>
    <row r="40097" spans="26:26" x14ac:dyDescent="0.25">
      <c r="Z40097"/>
    </row>
    <row r="40098" spans="26:26" x14ac:dyDescent="0.25">
      <c r="Z40098"/>
    </row>
    <row r="40099" spans="26:26" x14ac:dyDescent="0.25">
      <c r="Z40099"/>
    </row>
    <row r="40100" spans="26:26" x14ac:dyDescent="0.25">
      <c r="Z40100"/>
    </row>
    <row r="40101" spans="26:26" x14ac:dyDescent="0.25">
      <c r="Z40101"/>
    </row>
    <row r="40102" spans="26:26" x14ac:dyDescent="0.25">
      <c r="Z40102"/>
    </row>
    <row r="40103" spans="26:26" x14ac:dyDescent="0.25">
      <c r="Z40103"/>
    </row>
    <row r="40104" spans="26:26" x14ac:dyDescent="0.25">
      <c r="Z40104"/>
    </row>
    <row r="40105" spans="26:26" x14ac:dyDescent="0.25">
      <c r="Z40105"/>
    </row>
    <row r="40106" spans="26:26" x14ac:dyDescent="0.25">
      <c r="Z40106"/>
    </row>
    <row r="40107" spans="26:26" x14ac:dyDescent="0.25">
      <c r="Z40107"/>
    </row>
    <row r="40108" spans="26:26" x14ac:dyDescent="0.25">
      <c r="Z40108"/>
    </row>
    <row r="40109" spans="26:26" x14ac:dyDescent="0.25">
      <c r="Z40109"/>
    </row>
    <row r="40110" spans="26:26" x14ac:dyDescent="0.25">
      <c r="Z40110"/>
    </row>
    <row r="40111" spans="26:26" x14ac:dyDescent="0.25">
      <c r="Z40111"/>
    </row>
    <row r="40112" spans="26:26" x14ac:dyDescent="0.25">
      <c r="Z40112"/>
    </row>
    <row r="40113" spans="26:26" x14ac:dyDescent="0.25">
      <c r="Z40113"/>
    </row>
    <row r="40114" spans="26:26" x14ac:dyDescent="0.25">
      <c r="Z40114"/>
    </row>
    <row r="40115" spans="26:26" x14ac:dyDescent="0.25">
      <c r="Z40115"/>
    </row>
    <row r="40116" spans="26:26" x14ac:dyDescent="0.25">
      <c r="Z40116"/>
    </row>
    <row r="40117" spans="26:26" x14ac:dyDescent="0.25">
      <c r="Z40117"/>
    </row>
    <row r="40118" spans="26:26" x14ac:dyDescent="0.25">
      <c r="Z40118"/>
    </row>
    <row r="40119" spans="26:26" x14ac:dyDescent="0.25">
      <c r="Z40119"/>
    </row>
    <row r="40120" spans="26:26" x14ac:dyDescent="0.25">
      <c r="Z40120"/>
    </row>
    <row r="40121" spans="26:26" x14ac:dyDescent="0.25">
      <c r="Z40121"/>
    </row>
    <row r="40122" spans="26:26" x14ac:dyDescent="0.25">
      <c r="Z40122"/>
    </row>
    <row r="40123" spans="26:26" x14ac:dyDescent="0.25">
      <c r="Z40123"/>
    </row>
    <row r="40124" spans="26:26" x14ac:dyDescent="0.25">
      <c r="Z40124"/>
    </row>
    <row r="40125" spans="26:26" x14ac:dyDescent="0.25">
      <c r="Z40125"/>
    </row>
    <row r="40126" spans="26:26" x14ac:dyDescent="0.25">
      <c r="Z40126"/>
    </row>
    <row r="40127" spans="26:26" x14ac:dyDescent="0.25">
      <c r="Z40127"/>
    </row>
    <row r="40128" spans="26:26" x14ac:dyDescent="0.25">
      <c r="Z40128"/>
    </row>
    <row r="40129" spans="26:26" x14ac:dyDescent="0.25">
      <c r="Z40129"/>
    </row>
    <row r="40130" spans="26:26" x14ac:dyDescent="0.25">
      <c r="Z40130"/>
    </row>
    <row r="40131" spans="26:26" x14ac:dyDescent="0.25">
      <c r="Z40131"/>
    </row>
    <row r="40132" spans="26:26" x14ac:dyDescent="0.25">
      <c r="Z40132"/>
    </row>
    <row r="40133" spans="26:26" x14ac:dyDescent="0.25">
      <c r="Z40133"/>
    </row>
    <row r="40134" spans="26:26" x14ac:dyDescent="0.25">
      <c r="Z40134"/>
    </row>
    <row r="40135" spans="26:26" x14ac:dyDescent="0.25">
      <c r="Z40135"/>
    </row>
    <row r="40136" spans="26:26" x14ac:dyDescent="0.25">
      <c r="Z40136"/>
    </row>
    <row r="40137" spans="26:26" x14ac:dyDescent="0.25">
      <c r="Z40137"/>
    </row>
    <row r="40138" spans="26:26" x14ac:dyDescent="0.25">
      <c r="Z40138"/>
    </row>
    <row r="40139" spans="26:26" x14ac:dyDescent="0.25">
      <c r="Z40139"/>
    </row>
    <row r="40140" spans="26:26" x14ac:dyDescent="0.25">
      <c r="Z40140"/>
    </row>
    <row r="40141" spans="26:26" x14ac:dyDescent="0.25">
      <c r="Z40141"/>
    </row>
    <row r="40142" spans="26:26" x14ac:dyDescent="0.25">
      <c r="Z40142"/>
    </row>
    <row r="40143" spans="26:26" x14ac:dyDescent="0.25">
      <c r="Z40143"/>
    </row>
    <row r="40144" spans="26:26" x14ac:dyDescent="0.25">
      <c r="Z40144"/>
    </row>
    <row r="40145" spans="26:26" x14ac:dyDescent="0.25">
      <c r="Z40145"/>
    </row>
    <row r="40146" spans="26:26" x14ac:dyDescent="0.25">
      <c r="Z40146"/>
    </row>
    <row r="40147" spans="26:26" x14ac:dyDescent="0.25">
      <c r="Z40147"/>
    </row>
    <row r="40148" spans="26:26" x14ac:dyDescent="0.25">
      <c r="Z40148"/>
    </row>
    <row r="40149" spans="26:26" x14ac:dyDescent="0.25">
      <c r="Z40149"/>
    </row>
    <row r="40150" spans="26:26" x14ac:dyDescent="0.25">
      <c r="Z40150"/>
    </row>
    <row r="40151" spans="26:26" x14ac:dyDescent="0.25">
      <c r="Z40151"/>
    </row>
    <row r="40152" spans="26:26" x14ac:dyDescent="0.25">
      <c r="Z40152"/>
    </row>
    <row r="40153" spans="26:26" x14ac:dyDescent="0.25">
      <c r="Z40153"/>
    </row>
    <row r="40154" spans="26:26" x14ac:dyDescent="0.25">
      <c r="Z40154"/>
    </row>
    <row r="40155" spans="26:26" x14ac:dyDescent="0.25">
      <c r="Z40155"/>
    </row>
    <row r="40156" spans="26:26" x14ac:dyDescent="0.25">
      <c r="Z40156"/>
    </row>
    <row r="40157" spans="26:26" x14ac:dyDescent="0.25">
      <c r="Z40157"/>
    </row>
    <row r="40158" spans="26:26" x14ac:dyDescent="0.25">
      <c r="Z40158"/>
    </row>
    <row r="40159" spans="26:26" x14ac:dyDescent="0.25">
      <c r="Z40159"/>
    </row>
    <row r="40160" spans="26:26" x14ac:dyDescent="0.25">
      <c r="Z40160"/>
    </row>
    <row r="40161" spans="26:26" x14ac:dyDescent="0.25">
      <c r="Z40161"/>
    </row>
    <row r="40162" spans="26:26" x14ac:dyDescent="0.25">
      <c r="Z40162"/>
    </row>
    <row r="40163" spans="26:26" x14ac:dyDescent="0.25">
      <c r="Z40163"/>
    </row>
    <row r="40164" spans="26:26" x14ac:dyDescent="0.25">
      <c r="Z40164"/>
    </row>
    <row r="40165" spans="26:26" x14ac:dyDescent="0.25">
      <c r="Z40165"/>
    </row>
    <row r="40166" spans="26:26" x14ac:dyDescent="0.25">
      <c r="Z40166"/>
    </row>
    <row r="40167" spans="26:26" x14ac:dyDescent="0.25">
      <c r="Z40167"/>
    </row>
    <row r="40168" spans="26:26" x14ac:dyDescent="0.25">
      <c r="Z40168"/>
    </row>
    <row r="40169" spans="26:26" x14ac:dyDescent="0.25">
      <c r="Z40169"/>
    </row>
    <row r="40170" spans="26:26" x14ac:dyDescent="0.25">
      <c r="Z40170"/>
    </row>
    <row r="40171" spans="26:26" x14ac:dyDescent="0.25">
      <c r="Z40171"/>
    </row>
    <row r="40172" spans="26:26" x14ac:dyDescent="0.25">
      <c r="Z40172"/>
    </row>
    <row r="40173" spans="26:26" x14ac:dyDescent="0.25">
      <c r="Z40173"/>
    </row>
    <row r="40174" spans="26:26" x14ac:dyDescent="0.25">
      <c r="Z40174"/>
    </row>
    <row r="40175" spans="26:26" x14ac:dyDescent="0.25">
      <c r="Z40175"/>
    </row>
    <row r="40176" spans="26:26" x14ac:dyDescent="0.25">
      <c r="Z40176"/>
    </row>
    <row r="40177" spans="26:26" x14ac:dyDescent="0.25">
      <c r="Z40177"/>
    </row>
    <row r="40178" spans="26:26" x14ac:dyDescent="0.25">
      <c r="Z40178"/>
    </row>
    <row r="40179" spans="26:26" x14ac:dyDescent="0.25">
      <c r="Z40179"/>
    </row>
    <row r="40180" spans="26:26" x14ac:dyDescent="0.25">
      <c r="Z40180"/>
    </row>
    <row r="40181" spans="26:26" x14ac:dyDescent="0.25">
      <c r="Z40181"/>
    </row>
    <row r="40182" spans="26:26" x14ac:dyDescent="0.25">
      <c r="Z40182"/>
    </row>
    <row r="40183" spans="26:26" x14ac:dyDescent="0.25">
      <c r="Z40183"/>
    </row>
    <row r="40184" spans="26:26" x14ac:dyDescent="0.25">
      <c r="Z40184"/>
    </row>
    <row r="40185" spans="26:26" x14ac:dyDescent="0.25">
      <c r="Z40185"/>
    </row>
    <row r="40186" spans="26:26" x14ac:dyDescent="0.25">
      <c r="Z40186"/>
    </row>
    <row r="40187" spans="26:26" x14ac:dyDescent="0.25">
      <c r="Z40187"/>
    </row>
    <row r="40188" spans="26:26" x14ac:dyDescent="0.25">
      <c r="Z40188"/>
    </row>
    <row r="40189" spans="26:26" x14ac:dyDescent="0.25">
      <c r="Z40189"/>
    </row>
    <row r="40190" spans="26:26" x14ac:dyDescent="0.25">
      <c r="Z40190"/>
    </row>
    <row r="40191" spans="26:26" x14ac:dyDescent="0.25">
      <c r="Z40191"/>
    </row>
    <row r="40192" spans="26:26" x14ac:dyDescent="0.25">
      <c r="Z40192"/>
    </row>
    <row r="40193" spans="26:26" x14ac:dyDescent="0.25">
      <c r="Z40193"/>
    </row>
    <row r="40194" spans="26:26" x14ac:dyDescent="0.25">
      <c r="Z40194"/>
    </row>
    <row r="40195" spans="26:26" x14ac:dyDescent="0.25">
      <c r="Z40195"/>
    </row>
    <row r="40196" spans="26:26" x14ac:dyDescent="0.25">
      <c r="Z40196"/>
    </row>
    <row r="40197" spans="26:26" x14ac:dyDescent="0.25">
      <c r="Z40197"/>
    </row>
    <row r="40198" spans="26:26" x14ac:dyDescent="0.25">
      <c r="Z40198"/>
    </row>
    <row r="40199" spans="26:26" x14ac:dyDescent="0.25">
      <c r="Z40199"/>
    </row>
    <row r="40200" spans="26:26" x14ac:dyDescent="0.25">
      <c r="Z40200"/>
    </row>
    <row r="40201" spans="26:26" x14ac:dyDescent="0.25">
      <c r="Z40201"/>
    </row>
    <row r="40202" spans="26:26" x14ac:dyDescent="0.25">
      <c r="Z40202"/>
    </row>
    <row r="40203" spans="26:26" x14ac:dyDescent="0.25">
      <c r="Z40203"/>
    </row>
    <row r="40204" spans="26:26" x14ac:dyDescent="0.25">
      <c r="Z40204"/>
    </row>
    <row r="40205" spans="26:26" x14ac:dyDescent="0.25">
      <c r="Z40205"/>
    </row>
    <row r="40206" spans="26:26" x14ac:dyDescent="0.25">
      <c r="Z40206"/>
    </row>
    <row r="40207" spans="26:26" x14ac:dyDescent="0.25">
      <c r="Z40207"/>
    </row>
    <row r="40208" spans="26:26" x14ac:dyDescent="0.25">
      <c r="Z40208"/>
    </row>
    <row r="40209" spans="26:26" x14ac:dyDescent="0.25">
      <c r="Z40209"/>
    </row>
    <row r="40210" spans="26:26" x14ac:dyDescent="0.25">
      <c r="Z40210"/>
    </row>
    <row r="40211" spans="26:26" x14ac:dyDescent="0.25">
      <c r="Z40211"/>
    </row>
    <row r="40212" spans="26:26" x14ac:dyDescent="0.25">
      <c r="Z40212"/>
    </row>
    <row r="40213" spans="26:26" x14ac:dyDescent="0.25">
      <c r="Z40213"/>
    </row>
    <row r="40214" spans="26:26" x14ac:dyDescent="0.25">
      <c r="Z40214"/>
    </row>
    <row r="40215" spans="26:26" x14ac:dyDescent="0.25">
      <c r="Z40215"/>
    </row>
    <row r="40216" spans="26:26" x14ac:dyDescent="0.25">
      <c r="Z40216"/>
    </row>
    <row r="40217" spans="26:26" x14ac:dyDescent="0.25">
      <c r="Z40217"/>
    </row>
    <row r="40218" spans="26:26" x14ac:dyDescent="0.25">
      <c r="Z40218"/>
    </row>
    <row r="40219" spans="26:26" x14ac:dyDescent="0.25">
      <c r="Z40219"/>
    </row>
    <row r="40220" spans="26:26" x14ac:dyDescent="0.25">
      <c r="Z40220"/>
    </row>
    <row r="40221" spans="26:26" x14ac:dyDescent="0.25">
      <c r="Z40221"/>
    </row>
    <row r="40222" spans="26:26" x14ac:dyDescent="0.25">
      <c r="Z40222"/>
    </row>
    <row r="40223" spans="26:26" x14ac:dyDescent="0.25">
      <c r="Z40223"/>
    </row>
    <row r="40224" spans="26:26" x14ac:dyDescent="0.25">
      <c r="Z40224"/>
    </row>
    <row r="40225" spans="26:26" x14ac:dyDescent="0.25">
      <c r="Z40225"/>
    </row>
    <row r="40226" spans="26:26" x14ac:dyDescent="0.25">
      <c r="Z40226"/>
    </row>
    <row r="40227" spans="26:26" x14ac:dyDescent="0.25">
      <c r="Z40227"/>
    </row>
    <row r="40228" spans="26:26" x14ac:dyDescent="0.25">
      <c r="Z40228"/>
    </row>
    <row r="40229" spans="26:26" x14ac:dyDescent="0.25">
      <c r="Z40229"/>
    </row>
    <row r="40230" spans="26:26" x14ac:dyDescent="0.25">
      <c r="Z40230"/>
    </row>
    <row r="40231" spans="26:26" x14ac:dyDescent="0.25">
      <c r="Z40231"/>
    </row>
    <row r="40232" spans="26:26" x14ac:dyDescent="0.25">
      <c r="Z40232"/>
    </row>
    <row r="40233" spans="26:26" x14ac:dyDescent="0.25">
      <c r="Z40233"/>
    </row>
    <row r="40234" spans="26:26" x14ac:dyDescent="0.25">
      <c r="Z40234"/>
    </row>
    <row r="40235" spans="26:26" x14ac:dyDescent="0.25">
      <c r="Z40235"/>
    </row>
    <row r="40236" spans="26:26" x14ac:dyDescent="0.25">
      <c r="Z40236"/>
    </row>
    <row r="40237" spans="26:26" x14ac:dyDescent="0.25">
      <c r="Z40237"/>
    </row>
    <row r="40238" spans="26:26" x14ac:dyDescent="0.25">
      <c r="Z40238"/>
    </row>
    <row r="40239" spans="26:26" x14ac:dyDescent="0.25">
      <c r="Z40239"/>
    </row>
    <row r="40240" spans="26:26" x14ac:dyDescent="0.25">
      <c r="Z40240"/>
    </row>
    <row r="40241" spans="26:26" x14ac:dyDescent="0.25">
      <c r="Z40241"/>
    </row>
    <row r="40242" spans="26:26" x14ac:dyDescent="0.25">
      <c r="Z40242"/>
    </row>
    <row r="40243" spans="26:26" x14ac:dyDescent="0.25">
      <c r="Z40243"/>
    </row>
    <row r="40244" spans="26:26" x14ac:dyDescent="0.25">
      <c r="Z40244"/>
    </row>
    <row r="40245" spans="26:26" x14ac:dyDescent="0.25">
      <c r="Z40245"/>
    </row>
    <row r="40246" spans="26:26" x14ac:dyDescent="0.25">
      <c r="Z40246"/>
    </row>
    <row r="40247" spans="26:26" x14ac:dyDescent="0.25">
      <c r="Z40247"/>
    </row>
    <row r="40248" spans="26:26" x14ac:dyDescent="0.25">
      <c r="Z40248"/>
    </row>
    <row r="40249" spans="26:26" x14ac:dyDescent="0.25">
      <c r="Z40249"/>
    </row>
    <row r="40250" spans="26:26" x14ac:dyDescent="0.25">
      <c r="Z40250"/>
    </row>
    <row r="40251" spans="26:26" x14ac:dyDescent="0.25">
      <c r="Z40251"/>
    </row>
    <row r="40252" spans="26:26" x14ac:dyDescent="0.25">
      <c r="Z40252"/>
    </row>
    <row r="40253" spans="26:26" x14ac:dyDescent="0.25">
      <c r="Z40253"/>
    </row>
    <row r="40254" spans="26:26" x14ac:dyDescent="0.25">
      <c r="Z40254"/>
    </row>
    <row r="40255" spans="26:26" x14ac:dyDescent="0.25">
      <c r="Z40255"/>
    </row>
    <row r="40256" spans="26:26" x14ac:dyDescent="0.25">
      <c r="Z40256"/>
    </row>
    <row r="40257" spans="26:26" x14ac:dyDescent="0.25">
      <c r="Z40257"/>
    </row>
    <row r="40258" spans="26:26" x14ac:dyDescent="0.25">
      <c r="Z40258"/>
    </row>
    <row r="40259" spans="26:26" x14ac:dyDescent="0.25">
      <c r="Z40259"/>
    </row>
    <row r="40260" spans="26:26" x14ac:dyDescent="0.25">
      <c r="Z40260"/>
    </row>
    <row r="40261" spans="26:26" x14ac:dyDescent="0.25">
      <c r="Z40261"/>
    </row>
    <row r="40262" spans="26:26" x14ac:dyDescent="0.25">
      <c r="Z40262"/>
    </row>
    <row r="40263" spans="26:26" x14ac:dyDescent="0.25">
      <c r="Z40263"/>
    </row>
    <row r="40264" spans="26:26" x14ac:dyDescent="0.25">
      <c r="Z40264"/>
    </row>
    <row r="40265" spans="26:26" x14ac:dyDescent="0.25">
      <c r="Z40265"/>
    </row>
    <row r="40266" spans="26:26" x14ac:dyDescent="0.25">
      <c r="Z40266"/>
    </row>
    <row r="40267" spans="26:26" x14ac:dyDescent="0.25">
      <c r="Z40267"/>
    </row>
    <row r="40268" spans="26:26" x14ac:dyDescent="0.25">
      <c r="Z40268"/>
    </row>
    <row r="40269" spans="26:26" x14ac:dyDescent="0.25">
      <c r="Z40269"/>
    </row>
    <row r="40270" spans="26:26" x14ac:dyDescent="0.25">
      <c r="Z40270"/>
    </row>
    <row r="40271" spans="26:26" x14ac:dyDescent="0.25">
      <c r="Z40271"/>
    </row>
    <row r="40272" spans="26:26" x14ac:dyDescent="0.25">
      <c r="Z40272"/>
    </row>
    <row r="40273" spans="26:26" x14ac:dyDescent="0.25">
      <c r="Z40273"/>
    </row>
    <row r="40274" spans="26:26" x14ac:dyDescent="0.25">
      <c r="Z40274"/>
    </row>
    <row r="40275" spans="26:26" x14ac:dyDescent="0.25">
      <c r="Z40275"/>
    </row>
    <row r="40276" spans="26:26" x14ac:dyDescent="0.25">
      <c r="Z40276"/>
    </row>
    <row r="40277" spans="26:26" x14ac:dyDescent="0.25">
      <c r="Z40277"/>
    </row>
    <row r="40278" spans="26:26" x14ac:dyDescent="0.25">
      <c r="Z40278"/>
    </row>
    <row r="40279" spans="26:26" x14ac:dyDescent="0.25">
      <c r="Z40279"/>
    </row>
    <row r="40280" spans="26:26" x14ac:dyDescent="0.25">
      <c r="Z40280"/>
    </row>
    <row r="40281" spans="26:26" x14ac:dyDescent="0.25">
      <c r="Z40281"/>
    </row>
    <row r="40282" spans="26:26" x14ac:dyDescent="0.25">
      <c r="Z40282"/>
    </row>
    <row r="40283" spans="26:26" x14ac:dyDescent="0.25">
      <c r="Z40283"/>
    </row>
    <row r="40284" spans="26:26" x14ac:dyDescent="0.25">
      <c r="Z40284"/>
    </row>
    <row r="40285" spans="26:26" x14ac:dyDescent="0.25">
      <c r="Z40285"/>
    </row>
    <row r="40286" spans="26:26" x14ac:dyDescent="0.25">
      <c r="Z40286"/>
    </row>
    <row r="40287" spans="26:26" x14ac:dyDescent="0.25">
      <c r="Z40287"/>
    </row>
    <row r="40288" spans="26:26" x14ac:dyDescent="0.25">
      <c r="Z40288"/>
    </row>
    <row r="40289" spans="26:26" x14ac:dyDescent="0.25">
      <c r="Z40289"/>
    </row>
    <row r="40290" spans="26:26" x14ac:dyDescent="0.25">
      <c r="Z40290"/>
    </row>
    <row r="40291" spans="26:26" x14ac:dyDescent="0.25">
      <c r="Z40291"/>
    </row>
    <row r="40292" spans="26:26" x14ac:dyDescent="0.25">
      <c r="Z40292"/>
    </row>
    <row r="40293" spans="26:26" x14ac:dyDescent="0.25">
      <c r="Z40293"/>
    </row>
    <row r="40294" spans="26:26" x14ac:dyDescent="0.25">
      <c r="Z40294"/>
    </row>
    <row r="40295" spans="26:26" x14ac:dyDescent="0.25">
      <c r="Z40295"/>
    </row>
    <row r="40296" spans="26:26" x14ac:dyDescent="0.25">
      <c r="Z40296"/>
    </row>
    <row r="40297" spans="26:26" x14ac:dyDescent="0.25">
      <c r="Z40297"/>
    </row>
    <row r="40298" spans="26:26" x14ac:dyDescent="0.25">
      <c r="Z40298"/>
    </row>
    <row r="40299" spans="26:26" x14ac:dyDescent="0.25">
      <c r="Z40299"/>
    </row>
    <row r="40300" spans="26:26" x14ac:dyDescent="0.25">
      <c r="Z40300"/>
    </row>
    <row r="40301" spans="26:26" x14ac:dyDescent="0.25">
      <c r="Z40301"/>
    </row>
    <row r="40302" spans="26:26" x14ac:dyDescent="0.25">
      <c r="Z40302"/>
    </row>
    <row r="40303" spans="26:26" x14ac:dyDescent="0.25">
      <c r="Z40303"/>
    </row>
    <row r="40304" spans="26:26" x14ac:dyDescent="0.25">
      <c r="Z40304"/>
    </row>
    <row r="40305" spans="26:26" x14ac:dyDescent="0.25">
      <c r="Z40305"/>
    </row>
    <row r="40306" spans="26:26" x14ac:dyDescent="0.25">
      <c r="Z40306"/>
    </row>
    <row r="40307" spans="26:26" x14ac:dyDescent="0.25">
      <c r="Z40307"/>
    </row>
    <row r="40308" spans="26:26" x14ac:dyDescent="0.25">
      <c r="Z40308"/>
    </row>
    <row r="40309" spans="26:26" x14ac:dyDescent="0.25">
      <c r="Z40309"/>
    </row>
    <row r="40310" spans="26:26" x14ac:dyDescent="0.25">
      <c r="Z40310"/>
    </row>
    <row r="40311" spans="26:26" x14ac:dyDescent="0.25">
      <c r="Z40311"/>
    </row>
    <row r="40312" spans="26:26" x14ac:dyDescent="0.25">
      <c r="Z40312"/>
    </row>
    <row r="40313" spans="26:26" x14ac:dyDescent="0.25">
      <c r="Z40313"/>
    </row>
    <row r="40314" spans="26:26" x14ac:dyDescent="0.25">
      <c r="Z40314"/>
    </row>
    <row r="40315" spans="26:26" x14ac:dyDescent="0.25">
      <c r="Z40315"/>
    </row>
    <row r="40316" spans="26:26" x14ac:dyDescent="0.25">
      <c r="Z40316"/>
    </row>
    <row r="40317" spans="26:26" x14ac:dyDescent="0.25">
      <c r="Z40317"/>
    </row>
    <row r="40318" spans="26:26" x14ac:dyDescent="0.25">
      <c r="Z40318"/>
    </row>
    <row r="40319" spans="26:26" x14ac:dyDescent="0.25">
      <c r="Z40319"/>
    </row>
    <row r="40320" spans="26:26" x14ac:dyDescent="0.25">
      <c r="Z40320"/>
    </row>
    <row r="40321" spans="26:26" x14ac:dyDescent="0.25">
      <c r="Z40321"/>
    </row>
    <row r="40322" spans="26:26" x14ac:dyDescent="0.25">
      <c r="Z40322"/>
    </row>
    <row r="40323" spans="26:26" x14ac:dyDescent="0.25">
      <c r="Z40323"/>
    </row>
    <row r="40324" spans="26:26" x14ac:dyDescent="0.25">
      <c r="Z40324"/>
    </row>
    <row r="40325" spans="26:26" x14ac:dyDescent="0.25">
      <c r="Z40325"/>
    </row>
    <row r="40326" spans="26:26" x14ac:dyDescent="0.25">
      <c r="Z40326"/>
    </row>
    <row r="40327" spans="26:26" x14ac:dyDescent="0.25">
      <c r="Z40327"/>
    </row>
    <row r="40328" spans="26:26" x14ac:dyDescent="0.25">
      <c r="Z40328"/>
    </row>
    <row r="40329" spans="26:26" x14ac:dyDescent="0.25">
      <c r="Z40329"/>
    </row>
    <row r="40330" spans="26:26" x14ac:dyDescent="0.25">
      <c r="Z40330"/>
    </row>
    <row r="40331" spans="26:26" x14ac:dyDescent="0.25">
      <c r="Z40331"/>
    </row>
    <row r="40332" spans="26:26" x14ac:dyDescent="0.25">
      <c r="Z40332"/>
    </row>
    <row r="40333" spans="26:26" x14ac:dyDescent="0.25">
      <c r="Z40333"/>
    </row>
    <row r="40334" spans="26:26" x14ac:dyDescent="0.25">
      <c r="Z40334"/>
    </row>
    <row r="40335" spans="26:26" x14ac:dyDescent="0.25">
      <c r="Z40335"/>
    </row>
    <row r="40336" spans="26:26" x14ac:dyDescent="0.25">
      <c r="Z40336"/>
    </row>
    <row r="40337" spans="26:26" x14ac:dyDescent="0.25">
      <c r="Z40337"/>
    </row>
    <row r="40338" spans="26:26" x14ac:dyDescent="0.25">
      <c r="Z40338"/>
    </row>
    <row r="40339" spans="26:26" x14ac:dyDescent="0.25">
      <c r="Z40339"/>
    </row>
    <row r="40340" spans="26:26" x14ac:dyDescent="0.25">
      <c r="Z40340"/>
    </row>
    <row r="40341" spans="26:26" x14ac:dyDescent="0.25">
      <c r="Z40341"/>
    </row>
    <row r="40342" spans="26:26" x14ac:dyDescent="0.25">
      <c r="Z40342"/>
    </row>
    <row r="40343" spans="26:26" x14ac:dyDescent="0.25">
      <c r="Z40343"/>
    </row>
    <row r="40344" spans="26:26" x14ac:dyDescent="0.25">
      <c r="Z40344"/>
    </row>
    <row r="40345" spans="26:26" x14ac:dyDescent="0.25">
      <c r="Z40345"/>
    </row>
    <row r="40346" spans="26:26" x14ac:dyDescent="0.25">
      <c r="Z40346"/>
    </row>
    <row r="40347" spans="26:26" x14ac:dyDescent="0.25">
      <c r="Z40347"/>
    </row>
    <row r="40348" spans="26:26" x14ac:dyDescent="0.25">
      <c r="Z40348"/>
    </row>
    <row r="40349" spans="26:26" x14ac:dyDescent="0.25">
      <c r="Z40349"/>
    </row>
    <row r="40350" spans="26:26" x14ac:dyDescent="0.25">
      <c r="Z40350"/>
    </row>
    <row r="40351" spans="26:26" x14ac:dyDescent="0.25">
      <c r="Z40351"/>
    </row>
    <row r="40352" spans="26:26" x14ac:dyDescent="0.25">
      <c r="Z40352"/>
    </row>
    <row r="40353" spans="26:26" x14ac:dyDescent="0.25">
      <c r="Z40353"/>
    </row>
    <row r="40354" spans="26:26" x14ac:dyDescent="0.25">
      <c r="Z40354"/>
    </row>
    <row r="40355" spans="26:26" x14ac:dyDescent="0.25">
      <c r="Z40355"/>
    </row>
    <row r="40356" spans="26:26" x14ac:dyDescent="0.25">
      <c r="Z40356"/>
    </row>
    <row r="40357" spans="26:26" x14ac:dyDescent="0.25">
      <c r="Z40357"/>
    </row>
    <row r="40358" spans="26:26" x14ac:dyDescent="0.25">
      <c r="Z40358"/>
    </row>
    <row r="40359" spans="26:26" x14ac:dyDescent="0.25">
      <c r="Z40359"/>
    </row>
    <row r="40360" spans="26:26" x14ac:dyDescent="0.25">
      <c r="Z40360"/>
    </row>
    <row r="40361" spans="26:26" x14ac:dyDescent="0.25">
      <c r="Z40361"/>
    </row>
    <row r="40362" spans="26:26" x14ac:dyDescent="0.25">
      <c r="Z40362"/>
    </row>
    <row r="40363" spans="26:26" x14ac:dyDescent="0.25">
      <c r="Z40363"/>
    </row>
    <row r="40364" spans="26:26" x14ac:dyDescent="0.25">
      <c r="Z40364"/>
    </row>
    <row r="40365" spans="26:26" x14ac:dyDescent="0.25">
      <c r="Z40365"/>
    </row>
    <row r="40366" spans="26:26" x14ac:dyDescent="0.25">
      <c r="Z40366"/>
    </row>
    <row r="40367" spans="26:26" x14ac:dyDescent="0.25">
      <c r="Z40367"/>
    </row>
    <row r="40368" spans="26:26" x14ac:dyDescent="0.25">
      <c r="Z40368"/>
    </row>
    <row r="40369" spans="26:26" x14ac:dyDescent="0.25">
      <c r="Z40369"/>
    </row>
    <row r="40370" spans="26:26" x14ac:dyDescent="0.25">
      <c r="Z40370"/>
    </row>
    <row r="40371" spans="26:26" x14ac:dyDescent="0.25">
      <c r="Z40371"/>
    </row>
    <row r="40372" spans="26:26" x14ac:dyDescent="0.25">
      <c r="Z40372"/>
    </row>
    <row r="40373" spans="26:26" x14ac:dyDescent="0.25">
      <c r="Z40373"/>
    </row>
    <row r="40374" spans="26:26" x14ac:dyDescent="0.25">
      <c r="Z40374"/>
    </row>
    <row r="40375" spans="26:26" x14ac:dyDescent="0.25">
      <c r="Z40375"/>
    </row>
    <row r="40376" spans="26:26" x14ac:dyDescent="0.25">
      <c r="Z40376"/>
    </row>
    <row r="40377" spans="26:26" x14ac:dyDescent="0.25">
      <c r="Z40377"/>
    </row>
    <row r="40378" spans="26:26" x14ac:dyDescent="0.25">
      <c r="Z40378"/>
    </row>
    <row r="40379" spans="26:26" x14ac:dyDescent="0.25">
      <c r="Z40379"/>
    </row>
    <row r="40380" spans="26:26" x14ac:dyDescent="0.25">
      <c r="Z40380"/>
    </row>
    <row r="40381" spans="26:26" x14ac:dyDescent="0.25">
      <c r="Z40381"/>
    </row>
    <row r="40382" spans="26:26" x14ac:dyDescent="0.25">
      <c r="Z40382"/>
    </row>
    <row r="40383" spans="26:26" x14ac:dyDescent="0.25">
      <c r="Z40383"/>
    </row>
    <row r="40384" spans="26:26" x14ac:dyDescent="0.25">
      <c r="Z40384"/>
    </row>
    <row r="40385" spans="26:26" x14ac:dyDescent="0.25">
      <c r="Z40385"/>
    </row>
    <row r="40386" spans="26:26" x14ac:dyDescent="0.25">
      <c r="Z40386"/>
    </row>
    <row r="40387" spans="26:26" x14ac:dyDescent="0.25">
      <c r="Z40387"/>
    </row>
    <row r="40388" spans="26:26" x14ac:dyDescent="0.25">
      <c r="Z40388"/>
    </row>
    <row r="40389" spans="26:26" x14ac:dyDescent="0.25">
      <c r="Z40389"/>
    </row>
    <row r="40390" spans="26:26" x14ac:dyDescent="0.25">
      <c r="Z40390"/>
    </row>
    <row r="40391" spans="26:26" x14ac:dyDescent="0.25">
      <c r="Z40391"/>
    </row>
    <row r="40392" spans="26:26" x14ac:dyDescent="0.25">
      <c r="Z40392"/>
    </row>
    <row r="40393" spans="26:26" x14ac:dyDescent="0.25">
      <c r="Z40393"/>
    </row>
    <row r="40394" spans="26:26" x14ac:dyDescent="0.25">
      <c r="Z40394"/>
    </row>
    <row r="40395" spans="26:26" x14ac:dyDescent="0.25">
      <c r="Z40395"/>
    </row>
    <row r="40396" spans="26:26" x14ac:dyDescent="0.25">
      <c r="Z40396"/>
    </row>
    <row r="40397" spans="26:26" x14ac:dyDescent="0.25">
      <c r="Z40397"/>
    </row>
    <row r="40398" spans="26:26" x14ac:dyDescent="0.25">
      <c r="Z40398"/>
    </row>
    <row r="40399" spans="26:26" x14ac:dyDescent="0.25">
      <c r="Z40399"/>
    </row>
    <row r="40400" spans="26:26" x14ac:dyDescent="0.25">
      <c r="Z40400"/>
    </row>
    <row r="40401" spans="26:26" x14ac:dyDescent="0.25">
      <c r="Z40401"/>
    </row>
    <row r="40402" spans="26:26" x14ac:dyDescent="0.25">
      <c r="Z40402"/>
    </row>
    <row r="40403" spans="26:26" x14ac:dyDescent="0.25">
      <c r="Z40403"/>
    </row>
    <row r="40404" spans="26:26" x14ac:dyDescent="0.25">
      <c r="Z40404"/>
    </row>
    <row r="40405" spans="26:26" x14ac:dyDescent="0.25">
      <c r="Z40405"/>
    </row>
    <row r="40406" spans="26:26" x14ac:dyDescent="0.25">
      <c r="Z40406"/>
    </row>
    <row r="40407" spans="26:26" x14ac:dyDescent="0.25">
      <c r="Z40407"/>
    </row>
    <row r="40408" spans="26:26" x14ac:dyDescent="0.25">
      <c r="Z40408"/>
    </row>
    <row r="40409" spans="26:26" x14ac:dyDescent="0.25">
      <c r="Z40409"/>
    </row>
    <row r="40410" spans="26:26" x14ac:dyDescent="0.25">
      <c r="Z40410"/>
    </row>
    <row r="40411" spans="26:26" x14ac:dyDescent="0.25">
      <c r="Z40411"/>
    </row>
    <row r="40412" spans="26:26" x14ac:dyDescent="0.25">
      <c r="Z40412"/>
    </row>
    <row r="40413" spans="26:26" x14ac:dyDescent="0.25">
      <c r="Z40413"/>
    </row>
    <row r="40414" spans="26:26" x14ac:dyDescent="0.25">
      <c r="Z40414"/>
    </row>
    <row r="40415" spans="26:26" x14ac:dyDescent="0.25">
      <c r="Z40415"/>
    </row>
    <row r="40416" spans="26:26" x14ac:dyDescent="0.25">
      <c r="Z40416"/>
    </row>
    <row r="40417" spans="26:26" x14ac:dyDescent="0.25">
      <c r="Z40417"/>
    </row>
    <row r="40418" spans="26:26" x14ac:dyDescent="0.25">
      <c r="Z40418"/>
    </row>
    <row r="40419" spans="26:26" x14ac:dyDescent="0.25">
      <c r="Z40419"/>
    </row>
    <row r="40420" spans="26:26" x14ac:dyDescent="0.25">
      <c r="Z40420"/>
    </row>
    <row r="40421" spans="26:26" x14ac:dyDescent="0.25">
      <c r="Z40421"/>
    </row>
    <row r="40422" spans="26:26" x14ac:dyDescent="0.25">
      <c r="Z40422"/>
    </row>
    <row r="40423" spans="26:26" x14ac:dyDescent="0.25">
      <c r="Z40423"/>
    </row>
    <row r="40424" spans="26:26" x14ac:dyDescent="0.25">
      <c r="Z40424"/>
    </row>
    <row r="40425" spans="26:26" x14ac:dyDescent="0.25">
      <c r="Z40425"/>
    </row>
    <row r="40426" spans="26:26" x14ac:dyDescent="0.25">
      <c r="Z40426"/>
    </row>
    <row r="40427" spans="26:26" x14ac:dyDescent="0.25">
      <c r="Z40427"/>
    </row>
    <row r="40428" spans="26:26" x14ac:dyDescent="0.25">
      <c r="Z40428"/>
    </row>
    <row r="40429" spans="26:26" x14ac:dyDescent="0.25">
      <c r="Z40429"/>
    </row>
    <row r="40430" spans="26:26" x14ac:dyDescent="0.25">
      <c r="Z40430"/>
    </row>
    <row r="40431" spans="26:26" x14ac:dyDescent="0.25">
      <c r="Z40431"/>
    </row>
    <row r="40432" spans="26:26" x14ac:dyDescent="0.25">
      <c r="Z40432"/>
    </row>
    <row r="40433" spans="26:26" x14ac:dyDescent="0.25">
      <c r="Z40433"/>
    </row>
    <row r="40434" spans="26:26" x14ac:dyDescent="0.25">
      <c r="Z40434"/>
    </row>
    <row r="40435" spans="26:26" x14ac:dyDescent="0.25">
      <c r="Z40435"/>
    </row>
    <row r="40436" spans="26:26" x14ac:dyDescent="0.25">
      <c r="Z40436"/>
    </row>
    <row r="40437" spans="26:26" x14ac:dyDescent="0.25">
      <c r="Z40437"/>
    </row>
    <row r="40438" spans="26:26" x14ac:dyDescent="0.25">
      <c r="Z40438"/>
    </row>
    <row r="40439" spans="26:26" x14ac:dyDescent="0.25">
      <c r="Z40439"/>
    </row>
    <row r="40440" spans="26:26" x14ac:dyDescent="0.25">
      <c r="Z40440"/>
    </row>
    <row r="40441" spans="26:26" x14ac:dyDescent="0.25">
      <c r="Z40441"/>
    </row>
    <row r="40442" spans="26:26" x14ac:dyDescent="0.25">
      <c r="Z40442"/>
    </row>
    <row r="40443" spans="26:26" x14ac:dyDescent="0.25">
      <c r="Z40443"/>
    </row>
    <row r="40444" spans="26:26" x14ac:dyDescent="0.25">
      <c r="Z40444"/>
    </row>
    <row r="40445" spans="26:26" x14ac:dyDescent="0.25">
      <c r="Z40445"/>
    </row>
    <row r="40446" spans="26:26" x14ac:dyDescent="0.25">
      <c r="Z40446"/>
    </row>
    <row r="40447" spans="26:26" x14ac:dyDescent="0.25">
      <c r="Z40447"/>
    </row>
    <row r="40448" spans="26:26" x14ac:dyDescent="0.25">
      <c r="Z40448"/>
    </row>
    <row r="40449" spans="26:26" x14ac:dyDescent="0.25">
      <c r="Z40449"/>
    </row>
    <row r="40450" spans="26:26" x14ac:dyDescent="0.25">
      <c r="Z40450"/>
    </row>
    <row r="40451" spans="26:26" x14ac:dyDescent="0.25">
      <c r="Z40451"/>
    </row>
    <row r="40452" spans="26:26" x14ac:dyDescent="0.25">
      <c r="Z40452"/>
    </row>
    <row r="40453" spans="26:26" x14ac:dyDescent="0.25">
      <c r="Z40453"/>
    </row>
    <row r="40454" spans="26:26" x14ac:dyDescent="0.25">
      <c r="Z40454"/>
    </row>
    <row r="40455" spans="26:26" x14ac:dyDescent="0.25">
      <c r="Z40455"/>
    </row>
    <row r="40456" spans="26:26" x14ac:dyDescent="0.25">
      <c r="Z40456"/>
    </row>
    <row r="40457" spans="26:26" x14ac:dyDescent="0.25">
      <c r="Z40457"/>
    </row>
    <row r="40458" spans="26:26" x14ac:dyDescent="0.25">
      <c r="Z40458"/>
    </row>
    <row r="40459" spans="26:26" x14ac:dyDescent="0.25">
      <c r="Z40459"/>
    </row>
    <row r="40460" spans="26:26" x14ac:dyDescent="0.25">
      <c r="Z40460"/>
    </row>
    <row r="40461" spans="26:26" x14ac:dyDescent="0.25">
      <c r="Z40461"/>
    </row>
    <row r="40462" spans="26:26" x14ac:dyDescent="0.25">
      <c r="Z40462"/>
    </row>
    <row r="40463" spans="26:26" x14ac:dyDescent="0.25">
      <c r="Z40463"/>
    </row>
    <row r="40464" spans="26:26" x14ac:dyDescent="0.25">
      <c r="Z40464"/>
    </row>
    <row r="40465" spans="26:26" x14ac:dyDescent="0.25">
      <c r="Z40465"/>
    </row>
    <row r="40466" spans="26:26" x14ac:dyDescent="0.25">
      <c r="Z40466"/>
    </row>
    <row r="40467" spans="26:26" x14ac:dyDescent="0.25">
      <c r="Z40467"/>
    </row>
    <row r="40468" spans="26:26" x14ac:dyDescent="0.25">
      <c r="Z40468"/>
    </row>
    <row r="40469" spans="26:26" x14ac:dyDescent="0.25">
      <c r="Z40469"/>
    </row>
    <row r="40470" spans="26:26" x14ac:dyDescent="0.25">
      <c r="Z40470"/>
    </row>
    <row r="40471" spans="26:26" x14ac:dyDescent="0.25">
      <c r="Z40471"/>
    </row>
    <row r="40472" spans="26:26" x14ac:dyDescent="0.25">
      <c r="Z40472"/>
    </row>
    <row r="40473" spans="26:26" x14ac:dyDescent="0.25">
      <c r="Z40473"/>
    </row>
    <row r="40474" spans="26:26" x14ac:dyDescent="0.25">
      <c r="Z40474"/>
    </row>
    <row r="40475" spans="26:26" x14ac:dyDescent="0.25">
      <c r="Z40475"/>
    </row>
    <row r="40476" spans="26:26" x14ac:dyDescent="0.25">
      <c r="Z40476"/>
    </row>
    <row r="40477" spans="26:26" x14ac:dyDescent="0.25">
      <c r="Z40477"/>
    </row>
    <row r="40478" spans="26:26" x14ac:dyDescent="0.25">
      <c r="Z40478"/>
    </row>
    <row r="40479" spans="26:26" x14ac:dyDescent="0.25">
      <c r="Z40479"/>
    </row>
    <row r="40480" spans="26:26" x14ac:dyDescent="0.25">
      <c r="Z40480"/>
    </row>
    <row r="40481" spans="26:26" x14ac:dyDescent="0.25">
      <c r="Z40481"/>
    </row>
    <row r="40482" spans="26:26" x14ac:dyDescent="0.25">
      <c r="Z40482"/>
    </row>
    <row r="40483" spans="26:26" x14ac:dyDescent="0.25">
      <c r="Z40483"/>
    </row>
    <row r="40484" spans="26:26" x14ac:dyDescent="0.25">
      <c r="Z40484"/>
    </row>
    <row r="40485" spans="26:26" x14ac:dyDescent="0.25">
      <c r="Z40485"/>
    </row>
    <row r="40486" spans="26:26" x14ac:dyDescent="0.25">
      <c r="Z40486"/>
    </row>
    <row r="40487" spans="26:26" x14ac:dyDescent="0.25">
      <c r="Z40487"/>
    </row>
    <row r="40488" spans="26:26" x14ac:dyDescent="0.25">
      <c r="Z40488"/>
    </row>
    <row r="40489" spans="26:26" x14ac:dyDescent="0.25">
      <c r="Z40489"/>
    </row>
    <row r="40490" spans="26:26" x14ac:dyDescent="0.25">
      <c r="Z40490"/>
    </row>
    <row r="40491" spans="26:26" x14ac:dyDescent="0.25">
      <c r="Z40491"/>
    </row>
    <row r="40492" spans="26:26" x14ac:dyDescent="0.25">
      <c r="Z40492"/>
    </row>
    <row r="40493" spans="26:26" x14ac:dyDescent="0.25">
      <c r="Z40493"/>
    </row>
    <row r="40494" spans="26:26" x14ac:dyDescent="0.25">
      <c r="Z40494"/>
    </row>
    <row r="40495" spans="26:26" x14ac:dyDescent="0.25">
      <c r="Z40495"/>
    </row>
    <row r="40496" spans="26:26" x14ac:dyDescent="0.25">
      <c r="Z40496"/>
    </row>
    <row r="40497" spans="26:26" x14ac:dyDescent="0.25">
      <c r="Z40497"/>
    </row>
    <row r="40498" spans="26:26" x14ac:dyDescent="0.25">
      <c r="Z40498"/>
    </row>
    <row r="40499" spans="26:26" x14ac:dyDescent="0.25">
      <c r="Z40499"/>
    </row>
    <row r="40500" spans="26:26" x14ac:dyDescent="0.25">
      <c r="Z40500"/>
    </row>
    <row r="40501" spans="26:26" x14ac:dyDescent="0.25">
      <c r="Z40501"/>
    </row>
    <row r="40502" spans="26:26" x14ac:dyDescent="0.25">
      <c r="Z40502"/>
    </row>
    <row r="40503" spans="26:26" x14ac:dyDescent="0.25">
      <c r="Z40503"/>
    </row>
    <row r="40504" spans="26:26" x14ac:dyDescent="0.25">
      <c r="Z40504"/>
    </row>
    <row r="40505" spans="26:26" x14ac:dyDescent="0.25">
      <c r="Z40505"/>
    </row>
    <row r="40506" spans="26:26" x14ac:dyDescent="0.25">
      <c r="Z40506"/>
    </row>
    <row r="40507" spans="26:26" x14ac:dyDescent="0.25">
      <c r="Z40507"/>
    </row>
    <row r="40508" spans="26:26" x14ac:dyDescent="0.25">
      <c r="Z40508"/>
    </row>
    <row r="40509" spans="26:26" x14ac:dyDescent="0.25">
      <c r="Z40509"/>
    </row>
    <row r="40510" spans="26:26" x14ac:dyDescent="0.25">
      <c r="Z40510"/>
    </row>
    <row r="40511" spans="26:26" x14ac:dyDescent="0.25">
      <c r="Z40511"/>
    </row>
    <row r="40512" spans="26:26" x14ac:dyDescent="0.25">
      <c r="Z40512"/>
    </row>
    <row r="40513" spans="26:26" x14ac:dyDescent="0.25">
      <c r="Z40513"/>
    </row>
    <row r="40514" spans="26:26" x14ac:dyDescent="0.25">
      <c r="Z40514"/>
    </row>
    <row r="40515" spans="26:26" x14ac:dyDescent="0.25">
      <c r="Z40515"/>
    </row>
    <row r="40516" spans="26:26" x14ac:dyDescent="0.25">
      <c r="Z40516"/>
    </row>
    <row r="40517" spans="26:26" x14ac:dyDescent="0.25">
      <c r="Z40517"/>
    </row>
    <row r="40518" spans="26:26" x14ac:dyDescent="0.25">
      <c r="Z40518"/>
    </row>
    <row r="40519" spans="26:26" x14ac:dyDescent="0.25">
      <c r="Z40519"/>
    </row>
    <row r="40520" spans="26:26" x14ac:dyDescent="0.25">
      <c r="Z40520"/>
    </row>
    <row r="40521" spans="26:26" x14ac:dyDescent="0.25">
      <c r="Z40521"/>
    </row>
    <row r="40522" spans="26:26" x14ac:dyDescent="0.25">
      <c r="Z40522"/>
    </row>
    <row r="40523" spans="26:26" x14ac:dyDescent="0.25">
      <c r="Z40523"/>
    </row>
    <row r="40524" spans="26:26" x14ac:dyDescent="0.25">
      <c r="Z40524"/>
    </row>
    <row r="40525" spans="26:26" x14ac:dyDescent="0.25">
      <c r="Z40525"/>
    </row>
    <row r="40526" spans="26:26" x14ac:dyDescent="0.25">
      <c r="Z40526"/>
    </row>
    <row r="40527" spans="26:26" x14ac:dyDescent="0.25">
      <c r="Z40527"/>
    </row>
    <row r="40528" spans="26:26" x14ac:dyDescent="0.25">
      <c r="Z40528"/>
    </row>
    <row r="40529" spans="26:26" x14ac:dyDescent="0.25">
      <c r="Z40529"/>
    </row>
    <row r="40530" spans="26:26" x14ac:dyDescent="0.25">
      <c r="Z40530"/>
    </row>
    <row r="40531" spans="26:26" x14ac:dyDescent="0.25">
      <c r="Z40531"/>
    </row>
    <row r="40532" spans="26:26" x14ac:dyDescent="0.25">
      <c r="Z40532"/>
    </row>
    <row r="40533" spans="26:26" x14ac:dyDescent="0.25">
      <c r="Z40533"/>
    </row>
    <row r="40534" spans="26:26" x14ac:dyDescent="0.25">
      <c r="Z40534"/>
    </row>
    <row r="40535" spans="26:26" x14ac:dyDescent="0.25">
      <c r="Z40535"/>
    </row>
    <row r="40536" spans="26:26" x14ac:dyDescent="0.25">
      <c r="Z40536"/>
    </row>
    <row r="40537" spans="26:26" x14ac:dyDescent="0.25">
      <c r="Z40537"/>
    </row>
    <row r="40538" spans="26:26" x14ac:dyDescent="0.25">
      <c r="Z40538"/>
    </row>
    <row r="40539" spans="26:26" x14ac:dyDescent="0.25">
      <c r="Z40539"/>
    </row>
    <row r="40540" spans="26:26" x14ac:dyDescent="0.25">
      <c r="Z40540"/>
    </row>
    <row r="40541" spans="26:26" x14ac:dyDescent="0.25">
      <c r="Z40541"/>
    </row>
    <row r="40542" spans="26:26" x14ac:dyDescent="0.25">
      <c r="Z40542"/>
    </row>
    <row r="40543" spans="26:26" x14ac:dyDescent="0.25">
      <c r="Z40543"/>
    </row>
    <row r="40544" spans="26:26" x14ac:dyDescent="0.25">
      <c r="Z40544"/>
    </row>
    <row r="40545" spans="26:26" x14ac:dyDescent="0.25">
      <c r="Z40545"/>
    </row>
    <row r="40546" spans="26:26" x14ac:dyDescent="0.25">
      <c r="Z40546"/>
    </row>
    <row r="40547" spans="26:26" x14ac:dyDescent="0.25">
      <c r="Z40547"/>
    </row>
    <row r="40548" spans="26:26" x14ac:dyDescent="0.25">
      <c r="Z40548"/>
    </row>
    <row r="40549" spans="26:26" x14ac:dyDescent="0.25">
      <c r="Z40549"/>
    </row>
    <row r="40550" spans="26:26" x14ac:dyDescent="0.25">
      <c r="Z40550"/>
    </row>
    <row r="40551" spans="26:26" x14ac:dyDescent="0.25">
      <c r="Z40551"/>
    </row>
    <row r="40552" spans="26:26" x14ac:dyDescent="0.25">
      <c r="Z40552"/>
    </row>
    <row r="40553" spans="26:26" x14ac:dyDescent="0.25">
      <c r="Z40553"/>
    </row>
    <row r="40554" spans="26:26" x14ac:dyDescent="0.25">
      <c r="Z40554"/>
    </row>
    <row r="40555" spans="26:26" x14ac:dyDescent="0.25">
      <c r="Z40555"/>
    </row>
    <row r="40556" spans="26:26" x14ac:dyDescent="0.25">
      <c r="Z40556"/>
    </row>
    <row r="40557" spans="26:26" x14ac:dyDescent="0.25">
      <c r="Z40557"/>
    </row>
    <row r="40558" spans="26:26" x14ac:dyDescent="0.25">
      <c r="Z40558"/>
    </row>
    <row r="40559" spans="26:26" x14ac:dyDescent="0.25">
      <c r="Z40559"/>
    </row>
    <row r="40560" spans="26:26" x14ac:dyDescent="0.25">
      <c r="Z40560"/>
    </row>
    <row r="40561" spans="26:26" x14ac:dyDescent="0.25">
      <c r="Z40561"/>
    </row>
    <row r="40562" spans="26:26" x14ac:dyDescent="0.25">
      <c r="Z40562"/>
    </row>
    <row r="40563" spans="26:26" x14ac:dyDescent="0.25">
      <c r="Z40563"/>
    </row>
    <row r="40564" spans="26:26" x14ac:dyDescent="0.25">
      <c r="Z40564"/>
    </row>
    <row r="40565" spans="26:26" x14ac:dyDescent="0.25">
      <c r="Z40565"/>
    </row>
    <row r="40566" spans="26:26" x14ac:dyDescent="0.25">
      <c r="Z40566"/>
    </row>
    <row r="40567" spans="26:26" x14ac:dyDescent="0.25">
      <c r="Z40567"/>
    </row>
    <row r="40568" spans="26:26" x14ac:dyDescent="0.25">
      <c r="Z40568"/>
    </row>
    <row r="40569" spans="26:26" x14ac:dyDescent="0.25">
      <c r="Z40569"/>
    </row>
    <row r="40570" spans="26:26" x14ac:dyDescent="0.25">
      <c r="Z40570"/>
    </row>
    <row r="40571" spans="26:26" x14ac:dyDescent="0.25">
      <c r="Z40571"/>
    </row>
    <row r="40572" spans="26:26" x14ac:dyDescent="0.25">
      <c r="Z40572"/>
    </row>
    <row r="40573" spans="26:26" x14ac:dyDescent="0.25">
      <c r="Z40573"/>
    </row>
    <row r="40574" spans="26:26" x14ac:dyDescent="0.25">
      <c r="Z40574"/>
    </row>
    <row r="40575" spans="26:26" x14ac:dyDescent="0.25">
      <c r="Z40575"/>
    </row>
    <row r="40576" spans="26:26" x14ac:dyDescent="0.25">
      <c r="Z40576"/>
    </row>
    <row r="40577" spans="26:26" x14ac:dyDescent="0.25">
      <c r="Z40577"/>
    </row>
    <row r="40578" spans="26:26" x14ac:dyDescent="0.25">
      <c r="Z40578"/>
    </row>
    <row r="40579" spans="26:26" x14ac:dyDescent="0.25">
      <c r="Z40579"/>
    </row>
    <row r="40580" spans="26:26" x14ac:dyDescent="0.25">
      <c r="Z40580"/>
    </row>
    <row r="40581" spans="26:26" x14ac:dyDescent="0.25">
      <c r="Z40581"/>
    </row>
    <row r="40582" spans="26:26" x14ac:dyDescent="0.25">
      <c r="Z40582"/>
    </row>
    <row r="40583" spans="26:26" x14ac:dyDescent="0.25">
      <c r="Z40583"/>
    </row>
    <row r="40584" spans="26:26" x14ac:dyDescent="0.25">
      <c r="Z40584"/>
    </row>
    <row r="40585" spans="26:26" x14ac:dyDescent="0.25">
      <c r="Z40585"/>
    </row>
    <row r="40586" spans="26:26" x14ac:dyDescent="0.25">
      <c r="Z40586"/>
    </row>
    <row r="40587" spans="26:26" x14ac:dyDescent="0.25">
      <c r="Z40587"/>
    </row>
    <row r="40588" spans="26:26" x14ac:dyDescent="0.25">
      <c r="Z40588"/>
    </row>
    <row r="40589" spans="26:26" x14ac:dyDescent="0.25">
      <c r="Z40589"/>
    </row>
    <row r="40590" spans="26:26" x14ac:dyDescent="0.25">
      <c r="Z40590"/>
    </row>
    <row r="40591" spans="26:26" x14ac:dyDescent="0.25">
      <c r="Z40591"/>
    </row>
    <row r="40592" spans="26:26" x14ac:dyDescent="0.25">
      <c r="Z40592"/>
    </row>
    <row r="40593" spans="26:26" x14ac:dyDescent="0.25">
      <c r="Z40593"/>
    </row>
    <row r="40594" spans="26:26" x14ac:dyDescent="0.25">
      <c r="Z40594"/>
    </row>
    <row r="40595" spans="26:26" x14ac:dyDescent="0.25">
      <c r="Z40595"/>
    </row>
    <row r="40596" spans="26:26" x14ac:dyDescent="0.25">
      <c r="Z40596"/>
    </row>
    <row r="40597" spans="26:26" x14ac:dyDescent="0.25">
      <c r="Z40597"/>
    </row>
    <row r="40598" spans="26:26" x14ac:dyDescent="0.25">
      <c r="Z40598"/>
    </row>
    <row r="40599" spans="26:26" x14ac:dyDescent="0.25">
      <c r="Z40599"/>
    </row>
    <row r="40600" spans="26:26" x14ac:dyDescent="0.25">
      <c r="Z40600"/>
    </row>
    <row r="40601" spans="26:26" x14ac:dyDescent="0.25">
      <c r="Z40601"/>
    </row>
    <row r="40602" spans="26:26" x14ac:dyDescent="0.25">
      <c r="Z40602"/>
    </row>
    <row r="40603" spans="26:26" x14ac:dyDescent="0.25">
      <c r="Z40603"/>
    </row>
    <row r="40604" spans="26:26" x14ac:dyDescent="0.25">
      <c r="Z40604"/>
    </row>
    <row r="40605" spans="26:26" x14ac:dyDescent="0.25">
      <c r="Z40605"/>
    </row>
    <row r="40606" spans="26:26" x14ac:dyDescent="0.25">
      <c r="Z40606"/>
    </row>
    <row r="40607" spans="26:26" x14ac:dyDescent="0.25">
      <c r="Z40607"/>
    </row>
    <row r="40608" spans="26:26" x14ac:dyDescent="0.25">
      <c r="Z40608"/>
    </row>
    <row r="40609" spans="26:26" x14ac:dyDescent="0.25">
      <c r="Z40609"/>
    </row>
    <row r="40610" spans="26:26" x14ac:dyDescent="0.25">
      <c r="Z40610"/>
    </row>
    <row r="40611" spans="26:26" x14ac:dyDescent="0.25">
      <c r="Z40611"/>
    </row>
    <row r="40612" spans="26:26" x14ac:dyDescent="0.25">
      <c r="Z40612"/>
    </row>
    <row r="40613" spans="26:26" x14ac:dyDescent="0.25">
      <c r="Z40613"/>
    </row>
    <row r="40614" spans="26:26" x14ac:dyDescent="0.25">
      <c r="Z40614"/>
    </row>
    <row r="40615" spans="26:26" x14ac:dyDescent="0.25">
      <c r="Z40615"/>
    </row>
    <row r="40616" spans="26:26" x14ac:dyDescent="0.25">
      <c r="Z40616"/>
    </row>
    <row r="40617" spans="26:26" x14ac:dyDescent="0.25">
      <c r="Z40617"/>
    </row>
    <row r="40618" spans="26:26" x14ac:dyDescent="0.25">
      <c r="Z40618"/>
    </row>
    <row r="40619" spans="26:26" x14ac:dyDescent="0.25">
      <c r="Z40619"/>
    </row>
    <row r="40620" spans="26:26" x14ac:dyDescent="0.25">
      <c r="Z40620"/>
    </row>
    <row r="40621" spans="26:26" x14ac:dyDescent="0.25">
      <c r="Z40621"/>
    </row>
    <row r="40622" spans="26:26" x14ac:dyDescent="0.25">
      <c r="Z40622"/>
    </row>
    <row r="40623" spans="26:26" x14ac:dyDescent="0.25">
      <c r="Z40623"/>
    </row>
    <row r="40624" spans="26:26" x14ac:dyDescent="0.25">
      <c r="Z40624"/>
    </row>
    <row r="40625" spans="26:26" x14ac:dyDescent="0.25">
      <c r="Z40625"/>
    </row>
    <row r="40626" spans="26:26" x14ac:dyDescent="0.25">
      <c r="Z40626"/>
    </row>
    <row r="40627" spans="26:26" x14ac:dyDescent="0.25">
      <c r="Z40627"/>
    </row>
    <row r="40628" spans="26:26" x14ac:dyDescent="0.25">
      <c r="Z40628"/>
    </row>
    <row r="40629" spans="26:26" x14ac:dyDescent="0.25">
      <c r="Z40629"/>
    </row>
    <row r="40630" spans="26:26" x14ac:dyDescent="0.25">
      <c r="Z40630"/>
    </row>
    <row r="40631" spans="26:26" x14ac:dyDescent="0.25">
      <c r="Z40631"/>
    </row>
    <row r="40632" spans="26:26" x14ac:dyDescent="0.25">
      <c r="Z40632"/>
    </row>
    <row r="40633" spans="26:26" x14ac:dyDescent="0.25">
      <c r="Z40633"/>
    </row>
    <row r="40634" spans="26:26" x14ac:dyDescent="0.25">
      <c r="Z40634"/>
    </row>
    <row r="40635" spans="26:26" x14ac:dyDescent="0.25">
      <c r="Z40635"/>
    </row>
    <row r="40636" spans="26:26" x14ac:dyDescent="0.25">
      <c r="Z40636"/>
    </row>
    <row r="40637" spans="26:26" x14ac:dyDescent="0.25">
      <c r="Z40637"/>
    </row>
    <row r="40638" spans="26:26" x14ac:dyDescent="0.25">
      <c r="Z40638"/>
    </row>
    <row r="40639" spans="26:26" x14ac:dyDescent="0.25">
      <c r="Z40639"/>
    </row>
    <row r="40640" spans="26:26" x14ac:dyDescent="0.25">
      <c r="Z40640"/>
    </row>
    <row r="40641" spans="26:26" x14ac:dyDescent="0.25">
      <c r="Z40641"/>
    </row>
    <row r="40642" spans="26:26" x14ac:dyDescent="0.25">
      <c r="Z40642"/>
    </row>
    <row r="40643" spans="26:26" x14ac:dyDescent="0.25">
      <c r="Z40643"/>
    </row>
    <row r="40644" spans="26:26" x14ac:dyDescent="0.25">
      <c r="Z40644"/>
    </row>
    <row r="40645" spans="26:26" x14ac:dyDescent="0.25">
      <c r="Z40645"/>
    </row>
    <row r="40646" spans="26:26" x14ac:dyDescent="0.25">
      <c r="Z40646"/>
    </row>
    <row r="40647" spans="26:26" x14ac:dyDescent="0.25">
      <c r="Z40647"/>
    </row>
    <row r="40648" spans="26:26" x14ac:dyDescent="0.25">
      <c r="Z40648"/>
    </row>
    <row r="40649" spans="26:26" x14ac:dyDescent="0.25">
      <c r="Z40649"/>
    </row>
    <row r="40650" spans="26:26" x14ac:dyDescent="0.25">
      <c r="Z40650"/>
    </row>
    <row r="40651" spans="26:26" x14ac:dyDescent="0.25">
      <c r="Z40651"/>
    </row>
    <row r="40652" spans="26:26" x14ac:dyDescent="0.25">
      <c r="Z40652"/>
    </row>
    <row r="40653" spans="26:26" x14ac:dyDescent="0.25">
      <c r="Z40653"/>
    </row>
    <row r="40654" spans="26:26" x14ac:dyDescent="0.25">
      <c r="Z40654"/>
    </row>
    <row r="40655" spans="26:26" x14ac:dyDescent="0.25">
      <c r="Z40655"/>
    </row>
    <row r="40656" spans="26:26" x14ac:dyDescent="0.25">
      <c r="Z40656"/>
    </row>
    <row r="40657" spans="26:26" x14ac:dyDescent="0.25">
      <c r="Z40657"/>
    </row>
    <row r="40658" spans="26:26" x14ac:dyDescent="0.25">
      <c r="Z40658"/>
    </row>
    <row r="40659" spans="26:26" x14ac:dyDescent="0.25">
      <c r="Z40659"/>
    </row>
    <row r="40660" spans="26:26" x14ac:dyDescent="0.25">
      <c r="Z40660"/>
    </row>
    <row r="40661" spans="26:26" x14ac:dyDescent="0.25">
      <c r="Z40661"/>
    </row>
    <row r="40662" spans="26:26" x14ac:dyDescent="0.25">
      <c r="Z40662"/>
    </row>
    <row r="40663" spans="26:26" x14ac:dyDescent="0.25">
      <c r="Z40663"/>
    </row>
    <row r="40664" spans="26:26" x14ac:dyDescent="0.25">
      <c r="Z40664"/>
    </row>
    <row r="40665" spans="26:26" x14ac:dyDescent="0.25">
      <c r="Z40665"/>
    </row>
    <row r="40666" spans="26:26" x14ac:dyDescent="0.25">
      <c r="Z40666"/>
    </row>
    <row r="40667" spans="26:26" x14ac:dyDescent="0.25">
      <c r="Z40667"/>
    </row>
    <row r="40668" spans="26:26" x14ac:dyDescent="0.25">
      <c r="Z40668"/>
    </row>
    <row r="40669" spans="26:26" x14ac:dyDescent="0.25">
      <c r="Z40669"/>
    </row>
    <row r="40670" spans="26:26" x14ac:dyDescent="0.25">
      <c r="Z40670"/>
    </row>
    <row r="40671" spans="26:26" x14ac:dyDescent="0.25">
      <c r="Z40671"/>
    </row>
    <row r="40672" spans="26:26" x14ac:dyDescent="0.25">
      <c r="Z40672"/>
    </row>
    <row r="40673" spans="26:26" x14ac:dyDescent="0.25">
      <c r="Z40673"/>
    </row>
    <row r="40674" spans="26:26" x14ac:dyDescent="0.25">
      <c r="Z40674"/>
    </row>
    <row r="40675" spans="26:26" x14ac:dyDescent="0.25">
      <c r="Z40675"/>
    </row>
    <row r="40676" spans="26:26" x14ac:dyDescent="0.25">
      <c r="Z40676"/>
    </row>
    <row r="40677" spans="26:26" x14ac:dyDescent="0.25">
      <c r="Z40677"/>
    </row>
    <row r="40678" spans="26:26" x14ac:dyDescent="0.25">
      <c r="Z40678"/>
    </row>
    <row r="40679" spans="26:26" x14ac:dyDescent="0.25">
      <c r="Z40679"/>
    </row>
    <row r="40680" spans="26:26" x14ac:dyDescent="0.25">
      <c r="Z40680"/>
    </row>
    <row r="40681" spans="26:26" x14ac:dyDescent="0.25">
      <c r="Z40681"/>
    </row>
    <row r="40682" spans="26:26" x14ac:dyDescent="0.25">
      <c r="Z40682"/>
    </row>
    <row r="40683" spans="26:26" x14ac:dyDescent="0.25">
      <c r="Z40683"/>
    </row>
    <row r="40684" spans="26:26" x14ac:dyDescent="0.25">
      <c r="Z40684"/>
    </row>
    <row r="40685" spans="26:26" x14ac:dyDescent="0.25">
      <c r="Z40685"/>
    </row>
    <row r="40686" spans="26:26" x14ac:dyDescent="0.25">
      <c r="Z40686"/>
    </row>
    <row r="40687" spans="26:26" x14ac:dyDescent="0.25">
      <c r="Z40687"/>
    </row>
    <row r="40688" spans="26:26" x14ac:dyDescent="0.25">
      <c r="Z40688"/>
    </row>
    <row r="40689" spans="26:26" x14ac:dyDescent="0.25">
      <c r="Z40689"/>
    </row>
    <row r="40690" spans="26:26" x14ac:dyDescent="0.25">
      <c r="Z40690"/>
    </row>
    <row r="40691" spans="26:26" x14ac:dyDescent="0.25">
      <c r="Z40691"/>
    </row>
    <row r="40692" spans="26:26" x14ac:dyDescent="0.25">
      <c r="Z40692"/>
    </row>
    <row r="40693" spans="26:26" x14ac:dyDescent="0.25">
      <c r="Z40693"/>
    </row>
    <row r="40694" spans="26:26" x14ac:dyDescent="0.25">
      <c r="Z40694"/>
    </row>
    <row r="40695" spans="26:26" x14ac:dyDescent="0.25">
      <c r="Z40695"/>
    </row>
    <row r="40696" spans="26:26" x14ac:dyDescent="0.25">
      <c r="Z40696"/>
    </row>
    <row r="40697" spans="26:26" x14ac:dyDescent="0.25">
      <c r="Z40697"/>
    </row>
    <row r="40698" spans="26:26" x14ac:dyDescent="0.25">
      <c r="Z40698"/>
    </row>
    <row r="40699" spans="26:26" x14ac:dyDescent="0.25">
      <c r="Z40699"/>
    </row>
    <row r="40700" spans="26:26" x14ac:dyDescent="0.25">
      <c r="Z40700"/>
    </row>
    <row r="40701" spans="26:26" x14ac:dyDescent="0.25">
      <c r="Z40701"/>
    </row>
    <row r="40702" spans="26:26" x14ac:dyDescent="0.25">
      <c r="Z40702"/>
    </row>
    <row r="40703" spans="26:26" x14ac:dyDescent="0.25">
      <c r="Z40703"/>
    </row>
    <row r="40704" spans="26:26" x14ac:dyDescent="0.25">
      <c r="Z40704"/>
    </row>
    <row r="40705" spans="26:26" x14ac:dyDescent="0.25">
      <c r="Z40705"/>
    </row>
    <row r="40706" spans="26:26" x14ac:dyDescent="0.25">
      <c r="Z40706"/>
    </row>
    <row r="40707" spans="26:26" x14ac:dyDescent="0.25">
      <c r="Z40707"/>
    </row>
    <row r="40708" spans="26:26" x14ac:dyDescent="0.25">
      <c r="Z40708"/>
    </row>
    <row r="40709" spans="26:26" x14ac:dyDescent="0.25">
      <c r="Z40709"/>
    </row>
    <row r="40710" spans="26:26" x14ac:dyDescent="0.25">
      <c r="Z40710"/>
    </row>
    <row r="40711" spans="26:26" x14ac:dyDescent="0.25">
      <c r="Z40711"/>
    </row>
    <row r="40712" spans="26:26" x14ac:dyDescent="0.25">
      <c r="Z40712"/>
    </row>
    <row r="40713" spans="26:26" x14ac:dyDescent="0.25">
      <c r="Z40713"/>
    </row>
    <row r="40714" spans="26:26" x14ac:dyDescent="0.25">
      <c r="Z40714"/>
    </row>
    <row r="40715" spans="26:26" x14ac:dyDescent="0.25">
      <c r="Z40715"/>
    </row>
    <row r="40716" spans="26:26" x14ac:dyDescent="0.25">
      <c r="Z40716"/>
    </row>
    <row r="40717" spans="26:26" x14ac:dyDescent="0.25">
      <c r="Z40717"/>
    </row>
    <row r="40718" spans="26:26" x14ac:dyDescent="0.25">
      <c r="Z40718"/>
    </row>
    <row r="40719" spans="26:26" x14ac:dyDescent="0.25">
      <c r="Z40719"/>
    </row>
    <row r="40720" spans="26:26" x14ac:dyDescent="0.25">
      <c r="Z40720"/>
    </row>
    <row r="40721" spans="26:26" x14ac:dyDescent="0.25">
      <c r="Z40721"/>
    </row>
    <row r="40722" spans="26:26" x14ac:dyDescent="0.25">
      <c r="Z40722"/>
    </row>
    <row r="40723" spans="26:26" x14ac:dyDescent="0.25">
      <c r="Z40723"/>
    </row>
    <row r="40724" spans="26:26" x14ac:dyDescent="0.25">
      <c r="Z40724"/>
    </row>
    <row r="40725" spans="26:26" x14ac:dyDescent="0.25">
      <c r="Z40725"/>
    </row>
    <row r="40726" spans="26:26" x14ac:dyDescent="0.25">
      <c r="Z40726"/>
    </row>
    <row r="40727" spans="26:26" x14ac:dyDescent="0.25">
      <c r="Z40727"/>
    </row>
    <row r="40728" spans="26:26" x14ac:dyDescent="0.25">
      <c r="Z40728"/>
    </row>
    <row r="40729" spans="26:26" x14ac:dyDescent="0.25">
      <c r="Z40729"/>
    </row>
    <row r="40730" spans="26:26" x14ac:dyDescent="0.25">
      <c r="Z40730"/>
    </row>
    <row r="40731" spans="26:26" x14ac:dyDescent="0.25">
      <c r="Z40731"/>
    </row>
    <row r="40732" spans="26:26" x14ac:dyDescent="0.25">
      <c r="Z40732"/>
    </row>
    <row r="40733" spans="26:26" x14ac:dyDescent="0.25">
      <c r="Z40733"/>
    </row>
    <row r="40734" spans="26:26" x14ac:dyDescent="0.25">
      <c r="Z40734"/>
    </row>
    <row r="40735" spans="26:26" x14ac:dyDescent="0.25">
      <c r="Z40735"/>
    </row>
    <row r="40736" spans="26:26" x14ac:dyDescent="0.25">
      <c r="Z40736"/>
    </row>
    <row r="40737" spans="26:26" x14ac:dyDescent="0.25">
      <c r="Z40737"/>
    </row>
    <row r="40738" spans="26:26" x14ac:dyDescent="0.25">
      <c r="Z40738"/>
    </row>
    <row r="40739" spans="26:26" x14ac:dyDescent="0.25">
      <c r="Z40739"/>
    </row>
    <row r="40740" spans="26:26" x14ac:dyDescent="0.25">
      <c r="Z40740"/>
    </row>
    <row r="40741" spans="26:26" x14ac:dyDescent="0.25">
      <c r="Z40741"/>
    </row>
    <row r="40742" spans="26:26" x14ac:dyDescent="0.25">
      <c r="Z40742"/>
    </row>
    <row r="40743" spans="26:26" x14ac:dyDescent="0.25">
      <c r="Z40743"/>
    </row>
    <row r="40744" spans="26:26" x14ac:dyDescent="0.25">
      <c r="Z40744"/>
    </row>
    <row r="40745" spans="26:26" x14ac:dyDescent="0.25">
      <c r="Z40745"/>
    </row>
    <row r="40746" spans="26:26" x14ac:dyDescent="0.25">
      <c r="Z40746"/>
    </row>
    <row r="40747" spans="26:26" x14ac:dyDescent="0.25">
      <c r="Z40747"/>
    </row>
    <row r="40748" spans="26:26" x14ac:dyDescent="0.25">
      <c r="Z40748"/>
    </row>
    <row r="40749" spans="26:26" x14ac:dyDescent="0.25">
      <c r="Z40749"/>
    </row>
    <row r="40750" spans="26:26" x14ac:dyDescent="0.25">
      <c r="Z40750"/>
    </row>
    <row r="40751" spans="26:26" x14ac:dyDescent="0.25">
      <c r="Z40751"/>
    </row>
    <row r="40752" spans="26:26" x14ac:dyDescent="0.25">
      <c r="Z40752"/>
    </row>
    <row r="40753" spans="26:26" x14ac:dyDescent="0.25">
      <c r="Z40753"/>
    </row>
    <row r="40754" spans="26:26" x14ac:dyDescent="0.25">
      <c r="Z40754"/>
    </row>
    <row r="40755" spans="26:26" x14ac:dyDescent="0.25">
      <c r="Z40755"/>
    </row>
    <row r="40756" spans="26:26" x14ac:dyDescent="0.25">
      <c r="Z40756"/>
    </row>
    <row r="40757" spans="26:26" x14ac:dyDescent="0.25">
      <c r="Z40757"/>
    </row>
    <row r="40758" spans="26:26" x14ac:dyDescent="0.25">
      <c r="Z40758"/>
    </row>
    <row r="40759" spans="26:26" x14ac:dyDescent="0.25">
      <c r="Z40759"/>
    </row>
    <row r="40760" spans="26:26" x14ac:dyDescent="0.25">
      <c r="Z40760"/>
    </row>
    <row r="40761" spans="26:26" x14ac:dyDescent="0.25">
      <c r="Z40761"/>
    </row>
    <row r="40762" spans="26:26" x14ac:dyDescent="0.25">
      <c r="Z40762"/>
    </row>
    <row r="40763" spans="26:26" x14ac:dyDescent="0.25">
      <c r="Z40763"/>
    </row>
    <row r="40764" spans="26:26" x14ac:dyDescent="0.25">
      <c r="Z40764"/>
    </row>
    <row r="40765" spans="26:26" x14ac:dyDescent="0.25">
      <c r="Z40765"/>
    </row>
    <row r="40766" spans="26:26" x14ac:dyDescent="0.25">
      <c r="Z40766"/>
    </row>
    <row r="40767" spans="26:26" x14ac:dyDescent="0.25">
      <c r="Z40767"/>
    </row>
    <row r="40768" spans="26:26" x14ac:dyDescent="0.25">
      <c r="Z40768"/>
    </row>
    <row r="40769" spans="26:26" x14ac:dyDescent="0.25">
      <c r="Z40769"/>
    </row>
    <row r="40770" spans="26:26" x14ac:dyDescent="0.25">
      <c r="Z40770"/>
    </row>
    <row r="40771" spans="26:26" x14ac:dyDescent="0.25">
      <c r="Z40771"/>
    </row>
    <row r="40772" spans="26:26" x14ac:dyDescent="0.25">
      <c r="Z40772"/>
    </row>
    <row r="40773" spans="26:26" x14ac:dyDescent="0.25">
      <c r="Z40773"/>
    </row>
    <row r="40774" spans="26:26" x14ac:dyDescent="0.25">
      <c r="Z40774"/>
    </row>
    <row r="40775" spans="26:26" x14ac:dyDescent="0.25">
      <c r="Z40775"/>
    </row>
    <row r="40776" spans="26:26" x14ac:dyDescent="0.25">
      <c r="Z40776"/>
    </row>
    <row r="40777" spans="26:26" x14ac:dyDescent="0.25">
      <c r="Z40777"/>
    </row>
    <row r="40778" spans="26:26" x14ac:dyDescent="0.25">
      <c r="Z40778"/>
    </row>
    <row r="40779" spans="26:26" x14ac:dyDescent="0.25">
      <c r="Z40779"/>
    </row>
    <row r="40780" spans="26:26" x14ac:dyDescent="0.25">
      <c r="Z40780"/>
    </row>
    <row r="40781" spans="26:26" x14ac:dyDescent="0.25">
      <c r="Z40781"/>
    </row>
    <row r="40782" spans="26:26" x14ac:dyDescent="0.25">
      <c r="Z40782"/>
    </row>
    <row r="40783" spans="26:26" x14ac:dyDescent="0.25">
      <c r="Z40783"/>
    </row>
    <row r="40784" spans="26:26" x14ac:dyDescent="0.25">
      <c r="Z40784"/>
    </row>
    <row r="40785" spans="26:26" x14ac:dyDescent="0.25">
      <c r="Z40785"/>
    </row>
    <row r="40786" spans="26:26" x14ac:dyDescent="0.25">
      <c r="Z40786"/>
    </row>
    <row r="40787" spans="26:26" x14ac:dyDescent="0.25">
      <c r="Z40787"/>
    </row>
    <row r="40788" spans="26:26" x14ac:dyDescent="0.25">
      <c r="Z40788"/>
    </row>
    <row r="40789" spans="26:26" x14ac:dyDescent="0.25">
      <c r="Z40789"/>
    </row>
    <row r="40790" spans="26:26" x14ac:dyDescent="0.25">
      <c r="Z40790"/>
    </row>
    <row r="40791" spans="26:26" x14ac:dyDescent="0.25">
      <c r="Z40791"/>
    </row>
    <row r="40792" spans="26:26" x14ac:dyDescent="0.25">
      <c r="Z40792"/>
    </row>
    <row r="40793" spans="26:26" x14ac:dyDescent="0.25">
      <c r="Z40793"/>
    </row>
    <row r="40794" spans="26:26" x14ac:dyDescent="0.25">
      <c r="Z40794"/>
    </row>
    <row r="40795" spans="26:26" x14ac:dyDescent="0.25">
      <c r="Z40795"/>
    </row>
    <row r="40796" spans="26:26" x14ac:dyDescent="0.25">
      <c r="Z40796"/>
    </row>
    <row r="40797" spans="26:26" x14ac:dyDescent="0.25">
      <c r="Z40797"/>
    </row>
    <row r="40798" spans="26:26" x14ac:dyDescent="0.25">
      <c r="Z40798"/>
    </row>
    <row r="40799" spans="26:26" x14ac:dyDescent="0.25">
      <c r="Z40799"/>
    </row>
    <row r="40800" spans="26:26" x14ac:dyDescent="0.25">
      <c r="Z40800"/>
    </row>
    <row r="40801" spans="26:26" x14ac:dyDescent="0.25">
      <c r="Z40801"/>
    </row>
    <row r="40802" spans="26:26" x14ac:dyDescent="0.25">
      <c r="Z40802"/>
    </row>
    <row r="40803" spans="26:26" x14ac:dyDescent="0.25">
      <c r="Z40803"/>
    </row>
    <row r="40804" spans="26:26" x14ac:dyDescent="0.25">
      <c r="Z40804"/>
    </row>
    <row r="40805" spans="26:26" x14ac:dyDescent="0.25">
      <c r="Z40805"/>
    </row>
    <row r="40806" spans="26:26" x14ac:dyDescent="0.25">
      <c r="Z40806"/>
    </row>
    <row r="40807" spans="26:26" x14ac:dyDescent="0.25">
      <c r="Z40807"/>
    </row>
    <row r="40808" spans="26:26" x14ac:dyDescent="0.25">
      <c r="Z40808"/>
    </row>
    <row r="40809" spans="26:26" x14ac:dyDescent="0.25">
      <c r="Z40809"/>
    </row>
    <row r="40810" spans="26:26" x14ac:dyDescent="0.25">
      <c r="Z40810"/>
    </row>
    <row r="40811" spans="26:26" x14ac:dyDescent="0.25">
      <c r="Z40811"/>
    </row>
    <row r="40812" spans="26:26" x14ac:dyDescent="0.25">
      <c r="Z40812"/>
    </row>
    <row r="40813" spans="26:26" x14ac:dyDescent="0.25">
      <c r="Z40813"/>
    </row>
    <row r="40814" spans="26:26" x14ac:dyDescent="0.25">
      <c r="Z40814"/>
    </row>
    <row r="40815" spans="26:26" x14ac:dyDescent="0.25">
      <c r="Z40815"/>
    </row>
    <row r="40816" spans="26:26" x14ac:dyDescent="0.25">
      <c r="Z40816"/>
    </row>
    <row r="40817" spans="26:26" x14ac:dyDescent="0.25">
      <c r="Z40817"/>
    </row>
    <row r="40818" spans="26:26" x14ac:dyDescent="0.25">
      <c r="Z40818"/>
    </row>
    <row r="40819" spans="26:26" x14ac:dyDescent="0.25">
      <c r="Z40819"/>
    </row>
    <row r="40820" spans="26:26" x14ac:dyDescent="0.25">
      <c r="Z40820"/>
    </row>
    <row r="40821" spans="26:26" x14ac:dyDescent="0.25">
      <c r="Z40821"/>
    </row>
    <row r="40822" spans="26:26" x14ac:dyDescent="0.25">
      <c r="Z40822"/>
    </row>
    <row r="40823" spans="26:26" x14ac:dyDescent="0.25">
      <c r="Z40823"/>
    </row>
    <row r="40824" spans="26:26" x14ac:dyDescent="0.25">
      <c r="Z40824"/>
    </row>
    <row r="40825" spans="26:26" x14ac:dyDescent="0.25">
      <c r="Z40825"/>
    </row>
    <row r="40826" spans="26:26" x14ac:dyDescent="0.25">
      <c r="Z40826"/>
    </row>
    <row r="40827" spans="26:26" x14ac:dyDescent="0.25">
      <c r="Z40827"/>
    </row>
    <row r="40828" spans="26:26" x14ac:dyDescent="0.25">
      <c r="Z40828"/>
    </row>
    <row r="40829" spans="26:26" x14ac:dyDescent="0.25">
      <c r="Z40829"/>
    </row>
    <row r="40830" spans="26:26" x14ac:dyDescent="0.25">
      <c r="Z40830"/>
    </row>
    <row r="40831" spans="26:26" x14ac:dyDescent="0.25">
      <c r="Z40831"/>
    </row>
    <row r="40832" spans="26:26" x14ac:dyDescent="0.25">
      <c r="Z40832"/>
    </row>
    <row r="40833" spans="26:26" x14ac:dyDescent="0.25">
      <c r="Z40833"/>
    </row>
    <row r="40834" spans="26:26" x14ac:dyDescent="0.25">
      <c r="Z40834"/>
    </row>
    <row r="40835" spans="26:26" x14ac:dyDescent="0.25">
      <c r="Z40835"/>
    </row>
    <row r="40836" spans="26:26" x14ac:dyDescent="0.25">
      <c r="Z40836"/>
    </row>
    <row r="40837" spans="26:26" x14ac:dyDescent="0.25">
      <c r="Z40837"/>
    </row>
    <row r="40838" spans="26:26" x14ac:dyDescent="0.25">
      <c r="Z40838"/>
    </row>
    <row r="40839" spans="26:26" x14ac:dyDescent="0.25">
      <c r="Z40839"/>
    </row>
    <row r="40840" spans="26:26" x14ac:dyDescent="0.25">
      <c r="Z40840"/>
    </row>
    <row r="40841" spans="26:26" x14ac:dyDescent="0.25">
      <c r="Z40841"/>
    </row>
    <row r="40842" spans="26:26" x14ac:dyDescent="0.25">
      <c r="Z40842"/>
    </row>
    <row r="40843" spans="26:26" x14ac:dyDescent="0.25">
      <c r="Z40843"/>
    </row>
    <row r="40844" spans="26:26" x14ac:dyDescent="0.25">
      <c r="Z40844"/>
    </row>
    <row r="40845" spans="26:26" x14ac:dyDescent="0.25">
      <c r="Z40845"/>
    </row>
    <row r="40846" spans="26:26" x14ac:dyDescent="0.25">
      <c r="Z40846"/>
    </row>
    <row r="40847" spans="26:26" x14ac:dyDescent="0.25">
      <c r="Z40847"/>
    </row>
    <row r="40848" spans="26:26" x14ac:dyDescent="0.25">
      <c r="Z40848"/>
    </row>
    <row r="40849" spans="26:26" x14ac:dyDescent="0.25">
      <c r="Z40849"/>
    </row>
    <row r="40850" spans="26:26" x14ac:dyDescent="0.25">
      <c r="Z40850"/>
    </row>
    <row r="40851" spans="26:26" x14ac:dyDescent="0.25">
      <c r="Z40851"/>
    </row>
    <row r="40852" spans="26:26" x14ac:dyDescent="0.25">
      <c r="Z40852"/>
    </row>
    <row r="40853" spans="26:26" x14ac:dyDescent="0.25">
      <c r="Z40853"/>
    </row>
    <row r="40854" spans="26:26" x14ac:dyDescent="0.25">
      <c r="Z40854"/>
    </row>
    <row r="40855" spans="26:26" x14ac:dyDescent="0.25">
      <c r="Z40855"/>
    </row>
    <row r="40856" spans="26:26" x14ac:dyDescent="0.25">
      <c r="Z40856"/>
    </row>
    <row r="40857" spans="26:26" x14ac:dyDescent="0.25">
      <c r="Z40857"/>
    </row>
    <row r="40858" spans="26:26" x14ac:dyDescent="0.25">
      <c r="Z40858"/>
    </row>
    <row r="40859" spans="26:26" x14ac:dyDescent="0.25">
      <c r="Z40859"/>
    </row>
    <row r="40860" spans="26:26" x14ac:dyDescent="0.25">
      <c r="Z40860"/>
    </row>
    <row r="40861" spans="26:26" x14ac:dyDescent="0.25">
      <c r="Z40861"/>
    </row>
    <row r="40862" spans="26:26" x14ac:dyDescent="0.25">
      <c r="Z40862"/>
    </row>
    <row r="40863" spans="26:26" x14ac:dyDescent="0.25">
      <c r="Z40863"/>
    </row>
    <row r="40864" spans="26:26" x14ac:dyDescent="0.25">
      <c r="Z40864"/>
    </row>
    <row r="40865" spans="26:26" x14ac:dyDescent="0.25">
      <c r="Z40865"/>
    </row>
    <row r="40866" spans="26:26" x14ac:dyDescent="0.25">
      <c r="Z40866"/>
    </row>
    <row r="40867" spans="26:26" x14ac:dyDescent="0.25">
      <c r="Z40867"/>
    </row>
    <row r="40868" spans="26:26" x14ac:dyDescent="0.25">
      <c r="Z40868"/>
    </row>
    <row r="40869" spans="26:26" x14ac:dyDescent="0.25">
      <c r="Z40869"/>
    </row>
    <row r="40870" spans="26:26" x14ac:dyDescent="0.25">
      <c r="Z40870"/>
    </row>
    <row r="40871" spans="26:26" x14ac:dyDescent="0.25">
      <c r="Z40871"/>
    </row>
    <row r="40872" spans="26:26" x14ac:dyDescent="0.25">
      <c r="Z40872"/>
    </row>
    <row r="40873" spans="26:26" x14ac:dyDescent="0.25">
      <c r="Z40873"/>
    </row>
    <row r="40874" spans="26:26" x14ac:dyDescent="0.25">
      <c r="Z40874"/>
    </row>
    <row r="40875" spans="26:26" x14ac:dyDescent="0.25">
      <c r="Z40875"/>
    </row>
    <row r="40876" spans="26:26" x14ac:dyDescent="0.25">
      <c r="Z40876"/>
    </row>
    <row r="40877" spans="26:26" x14ac:dyDescent="0.25">
      <c r="Z40877"/>
    </row>
    <row r="40878" spans="26:26" x14ac:dyDescent="0.25">
      <c r="Z40878"/>
    </row>
    <row r="40879" spans="26:26" x14ac:dyDescent="0.25">
      <c r="Z40879"/>
    </row>
    <row r="40880" spans="26:26" x14ac:dyDescent="0.25">
      <c r="Z40880"/>
    </row>
    <row r="40881" spans="26:26" x14ac:dyDescent="0.25">
      <c r="Z40881"/>
    </row>
    <row r="40882" spans="26:26" x14ac:dyDescent="0.25">
      <c r="Z40882"/>
    </row>
    <row r="40883" spans="26:26" x14ac:dyDescent="0.25">
      <c r="Z40883"/>
    </row>
    <row r="40884" spans="26:26" x14ac:dyDescent="0.25">
      <c r="Z40884"/>
    </row>
    <row r="40885" spans="26:26" x14ac:dyDescent="0.25">
      <c r="Z40885"/>
    </row>
    <row r="40886" spans="26:26" x14ac:dyDescent="0.25">
      <c r="Z40886"/>
    </row>
    <row r="40887" spans="26:26" x14ac:dyDescent="0.25">
      <c r="Z40887"/>
    </row>
    <row r="40888" spans="26:26" x14ac:dyDescent="0.25">
      <c r="Z40888"/>
    </row>
    <row r="40889" spans="26:26" x14ac:dyDescent="0.25">
      <c r="Z40889"/>
    </row>
    <row r="40890" spans="26:26" x14ac:dyDescent="0.25">
      <c r="Z40890"/>
    </row>
    <row r="40891" spans="26:26" x14ac:dyDescent="0.25">
      <c r="Z40891"/>
    </row>
    <row r="40892" spans="26:26" x14ac:dyDescent="0.25">
      <c r="Z40892"/>
    </row>
    <row r="40893" spans="26:26" x14ac:dyDescent="0.25">
      <c r="Z40893"/>
    </row>
    <row r="40894" spans="26:26" x14ac:dyDescent="0.25">
      <c r="Z40894"/>
    </row>
    <row r="40895" spans="26:26" x14ac:dyDescent="0.25">
      <c r="Z40895"/>
    </row>
    <row r="40896" spans="26:26" x14ac:dyDescent="0.25">
      <c r="Z40896"/>
    </row>
    <row r="40897" spans="26:26" x14ac:dyDescent="0.25">
      <c r="Z40897"/>
    </row>
    <row r="40898" spans="26:26" x14ac:dyDescent="0.25">
      <c r="Z40898"/>
    </row>
    <row r="40899" spans="26:26" x14ac:dyDescent="0.25">
      <c r="Z40899"/>
    </row>
    <row r="40900" spans="26:26" x14ac:dyDescent="0.25">
      <c r="Z40900"/>
    </row>
    <row r="40901" spans="26:26" x14ac:dyDescent="0.25">
      <c r="Z40901"/>
    </row>
    <row r="40902" spans="26:26" x14ac:dyDescent="0.25">
      <c r="Z40902"/>
    </row>
    <row r="40903" spans="26:26" x14ac:dyDescent="0.25">
      <c r="Z40903"/>
    </row>
    <row r="40904" spans="26:26" x14ac:dyDescent="0.25">
      <c r="Z40904"/>
    </row>
    <row r="40905" spans="26:26" x14ac:dyDescent="0.25">
      <c r="Z40905"/>
    </row>
    <row r="40906" spans="26:26" x14ac:dyDescent="0.25">
      <c r="Z40906"/>
    </row>
    <row r="40907" spans="26:26" x14ac:dyDescent="0.25">
      <c r="Z40907"/>
    </row>
    <row r="40908" spans="26:26" x14ac:dyDescent="0.25">
      <c r="Z40908"/>
    </row>
    <row r="40909" spans="26:26" x14ac:dyDescent="0.25">
      <c r="Z40909"/>
    </row>
    <row r="40910" spans="26:26" x14ac:dyDescent="0.25">
      <c r="Z40910"/>
    </row>
    <row r="40911" spans="26:26" x14ac:dyDescent="0.25">
      <c r="Z40911"/>
    </row>
    <row r="40912" spans="26:26" x14ac:dyDescent="0.25">
      <c r="Z40912"/>
    </row>
    <row r="40913" spans="26:26" x14ac:dyDescent="0.25">
      <c r="Z40913"/>
    </row>
    <row r="40914" spans="26:26" x14ac:dyDescent="0.25">
      <c r="Z40914"/>
    </row>
    <row r="40915" spans="26:26" x14ac:dyDescent="0.25">
      <c r="Z40915"/>
    </row>
    <row r="40916" spans="26:26" x14ac:dyDescent="0.25">
      <c r="Z40916"/>
    </row>
    <row r="40917" spans="26:26" x14ac:dyDescent="0.25">
      <c r="Z40917"/>
    </row>
    <row r="40918" spans="26:26" x14ac:dyDescent="0.25">
      <c r="Z40918"/>
    </row>
    <row r="40919" spans="26:26" x14ac:dyDescent="0.25">
      <c r="Z40919"/>
    </row>
    <row r="40920" spans="26:26" x14ac:dyDescent="0.25">
      <c r="Z40920"/>
    </row>
    <row r="40921" spans="26:26" x14ac:dyDescent="0.25">
      <c r="Z40921"/>
    </row>
    <row r="40922" spans="26:26" x14ac:dyDescent="0.25">
      <c r="Z40922"/>
    </row>
    <row r="40923" spans="26:26" x14ac:dyDescent="0.25">
      <c r="Z40923"/>
    </row>
    <row r="40924" spans="26:26" x14ac:dyDescent="0.25">
      <c r="Z40924"/>
    </row>
    <row r="40925" spans="26:26" x14ac:dyDescent="0.25">
      <c r="Z40925"/>
    </row>
    <row r="40926" spans="26:26" x14ac:dyDescent="0.25">
      <c r="Z40926"/>
    </row>
    <row r="40927" spans="26:26" x14ac:dyDescent="0.25">
      <c r="Z40927"/>
    </row>
    <row r="40928" spans="26:26" x14ac:dyDescent="0.25">
      <c r="Z40928"/>
    </row>
    <row r="40929" spans="26:26" x14ac:dyDescent="0.25">
      <c r="Z40929"/>
    </row>
    <row r="40930" spans="26:26" x14ac:dyDescent="0.25">
      <c r="Z40930"/>
    </row>
    <row r="40931" spans="26:26" x14ac:dyDescent="0.25">
      <c r="Z40931"/>
    </row>
    <row r="40932" spans="26:26" x14ac:dyDescent="0.25">
      <c r="Z40932"/>
    </row>
    <row r="40933" spans="26:26" x14ac:dyDescent="0.25">
      <c r="Z40933"/>
    </row>
    <row r="40934" spans="26:26" x14ac:dyDescent="0.25">
      <c r="Z40934"/>
    </row>
    <row r="40935" spans="26:26" x14ac:dyDescent="0.25">
      <c r="Z40935"/>
    </row>
    <row r="40936" spans="26:26" x14ac:dyDescent="0.25">
      <c r="Z40936"/>
    </row>
    <row r="40937" spans="26:26" x14ac:dyDescent="0.25">
      <c r="Z40937"/>
    </row>
    <row r="40938" spans="26:26" x14ac:dyDescent="0.25">
      <c r="Z40938"/>
    </row>
    <row r="40939" spans="26:26" x14ac:dyDescent="0.25">
      <c r="Z40939"/>
    </row>
    <row r="40940" spans="26:26" x14ac:dyDescent="0.25">
      <c r="Z40940"/>
    </row>
    <row r="40941" spans="26:26" x14ac:dyDescent="0.25">
      <c r="Z40941"/>
    </row>
    <row r="40942" spans="26:26" x14ac:dyDescent="0.25">
      <c r="Z40942"/>
    </row>
    <row r="40943" spans="26:26" x14ac:dyDescent="0.25">
      <c r="Z40943"/>
    </row>
    <row r="40944" spans="26:26" x14ac:dyDescent="0.25">
      <c r="Z40944"/>
    </row>
    <row r="40945" spans="26:26" x14ac:dyDescent="0.25">
      <c r="Z40945"/>
    </row>
    <row r="40946" spans="26:26" x14ac:dyDescent="0.25">
      <c r="Z40946"/>
    </row>
    <row r="40947" spans="26:26" x14ac:dyDescent="0.25">
      <c r="Z40947"/>
    </row>
    <row r="40948" spans="26:26" x14ac:dyDescent="0.25">
      <c r="Z40948"/>
    </row>
    <row r="40949" spans="26:26" x14ac:dyDescent="0.25">
      <c r="Z40949"/>
    </row>
    <row r="40950" spans="26:26" x14ac:dyDescent="0.25">
      <c r="Z40950"/>
    </row>
    <row r="40951" spans="26:26" x14ac:dyDescent="0.25">
      <c r="Z40951"/>
    </row>
    <row r="40952" spans="26:26" x14ac:dyDescent="0.25">
      <c r="Z40952"/>
    </row>
    <row r="40953" spans="26:26" x14ac:dyDescent="0.25">
      <c r="Z40953"/>
    </row>
    <row r="40954" spans="26:26" x14ac:dyDescent="0.25">
      <c r="Z40954"/>
    </row>
    <row r="40955" spans="26:26" x14ac:dyDescent="0.25">
      <c r="Z40955"/>
    </row>
    <row r="40956" spans="26:26" x14ac:dyDescent="0.25">
      <c r="Z40956"/>
    </row>
    <row r="40957" spans="26:26" x14ac:dyDescent="0.25">
      <c r="Z40957"/>
    </row>
    <row r="40958" spans="26:26" x14ac:dyDescent="0.25">
      <c r="Z40958"/>
    </row>
    <row r="40959" spans="26:26" x14ac:dyDescent="0.25">
      <c r="Z40959"/>
    </row>
    <row r="40960" spans="26:26" x14ac:dyDescent="0.25">
      <c r="Z40960"/>
    </row>
    <row r="40961" spans="26:26" x14ac:dyDescent="0.25">
      <c r="Z40961"/>
    </row>
    <row r="40962" spans="26:26" x14ac:dyDescent="0.25">
      <c r="Z40962"/>
    </row>
    <row r="40963" spans="26:26" x14ac:dyDescent="0.25">
      <c r="Z40963"/>
    </row>
    <row r="40964" spans="26:26" x14ac:dyDescent="0.25">
      <c r="Z40964"/>
    </row>
    <row r="40965" spans="26:26" x14ac:dyDescent="0.25">
      <c r="Z40965"/>
    </row>
    <row r="40966" spans="26:26" x14ac:dyDescent="0.25">
      <c r="Z40966"/>
    </row>
    <row r="40967" spans="26:26" x14ac:dyDescent="0.25">
      <c r="Z40967"/>
    </row>
    <row r="40968" spans="26:26" x14ac:dyDescent="0.25">
      <c r="Z40968"/>
    </row>
    <row r="40969" spans="26:26" x14ac:dyDescent="0.25">
      <c r="Z40969"/>
    </row>
    <row r="40970" spans="26:26" x14ac:dyDescent="0.25">
      <c r="Z40970"/>
    </row>
    <row r="40971" spans="26:26" x14ac:dyDescent="0.25">
      <c r="Z40971"/>
    </row>
    <row r="40972" spans="26:26" x14ac:dyDescent="0.25">
      <c r="Z40972"/>
    </row>
    <row r="40973" spans="26:26" x14ac:dyDescent="0.25">
      <c r="Z40973"/>
    </row>
    <row r="40974" spans="26:26" x14ac:dyDescent="0.25">
      <c r="Z40974"/>
    </row>
    <row r="40975" spans="26:26" x14ac:dyDescent="0.25">
      <c r="Z40975"/>
    </row>
    <row r="40976" spans="26:26" x14ac:dyDescent="0.25">
      <c r="Z40976"/>
    </row>
    <row r="40977" spans="26:26" x14ac:dyDescent="0.25">
      <c r="Z40977"/>
    </row>
    <row r="40978" spans="26:26" x14ac:dyDescent="0.25">
      <c r="Z40978"/>
    </row>
    <row r="40979" spans="26:26" x14ac:dyDescent="0.25">
      <c r="Z40979"/>
    </row>
    <row r="40980" spans="26:26" x14ac:dyDescent="0.25">
      <c r="Z40980"/>
    </row>
    <row r="40981" spans="26:26" x14ac:dyDescent="0.25">
      <c r="Z40981"/>
    </row>
    <row r="40982" spans="26:26" x14ac:dyDescent="0.25">
      <c r="Z40982"/>
    </row>
    <row r="40983" spans="26:26" x14ac:dyDescent="0.25">
      <c r="Z40983"/>
    </row>
    <row r="40984" spans="26:26" x14ac:dyDescent="0.25">
      <c r="Z40984"/>
    </row>
    <row r="40985" spans="26:26" x14ac:dyDescent="0.25">
      <c r="Z40985"/>
    </row>
    <row r="40986" spans="26:26" x14ac:dyDescent="0.25">
      <c r="Z40986"/>
    </row>
    <row r="40987" spans="26:26" x14ac:dyDescent="0.25">
      <c r="Z40987"/>
    </row>
    <row r="40988" spans="26:26" x14ac:dyDescent="0.25">
      <c r="Z40988"/>
    </row>
    <row r="40989" spans="26:26" x14ac:dyDescent="0.25">
      <c r="Z40989"/>
    </row>
    <row r="40990" spans="26:26" x14ac:dyDescent="0.25">
      <c r="Z40990"/>
    </row>
    <row r="40991" spans="26:26" x14ac:dyDescent="0.25">
      <c r="Z40991"/>
    </row>
    <row r="40992" spans="26:26" x14ac:dyDescent="0.25">
      <c r="Z40992"/>
    </row>
    <row r="40993" spans="26:26" x14ac:dyDescent="0.25">
      <c r="Z40993"/>
    </row>
    <row r="40994" spans="26:26" x14ac:dyDescent="0.25">
      <c r="Z40994"/>
    </row>
    <row r="40995" spans="26:26" x14ac:dyDescent="0.25">
      <c r="Z40995"/>
    </row>
    <row r="40996" spans="26:26" x14ac:dyDescent="0.25">
      <c r="Z40996"/>
    </row>
    <row r="40997" spans="26:26" x14ac:dyDescent="0.25">
      <c r="Z40997"/>
    </row>
    <row r="40998" spans="26:26" x14ac:dyDescent="0.25">
      <c r="Z40998"/>
    </row>
    <row r="40999" spans="26:26" x14ac:dyDescent="0.25">
      <c r="Z40999"/>
    </row>
    <row r="41000" spans="26:26" x14ac:dyDescent="0.25">
      <c r="Z41000"/>
    </row>
    <row r="41001" spans="26:26" x14ac:dyDescent="0.25">
      <c r="Z41001"/>
    </row>
    <row r="41002" spans="26:26" x14ac:dyDescent="0.25">
      <c r="Z41002"/>
    </row>
    <row r="41003" spans="26:26" x14ac:dyDescent="0.25">
      <c r="Z41003"/>
    </row>
    <row r="41004" spans="26:26" x14ac:dyDescent="0.25">
      <c r="Z41004"/>
    </row>
    <row r="41005" spans="26:26" x14ac:dyDescent="0.25">
      <c r="Z41005"/>
    </row>
    <row r="41006" spans="26:26" x14ac:dyDescent="0.25">
      <c r="Z41006"/>
    </row>
    <row r="41007" spans="26:26" x14ac:dyDescent="0.25">
      <c r="Z41007"/>
    </row>
    <row r="41008" spans="26:26" x14ac:dyDescent="0.25">
      <c r="Z41008"/>
    </row>
    <row r="41009" spans="26:26" x14ac:dyDescent="0.25">
      <c r="Z41009"/>
    </row>
    <row r="41010" spans="26:26" x14ac:dyDescent="0.25">
      <c r="Z41010"/>
    </row>
    <row r="41011" spans="26:26" x14ac:dyDescent="0.25">
      <c r="Z41011"/>
    </row>
    <row r="41012" spans="26:26" x14ac:dyDescent="0.25">
      <c r="Z41012"/>
    </row>
    <row r="41013" spans="26:26" x14ac:dyDescent="0.25">
      <c r="Z41013"/>
    </row>
    <row r="41014" spans="26:26" x14ac:dyDescent="0.25">
      <c r="Z41014"/>
    </row>
    <row r="41015" spans="26:26" x14ac:dyDescent="0.25">
      <c r="Z41015"/>
    </row>
    <row r="41016" spans="26:26" x14ac:dyDescent="0.25">
      <c r="Z41016"/>
    </row>
    <row r="41017" spans="26:26" x14ac:dyDescent="0.25">
      <c r="Z41017"/>
    </row>
    <row r="41018" spans="26:26" x14ac:dyDescent="0.25">
      <c r="Z41018"/>
    </row>
    <row r="41019" spans="26:26" x14ac:dyDescent="0.25">
      <c r="Z41019"/>
    </row>
    <row r="41020" spans="26:26" x14ac:dyDescent="0.25">
      <c r="Z41020"/>
    </row>
    <row r="41021" spans="26:26" x14ac:dyDescent="0.25">
      <c r="Z41021"/>
    </row>
    <row r="41022" spans="26:26" x14ac:dyDescent="0.25">
      <c r="Z41022"/>
    </row>
    <row r="41023" spans="26:26" x14ac:dyDescent="0.25">
      <c r="Z41023"/>
    </row>
    <row r="41024" spans="26:26" x14ac:dyDescent="0.25">
      <c r="Z41024"/>
    </row>
    <row r="41025" spans="26:26" x14ac:dyDescent="0.25">
      <c r="Z41025"/>
    </row>
    <row r="41026" spans="26:26" x14ac:dyDescent="0.25">
      <c r="Z41026"/>
    </row>
    <row r="41027" spans="26:26" x14ac:dyDescent="0.25">
      <c r="Z41027"/>
    </row>
    <row r="41028" spans="26:26" x14ac:dyDescent="0.25">
      <c r="Z41028"/>
    </row>
    <row r="41029" spans="26:26" x14ac:dyDescent="0.25">
      <c r="Z41029"/>
    </row>
    <row r="41030" spans="26:26" x14ac:dyDescent="0.25">
      <c r="Z41030"/>
    </row>
    <row r="41031" spans="26:26" x14ac:dyDescent="0.25">
      <c r="Z41031"/>
    </row>
    <row r="41032" spans="26:26" x14ac:dyDescent="0.25">
      <c r="Z41032"/>
    </row>
    <row r="41033" spans="26:26" x14ac:dyDescent="0.25">
      <c r="Z41033"/>
    </row>
    <row r="41034" spans="26:26" x14ac:dyDescent="0.25">
      <c r="Z41034"/>
    </row>
    <row r="41035" spans="26:26" x14ac:dyDescent="0.25">
      <c r="Z41035"/>
    </row>
    <row r="41036" spans="26:26" x14ac:dyDescent="0.25">
      <c r="Z41036"/>
    </row>
    <row r="41037" spans="26:26" x14ac:dyDescent="0.25">
      <c r="Z41037"/>
    </row>
    <row r="41038" spans="26:26" x14ac:dyDescent="0.25">
      <c r="Z41038"/>
    </row>
    <row r="41039" spans="26:26" x14ac:dyDescent="0.25">
      <c r="Z41039"/>
    </row>
    <row r="41040" spans="26:26" x14ac:dyDescent="0.25">
      <c r="Z41040"/>
    </row>
    <row r="41041" spans="26:26" x14ac:dyDescent="0.25">
      <c r="Z41041"/>
    </row>
    <row r="41042" spans="26:26" x14ac:dyDescent="0.25">
      <c r="Z41042"/>
    </row>
    <row r="41043" spans="26:26" x14ac:dyDescent="0.25">
      <c r="Z41043"/>
    </row>
    <row r="41044" spans="26:26" x14ac:dyDescent="0.25">
      <c r="Z41044"/>
    </row>
    <row r="41045" spans="26:26" x14ac:dyDescent="0.25">
      <c r="Z41045"/>
    </row>
    <row r="41046" spans="26:26" x14ac:dyDescent="0.25">
      <c r="Z41046"/>
    </row>
    <row r="41047" spans="26:26" x14ac:dyDescent="0.25">
      <c r="Z41047"/>
    </row>
    <row r="41048" spans="26:26" x14ac:dyDescent="0.25">
      <c r="Z41048"/>
    </row>
    <row r="41049" spans="26:26" x14ac:dyDescent="0.25">
      <c r="Z41049"/>
    </row>
    <row r="41050" spans="26:26" x14ac:dyDescent="0.25">
      <c r="Z41050"/>
    </row>
    <row r="41051" spans="26:26" x14ac:dyDescent="0.25">
      <c r="Z41051"/>
    </row>
    <row r="41052" spans="26:26" x14ac:dyDescent="0.25">
      <c r="Z41052"/>
    </row>
    <row r="41053" spans="26:26" x14ac:dyDescent="0.25">
      <c r="Z41053"/>
    </row>
    <row r="41054" spans="26:26" x14ac:dyDescent="0.25">
      <c r="Z41054"/>
    </row>
    <row r="41055" spans="26:26" x14ac:dyDescent="0.25">
      <c r="Z41055"/>
    </row>
    <row r="41056" spans="26:26" x14ac:dyDescent="0.25">
      <c r="Z41056"/>
    </row>
    <row r="41057" spans="26:26" x14ac:dyDescent="0.25">
      <c r="Z41057"/>
    </row>
    <row r="41058" spans="26:26" x14ac:dyDescent="0.25">
      <c r="Z41058"/>
    </row>
    <row r="41059" spans="26:26" x14ac:dyDescent="0.25">
      <c r="Z41059"/>
    </row>
    <row r="41060" spans="26:26" x14ac:dyDescent="0.25">
      <c r="Z41060"/>
    </row>
    <row r="41061" spans="26:26" x14ac:dyDescent="0.25">
      <c r="Z41061"/>
    </row>
    <row r="41062" spans="26:26" x14ac:dyDescent="0.25">
      <c r="Z41062"/>
    </row>
    <row r="41063" spans="26:26" x14ac:dyDescent="0.25">
      <c r="Z41063"/>
    </row>
    <row r="41064" spans="26:26" x14ac:dyDescent="0.25">
      <c r="Z41064"/>
    </row>
    <row r="41065" spans="26:26" x14ac:dyDescent="0.25">
      <c r="Z41065"/>
    </row>
    <row r="41066" spans="26:26" x14ac:dyDescent="0.25">
      <c r="Z41066"/>
    </row>
    <row r="41067" spans="26:26" x14ac:dyDescent="0.25">
      <c r="Z41067"/>
    </row>
    <row r="41068" spans="26:26" x14ac:dyDescent="0.25">
      <c r="Z41068"/>
    </row>
    <row r="41069" spans="26:26" x14ac:dyDescent="0.25">
      <c r="Z41069"/>
    </row>
    <row r="41070" spans="26:26" x14ac:dyDescent="0.25">
      <c r="Z41070"/>
    </row>
    <row r="41071" spans="26:26" x14ac:dyDescent="0.25">
      <c r="Z41071"/>
    </row>
    <row r="41072" spans="26:26" x14ac:dyDescent="0.25">
      <c r="Z41072"/>
    </row>
    <row r="41073" spans="26:26" x14ac:dyDescent="0.25">
      <c r="Z41073"/>
    </row>
    <row r="41074" spans="26:26" x14ac:dyDescent="0.25">
      <c r="Z41074"/>
    </row>
    <row r="41075" spans="26:26" x14ac:dyDescent="0.25">
      <c r="Z41075"/>
    </row>
    <row r="41076" spans="26:26" x14ac:dyDescent="0.25">
      <c r="Z41076"/>
    </row>
    <row r="41077" spans="26:26" x14ac:dyDescent="0.25">
      <c r="Z41077"/>
    </row>
    <row r="41078" spans="26:26" x14ac:dyDescent="0.25">
      <c r="Z41078"/>
    </row>
    <row r="41079" spans="26:26" x14ac:dyDescent="0.25">
      <c r="Z41079"/>
    </row>
    <row r="41080" spans="26:26" x14ac:dyDescent="0.25">
      <c r="Z41080"/>
    </row>
    <row r="41081" spans="26:26" x14ac:dyDescent="0.25">
      <c r="Z41081"/>
    </row>
    <row r="41082" spans="26:26" x14ac:dyDescent="0.25">
      <c r="Z41082"/>
    </row>
    <row r="41083" spans="26:26" x14ac:dyDescent="0.25">
      <c r="Z41083"/>
    </row>
    <row r="41084" spans="26:26" x14ac:dyDescent="0.25">
      <c r="Z41084"/>
    </row>
    <row r="41085" spans="26:26" x14ac:dyDescent="0.25">
      <c r="Z41085"/>
    </row>
    <row r="41086" spans="26:26" x14ac:dyDescent="0.25">
      <c r="Z41086"/>
    </row>
    <row r="41087" spans="26:26" x14ac:dyDescent="0.25">
      <c r="Z41087"/>
    </row>
    <row r="41088" spans="26:26" x14ac:dyDescent="0.25">
      <c r="Z41088"/>
    </row>
    <row r="41089" spans="26:26" x14ac:dyDescent="0.25">
      <c r="Z41089"/>
    </row>
    <row r="41090" spans="26:26" x14ac:dyDescent="0.25">
      <c r="Z41090"/>
    </row>
    <row r="41091" spans="26:26" x14ac:dyDescent="0.25">
      <c r="Z41091"/>
    </row>
    <row r="41092" spans="26:26" x14ac:dyDescent="0.25">
      <c r="Z41092"/>
    </row>
    <row r="41093" spans="26:26" x14ac:dyDescent="0.25">
      <c r="Z41093"/>
    </row>
    <row r="41094" spans="26:26" x14ac:dyDescent="0.25">
      <c r="Z41094"/>
    </row>
    <row r="41095" spans="26:26" x14ac:dyDescent="0.25">
      <c r="Z41095"/>
    </row>
    <row r="41096" spans="26:26" x14ac:dyDescent="0.25">
      <c r="Z41096"/>
    </row>
    <row r="41097" spans="26:26" x14ac:dyDescent="0.25">
      <c r="Z41097"/>
    </row>
    <row r="41098" spans="26:26" x14ac:dyDescent="0.25">
      <c r="Z41098"/>
    </row>
    <row r="41099" spans="26:26" x14ac:dyDescent="0.25">
      <c r="Z41099"/>
    </row>
    <row r="41100" spans="26:26" x14ac:dyDescent="0.25">
      <c r="Z41100"/>
    </row>
    <row r="41101" spans="26:26" x14ac:dyDescent="0.25">
      <c r="Z41101"/>
    </row>
    <row r="41102" spans="26:26" x14ac:dyDescent="0.25">
      <c r="Z41102"/>
    </row>
    <row r="41103" spans="26:26" x14ac:dyDescent="0.25">
      <c r="Z41103"/>
    </row>
    <row r="41104" spans="26:26" x14ac:dyDescent="0.25">
      <c r="Z41104"/>
    </row>
    <row r="41105" spans="26:26" x14ac:dyDescent="0.25">
      <c r="Z41105"/>
    </row>
    <row r="41106" spans="26:26" x14ac:dyDescent="0.25">
      <c r="Z41106"/>
    </row>
    <row r="41107" spans="26:26" x14ac:dyDescent="0.25">
      <c r="Z41107"/>
    </row>
    <row r="41108" spans="26:26" x14ac:dyDescent="0.25">
      <c r="Z41108"/>
    </row>
    <row r="41109" spans="26:26" x14ac:dyDescent="0.25">
      <c r="Z41109"/>
    </row>
    <row r="41110" spans="26:26" x14ac:dyDescent="0.25">
      <c r="Z41110"/>
    </row>
    <row r="41111" spans="26:26" x14ac:dyDescent="0.25">
      <c r="Z41111"/>
    </row>
    <row r="41112" spans="26:26" x14ac:dyDescent="0.25">
      <c r="Z41112"/>
    </row>
    <row r="41113" spans="26:26" x14ac:dyDescent="0.25">
      <c r="Z41113"/>
    </row>
    <row r="41114" spans="26:26" x14ac:dyDescent="0.25">
      <c r="Z41114"/>
    </row>
    <row r="41115" spans="26:26" x14ac:dyDescent="0.25">
      <c r="Z41115"/>
    </row>
    <row r="41116" spans="26:26" x14ac:dyDescent="0.25">
      <c r="Z41116"/>
    </row>
    <row r="41117" spans="26:26" x14ac:dyDescent="0.25">
      <c r="Z41117"/>
    </row>
    <row r="41118" spans="26:26" x14ac:dyDescent="0.25">
      <c r="Z41118"/>
    </row>
    <row r="41119" spans="26:26" x14ac:dyDescent="0.25">
      <c r="Z41119"/>
    </row>
    <row r="41120" spans="26:26" x14ac:dyDescent="0.25">
      <c r="Z41120"/>
    </row>
    <row r="41121" spans="26:26" x14ac:dyDescent="0.25">
      <c r="Z41121"/>
    </row>
    <row r="41122" spans="26:26" x14ac:dyDescent="0.25">
      <c r="Z41122"/>
    </row>
    <row r="41123" spans="26:26" x14ac:dyDescent="0.25">
      <c r="Z41123"/>
    </row>
    <row r="41124" spans="26:26" x14ac:dyDescent="0.25">
      <c r="Z41124"/>
    </row>
    <row r="41125" spans="26:26" x14ac:dyDescent="0.25">
      <c r="Z41125"/>
    </row>
    <row r="41126" spans="26:26" x14ac:dyDescent="0.25">
      <c r="Z41126"/>
    </row>
    <row r="41127" spans="26:26" x14ac:dyDescent="0.25">
      <c r="Z41127"/>
    </row>
    <row r="41128" spans="26:26" x14ac:dyDescent="0.25">
      <c r="Z41128"/>
    </row>
    <row r="41129" spans="26:26" x14ac:dyDescent="0.25">
      <c r="Z41129"/>
    </row>
    <row r="41130" spans="26:26" x14ac:dyDescent="0.25">
      <c r="Z41130"/>
    </row>
    <row r="41131" spans="26:26" x14ac:dyDescent="0.25">
      <c r="Z41131"/>
    </row>
    <row r="41132" spans="26:26" x14ac:dyDescent="0.25">
      <c r="Z41132"/>
    </row>
    <row r="41133" spans="26:26" x14ac:dyDescent="0.25">
      <c r="Z41133"/>
    </row>
    <row r="41134" spans="26:26" x14ac:dyDescent="0.25">
      <c r="Z41134"/>
    </row>
    <row r="41135" spans="26:26" x14ac:dyDescent="0.25">
      <c r="Z41135"/>
    </row>
    <row r="41136" spans="26:26" x14ac:dyDescent="0.25">
      <c r="Z41136"/>
    </row>
    <row r="41137" spans="26:26" x14ac:dyDescent="0.25">
      <c r="Z41137"/>
    </row>
    <row r="41138" spans="26:26" x14ac:dyDescent="0.25">
      <c r="Z41138"/>
    </row>
    <row r="41139" spans="26:26" x14ac:dyDescent="0.25">
      <c r="Z41139"/>
    </row>
    <row r="41140" spans="26:26" x14ac:dyDescent="0.25">
      <c r="Z41140"/>
    </row>
    <row r="41141" spans="26:26" x14ac:dyDescent="0.25">
      <c r="Z41141"/>
    </row>
    <row r="41142" spans="26:26" x14ac:dyDescent="0.25">
      <c r="Z41142"/>
    </row>
    <row r="41143" spans="26:26" x14ac:dyDescent="0.25">
      <c r="Z41143"/>
    </row>
    <row r="41144" spans="26:26" x14ac:dyDescent="0.25">
      <c r="Z41144"/>
    </row>
    <row r="41145" spans="26:26" x14ac:dyDescent="0.25">
      <c r="Z41145"/>
    </row>
    <row r="41146" spans="26:26" x14ac:dyDescent="0.25">
      <c r="Z41146"/>
    </row>
    <row r="41147" spans="26:26" x14ac:dyDescent="0.25">
      <c r="Z41147"/>
    </row>
    <row r="41148" spans="26:26" x14ac:dyDescent="0.25">
      <c r="Z41148"/>
    </row>
    <row r="41149" spans="26:26" x14ac:dyDescent="0.25">
      <c r="Z41149"/>
    </row>
    <row r="41150" spans="26:26" x14ac:dyDescent="0.25">
      <c r="Z41150"/>
    </row>
    <row r="41151" spans="26:26" x14ac:dyDescent="0.25">
      <c r="Z41151"/>
    </row>
    <row r="41152" spans="26:26" x14ac:dyDescent="0.25">
      <c r="Z41152"/>
    </row>
    <row r="41153" spans="26:26" x14ac:dyDescent="0.25">
      <c r="Z41153"/>
    </row>
    <row r="41154" spans="26:26" x14ac:dyDescent="0.25">
      <c r="Z41154"/>
    </row>
    <row r="41155" spans="26:26" x14ac:dyDescent="0.25">
      <c r="Z41155"/>
    </row>
    <row r="41156" spans="26:26" x14ac:dyDescent="0.25">
      <c r="Z41156"/>
    </row>
    <row r="41157" spans="26:26" x14ac:dyDescent="0.25">
      <c r="Z41157"/>
    </row>
    <row r="41158" spans="26:26" x14ac:dyDescent="0.25">
      <c r="Z41158"/>
    </row>
    <row r="41159" spans="26:26" x14ac:dyDescent="0.25">
      <c r="Z41159"/>
    </row>
    <row r="41160" spans="26:26" x14ac:dyDescent="0.25">
      <c r="Z41160"/>
    </row>
    <row r="41161" spans="26:26" x14ac:dyDescent="0.25">
      <c r="Z41161"/>
    </row>
    <row r="41162" spans="26:26" x14ac:dyDescent="0.25">
      <c r="Z41162"/>
    </row>
    <row r="41163" spans="26:26" x14ac:dyDescent="0.25">
      <c r="Z41163"/>
    </row>
    <row r="41164" spans="26:26" x14ac:dyDescent="0.25">
      <c r="Z41164"/>
    </row>
    <row r="41165" spans="26:26" x14ac:dyDescent="0.25">
      <c r="Z41165"/>
    </row>
    <row r="41166" spans="26:26" x14ac:dyDescent="0.25">
      <c r="Z41166"/>
    </row>
    <row r="41167" spans="26:26" x14ac:dyDescent="0.25">
      <c r="Z41167"/>
    </row>
    <row r="41168" spans="26:26" x14ac:dyDescent="0.25">
      <c r="Z41168"/>
    </row>
    <row r="41169" spans="26:26" x14ac:dyDescent="0.25">
      <c r="Z41169"/>
    </row>
    <row r="41170" spans="26:26" x14ac:dyDescent="0.25">
      <c r="Z41170"/>
    </row>
    <row r="41171" spans="26:26" x14ac:dyDescent="0.25">
      <c r="Z41171"/>
    </row>
    <row r="41172" spans="26:26" x14ac:dyDescent="0.25">
      <c r="Z41172"/>
    </row>
    <row r="41173" spans="26:26" x14ac:dyDescent="0.25">
      <c r="Z41173"/>
    </row>
    <row r="41174" spans="26:26" x14ac:dyDescent="0.25">
      <c r="Z41174"/>
    </row>
    <row r="41175" spans="26:26" x14ac:dyDescent="0.25">
      <c r="Z41175"/>
    </row>
    <row r="41176" spans="26:26" x14ac:dyDescent="0.25">
      <c r="Z41176"/>
    </row>
    <row r="41177" spans="26:26" x14ac:dyDescent="0.25">
      <c r="Z41177"/>
    </row>
    <row r="41178" spans="26:26" x14ac:dyDescent="0.25">
      <c r="Z41178"/>
    </row>
    <row r="41179" spans="26:26" x14ac:dyDescent="0.25">
      <c r="Z41179"/>
    </row>
    <row r="41180" spans="26:26" x14ac:dyDescent="0.25">
      <c r="Z41180"/>
    </row>
    <row r="41181" spans="26:26" x14ac:dyDescent="0.25">
      <c r="Z41181"/>
    </row>
    <row r="41182" spans="26:26" x14ac:dyDescent="0.25">
      <c r="Z41182"/>
    </row>
    <row r="41183" spans="26:26" x14ac:dyDescent="0.25">
      <c r="Z41183"/>
    </row>
    <row r="41184" spans="26:26" x14ac:dyDescent="0.25">
      <c r="Z41184"/>
    </row>
    <row r="41185" spans="26:26" x14ac:dyDescent="0.25">
      <c r="Z41185"/>
    </row>
    <row r="41186" spans="26:26" x14ac:dyDescent="0.25">
      <c r="Z41186"/>
    </row>
    <row r="41187" spans="26:26" x14ac:dyDescent="0.25">
      <c r="Z41187"/>
    </row>
    <row r="41188" spans="26:26" x14ac:dyDescent="0.25">
      <c r="Z41188"/>
    </row>
    <row r="41189" spans="26:26" x14ac:dyDescent="0.25">
      <c r="Z41189"/>
    </row>
    <row r="41190" spans="26:26" x14ac:dyDescent="0.25">
      <c r="Z41190"/>
    </row>
    <row r="41191" spans="26:26" x14ac:dyDescent="0.25">
      <c r="Z41191"/>
    </row>
    <row r="41192" spans="26:26" x14ac:dyDescent="0.25">
      <c r="Z41192"/>
    </row>
    <row r="41193" spans="26:26" x14ac:dyDescent="0.25">
      <c r="Z41193"/>
    </row>
    <row r="41194" spans="26:26" x14ac:dyDescent="0.25">
      <c r="Z41194"/>
    </row>
    <row r="41195" spans="26:26" x14ac:dyDescent="0.25">
      <c r="Z41195"/>
    </row>
    <row r="41196" spans="26:26" x14ac:dyDescent="0.25">
      <c r="Z41196"/>
    </row>
    <row r="41197" spans="26:26" x14ac:dyDescent="0.25">
      <c r="Z41197"/>
    </row>
    <row r="41198" spans="26:26" x14ac:dyDescent="0.25">
      <c r="Z41198"/>
    </row>
    <row r="41199" spans="26:26" x14ac:dyDescent="0.25">
      <c r="Z41199"/>
    </row>
    <row r="41200" spans="26:26" x14ac:dyDescent="0.25">
      <c r="Z41200"/>
    </row>
    <row r="41201" spans="26:26" x14ac:dyDescent="0.25">
      <c r="Z41201"/>
    </row>
    <row r="41202" spans="26:26" x14ac:dyDescent="0.25">
      <c r="Z41202"/>
    </row>
    <row r="41203" spans="26:26" x14ac:dyDescent="0.25">
      <c r="Z41203"/>
    </row>
    <row r="41204" spans="26:26" x14ac:dyDescent="0.25">
      <c r="Z41204"/>
    </row>
    <row r="41205" spans="26:26" x14ac:dyDescent="0.25">
      <c r="Z41205"/>
    </row>
    <row r="41206" spans="26:26" x14ac:dyDescent="0.25">
      <c r="Z41206"/>
    </row>
    <row r="41207" spans="26:26" x14ac:dyDescent="0.25">
      <c r="Z41207"/>
    </row>
    <row r="41208" spans="26:26" x14ac:dyDescent="0.25">
      <c r="Z41208"/>
    </row>
    <row r="41209" spans="26:26" x14ac:dyDescent="0.25">
      <c r="Z41209"/>
    </row>
    <row r="41210" spans="26:26" x14ac:dyDescent="0.25">
      <c r="Z41210"/>
    </row>
    <row r="41211" spans="26:26" x14ac:dyDescent="0.25">
      <c r="Z41211"/>
    </row>
    <row r="41212" spans="26:26" x14ac:dyDescent="0.25">
      <c r="Z41212"/>
    </row>
    <row r="41213" spans="26:26" x14ac:dyDescent="0.25">
      <c r="Z41213"/>
    </row>
    <row r="41214" spans="26:26" x14ac:dyDescent="0.25">
      <c r="Z41214"/>
    </row>
    <row r="41215" spans="26:26" x14ac:dyDescent="0.25">
      <c r="Z41215"/>
    </row>
    <row r="41216" spans="26:26" x14ac:dyDescent="0.25">
      <c r="Z41216"/>
    </row>
    <row r="41217" spans="26:26" x14ac:dyDescent="0.25">
      <c r="Z41217"/>
    </row>
    <row r="41218" spans="26:26" x14ac:dyDescent="0.25">
      <c r="Z41218"/>
    </row>
    <row r="41219" spans="26:26" x14ac:dyDescent="0.25">
      <c r="Z41219"/>
    </row>
    <row r="41220" spans="26:26" x14ac:dyDescent="0.25">
      <c r="Z41220"/>
    </row>
    <row r="41221" spans="26:26" x14ac:dyDescent="0.25">
      <c r="Z41221"/>
    </row>
    <row r="41222" spans="26:26" x14ac:dyDescent="0.25">
      <c r="Z41222"/>
    </row>
    <row r="41223" spans="26:26" x14ac:dyDescent="0.25">
      <c r="Z41223"/>
    </row>
    <row r="41224" spans="26:26" x14ac:dyDescent="0.25">
      <c r="Z41224"/>
    </row>
    <row r="41225" spans="26:26" x14ac:dyDescent="0.25">
      <c r="Z41225"/>
    </row>
    <row r="41226" spans="26:26" x14ac:dyDescent="0.25">
      <c r="Z41226"/>
    </row>
    <row r="41227" spans="26:26" x14ac:dyDescent="0.25">
      <c r="Z41227"/>
    </row>
    <row r="41228" spans="26:26" x14ac:dyDescent="0.25">
      <c r="Z41228"/>
    </row>
    <row r="41229" spans="26:26" x14ac:dyDescent="0.25">
      <c r="Z41229"/>
    </row>
    <row r="41230" spans="26:26" x14ac:dyDescent="0.25">
      <c r="Z41230"/>
    </row>
    <row r="41231" spans="26:26" x14ac:dyDescent="0.25">
      <c r="Z41231"/>
    </row>
    <row r="41232" spans="26:26" x14ac:dyDescent="0.25">
      <c r="Z41232"/>
    </row>
    <row r="41233" spans="26:26" x14ac:dyDescent="0.25">
      <c r="Z41233"/>
    </row>
    <row r="41234" spans="26:26" x14ac:dyDescent="0.25">
      <c r="Z41234"/>
    </row>
    <row r="41235" spans="26:26" x14ac:dyDescent="0.25">
      <c r="Z41235"/>
    </row>
    <row r="41236" spans="26:26" x14ac:dyDescent="0.25">
      <c r="Z41236"/>
    </row>
    <row r="41237" spans="26:26" x14ac:dyDescent="0.25">
      <c r="Z41237"/>
    </row>
    <row r="41238" spans="26:26" x14ac:dyDescent="0.25">
      <c r="Z41238"/>
    </row>
    <row r="41239" spans="26:26" x14ac:dyDescent="0.25">
      <c r="Z41239"/>
    </row>
    <row r="41240" spans="26:26" x14ac:dyDescent="0.25">
      <c r="Z41240"/>
    </row>
    <row r="41241" spans="26:26" x14ac:dyDescent="0.25">
      <c r="Z41241"/>
    </row>
    <row r="41242" spans="26:26" x14ac:dyDescent="0.25">
      <c r="Z41242"/>
    </row>
    <row r="41243" spans="26:26" x14ac:dyDescent="0.25">
      <c r="Z41243"/>
    </row>
    <row r="41244" spans="26:26" x14ac:dyDescent="0.25">
      <c r="Z41244"/>
    </row>
    <row r="41245" spans="26:26" x14ac:dyDescent="0.25">
      <c r="Z41245"/>
    </row>
    <row r="41246" spans="26:26" x14ac:dyDescent="0.25">
      <c r="Z41246"/>
    </row>
    <row r="41247" spans="26:26" x14ac:dyDescent="0.25">
      <c r="Z41247"/>
    </row>
    <row r="41248" spans="26:26" x14ac:dyDescent="0.25">
      <c r="Z41248"/>
    </row>
    <row r="41249" spans="26:26" x14ac:dyDescent="0.25">
      <c r="Z41249"/>
    </row>
    <row r="41250" spans="26:26" x14ac:dyDescent="0.25">
      <c r="Z41250"/>
    </row>
    <row r="41251" spans="26:26" x14ac:dyDescent="0.25">
      <c r="Z41251"/>
    </row>
    <row r="41252" spans="26:26" x14ac:dyDescent="0.25">
      <c r="Z41252"/>
    </row>
    <row r="41253" spans="26:26" x14ac:dyDescent="0.25">
      <c r="Z41253"/>
    </row>
    <row r="41254" spans="26:26" x14ac:dyDescent="0.25">
      <c r="Z41254"/>
    </row>
    <row r="41255" spans="26:26" x14ac:dyDescent="0.25">
      <c r="Z41255"/>
    </row>
    <row r="41256" spans="26:26" x14ac:dyDescent="0.25">
      <c r="Z41256"/>
    </row>
    <row r="41257" spans="26:26" x14ac:dyDescent="0.25">
      <c r="Z41257"/>
    </row>
    <row r="41258" spans="26:26" x14ac:dyDescent="0.25">
      <c r="Z41258"/>
    </row>
    <row r="41259" spans="26:26" x14ac:dyDescent="0.25">
      <c r="Z41259"/>
    </row>
    <row r="41260" spans="26:26" x14ac:dyDescent="0.25">
      <c r="Z41260"/>
    </row>
    <row r="41261" spans="26:26" x14ac:dyDescent="0.25">
      <c r="Z41261"/>
    </row>
    <row r="41262" spans="26:26" x14ac:dyDescent="0.25">
      <c r="Z41262"/>
    </row>
    <row r="41263" spans="26:26" x14ac:dyDescent="0.25">
      <c r="Z41263"/>
    </row>
    <row r="41264" spans="26:26" x14ac:dyDescent="0.25">
      <c r="Z41264"/>
    </row>
    <row r="41265" spans="26:26" x14ac:dyDescent="0.25">
      <c r="Z41265"/>
    </row>
    <row r="41266" spans="26:26" x14ac:dyDescent="0.25">
      <c r="Z41266"/>
    </row>
    <row r="41267" spans="26:26" x14ac:dyDescent="0.25">
      <c r="Z41267"/>
    </row>
    <row r="41268" spans="26:26" x14ac:dyDescent="0.25">
      <c r="Z41268"/>
    </row>
    <row r="41269" spans="26:26" x14ac:dyDescent="0.25">
      <c r="Z41269"/>
    </row>
    <row r="41270" spans="26:26" x14ac:dyDescent="0.25">
      <c r="Z41270"/>
    </row>
    <row r="41271" spans="26:26" x14ac:dyDescent="0.25">
      <c r="Z41271"/>
    </row>
    <row r="41272" spans="26:26" x14ac:dyDescent="0.25">
      <c r="Z41272"/>
    </row>
    <row r="41273" spans="26:26" x14ac:dyDescent="0.25">
      <c r="Z41273"/>
    </row>
    <row r="41274" spans="26:26" x14ac:dyDescent="0.25">
      <c r="Z41274"/>
    </row>
    <row r="41275" spans="26:26" x14ac:dyDescent="0.25">
      <c r="Z41275"/>
    </row>
    <row r="41276" spans="26:26" x14ac:dyDescent="0.25">
      <c r="Z41276"/>
    </row>
    <row r="41277" spans="26:26" x14ac:dyDescent="0.25">
      <c r="Z41277"/>
    </row>
    <row r="41278" spans="26:26" x14ac:dyDescent="0.25">
      <c r="Z41278"/>
    </row>
    <row r="41279" spans="26:26" x14ac:dyDescent="0.25">
      <c r="Z41279"/>
    </row>
    <row r="41280" spans="26:26" x14ac:dyDescent="0.25">
      <c r="Z41280"/>
    </row>
    <row r="41281" spans="26:26" x14ac:dyDescent="0.25">
      <c r="Z41281"/>
    </row>
    <row r="41282" spans="26:26" x14ac:dyDescent="0.25">
      <c r="Z41282"/>
    </row>
    <row r="41283" spans="26:26" x14ac:dyDescent="0.25">
      <c r="Z41283"/>
    </row>
    <row r="41284" spans="26:26" x14ac:dyDescent="0.25">
      <c r="Z41284"/>
    </row>
    <row r="41285" spans="26:26" x14ac:dyDescent="0.25">
      <c r="Z41285"/>
    </row>
    <row r="41286" spans="26:26" x14ac:dyDescent="0.25">
      <c r="Z41286"/>
    </row>
    <row r="41287" spans="26:26" x14ac:dyDescent="0.25">
      <c r="Z41287"/>
    </row>
    <row r="41288" spans="26:26" x14ac:dyDescent="0.25">
      <c r="Z41288"/>
    </row>
    <row r="41289" spans="26:26" x14ac:dyDescent="0.25">
      <c r="Z41289"/>
    </row>
    <row r="41290" spans="26:26" x14ac:dyDescent="0.25">
      <c r="Z41290"/>
    </row>
    <row r="41291" spans="26:26" x14ac:dyDescent="0.25">
      <c r="Z41291"/>
    </row>
    <row r="41292" spans="26:26" x14ac:dyDescent="0.25">
      <c r="Z41292"/>
    </row>
    <row r="41293" spans="26:26" x14ac:dyDescent="0.25">
      <c r="Z41293"/>
    </row>
    <row r="41294" spans="26:26" x14ac:dyDescent="0.25">
      <c r="Z41294"/>
    </row>
    <row r="41295" spans="26:26" x14ac:dyDescent="0.25">
      <c r="Z41295"/>
    </row>
    <row r="41296" spans="26:26" x14ac:dyDescent="0.25">
      <c r="Z41296"/>
    </row>
    <row r="41297" spans="26:26" x14ac:dyDescent="0.25">
      <c r="Z41297"/>
    </row>
    <row r="41298" spans="26:26" x14ac:dyDescent="0.25">
      <c r="Z41298"/>
    </row>
    <row r="41299" spans="26:26" x14ac:dyDescent="0.25">
      <c r="Z41299"/>
    </row>
    <row r="41300" spans="26:26" x14ac:dyDescent="0.25">
      <c r="Z41300"/>
    </row>
    <row r="41301" spans="26:26" x14ac:dyDescent="0.25">
      <c r="Z41301"/>
    </row>
    <row r="41302" spans="26:26" x14ac:dyDescent="0.25">
      <c r="Z41302"/>
    </row>
    <row r="41303" spans="26:26" x14ac:dyDescent="0.25">
      <c r="Z41303"/>
    </row>
    <row r="41304" spans="26:26" x14ac:dyDescent="0.25">
      <c r="Z41304"/>
    </row>
    <row r="41305" spans="26:26" x14ac:dyDescent="0.25">
      <c r="Z41305"/>
    </row>
    <row r="41306" spans="26:26" x14ac:dyDescent="0.25">
      <c r="Z41306"/>
    </row>
    <row r="41307" spans="26:26" x14ac:dyDescent="0.25">
      <c r="Z41307"/>
    </row>
    <row r="41308" spans="26:26" x14ac:dyDescent="0.25">
      <c r="Z41308"/>
    </row>
    <row r="41309" spans="26:26" x14ac:dyDescent="0.25">
      <c r="Z41309"/>
    </row>
    <row r="41310" spans="26:26" x14ac:dyDescent="0.25">
      <c r="Z41310"/>
    </row>
    <row r="41311" spans="26:26" x14ac:dyDescent="0.25">
      <c r="Z41311"/>
    </row>
    <row r="41312" spans="26:26" x14ac:dyDescent="0.25">
      <c r="Z41312"/>
    </row>
    <row r="41313" spans="26:26" x14ac:dyDescent="0.25">
      <c r="Z41313"/>
    </row>
    <row r="41314" spans="26:26" x14ac:dyDescent="0.25">
      <c r="Z41314"/>
    </row>
    <row r="41315" spans="26:26" x14ac:dyDescent="0.25">
      <c r="Z41315"/>
    </row>
    <row r="41316" spans="26:26" x14ac:dyDescent="0.25">
      <c r="Z41316"/>
    </row>
    <row r="41317" spans="26:26" x14ac:dyDescent="0.25">
      <c r="Z41317"/>
    </row>
    <row r="41318" spans="26:26" x14ac:dyDescent="0.25">
      <c r="Z41318"/>
    </row>
    <row r="41319" spans="26:26" x14ac:dyDescent="0.25">
      <c r="Z41319"/>
    </row>
    <row r="41320" spans="26:26" x14ac:dyDescent="0.25">
      <c r="Z41320"/>
    </row>
    <row r="41321" spans="26:26" x14ac:dyDescent="0.25">
      <c r="Z41321"/>
    </row>
    <row r="41322" spans="26:26" x14ac:dyDescent="0.25">
      <c r="Z41322"/>
    </row>
    <row r="41323" spans="26:26" x14ac:dyDescent="0.25">
      <c r="Z41323"/>
    </row>
    <row r="41324" spans="26:26" x14ac:dyDescent="0.25">
      <c r="Z41324"/>
    </row>
    <row r="41325" spans="26:26" x14ac:dyDescent="0.25">
      <c r="Z41325"/>
    </row>
    <row r="41326" spans="26:26" x14ac:dyDescent="0.25">
      <c r="Z41326"/>
    </row>
    <row r="41327" spans="26:26" x14ac:dyDescent="0.25">
      <c r="Z41327"/>
    </row>
    <row r="41328" spans="26:26" x14ac:dyDescent="0.25">
      <c r="Z41328"/>
    </row>
    <row r="41329" spans="26:26" x14ac:dyDescent="0.25">
      <c r="Z41329"/>
    </row>
    <row r="41330" spans="26:26" x14ac:dyDescent="0.25">
      <c r="Z41330"/>
    </row>
    <row r="41331" spans="26:26" x14ac:dyDescent="0.25">
      <c r="Z41331"/>
    </row>
    <row r="41332" spans="26:26" x14ac:dyDescent="0.25">
      <c r="Z41332"/>
    </row>
    <row r="41333" spans="26:26" x14ac:dyDescent="0.25">
      <c r="Z41333"/>
    </row>
    <row r="41334" spans="26:26" x14ac:dyDescent="0.25">
      <c r="Z41334"/>
    </row>
    <row r="41335" spans="26:26" x14ac:dyDescent="0.25">
      <c r="Z41335"/>
    </row>
    <row r="41336" spans="26:26" x14ac:dyDescent="0.25">
      <c r="Z41336"/>
    </row>
    <row r="41337" spans="26:26" x14ac:dyDescent="0.25">
      <c r="Z41337"/>
    </row>
    <row r="41338" spans="26:26" x14ac:dyDescent="0.25">
      <c r="Z41338"/>
    </row>
    <row r="41339" spans="26:26" x14ac:dyDescent="0.25">
      <c r="Z41339"/>
    </row>
    <row r="41340" spans="26:26" x14ac:dyDescent="0.25">
      <c r="Z41340"/>
    </row>
    <row r="41341" spans="26:26" x14ac:dyDescent="0.25">
      <c r="Z41341"/>
    </row>
    <row r="41342" spans="26:26" x14ac:dyDescent="0.25">
      <c r="Z41342"/>
    </row>
    <row r="41343" spans="26:26" x14ac:dyDescent="0.25">
      <c r="Z41343"/>
    </row>
    <row r="41344" spans="26:26" x14ac:dyDescent="0.25">
      <c r="Z41344"/>
    </row>
    <row r="41345" spans="26:26" x14ac:dyDescent="0.25">
      <c r="Z41345"/>
    </row>
    <row r="41346" spans="26:26" x14ac:dyDescent="0.25">
      <c r="Z41346"/>
    </row>
    <row r="41347" spans="26:26" x14ac:dyDescent="0.25">
      <c r="Z41347"/>
    </row>
    <row r="41348" spans="26:26" x14ac:dyDescent="0.25">
      <c r="Z41348"/>
    </row>
    <row r="41349" spans="26:26" x14ac:dyDescent="0.25">
      <c r="Z41349"/>
    </row>
    <row r="41350" spans="26:26" x14ac:dyDescent="0.25">
      <c r="Z41350"/>
    </row>
    <row r="41351" spans="26:26" x14ac:dyDescent="0.25">
      <c r="Z41351"/>
    </row>
    <row r="41352" spans="26:26" x14ac:dyDescent="0.25">
      <c r="Z41352"/>
    </row>
    <row r="41353" spans="26:26" x14ac:dyDescent="0.25">
      <c r="Z41353"/>
    </row>
    <row r="41354" spans="26:26" x14ac:dyDescent="0.25">
      <c r="Z41354"/>
    </row>
    <row r="41355" spans="26:26" x14ac:dyDescent="0.25">
      <c r="Z41355"/>
    </row>
    <row r="41356" spans="26:26" x14ac:dyDescent="0.25">
      <c r="Z41356"/>
    </row>
    <row r="41357" spans="26:26" x14ac:dyDescent="0.25">
      <c r="Z41357"/>
    </row>
    <row r="41358" spans="26:26" x14ac:dyDescent="0.25">
      <c r="Z41358"/>
    </row>
    <row r="41359" spans="26:26" x14ac:dyDescent="0.25">
      <c r="Z41359"/>
    </row>
    <row r="41360" spans="26:26" x14ac:dyDescent="0.25">
      <c r="Z41360"/>
    </row>
    <row r="41361" spans="26:26" x14ac:dyDescent="0.25">
      <c r="Z41361"/>
    </row>
    <row r="41362" spans="26:26" x14ac:dyDescent="0.25">
      <c r="Z41362"/>
    </row>
    <row r="41363" spans="26:26" x14ac:dyDescent="0.25">
      <c r="Z41363"/>
    </row>
    <row r="41364" spans="26:26" x14ac:dyDescent="0.25">
      <c r="Z41364"/>
    </row>
    <row r="41365" spans="26:26" x14ac:dyDescent="0.25">
      <c r="Z41365"/>
    </row>
    <row r="41366" spans="26:26" x14ac:dyDescent="0.25">
      <c r="Z41366"/>
    </row>
    <row r="41367" spans="26:26" x14ac:dyDescent="0.25">
      <c r="Z41367"/>
    </row>
    <row r="41368" spans="26:26" x14ac:dyDescent="0.25">
      <c r="Z41368"/>
    </row>
    <row r="41369" spans="26:26" x14ac:dyDescent="0.25">
      <c r="Z41369"/>
    </row>
    <row r="41370" spans="26:26" x14ac:dyDescent="0.25">
      <c r="Z41370"/>
    </row>
    <row r="41371" spans="26:26" x14ac:dyDescent="0.25">
      <c r="Z41371"/>
    </row>
    <row r="41372" spans="26:26" x14ac:dyDescent="0.25">
      <c r="Z41372"/>
    </row>
    <row r="41373" spans="26:26" x14ac:dyDescent="0.25">
      <c r="Z41373"/>
    </row>
    <row r="41374" spans="26:26" x14ac:dyDescent="0.25">
      <c r="Z41374"/>
    </row>
    <row r="41375" spans="26:26" x14ac:dyDescent="0.25">
      <c r="Z41375"/>
    </row>
    <row r="41376" spans="26:26" x14ac:dyDescent="0.25">
      <c r="Z41376"/>
    </row>
    <row r="41377" spans="26:26" x14ac:dyDescent="0.25">
      <c r="Z41377"/>
    </row>
    <row r="41378" spans="26:26" x14ac:dyDescent="0.25">
      <c r="Z41378"/>
    </row>
    <row r="41379" spans="26:26" x14ac:dyDescent="0.25">
      <c r="Z41379"/>
    </row>
    <row r="41380" spans="26:26" x14ac:dyDescent="0.25">
      <c r="Z41380"/>
    </row>
    <row r="41381" spans="26:26" x14ac:dyDescent="0.25">
      <c r="Z41381"/>
    </row>
    <row r="41382" spans="26:26" x14ac:dyDescent="0.25">
      <c r="Z41382"/>
    </row>
    <row r="41383" spans="26:26" x14ac:dyDescent="0.25">
      <c r="Z41383"/>
    </row>
    <row r="41384" spans="26:26" x14ac:dyDescent="0.25">
      <c r="Z41384"/>
    </row>
    <row r="41385" spans="26:26" x14ac:dyDescent="0.25">
      <c r="Z41385"/>
    </row>
    <row r="41386" spans="26:26" x14ac:dyDescent="0.25">
      <c r="Z41386"/>
    </row>
    <row r="41387" spans="26:26" x14ac:dyDescent="0.25">
      <c r="Z41387"/>
    </row>
    <row r="41388" spans="26:26" x14ac:dyDescent="0.25">
      <c r="Z41388"/>
    </row>
    <row r="41389" spans="26:26" x14ac:dyDescent="0.25">
      <c r="Z41389"/>
    </row>
    <row r="41390" spans="26:26" x14ac:dyDescent="0.25">
      <c r="Z41390"/>
    </row>
    <row r="41391" spans="26:26" x14ac:dyDescent="0.25">
      <c r="Z41391"/>
    </row>
    <row r="41392" spans="26:26" x14ac:dyDescent="0.25">
      <c r="Z41392"/>
    </row>
    <row r="41393" spans="26:26" x14ac:dyDescent="0.25">
      <c r="Z41393"/>
    </row>
    <row r="41394" spans="26:26" x14ac:dyDescent="0.25">
      <c r="Z41394"/>
    </row>
    <row r="41395" spans="26:26" x14ac:dyDescent="0.25">
      <c r="Z41395"/>
    </row>
    <row r="41396" spans="26:26" x14ac:dyDescent="0.25">
      <c r="Z41396"/>
    </row>
    <row r="41397" spans="26:26" x14ac:dyDescent="0.25">
      <c r="Z41397"/>
    </row>
    <row r="41398" spans="26:26" x14ac:dyDescent="0.25">
      <c r="Z41398"/>
    </row>
    <row r="41399" spans="26:26" x14ac:dyDescent="0.25">
      <c r="Z41399"/>
    </row>
    <row r="41400" spans="26:26" x14ac:dyDescent="0.25">
      <c r="Z41400"/>
    </row>
    <row r="41401" spans="26:26" x14ac:dyDescent="0.25">
      <c r="Z41401"/>
    </row>
    <row r="41402" spans="26:26" x14ac:dyDescent="0.25">
      <c r="Z41402"/>
    </row>
    <row r="41403" spans="26:26" x14ac:dyDescent="0.25">
      <c r="Z41403"/>
    </row>
    <row r="41404" spans="26:26" x14ac:dyDescent="0.25">
      <c r="Z41404"/>
    </row>
    <row r="41405" spans="26:26" x14ac:dyDescent="0.25">
      <c r="Z41405"/>
    </row>
    <row r="41406" spans="26:26" x14ac:dyDescent="0.25">
      <c r="Z41406"/>
    </row>
    <row r="41407" spans="26:26" x14ac:dyDescent="0.25">
      <c r="Z41407"/>
    </row>
    <row r="41408" spans="26:26" x14ac:dyDescent="0.25">
      <c r="Z41408"/>
    </row>
    <row r="41409" spans="26:26" x14ac:dyDescent="0.25">
      <c r="Z41409"/>
    </row>
    <row r="41410" spans="26:26" x14ac:dyDescent="0.25">
      <c r="Z41410"/>
    </row>
    <row r="41411" spans="26:26" x14ac:dyDescent="0.25">
      <c r="Z41411"/>
    </row>
    <row r="41412" spans="26:26" x14ac:dyDescent="0.25">
      <c r="Z41412"/>
    </row>
    <row r="41413" spans="26:26" x14ac:dyDescent="0.25">
      <c r="Z41413"/>
    </row>
    <row r="41414" spans="26:26" x14ac:dyDescent="0.25">
      <c r="Z41414"/>
    </row>
    <row r="41415" spans="26:26" x14ac:dyDescent="0.25">
      <c r="Z41415"/>
    </row>
    <row r="41416" spans="26:26" x14ac:dyDescent="0.25">
      <c r="Z41416"/>
    </row>
    <row r="41417" spans="26:26" x14ac:dyDescent="0.25">
      <c r="Z41417"/>
    </row>
    <row r="41418" spans="26:26" x14ac:dyDescent="0.25">
      <c r="Z41418"/>
    </row>
    <row r="41419" spans="26:26" x14ac:dyDescent="0.25">
      <c r="Z41419"/>
    </row>
    <row r="41420" spans="26:26" x14ac:dyDescent="0.25">
      <c r="Z41420"/>
    </row>
    <row r="41421" spans="26:26" x14ac:dyDescent="0.25">
      <c r="Z41421"/>
    </row>
    <row r="41422" spans="26:26" x14ac:dyDescent="0.25">
      <c r="Z41422"/>
    </row>
    <row r="41423" spans="26:26" x14ac:dyDescent="0.25">
      <c r="Z41423"/>
    </row>
    <row r="41424" spans="26:26" x14ac:dyDescent="0.25">
      <c r="Z41424"/>
    </row>
    <row r="41425" spans="26:26" x14ac:dyDescent="0.25">
      <c r="Z41425"/>
    </row>
    <row r="41426" spans="26:26" x14ac:dyDescent="0.25">
      <c r="Z41426"/>
    </row>
    <row r="41427" spans="26:26" x14ac:dyDescent="0.25">
      <c r="Z41427"/>
    </row>
    <row r="41428" spans="26:26" x14ac:dyDescent="0.25">
      <c r="Z41428"/>
    </row>
    <row r="41429" spans="26:26" x14ac:dyDescent="0.25">
      <c r="Z41429"/>
    </row>
    <row r="41430" spans="26:26" x14ac:dyDescent="0.25">
      <c r="Z41430"/>
    </row>
    <row r="41431" spans="26:26" x14ac:dyDescent="0.25">
      <c r="Z41431"/>
    </row>
    <row r="41432" spans="26:26" x14ac:dyDescent="0.25">
      <c r="Z41432"/>
    </row>
    <row r="41433" spans="26:26" x14ac:dyDescent="0.25">
      <c r="Z41433"/>
    </row>
    <row r="41434" spans="26:26" x14ac:dyDescent="0.25">
      <c r="Z41434"/>
    </row>
    <row r="41435" spans="26:26" x14ac:dyDescent="0.25">
      <c r="Z41435"/>
    </row>
    <row r="41436" spans="26:26" x14ac:dyDescent="0.25">
      <c r="Z41436"/>
    </row>
    <row r="41437" spans="26:26" x14ac:dyDescent="0.25">
      <c r="Z41437"/>
    </row>
    <row r="41438" spans="26:26" x14ac:dyDescent="0.25">
      <c r="Z41438"/>
    </row>
    <row r="41439" spans="26:26" x14ac:dyDescent="0.25">
      <c r="Z41439"/>
    </row>
    <row r="41440" spans="26:26" x14ac:dyDescent="0.25">
      <c r="Z41440"/>
    </row>
    <row r="41441" spans="26:26" x14ac:dyDescent="0.25">
      <c r="Z41441"/>
    </row>
    <row r="41442" spans="26:26" x14ac:dyDescent="0.25">
      <c r="Z41442"/>
    </row>
    <row r="41443" spans="26:26" x14ac:dyDescent="0.25">
      <c r="Z41443"/>
    </row>
    <row r="41444" spans="26:26" x14ac:dyDescent="0.25">
      <c r="Z41444"/>
    </row>
    <row r="41445" spans="26:26" x14ac:dyDescent="0.25">
      <c r="Z41445"/>
    </row>
    <row r="41446" spans="26:26" x14ac:dyDescent="0.25">
      <c r="Z41446"/>
    </row>
    <row r="41447" spans="26:26" x14ac:dyDescent="0.25">
      <c r="Z41447"/>
    </row>
    <row r="41448" spans="26:26" x14ac:dyDescent="0.25">
      <c r="Z41448"/>
    </row>
    <row r="41449" spans="26:26" x14ac:dyDescent="0.25">
      <c r="Z41449"/>
    </row>
    <row r="41450" spans="26:26" x14ac:dyDescent="0.25">
      <c r="Z41450"/>
    </row>
    <row r="41451" spans="26:26" x14ac:dyDescent="0.25">
      <c r="Z41451"/>
    </row>
    <row r="41452" spans="26:26" x14ac:dyDescent="0.25">
      <c r="Z41452"/>
    </row>
    <row r="41453" spans="26:26" x14ac:dyDescent="0.25">
      <c r="Z41453"/>
    </row>
    <row r="41454" spans="26:26" x14ac:dyDescent="0.25">
      <c r="Z41454"/>
    </row>
    <row r="41455" spans="26:26" x14ac:dyDescent="0.25">
      <c r="Z41455"/>
    </row>
    <row r="41456" spans="26:26" x14ac:dyDescent="0.25">
      <c r="Z41456"/>
    </row>
    <row r="41457" spans="26:26" x14ac:dyDescent="0.25">
      <c r="Z41457"/>
    </row>
    <row r="41458" spans="26:26" x14ac:dyDescent="0.25">
      <c r="Z41458"/>
    </row>
    <row r="41459" spans="26:26" x14ac:dyDescent="0.25">
      <c r="Z41459"/>
    </row>
    <row r="41460" spans="26:26" x14ac:dyDescent="0.25">
      <c r="Z41460"/>
    </row>
    <row r="41461" spans="26:26" x14ac:dyDescent="0.25">
      <c r="Z41461"/>
    </row>
    <row r="41462" spans="26:26" x14ac:dyDescent="0.25">
      <c r="Z41462"/>
    </row>
    <row r="41463" spans="26:26" x14ac:dyDescent="0.25">
      <c r="Z41463"/>
    </row>
    <row r="41464" spans="26:26" x14ac:dyDescent="0.25">
      <c r="Z41464"/>
    </row>
    <row r="41465" spans="26:26" x14ac:dyDescent="0.25">
      <c r="Z41465"/>
    </row>
    <row r="41466" spans="26:26" x14ac:dyDescent="0.25">
      <c r="Z41466"/>
    </row>
    <row r="41467" spans="26:26" x14ac:dyDescent="0.25">
      <c r="Z41467"/>
    </row>
    <row r="41468" spans="26:26" x14ac:dyDescent="0.25">
      <c r="Z41468"/>
    </row>
    <row r="41469" spans="26:26" x14ac:dyDescent="0.25">
      <c r="Z41469"/>
    </row>
    <row r="41470" spans="26:26" x14ac:dyDescent="0.25">
      <c r="Z41470"/>
    </row>
    <row r="41471" spans="26:26" x14ac:dyDescent="0.25">
      <c r="Z41471"/>
    </row>
    <row r="41472" spans="26:26" x14ac:dyDescent="0.25">
      <c r="Z41472"/>
    </row>
    <row r="41473" spans="26:26" x14ac:dyDescent="0.25">
      <c r="Z41473"/>
    </row>
    <row r="41474" spans="26:26" x14ac:dyDescent="0.25">
      <c r="Z41474"/>
    </row>
    <row r="41475" spans="26:26" x14ac:dyDescent="0.25">
      <c r="Z41475"/>
    </row>
    <row r="41476" spans="26:26" x14ac:dyDescent="0.25">
      <c r="Z41476"/>
    </row>
    <row r="41477" spans="26:26" x14ac:dyDescent="0.25">
      <c r="Z41477"/>
    </row>
    <row r="41478" spans="26:26" x14ac:dyDescent="0.25">
      <c r="Z41478"/>
    </row>
    <row r="41479" spans="26:26" x14ac:dyDescent="0.25">
      <c r="Z41479"/>
    </row>
    <row r="41480" spans="26:26" x14ac:dyDescent="0.25">
      <c r="Z41480"/>
    </row>
    <row r="41481" spans="26:26" x14ac:dyDescent="0.25">
      <c r="Z41481"/>
    </row>
    <row r="41482" spans="26:26" x14ac:dyDescent="0.25">
      <c r="Z41482"/>
    </row>
    <row r="41483" spans="26:26" x14ac:dyDescent="0.25">
      <c r="Z41483"/>
    </row>
    <row r="41484" spans="26:26" x14ac:dyDescent="0.25">
      <c r="Z41484"/>
    </row>
    <row r="41485" spans="26:26" x14ac:dyDescent="0.25">
      <c r="Z41485"/>
    </row>
    <row r="41486" spans="26:26" x14ac:dyDescent="0.25">
      <c r="Z41486"/>
    </row>
    <row r="41487" spans="26:26" x14ac:dyDescent="0.25">
      <c r="Z41487"/>
    </row>
    <row r="41488" spans="26:26" x14ac:dyDescent="0.25">
      <c r="Z41488"/>
    </row>
    <row r="41489" spans="26:26" x14ac:dyDescent="0.25">
      <c r="Z41489"/>
    </row>
    <row r="41490" spans="26:26" x14ac:dyDescent="0.25">
      <c r="Z41490"/>
    </row>
    <row r="41491" spans="26:26" x14ac:dyDescent="0.25">
      <c r="Z41491"/>
    </row>
    <row r="41492" spans="26:26" x14ac:dyDescent="0.25">
      <c r="Z41492"/>
    </row>
    <row r="41493" spans="26:26" x14ac:dyDescent="0.25">
      <c r="Z41493"/>
    </row>
    <row r="41494" spans="26:26" x14ac:dyDescent="0.25">
      <c r="Z41494"/>
    </row>
    <row r="41495" spans="26:26" x14ac:dyDescent="0.25">
      <c r="Z41495"/>
    </row>
    <row r="41496" spans="26:26" x14ac:dyDescent="0.25">
      <c r="Z41496"/>
    </row>
    <row r="41497" spans="26:26" x14ac:dyDescent="0.25">
      <c r="Z41497"/>
    </row>
    <row r="41498" spans="26:26" x14ac:dyDescent="0.25">
      <c r="Z41498"/>
    </row>
    <row r="41499" spans="26:26" x14ac:dyDescent="0.25">
      <c r="Z41499"/>
    </row>
    <row r="41500" spans="26:26" x14ac:dyDescent="0.25">
      <c r="Z41500"/>
    </row>
    <row r="41501" spans="26:26" x14ac:dyDescent="0.25">
      <c r="Z41501"/>
    </row>
    <row r="41502" spans="26:26" x14ac:dyDescent="0.25">
      <c r="Z41502"/>
    </row>
    <row r="41503" spans="26:26" x14ac:dyDescent="0.25">
      <c r="Z41503"/>
    </row>
    <row r="41504" spans="26:26" x14ac:dyDescent="0.25">
      <c r="Z41504"/>
    </row>
    <row r="41505" spans="26:26" x14ac:dyDescent="0.25">
      <c r="Z41505"/>
    </row>
    <row r="41506" spans="26:26" x14ac:dyDescent="0.25">
      <c r="Z41506"/>
    </row>
    <row r="41507" spans="26:26" x14ac:dyDescent="0.25">
      <c r="Z41507"/>
    </row>
    <row r="41508" spans="26:26" x14ac:dyDescent="0.25">
      <c r="Z41508"/>
    </row>
    <row r="41509" spans="26:26" x14ac:dyDescent="0.25">
      <c r="Z41509"/>
    </row>
    <row r="41510" spans="26:26" x14ac:dyDescent="0.25">
      <c r="Z41510"/>
    </row>
    <row r="41511" spans="26:26" x14ac:dyDescent="0.25">
      <c r="Z41511"/>
    </row>
    <row r="41512" spans="26:26" x14ac:dyDescent="0.25">
      <c r="Z41512"/>
    </row>
    <row r="41513" spans="26:26" x14ac:dyDescent="0.25">
      <c r="Z41513"/>
    </row>
    <row r="41514" spans="26:26" x14ac:dyDescent="0.25">
      <c r="Z41514"/>
    </row>
    <row r="41515" spans="26:26" x14ac:dyDescent="0.25">
      <c r="Z41515"/>
    </row>
    <row r="41516" spans="26:26" x14ac:dyDescent="0.25">
      <c r="Z41516"/>
    </row>
    <row r="41517" spans="26:26" x14ac:dyDescent="0.25">
      <c r="Z41517"/>
    </row>
    <row r="41518" spans="26:26" x14ac:dyDescent="0.25">
      <c r="Z41518"/>
    </row>
    <row r="41519" spans="26:26" x14ac:dyDescent="0.25">
      <c r="Z41519"/>
    </row>
    <row r="41520" spans="26:26" x14ac:dyDescent="0.25">
      <c r="Z41520"/>
    </row>
    <row r="41521" spans="26:26" x14ac:dyDescent="0.25">
      <c r="Z41521"/>
    </row>
    <row r="41522" spans="26:26" x14ac:dyDescent="0.25">
      <c r="Z41522"/>
    </row>
    <row r="41523" spans="26:26" x14ac:dyDescent="0.25">
      <c r="Z41523"/>
    </row>
    <row r="41524" spans="26:26" x14ac:dyDescent="0.25">
      <c r="Z41524"/>
    </row>
    <row r="41525" spans="26:26" x14ac:dyDescent="0.25">
      <c r="Z41525"/>
    </row>
    <row r="41526" spans="26:26" x14ac:dyDescent="0.25">
      <c r="Z41526"/>
    </row>
    <row r="41527" spans="26:26" x14ac:dyDescent="0.25">
      <c r="Z41527"/>
    </row>
    <row r="41528" spans="26:26" x14ac:dyDescent="0.25">
      <c r="Z41528"/>
    </row>
    <row r="41529" spans="26:26" x14ac:dyDescent="0.25">
      <c r="Z41529"/>
    </row>
    <row r="41530" spans="26:26" x14ac:dyDescent="0.25">
      <c r="Z41530"/>
    </row>
    <row r="41531" spans="26:26" x14ac:dyDescent="0.25">
      <c r="Z41531"/>
    </row>
    <row r="41532" spans="26:26" x14ac:dyDescent="0.25">
      <c r="Z41532"/>
    </row>
    <row r="41533" spans="26:26" x14ac:dyDescent="0.25">
      <c r="Z41533"/>
    </row>
    <row r="41534" spans="26:26" x14ac:dyDescent="0.25">
      <c r="Z41534"/>
    </row>
    <row r="41535" spans="26:26" x14ac:dyDescent="0.25">
      <c r="Z41535"/>
    </row>
    <row r="41536" spans="26:26" x14ac:dyDescent="0.25">
      <c r="Z41536"/>
    </row>
    <row r="41537" spans="26:26" x14ac:dyDescent="0.25">
      <c r="Z41537"/>
    </row>
    <row r="41538" spans="26:26" x14ac:dyDescent="0.25">
      <c r="Z41538"/>
    </row>
    <row r="41539" spans="26:26" x14ac:dyDescent="0.25">
      <c r="Z41539"/>
    </row>
    <row r="41540" spans="26:26" x14ac:dyDescent="0.25">
      <c r="Z41540"/>
    </row>
    <row r="41541" spans="26:26" x14ac:dyDescent="0.25">
      <c r="Z41541"/>
    </row>
    <row r="41542" spans="26:26" x14ac:dyDescent="0.25">
      <c r="Z41542"/>
    </row>
    <row r="41543" spans="26:26" x14ac:dyDescent="0.25">
      <c r="Z41543"/>
    </row>
    <row r="41544" spans="26:26" x14ac:dyDescent="0.25">
      <c r="Z41544"/>
    </row>
    <row r="41545" spans="26:26" x14ac:dyDescent="0.25">
      <c r="Z41545"/>
    </row>
    <row r="41546" spans="26:26" x14ac:dyDescent="0.25">
      <c r="Z41546"/>
    </row>
    <row r="41547" spans="26:26" x14ac:dyDescent="0.25">
      <c r="Z41547"/>
    </row>
    <row r="41548" spans="26:26" x14ac:dyDescent="0.25">
      <c r="Z41548"/>
    </row>
    <row r="41549" spans="26:26" x14ac:dyDescent="0.25">
      <c r="Z41549"/>
    </row>
    <row r="41550" spans="26:26" x14ac:dyDescent="0.25">
      <c r="Z41550"/>
    </row>
    <row r="41551" spans="26:26" x14ac:dyDescent="0.25">
      <c r="Z41551"/>
    </row>
    <row r="41552" spans="26:26" x14ac:dyDescent="0.25">
      <c r="Z41552"/>
    </row>
    <row r="41553" spans="26:26" x14ac:dyDescent="0.25">
      <c r="Z41553"/>
    </row>
    <row r="41554" spans="26:26" x14ac:dyDescent="0.25">
      <c r="Z41554"/>
    </row>
    <row r="41555" spans="26:26" x14ac:dyDescent="0.25">
      <c r="Z41555"/>
    </row>
    <row r="41556" spans="26:26" x14ac:dyDescent="0.25">
      <c r="Z41556"/>
    </row>
    <row r="41557" spans="26:26" x14ac:dyDescent="0.25">
      <c r="Z41557"/>
    </row>
    <row r="41558" spans="26:26" x14ac:dyDescent="0.25">
      <c r="Z41558"/>
    </row>
    <row r="41559" spans="26:26" x14ac:dyDescent="0.25">
      <c r="Z41559"/>
    </row>
    <row r="41560" spans="26:26" x14ac:dyDescent="0.25">
      <c r="Z41560"/>
    </row>
    <row r="41561" spans="26:26" x14ac:dyDescent="0.25">
      <c r="Z41561"/>
    </row>
    <row r="41562" spans="26:26" x14ac:dyDescent="0.25">
      <c r="Z41562"/>
    </row>
    <row r="41563" spans="26:26" x14ac:dyDescent="0.25">
      <c r="Z41563"/>
    </row>
    <row r="41564" spans="26:26" x14ac:dyDescent="0.25">
      <c r="Z41564"/>
    </row>
    <row r="41565" spans="26:26" x14ac:dyDescent="0.25">
      <c r="Z41565"/>
    </row>
    <row r="41566" spans="26:26" x14ac:dyDescent="0.25">
      <c r="Z41566"/>
    </row>
    <row r="41567" spans="26:26" x14ac:dyDescent="0.25">
      <c r="Z41567"/>
    </row>
    <row r="41568" spans="26:26" x14ac:dyDescent="0.25">
      <c r="Z41568"/>
    </row>
    <row r="41569" spans="26:26" x14ac:dyDescent="0.25">
      <c r="Z41569"/>
    </row>
    <row r="41570" spans="26:26" x14ac:dyDescent="0.25">
      <c r="Z41570"/>
    </row>
    <row r="41571" spans="26:26" x14ac:dyDescent="0.25">
      <c r="Z41571"/>
    </row>
    <row r="41572" spans="26:26" x14ac:dyDescent="0.25">
      <c r="Z41572"/>
    </row>
    <row r="41573" spans="26:26" x14ac:dyDescent="0.25">
      <c r="Z41573"/>
    </row>
    <row r="41574" spans="26:26" x14ac:dyDescent="0.25">
      <c r="Z41574"/>
    </row>
    <row r="41575" spans="26:26" x14ac:dyDescent="0.25">
      <c r="Z41575"/>
    </row>
    <row r="41576" spans="26:26" x14ac:dyDescent="0.25">
      <c r="Z41576"/>
    </row>
    <row r="41577" spans="26:26" x14ac:dyDescent="0.25">
      <c r="Z41577"/>
    </row>
    <row r="41578" spans="26:26" x14ac:dyDescent="0.25">
      <c r="Z41578"/>
    </row>
    <row r="41579" spans="26:26" x14ac:dyDescent="0.25">
      <c r="Z41579"/>
    </row>
    <row r="41580" spans="26:26" x14ac:dyDescent="0.25">
      <c r="Z41580"/>
    </row>
    <row r="41581" spans="26:26" x14ac:dyDescent="0.25">
      <c r="Z41581"/>
    </row>
    <row r="41582" spans="26:26" x14ac:dyDescent="0.25">
      <c r="Z41582"/>
    </row>
    <row r="41583" spans="26:26" x14ac:dyDescent="0.25">
      <c r="Z41583"/>
    </row>
    <row r="41584" spans="26:26" x14ac:dyDescent="0.25">
      <c r="Z41584"/>
    </row>
    <row r="41585" spans="26:26" x14ac:dyDescent="0.25">
      <c r="Z41585"/>
    </row>
    <row r="41586" spans="26:26" x14ac:dyDescent="0.25">
      <c r="Z41586"/>
    </row>
    <row r="41587" spans="26:26" x14ac:dyDescent="0.25">
      <c r="Z41587"/>
    </row>
    <row r="41588" spans="26:26" x14ac:dyDescent="0.25">
      <c r="Z41588"/>
    </row>
    <row r="41589" spans="26:26" x14ac:dyDescent="0.25">
      <c r="Z41589"/>
    </row>
    <row r="41590" spans="26:26" x14ac:dyDescent="0.25">
      <c r="Z41590"/>
    </row>
    <row r="41591" spans="26:26" x14ac:dyDescent="0.25">
      <c r="Z41591"/>
    </row>
    <row r="41592" spans="26:26" x14ac:dyDescent="0.25">
      <c r="Z41592"/>
    </row>
    <row r="41593" spans="26:26" x14ac:dyDescent="0.25">
      <c r="Z41593"/>
    </row>
    <row r="41594" spans="26:26" x14ac:dyDescent="0.25">
      <c r="Z41594"/>
    </row>
    <row r="41595" spans="26:26" x14ac:dyDescent="0.25">
      <c r="Z41595"/>
    </row>
    <row r="41596" spans="26:26" x14ac:dyDescent="0.25">
      <c r="Z41596"/>
    </row>
    <row r="41597" spans="26:26" x14ac:dyDescent="0.25">
      <c r="Z41597"/>
    </row>
    <row r="41598" spans="26:26" x14ac:dyDescent="0.25">
      <c r="Z41598"/>
    </row>
    <row r="41599" spans="26:26" x14ac:dyDescent="0.25">
      <c r="Z41599"/>
    </row>
    <row r="41600" spans="26:26" x14ac:dyDescent="0.25">
      <c r="Z41600"/>
    </row>
    <row r="41601" spans="26:26" x14ac:dyDescent="0.25">
      <c r="Z41601"/>
    </row>
    <row r="41602" spans="26:26" x14ac:dyDescent="0.25">
      <c r="Z41602"/>
    </row>
    <row r="41603" spans="26:26" x14ac:dyDescent="0.25">
      <c r="Z41603"/>
    </row>
    <row r="41604" spans="26:26" x14ac:dyDescent="0.25">
      <c r="Z41604"/>
    </row>
    <row r="41605" spans="26:26" x14ac:dyDescent="0.25">
      <c r="Z41605"/>
    </row>
    <row r="41606" spans="26:26" x14ac:dyDescent="0.25">
      <c r="Z41606"/>
    </row>
    <row r="41607" spans="26:26" x14ac:dyDescent="0.25">
      <c r="Z41607"/>
    </row>
    <row r="41608" spans="26:26" x14ac:dyDescent="0.25">
      <c r="Z41608"/>
    </row>
    <row r="41609" spans="26:26" x14ac:dyDescent="0.25">
      <c r="Z41609"/>
    </row>
    <row r="41610" spans="26:26" x14ac:dyDescent="0.25">
      <c r="Z41610"/>
    </row>
    <row r="41611" spans="26:26" x14ac:dyDescent="0.25">
      <c r="Z41611"/>
    </row>
    <row r="41612" spans="26:26" x14ac:dyDescent="0.25">
      <c r="Z41612"/>
    </row>
    <row r="41613" spans="26:26" x14ac:dyDescent="0.25">
      <c r="Z41613"/>
    </row>
    <row r="41614" spans="26:26" x14ac:dyDescent="0.25">
      <c r="Z41614"/>
    </row>
    <row r="41615" spans="26:26" x14ac:dyDescent="0.25">
      <c r="Z41615"/>
    </row>
    <row r="41616" spans="26:26" x14ac:dyDescent="0.25">
      <c r="Z41616"/>
    </row>
    <row r="41617" spans="26:26" x14ac:dyDescent="0.25">
      <c r="Z41617"/>
    </row>
    <row r="41618" spans="26:26" x14ac:dyDescent="0.25">
      <c r="Z41618"/>
    </row>
    <row r="41619" spans="26:26" x14ac:dyDescent="0.25">
      <c r="Z41619"/>
    </row>
    <row r="41620" spans="26:26" x14ac:dyDescent="0.25">
      <c r="Z41620"/>
    </row>
    <row r="41621" spans="26:26" x14ac:dyDescent="0.25">
      <c r="Z41621"/>
    </row>
    <row r="41622" spans="26:26" x14ac:dyDescent="0.25">
      <c r="Z41622"/>
    </row>
    <row r="41623" spans="26:26" x14ac:dyDescent="0.25">
      <c r="Z41623"/>
    </row>
    <row r="41624" spans="26:26" x14ac:dyDescent="0.25">
      <c r="Z41624"/>
    </row>
    <row r="41625" spans="26:26" x14ac:dyDescent="0.25">
      <c r="Z41625"/>
    </row>
    <row r="41626" spans="26:26" x14ac:dyDescent="0.25">
      <c r="Z41626"/>
    </row>
    <row r="41627" spans="26:26" x14ac:dyDescent="0.25">
      <c r="Z41627"/>
    </row>
    <row r="41628" spans="26:26" x14ac:dyDescent="0.25">
      <c r="Z41628"/>
    </row>
    <row r="41629" spans="26:26" x14ac:dyDescent="0.25">
      <c r="Z41629"/>
    </row>
    <row r="41630" spans="26:26" x14ac:dyDescent="0.25">
      <c r="Z41630"/>
    </row>
    <row r="41631" spans="26:26" x14ac:dyDescent="0.25">
      <c r="Z41631"/>
    </row>
    <row r="41632" spans="26:26" x14ac:dyDescent="0.25">
      <c r="Z41632"/>
    </row>
    <row r="41633" spans="26:26" x14ac:dyDescent="0.25">
      <c r="Z41633"/>
    </row>
    <row r="41634" spans="26:26" x14ac:dyDescent="0.25">
      <c r="Z41634"/>
    </row>
    <row r="41635" spans="26:26" x14ac:dyDescent="0.25">
      <c r="Z41635"/>
    </row>
    <row r="41636" spans="26:26" x14ac:dyDescent="0.25">
      <c r="Z41636"/>
    </row>
    <row r="41637" spans="26:26" x14ac:dyDescent="0.25">
      <c r="Z41637"/>
    </row>
    <row r="41638" spans="26:26" x14ac:dyDescent="0.25">
      <c r="Z41638"/>
    </row>
    <row r="41639" spans="26:26" x14ac:dyDescent="0.25">
      <c r="Z41639"/>
    </row>
    <row r="41640" spans="26:26" x14ac:dyDescent="0.25">
      <c r="Z41640"/>
    </row>
    <row r="41641" spans="26:26" x14ac:dyDescent="0.25">
      <c r="Z41641"/>
    </row>
    <row r="41642" spans="26:26" x14ac:dyDescent="0.25">
      <c r="Z41642"/>
    </row>
    <row r="41643" spans="26:26" x14ac:dyDescent="0.25">
      <c r="Z41643"/>
    </row>
    <row r="41644" spans="26:26" x14ac:dyDescent="0.25">
      <c r="Z41644"/>
    </row>
    <row r="41645" spans="26:26" x14ac:dyDescent="0.25">
      <c r="Z41645"/>
    </row>
    <row r="41646" spans="26:26" x14ac:dyDescent="0.25">
      <c r="Z41646"/>
    </row>
    <row r="41647" spans="26:26" x14ac:dyDescent="0.25">
      <c r="Z41647"/>
    </row>
    <row r="41648" spans="26:26" x14ac:dyDescent="0.25">
      <c r="Z41648"/>
    </row>
    <row r="41649" spans="26:26" x14ac:dyDescent="0.25">
      <c r="Z41649"/>
    </row>
    <row r="41650" spans="26:26" x14ac:dyDescent="0.25">
      <c r="Z41650"/>
    </row>
    <row r="41651" spans="26:26" x14ac:dyDescent="0.25">
      <c r="Z41651"/>
    </row>
    <row r="41652" spans="26:26" x14ac:dyDescent="0.25">
      <c r="Z41652"/>
    </row>
    <row r="41653" spans="26:26" x14ac:dyDescent="0.25">
      <c r="Z41653"/>
    </row>
    <row r="41654" spans="26:26" x14ac:dyDescent="0.25">
      <c r="Z41654"/>
    </row>
    <row r="41655" spans="26:26" x14ac:dyDescent="0.25">
      <c r="Z41655"/>
    </row>
    <row r="41656" spans="26:26" x14ac:dyDescent="0.25">
      <c r="Z41656"/>
    </row>
    <row r="41657" spans="26:26" x14ac:dyDescent="0.25">
      <c r="Z41657"/>
    </row>
    <row r="41658" spans="26:26" x14ac:dyDescent="0.25">
      <c r="Z41658"/>
    </row>
    <row r="41659" spans="26:26" x14ac:dyDescent="0.25">
      <c r="Z41659"/>
    </row>
    <row r="41660" spans="26:26" x14ac:dyDescent="0.25">
      <c r="Z41660"/>
    </row>
    <row r="41661" spans="26:26" x14ac:dyDescent="0.25">
      <c r="Z41661"/>
    </row>
    <row r="41662" spans="26:26" x14ac:dyDescent="0.25">
      <c r="Z41662"/>
    </row>
    <row r="41663" spans="26:26" x14ac:dyDescent="0.25">
      <c r="Z41663"/>
    </row>
    <row r="41664" spans="26:26" x14ac:dyDescent="0.25">
      <c r="Z41664"/>
    </row>
    <row r="41665" spans="26:26" x14ac:dyDescent="0.25">
      <c r="Z41665"/>
    </row>
    <row r="41666" spans="26:26" x14ac:dyDescent="0.25">
      <c r="Z41666"/>
    </row>
    <row r="41667" spans="26:26" x14ac:dyDescent="0.25">
      <c r="Z41667"/>
    </row>
    <row r="41668" spans="26:26" x14ac:dyDescent="0.25">
      <c r="Z41668"/>
    </row>
    <row r="41669" spans="26:26" x14ac:dyDescent="0.25">
      <c r="Z41669"/>
    </row>
    <row r="41670" spans="26:26" x14ac:dyDescent="0.25">
      <c r="Z41670"/>
    </row>
    <row r="41671" spans="26:26" x14ac:dyDescent="0.25">
      <c r="Z41671"/>
    </row>
    <row r="41672" spans="26:26" x14ac:dyDescent="0.25">
      <c r="Z41672"/>
    </row>
    <row r="41673" spans="26:26" x14ac:dyDescent="0.25">
      <c r="Z41673"/>
    </row>
    <row r="41674" spans="26:26" x14ac:dyDescent="0.25">
      <c r="Z41674"/>
    </row>
    <row r="41675" spans="26:26" x14ac:dyDescent="0.25">
      <c r="Z41675"/>
    </row>
    <row r="41676" spans="26:26" x14ac:dyDescent="0.25">
      <c r="Z41676"/>
    </row>
    <row r="41677" spans="26:26" x14ac:dyDescent="0.25">
      <c r="Z41677"/>
    </row>
    <row r="41678" spans="26:26" x14ac:dyDescent="0.25">
      <c r="Z41678"/>
    </row>
    <row r="41679" spans="26:26" x14ac:dyDescent="0.25">
      <c r="Z41679"/>
    </row>
    <row r="41680" spans="26:26" x14ac:dyDescent="0.25">
      <c r="Z41680"/>
    </row>
    <row r="41681" spans="26:26" x14ac:dyDescent="0.25">
      <c r="Z41681"/>
    </row>
    <row r="41682" spans="26:26" x14ac:dyDescent="0.25">
      <c r="Z41682"/>
    </row>
    <row r="41683" spans="26:26" x14ac:dyDescent="0.25">
      <c r="Z41683"/>
    </row>
    <row r="41684" spans="26:26" x14ac:dyDescent="0.25">
      <c r="Z41684"/>
    </row>
    <row r="41685" spans="26:26" x14ac:dyDescent="0.25">
      <c r="Z41685"/>
    </row>
    <row r="41686" spans="26:26" x14ac:dyDescent="0.25">
      <c r="Z41686"/>
    </row>
    <row r="41687" spans="26:26" x14ac:dyDescent="0.25">
      <c r="Z41687"/>
    </row>
    <row r="41688" spans="26:26" x14ac:dyDescent="0.25">
      <c r="Z41688"/>
    </row>
    <row r="41689" spans="26:26" x14ac:dyDescent="0.25">
      <c r="Z41689"/>
    </row>
    <row r="41690" spans="26:26" x14ac:dyDescent="0.25">
      <c r="Z41690"/>
    </row>
    <row r="41691" spans="26:26" x14ac:dyDescent="0.25">
      <c r="Z41691"/>
    </row>
    <row r="41692" spans="26:26" x14ac:dyDescent="0.25">
      <c r="Z41692"/>
    </row>
    <row r="41693" spans="26:26" x14ac:dyDescent="0.25">
      <c r="Z41693"/>
    </row>
    <row r="41694" spans="26:26" x14ac:dyDescent="0.25">
      <c r="Z41694"/>
    </row>
    <row r="41695" spans="26:26" x14ac:dyDescent="0.25">
      <c r="Z41695"/>
    </row>
    <row r="41696" spans="26:26" x14ac:dyDescent="0.25">
      <c r="Z41696"/>
    </row>
    <row r="41697" spans="26:26" x14ac:dyDescent="0.25">
      <c r="Z41697"/>
    </row>
    <row r="41698" spans="26:26" x14ac:dyDescent="0.25">
      <c r="Z41698"/>
    </row>
    <row r="41699" spans="26:26" x14ac:dyDescent="0.25">
      <c r="Z41699"/>
    </row>
    <row r="41700" spans="26:26" x14ac:dyDescent="0.25">
      <c r="Z41700"/>
    </row>
    <row r="41701" spans="26:26" x14ac:dyDescent="0.25">
      <c r="Z41701"/>
    </row>
    <row r="41702" spans="26:26" x14ac:dyDescent="0.25">
      <c r="Z41702"/>
    </row>
    <row r="41703" spans="26:26" x14ac:dyDescent="0.25">
      <c r="Z41703"/>
    </row>
    <row r="41704" spans="26:26" x14ac:dyDescent="0.25">
      <c r="Z41704"/>
    </row>
    <row r="41705" spans="26:26" x14ac:dyDescent="0.25">
      <c r="Z41705"/>
    </row>
    <row r="41706" spans="26:26" x14ac:dyDescent="0.25">
      <c r="Z41706"/>
    </row>
    <row r="41707" spans="26:26" x14ac:dyDescent="0.25">
      <c r="Z41707"/>
    </row>
    <row r="41708" spans="26:26" x14ac:dyDescent="0.25">
      <c r="Z41708"/>
    </row>
    <row r="41709" spans="26:26" x14ac:dyDescent="0.25">
      <c r="Z41709"/>
    </row>
    <row r="41710" spans="26:26" x14ac:dyDescent="0.25">
      <c r="Z41710"/>
    </row>
    <row r="41711" spans="26:26" x14ac:dyDescent="0.25">
      <c r="Z41711"/>
    </row>
    <row r="41712" spans="26:26" x14ac:dyDescent="0.25">
      <c r="Z41712"/>
    </row>
    <row r="41713" spans="26:26" x14ac:dyDescent="0.25">
      <c r="Z41713"/>
    </row>
    <row r="41714" spans="26:26" x14ac:dyDescent="0.25">
      <c r="Z41714"/>
    </row>
    <row r="41715" spans="26:26" x14ac:dyDescent="0.25">
      <c r="Z41715"/>
    </row>
    <row r="41716" spans="26:26" x14ac:dyDescent="0.25">
      <c r="Z41716"/>
    </row>
    <row r="41717" spans="26:26" x14ac:dyDescent="0.25">
      <c r="Z41717"/>
    </row>
    <row r="41718" spans="26:26" x14ac:dyDescent="0.25">
      <c r="Z41718"/>
    </row>
    <row r="41719" spans="26:26" x14ac:dyDescent="0.25">
      <c r="Z41719"/>
    </row>
    <row r="41720" spans="26:26" x14ac:dyDescent="0.25">
      <c r="Z41720"/>
    </row>
    <row r="41721" spans="26:26" x14ac:dyDescent="0.25">
      <c r="Z41721"/>
    </row>
    <row r="41722" spans="26:26" x14ac:dyDescent="0.25">
      <c r="Z41722"/>
    </row>
    <row r="41723" spans="26:26" x14ac:dyDescent="0.25">
      <c r="Z41723"/>
    </row>
    <row r="41724" spans="26:26" x14ac:dyDescent="0.25">
      <c r="Z41724"/>
    </row>
    <row r="41725" spans="26:26" x14ac:dyDescent="0.25">
      <c r="Z41725"/>
    </row>
    <row r="41726" spans="26:26" x14ac:dyDescent="0.25">
      <c r="Z41726"/>
    </row>
    <row r="41727" spans="26:26" x14ac:dyDescent="0.25">
      <c r="Z41727"/>
    </row>
    <row r="41728" spans="26:26" x14ac:dyDescent="0.25">
      <c r="Z41728"/>
    </row>
    <row r="41729" spans="26:26" x14ac:dyDescent="0.25">
      <c r="Z41729"/>
    </row>
    <row r="41730" spans="26:26" x14ac:dyDescent="0.25">
      <c r="Z41730"/>
    </row>
    <row r="41731" spans="26:26" x14ac:dyDescent="0.25">
      <c r="Z41731"/>
    </row>
    <row r="41732" spans="26:26" x14ac:dyDescent="0.25">
      <c r="Z41732"/>
    </row>
    <row r="41733" spans="26:26" x14ac:dyDescent="0.25">
      <c r="Z41733"/>
    </row>
    <row r="41734" spans="26:26" x14ac:dyDescent="0.25">
      <c r="Z41734"/>
    </row>
    <row r="41735" spans="26:26" x14ac:dyDescent="0.25">
      <c r="Z41735"/>
    </row>
    <row r="41736" spans="26:26" x14ac:dyDescent="0.25">
      <c r="Z41736"/>
    </row>
    <row r="41737" spans="26:26" x14ac:dyDescent="0.25">
      <c r="Z41737"/>
    </row>
    <row r="41738" spans="26:26" x14ac:dyDescent="0.25">
      <c r="Z41738"/>
    </row>
    <row r="41739" spans="26:26" x14ac:dyDescent="0.25">
      <c r="Z41739"/>
    </row>
    <row r="41740" spans="26:26" x14ac:dyDescent="0.25">
      <c r="Z41740"/>
    </row>
    <row r="41741" spans="26:26" x14ac:dyDescent="0.25">
      <c r="Z41741"/>
    </row>
    <row r="41742" spans="26:26" x14ac:dyDescent="0.25">
      <c r="Z41742"/>
    </row>
    <row r="41743" spans="26:26" x14ac:dyDescent="0.25">
      <c r="Z41743"/>
    </row>
    <row r="41744" spans="26:26" x14ac:dyDescent="0.25">
      <c r="Z41744"/>
    </row>
    <row r="41745" spans="26:26" x14ac:dyDescent="0.25">
      <c r="Z41745"/>
    </row>
    <row r="41746" spans="26:26" x14ac:dyDescent="0.25">
      <c r="Z41746"/>
    </row>
    <row r="41747" spans="26:26" x14ac:dyDescent="0.25">
      <c r="Z41747"/>
    </row>
    <row r="41748" spans="26:26" x14ac:dyDescent="0.25">
      <c r="Z41748"/>
    </row>
    <row r="41749" spans="26:26" x14ac:dyDescent="0.25">
      <c r="Z41749"/>
    </row>
    <row r="41750" spans="26:26" x14ac:dyDescent="0.25">
      <c r="Z41750"/>
    </row>
    <row r="41751" spans="26:26" x14ac:dyDescent="0.25">
      <c r="Z41751"/>
    </row>
    <row r="41752" spans="26:26" x14ac:dyDescent="0.25">
      <c r="Z41752"/>
    </row>
    <row r="41753" spans="26:26" x14ac:dyDescent="0.25">
      <c r="Z41753"/>
    </row>
    <row r="41754" spans="26:26" x14ac:dyDescent="0.25">
      <c r="Z41754"/>
    </row>
    <row r="41755" spans="26:26" x14ac:dyDescent="0.25">
      <c r="Z41755"/>
    </row>
    <row r="41756" spans="26:26" x14ac:dyDescent="0.25">
      <c r="Z41756"/>
    </row>
    <row r="41757" spans="26:26" x14ac:dyDescent="0.25">
      <c r="Z41757"/>
    </row>
    <row r="41758" spans="26:26" x14ac:dyDescent="0.25">
      <c r="Z41758"/>
    </row>
    <row r="41759" spans="26:26" x14ac:dyDescent="0.25">
      <c r="Z41759"/>
    </row>
    <row r="41760" spans="26:26" x14ac:dyDescent="0.25">
      <c r="Z41760"/>
    </row>
    <row r="41761" spans="26:26" x14ac:dyDescent="0.25">
      <c r="Z41761"/>
    </row>
    <row r="41762" spans="26:26" x14ac:dyDescent="0.25">
      <c r="Z41762"/>
    </row>
    <row r="41763" spans="26:26" x14ac:dyDescent="0.25">
      <c r="Z41763"/>
    </row>
    <row r="41764" spans="26:26" x14ac:dyDescent="0.25">
      <c r="Z41764"/>
    </row>
    <row r="41765" spans="26:26" x14ac:dyDescent="0.25">
      <c r="Z41765"/>
    </row>
    <row r="41766" spans="26:26" x14ac:dyDescent="0.25">
      <c r="Z41766"/>
    </row>
    <row r="41767" spans="26:26" x14ac:dyDescent="0.25">
      <c r="Z41767"/>
    </row>
    <row r="41768" spans="26:26" x14ac:dyDescent="0.25">
      <c r="Z41768"/>
    </row>
    <row r="41769" spans="26:26" x14ac:dyDescent="0.25">
      <c r="Z41769"/>
    </row>
    <row r="41770" spans="26:26" x14ac:dyDescent="0.25">
      <c r="Z41770"/>
    </row>
    <row r="41771" spans="26:26" x14ac:dyDescent="0.25">
      <c r="Z41771"/>
    </row>
    <row r="41772" spans="26:26" x14ac:dyDescent="0.25">
      <c r="Z41772"/>
    </row>
    <row r="41773" spans="26:26" x14ac:dyDescent="0.25">
      <c r="Z41773"/>
    </row>
    <row r="41774" spans="26:26" x14ac:dyDescent="0.25">
      <c r="Z41774"/>
    </row>
    <row r="41775" spans="26:26" x14ac:dyDescent="0.25">
      <c r="Z41775"/>
    </row>
    <row r="41776" spans="26:26" x14ac:dyDescent="0.25">
      <c r="Z41776"/>
    </row>
    <row r="41777" spans="26:26" x14ac:dyDescent="0.25">
      <c r="Z41777"/>
    </row>
    <row r="41778" spans="26:26" x14ac:dyDescent="0.25">
      <c r="Z41778"/>
    </row>
    <row r="41779" spans="26:26" x14ac:dyDescent="0.25">
      <c r="Z41779"/>
    </row>
    <row r="41780" spans="26:26" x14ac:dyDescent="0.25">
      <c r="Z41780"/>
    </row>
    <row r="41781" spans="26:26" x14ac:dyDescent="0.25">
      <c r="Z41781"/>
    </row>
    <row r="41782" spans="26:26" x14ac:dyDescent="0.25">
      <c r="Z41782"/>
    </row>
    <row r="41783" spans="26:26" x14ac:dyDescent="0.25">
      <c r="Z41783"/>
    </row>
    <row r="41784" spans="26:26" x14ac:dyDescent="0.25">
      <c r="Z41784"/>
    </row>
    <row r="41785" spans="26:26" x14ac:dyDescent="0.25">
      <c r="Z41785"/>
    </row>
    <row r="41786" spans="26:26" x14ac:dyDescent="0.25">
      <c r="Z41786"/>
    </row>
    <row r="41787" spans="26:26" x14ac:dyDescent="0.25">
      <c r="Z41787"/>
    </row>
    <row r="41788" spans="26:26" x14ac:dyDescent="0.25">
      <c r="Z41788"/>
    </row>
    <row r="41789" spans="26:26" x14ac:dyDescent="0.25">
      <c r="Z41789"/>
    </row>
    <row r="41790" spans="26:26" x14ac:dyDescent="0.25">
      <c r="Z41790"/>
    </row>
    <row r="41791" spans="26:26" x14ac:dyDescent="0.25">
      <c r="Z41791"/>
    </row>
    <row r="41792" spans="26:26" x14ac:dyDescent="0.25">
      <c r="Z41792"/>
    </row>
    <row r="41793" spans="26:26" x14ac:dyDescent="0.25">
      <c r="Z41793"/>
    </row>
    <row r="41794" spans="26:26" x14ac:dyDescent="0.25">
      <c r="Z41794"/>
    </row>
    <row r="41795" spans="26:26" x14ac:dyDescent="0.25">
      <c r="Z41795"/>
    </row>
    <row r="41796" spans="26:26" x14ac:dyDescent="0.25">
      <c r="Z41796"/>
    </row>
    <row r="41797" spans="26:26" x14ac:dyDescent="0.25">
      <c r="Z41797"/>
    </row>
    <row r="41798" spans="26:26" x14ac:dyDescent="0.25">
      <c r="Z41798"/>
    </row>
    <row r="41799" spans="26:26" x14ac:dyDescent="0.25">
      <c r="Z41799"/>
    </row>
    <row r="41800" spans="26:26" x14ac:dyDescent="0.25">
      <c r="Z41800"/>
    </row>
    <row r="41801" spans="26:26" x14ac:dyDescent="0.25">
      <c r="Z41801"/>
    </row>
    <row r="41802" spans="26:26" x14ac:dyDescent="0.25">
      <c r="Z41802"/>
    </row>
    <row r="41803" spans="26:26" x14ac:dyDescent="0.25">
      <c r="Z41803"/>
    </row>
    <row r="41804" spans="26:26" x14ac:dyDescent="0.25">
      <c r="Z41804"/>
    </row>
    <row r="41805" spans="26:26" x14ac:dyDescent="0.25">
      <c r="Z41805"/>
    </row>
    <row r="41806" spans="26:26" x14ac:dyDescent="0.25">
      <c r="Z41806"/>
    </row>
    <row r="41807" spans="26:26" x14ac:dyDescent="0.25">
      <c r="Z41807"/>
    </row>
    <row r="41808" spans="26:26" x14ac:dyDescent="0.25">
      <c r="Z41808"/>
    </row>
    <row r="41809" spans="26:26" x14ac:dyDescent="0.25">
      <c r="Z41809"/>
    </row>
    <row r="41810" spans="26:26" x14ac:dyDescent="0.25">
      <c r="Z41810"/>
    </row>
    <row r="41811" spans="26:26" x14ac:dyDescent="0.25">
      <c r="Z41811"/>
    </row>
    <row r="41812" spans="26:26" x14ac:dyDescent="0.25">
      <c r="Z41812"/>
    </row>
    <row r="41813" spans="26:26" x14ac:dyDescent="0.25">
      <c r="Z41813"/>
    </row>
    <row r="41814" spans="26:26" x14ac:dyDescent="0.25">
      <c r="Z41814"/>
    </row>
    <row r="41815" spans="26:26" x14ac:dyDescent="0.25">
      <c r="Z41815"/>
    </row>
    <row r="41816" spans="26:26" x14ac:dyDescent="0.25">
      <c r="Z41816"/>
    </row>
    <row r="41817" spans="26:26" x14ac:dyDescent="0.25">
      <c r="Z41817"/>
    </row>
    <row r="41818" spans="26:26" x14ac:dyDescent="0.25">
      <c r="Z41818"/>
    </row>
    <row r="41819" spans="26:26" x14ac:dyDescent="0.25">
      <c r="Z41819"/>
    </row>
    <row r="41820" spans="26:26" x14ac:dyDescent="0.25">
      <c r="Z41820"/>
    </row>
    <row r="41821" spans="26:26" x14ac:dyDescent="0.25">
      <c r="Z41821"/>
    </row>
    <row r="41822" spans="26:26" x14ac:dyDescent="0.25">
      <c r="Z41822"/>
    </row>
    <row r="41823" spans="26:26" x14ac:dyDescent="0.25">
      <c r="Z41823"/>
    </row>
    <row r="41824" spans="26:26" x14ac:dyDescent="0.25">
      <c r="Z41824"/>
    </row>
    <row r="41825" spans="26:26" x14ac:dyDescent="0.25">
      <c r="Z41825"/>
    </row>
    <row r="41826" spans="26:26" x14ac:dyDescent="0.25">
      <c r="Z41826"/>
    </row>
    <row r="41827" spans="26:26" x14ac:dyDescent="0.25">
      <c r="Z41827"/>
    </row>
    <row r="41828" spans="26:26" x14ac:dyDescent="0.25">
      <c r="Z41828"/>
    </row>
    <row r="41829" spans="26:26" x14ac:dyDescent="0.25">
      <c r="Z41829"/>
    </row>
    <row r="41830" spans="26:26" x14ac:dyDescent="0.25">
      <c r="Z41830"/>
    </row>
    <row r="41831" spans="26:26" x14ac:dyDescent="0.25">
      <c r="Z41831"/>
    </row>
    <row r="41832" spans="26:26" x14ac:dyDescent="0.25">
      <c r="Z41832"/>
    </row>
    <row r="41833" spans="26:26" x14ac:dyDescent="0.25">
      <c r="Z41833"/>
    </row>
    <row r="41834" spans="26:26" x14ac:dyDescent="0.25">
      <c r="Z41834"/>
    </row>
    <row r="41835" spans="26:26" x14ac:dyDescent="0.25">
      <c r="Z41835"/>
    </row>
    <row r="41836" spans="26:26" x14ac:dyDescent="0.25">
      <c r="Z41836"/>
    </row>
    <row r="41837" spans="26:26" x14ac:dyDescent="0.25">
      <c r="Z41837"/>
    </row>
    <row r="41838" spans="26:26" x14ac:dyDescent="0.25">
      <c r="Z41838"/>
    </row>
    <row r="41839" spans="26:26" x14ac:dyDescent="0.25">
      <c r="Z41839"/>
    </row>
    <row r="41840" spans="26:26" x14ac:dyDescent="0.25">
      <c r="Z41840"/>
    </row>
    <row r="41841" spans="26:26" x14ac:dyDescent="0.25">
      <c r="Z41841"/>
    </row>
    <row r="41842" spans="26:26" x14ac:dyDescent="0.25">
      <c r="Z41842"/>
    </row>
    <row r="41843" spans="26:26" x14ac:dyDescent="0.25">
      <c r="Z41843"/>
    </row>
    <row r="41844" spans="26:26" x14ac:dyDescent="0.25">
      <c r="Z41844"/>
    </row>
    <row r="41845" spans="26:26" x14ac:dyDescent="0.25">
      <c r="Z41845"/>
    </row>
    <row r="41846" spans="26:26" x14ac:dyDescent="0.25">
      <c r="Z41846"/>
    </row>
    <row r="41847" spans="26:26" x14ac:dyDescent="0.25">
      <c r="Z41847"/>
    </row>
    <row r="41848" spans="26:26" x14ac:dyDescent="0.25">
      <c r="Z41848"/>
    </row>
    <row r="41849" spans="26:26" x14ac:dyDescent="0.25">
      <c r="Z41849"/>
    </row>
    <row r="41850" spans="26:26" x14ac:dyDescent="0.25">
      <c r="Z41850"/>
    </row>
    <row r="41851" spans="26:26" x14ac:dyDescent="0.25">
      <c r="Z41851"/>
    </row>
    <row r="41852" spans="26:26" x14ac:dyDescent="0.25">
      <c r="Z41852"/>
    </row>
    <row r="41853" spans="26:26" x14ac:dyDescent="0.25">
      <c r="Z41853"/>
    </row>
    <row r="41854" spans="26:26" x14ac:dyDescent="0.25">
      <c r="Z41854"/>
    </row>
    <row r="41855" spans="26:26" x14ac:dyDescent="0.25">
      <c r="Z41855"/>
    </row>
    <row r="41856" spans="26:26" x14ac:dyDescent="0.25">
      <c r="Z41856"/>
    </row>
    <row r="41857" spans="26:26" x14ac:dyDescent="0.25">
      <c r="Z41857"/>
    </row>
    <row r="41858" spans="26:26" x14ac:dyDescent="0.25">
      <c r="Z41858"/>
    </row>
    <row r="41859" spans="26:26" x14ac:dyDescent="0.25">
      <c r="Z41859"/>
    </row>
    <row r="41860" spans="26:26" x14ac:dyDescent="0.25">
      <c r="Z41860"/>
    </row>
    <row r="41861" spans="26:26" x14ac:dyDescent="0.25">
      <c r="Z41861"/>
    </row>
    <row r="41862" spans="26:26" x14ac:dyDescent="0.25">
      <c r="Z41862"/>
    </row>
    <row r="41863" spans="26:26" x14ac:dyDescent="0.25">
      <c r="Z41863"/>
    </row>
    <row r="41864" spans="26:26" x14ac:dyDescent="0.25">
      <c r="Z41864"/>
    </row>
    <row r="41865" spans="26:26" x14ac:dyDescent="0.25">
      <c r="Z41865"/>
    </row>
    <row r="41866" spans="26:26" x14ac:dyDescent="0.25">
      <c r="Z41866"/>
    </row>
    <row r="41867" spans="26:26" x14ac:dyDescent="0.25">
      <c r="Z41867"/>
    </row>
    <row r="41868" spans="26:26" x14ac:dyDescent="0.25">
      <c r="Z41868"/>
    </row>
    <row r="41869" spans="26:26" x14ac:dyDescent="0.25">
      <c r="Z41869"/>
    </row>
    <row r="41870" spans="26:26" x14ac:dyDescent="0.25">
      <c r="Z41870"/>
    </row>
    <row r="41871" spans="26:26" x14ac:dyDescent="0.25">
      <c r="Z41871"/>
    </row>
    <row r="41872" spans="26:26" x14ac:dyDescent="0.25">
      <c r="Z41872"/>
    </row>
    <row r="41873" spans="26:26" x14ac:dyDescent="0.25">
      <c r="Z41873"/>
    </row>
    <row r="41874" spans="26:26" x14ac:dyDescent="0.25">
      <c r="Z41874"/>
    </row>
    <row r="41875" spans="26:26" x14ac:dyDescent="0.25">
      <c r="Z41875"/>
    </row>
    <row r="41876" spans="26:26" x14ac:dyDescent="0.25">
      <c r="Z41876"/>
    </row>
    <row r="41877" spans="26:26" x14ac:dyDescent="0.25">
      <c r="Z41877"/>
    </row>
    <row r="41878" spans="26:26" x14ac:dyDescent="0.25">
      <c r="Z41878"/>
    </row>
    <row r="41879" spans="26:26" x14ac:dyDescent="0.25">
      <c r="Z41879"/>
    </row>
    <row r="41880" spans="26:26" x14ac:dyDescent="0.25">
      <c r="Z41880"/>
    </row>
    <row r="41881" spans="26:26" x14ac:dyDescent="0.25">
      <c r="Z41881"/>
    </row>
    <row r="41882" spans="26:26" x14ac:dyDescent="0.25">
      <c r="Z41882"/>
    </row>
    <row r="41883" spans="26:26" x14ac:dyDescent="0.25">
      <c r="Z41883"/>
    </row>
    <row r="41884" spans="26:26" x14ac:dyDescent="0.25">
      <c r="Z41884"/>
    </row>
    <row r="41885" spans="26:26" x14ac:dyDescent="0.25">
      <c r="Z41885"/>
    </row>
    <row r="41886" spans="26:26" x14ac:dyDescent="0.25">
      <c r="Z41886"/>
    </row>
    <row r="41887" spans="26:26" x14ac:dyDescent="0.25">
      <c r="Z41887"/>
    </row>
    <row r="41888" spans="26:26" x14ac:dyDescent="0.25">
      <c r="Z41888"/>
    </row>
    <row r="41889" spans="26:26" x14ac:dyDescent="0.25">
      <c r="Z41889"/>
    </row>
    <row r="41890" spans="26:26" x14ac:dyDescent="0.25">
      <c r="Z41890"/>
    </row>
    <row r="41891" spans="26:26" x14ac:dyDescent="0.25">
      <c r="Z41891"/>
    </row>
    <row r="41892" spans="26:26" x14ac:dyDescent="0.25">
      <c r="Z41892"/>
    </row>
    <row r="41893" spans="26:26" x14ac:dyDescent="0.25">
      <c r="Z41893"/>
    </row>
    <row r="41894" spans="26:26" x14ac:dyDescent="0.25">
      <c r="Z41894"/>
    </row>
    <row r="41895" spans="26:26" x14ac:dyDescent="0.25">
      <c r="Z41895"/>
    </row>
    <row r="41896" spans="26:26" x14ac:dyDescent="0.25">
      <c r="Z41896"/>
    </row>
    <row r="41897" spans="26:26" x14ac:dyDescent="0.25">
      <c r="Z41897"/>
    </row>
    <row r="41898" spans="26:26" x14ac:dyDescent="0.25">
      <c r="Z41898"/>
    </row>
    <row r="41899" spans="26:26" x14ac:dyDescent="0.25">
      <c r="Z41899"/>
    </row>
    <row r="41900" spans="26:26" x14ac:dyDescent="0.25">
      <c r="Z41900"/>
    </row>
    <row r="41901" spans="26:26" x14ac:dyDescent="0.25">
      <c r="Z41901"/>
    </row>
    <row r="41902" spans="26:26" x14ac:dyDescent="0.25">
      <c r="Z41902"/>
    </row>
    <row r="41903" spans="26:26" x14ac:dyDescent="0.25">
      <c r="Z41903"/>
    </row>
    <row r="41904" spans="26:26" x14ac:dyDescent="0.25">
      <c r="Z41904"/>
    </row>
    <row r="41905" spans="26:26" x14ac:dyDescent="0.25">
      <c r="Z41905"/>
    </row>
    <row r="41906" spans="26:26" x14ac:dyDescent="0.25">
      <c r="Z41906"/>
    </row>
    <row r="41907" spans="26:26" x14ac:dyDescent="0.25">
      <c r="Z41907"/>
    </row>
    <row r="41908" spans="26:26" x14ac:dyDescent="0.25">
      <c r="Z41908"/>
    </row>
    <row r="41909" spans="26:26" x14ac:dyDescent="0.25">
      <c r="Z41909"/>
    </row>
    <row r="41910" spans="26:26" x14ac:dyDescent="0.25">
      <c r="Z41910"/>
    </row>
    <row r="41911" spans="26:26" x14ac:dyDescent="0.25">
      <c r="Z41911"/>
    </row>
    <row r="41912" spans="26:26" x14ac:dyDescent="0.25">
      <c r="Z41912"/>
    </row>
    <row r="41913" spans="26:26" x14ac:dyDescent="0.25">
      <c r="Z41913"/>
    </row>
    <row r="41914" spans="26:26" x14ac:dyDescent="0.25">
      <c r="Z41914"/>
    </row>
    <row r="41915" spans="26:26" x14ac:dyDescent="0.25">
      <c r="Z41915"/>
    </row>
    <row r="41916" spans="26:26" x14ac:dyDescent="0.25">
      <c r="Z41916"/>
    </row>
    <row r="41917" spans="26:26" x14ac:dyDescent="0.25">
      <c r="Z41917"/>
    </row>
    <row r="41918" spans="26:26" x14ac:dyDescent="0.25">
      <c r="Z41918"/>
    </row>
    <row r="41919" spans="26:26" x14ac:dyDescent="0.25">
      <c r="Z41919"/>
    </row>
    <row r="41920" spans="26:26" x14ac:dyDescent="0.25">
      <c r="Z41920"/>
    </row>
    <row r="41921" spans="26:26" x14ac:dyDescent="0.25">
      <c r="Z41921"/>
    </row>
    <row r="41922" spans="26:26" x14ac:dyDescent="0.25">
      <c r="Z41922"/>
    </row>
    <row r="41923" spans="26:26" x14ac:dyDescent="0.25">
      <c r="Z41923"/>
    </row>
    <row r="41924" spans="26:26" x14ac:dyDescent="0.25">
      <c r="Z41924"/>
    </row>
    <row r="41925" spans="26:26" x14ac:dyDescent="0.25">
      <c r="Z41925"/>
    </row>
    <row r="41926" spans="26:26" x14ac:dyDescent="0.25">
      <c r="Z41926"/>
    </row>
    <row r="41927" spans="26:26" x14ac:dyDescent="0.25">
      <c r="Z41927"/>
    </row>
    <row r="41928" spans="26:26" x14ac:dyDescent="0.25">
      <c r="Z41928"/>
    </row>
    <row r="41929" spans="26:26" x14ac:dyDescent="0.25">
      <c r="Z41929"/>
    </row>
    <row r="41930" spans="26:26" x14ac:dyDescent="0.25">
      <c r="Z41930"/>
    </row>
    <row r="41931" spans="26:26" x14ac:dyDescent="0.25">
      <c r="Z41931"/>
    </row>
    <row r="41932" spans="26:26" x14ac:dyDescent="0.25">
      <c r="Z41932"/>
    </row>
    <row r="41933" spans="26:26" x14ac:dyDescent="0.25">
      <c r="Z41933"/>
    </row>
    <row r="41934" spans="26:26" x14ac:dyDescent="0.25">
      <c r="Z41934"/>
    </row>
    <row r="41935" spans="26:26" x14ac:dyDescent="0.25">
      <c r="Z41935"/>
    </row>
    <row r="41936" spans="26:26" x14ac:dyDescent="0.25">
      <c r="Z41936"/>
    </row>
    <row r="41937" spans="26:26" x14ac:dyDescent="0.25">
      <c r="Z41937"/>
    </row>
    <row r="41938" spans="26:26" x14ac:dyDescent="0.25">
      <c r="Z41938"/>
    </row>
    <row r="41939" spans="26:26" x14ac:dyDescent="0.25">
      <c r="Z41939"/>
    </row>
    <row r="41940" spans="26:26" x14ac:dyDescent="0.25">
      <c r="Z41940"/>
    </row>
    <row r="41941" spans="26:26" x14ac:dyDescent="0.25">
      <c r="Z41941"/>
    </row>
    <row r="41942" spans="26:26" x14ac:dyDescent="0.25">
      <c r="Z41942"/>
    </row>
    <row r="41943" spans="26:26" x14ac:dyDescent="0.25">
      <c r="Z41943"/>
    </row>
    <row r="41944" spans="26:26" x14ac:dyDescent="0.25">
      <c r="Z41944"/>
    </row>
    <row r="41945" spans="26:26" x14ac:dyDescent="0.25">
      <c r="Z41945"/>
    </row>
    <row r="41946" spans="26:26" x14ac:dyDescent="0.25">
      <c r="Z41946"/>
    </row>
    <row r="41947" spans="26:26" x14ac:dyDescent="0.25">
      <c r="Z41947"/>
    </row>
    <row r="41948" spans="26:26" x14ac:dyDescent="0.25">
      <c r="Z41948"/>
    </row>
    <row r="41949" spans="26:26" x14ac:dyDescent="0.25">
      <c r="Z41949"/>
    </row>
    <row r="41950" spans="26:26" x14ac:dyDescent="0.25">
      <c r="Z41950"/>
    </row>
    <row r="41951" spans="26:26" x14ac:dyDescent="0.25">
      <c r="Z41951"/>
    </row>
    <row r="41952" spans="26:26" x14ac:dyDescent="0.25">
      <c r="Z41952"/>
    </row>
    <row r="41953" spans="26:26" x14ac:dyDescent="0.25">
      <c r="Z41953"/>
    </row>
    <row r="41954" spans="26:26" x14ac:dyDescent="0.25">
      <c r="Z41954"/>
    </row>
    <row r="41955" spans="26:26" x14ac:dyDescent="0.25">
      <c r="Z41955"/>
    </row>
    <row r="41956" spans="26:26" x14ac:dyDescent="0.25">
      <c r="Z41956"/>
    </row>
    <row r="41957" spans="26:26" x14ac:dyDescent="0.25">
      <c r="Z41957"/>
    </row>
    <row r="41958" spans="26:26" x14ac:dyDescent="0.25">
      <c r="Z41958"/>
    </row>
    <row r="41959" spans="26:26" x14ac:dyDescent="0.25">
      <c r="Z41959"/>
    </row>
    <row r="41960" spans="26:26" x14ac:dyDescent="0.25">
      <c r="Z41960"/>
    </row>
    <row r="41961" spans="26:26" x14ac:dyDescent="0.25">
      <c r="Z41961"/>
    </row>
    <row r="41962" spans="26:26" x14ac:dyDescent="0.25">
      <c r="Z41962"/>
    </row>
    <row r="41963" spans="26:26" x14ac:dyDescent="0.25">
      <c r="Z41963"/>
    </row>
    <row r="41964" spans="26:26" x14ac:dyDescent="0.25">
      <c r="Z41964"/>
    </row>
    <row r="41965" spans="26:26" x14ac:dyDescent="0.25">
      <c r="Z41965"/>
    </row>
    <row r="41966" spans="26:26" x14ac:dyDescent="0.25">
      <c r="Z41966"/>
    </row>
    <row r="41967" spans="26:26" x14ac:dyDescent="0.25">
      <c r="Z41967"/>
    </row>
    <row r="41968" spans="26:26" x14ac:dyDescent="0.25">
      <c r="Z41968"/>
    </row>
    <row r="41969" spans="26:26" x14ac:dyDescent="0.25">
      <c r="Z41969"/>
    </row>
    <row r="41970" spans="26:26" x14ac:dyDescent="0.25">
      <c r="Z41970"/>
    </row>
    <row r="41971" spans="26:26" x14ac:dyDescent="0.25">
      <c r="Z41971"/>
    </row>
    <row r="41972" spans="26:26" x14ac:dyDescent="0.25">
      <c r="Z41972"/>
    </row>
    <row r="41973" spans="26:26" x14ac:dyDescent="0.25">
      <c r="Z41973"/>
    </row>
    <row r="41974" spans="26:26" x14ac:dyDescent="0.25">
      <c r="Z41974"/>
    </row>
    <row r="41975" spans="26:26" x14ac:dyDescent="0.25">
      <c r="Z41975"/>
    </row>
    <row r="41976" spans="26:26" x14ac:dyDescent="0.25">
      <c r="Z41976"/>
    </row>
    <row r="41977" spans="26:26" x14ac:dyDescent="0.25">
      <c r="Z41977"/>
    </row>
    <row r="41978" spans="26:26" x14ac:dyDescent="0.25">
      <c r="Z41978"/>
    </row>
    <row r="41979" spans="26:26" x14ac:dyDescent="0.25">
      <c r="Z41979"/>
    </row>
    <row r="41980" spans="26:26" x14ac:dyDescent="0.25">
      <c r="Z41980"/>
    </row>
    <row r="41981" spans="26:26" x14ac:dyDescent="0.25">
      <c r="Z41981"/>
    </row>
    <row r="41982" spans="26:26" x14ac:dyDescent="0.25">
      <c r="Z41982"/>
    </row>
    <row r="41983" spans="26:26" x14ac:dyDescent="0.25">
      <c r="Z41983"/>
    </row>
    <row r="41984" spans="26:26" x14ac:dyDescent="0.25">
      <c r="Z41984"/>
    </row>
    <row r="41985" spans="26:26" x14ac:dyDescent="0.25">
      <c r="Z41985"/>
    </row>
    <row r="41986" spans="26:26" x14ac:dyDescent="0.25">
      <c r="Z41986"/>
    </row>
    <row r="41987" spans="26:26" x14ac:dyDescent="0.25">
      <c r="Z41987"/>
    </row>
    <row r="41988" spans="26:26" x14ac:dyDescent="0.25">
      <c r="Z41988"/>
    </row>
    <row r="41989" spans="26:26" x14ac:dyDescent="0.25">
      <c r="Z41989"/>
    </row>
    <row r="41990" spans="26:26" x14ac:dyDescent="0.25">
      <c r="Z41990"/>
    </row>
    <row r="41991" spans="26:26" x14ac:dyDescent="0.25">
      <c r="Z41991"/>
    </row>
    <row r="41992" spans="26:26" x14ac:dyDescent="0.25">
      <c r="Z41992"/>
    </row>
    <row r="41993" spans="26:26" x14ac:dyDescent="0.25">
      <c r="Z41993"/>
    </row>
    <row r="41994" spans="26:26" x14ac:dyDescent="0.25">
      <c r="Z41994"/>
    </row>
    <row r="41995" spans="26:26" x14ac:dyDescent="0.25">
      <c r="Z41995"/>
    </row>
    <row r="41996" spans="26:26" x14ac:dyDescent="0.25">
      <c r="Z41996"/>
    </row>
    <row r="41997" spans="26:26" x14ac:dyDescent="0.25">
      <c r="Z41997"/>
    </row>
    <row r="41998" spans="26:26" x14ac:dyDescent="0.25">
      <c r="Z41998"/>
    </row>
    <row r="41999" spans="26:26" x14ac:dyDescent="0.25">
      <c r="Z41999"/>
    </row>
    <row r="42000" spans="26:26" x14ac:dyDescent="0.25">
      <c r="Z42000"/>
    </row>
    <row r="42001" spans="26:26" x14ac:dyDescent="0.25">
      <c r="Z42001"/>
    </row>
    <row r="42002" spans="26:26" x14ac:dyDescent="0.25">
      <c r="Z42002"/>
    </row>
    <row r="42003" spans="26:26" x14ac:dyDescent="0.25">
      <c r="Z42003"/>
    </row>
    <row r="42004" spans="26:26" x14ac:dyDescent="0.25">
      <c r="Z42004"/>
    </row>
    <row r="42005" spans="26:26" x14ac:dyDescent="0.25">
      <c r="Z42005"/>
    </row>
    <row r="42006" spans="26:26" x14ac:dyDescent="0.25">
      <c r="Z42006"/>
    </row>
    <row r="42007" spans="26:26" x14ac:dyDescent="0.25">
      <c r="Z42007"/>
    </row>
    <row r="42008" spans="26:26" x14ac:dyDescent="0.25">
      <c r="Z42008"/>
    </row>
    <row r="42009" spans="26:26" x14ac:dyDescent="0.25">
      <c r="Z42009"/>
    </row>
    <row r="42010" spans="26:26" x14ac:dyDescent="0.25">
      <c r="Z42010"/>
    </row>
    <row r="42011" spans="26:26" x14ac:dyDescent="0.25">
      <c r="Z42011"/>
    </row>
    <row r="42012" spans="26:26" x14ac:dyDescent="0.25">
      <c r="Z42012"/>
    </row>
    <row r="42013" spans="26:26" x14ac:dyDescent="0.25">
      <c r="Z42013"/>
    </row>
    <row r="42014" spans="26:26" x14ac:dyDescent="0.25">
      <c r="Z42014"/>
    </row>
    <row r="42015" spans="26:26" x14ac:dyDescent="0.25">
      <c r="Z42015"/>
    </row>
    <row r="42016" spans="26:26" x14ac:dyDescent="0.25">
      <c r="Z42016"/>
    </row>
    <row r="42017" spans="26:26" x14ac:dyDescent="0.25">
      <c r="Z42017"/>
    </row>
    <row r="42018" spans="26:26" x14ac:dyDescent="0.25">
      <c r="Z42018"/>
    </row>
    <row r="42019" spans="26:26" x14ac:dyDescent="0.25">
      <c r="Z42019"/>
    </row>
    <row r="42020" spans="26:26" x14ac:dyDescent="0.25">
      <c r="Z42020"/>
    </row>
    <row r="42021" spans="26:26" x14ac:dyDescent="0.25">
      <c r="Z42021"/>
    </row>
    <row r="42022" spans="26:26" x14ac:dyDescent="0.25">
      <c r="Z42022"/>
    </row>
    <row r="42023" spans="26:26" x14ac:dyDescent="0.25">
      <c r="Z42023"/>
    </row>
    <row r="42024" spans="26:26" x14ac:dyDescent="0.25">
      <c r="Z42024"/>
    </row>
    <row r="42025" spans="26:26" x14ac:dyDescent="0.25">
      <c r="Z42025"/>
    </row>
    <row r="42026" spans="26:26" x14ac:dyDescent="0.25">
      <c r="Z42026"/>
    </row>
    <row r="42027" spans="26:26" x14ac:dyDescent="0.25">
      <c r="Z42027"/>
    </row>
    <row r="42028" spans="26:26" x14ac:dyDescent="0.25">
      <c r="Z42028"/>
    </row>
    <row r="42029" spans="26:26" x14ac:dyDescent="0.25">
      <c r="Z42029"/>
    </row>
    <row r="42030" spans="26:26" x14ac:dyDescent="0.25">
      <c r="Z42030"/>
    </row>
    <row r="42031" spans="26:26" x14ac:dyDescent="0.25">
      <c r="Z42031"/>
    </row>
    <row r="42032" spans="26:26" x14ac:dyDescent="0.25">
      <c r="Z42032"/>
    </row>
    <row r="42033" spans="26:26" x14ac:dyDescent="0.25">
      <c r="Z42033"/>
    </row>
    <row r="42034" spans="26:26" x14ac:dyDescent="0.25">
      <c r="Z42034"/>
    </row>
    <row r="42035" spans="26:26" x14ac:dyDescent="0.25">
      <c r="Z42035"/>
    </row>
    <row r="42036" spans="26:26" x14ac:dyDescent="0.25">
      <c r="Z42036"/>
    </row>
    <row r="42037" spans="26:26" x14ac:dyDescent="0.25">
      <c r="Z42037"/>
    </row>
    <row r="42038" spans="26:26" x14ac:dyDescent="0.25">
      <c r="Z42038"/>
    </row>
    <row r="42039" spans="26:26" x14ac:dyDescent="0.25">
      <c r="Z42039"/>
    </row>
    <row r="42040" spans="26:26" x14ac:dyDescent="0.25">
      <c r="Z42040"/>
    </row>
    <row r="42041" spans="26:26" x14ac:dyDescent="0.25">
      <c r="Z42041"/>
    </row>
    <row r="42042" spans="26:26" x14ac:dyDescent="0.25">
      <c r="Z42042"/>
    </row>
    <row r="42043" spans="26:26" x14ac:dyDescent="0.25">
      <c r="Z42043"/>
    </row>
    <row r="42044" spans="26:26" x14ac:dyDescent="0.25">
      <c r="Z42044"/>
    </row>
    <row r="42045" spans="26:26" x14ac:dyDescent="0.25">
      <c r="Z42045"/>
    </row>
    <row r="42046" spans="26:26" x14ac:dyDescent="0.25">
      <c r="Z42046"/>
    </row>
    <row r="42047" spans="26:26" x14ac:dyDescent="0.25">
      <c r="Z42047"/>
    </row>
    <row r="42048" spans="26:26" x14ac:dyDescent="0.25">
      <c r="Z42048"/>
    </row>
    <row r="42049" spans="26:26" x14ac:dyDescent="0.25">
      <c r="Z42049"/>
    </row>
    <row r="42050" spans="26:26" x14ac:dyDescent="0.25">
      <c r="Z42050"/>
    </row>
    <row r="42051" spans="26:26" x14ac:dyDescent="0.25">
      <c r="Z42051"/>
    </row>
    <row r="42052" spans="26:26" x14ac:dyDescent="0.25">
      <c r="Z42052"/>
    </row>
    <row r="42053" spans="26:26" x14ac:dyDescent="0.25">
      <c r="Z42053"/>
    </row>
    <row r="42054" spans="26:26" x14ac:dyDescent="0.25">
      <c r="Z42054"/>
    </row>
    <row r="42055" spans="26:26" x14ac:dyDescent="0.25">
      <c r="Z42055"/>
    </row>
    <row r="42056" spans="26:26" x14ac:dyDescent="0.25">
      <c r="Z42056"/>
    </row>
    <row r="42057" spans="26:26" x14ac:dyDescent="0.25">
      <c r="Z42057"/>
    </row>
    <row r="42058" spans="26:26" x14ac:dyDescent="0.25">
      <c r="Z42058"/>
    </row>
    <row r="42059" spans="26:26" x14ac:dyDescent="0.25">
      <c r="Z42059"/>
    </row>
    <row r="42060" spans="26:26" x14ac:dyDescent="0.25">
      <c r="Z42060"/>
    </row>
    <row r="42061" spans="26:26" x14ac:dyDescent="0.25">
      <c r="Z42061"/>
    </row>
    <row r="42062" spans="26:26" x14ac:dyDescent="0.25">
      <c r="Z42062"/>
    </row>
    <row r="42063" spans="26:26" x14ac:dyDescent="0.25">
      <c r="Z42063"/>
    </row>
    <row r="42064" spans="26:26" x14ac:dyDescent="0.25">
      <c r="Z42064"/>
    </row>
    <row r="42065" spans="26:26" x14ac:dyDescent="0.25">
      <c r="Z42065"/>
    </row>
    <row r="42066" spans="26:26" x14ac:dyDescent="0.25">
      <c r="Z42066"/>
    </row>
    <row r="42067" spans="26:26" x14ac:dyDescent="0.25">
      <c r="Z42067"/>
    </row>
    <row r="42068" spans="26:26" x14ac:dyDescent="0.25">
      <c r="Z42068"/>
    </row>
    <row r="42069" spans="26:26" x14ac:dyDescent="0.25">
      <c r="Z42069"/>
    </row>
    <row r="42070" spans="26:26" x14ac:dyDescent="0.25">
      <c r="Z42070"/>
    </row>
    <row r="42071" spans="26:26" x14ac:dyDescent="0.25">
      <c r="Z42071"/>
    </row>
    <row r="42072" spans="26:26" x14ac:dyDescent="0.25">
      <c r="Z42072"/>
    </row>
    <row r="42073" spans="26:26" x14ac:dyDescent="0.25">
      <c r="Z42073"/>
    </row>
    <row r="42074" spans="26:26" x14ac:dyDescent="0.25">
      <c r="Z42074"/>
    </row>
    <row r="42075" spans="26:26" x14ac:dyDescent="0.25">
      <c r="Z42075"/>
    </row>
    <row r="42076" spans="26:26" x14ac:dyDescent="0.25">
      <c r="Z42076"/>
    </row>
    <row r="42077" spans="26:26" x14ac:dyDescent="0.25">
      <c r="Z42077"/>
    </row>
    <row r="42078" spans="26:26" x14ac:dyDescent="0.25">
      <c r="Z42078"/>
    </row>
    <row r="42079" spans="26:26" x14ac:dyDescent="0.25">
      <c r="Z42079"/>
    </row>
    <row r="42080" spans="26:26" x14ac:dyDescent="0.25">
      <c r="Z42080"/>
    </row>
    <row r="42081" spans="26:26" x14ac:dyDescent="0.25">
      <c r="Z42081"/>
    </row>
    <row r="42082" spans="26:26" x14ac:dyDescent="0.25">
      <c r="Z42082"/>
    </row>
    <row r="42083" spans="26:26" x14ac:dyDescent="0.25">
      <c r="Z42083"/>
    </row>
    <row r="42084" spans="26:26" x14ac:dyDescent="0.25">
      <c r="Z42084"/>
    </row>
    <row r="42085" spans="26:26" x14ac:dyDescent="0.25">
      <c r="Z42085"/>
    </row>
    <row r="42086" spans="26:26" x14ac:dyDescent="0.25">
      <c r="Z42086"/>
    </row>
    <row r="42087" spans="26:26" x14ac:dyDescent="0.25">
      <c r="Z42087"/>
    </row>
    <row r="42088" spans="26:26" x14ac:dyDescent="0.25">
      <c r="Z42088"/>
    </row>
    <row r="42089" spans="26:26" x14ac:dyDescent="0.25">
      <c r="Z42089"/>
    </row>
    <row r="42090" spans="26:26" x14ac:dyDescent="0.25">
      <c r="Z42090"/>
    </row>
    <row r="42091" spans="26:26" x14ac:dyDescent="0.25">
      <c r="Z42091"/>
    </row>
    <row r="42092" spans="26:26" x14ac:dyDescent="0.25">
      <c r="Z42092"/>
    </row>
    <row r="42093" spans="26:26" x14ac:dyDescent="0.25">
      <c r="Z42093"/>
    </row>
    <row r="42094" spans="26:26" x14ac:dyDescent="0.25">
      <c r="Z42094"/>
    </row>
    <row r="42095" spans="26:26" x14ac:dyDescent="0.25">
      <c r="Z42095"/>
    </row>
    <row r="42096" spans="26:26" x14ac:dyDescent="0.25">
      <c r="Z42096"/>
    </row>
    <row r="42097" spans="26:26" x14ac:dyDescent="0.25">
      <c r="Z42097"/>
    </row>
    <row r="42098" spans="26:26" x14ac:dyDescent="0.25">
      <c r="Z42098"/>
    </row>
    <row r="42099" spans="26:26" x14ac:dyDescent="0.25">
      <c r="Z42099"/>
    </row>
    <row r="42100" spans="26:26" x14ac:dyDescent="0.25">
      <c r="Z42100"/>
    </row>
    <row r="42101" spans="26:26" x14ac:dyDescent="0.25">
      <c r="Z42101"/>
    </row>
    <row r="42102" spans="26:26" x14ac:dyDescent="0.25">
      <c r="Z42102"/>
    </row>
    <row r="42103" spans="26:26" x14ac:dyDescent="0.25">
      <c r="Z42103"/>
    </row>
    <row r="42104" spans="26:26" x14ac:dyDescent="0.25">
      <c r="Z42104"/>
    </row>
    <row r="42105" spans="26:26" x14ac:dyDescent="0.25">
      <c r="Z42105"/>
    </row>
    <row r="42106" spans="26:26" x14ac:dyDescent="0.25">
      <c r="Z42106"/>
    </row>
    <row r="42107" spans="26:26" x14ac:dyDescent="0.25">
      <c r="Z42107"/>
    </row>
    <row r="42108" spans="26:26" x14ac:dyDescent="0.25">
      <c r="Z42108"/>
    </row>
    <row r="42109" spans="26:26" x14ac:dyDescent="0.25">
      <c r="Z42109"/>
    </row>
    <row r="42110" spans="26:26" x14ac:dyDescent="0.25">
      <c r="Z42110"/>
    </row>
    <row r="42111" spans="26:26" x14ac:dyDescent="0.25">
      <c r="Z42111"/>
    </row>
    <row r="42112" spans="26:26" x14ac:dyDescent="0.25">
      <c r="Z42112"/>
    </row>
    <row r="42113" spans="26:26" x14ac:dyDescent="0.25">
      <c r="Z42113"/>
    </row>
    <row r="42114" spans="26:26" x14ac:dyDescent="0.25">
      <c r="Z42114"/>
    </row>
    <row r="42115" spans="26:26" x14ac:dyDescent="0.25">
      <c r="Z42115"/>
    </row>
    <row r="42116" spans="26:26" x14ac:dyDescent="0.25">
      <c r="Z42116"/>
    </row>
    <row r="42117" spans="26:26" x14ac:dyDescent="0.25">
      <c r="Z42117"/>
    </row>
    <row r="42118" spans="26:26" x14ac:dyDescent="0.25">
      <c r="Z42118"/>
    </row>
    <row r="42119" spans="26:26" x14ac:dyDescent="0.25">
      <c r="Z42119"/>
    </row>
    <row r="42120" spans="26:26" x14ac:dyDescent="0.25">
      <c r="Z42120"/>
    </row>
    <row r="42121" spans="26:26" x14ac:dyDescent="0.25">
      <c r="Z42121"/>
    </row>
    <row r="42122" spans="26:26" x14ac:dyDescent="0.25">
      <c r="Z42122"/>
    </row>
    <row r="42123" spans="26:26" x14ac:dyDescent="0.25">
      <c r="Z42123"/>
    </row>
    <row r="42124" spans="26:26" x14ac:dyDescent="0.25">
      <c r="Z42124"/>
    </row>
    <row r="42125" spans="26:26" x14ac:dyDescent="0.25">
      <c r="Z42125"/>
    </row>
    <row r="42126" spans="26:26" x14ac:dyDescent="0.25">
      <c r="Z42126"/>
    </row>
    <row r="42127" spans="26:26" x14ac:dyDescent="0.25">
      <c r="Z42127"/>
    </row>
    <row r="42128" spans="26:26" x14ac:dyDescent="0.25">
      <c r="Z42128"/>
    </row>
    <row r="42129" spans="26:26" x14ac:dyDescent="0.25">
      <c r="Z42129"/>
    </row>
    <row r="42130" spans="26:26" x14ac:dyDescent="0.25">
      <c r="Z42130"/>
    </row>
    <row r="42131" spans="26:26" x14ac:dyDescent="0.25">
      <c r="Z42131"/>
    </row>
    <row r="42132" spans="26:26" x14ac:dyDescent="0.25">
      <c r="Z42132"/>
    </row>
    <row r="42133" spans="26:26" x14ac:dyDescent="0.25">
      <c r="Z42133"/>
    </row>
    <row r="42134" spans="26:26" x14ac:dyDescent="0.25">
      <c r="Z42134"/>
    </row>
    <row r="42135" spans="26:26" x14ac:dyDescent="0.25">
      <c r="Z42135"/>
    </row>
    <row r="42136" spans="26:26" x14ac:dyDescent="0.25">
      <c r="Z42136"/>
    </row>
    <row r="42137" spans="26:26" x14ac:dyDescent="0.25">
      <c r="Z42137"/>
    </row>
    <row r="42138" spans="26:26" x14ac:dyDescent="0.25">
      <c r="Z42138"/>
    </row>
    <row r="42139" spans="26:26" x14ac:dyDescent="0.25">
      <c r="Z42139"/>
    </row>
    <row r="42140" spans="26:26" x14ac:dyDescent="0.25">
      <c r="Z42140"/>
    </row>
    <row r="42141" spans="26:26" x14ac:dyDescent="0.25">
      <c r="Z42141"/>
    </row>
    <row r="42142" spans="26:26" x14ac:dyDescent="0.25">
      <c r="Z42142"/>
    </row>
    <row r="42143" spans="26:26" x14ac:dyDescent="0.25">
      <c r="Z42143"/>
    </row>
    <row r="42144" spans="26:26" x14ac:dyDescent="0.25">
      <c r="Z42144"/>
    </row>
    <row r="42145" spans="26:26" x14ac:dyDescent="0.25">
      <c r="Z42145"/>
    </row>
    <row r="42146" spans="26:26" x14ac:dyDescent="0.25">
      <c r="Z42146"/>
    </row>
    <row r="42147" spans="26:26" x14ac:dyDescent="0.25">
      <c r="Z42147"/>
    </row>
    <row r="42148" spans="26:26" x14ac:dyDescent="0.25">
      <c r="Z42148"/>
    </row>
    <row r="42149" spans="26:26" x14ac:dyDescent="0.25">
      <c r="Z42149"/>
    </row>
    <row r="42150" spans="26:26" x14ac:dyDescent="0.25">
      <c r="Z42150"/>
    </row>
    <row r="42151" spans="26:26" x14ac:dyDescent="0.25">
      <c r="Z42151"/>
    </row>
    <row r="42152" spans="26:26" x14ac:dyDescent="0.25">
      <c r="Z42152"/>
    </row>
    <row r="42153" spans="26:26" x14ac:dyDescent="0.25">
      <c r="Z42153"/>
    </row>
    <row r="42154" spans="26:26" x14ac:dyDescent="0.25">
      <c r="Z42154"/>
    </row>
    <row r="42155" spans="26:26" x14ac:dyDescent="0.25">
      <c r="Z42155"/>
    </row>
    <row r="42156" spans="26:26" x14ac:dyDescent="0.25">
      <c r="Z42156"/>
    </row>
    <row r="42157" spans="26:26" x14ac:dyDescent="0.25">
      <c r="Z42157"/>
    </row>
    <row r="42158" spans="26:26" x14ac:dyDescent="0.25">
      <c r="Z42158"/>
    </row>
    <row r="42159" spans="26:26" x14ac:dyDescent="0.25">
      <c r="Z42159"/>
    </row>
    <row r="42160" spans="26:26" x14ac:dyDescent="0.25">
      <c r="Z42160"/>
    </row>
    <row r="42161" spans="26:26" x14ac:dyDescent="0.25">
      <c r="Z42161"/>
    </row>
    <row r="42162" spans="26:26" x14ac:dyDescent="0.25">
      <c r="Z42162"/>
    </row>
    <row r="42163" spans="26:26" x14ac:dyDescent="0.25">
      <c r="Z42163"/>
    </row>
    <row r="42164" spans="26:26" x14ac:dyDescent="0.25">
      <c r="Z42164"/>
    </row>
    <row r="42165" spans="26:26" x14ac:dyDescent="0.25">
      <c r="Z42165"/>
    </row>
    <row r="42166" spans="26:26" x14ac:dyDescent="0.25">
      <c r="Z42166"/>
    </row>
    <row r="42167" spans="26:26" x14ac:dyDescent="0.25">
      <c r="Z42167"/>
    </row>
    <row r="42168" spans="26:26" x14ac:dyDescent="0.25">
      <c r="Z42168"/>
    </row>
    <row r="42169" spans="26:26" x14ac:dyDescent="0.25">
      <c r="Z42169"/>
    </row>
    <row r="42170" spans="26:26" x14ac:dyDescent="0.25">
      <c r="Z42170"/>
    </row>
    <row r="42171" spans="26:26" x14ac:dyDescent="0.25">
      <c r="Z42171"/>
    </row>
    <row r="42172" spans="26:26" x14ac:dyDescent="0.25">
      <c r="Z42172"/>
    </row>
    <row r="42173" spans="26:26" x14ac:dyDescent="0.25">
      <c r="Z42173"/>
    </row>
    <row r="42174" spans="26:26" x14ac:dyDescent="0.25">
      <c r="Z42174"/>
    </row>
    <row r="42175" spans="26:26" x14ac:dyDescent="0.25">
      <c r="Z42175"/>
    </row>
    <row r="42176" spans="26:26" x14ac:dyDescent="0.25">
      <c r="Z42176"/>
    </row>
    <row r="42177" spans="26:26" x14ac:dyDescent="0.25">
      <c r="Z42177"/>
    </row>
    <row r="42178" spans="26:26" x14ac:dyDescent="0.25">
      <c r="Z42178"/>
    </row>
    <row r="42179" spans="26:26" x14ac:dyDescent="0.25">
      <c r="Z42179"/>
    </row>
    <row r="42180" spans="26:26" x14ac:dyDescent="0.25">
      <c r="Z42180"/>
    </row>
    <row r="42181" spans="26:26" x14ac:dyDescent="0.25">
      <c r="Z42181"/>
    </row>
    <row r="42182" spans="26:26" x14ac:dyDescent="0.25">
      <c r="Z42182"/>
    </row>
    <row r="42183" spans="26:26" x14ac:dyDescent="0.25">
      <c r="Z42183"/>
    </row>
    <row r="42184" spans="26:26" x14ac:dyDescent="0.25">
      <c r="Z42184"/>
    </row>
    <row r="42185" spans="26:26" x14ac:dyDescent="0.25">
      <c r="Z42185"/>
    </row>
    <row r="42186" spans="26:26" x14ac:dyDescent="0.25">
      <c r="Z42186"/>
    </row>
    <row r="42187" spans="26:26" x14ac:dyDescent="0.25">
      <c r="Z42187"/>
    </row>
    <row r="42188" spans="26:26" x14ac:dyDescent="0.25">
      <c r="Z42188"/>
    </row>
    <row r="42189" spans="26:26" x14ac:dyDescent="0.25">
      <c r="Z42189"/>
    </row>
    <row r="42190" spans="26:26" x14ac:dyDescent="0.25">
      <c r="Z42190"/>
    </row>
    <row r="42191" spans="26:26" x14ac:dyDescent="0.25">
      <c r="Z42191"/>
    </row>
    <row r="42192" spans="26:26" x14ac:dyDescent="0.25">
      <c r="Z42192"/>
    </row>
    <row r="42193" spans="26:26" x14ac:dyDescent="0.25">
      <c r="Z42193"/>
    </row>
    <row r="42194" spans="26:26" x14ac:dyDescent="0.25">
      <c r="Z42194"/>
    </row>
    <row r="42195" spans="26:26" x14ac:dyDescent="0.25">
      <c r="Z42195"/>
    </row>
    <row r="42196" spans="26:26" x14ac:dyDescent="0.25">
      <c r="Z42196"/>
    </row>
    <row r="42197" spans="26:26" x14ac:dyDescent="0.25">
      <c r="Z42197"/>
    </row>
    <row r="42198" spans="26:26" x14ac:dyDescent="0.25">
      <c r="Z42198"/>
    </row>
    <row r="42199" spans="26:26" x14ac:dyDescent="0.25">
      <c r="Z42199"/>
    </row>
    <row r="42200" spans="26:26" x14ac:dyDescent="0.25">
      <c r="Z42200"/>
    </row>
    <row r="42201" spans="26:26" x14ac:dyDescent="0.25">
      <c r="Z42201"/>
    </row>
    <row r="42202" spans="26:26" x14ac:dyDescent="0.25">
      <c r="Z42202"/>
    </row>
    <row r="42203" spans="26:26" x14ac:dyDescent="0.25">
      <c r="Z42203"/>
    </row>
    <row r="42204" spans="26:26" x14ac:dyDescent="0.25">
      <c r="Z42204"/>
    </row>
    <row r="42205" spans="26:26" x14ac:dyDescent="0.25">
      <c r="Z42205"/>
    </row>
    <row r="42206" spans="26:26" x14ac:dyDescent="0.25">
      <c r="Z42206"/>
    </row>
    <row r="42207" spans="26:26" x14ac:dyDescent="0.25">
      <c r="Z42207"/>
    </row>
    <row r="42208" spans="26:26" x14ac:dyDescent="0.25">
      <c r="Z42208"/>
    </row>
    <row r="42209" spans="26:26" x14ac:dyDescent="0.25">
      <c r="Z42209"/>
    </row>
    <row r="42210" spans="26:26" x14ac:dyDescent="0.25">
      <c r="Z42210"/>
    </row>
    <row r="42211" spans="26:26" x14ac:dyDescent="0.25">
      <c r="Z42211"/>
    </row>
    <row r="42212" spans="26:26" x14ac:dyDescent="0.25">
      <c r="Z42212"/>
    </row>
    <row r="42213" spans="26:26" x14ac:dyDescent="0.25">
      <c r="Z42213"/>
    </row>
    <row r="42214" spans="26:26" x14ac:dyDescent="0.25">
      <c r="Z42214"/>
    </row>
    <row r="42215" spans="26:26" x14ac:dyDescent="0.25">
      <c r="Z42215"/>
    </row>
    <row r="42216" spans="26:26" x14ac:dyDescent="0.25">
      <c r="Z42216"/>
    </row>
    <row r="42217" spans="26:26" x14ac:dyDescent="0.25">
      <c r="Z42217"/>
    </row>
    <row r="42218" spans="26:26" x14ac:dyDescent="0.25">
      <c r="Z42218"/>
    </row>
    <row r="42219" spans="26:26" x14ac:dyDescent="0.25">
      <c r="Z42219"/>
    </row>
    <row r="42220" spans="26:26" x14ac:dyDescent="0.25">
      <c r="Z42220"/>
    </row>
    <row r="42221" spans="26:26" x14ac:dyDescent="0.25">
      <c r="Z42221"/>
    </row>
    <row r="42222" spans="26:26" x14ac:dyDescent="0.25">
      <c r="Z42222"/>
    </row>
    <row r="42223" spans="26:26" x14ac:dyDescent="0.25">
      <c r="Z42223"/>
    </row>
    <row r="42224" spans="26:26" x14ac:dyDescent="0.25">
      <c r="Z42224"/>
    </row>
    <row r="42225" spans="26:26" x14ac:dyDescent="0.25">
      <c r="Z42225"/>
    </row>
    <row r="42226" spans="26:26" x14ac:dyDescent="0.25">
      <c r="Z42226"/>
    </row>
    <row r="42227" spans="26:26" x14ac:dyDescent="0.25">
      <c r="Z42227"/>
    </row>
    <row r="42228" spans="26:26" x14ac:dyDescent="0.25">
      <c r="Z42228"/>
    </row>
    <row r="42229" spans="26:26" x14ac:dyDescent="0.25">
      <c r="Z42229"/>
    </row>
    <row r="42230" spans="26:26" x14ac:dyDescent="0.25">
      <c r="Z42230"/>
    </row>
    <row r="42231" spans="26:26" x14ac:dyDescent="0.25">
      <c r="Z42231"/>
    </row>
    <row r="42232" spans="26:26" x14ac:dyDescent="0.25">
      <c r="Z42232"/>
    </row>
    <row r="42233" spans="26:26" x14ac:dyDescent="0.25">
      <c r="Z42233"/>
    </row>
    <row r="42234" spans="26:26" x14ac:dyDescent="0.25">
      <c r="Z42234"/>
    </row>
    <row r="42235" spans="26:26" x14ac:dyDescent="0.25">
      <c r="Z42235"/>
    </row>
    <row r="42236" spans="26:26" x14ac:dyDescent="0.25">
      <c r="Z42236"/>
    </row>
    <row r="42237" spans="26:26" x14ac:dyDescent="0.25">
      <c r="Z42237"/>
    </row>
    <row r="42238" spans="26:26" x14ac:dyDescent="0.25">
      <c r="Z42238"/>
    </row>
    <row r="42239" spans="26:26" x14ac:dyDescent="0.25">
      <c r="Z42239"/>
    </row>
    <row r="42240" spans="26:26" x14ac:dyDescent="0.25">
      <c r="Z42240"/>
    </row>
    <row r="42241" spans="26:26" x14ac:dyDescent="0.25">
      <c r="Z42241"/>
    </row>
    <row r="42242" spans="26:26" x14ac:dyDescent="0.25">
      <c r="Z42242"/>
    </row>
    <row r="42243" spans="26:26" x14ac:dyDescent="0.25">
      <c r="Z42243"/>
    </row>
    <row r="42244" spans="26:26" x14ac:dyDescent="0.25">
      <c r="Z42244"/>
    </row>
    <row r="42245" spans="26:26" x14ac:dyDescent="0.25">
      <c r="Z42245"/>
    </row>
    <row r="42246" spans="26:26" x14ac:dyDescent="0.25">
      <c r="Z42246"/>
    </row>
    <row r="42247" spans="26:26" x14ac:dyDescent="0.25">
      <c r="Z42247"/>
    </row>
    <row r="42248" spans="26:26" x14ac:dyDescent="0.25">
      <c r="Z42248"/>
    </row>
    <row r="42249" spans="26:26" x14ac:dyDescent="0.25">
      <c r="Z42249"/>
    </row>
    <row r="42250" spans="26:26" x14ac:dyDescent="0.25">
      <c r="Z42250"/>
    </row>
    <row r="42251" spans="26:26" x14ac:dyDescent="0.25">
      <c r="Z42251"/>
    </row>
    <row r="42252" spans="26:26" x14ac:dyDescent="0.25">
      <c r="Z42252"/>
    </row>
    <row r="42253" spans="26:26" x14ac:dyDescent="0.25">
      <c r="Z42253"/>
    </row>
    <row r="42254" spans="26:26" x14ac:dyDescent="0.25">
      <c r="Z42254"/>
    </row>
    <row r="42255" spans="26:26" x14ac:dyDescent="0.25">
      <c r="Z42255"/>
    </row>
    <row r="42256" spans="26:26" x14ac:dyDescent="0.25">
      <c r="Z42256"/>
    </row>
    <row r="42257" spans="26:26" x14ac:dyDescent="0.25">
      <c r="Z42257"/>
    </row>
    <row r="42258" spans="26:26" x14ac:dyDescent="0.25">
      <c r="Z42258"/>
    </row>
    <row r="42259" spans="26:26" x14ac:dyDescent="0.25">
      <c r="Z42259"/>
    </row>
    <row r="42260" spans="26:26" x14ac:dyDescent="0.25">
      <c r="Z42260"/>
    </row>
    <row r="42261" spans="26:26" x14ac:dyDescent="0.25">
      <c r="Z42261"/>
    </row>
    <row r="42262" spans="26:26" x14ac:dyDescent="0.25">
      <c r="Z42262"/>
    </row>
    <row r="42263" spans="26:26" x14ac:dyDescent="0.25">
      <c r="Z42263"/>
    </row>
    <row r="42264" spans="26:26" x14ac:dyDescent="0.25">
      <c r="Z42264"/>
    </row>
    <row r="42265" spans="26:26" x14ac:dyDescent="0.25">
      <c r="Z42265"/>
    </row>
    <row r="42266" spans="26:26" x14ac:dyDescent="0.25">
      <c r="Z42266"/>
    </row>
    <row r="42267" spans="26:26" x14ac:dyDescent="0.25">
      <c r="Z42267"/>
    </row>
    <row r="42268" spans="26:26" x14ac:dyDescent="0.25">
      <c r="Z42268"/>
    </row>
    <row r="42269" spans="26:26" x14ac:dyDescent="0.25">
      <c r="Z42269"/>
    </row>
    <row r="42270" spans="26:26" x14ac:dyDescent="0.25">
      <c r="Z42270"/>
    </row>
    <row r="42271" spans="26:26" x14ac:dyDescent="0.25">
      <c r="Z42271"/>
    </row>
    <row r="42272" spans="26:26" x14ac:dyDescent="0.25">
      <c r="Z42272"/>
    </row>
    <row r="42273" spans="26:26" x14ac:dyDescent="0.25">
      <c r="Z42273"/>
    </row>
    <row r="42274" spans="26:26" x14ac:dyDescent="0.25">
      <c r="Z42274"/>
    </row>
    <row r="42275" spans="26:26" x14ac:dyDescent="0.25">
      <c r="Z42275"/>
    </row>
    <row r="42276" spans="26:26" x14ac:dyDescent="0.25">
      <c r="Z42276"/>
    </row>
    <row r="42277" spans="26:26" x14ac:dyDescent="0.25">
      <c r="Z42277"/>
    </row>
    <row r="42278" spans="26:26" x14ac:dyDescent="0.25">
      <c r="Z42278"/>
    </row>
    <row r="42279" spans="26:26" x14ac:dyDescent="0.25">
      <c r="Z42279"/>
    </row>
    <row r="42280" spans="26:26" x14ac:dyDescent="0.25">
      <c r="Z42280"/>
    </row>
    <row r="42281" spans="26:26" x14ac:dyDescent="0.25">
      <c r="Z42281"/>
    </row>
    <row r="42282" spans="26:26" x14ac:dyDescent="0.25">
      <c r="Z42282"/>
    </row>
    <row r="42283" spans="26:26" x14ac:dyDescent="0.25">
      <c r="Z42283"/>
    </row>
    <row r="42284" spans="26:26" x14ac:dyDescent="0.25">
      <c r="Z42284"/>
    </row>
    <row r="42285" spans="26:26" x14ac:dyDescent="0.25">
      <c r="Z42285"/>
    </row>
    <row r="42286" spans="26:26" x14ac:dyDescent="0.25">
      <c r="Z42286"/>
    </row>
    <row r="42287" spans="26:26" x14ac:dyDescent="0.25">
      <c r="Z42287"/>
    </row>
    <row r="42288" spans="26:26" x14ac:dyDescent="0.25">
      <c r="Z42288"/>
    </row>
    <row r="42289" spans="26:26" x14ac:dyDescent="0.25">
      <c r="Z42289"/>
    </row>
    <row r="42290" spans="26:26" x14ac:dyDescent="0.25">
      <c r="Z42290"/>
    </row>
    <row r="42291" spans="26:26" x14ac:dyDescent="0.25">
      <c r="Z42291"/>
    </row>
    <row r="42292" spans="26:26" x14ac:dyDescent="0.25">
      <c r="Z42292"/>
    </row>
    <row r="42293" spans="26:26" x14ac:dyDescent="0.25">
      <c r="Z42293"/>
    </row>
    <row r="42294" spans="26:26" x14ac:dyDescent="0.25">
      <c r="Z42294"/>
    </row>
    <row r="42295" spans="26:26" x14ac:dyDescent="0.25">
      <c r="Z42295"/>
    </row>
    <row r="42296" spans="26:26" x14ac:dyDescent="0.25">
      <c r="Z42296"/>
    </row>
    <row r="42297" spans="26:26" x14ac:dyDescent="0.25">
      <c r="Z42297"/>
    </row>
    <row r="42298" spans="26:26" x14ac:dyDescent="0.25">
      <c r="Z42298"/>
    </row>
    <row r="42299" spans="26:26" x14ac:dyDescent="0.25">
      <c r="Z42299"/>
    </row>
    <row r="42300" spans="26:26" x14ac:dyDescent="0.25">
      <c r="Z42300"/>
    </row>
    <row r="42301" spans="26:26" x14ac:dyDescent="0.25">
      <c r="Z42301"/>
    </row>
    <row r="42302" spans="26:26" x14ac:dyDescent="0.25">
      <c r="Z42302"/>
    </row>
    <row r="42303" spans="26:26" x14ac:dyDescent="0.25">
      <c r="Z42303"/>
    </row>
    <row r="42304" spans="26:26" x14ac:dyDescent="0.25">
      <c r="Z42304"/>
    </row>
    <row r="42305" spans="26:26" x14ac:dyDescent="0.25">
      <c r="Z42305"/>
    </row>
    <row r="42306" spans="26:26" x14ac:dyDescent="0.25">
      <c r="Z42306"/>
    </row>
    <row r="42307" spans="26:26" x14ac:dyDescent="0.25">
      <c r="Z42307"/>
    </row>
    <row r="42308" spans="26:26" x14ac:dyDescent="0.25">
      <c r="Z42308"/>
    </row>
    <row r="42309" spans="26:26" x14ac:dyDescent="0.25">
      <c r="Z42309"/>
    </row>
    <row r="42310" spans="26:26" x14ac:dyDescent="0.25">
      <c r="Z42310"/>
    </row>
    <row r="42311" spans="26:26" x14ac:dyDescent="0.25">
      <c r="Z42311"/>
    </row>
    <row r="42312" spans="26:26" x14ac:dyDescent="0.25">
      <c r="Z42312"/>
    </row>
    <row r="42313" spans="26:26" x14ac:dyDescent="0.25">
      <c r="Z42313"/>
    </row>
    <row r="42314" spans="26:26" x14ac:dyDescent="0.25">
      <c r="Z42314"/>
    </row>
    <row r="42315" spans="26:26" x14ac:dyDescent="0.25">
      <c r="Z42315"/>
    </row>
    <row r="42316" spans="26:26" x14ac:dyDescent="0.25">
      <c r="Z42316"/>
    </row>
    <row r="42317" spans="26:26" x14ac:dyDescent="0.25">
      <c r="Z42317"/>
    </row>
    <row r="42318" spans="26:26" x14ac:dyDescent="0.25">
      <c r="Z42318"/>
    </row>
    <row r="42319" spans="26:26" x14ac:dyDescent="0.25">
      <c r="Z42319"/>
    </row>
    <row r="42320" spans="26:26" x14ac:dyDescent="0.25">
      <c r="Z42320"/>
    </row>
    <row r="42321" spans="26:26" x14ac:dyDescent="0.25">
      <c r="Z42321"/>
    </row>
    <row r="42322" spans="26:26" x14ac:dyDescent="0.25">
      <c r="Z42322"/>
    </row>
    <row r="42323" spans="26:26" x14ac:dyDescent="0.25">
      <c r="Z42323"/>
    </row>
    <row r="42324" spans="26:26" x14ac:dyDescent="0.25">
      <c r="Z42324"/>
    </row>
    <row r="42325" spans="26:26" x14ac:dyDescent="0.25">
      <c r="Z42325"/>
    </row>
    <row r="42326" spans="26:26" x14ac:dyDescent="0.25">
      <c r="Z42326"/>
    </row>
    <row r="42327" spans="26:26" x14ac:dyDescent="0.25">
      <c r="Z42327"/>
    </row>
    <row r="42328" spans="26:26" x14ac:dyDescent="0.25">
      <c r="Z42328"/>
    </row>
    <row r="42329" spans="26:26" x14ac:dyDescent="0.25">
      <c r="Z42329"/>
    </row>
    <row r="42330" spans="26:26" x14ac:dyDescent="0.25">
      <c r="Z42330"/>
    </row>
    <row r="42331" spans="26:26" x14ac:dyDescent="0.25">
      <c r="Z42331"/>
    </row>
    <row r="42332" spans="26:26" x14ac:dyDescent="0.25">
      <c r="Z42332"/>
    </row>
    <row r="42333" spans="26:26" x14ac:dyDescent="0.25">
      <c r="Z42333"/>
    </row>
    <row r="42334" spans="26:26" x14ac:dyDescent="0.25">
      <c r="Z42334"/>
    </row>
    <row r="42335" spans="26:26" x14ac:dyDescent="0.25">
      <c r="Z42335"/>
    </row>
    <row r="42336" spans="26:26" x14ac:dyDescent="0.25">
      <c r="Z42336"/>
    </row>
    <row r="42337" spans="26:26" x14ac:dyDescent="0.25">
      <c r="Z42337"/>
    </row>
    <row r="42338" spans="26:26" x14ac:dyDescent="0.25">
      <c r="Z42338"/>
    </row>
    <row r="42339" spans="26:26" x14ac:dyDescent="0.25">
      <c r="Z42339"/>
    </row>
    <row r="42340" spans="26:26" x14ac:dyDescent="0.25">
      <c r="Z42340"/>
    </row>
    <row r="42341" spans="26:26" x14ac:dyDescent="0.25">
      <c r="Z42341"/>
    </row>
    <row r="42342" spans="26:26" x14ac:dyDescent="0.25">
      <c r="Z42342"/>
    </row>
    <row r="42343" spans="26:26" x14ac:dyDescent="0.25">
      <c r="Z42343"/>
    </row>
    <row r="42344" spans="26:26" x14ac:dyDescent="0.25">
      <c r="Z42344"/>
    </row>
    <row r="42345" spans="26:26" x14ac:dyDescent="0.25">
      <c r="Z42345"/>
    </row>
    <row r="42346" spans="26:26" x14ac:dyDescent="0.25">
      <c r="Z42346"/>
    </row>
    <row r="42347" spans="26:26" x14ac:dyDescent="0.25">
      <c r="Z42347"/>
    </row>
    <row r="42348" spans="26:26" x14ac:dyDescent="0.25">
      <c r="Z42348"/>
    </row>
    <row r="42349" spans="26:26" x14ac:dyDescent="0.25">
      <c r="Z42349"/>
    </row>
    <row r="42350" spans="26:26" x14ac:dyDescent="0.25">
      <c r="Z42350"/>
    </row>
    <row r="42351" spans="26:26" x14ac:dyDescent="0.25">
      <c r="Z42351"/>
    </row>
    <row r="42352" spans="26:26" x14ac:dyDescent="0.25">
      <c r="Z42352"/>
    </row>
    <row r="42353" spans="26:26" x14ac:dyDescent="0.25">
      <c r="Z42353"/>
    </row>
    <row r="42354" spans="26:26" x14ac:dyDescent="0.25">
      <c r="Z42354"/>
    </row>
    <row r="42355" spans="26:26" x14ac:dyDescent="0.25">
      <c r="Z42355"/>
    </row>
    <row r="42356" spans="26:26" x14ac:dyDescent="0.25">
      <c r="Z42356"/>
    </row>
    <row r="42357" spans="26:26" x14ac:dyDescent="0.25">
      <c r="Z42357"/>
    </row>
    <row r="42358" spans="26:26" x14ac:dyDescent="0.25">
      <c r="Z42358"/>
    </row>
    <row r="42359" spans="26:26" x14ac:dyDescent="0.25">
      <c r="Z42359"/>
    </row>
    <row r="42360" spans="26:26" x14ac:dyDescent="0.25">
      <c r="Z42360"/>
    </row>
    <row r="42361" spans="26:26" x14ac:dyDescent="0.25">
      <c r="Z42361"/>
    </row>
    <row r="42362" spans="26:26" x14ac:dyDescent="0.25">
      <c r="Z42362"/>
    </row>
    <row r="42363" spans="26:26" x14ac:dyDescent="0.25">
      <c r="Z42363"/>
    </row>
    <row r="42364" spans="26:26" x14ac:dyDescent="0.25">
      <c r="Z42364"/>
    </row>
    <row r="42365" spans="26:26" x14ac:dyDescent="0.25">
      <c r="Z42365"/>
    </row>
    <row r="42366" spans="26:26" x14ac:dyDescent="0.25">
      <c r="Z42366"/>
    </row>
    <row r="42367" spans="26:26" x14ac:dyDescent="0.25">
      <c r="Z42367"/>
    </row>
    <row r="42368" spans="26:26" x14ac:dyDescent="0.25">
      <c r="Z42368"/>
    </row>
    <row r="42369" spans="26:26" x14ac:dyDescent="0.25">
      <c r="Z42369"/>
    </row>
    <row r="42370" spans="26:26" x14ac:dyDescent="0.25">
      <c r="Z42370"/>
    </row>
    <row r="42371" spans="26:26" x14ac:dyDescent="0.25">
      <c r="Z42371"/>
    </row>
    <row r="42372" spans="26:26" x14ac:dyDescent="0.25">
      <c r="Z42372"/>
    </row>
    <row r="42373" spans="26:26" x14ac:dyDescent="0.25">
      <c r="Z42373"/>
    </row>
    <row r="42374" spans="26:26" x14ac:dyDescent="0.25">
      <c r="Z42374"/>
    </row>
    <row r="42375" spans="26:26" x14ac:dyDescent="0.25">
      <c r="Z42375"/>
    </row>
    <row r="42376" spans="26:26" x14ac:dyDescent="0.25">
      <c r="Z42376"/>
    </row>
    <row r="42377" spans="26:26" x14ac:dyDescent="0.25">
      <c r="Z42377"/>
    </row>
    <row r="42378" spans="26:26" x14ac:dyDescent="0.25">
      <c r="Z42378"/>
    </row>
    <row r="42379" spans="26:26" x14ac:dyDescent="0.25">
      <c r="Z42379"/>
    </row>
    <row r="42380" spans="26:26" x14ac:dyDescent="0.25">
      <c r="Z42380"/>
    </row>
    <row r="42381" spans="26:26" x14ac:dyDescent="0.25">
      <c r="Z42381"/>
    </row>
    <row r="42382" spans="26:26" x14ac:dyDescent="0.25">
      <c r="Z42382"/>
    </row>
    <row r="42383" spans="26:26" x14ac:dyDescent="0.25">
      <c r="Z42383"/>
    </row>
    <row r="42384" spans="26:26" x14ac:dyDescent="0.25">
      <c r="Z42384"/>
    </row>
    <row r="42385" spans="26:26" x14ac:dyDescent="0.25">
      <c r="Z42385"/>
    </row>
    <row r="42386" spans="26:26" x14ac:dyDescent="0.25">
      <c r="Z42386"/>
    </row>
    <row r="42387" spans="26:26" x14ac:dyDescent="0.25">
      <c r="Z42387"/>
    </row>
    <row r="42388" spans="26:26" x14ac:dyDescent="0.25">
      <c r="Z42388"/>
    </row>
    <row r="42389" spans="26:26" x14ac:dyDescent="0.25">
      <c r="Z42389"/>
    </row>
    <row r="42390" spans="26:26" x14ac:dyDescent="0.25">
      <c r="Z42390"/>
    </row>
    <row r="42391" spans="26:26" x14ac:dyDescent="0.25">
      <c r="Z42391"/>
    </row>
    <row r="42392" spans="26:26" x14ac:dyDescent="0.25">
      <c r="Z42392"/>
    </row>
    <row r="42393" spans="26:26" x14ac:dyDescent="0.25">
      <c r="Z42393"/>
    </row>
    <row r="42394" spans="26:26" x14ac:dyDescent="0.25">
      <c r="Z42394"/>
    </row>
    <row r="42395" spans="26:26" x14ac:dyDescent="0.25">
      <c r="Z42395"/>
    </row>
    <row r="42396" spans="26:26" x14ac:dyDescent="0.25">
      <c r="Z42396"/>
    </row>
    <row r="42397" spans="26:26" x14ac:dyDescent="0.25">
      <c r="Z42397"/>
    </row>
    <row r="42398" spans="26:26" x14ac:dyDescent="0.25">
      <c r="Z42398"/>
    </row>
    <row r="42399" spans="26:26" x14ac:dyDescent="0.25">
      <c r="Z42399"/>
    </row>
    <row r="42400" spans="26:26" x14ac:dyDescent="0.25">
      <c r="Z42400"/>
    </row>
    <row r="42401" spans="26:26" x14ac:dyDescent="0.25">
      <c r="Z42401"/>
    </row>
    <row r="42402" spans="26:26" x14ac:dyDescent="0.25">
      <c r="Z42402"/>
    </row>
    <row r="42403" spans="26:26" x14ac:dyDescent="0.25">
      <c r="Z42403"/>
    </row>
    <row r="42404" spans="26:26" x14ac:dyDescent="0.25">
      <c r="Z42404"/>
    </row>
    <row r="42405" spans="26:26" x14ac:dyDescent="0.25">
      <c r="Z42405"/>
    </row>
    <row r="42406" spans="26:26" x14ac:dyDescent="0.25">
      <c r="Z42406"/>
    </row>
    <row r="42407" spans="26:26" x14ac:dyDescent="0.25">
      <c r="Z42407"/>
    </row>
    <row r="42408" spans="26:26" x14ac:dyDescent="0.25">
      <c r="Z42408"/>
    </row>
    <row r="42409" spans="26:26" x14ac:dyDescent="0.25">
      <c r="Z42409"/>
    </row>
    <row r="42410" spans="26:26" x14ac:dyDescent="0.25">
      <c r="Z42410"/>
    </row>
    <row r="42411" spans="26:26" x14ac:dyDescent="0.25">
      <c r="Z42411"/>
    </row>
    <row r="42412" spans="26:26" x14ac:dyDescent="0.25">
      <c r="Z42412"/>
    </row>
    <row r="42413" spans="26:26" x14ac:dyDescent="0.25">
      <c r="Z42413"/>
    </row>
    <row r="42414" spans="26:26" x14ac:dyDescent="0.25">
      <c r="Z42414"/>
    </row>
    <row r="42415" spans="26:26" x14ac:dyDescent="0.25">
      <c r="Z42415"/>
    </row>
    <row r="42416" spans="26:26" x14ac:dyDescent="0.25">
      <c r="Z42416"/>
    </row>
    <row r="42417" spans="26:26" x14ac:dyDescent="0.25">
      <c r="Z42417"/>
    </row>
    <row r="42418" spans="26:26" x14ac:dyDescent="0.25">
      <c r="Z42418"/>
    </row>
    <row r="42419" spans="26:26" x14ac:dyDescent="0.25">
      <c r="Z42419"/>
    </row>
    <row r="42420" spans="26:26" x14ac:dyDescent="0.25">
      <c r="Z42420"/>
    </row>
    <row r="42421" spans="26:26" x14ac:dyDescent="0.25">
      <c r="Z42421"/>
    </row>
    <row r="42422" spans="26:26" x14ac:dyDescent="0.25">
      <c r="Z42422"/>
    </row>
    <row r="42423" spans="26:26" x14ac:dyDescent="0.25">
      <c r="Z42423"/>
    </row>
    <row r="42424" spans="26:26" x14ac:dyDescent="0.25">
      <c r="Z42424"/>
    </row>
    <row r="42425" spans="26:26" x14ac:dyDescent="0.25">
      <c r="Z42425"/>
    </row>
    <row r="42426" spans="26:26" x14ac:dyDescent="0.25">
      <c r="Z42426"/>
    </row>
    <row r="42427" spans="26:26" x14ac:dyDescent="0.25">
      <c r="Z42427"/>
    </row>
    <row r="42428" spans="26:26" x14ac:dyDescent="0.25">
      <c r="Z42428"/>
    </row>
    <row r="42429" spans="26:26" x14ac:dyDescent="0.25">
      <c r="Z42429"/>
    </row>
    <row r="42430" spans="26:26" x14ac:dyDescent="0.25">
      <c r="Z42430"/>
    </row>
    <row r="42431" spans="26:26" x14ac:dyDescent="0.25">
      <c r="Z42431"/>
    </row>
    <row r="42432" spans="26:26" x14ac:dyDescent="0.25">
      <c r="Z42432"/>
    </row>
    <row r="42433" spans="26:26" x14ac:dyDescent="0.25">
      <c r="Z42433"/>
    </row>
    <row r="42434" spans="26:26" x14ac:dyDescent="0.25">
      <c r="Z42434"/>
    </row>
    <row r="42435" spans="26:26" x14ac:dyDescent="0.25">
      <c r="Z42435"/>
    </row>
    <row r="42436" spans="26:26" x14ac:dyDescent="0.25">
      <c r="Z42436"/>
    </row>
    <row r="42437" spans="26:26" x14ac:dyDescent="0.25">
      <c r="Z42437"/>
    </row>
    <row r="42438" spans="26:26" x14ac:dyDescent="0.25">
      <c r="Z42438"/>
    </row>
    <row r="42439" spans="26:26" x14ac:dyDescent="0.25">
      <c r="Z42439"/>
    </row>
    <row r="42440" spans="26:26" x14ac:dyDescent="0.25">
      <c r="Z42440"/>
    </row>
    <row r="42441" spans="26:26" x14ac:dyDescent="0.25">
      <c r="Z42441"/>
    </row>
    <row r="42442" spans="26:26" x14ac:dyDescent="0.25">
      <c r="Z42442"/>
    </row>
    <row r="42443" spans="26:26" x14ac:dyDescent="0.25">
      <c r="Z42443"/>
    </row>
    <row r="42444" spans="26:26" x14ac:dyDescent="0.25">
      <c r="Z42444"/>
    </row>
    <row r="42445" spans="26:26" x14ac:dyDescent="0.25">
      <c r="Z42445"/>
    </row>
    <row r="42446" spans="26:26" x14ac:dyDescent="0.25">
      <c r="Z42446"/>
    </row>
    <row r="42447" spans="26:26" x14ac:dyDescent="0.25">
      <c r="Z42447"/>
    </row>
    <row r="42448" spans="26:26" x14ac:dyDescent="0.25">
      <c r="Z42448"/>
    </row>
    <row r="42449" spans="26:26" x14ac:dyDescent="0.25">
      <c r="Z42449"/>
    </row>
    <row r="42450" spans="26:26" x14ac:dyDescent="0.25">
      <c r="Z42450"/>
    </row>
    <row r="42451" spans="26:26" x14ac:dyDescent="0.25">
      <c r="Z42451"/>
    </row>
    <row r="42452" spans="26:26" x14ac:dyDescent="0.25">
      <c r="Z42452"/>
    </row>
    <row r="42453" spans="26:26" x14ac:dyDescent="0.25">
      <c r="Z42453"/>
    </row>
    <row r="42454" spans="26:26" x14ac:dyDescent="0.25">
      <c r="Z42454"/>
    </row>
    <row r="42455" spans="26:26" x14ac:dyDescent="0.25">
      <c r="Z42455"/>
    </row>
    <row r="42456" spans="26:26" x14ac:dyDescent="0.25">
      <c r="Z42456"/>
    </row>
    <row r="42457" spans="26:26" x14ac:dyDescent="0.25">
      <c r="Z42457"/>
    </row>
    <row r="42458" spans="26:26" x14ac:dyDescent="0.25">
      <c r="Z42458"/>
    </row>
    <row r="42459" spans="26:26" x14ac:dyDescent="0.25">
      <c r="Z42459"/>
    </row>
    <row r="42460" spans="26:26" x14ac:dyDescent="0.25">
      <c r="Z42460"/>
    </row>
    <row r="42461" spans="26:26" x14ac:dyDescent="0.25">
      <c r="Z42461"/>
    </row>
    <row r="42462" spans="26:26" x14ac:dyDescent="0.25">
      <c r="Z42462"/>
    </row>
    <row r="42463" spans="26:26" x14ac:dyDescent="0.25">
      <c r="Z42463"/>
    </row>
    <row r="42464" spans="26:26" x14ac:dyDescent="0.25">
      <c r="Z42464"/>
    </row>
    <row r="42465" spans="26:26" x14ac:dyDescent="0.25">
      <c r="Z42465"/>
    </row>
    <row r="42466" spans="26:26" x14ac:dyDescent="0.25">
      <c r="Z42466"/>
    </row>
    <row r="42467" spans="26:26" x14ac:dyDescent="0.25">
      <c r="Z42467"/>
    </row>
    <row r="42468" spans="26:26" x14ac:dyDescent="0.25">
      <c r="Z42468"/>
    </row>
    <row r="42469" spans="26:26" x14ac:dyDescent="0.25">
      <c r="Z42469"/>
    </row>
    <row r="42470" spans="26:26" x14ac:dyDescent="0.25">
      <c r="Z42470"/>
    </row>
    <row r="42471" spans="26:26" x14ac:dyDescent="0.25">
      <c r="Z42471"/>
    </row>
    <row r="42472" spans="26:26" x14ac:dyDescent="0.25">
      <c r="Z42472"/>
    </row>
    <row r="42473" spans="26:26" x14ac:dyDescent="0.25">
      <c r="Z42473"/>
    </row>
    <row r="42474" spans="26:26" x14ac:dyDescent="0.25">
      <c r="Z42474"/>
    </row>
    <row r="42475" spans="26:26" x14ac:dyDescent="0.25">
      <c r="Z42475"/>
    </row>
    <row r="42476" spans="26:26" x14ac:dyDescent="0.25">
      <c r="Z42476"/>
    </row>
    <row r="42477" spans="26:26" x14ac:dyDescent="0.25">
      <c r="Z42477"/>
    </row>
    <row r="42478" spans="26:26" x14ac:dyDescent="0.25">
      <c r="Z42478"/>
    </row>
    <row r="42479" spans="26:26" x14ac:dyDescent="0.25">
      <c r="Z42479"/>
    </row>
    <row r="42480" spans="26:26" x14ac:dyDescent="0.25">
      <c r="Z42480"/>
    </row>
    <row r="42481" spans="26:26" x14ac:dyDescent="0.25">
      <c r="Z42481"/>
    </row>
    <row r="42482" spans="26:26" x14ac:dyDescent="0.25">
      <c r="Z42482"/>
    </row>
    <row r="42483" spans="26:26" x14ac:dyDescent="0.25">
      <c r="Z42483"/>
    </row>
    <row r="42484" spans="26:26" x14ac:dyDescent="0.25">
      <c r="Z42484"/>
    </row>
    <row r="42485" spans="26:26" x14ac:dyDescent="0.25">
      <c r="Z42485"/>
    </row>
    <row r="42486" spans="26:26" x14ac:dyDescent="0.25">
      <c r="Z42486"/>
    </row>
    <row r="42487" spans="26:26" x14ac:dyDescent="0.25">
      <c r="Z42487"/>
    </row>
    <row r="42488" spans="26:26" x14ac:dyDescent="0.25">
      <c r="Z42488"/>
    </row>
    <row r="42489" spans="26:26" x14ac:dyDescent="0.25">
      <c r="Z42489"/>
    </row>
    <row r="42490" spans="26:26" x14ac:dyDescent="0.25">
      <c r="Z42490"/>
    </row>
    <row r="42491" spans="26:26" x14ac:dyDescent="0.25">
      <c r="Z42491"/>
    </row>
    <row r="42492" spans="26:26" x14ac:dyDescent="0.25">
      <c r="Z42492"/>
    </row>
    <row r="42493" spans="26:26" x14ac:dyDescent="0.25">
      <c r="Z42493"/>
    </row>
    <row r="42494" spans="26:26" x14ac:dyDescent="0.25">
      <c r="Z42494"/>
    </row>
    <row r="42495" spans="26:26" x14ac:dyDescent="0.25">
      <c r="Z42495"/>
    </row>
    <row r="42496" spans="26:26" x14ac:dyDescent="0.25">
      <c r="Z42496"/>
    </row>
    <row r="42497" spans="26:26" x14ac:dyDescent="0.25">
      <c r="Z42497"/>
    </row>
    <row r="42498" spans="26:26" x14ac:dyDescent="0.25">
      <c r="Z42498"/>
    </row>
    <row r="42499" spans="26:26" x14ac:dyDescent="0.25">
      <c r="Z42499"/>
    </row>
    <row r="42500" spans="26:26" x14ac:dyDescent="0.25">
      <c r="Z42500"/>
    </row>
    <row r="42501" spans="26:26" x14ac:dyDescent="0.25">
      <c r="Z42501"/>
    </row>
    <row r="42502" spans="26:26" x14ac:dyDescent="0.25">
      <c r="Z42502"/>
    </row>
    <row r="42503" spans="26:26" x14ac:dyDescent="0.25">
      <c r="Z42503"/>
    </row>
    <row r="42504" spans="26:26" x14ac:dyDescent="0.25">
      <c r="Z42504"/>
    </row>
    <row r="42505" spans="26:26" x14ac:dyDescent="0.25">
      <c r="Z42505"/>
    </row>
    <row r="42506" spans="26:26" x14ac:dyDescent="0.25">
      <c r="Z42506"/>
    </row>
    <row r="42507" spans="26:26" x14ac:dyDescent="0.25">
      <c r="Z42507"/>
    </row>
    <row r="42508" spans="26:26" x14ac:dyDescent="0.25">
      <c r="Z42508"/>
    </row>
    <row r="42509" spans="26:26" x14ac:dyDescent="0.25">
      <c r="Z42509"/>
    </row>
    <row r="42510" spans="26:26" x14ac:dyDescent="0.25">
      <c r="Z42510"/>
    </row>
    <row r="42511" spans="26:26" x14ac:dyDescent="0.25">
      <c r="Z42511"/>
    </row>
    <row r="42512" spans="26:26" x14ac:dyDescent="0.25">
      <c r="Z42512"/>
    </row>
    <row r="42513" spans="26:26" x14ac:dyDescent="0.25">
      <c r="Z42513"/>
    </row>
    <row r="42514" spans="26:26" x14ac:dyDescent="0.25">
      <c r="Z42514"/>
    </row>
    <row r="42515" spans="26:26" x14ac:dyDescent="0.25">
      <c r="Z42515"/>
    </row>
    <row r="42516" spans="26:26" x14ac:dyDescent="0.25">
      <c r="Z42516"/>
    </row>
    <row r="42517" spans="26:26" x14ac:dyDescent="0.25">
      <c r="Z42517"/>
    </row>
    <row r="42518" spans="26:26" x14ac:dyDescent="0.25">
      <c r="Z42518"/>
    </row>
    <row r="42519" spans="26:26" x14ac:dyDescent="0.25">
      <c r="Z42519"/>
    </row>
    <row r="42520" spans="26:26" x14ac:dyDescent="0.25">
      <c r="Z42520"/>
    </row>
    <row r="42521" spans="26:26" x14ac:dyDescent="0.25">
      <c r="Z42521"/>
    </row>
    <row r="42522" spans="26:26" x14ac:dyDescent="0.25">
      <c r="Z42522"/>
    </row>
    <row r="42523" spans="26:26" x14ac:dyDescent="0.25">
      <c r="Z42523"/>
    </row>
    <row r="42524" spans="26:26" x14ac:dyDescent="0.25">
      <c r="Z42524"/>
    </row>
    <row r="42525" spans="26:26" x14ac:dyDescent="0.25">
      <c r="Z42525"/>
    </row>
    <row r="42526" spans="26:26" x14ac:dyDescent="0.25">
      <c r="Z42526"/>
    </row>
    <row r="42527" spans="26:26" x14ac:dyDescent="0.25">
      <c r="Z42527"/>
    </row>
    <row r="42528" spans="26:26" x14ac:dyDescent="0.25">
      <c r="Z42528"/>
    </row>
    <row r="42529" spans="26:26" x14ac:dyDescent="0.25">
      <c r="Z42529"/>
    </row>
    <row r="42530" spans="26:26" x14ac:dyDescent="0.25">
      <c r="Z42530"/>
    </row>
    <row r="42531" spans="26:26" x14ac:dyDescent="0.25">
      <c r="Z42531"/>
    </row>
    <row r="42532" spans="26:26" x14ac:dyDescent="0.25">
      <c r="Z42532"/>
    </row>
    <row r="42533" spans="26:26" x14ac:dyDescent="0.25">
      <c r="Z42533"/>
    </row>
    <row r="42534" spans="26:26" x14ac:dyDescent="0.25">
      <c r="Z42534"/>
    </row>
    <row r="42535" spans="26:26" x14ac:dyDescent="0.25">
      <c r="Z42535"/>
    </row>
    <row r="42536" spans="26:26" x14ac:dyDescent="0.25">
      <c r="Z42536"/>
    </row>
    <row r="42537" spans="26:26" x14ac:dyDescent="0.25">
      <c r="Z42537"/>
    </row>
    <row r="42538" spans="26:26" x14ac:dyDescent="0.25">
      <c r="Z42538"/>
    </row>
    <row r="42539" spans="26:26" x14ac:dyDescent="0.25">
      <c r="Z42539"/>
    </row>
    <row r="42540" spans="26:26" x14ac:dyDescent="0.25">
      <c r="Z42540"/>
    </row>
    <row r="42541" spans="26:26" x14ac:dyDescent="0.25">
      <c r="Z42541"/>
    </row>
    <row r="42542" spans="26:26" x14ac:dyDescent="0.25">
      <c r="Z42542"/>
    </row>
    <row r="42543" spans="26:26" x14ac:dyDescent="0.25">
      <c r="Z42543"/>
    </row>
    <row r="42544" spans="26:26" x14ac:dyDescent="0.25">
      <c r="Z42544"/>
    </row>
    <row r="42545" spans="26:26" x14ac:dyDescent="0.25">
      <c r="Z42545"/>
    </row>
    <row r="42546" spans="26:26" x14ac:dyDescent="0.25">
      <c r="Z42546"/>
    </row>
    <row r="42547" spans="26:26" x14ac:dyDescent="0.25">
      <c r="Z42547"/>
    </row>
    <row r="42548" spans="26:26" x14ac:dyDescent="0.25">
      <c r="Z42548"/>
    </row>
    <row r="42549" spans="26:26" x14ac:dyDescent="0.25">
      <c r="Z42549"/>
    </row>
    <row r="42550" spans="26:26" x14ac:dyDescent="0.25">
      <c r="Z42550"/>
    </row>
    <row r="42551" spans="26:26" x14ac:dyDescent="0.25">
      <c r="Z42551"/>
    </row>
    <row r="42552" spans="26:26" x14ac:dyDescent="0.25">
      <c r="Z42552"/>
    </row>
    <row r="42553" spans="26:26" x14ac:dyDescent="0.25">
      <c r="Z42553"/>
    </row>
    <row r="42554" spans="26:26" x14ac:dyDescent="0.25">
      <c r="Z42554"/>
    </row>
    <row r="42555" spans="26:26" x14ac:dyDescent="0.25">
      <c r="Z42555"/>
    </row>
    <row r="42556" spans="26:26" x14ac:dyDescent="0.25">
      <c r="Z42556"/>
    </row>
    <row r="42557" spans="26:26" x14ac:dyDescent="0.25">
      <c r="Z42557"/>
    </row>
    <row r="42558" spans="26:26" x14ac:dyDescent="0.25">
      <c r="Z42558"/>
    </row>
    <row r="42559" spans="26:26" x14ac:dyDescent="0.25">
      <c r="Z42559"/>
    </row>
    <row r="42560" spans="26:26" x14ac:dyDescent="0.25">
      <c r="Z42560"/>
    </row>
    <row r="42561" spans="26:26" x14ac:dyDescent="0.25">
      <c r="Z42561"/>
    </row>
    <row r="42562" spans="26:26" x14ac:dyDescent="0.25">
      <c r="Z42562"/>
    </row>
    <row r="42563" spans="26:26" x14ac:dyDescent="0.25">
      <c r="Z42563"/>
    </row>
    <row r="42564" spans="26:26" x14ac:dyDescent="0.25">
      <c r="Z42564"/>
    </row>
    <row r="42565" spans="26:26" x14ac:dyDescent="0.25">
      <c r="Z42565"/>
    </row>
    <row r="42566" spans="26:26" x14ac:dyDescent="0.25">
      <c r="Z42566"/>
    </row>
    <row r="42567" spans="26:26" x14ac:dyDescent="0.25">
      <c r="Z42567"/>
    </row>
    <row r="42568" spans="26:26" x14ac:dyDescent="0.25">
      <c r="Z42568"/>
    </row>
    <row r="42569" spans="26:26" x14ac:dyDescent="0.25">
      <c r="Z42569"/>
    </row>
    <row r="42570" spans="26:26" x14ac:dyDescent="0.25">
      <c r="Z42570"/>
    </row>
    <row r="42571" spans="26:26" x14ac:dyDescent="0.25">
      <c r="Z42571"/>
    </row>
    <row r="42572" spans="26:26" x14ac:dyDescent="0.25">
      <c r="Z42572"/>
    </row>
    <row r="42573" spans="26:26" x14ac:dyDescent="0.25">
      <c r="Z42573"/>
    </row>
    <row r="42574" spans="26:26" x14ac:dyDescent="0.25">
      <c r="Z42574"/>
    </row>
    <row r="42575" spans="26:26" x14ac:dyDescent="0.25">
      <c r="Z42575"/>
    </row>
    <row r="42576" spans="26:26" x14ac:dyDescent="0.25">
      <c r="Z42576"/>
    </row>
    <row r="42577" spans="26:26" x14ac:dyDescent="0.25">
      <c r="Z42577"/>
    </row>
    <row r="42578" spans="26:26" x14ac:dyDescent="0.25">
      <c r="Z42578"/>
    </row>
    <row r="42579" spans="26:26" x14ac:dyDescent="0.25">
      <c r="Z42579"/>
    </row>
    <row r="42580" spans="26:26" x14ac:dyDescent="0.25">
      <c r="Z42580"/>
    </row>
    <row r="42581" spans="26:26" x14ac:dyDescent="0.25">
      <c r="Z42581"/>
    </row>
    <row r="42582" spans="26:26" x14ac:dyDescent="0.25">
      <c r="Z42582"/>
    </row>
    <row r="42583" spans="26:26" x14ac:dyDescent="0.25">
      <c r="Z42583"/>
    </row>
    <row r="42584" spans="26:26" x14ac:dyDescent="0.25">
      <c r="Z42584"/>
    </row>
    <row r="42585" spans="26:26" x14ac:dyDescent="0.25">
      <c r="Z42585"/>
    </row>
    <row r="42586" spans="26:26" x14ac:dyDescent="0.25">
      <c r="Z42586"/>
    </row>
    <row r="42587" spans="26:26" x14ac:dyDescent="0.25">
      <c r="Z42587"/>
    </row>
    <row r="42588" spans="26:26" x14ac:dyDescent="0.25">
      <c r="Z42588"/>
    </row>
    <row r="42589" spans="26:26" x14ac:dyDescent="0.25">
      <c r="Z42589"/>
    </row>
    <row r="42590" spans="26:26" x14ac:dyDescent="0.25">
      <c r="Z42590"/>
    </row>
    <row r="42591" spans="26:26" x14ac:dyDescent="0.25">
      <c r="Z42591"/>
    </row>
    <row r="42592" spans="26:26" x14ac:dyDescent="0.25">
      <c r="Z42592"/>
    </row>
    <row r="42593" spans="26:26" x14ac:dyDescent="0.25">
      <c r="Z42593"/>
    </row>
    <row r="42594" spans="26:26" x14ac:dyDescent="0.25">
      <c r="Z42594"/>
    </row>
    <row r="42595" spans="26:26" x14ac:dyDescent="0.25">
      <c r="Z42595"/>
    </row>
    <row r="42596" spans="26:26" x14ac:dyDescent="0.25">
      <c r="Z42596"/>
    </row>
    <row r="42597" spans="26:26" x14ac:dyDescent="0.25">
      <c r="Z42597"/>
    </row>
    <row r="42598" spans="26:26" x14ac:dyDescent="0.25">
      <c r="Z42598"/>
    </row>
    <row r="42599" spans="26:26" x14ac:dyDescent="0.25">
      <c r="Z42599"/>
    </row>
    <row r="42600" spans="26:26" x14ac:dyDescent="0.25">
      <c r="Z42600"/>
    </row>
    <row r="42601" spans="26:26" x14ac:dyDescent="0.25">
      <c r="Z42601"/>
    </row>
    <row r="42602" spans="26:26" x14ac:dyDescent="0.25">
      <c r="Z42602"/>
    </row>
    <row r="42603" spans="26:26" x14ac:dyDescent="0.25">
      <c r="Z42603"/>
    </row>
    <row r="42604" spans="26:26" x14ac:dyDescent="0.25">
      <c r="Z42604"/>
    </row>
    <row r="42605" spans="26:26" x14ac:dyDescent="0.25">
      <c r="Z42605"/>
    </row>
    <row r="42606" spans="26:26" x14ac:dyDescent="0.25">
      <c r="Z42606"/>
    </row>
    <row r="42607" spans="26:26" x14ac:dyDescent="0.25">
      <c r="Z42607"/>
    </row>
    <row r="42608" spans="26:26" x14ac:dyDescent="0.25">
      <c r="Z42608"/>
    </row>
    <row r="42609" spans="26:26" x14ac:dyDescent="0.25">
      <c r="Z42609"/>
    </row>
    <row r="42610" spans="26:26" x14ac:dyDescent="0.25">
      <c r="Z42610"/>
    </row>
    <row r="42611" spans="26:26" x14ac:dyDescent="0.25">
      <c r="Z42611"/>
    </row>
    <row r="42612" spans="26:26" x14ac:dyDescent="0.25">
      <c r="Z42612"/>
    </row>
    <row r="42613" spans="26:26" x14ac:dyDescent="0.25">
      <c r="Z42613"/>
    </row>
    <row r="42614" spans="26:26" x14ac:dyDescent="0.25">
      <c r="Z42614"/>
    </row>
    <row r="42615" spans="26:26" x14ac:dyDescent="0.25">
      <c r="Z42615"/>
    </row>
    <row r="42616" spans="26:26" x14ac:dyDescent="0.25">
      <c r="Z42616"/>
    </row>
    <row r="42617" spans="26:26" x14ac:dyDescent="0.25">
      <c r="Z42617"/>
    </row>
    <row r="42618" spans="26:26" x14ac:dyDescent="0.25">
      <c r="Z42618"/>
    </row>
    <row r="42619" spans="26:26" x14ac:dyDescent="0.25">
      <c r="Z42619"/>
    </row>
    <row r="42620" spans="26:26" x14ac:dyDescent="0.25">
      <c r="Z42620"/>
    </row>
    <row r="42621" spans="26:26" x14ac:dyDescent="0.25">
      <c r="Z42621"/>
    </row>
    <row r="42622" spans="26:26" x14ac:dyDescent="0.25">
      <c r="Z42622"/>
    </row>
    <row r="42623" spans="26:26" x14ac:dyDescent="0.25">
      <c r="Z42623"/>
    </row>
    <row r="42624" spans="26:26" x14ac:dyDescent="0.25">
      <c r="Z42624"/>
    </row>
    <row r="42625" spans="26:26" x14ac:dyDescent="0.25">
      <c r="Z42625"/>
    </row>
    <row r="42626" spans="26:26" x14ac:dyDescent="0.25">
      <c r="Z42626"/>
    </row>
    <row r="42627" spans="26:26" x14ac:dyDescent="0.25">
      <c r="Z42627"/>
    </row>
    <row r="42628" spans="26:26" x14ac:dyDescent="0.25">
      <c r="Z42628"/>
    </row>
    <row r="42629" spans="26:26" x14ac:dyDescent="0.25">
      <c r="Z42629"/>
    </row>
    <row r="42630" spans="26:26" x14ac:dyDescent="0.25">
      <c r="Z42630"/>
    </row>
    <row r="42631" spans="26:26" x14ac:dyDescent="0.25">
      <c r="Z42631"/>
    </row>
    <row r="42632" spans="26:26" x14ac:dyDescent="0.25">
      <c r="Z42632"/>
    </row>
    <row r="42633" spans="26:26" x14ac:dyDescent="0.25">
      <c r="Z42633"/>
    </row>
    <row r="42634" spans="26:26" x14ac:dyDescent="0.25">
      <c r="Z42634"/>
    </row>
    <row r="42635" spans="26:26" x14ac:dyDescent="0.25">
      <c r="Z42635"/>
    </row>
    <row r="42636" spans="26:26" x14ac:dyDescent="0.25">
      <c r="Z42636"/>
    </row>
    <row r="42637" spans="26:26" x14ac:dyDescent="0.25">
      <c r="Z42637"/>
    </row>
    <row r="42638" spans="26:26" x14ac:dyDescent="0.25">
      <c r="Z42638"/>
    </row>
    <row r="42639" spans="26:26" x14ac:dyDescent="0.25">
      <c r="Z42639"/>
    </row>
    <row r="42640" spans="26:26" x14ac:dyDescent="0.25">
      <c r="Z42640"/>
    </row>
    <row r="42641" spans="26:26" x14ac:dyDescent="0.25">
      <c r="Z42641"/>
    </row>
    <row r="42642" spans="26:26" x14ac:dyDescent="0.25">
      <c r="Z42642"/>
    </row>
    <row r="42643" spans="26:26" x14ac:dyDescent="0.25">
      <c r="Z42643"/>
    </row>
    <row r="42644" spans="26:26" x14ac:dyDescent="0.25">
      <c r="Z42644"/>
    </row>
    <row r="42645" spans="26:26" x14ac:dyDescent="0.25">
      <c r="Z42645"/>
    </row>
    <row r="42646" spans="26:26" x14ac:dyDescent="0.25">
      <c r="Z42646"/>
    </row>
    <row r="42647" spans="26:26" x14ac:dyDescent="0.25">
      <c r="Z42647"/>
    </row>
    <row r="42648" spans="26:26" x14ac:dyDescent="0.25">
      <c r="Z42648"/>
    </row>
    <row r="42649" spans="26:26" x14ac:dyDescent="0.25">
      <c r="Z42649"/>
    </row>
    <row r="42650" spans="26:26" x14ac:dyDescent="0.25">
      <c r="Z42650"/>
    </row>
    <row r="42651" spans="26:26" x14ac:dyDescent="0.25">
      <c r="Z42651"/>
    </row>
    <row r="42652" spans="26:26" x14ac:dyDescent="0.25">
      <c r="Z42652"/>
    </row>
    <row r="42653" spans="26:26" x14ac:dyDescent="0.25">
      <c r="Z42653"/>
    </row>
    <row r="42654" spans="26:26" x14ac:dyDescent="0.25">
      <c r="Z42654"/>
    </row>
    <row r="42655" spans="26:26" x14ac:dyDescent="0.25">
      <c r="Z42655"/>
    </row>
    <row r="42656" spans="26:26" x14ac:dyDescent="0.25">
      <c r="Z42656"/>
    </row>
    <row r="42657" spans="26:26" x14ac:dyDescent="0.25">
      <c r="Z42657"/>
    </row>
    <row r="42658" spans="26:26" x14ac:dyDescent="0.25">
      <c r="Z42658"/>
    </row>
    <row r="42659" spans="26:26" x14ac:dyDescent="0.25">
      <c r="Z42659"/>
    </row>
    <row r="42660" spans="26:26" x14ac:dyDescent="0.25">
      <c r="Z42660"/>
    </row>
    <row r="42661" spans="26:26" x14ac:dyDescent="0.25">
      <c r="Z42661"/>
    </row>
    <row r="42662" spans="26:26" x14ac:dyDescent="0.25">
      <c r="Z42662"/>
    </row>
    <row r="42663" spans="26:26" x14ac:dyDescent="0.25">
      <c r="Z42663"/>
    </row>
    <row r="42664" spans="26:26" x14ac:dyDescent="0.25">
      <c r="Z42664"/>
    </row>
    <row r="42665" spans="26:26" x14ac:dyDescent="0.25">
      <c r="Z42665"/>
    </row>
    <row r="42666" spans="26:26" x14ac:dyDescent="0.25">
      <c r="Z42666"/>
    </row>
    <row r="42667" spans="26:26" x14ac:dyDescent="0.25">
      <c r="Z42667"/>
    </row>
    <row r="42668" spans="26:26" x14ac:dyDescent="0.25">
      <c r="Z42668"/>
    </row>
    <row r="42669" spans="26:26" x14ac:dyDescent="0.25">
      <c r="Z42669"/>
    </row>
    <row r="42670" spans="26:26" x14ac:dyDescent="0.25">
      <c r="Z42670"/>
    </row>
    <row r="42671" spans="26:26" x14ac:dyDescent="0.25">
      <c r="Z42671"/>
    </row>
    <row r="42672" spans="26:26" x14ac:dyDescent="0.25">
      <c r="Z42672"/>
    </row>
    <row r="42673" spans="26:26" x14ac:dyDescent="0.25">
      <c r="Z42673"/>
    </row>
    <row r="42674" spans="26:26" x14ac:dyDescent="0.25">
      <c r="Z42674"/>
    </row>
    <row r="42675" spans="26:26" x14ac:dyDescent="0.25">
      <c r="Z42675"/>
    </row>
    <row r="42676" spans="26:26" x14ac:dyDescent="0.25">
      <c r="Z42676"/>
    </row>
    <row r="42677" spans="26:26" x14ac:dyDescent="0.25">
      <c r="Z42677"/>
    </row>
    <row r="42678" spans="26:26" x14ac:dyDescent="0.25">
      <c r="Z42678"/>
    </row>
    <row r="42679" spans="26:26" x14ac:dyDescent="0.25">
      <c r="Z42679"/>
    </row>
    <row r="42680" spans="26:26" x14ac:dyDescent="0.25">
      <c r="Z42680"/>
    </row>
    <row r="42681" spans="26:26" x14ac:dyDescent="0.25">
      <c r="Z42681"/>
    </row>
    <row r="42682" spans="26:26" x14ac:dyDescent="0.25">
      <c r="Z42682"/>
    </row>
    <row r="42683" spans="26:26" x14ac:dyDescent="0.25">
      <c r="Z42683"/>
    </row>
    <row r="42684" spans="26:26" x14ac:dyDescent="0.25">
      <c r="Z42684"/>
    </row>
    <row r="42685" spans="26:26" x14ac:dyDescent="0.25">
      <c r="Z42685"/>
    </row>
    <row r="42686" spans="26:26" x14ac:dyDescent="0.25">
      <c r="Z42686"/>
    </row>
    <row r="42687" spans="26:26" x14ac:dyDescent="0.25">
      <c r="Z42687"/>
    </row>
    <row r="42688" spans="26:26" x14ac:dyDescent="0.25">
      <c r="Z42688"/>
    </row>
    <row r="42689" spans="26:26" x14ac:dyDescent="0.25">
      <c r="Z42689"/>
    </row>
    <row r="42690" spans="26:26" x14ac:dyDescent="0.25">
      <c r="Z42690"/>
    </row>
    <row r="42691" spans="26:26" x14ac:dyDescent="0.25">
      <c r="Z42691"/>
    </row>
    <row r="42692" spans="26:26" x14ac:dyDescent="0.25">
      <c r="Z42692"/>
    </row>
    <row r="42693" spans="26:26" x14ac:dyDescent="0.25">
      <c r="Z42693"/>
    </row>
    <row r="42694" spans="26:26" x14ac:dyDescent="0.25">
      <c r="Z42694"/>
    </row>
    <row r="42695" spans="26:26" x14ac:dyDescent="0.25">
      <c r="Z42695"/>
    </row>
    <row r="42696" spans="26:26" x14ac:dyDescent="0.25">
      <c r="Z42696"/>
    </row>
    <row r="42697" spans="26:26" x14ac:dyDescent="0.25">
      <c r="Z42697"/>
    </row>
    <row r="42698" spans="26:26" x14ac:dyDescent="0.25">
      <c r="Z42698"/>
    </row>
    <row r="42699" spans="26:26" x14ac:dyDescent="0.25">
      <c r="Z42699"/>
    </row>
    <row r="42700" spans="26:26" x14ac:dyDescent="0.25">
      <c r="Z42700"/>
    </row>
    <row r="42701" spans="26:26" x14ac:dyDescent="0.25">
      <c r="Z42701"/>
    </row>
    <row r="42702" spans="26:26" x14ac:dyDescent="0.25">
      <c r="Z42702"/>
    </row>
    <row r="42703" spans="26:26" x14ac:dyDescent="0.25">
      <c r="Z42703"/>
    </row>
    <row r="42704" spans="26:26" x14ac:dyDescent="0.25">
      <c r="Z42704"/>
    </row>
    <row r="42705" spans="26:26" x14ac:dyDescent="0.25">
      <c r="Z42705"/>
    </row>
    <row r="42706" spans="26:26" x14ac:dyDescent="0.25">
      <c r="Z42706"/>
    </row>
    <row r="42707" spans="26:26" x14ac:dyDescent="0.25">
      <c r="Z42707"/>
    </row>
    <row r="42708" spans="26:26" x14ac:dyDescent="0.25">
      <c r="Z42708"/>
    </row>
    <row r="42709" spans="26:26" x14ac:dyDescent="0.25">
      <c r="Z42709"/>
    </row>
    <row r="42710" spans="26:26" x14ac:dyDescent="0.25">
      <c r="Z42710"/>
    </row>
  </sheetData>
  <autoFilter ref="X19:AN1736" xr:uid="{00000000-0009-0000-0000-000001000000}"/>
  <mergeCells count="38">
    <mergeCell ref="K7:U18"/>
    <mergeCell ref="AE1:AE2"/>
    <mergeCell ref="AE3:AE4"/>
    <mergeCell ref="AF1:AF2"/>
    <mergeCell ref="AC1:AC2"/>
    <mergeCell ref="V1:V2"/>
    <mergeCell ref="X1:X4"/>
    <mergeCell ref="Y1:Y4"/>
    <mergeCell ref="Z1:Z4"/>
    <mergeCell ref="AA1:AA2"/>
    <mergeCell ref="V3:V4"/>
    <mergeCell ref="AA3:AA4"/>
    <mergeCell ref="W1:W3"/>
    <mergeCell ref="W4:W5"/>
    <mergeCell ref="AB1:AB2"/>
    <mergeCell ref="AD1:AD2"/>
    <mergeCell ref="AL19:AL20"/>
    <mergeCell ref="AM19:AM20"/>
    <mergeCell ref="AN19:AN20"/>
    <mergeCell ref="AD3:AD4"/>
    <mergeCell ref="AB3:AB4"/>
    <mergeCell ref="AC3:AC4"/>
    <mergeCell ref="X16:AN18"/>
    <mergeCell ref="K1:K3"/>
    <mergeCell ref="L1:L3"/>
    <mergeCell ref="AL1:AN2"/>
    <mergeCell ref="AI3:AI4"/>
    <mergeCell ref="AM3:AM4"/>
    <mergeCell ref="AF3:AF4"/>
    <mergeCell ref="AN3:AN4"/>
    <mergeCell ref="AL3:AL4"/>
    <mergeCell ref="AH3:AH4"/>
    <mergeCell ref="AH1:AK2"/>
    <mergeCell ref="AJ3:AJ4"/>
    <mergeCell ref="AK3:AK4"/>
    <mergeCell ref="AG3:AG4"/>
    <mergeCell ref="AG1:AG2"/>
    <mergeCell ref="M1:M3"/>
  </mergeCells>
  <conditionalFormatting sqref="AB21:AB42710">
    <cfRule type="cellIs" dxfId="106" priority="20" operator="equal">
      <formula>$AB$5*-1</formula>
    </cfRule>
    <cfRule type="cellIs" dxfId="105" priority="190" operator="equal">
      <formula>$AB$5</formula>
    </cfRule>
  </conditionalFormatting>
  <conditionalFormatting sqref="AA21:AA42710">
    <cfRule type="cellIs" dxfId="104" priority="165" operator="equal">
      <formula>-$AA$8</formula>
    </cfRule>
    <cfRule type="cellIs" dxfId="103" priority="189" operator="equal">
      <formula>$AA$8</formula>
    </cfRule>
  </conditionalFormatting>
  <conditionalFormatting sqref="AL21:AL42710">
    <cfRule type="cellIs" dxfId="102" priority="147" operator="equal">
      <formula>$AL$5</formula>
    </cfRule>
  </conditionalFormatting>
  <conditionalFormatting sqref="AM21:AM42710">
    <cfRule type="cellIs" dxfId="101" priority="146" operator="equal">
      <formula>$AM$5</formula>
    </cfRule>
  </conditionalFormatting>
  <conditionalFormatting sqref="AN21:AN42710">
    <cfRule type="cellIs" dxfId="100" priority="145" operator="equal">
      <formula>$AN$5</formula>
    </cfRule>
  </conditionalFormatting>
  <conditionalFormatting sqref="AB5">
    <cfRule type="cellIs" dxfId="99" priority="144" operator="equal">
      <formula>$AB$5</formula>
    </cfRule>
  </conditionalFormatting>
  <conditionalFormatting sqref="AA5">
    <cfRule type="cellIs" dxfId="98" priority="143" operator="equal">
      <formula>$AA$5</formula>
    </cfRule>
  </conditionalFormatting>
  <conditionalFormatting sqref="AD5:AK5">
    <cfRule type="cellIs" dxfId="97" priority="142" operator="equal">
      <formula>$AA$5</formula>
    </cfRule>
  </conditionalFormatting>
  <conditionalFormatting sqref="AL5:AN5">
    <cfRule type="cellIs" dxfId="96" priority="141" operator="equal">
      <formula>$AA$5</formula>
    </cfRule>
  </conditionalFormatting>
  <conditionalFormatting sqref="AD21:AD42710">
    <cfRule type="cellIs" dxfId="95" priority="19" operator="equal">
      <formula>$AD$9*-1</formula>
    </cfRule>
    <cfRule type="cellIs" dxfId="94" priority="140" operator="equal">
      <formula>$AD$9</formula>
    </cfRule>
  </conditionalFormatting>
  <conditionalFormatting sqref="AE21:AE42710">
    <cfRule type="cellIs" dxfId="93" priority="18" operator="equal">
      <formula>$AE$11*-1</formula>
    </cfRule>
    <cfRule type="cellIs" dxfId="92" priority="139" operator="equal">
      <formula>$AE$11</formula>
    </cfRule>
  </conditionalFormatting>
  <conditionalFormatting sqref="AH21:AH42710">
    <cfRule type="cellIs" dxfId="91" priority="137" operator="equal">
      <formula>$AH$5</formula>
    </cfRule>
  </conditionalFormatting>
  <conditionalFormatting sqref="AJ21:AJ42710">
    <cfRule type="cellIs" dxfId="90" priority="136" operator="equal">
      <formula>$AJ$5</formula>
    </cfRule>
  </conditionalFormatting>
  <conditionalFormatting sqref="AC21:AC42710">
    <cfRule type="cellIs" dxfId="89" priority="21" operator="equal">
      <formula>$AC$5*-1</formula>
    </cfRule>
    <cfRule type="cellIs" dxfId="88" priority="22" operator="equal">
      <formula>$AC$5</formula>
    </cfRule>
    <cfRule type="cellIs" dxfId="87" priority="162" operator="equal">
      <formula>$AC$6*-1</formula>
    </cfRule>
    <cfRule type="cellIs" dxfId="86" priority="163" operator="equal">
      <formula>$AC$6</formula>
    </cfRule>
  </conditionalFormatting>
  <conditionalFormatting sqref="K12049:T19511 K19513:T29720 K29722:T30577">
    <cfRule type="containsText" dxfId="85" priority="113" operator="containsText" text="9">
      <formula>NOT(ISERROR(SEARCH("9",K12049)))</formula>
    </cfRule>
    <cfRule type="containsText" dxfId="84" priority="114" operator="containsText" text="8">
      <formula>NOT(ISERROR(SEARCH("8",K12049)))</formula>
    </cfRule>
    <cfRule type="containsText" dxfId="83" priority="115" operator="containsText" text="7">
      <formula>NOT(ISERROR(SEARCH("7",K12049)))</formula>
    </cfRule>
    <cfRule type="containsText" dxfId="82" priority="116" operator="containsText" text="6">
      <formula>NOT(ISERROR(SEARCH("6",K12049)))</formula>
    </cfRule>
    <cfRule type="containsText" dxfId="81" priority="117" operator="containsText" text="5">
      <formula>NOT(ISERROR(SEARCH("5",K12049)))</formula>
    </cfRule>
    <cfRule type="containsText" dxfId="80" priority="118" operator="containsText" text="4">
      <formula>NOT(ISERROR(SEARCH("4",K12049)))</formula>
    </cfRule>
    <cfRule type="containsText" dxfId="79" priority="119" operator="containsText" text="3">
      <formula>NOT(ISERROR(SEARCH("3",K12049)))</formula>
    </cfRule>
    <cfRule type="containsText" dxfId="78" priority="120" operator="containsText" text="2">
      <formula>NOT(ISERROR(SEARCH("2",K12049)))</formula>
    </cfRule>
    <cfRule type="containsText" dxfId="77" priority="121" operator="containsText" text="1">
      <formula>NOT(ISERROR(SEARCH("1",K12049)))</formula>
    </cfRule>
    <cfRule type="containsText" dxfId="76" priority="122" operator="containsText" text="0">
      <formula>NOT(ISERROR(SEARCH("0",K12049)))</formula>
    </cfRule>
  </conditionalFormatting>
  <conditionalFormatting sqref="K29721:T29721">
    <cfRule type="containsText" dxfId="75" priority="63" operator="containsText" text="9">
      <formula>NOT(ISERROR(SEARCH("9",K29721)))</formula>
    </cfRule>
    <cfRule type="containsText" dxfId="74" priority="64" operator="containsText" text="8">
      <formula>NOT(ISERROR(SEARCH("8",K29721)))</formula>
    </cfRule>
    <cfRule type="containsText" dxfId="73" priority="65" operator="containsText" text="7">
      <formula>NOT(ISERROR(SEARCH("7",K29721)))</formula>
    </cfRule>
    <cfRule type="containsText" dxfId="72" priority="66" operator="containsText" text="6">
      <formula>NOT(ISERROR(SEARCH("6",K29721)))</formula>
    </cfRule>
    <cfRule type="containsText" dxfId="71" priority="67" operator="containsText" text="5">
      <formula>NOT(ISERROR(SEARCH("5",K29721)))</formula>
    </cfRule>
    <cfRule type="containsText" dxfId="70" priority="68" operator="containsText" text="4">
      <formula>NOT(ISERROR(SEARCH("4",K29721)))</formula>
    </cfRule>
    <cfRule type="containsText" dxfId="69" priority="69" operator="containsText" text="3">
      <formula>NOT(ISERROR(SEARCH("3",K29721)))</formula>
    </cfRule>
    <cfRule type="containsText" dxfId="68" priority="70" operator="containsText" text="2">
      <formula>NOT(ISERROR(SEARCH("2",K29721)))</formula>
    </cfRule>
    <cfRule type="containsText" dxfId="67" priority="71" operator="containsText" text="1">
      <formula>NOT(ISERROR(SEARCH("1",K29721)))</formula>
    </cfRule>
    <cfRule type="containsText" dxfId="66" priority="72" operator="containsText" text="0">
      <formula>NOT(ISERROR(SEARCH("0",K29721)))</formula>
    </cfRule>
  </conditionalFormatting>
  <conditionalFormatting sqref="K1959:T12048">
    <cfRule type="containsText" dxfId="65" priority="53" operator="containsText" text="9">
      <formula>NOT(ISERROR(SEARCH("9",K1959)))</formula>
    </cfRule>
    <cfRule type="containsText" dxfId="64" priority="54" operator="containsText" text="8">
      <formula>NOT(ISERROR(SEARCH("8",K1959)))</formula>
    </cfRule>
    <cfRule type="containsText" dxfId="63" priority="55" operator="containsText" text="7">
      <formula>NOT(ISERROR(SEARCH("7",K1959)))</formula>
    </cfRule>
    <cfRule type="containsText" dxfId="62" priority="56" operator="containsText" text="6">
      <formula>NOT(ISERROR(SEARCH("6",K1959)))</formula>
    </cfRule>
    <cfRule type="containsText" dxfId="61" priority="57" operator="containsText" text="5">
      <formula>NOT(ISERROR(SEARCH("5",K1959)))</formula>
    </cfRule>
    <cfRule type="containsText" dxfId="60" priority="58" operator="containsText" text="4">
      <formula>NOT(ISERROR(SEARCH("4",K1959)))</formula>
    </cfRule>
    <cfRule type="containsText" dxfId="59" priority="59" operator="containsText" text="3">
      <formula>NOT(ISERROR(SEARCH("3",K1959)))</formula>
    </cfRule>
    <cfRule type="containsText" dxfId="58" priority="60" operator="containsText" text="2">
      <formula>NOT(ISERROR(SEARCH("2",K1959)))</formula>
    </cfRule>
    <cfRule type="containsText" dxfId="57" priority="61" operator="containsText" text="1">
      <formula>NOT(ISERROR(SEARCH("1",K1959)))</formula>
    </cfRule>
    <cfRule type="containsText" dxfId="56" priority="62" operator="containsText" text="0">
      <formula>NOT(ISERROR(SEARCH("0",K1959)))</formula>
    </cfRule>
  </conditionalFormatting>
  <conditionalFormatting sqref="K1215:T1958 L566:L1214">
    <cfRule type="containsText" dxfId="55" priority="43" operator="containsText" text="9">
      <formula>NOT(ISERROR(SEARCH("9",K566)))</formula>
    </cfRule>
    <cfRule type="containsText" dxfId="54" priority="44" operator="containsText" text="8">
      <formula>NOT(ISERROR(SEARCH("8",K566)))</formula>
    </cfRule>
    <cfRule type="containsText" dxfId="53" priority="45" operator="containsText" text="7">
      <formula>NOT(ISERROR(SEARCH("7",K566)))</formula>
    </cfRule>
    <cfRule type="containsText" dxfId="52" priority="46" operator="containsText" text="6">
      <formula>NOT(ISERROR(SEARCH("6",K566)))</formula>
    </cfRule>
    <cfRule type="containsText" dxfId="51" priority="47" operator="containsText" text="5">
      <formula>NOT(ISERROR(SEARCH("5",K566)))</formula>
    </cfRule>
    <cfRule type="containsText" dxfId="50" priority="48" operator="containsText" text="4">
      <formula>NOT(ISERROR(SEARCH("4",K566)))</formula>
    </cfRule>
    <cfRule type="containsText" dxfId="49" priority="49" operator="containsText" text="3">
      <formula>NOT(ISERROR(SEARCH("3",K566)))</formula>
    </cfRule>
    <cfRule type="containsText" dxfId="48" priority="50" operator="containsText" text="2">
      <formula>NOT(ISERROR(SEARCH("2",K566)))</formula>
    </cfRule>
    <cfRule type="containsText" dxfId="47" priority="51" operator="containsText" text="1">
      <formula>NOT(ISERROR(SEARCH("1",K566)))</formula>
    </cfRule>
    <cfRule type="containsText" dxfId="46" priority="52" operator="containsText" text="0">
      <formula>NOT(ISERROR(SEARCH("0",K566)))</formula>
    </cfRule>
  </conditionalFormatting>
  <conditionalFormatting sqref="K19512:T19512">
    <cfRule type="containsText" dxfId="45" priority="73" operator="containsText" text="9">
      <formula>NOT(ISERROR(SEARCH("9",K19512)))</formula>
    </cfRule>
    <cfRule type="containsText" dxfId="44" priority="74" operator="containsText" text="8">
      <formula>NOT(ISERROR(SEARCH("8",K19512)))</formula>
    </cfRule>
    <cfRule type="containsText" dxfId="43" priority="75" operator="containsText" text="7">
      <formula>NOT(ISERROR(SEARCH("7",K19512)))</formula>
    </cfRule>
    <cfRule type="containsText" dxfId="42" priority="76" operator="containsText" text="6">
      <formula>NOT(ISERROR(SEARCH("6",K19512)))</formula>
    </cfRule>
    <cfRule type="containsText" dxfId="41" priority="77" operator="containsText" text="5">
      <formula>NOT(ISERROR(SEARCH("5",K19512)))</formula>
    </cfRule>
    <cfRule type="containsText" dxfId="40" priority="78" operator="containsText" text="4">
      <formula>NOT(ISERROR(SEARCH("4",K19512)))</formula>
    </cfRule>
    <cfRule type="containsText" dxfId="39" priority="79" operator="containsText" text="3">
      <formula>NOT(ISERROR(SEARCH("3",K19512)))</formula>
    </cfRule>
    <cfRule type="containsText" dxfId="38" priority="80" operator="containsText" text="2">
      <formula>NOT(ISERROR(SEARCH("2",K19512)))</formula>
    </cfRule>
    <cfRule type="containsText" dxfId="37" priority="81" operator="containsText" text="1">
      <formula>NOT(ISERROR(SEARCH("1",K19512)))</formula>
    </cfRule>
    <cfRule type="containsText" dxfId="36" priority="82" operator="containsText" text="0">
      <formula>NOT(ISERROR(SEARCH("0",K19512)))</formula>
    </cfRule>
  </conditionalFormatting>
  <conditionalFormatting sqref="L431:L565">
    <cfRule type="containsText" dxfId="35" priority="33" operator="containsText" text="9">
      <formula>NOT(ISERROR(SEARCH("9",L431)))</formula>
    </cfRule>
    <cfRule type="containsText" dxfId="34" priority="34" operator="containsText" text="8">
      <formula>NOT(ISERROR(SEARCH("8",L431)))</formula>
    </cfRule>
    <cfRule type="containsText" dxfId="33" priority="35" operator="containsText" text="7">
      <formula>NOT(ISERROR(SEARCH("7",L431)))</formula>
    </cfRule>
    <cfRule type="containsText" dxfId="32" priority="36" operator="containsText" text="6">
      <formula>NOT(ISERROR(SEARCH("6",L431)))</formula>
    </cfRule>
    <cfRule type="containsText" dxfId="31" priority="37" operator="containsText" text="5">
      <formula>NOT(ISERROR(SEARCH("5",L431)))</formula>
    </cfRule>
    <cfRule type="containsText" dxfId="30" priority="38" operator="containsText" text="4">
      <formula>NOT(ISERROR(SEARCH("4",L431)))</formula>
    </cfRule>
    <cfRule type="containsText" dxfId="29" priority="39" operator="containsText" text="3">
      <formula>NOT(ISERROR(SEARCH("3",L431)))</formula>
    </cfRule>
    <cfRule type="containsText" dxfId="28" priority="40" operator="containsText" text="2">
      <formula>NOT(ISERROR(SEARCH("2",L431)))</formula>
    </cfRule>
    <cfRule type="containsText" dxfId="27" priority="41" operator="containsText" text="1">
      <formula>NOT(ISERROR(SEARCH("1",L431)))</formula>
    </cfRule>
    <cfRule type="containsText" dxfId="26" priority="42" operator="containsText" text="0">
      <formula>NOT(ISERROR(SEARCH("0",L431)))</formula>
    </cfRule>
  </conditionalFormatting>
  <conditionalFormatting sqref="L405:L430">
    <cfRule type="containsText" dxfId="25" priority="23" operator="containsText" text="9">
      <formula>NOT(ISERROR(SEARCH("9",L405)))</formula>
    </cfRule>
    <cfRule type="containsText" dxfId="24" priority="24" operator="containsText" text="8">
      <formula>NOT(ISERROR(SEARCH("8",L405)))</formula>
    </cfRule>
    <cfRule type="containsText" dxfId="23" priority="25" operator="containsText" text="7">
      <formula>NOT(ISERROR(SEARCH("7",L405)))</formula>
    </cfRule>
    <cfRule type="containsText" dxfId="22" priority="26" operator="containsText" text="6">
      <formula>NOT(ISERROR(SEARCH("6",L405)))</formula>
    </cfRule>
    <cfRule type="containsText" dxfId="21" priority="27" operator="containsText" text="5">
      <formula>NOT(ISERROR(SEARCH("5",L405)))</formula>
    </cfRule>
    <cfRule type="containsText" dxfId="20" priority="28" operator="containsText" text="4">
      <formula>NOT(ISERROR(SEARCH("4",L405)))</formula>
    </cfRule>
    <cfRule type="containsText" dxfId="19" priority="29" operator="containsText" text="3">
      <formula>NOT(ISERROR(SEARCH("3",L405)))</formula>
    </cfRule>
    <cfRule type="containsText" dxfId="18" priority="30" operator="containsText" text="2">
      <formula>NOT(ISERROR(SEARCH("2",L405)))</formula>
    </cfRule>
    <cfRule type="containsText" dxfId="17" priority="31" operator="containsText" text="1">
      <formula>NOT(ISERROR(SEARCH("1",L405)))</formula>
    </cfRule>
    <cfRule type="containsText" dxfId="16" priority="32" operator="containsText" text="0">
      <formula>NOT(ISERROR(SEARCH("0",L405)))</formula>
    </cfRule>
  </conditionalFormatting>
  <conditionalFormatting sqref="AF21:AF42710">
    <cfRule type="cellIs" dxfId="15" priority="14" operator="equal">
      <formula>$AF$12*-1</formula>
    </cfRule>
    <cfRule type="cellIs" dxfId="14" priority="138" operator="equal">
      <formula>$AF$12</formula>
    </cfRule>
  </conditionalFormatting>
  <conditionalFormatting sqref="AG21:AG42710">
    <cfRule type="cellIs" dxfId="13" priority="16" operator="equal">
      <formula>$AG$15</formula>
    </cfRule>
    <cfRule type="cellIs" dxfId="12" priority="17" operator="equal">
      <formula>$AF$15*-1</formula>
    </cfRule>
  </conditionalFormatting>
  <conditionalFormatting sqref="AK21:AK42710">
    <cfRule type="cellIs" dxfId="11" priority="13" operator="equal">
      <formula>$AK$5</formula>
    </cfRule>
  </conditionalFormatting>
  <conditionalFormatting sqref="L22:L404">
    <cfRule type="containsText" dxfId="10" priority="2" operator="containsText" text="9">
      <formula>NOT(ISERROR(SEARCH("9",L22)))</formula>
    </cfRule>
    <cfRule type="containsText" dxfId="9" priority="3" operator="containsText" text="8">
      <formula>NOT(ISERROR(SEARCH("8",L22)))</formula>
    </cfRule>
    <cfRule type="containsText" dxfId="8" priority="4" operator="containsText" text="7">
      <formula>NOT(ISERROR(SEARCH("7",L22)))</formula>
    </cfRule>
    <cfRule type="containsText" dxfId="7" priority="5" operator="containsText" text="6">
      <formula>NOT(ISERROR(SEARCH("6",L22)))</formula>
    </cfRule>
    <cfRule type="containsText" dxfId="6" priority="6" operator="containsText" text="5">
      <formula>NOT(ISERROR(SEARCH("5",L22)))</formula>
    </cfRule>
    <cfRule type="containsText" dxfId="5" priority="7" operator="containsText" text="4">
      <formula>NOT(ISERROR(SEARCH("4",L22)))</formula>
    </cfRule>
    <cfRule type="containsText" dxfId="4" priority="8" operator="containsText" text="3">
      <formula>NOT(ISERROR(SEARCH("3",L22)))</formula>
    </cfRule>
    <cfRule type="containsText" dxfId="3" priority="9" operator="containsText" text="2">
      <formula>NOT(ISERROR(SEARCH("2",L22)))</formula>
    </cfRule>
    <cfRule type="containsText" dxfId="2" priority="10" operator="containsText" text="1">
      <formula>NOT(ISERROR(SEARCH("1",L22)))</formula>
    </cfRule>
    <cfRule type="containsText" dxfId="1" priority="11" operator="containsText" text="0">
      <formula>NOT(ISERROR(SEARCH("0",L22)))</formula>
    </cfRule>
  </conditionalFormatting>
  <conditionalFormatting sqref="X21:X40000">
    <cfRule type="cellIs" dxfId="0" priority="1" operator="equal">
      <formula>$X$5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Лист9.Заполнить_таблицу2">
                <anchor moveWithCells="1" sizeWithCells="1">
                  <from>
                    <xdr:col>19</xdr:col>
                    <xdr:colOff>38100</xdr:colOff>
                    <xdr:row>6</xdr:row>
                    <xdr:rowOff>171450</xdr:rowOff>
                  </from>
                  <to>
                    <xdr:col>20</xdr:col>
                    <xdr:colOff>962025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Лист9.Вставить_РСУ">
                <anchor moveWithCells="1">
                  <from>
                    <xdr:col>11</xdr:col>
                    <xdr:colOff>609600</xdr:colOff>
                    <xdr:row>6</xdr:row>
                    <xdr:rowOff>180975</xdr:rowOff>
                  </from>
                  <to>
                    <xdr:col>14</xdr:col>
                    <xdr:colOff>76200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Лист9.Вставить_РСН">
                <anchor moveWithCells="1">
                  <from>
                    <xdr:col>11</xdr:col>
                    <xdr:colOff>609600</xdr:colOff>
                    <xdr:row>11</xdr:row>
                    <xdr:rowOff>123825</xdr:rowOff>
                  </from>
                  <to>
                    <xdr:col>14</xdr:col>
                    <xdr:colOff>85725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utton 7">
              <controlPr defaultSize="0" print="0" autoFill="0" autoPict="0" macro="[0]!ЭтаКнига.Очистить_данные2">
                <anchor moveWithCells="1">
                  <from>
                    <xdr:col>10</xdr:col>
                    <xdr:colOff>85725</xdr:colOff>
                    <xdr:row>6</xdr:row>
                    <xdr:rowOff>171450</xdr:rowOff>
                  </from>
                  <to>
                    <xdr:col>11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Лист9.Добавить_РСН">
                <anchor moveWithCells="1">
                  <from>
                    <xdr:col>15</xdr:col>
                    <xdr:colOff>257175</xdr:colOff>
                    <xdr:row>11</xdr:row>
                    <xdr:rowOff>133350</xdr:rowOff>
                  </from>
                  <to>
                    <xdr:col>17</xdr:col>
                    <xdr:colOff>704850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Лист9.Добавить_РСУ">
                <anchor moveWithCells="1">
                  <from>
                    <xdr:col>15</xdr:col>
                    <xdr:colOff>257175</xdr:colOff>
                    <xdr:row>6</xdr:row>
                    <xdr:rowOff>180975</xdr:rowOff>
                  </from>
                  <to>
                    <xdr:col>17</xdr:col>
                    <xdr:colOff>695325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3"/>
  <dimension ref="A1:S32"/>
  <sheetViews>
    <sheetView workbookViewId="0">
      <selection activeCell="C20" sqref="C20:H31"/>
    </sheetView>
  </sheetViews>
  <sheetFormatPr defaultRowHeight="15" x14ac:dyDescent="0.25"/>
  <cols>
    <col min="2" max="2" width="10" customWidth="1"/>
    <col min="3" max="8" width="14.7109375" customWidth="1"/>
    <col min="14" max="19" width="9.140625" hidden="1" customWidth="1"/>
  </cols>
  <sheetData>
    <row r="1" spans="1:19" ht="15" customHeight="1" x14ac:dyDescent="0.25">
      <c r="A1" s="320" t="s">
        <v>2141</v>
      </c>
      <c r="B1" s="321"/>
      <c r="C1" s="324" t="str">
        <f>"N, kN"</f>
        <v>N, kN</v>
      </c>
      <c r="D1" s="310" t="str">
        <f>"Qo, kN"</f>
        <v>Qo, kN</v>
      </c>
      <c r="E1" s="310" t="str">
        <f>"Q, kN"</f>
        <v>Q, kN</v>
      </c>
      <c r="F1" s="310" t="s">
        <v>2142</v>
      </c>
      <c r="G1" s="310" t="str">
        <f>"M, kN*m"</f>
        <v>M, kN*m</v>
      </c>
      <c r="H1" s="310" t="str">
        <f>"Mo, kN*m"</f>
        <v>Mo, kN*m</v>
      </c>
      <c r="I1" s="309" t="s">
        <v>2164</v>
      </c>
      <c r="J1" s="309"/>
      <c r="K1" s="309"/>
      <c r="L1" s="309"/>
      <c r="N1" s="324" t="str">
        <f>"N, kN"</f>
        <v>N, kN</v>
      </c>
      <c r="O1" s="310" t="str">
        <f>"Qo, kN"</f>
        <v>Qo, kN</v>
      </c>
      <c r="P1" s="310" t="str">
        <f>"Q, kN"</f>
        <v>Q, kN</v>
      </c>
      <c r="Q1" s="310" t="s">
        <v>2142</v>
      </c>
      <c r="R1" s="310" t="str">
        <f>"M, kN*m"</f>
        <v>M, kN*m</v>
      </c>
      <c r="S1" s="310" t="str">
        <f>"Mo, kN*m"</f>
        <v>Mo, kN*m</v>
      </c>
    </row>
    <row r="2" spans="1:19" ht="15.75" thickBot="1" x14ac:dyDescent="0.3">
      <c r="A2" s="322"/>
      <c r="B2" s="323"/>
      <c r="C2" s="325"/>
      <c r="D2" s="311"/>
      <c r="E2" s="311"/>
      <c r="F2" s="311"/>
      <c r="G2" s="311"/>
      <c r="H2" s="311"/>
      <c r="I2" s="309"/>
      <c r="J2" s="309"/>
      <c r="K2" s="309"/>
      <c r="L2" s="309"/>
      <c r="N2" s="325"/>
      <c r="O2" s="311"/>
      <c r="P2" s="311"/>
      <c r="Q2" s="311"/>
      <c r="R2" s="311"/>
      <c r="S2" s="311"/>
    </row>
    <row r="3" spans="1:19" x14ac:dyDescent="0.25">
      <c r="A3" s="312" t="s">
        <v>2143</v>
      </c>
      <c r="B3" s="313"/>
      <c r="C3" s="316" t="str">
        <f>"N, kN"</f>
        <v>N, kN</v>
      </c>
      <c r="D3" s="318" t="str">
        <f>"QY, kN"</f>
        <v>QY, kN</v>
      </c>
      <c r="E3" s="318" t="str">
        <f>"QZ, kN"</f>
        <v>QZ, kN</v>
      </c>
      <c r="F3" s="318" t="s">
        <v>2144</v>
      </c>
      <c r="G3" s="318" t="str">
        <f>"MY, kN*m"</f>
        <v>MY, kN*m</v>
      </c>
      <c r="H3" s="318" t="str">
        <f>"MZ, kN*m"</f>
        <v>MZ, kN*m</v>
      </c>
      <c r="I3" s="309"/>
      <c r="J3" s="309"/>
      <c r="K3" s="309"/>
      <c r="L3" s="309"/>
      <c r="N3" s="316" t="str">
        <f>"N, kN"</f>
        <v>N, kN</v>
      </c>
      <c r="O3" s="318" t="str">
        <f>"QY, kN"</f>
        <v>QY, kN</v>
      </c>
      <c r="P3" s="318" t="str">
        <f>"QZ, kN"</f>
        <v>QZ, kN</v>
      </c>
      <c r="Q3" s="318" t="s">
        <v>2144</v>
      </c>
      <c r="R3" s="318" t="str">
        <f>"MY, kN*m"</f>
        <v>MY, kN*m</v>
      </c>
      <c r="S3" s="318" t="str">
        <f>"MZ, kN*m"</f>
        <v>MZ, kN*m</v>
      </c>
    </row>
    <row r="4" spans="1:19" ht="15.75" thickBot="1" x14ac:dyDescent="0.3">
      <c r="A4" s="314"/>
      <c r="B4" s="315"/>
      <c r="C4" s="317"/>
      <c r="D4" s="319"/>
      <c r="E4" s="319"/>
      <c r="F4" s="319"/>
      <c r="G4" s="319"/>
      <c r="H4" s="319"/>
      <c r="I4" s="309"/>
      <c r="J4" s="309"/>
      <c r="K4" s="309"/>
      <c r="L4" s="309"/>
      <c r="N4" s="317"/>
      <c r="O4" s="319"/>
      <c r="P4" s="319"/>
      <c r="Q4" s="319"/>
      <c r="R4" s="319"/>
      <c r="S4" s="319"/>
    </row>
    <row r="5" spans="1:19" x14ac:dyDescent="0.25">
      <c r="A5" s="297" t="s">
        <v>2145</v>
      </c>
      <c r="B5" s="298"/>
      <c r="C5" s="301" t="str">
        <f>"N, kN"</f>
        <v>N, kN</v>
      </c>
      <c r="D5" s="301" t="str">
        <f>"Vy, kN"</f>
        <v>Vy, kN</v>
      </c>
      <c r="E5" s="303" t="str">
        <f>"Vz, kN"</f>
        <v>Vz, kN</v>
      </c>
      <c r="F5" s="293" t="s">
        <v>2146</v>
      </c>
      <c r="G5" s="293" t="str">
        <f>"My, kN*m"</f>
        <v>My, kN*m</v>
      </c>
      <c r="H5" s="293" t="str">
        <f>"Mz, kN*m"</f>
        <v>Mz, kN*m</v>
      </c>
      <c r="I5" s="309"/>
      <c r="J5" s="309"/>
      <c r="K5" s="309"/>
      <c r="L5" s="309"/>
      <c r="N5" s="301" t="str">
        <f>"N, kN"</f>
        <v>N, kN</v>
      </c>
      <c r="O5" s="301" t="str">
        <f>"Vy, kN"</f>
        <v>Vy, kN</v>
      </c>
      <c r="P5" s="303" t="str">
        <f>"Vz, kN"</f>
        <v>Vz, kN</v>
      </c>
      <c r="Q5" s="293" t="s">
        <v>2146</v>
      </c>
      <c r="R5" s="293" t="str">
        <f>"My, kN*m"</f>
        <v>My, kN*m</v>
      </c>
      <c r="S5" s="293" t="str">
        <f>"Mz, kN*m"</f>
        <v>Mz, kN*m</v>
      </c>
    </row>
    <row r="6" spans="1:19" ht="15.75" thickBot="1" x14ac:dyDescent="0.3">
      <c r="A6" s="299"/>
      <c r="B6" s="300"/>
      <c r="C6" s="302"/>
      <c r="D6" s="302"/>
      <c r="E6" s="304"/>
      <c r="F6" s="294"/>
      <c r="G6" s="294"/>
      <c r="H6" s="294"/>
      <c r="I6" s="309"/>
      <c r="J6" s="309"/>
      <c r="K6" s="309"/>
      <c r="L6" s="309"/>
      <c r="N6" s="327"/>
      <c r="O6" s="327"/>
      <c r="P6" s="328"/>
      <c r="Q6" s="326"/>
      <c r="R6" s="326"/>
      <c r="S6" s="326"/>
    </row>
    <row r="7" spans="1:19" ht="15.75" x14ac:dyDescent="0.25">
      <c r="A7" s="291" t="s">
        <v>2147</v>
      </c>
      <c r="B7" s="292"/>
      <c r="C7" s="153">
        <f ca="1">IFERROR(N7,0)</f>
        <v>19.52</v>
      </c>
      <c r="D7" s="153">
        <f ca="1">IFERROR(IF(OR(AND(O7&gt;0,S7&lt;0),AND(O7&lt;0,S7&gt;0)),O7*-1,O7),0)</f>
        <v>0.36606</v>
      </c>
      <c r="E7" s="153">
        <f ca="1">IFERROR(IF(OR(AND(P7&gt;0,R7&gt;0),AND(P7&lt;0,R7&lt;0)),P7*-1,P7),0)</f>
        <v>-0.46994999999999998</v>
      </c>
      <c r="F7" s="153">
        <f ca="1">IFERROR(Q7,0)</f>
        <v>9.0069999999999997E-2</v>
      </c>
      <c r="G7" s="153" t="str">
        <f t="shared" ref="G7:H7" ca="1" si="0">IFERROR(R7,0)</f>
        <v>-</v>
      </c>
      <c r="H7" s="153" t="str">
        <f t="shared" ca="1" si="0"/>
        <v>-</v>
      </c>
      <c r="I7" s="309"/>
      <c r="J7" s="309"/>
      <c r="K7" s="309"/>
      <c r="L7" s="309"/>
      <c r="N7" s="96">
        <f ca="1">'DCL(РСН)'!AB5</f>
        <v>19.52</v>
      </c>
      <c r="O7" s="96">
        <f ca="1">'DCL(РСН)'!AA5</f>
        <v>0.36606</v>
      </c>
      <c r="P7" s="96">
        <f ca="1">'DCL(РСН)'!AC5</f>
        <v>0.46994999999999998</v>
      </c>
      <c r="Q7" s="96">
        <f ca="1">'DCL(РСН)'!AD5</f>
        <v>9.0069999999999997E-2</v>
      </c>
      <c r="R7" s="96" t="str">
        <f ca="1">'DCL(РСН)'!AE5</f>
        <v>-</v>
      </c>
      <c r="S7" s="96" t="str">
        <f ca="1">'DCL(РСН)'!AF5</f>
        <v>-</v>
      </c>
    </row>
    <row r="8" spans="1:19" x14ac:dyDescent="0.25">
      <c r="A8" s="305" t="s">
        <v>2148</v>
      </c>
      <c r="B8" s="306"/>
      <c r="C8" s="96">
        <f t="shared" ref="C8:C18" ca="1" si="1">IFERROR(N8,0)</f>
        <v>-3.3858999999999999</v>
      </c>
      <c r="D8" s="153">
        <f t="shared" ref="D8:D18" ca="1" si="2">IFERROR(IF(OR(AND(O8&gt;0,S8&lt;0),AND(O8&lt;0,S8&gt;0)),O8*-1,O8),0)</f>
        <v>-9.8999999999999999E-4</v>
      </c>
      <c r="E8" s="153">
        <f t="shared" ref="E8:E18" ca="1" si="3">IFERROR(IF(OR(AND(P8&gt;0,R8&gt;0),AND(P8&lt;0,R8&lt;0)),P8*-1,P8),0)</f>
        <v>1.6808000000000001</v>
      </c>
      <c r="F8" s="96">
        <f t="shared" ref="F8:F18" ca="1" si="4">IFERROR(Q8,0)</f>
        <v>-1.984E-2</v>
      </c>
      <c r="G8" s="96">
        <f t="shared" ref="G8:G18" ca="1" si="5">IFERROR(R8,0)</f>
        <v>0</v>
      </c>
      <c r="H8" s="96">
        <f t="shared" ref="H8:H18" ca="1" si="6">IFERROR(S8,0)</f>
        <v>0</v>
      </c>
      <c r="I8" s="309"/>
      <c r="J8" s="309"/>
      <c r="K8" s="309"/>
      <c r="L8" s="309"/>
      <c r="N8" s="96">
        <f ca="1">'DCL(РСН)'!AB7</f>
        <v>-3.3858999999999999</v>
      </c>
      <c r="O8" s="96">
        <f ca="1">'DCL(РСН)'!AA7</f>
        <v>-9.8999999999999999E-4</v>
      </c>
      <c r="P8" s="96">
        <f ca="1">'DCL(РСН)'!AC7</f>
        <v>1.6808000000000001</v>
      </c>
      <c r="Q8" s="96">
        <f ca="1">'DCL(РСН)'!AD7</f>
        <v>-1.984E-2</v>
      </c>
      <c r="R8" s="96">
        <f ca="1">'DCL(РСН)'!AE7</f>
        <v>0</v>
      </c>
      <c r="S8" s="96">
        <f ca="1">'DCL(РСН)'!AF7</f>
        <v>0</v>
      </c>
    </row>
    <row r="9" spans="1:19" x14ac:dyDescent="0.25">
      <c r="A9" s="307" t="s">
        <v>2149</v>
      </c>
      <c r="B9" s="308"/>
      <c r="C9" s="96">
        <f t="shared" ca="1" si="1"/>
        <v>6.9880000000000004</v>
      </c>
      <c r="D9" s="153">
        <f t="shared" ca="1" si="2"/>
        <v>0.36606</v>
      </c>
      <c r="E9" s="153">
        <f t="shared" ca="1" si="3"/>
        <v>1.6221000000000001</v>
      </c>
      <c r="F9" s="96">
        <f t="shared" ca="1" si="4"/>
        <v>1.3999999999999999E-4</v>
      </c>
      <c r="G9" s="96">
        <f t="shared" ca="1" si="5"/>
        <v>0</v>
      </c>
      <c r="H9" s="96">
        <f t="shared" ca="1" si="6"/>
        <v>0</v>
      </c>
      <c r="N9" s="96">
        <f ca="1">'DCL(РСН)'!AB8</f>
        <v>6.9880000000000004</v>
      </c>
      <c r="O9" s="96">
        <f ca="1">'DCL(РСН)'!AA8</f>
        <v>0.36606</v>
      </c>
      <c r="P9" s="96">
        <f ca="1">'DCL(РСН)'!AC8</f>
        <v>1.6221000000000001</v>
      </c>
      <c r="Q9" s="96">
        <f ca="1">'DCL(РСН)'!AD8</f>
        <v>1.3999999999999999E-4</v>
      </c>
      <c r="R9" s="96">
        <f ca="1">'DCL(РСН)'!AE8</f>
        <v>0</v>
      </c>
      <c r="S9" s="96">
        <f ca="1">'DCL(РСН)'!AF8</f>
        <v>0</v>
      </c>
    </row>
    <row r="10" spans="1:19" x14ac:dyDescent="0.25">
      <c r="A10" s="295" t="s">
        <v>2150</v>
      </c>
      <c r="B10" s="296"/>
      <c r="C10" s="96">
        <f t="shared" ca="1" si="1"/>
        <v>1.5114000000000001</v>
      </c>
      <c r="D10" s="153">
        <f t="shared" ca="1" si="2"/>
        <v>-0.18643999999999999</v>
      </c>
      <c r="E10" s="153">
        <f t="shared" ca="1" si="3"/>
        <v>1.6412</v>
      </c>
      <c r="F10" s="96">
        <f t="shared" ca="1" si="4"/>
        <v>9.0069999999999997E-2</v>
      </c>
      <c r="G10" s="96">
        <f t="shared" ca="1" si="5"/>
        <v>0</v>
      </c>
      <c r="H10" s="96">
        <f t="shared" ca="1" si="6"/>
        <v>0</v>
      </c>
      <c r="N10" s="96">
        <f ca="1">'DCL(РСН)'!AB9</f>
        <v>1.5114000000000001</v>
      </c>
      <c r="O10" s="96">
        <f ca="1">'DCL(РСН)'!AA9</f>
        <v>-0.18643999999999999</v>
      </c>
      <c r="P10" s="96">
        <f ca="1">'DCL(РСН)'!AC9</f>
        <v>1.6412</v>
      </c>
      <c r="Q10" s="96">
        <f ca="1">'DCL(РСН)'!AD9</f>
        <v>9.0069999999999997E-2</v>
      </c>
      <c r="R10" s="96">
        <f ca="1">'DCL(РСН)'!AE9</f>
        <v>0</v>
      </c>
      <c r="S10" s="96">
        <f ca="1">'DCL(РСН)'!AF9</f>
        <v>0</v>
      </c>
    </row>
    <row r="11" spans="1:19" x14ac:dyDescent="0.25">
      <c r="A11" s="269" t="s">
        <v>2155</v>
      </c>
      <c r="B11" s="270"/>
      <c r="C11" s="96">
        <f t="shared" ca="1" si="1"/>
        <v>19.52</v>
      </c>
      <c r="D11" s="153">
        <f t="shared" ca="1" si="2"/>
        <v>-2.2360000000000001E-2</v>
      </c>
      <c r="E11" s="153">
        <f t="shared" ca="1" si="3"/>
        <v>0.46994999999999998</v>
      </c>
      <c r="F11" s="96">
        <f t="shared" ca="1" si="4"/>
        <v>-2.5520000000000001E-2</v>
      </c>
      <c r="G11" s="96">
        <f t="shared" ca="1" si="5"/>
        <v>0</v>
      </c>
      <c r="H11" s="96">
        <f t="shared" ca="1" si="6"/>
        <v>0</v>
      </c>
      <c r="N11" s="96">
        <f ca="1">'DCL(РСН)'!AB10</f>
        <v>19.52</v>
      </c>
      <c r="O11" s="96">
        <f ca="1">'DCL(РСН)'!AA10</f>
        <v>-2.2360000000000001E-2</v>
      </c>
      <c r="P11" s="96">
        <f ca="1">'DCL(РСН)'!AC10</f>
        <v>0.46994999999999998</v>
      </c>
      <c r="Q11" s="96">
        <f ca="1">'DCL(РСН)'!AD10</f>
        <v>-2.5520000000000001E-2</v>
      </c>
      <c r="R11" s="96">
        <f ca="1">'DCL(РСН)'!AE10</f>
        <v>0</v>
      </c>
      <c r="S11" s="96">
        <f ca="1">'DCL(РСН)'!AF10</f>
        <v>0</v>
      </c>
    </row>
    <row r="12" spans="1:19" x14ac:dyDescent="0.25">
      <c r="A12" s="273" t="s">
        <v>2151</v>
      </c>
      <c r="B12" s="274"/>
      <c r="C12" s="96">
        <f t="shared" ca="1" si="1"/>
        <v>0</v>
      </c>
      <c r="D12" s="153">
        <f t="shared" ca="1" si="2"/>
        <v>0</v>
      </c>
      <c r="E12" s="153">
        <f t="shared" ca="1" si="3"/>
        <v>0</v>
      </c>
      <c r="F12" s="96">
        <f t="shared" ca="1" si="4"/>
        <v>0</v>
      </c>
      <c r="G12" s="96">
        <f t="shared" ca="1" si="5"/>
        <v>0</v>
      </c>
      <c r="H12" s="96">
        <f t="shared" ca="1" si="6"/>
        <v>0</v>
      </c>
      <c r="N12" s="96">
        <f ca="1">'DCL(РСН)'!AB11</f>
        <v>0</v>
      </c>
      <c r="O12" s="96">
        <f ca="1">'DCL(РСН)'!AA11</f>
        <v>0</v>
      </c>
      <c r="P12" s="96">
        <f ca="1">'DCL(РСН)'!AC11</f>
        <v>0</v>
      </c>
      <c r="Q12" s="96">
        <f ca="1">'DCL(РСН)'!AD11</f>
        <v>0</v>
      </c>
      <c r="R12" s="96">
        <f ca="1">'DCL(РСН)'!AE11</f>
        <v>0</v>
      </c>
      <c r="S12" s="96">
        <f ca="1">'DCL(РСН)'!AF11</f>
        <v>0</v>
      </c>
    </row>
    <row r="13" spans="1:19" x14ac:dyDescent="0.25">
      <c r="A13" s="271" t="s">
        <v>2152</v>
      </c>
      <c r="B13" s="272"/>
      <c r="C13" s="96">
        <f t="shared" ca="1" si="1"/>
        <v>0</v>
      </c>
      <c r="D13" s="153">
        <f t="shared" ca="1" si="2"/>
        <v>0</v>
      </c>
      <c r="E13" s="153">
        <f t="shared" ca="1" si="3"/>
        <v>0</v>
      </c>
      <c r="F13" s="96">
        <f t="shared" ca="1" si="4"/>
        <v>0</v>
      </c>
      <c r="G13" s="96">
        <f t="shared" ca="1" si="5"/>
        <v>0</v>
      </c>
      <c r="H13" s="96">
        <f t="shared" ca="1" si="6"/>
        <v>0</v>
      </c>
      <c r="N13" s="96">
        <f ca="1">'DCL(РСН)'!AB12</f>
        <v>0</v>
      </c>
      <c r="O13" s="96">
        <f ca="1">'DCL(РСН)'!AA12</f>
        <v>0</v>
      </c>
      <c r="P13" s="96">
        <f ca="1">'DCL(РСН)'!AC12</f>
        <v>0</v>
      </c>
      <c r="Q13" s="96">
        <f ca="1">'DCL(РСН)'!AD12</f>
        <v>0</v>
      </c>
      <c r="R13" s="96">
        <f ca="1">'DCL(РСН)'!AE12</f>
        <v>0</v>
      </c>
      <c r="S13" s="96">
        <f ca="1">'DCL(РСН)'!AF12</f>
        <v>0</v>
      </c>
    </row>
    <row r="14" spans="1:19" x14ac:dyDescent="0.25">
      <c r="A14" s="275" t="s">
        <v>2153</v>
      </c>
      <c r="B14" s="276"/>
      <c r="C14" s="96">
        <f t="shared" ca="1" si="1"/>
        <v>19.52</v>
      </c>
      <c r="D14" s="153">
        <f t="shared" ca="1" si="2"/>
        <v>-2.2360000000000001E-2</v>
      </c>
      <c r="E14" s="153">
        <f t="shared" ca="1" si="3"/>
        <v>0.46994999999999998</v>
      </c>
      <c r="F14" s="96">
        <f t="shared" ca="1" si="4"/>
        <v>-2.5520000000000001E-2</v>
      </c>
      <c r="G14" s="96">
        <f t="shared" ca="1" si="5"/>
        <v>0</v>
      </c>
      <c r="H14" s="96">
        <f t="shared" ca="1" si="6"/>
        <v>0</v>
      </c>
      <c r="N14" s="96">
        <f ca="1">'DCL(РСН)'!AB13</f>
        <v>19.52</v>
      </c>
      <c r="O14" s="96">
        <f ca="1">'DCL(РСН)'!AA13</f>
        <v>-2.2360000000000001E-2</v>
      </c>
      <c r="P14" s="96">
        <f ca="1">'DCL(РСН)'!AC13</f>
        <v>0.46994999999999998</v>
      </c>
      <c r="Q14" s="96">
        <f ca="1">'DCL(РСН)'!AD13</f>
        <v>-2.5520000000000001E-2</v>
      </c>
      <c r="R14" s="96">
        <f ca="1">'DCL(РСН)'!AE13</f>
        <v>0</v>
      </c>
      <c r="S14" s="96">
        <f ca="1">'DCL(РСН)'!AF13</f>
        <v>0</v>
      </c>
    </row>
    <row r="15" spans="1:19" x14ac:dyDescent="0.25">
      <c r="A15" s="289" t="s">
        <v>2154</v>
      </c>
      <c r="B15" s="290"/>
      <c r="C15" s="96">
        <f t="shared" ca="1" si="1"/>
        <v>-18.472999999999999</v>
      </c>
      <c r="D15" s="153">
        <f t="shared" ca="1" si="2"/>
        <v>-0.19331999999999999</v>
      </c>
      <c r="E15" s="153">
        <f t="shared" ca="1" si="3"/>
        <v>1.3856999999999999</v>
      </c>
      <c r="F15" s="96">
        <f t="shared" ca="1" si="4"/>
        <v>5.348E-2</v>
      </c>
      <c r="G15" s="96">
        <f t="shared" ca="1" si="5"/>
        <v>0</v>
      </c>
      <c r="H15" s="96">
        <f t="shared" ca="1" si="6"/>
        <v>0</v>
      </c>
      <c r="N15" s="96">
        <f ca="1">'DCL(РСН)'!AB14</f>
        <v>-18.472999999999999</v>
      </c>
      <c r="O15" s="96">
        <f ca="1">'DCL(РСН)'!AA14</f>
        <v>-0.19331999999999999</v>
      </c>
      <c r="P15" s="96">
        <f ca="1">'DCL(РСН)'!AC14</f>
        <v>1.3856999999999999</v>
      </c>
      <c r="Q15" s="96">
        <f ca="1">'DCL(РСН)'!AD14</f>
        <v>5.348E-2</v>
      </c>
      <c r="R15" s="96">
        <f ca="1">'DCL(РСН)'!AE14</f>
        <v>0</v>
      </c>
      <c r="S15" s="96">
        <f ca="1">'DCL(РСН)'!AF14</f>
        <v>0</v>
      </c>
    </row>
    <row r="16" spans="1:19" x14ac:dyDescent="0.25">
      <c r="A16" s="283" t="s">
        <v>2435</v>
      </c>
      <c r="B16" s="284"/>
      <c r="C16" s="96">
        <f t="shared" ca="1" si="1"/>
        <v>0</v>
      </c>
      <c r="D16" s="153">
        <f t="shared" ca="1" si="2"/>
        <v>0</v>
      </c>
      <c r="E16" s="153">
        <f t="shared" ca="1" si="3"/>
        <v>0</v>
      </c>
      <c r="F16" s="96">
        <f t="shared" ca="1" si="4"/>
        <v>0</v>
      </c>
      <c r="G16" s="96">
        <f t="shared" ca="1" si="5"/>
        <v>0</v>
      </c>
      <c r="H16" s="96">
        <f t="shared" ca="1" si="6"/>
        <v>0</v>
      </c>
      <c r="N16" s="96">
        <f ca="1">'DCL(РСН)'!AB15</f>
        <v>0</v>
      </c>
      <c r="O16" s="96">
        <f ca="1">'DCL(РСН)'!AA15</f>
        <v>0</v>
      </c>
      <c r="P16" s="96">
        <f ca="1">'DCL(РСН)'!AC15</f>
        <v>0</v>
      </c>
      <c r="Q16" s="96">
        <f ca="1">'DCL(РСН)'!AD15</f>
        <v>0</v>
      </c>
      <c r="R16" s="96">
        <f ca="1">'DCL(РСН)'!AE15</f>
        <v>0</v>
      </c>
      <c r="S16" s="96">
        <f ca="1">'DCL(РСН)'!AF15</f>
        <v>0</v>
      </c>
    </row>
    <row r="17" spans="1:19" x14ac:dyDescent="0.25">
      <c r="A17" s="285" t="s">
        <v>2436</v>
      </c>
      <c r="B17" s="286"/>
      <c r="C17" s="96">
        <f t="shared" ca="1" si="1"/>
        <v>0</v>
      </c>
      <c r="D17" s="153">
        <f t="shared" ca="1" si="2"/>
        <v>0</v>
      </c>
      <c r="E17" s="153">
        <f t="shared" ca="1" si="3"/>
        <v>0</v>
      </c>
      <c r="F17" s="96">
        <f t="shared" ca="1" si="4"/>
        <v>0</v>
      </c>
      <c r="G17" s="96">
        <f t="shared" ca="1" si="5"/>
        <v>0</v>
      </c>
      <c r="H17" s="96">
        <f t="shared" ca="1" si="6"/>
        <v>0</v>
      </c>
      <c r="N17" s="96" t="e">
        <f ca="1">'DCL(РСН)'!AU2</f>
        <v>#VALUE!</v>
      </c>
      <c r="O17" s="96" t="e">
        <f ca="1">'DCL(РСН)'!AT2</f>
        <v>#VALUE!</v>
      </c>
      <c r="P17" s="96" t="e">
        <f ca="1">'DCL(РСН)'!AV2</f>
        <v>#VALUE!</v>
      </c>
      <c r="Q17" s="96" t="e">
        <f ca="1">'DCL(РСН)'!AW2</f>
        <v>#VALUE!</v>
      </c>
      <c r="R17" s="96" t="e">
        <f ca="1">'DCL(РСН)'!AX2</f>
        <v>#VALUE!</v>
      </c>
      <c r="S17" s="96" t="e">
        <f ca="1">'DCL(РСН)'!AY2</f>
        <v>#VALUE!</v>
      </c>
    </row>
    <row r="18" spans="1:19" x14ac:dyDescent="0.25">
      <c r="A18" s="287" t="s">
        <v>2437</v>
      </c>
      <c r="B18" s="288"/>
      <c r="C18" s="96">
        <f t="shared" ca="1" si="1"/>
        <v>6.9880000000000004</v>
      </c>
      <c r="D18" s="153">
        <f t="shared" ca="1" si="2"/>
        <v>-0.36606</v>
      </c>
      <c r="E18" s="153">
        <f t="shared" ca="1" si="3"/>
        <v>1.6221000000000001</v>
      </c>
      <c r="F18" s="96">
        <f t="shared" ca="1" si="4"/>
        <v>1.3999999999999999E-4</v>
      </c>
      <c r="G18" s="96">
        <f t="shared" ca="1" si="5"/>
        <v>0</v>
      </c>
      <c r="H18" s="96">
        <f t="shared" ca="1" si="6"/>
        <v>0</v>
      </c>
      <c r="N18" s="96">
        <f ca="1">'DCL(РСН)'!AU3</f>
        <v>6.9880000000000004</v>
      </c>
      <c r="O18" s="96">
        <f ca="1">'DCL(РСН)'!AT3</f>
        <v>-0.36606</v>
      </c>
      <c r="P18" s="96">
        <f ca="1">'DCL(РСН)'!AV3</f>
        <v>1.6221000000000001</v>
      </c>
      <c r="Q18" s="96">
        <f ca="1">'DCL(РСН)'!AW3</f>
        <v>1.3999999999999999E-4</v>
      </c>
      <c r="R18" s="96">
        <f ca="1">'DCL(РСН)'!AX3</f>
        <v>0</v>
      </c>
      <c r="S18" s="96">
        <f ca="1">'DCL(РСН)'!AY3</f>
        <v>0</v>
      </c>
    </row>
    <row r="20" spans="1:19" ht="15" customHeight="1" x14ac:dyDescent="0.25">
      <c r="A20" s="277" t="s">
        <v>2163</v>
      </c>
      <c r="B20" s="278"/>
      <c r="C20" s="154"/>
      <c r="D20" s="154"/>
      <c r="E20" s="154"/>
      <c r="F20" s="154"/>
      <c r="G20" s="154"/>
      <c r="H20" s="154"/>
    </row>
    <row r="21" spans="1:19" x14ac:dyDescent="0.25">
      <c r="A21" s="279"/>
      <c r="B21" s="280"/>
      <c r="C21" s="95"/>
      <c r="D21" s="154"/>
      <c r="E21" s="154"/>
      <c r="F21" s="95"/>
      <c r="G21" s="95"/>
      <c r="H21" s="95"/>
    </row>
    <row r="22" spans="1:19" x14ac:dyDescent="0.25">
      <c r="A22" s="279"/>
      <c r="B22" s="280"/>
      <c r="C22" s="95"/>
      <c r="D22" s="154"/>
      <c r="E22" s="154"/>
      <c r="F22" s="95"/>
      <c r="G22" s="95"/>
      <c r="H22" s="95"/>
    </row>
    <row r="23" spans="1:19" x14ac:dyDescent="0.25">
      <c r="A23" s="279"/>
      <c r="B23" s="280"/>
      <c r="C23" s="95"/>
      <c r="D23" s="154"/>
      <c r="E23" s="154"/>
      <c r="F23" s="95"/>
      <c r="G23" s="95"/>
      <c r="H23" s="95"/>
    </row>
    <row r="24" spans="1:19" x14ac:dyDescent="0.25">
      <c r="A24" s="279"/>
      <c r="B24" s="280"/>
      <c r="C24" s="95"/>
      <c r="D24" s="154"/>
      <c r="E24" s="154"/>
      <c r="F24" s="95"/>
      <c r="G24" s="95"/>
      <c r="H24" s="95"/>
    </row>
    <row r="25" spans="1:19" x14ac:dyDescent="0.25">
      <c r="A25" s="279"/>
      <c r="B25" s="280"/>
      <c r="C25" s="95"/>
      <c r="D25" s="154"/>
      <c r="E25" s="154"/>
      <c r="F25" s="95"/>
      <c r="G25" s="95"/>
      <c r="H25" s="95"/>
    </row>
    <row r="26" spans="1:19" x14ac:dyDescent="0.25">
      <c r="A26" s="279"/>
      <c r="B26" s="280"/>
      <c r="C26" s="95"/>
      <c r="D26" s="154"/>
      <c r="E26" s="154"/>
      <c r="F26" s="95"/>
      <c r="G26" s="95"/>
      <c r="H26" s="95"/>
    </row>
    <row r="27" spans="1:19" x14ac:dyDescent="0.25">
      <c r="A27" s="279"/>
      <c r="B27" s="280"/>
      <c r="C27" s="95"/>
      <c r="D27" s="154"/>
      <c r="E27" s="154"/>
      <c r="F27" s="95"/>
      <c r="G27" s="95"/>
      <c r="H27" s="95"/>
    </row>
    <row r="28" spans="1:19" x14ac:dyDescent="0.25">
      <c r="A28" s="279"/>
      <c r="B28" s="280"/>
      <c r="C28" s="95"/>
      <c r="D28" s="154"/>
      <c r="E28" s="154"/>
      <c r="F28" s="95"/>
      <c r="G28" s="95"/>
      <c r="H28" s="95"/>
    </row>
    <row r="29" spans="1:19" x14ac:dyDescent="0.25">
      <c r="A29" s="279"/>
      <c r="B29" s="280"/>
      <c r="C29" s="95"/>
      <c r="D29" s="154"/>
      <c r="E29" s="154"/>
      <c r="F29" s="95"/>
      <c r="G29" s="95"/>
      <c r="H29" s="95"/>
    </row>
    <row r="30" spans="1:19" ht="15" customHeight="1" x14ac:dyDescent="0.25">
      <c r="A30" s="279"/>
      <c r="B30" s="280"/>
      <c r="C30" s="95"/>
      <c r="D30" s="154"/>
      <c r="E30" s="154"/>
      <c r="F30" s="95"/>
      <c r="G30" s="95"/>
      <c r="H30" s="95"/>
    </row>
    <row r="31" spans="1:19" x14ac:dyDescent="0.25">
      <c r="A31" s="281"/>
      <c r="B31" s="282"/>
      <c r="C31" s="95"/>
      <c r="D31" s="154"/>
      <c r="E31" s="154"/>
      <c r="F31" s="95"/>
      <c r="G31" s="95"/>
      <c r="H31" s="95"/>
    </row>
    <row r="32" spans="1:19" x14ac:dyDescent="0.25">
      <c r="A32" s="152"/>
    </row>
  </sheetData>
  <mergeCells count="53">
    <mergeCell ref="S5:S6"/>
    <mergeCell ref="N5:N6"/>
    <mergeCell ref="O5:O6"/>
    <mergeCell ref="P5:P6"/>
    <mergeCell ref="Q5:Q6"/>
    <mergeCell ref="R5:R6"/>
    <mergeCell ref="S1:S2"/>
    <mergeCell ref="N3:N4"/>
    <mergeCell ref="O3:O4"/>
    <mergeCell ref="P3:P4"/>
    <mergeCell ref="Q3:Q4"/>
    <mergeCell ref="R3:R4"/>
    <mergeCell ref="S3:S4"/>
    <mergeCell ref="N1:N2"/>
    <mergeCell ref="O1:O2"/>
    <mergeCell ref="P1:P2"/>
    <mergeCell ref="Q1:Q2"/>
    <mergeCell ref="R1:R2"/>
    <mergeCell ref="I1:L8"/>
    <mergeCell ref="H1:H2"/>
    <mergeCell ref="A3:B4"/>
    <mergeCell ref="C3:C4"/>
    <mergeCell ref="D3:D4"/>
    <mergeCell ref="E3:E4"/>
    <mergeCell ref="F3:F4"/>
    <mergeCell ref="G3:G4"/>
    <mergeCell ref="H3:H4"/>
    <mergeCell ref="A1:B2"/>
    <mergeCell ref="C1:C2"/>
    <mergeCell ref="D1:D2"/>
    <mergeCell ref="E1:E2"/>
    <mergeCell ref="F1:F2"/>
    <mergeCell ref="G1:G2"/>
    <mergeCell ref="H5:H6"/>
    <mergeCell ref="A7:B7"/>
    <mergeCell ref="F5:F6"/>
    <mergeCell ref="G5:G6"/>
    <mergeCell ref="A10:B10"/>
    <mergeCell ref="A5:B6"/>
    <mergeCell ref="C5:C6"/>
    <mergeCell ref="D5:D6"/>
    <mergeCell ref="E5:E6"/>
    <mergeCell ref="A8:B8"/>
    <mergeCell ref="A9:B9"/>
    <mergeCell ref="A11:B11"/>
    <mergeCell ref="A13:B13"/>
    <mergeCell ref="A12:B12"/>
    <mergeCell ref="A14:B14"/>
    <mergeCell ref="A20:B31"/>
    <mergeCell ref="A16:B16"/>
    <mergeCell ref="A17:B17"/>
    <mergeCell ref="A18:B18"/>
    <mergeCell ref="A15:B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Лист23.IDEA_StatiC">
                <anchor moveWithCells="1">
                  <from>
                    <xdr:col>8</xdr:col>
                    <xdr:colOff>142875</xdr:colOff>
                    <xdr:row>11</xdr:row>
                    <xdr:rowOff>28575</xdr:rowOff>
                  </from>
                  <to>
                    <xdr:col>10</xdr:col>
                    <xdr:colOff>276225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R347"/>
  <sheetViews>
    <sheetView workbookViewId="0">
      <pane ySplit="2" topLeftCell="A3" activePane="bottomLeft" state="frozen"/>
      <selection pane="bottomLeft" activeCell="E313" sqref="E313"/>
    </sheetView>
  </sheetViews>
  <sheetFormatPr defaultColWidth="9.140625" defaultRowHeight="15" x14ac:dyDescent="0.25"/>
  <cols>
    <col min="1" max="1" width="20" style="11" bestFit="1" customWidth="1"/>
    <col min="2" max="2" width="17.85546875" style="11" bestFit="1" customWidth="1"/>
    <col min="3" max="3" width="16.42578125" style="12" customWidth="1"/>
    <col min="4" max="10" width="10.7109375" style="13" customWidth="1"/>
    <col min="11" max="11" width="10.7109375" style="15" customWidth="1"/>
    <col min="12" max="12" width="10.7109375" style="16" customWidth="1"/>
    <col min="13" max="15" width="9.140625" style="16" customWidth="1"/>
    <col min="16" max="16" width="9.140625" style="17" customWidth="1"/>
    <col min="17" max="18" width="9.140625" style="14" customWidth="1"/>
    <col min="19" max="16384" width="9.140625" style="14"/>
  </cols>
  <sheetData>
    <row r="1" spans="1:18" ht="45" x14ac:dyDescent="0.25">
      <c r="A1" s="42" t="s">
        <v>21</v>
      </c>
      <c r="B1" s="42" t="s">
        <v>22</v>
      </c>
      <c r="C1" s="43" t="s">
        <v>23</v>
      </c>
      <c r="D1" s="329" t="s">
        <v>24</v>
      </c>
      <c r="E1" s="329"/>
      <c r="F1" s="329"/>
      <c r="G1" s="329"/>
      <c r="H1" s="329"/>
      <c r="I1" s="329"/>
      <c r="J1" s="329"/>
      <c r="K1" s="329"/>
      <c r="L1" s="329"/>
      <c r="M1" s="330" t="s">
        <v>25</v>
      </c>
      <c r="N1" s="330"/>
      <c r="O1" s="330"/>
      <c r="P1" s="330"/>
      <c r="Q1" s="330"/>
      <c r="R1" s="330"/>
    </row>
    <row r="2" spans="1:18" x14ac:dyDescent="0.25">
      <c r="A2" s="29"/>
      <c r="B2" s="29"/>
      <c r="C2" s="30"/>
      <c r="D2" s="22" t="s">
        <v>261</v>
      </c>
      <c r="E2" s="22" t="s">
        <v>262</v>
      </c>
      <c r="F2" s="22" t="s">
        <v>26</v>
      </c>
      <c r="G2" s="22" t="s">
        <v>27</v>
      </c>
      <c r="H2" s="22" t="s">
        <v>28</v>
      </c>
      <c r="I2" s="22" t="s">
        <v>17</v>
      </c>
      <c r="J2" s="22" t="s">
        <v>29</v>
      </c>
      <c r="K2" s="22" t="s">
        <v>30</v>
      </c>
      <c r="L2" s="22" t="s">
        <v>16</v>
      </c>
      <c r="M2" s="29" t="s">
        <v>31</v>
      </c>
      <c r="N2" s="22" t="s">
        <v>32</v>
      </c>
      <c r="O2" s="22" t="s">
        <v>33</v>
      </c>
      <c r="P2" s="22" t="s">
        <v>34</v>
      </c>
      <c r="Q2" s="22" t="s">
        <v>35</v>
      </c>
      <c r="R2" s="44" t="s">
        <v>36</v>
      </c>
    </row>
    <row r="3" spans="1:18" x14ac:dyDescent="0.25">
      <c r="A3" s="45" t="s">
        <v>263</v>
      </c>
      <c r="B3" s="29" t="s">
        <v>106</v>
      </c>
      <c r="C3" s="30"/>
      <c r="D3" s="22"/>
      <c r="E3" s="22"/>
      <c r="F3" s="22">
        <v>233</v>
      </c>
      <c r="G3" s="22">
        <v>38</v>
      </c>
      <c r="H3" s="22">
        <v>122</v>
      </c>
      <c r="I3" s="22">
        <v>1</v>
      </c>
      <c r="J3" s="22">
        <v>15</v>
      </c>
      <c r="K3" s="22"/>
      <c r="L3" s="22">
        <v>4</v>
      </c>
      <c r="M3" s="31">
        <v>0.70699999999999996</v>
      </c>
      <c r="N3" s="32">
        <v>0.70699999999999996</v>
      </c>
      <c r="O3" s="32"/>
      <c r="P3" s="32"/>
      <c r="Q3" s="32"/>
      <c r="R3" s="33"/>
    </row>
    <row r="4" spans="1:18" x14ac:dyDescent="0.25">
      <c r="A4" s="45" t="s">
        <v>264</v>
      </c>
      <c r="B4" s="29">
        <v>18</v>
      </c>
      <c r="C4" s="30"/>
      <c r="D4" s="22"/>
      <c r="E4" s="22"/>
      <c r="F4" s="22">
        <v>244</v>
      </c>
      <c r="G4" s="22">
        <v>55</v>
      </c>
      <c r="H4" s="22">
        <v>178</v>
      </c>
      <c r="I4" s="22">
        <v>2</v>
      </c>
      <c r="J4" s="22">
        <v>18</v>
      </c>
      <c r="K4" s="22"/>
      <c r="L4" s="22">
        <v>6</v>
      </c>
      <c r="M4" s="31">
        <v>0.66900000000000004</v>
      </c>
      <c r="N4" s="32">
        <v>0.74299999999999999</v>
      </c>
      <c r="O4" s="32"/>
      <c r="P4" s="32"/>
      <c r="Q4" s="32"/>
      <c r="R4" s="33"/>
    </row>
    <row r="5" spans="1:18" x14ac:dyDescent="0.25">
      <c r="A5" s="45" t="s">
        <v>265</v>
      </c>
      <c r="B5" s="29" t="s">
        <v>37</v>
      </c>
      <c r="C5" s="30"/>
      <c r="D5" s="22"/>
      <c r="E5" s="22"/>
      <c r="F5" s="22">
        <v>214</v>
      </c>
      <c r="G5" s="22">
        <v>60</v>
      </c>
      <c r="H5" s="22">
        <v>213</v>
      </c>
      <c r="I5" s="22">
        <v>2</v>
      </c>
      <c r="J5" s="22">
        <v>18</v>
      </c>
      <c r="K5" s="22"/>
      <c r="L5" s="22">
        <v>7</v>
      </c>
      <c r="M5" s="31">
        <v>0.6</v>
      </c>
      <c r="N5" s="32">
        <v>0.8</v>
      </c>
      <c r="O5" s="32"/>
      <c r="P5" s="32"/>
      <c r="Q5" s="32"/>
      <c r="R5" s="33"/>
    </row>
    <row r="6" spans="1:18" x14ac:dyDescent="0.25">
      <c r="A6" s="45" t="s">
        <v>266</v>
      </c>
      <c r="B6" s="29" t="s">
        <v>38</v>
      </c>
      <c r="C6" s="30"/>
      <c r="D6" s="22"/>
      <c r="E6" s="22"/>
      <c r="F6" s="22">
        <v>259</v>
      </c>
      <c r="G6" s="22">
        <v>73</v>
      </c>
      <c r="H6" s="22">
        <v>237</v>
      </c>
      <c r="I6" s="22">
        <v>3</v>
      </c>
      <c r="J6" s="22">
        <v>21</v>
      </c>
      <c r="K6" s="22"/>
      <c r="L6" s="22">
        <v>8</v>
      </c>
      <c r="M6" s="31">
        <v>0.6</v>
      </c>
      <c r="N6" s="32">
        <v>0.8</v>
      </c>
      <c r="O6" s="32"/>
      <c r="P6" s="32"/>
      <c r="Q6" s="32"/>
      <c r="R6" s="33"/>
    </row>
    <row r="7" spans="1:18" x14ac:dyDescent="0.25">
      <c r="A7" s="45" t="s">
        <v>267</v>
      </c>
      <c r="B7" s="29" t="s">
        <v>39</v>
      </c>
      <c r="C7" s="30"/>
      <c r="D7" s="22"/>
      <c r="E7" s="22"/>
      <c r="F7" s="22">
        <v>271</v>
      </c>
      <c r="G7" s="22">
        <v>75</v>
      </c>
      <c r="H7" s="22">
        <v>242</v>
      </c>
      <c r="I7" s="22">
        <v>2</v>
      </c>
      <c r="J7" s="22">
        <v>29</v>
      </c>
      <c r="K7" s="22"/>
      <c r="L7" s="22">
        <v>8</v>
      </c>
      <c r="M7" s="31">
        <v>0.6</v>
      </c>
      <c r="N7" s="32">
        <v>0.8</v>
      </c>
      <c r="O7" s="32"/>
      <c r="P7" s="32"/>
      <c r="Q7" s="32"/>
      <c r="R7" s="33"/>
    </row>
    <row r="8" spans="1:18" x14ac:dyDescent="0.25">
      <c r="A8" s="45" t="s">
        <v>268</v>
      </c>
      <c r="B8" s="29" t="s">
        <v>40</v>
      </c>
      <c r="C8" s="30"/>
      <c r="D8" s="22"/>
      <c r="E8" s="22"/>
      <c r="F8" s="22">
        <v>331</v>
      </c>
      <c r="G8" s="22">
        <v>86</v>
      </c>
      <c r="H8" s="22">
        <v>291</v>
      </c>
      <c r="I8" s="22">
        <v>3</v>
      </c>
      <c r="J8" s="22">
        <v>35</v>
      </c>
      <c r="K8" s="22"/>
      <c r="L8" s="22">
        <v>10</v>
      </c>
      <c r="M8" s="31">
        <v>0.6</v>
      </c>
      <c r="N8" s="32">
        <v>0.8</v>
      </c>
      <c r="O8" s="32"/>
      <c r="P8" s="32"/>
      <c r="Q8" s="32"/>
      <c r="R8" s="33"/>
    </row>
    <row r="9" spans="1:18" x14ac:dyDescent="0.25">
      <c r="A9" s="45" t="s">
        <v>269</v>
      </c>
      <c r="B9" s="29" t="s">
        <v>41</v>
      </c>
      <c r="C9" s="30"/>
      <c r="D9" s="22"/>
      <c r="E9" s="22"/>
      <c r="F9" s="22">
        <v>290</v>
      </c>
      <c r="G9" s="22">
        <v>91</v>
      </c>
      <c r="H9" s="22">
        <v>318</v>
      </c>
      <c r="I9" s="22">
        <v>3</v>
      </c>
      <c r="J9" s="22">
        <v>37</v>
      </c>
      <c r="K9" s="22"/>
      <c r="L9" s="22">
        <v>10</v>
      </c>
      <c r="M9" s="31">
        <v>0.6</v>
      </c>
      <c r="N9" s="32">
        <v>0.8</v>
      </c>
      <c r="O9" s="32"/>
      <c r="P9" s="32"/>
      <c r="Q9" s="32"/>
      <c r="R9" s="33"/>
    </row>
    <row r="10" spans="1:18" x14ac:dyDescent="0.25">
      <c r="A10" s="45" t="s">
        <v>270</v>
      </c>
      <c r="B10" s="29" t="s">
        <v>42</v>
      </c>
      <c r="C10" s="30"/>
      <c r="D10" s="22"/>
      <c r="E10" s="22"/>
      <c r="F10" s="22">
        <v>338</v>
      </c>
      <c r="G10" s="22">
        <v>103</v>
      </c>
      <c r="H10" s="22">
        <v>371</v>
      </c>
      <c r="I10" s="22">
        <v>4</v>
      </c>
      <c r="J10" s="22">
        <v>43</v>
      </c>
      <c r="K10" s="22"/>
      <c r="L10" s="22">
        <v>12</v>
      </c>
      <c r="M10" s="31">
        <v>0.6</v>
      </c>
      <c r="N10" s="32">
        <v>0.8</v>
      </c>
      <c r="O10" s="32"/>
      <c r="P10" s="32"/>
      <c r="Q10" s="32"/>
      <c r="R10" s="33"/>
    </row>
    <row r="11" spans="1:18" x14ac:dyDescent="0.25">
      <c r="A11" s="45" t="s">
        <v>271</v>
      </c>
      <c r="B11" s="29" t="s">
        <v>43</v>
      </c>
      <c r="C11" s="30"/>
      <c r="D11" s="22"/>
      <c r="E11" s="22"/>
      <c r="F11" s="22">
        <v>350</v>
      </c>
      <c r="G11" s="22">
        <v>120</v>
      </c>
      <c r="H11" s="22">
        <v>371</v>
      </c>
      <c r="I11" s="22">
        <v>6</v>
      </c>
      <c r="J11" s="22">
        <v>52</v>
      </c>
      <c r="K11" s="22"/>
      <c r="L11" s="22">
        <v>15</v>
      </c>
      <c r="M11" s="31">
        <v>0.6</v>
      </c>
      <c r="N11" s="32">
        <v>0.8</v>
      </c>
      <c r="O11" s="32"/>
      <c r="P11" s="32"/>
      <c r="Q11" s="32"/>
      <c r="R11" s="33"/>
    </row>
    <row r="12" spans="1:18" x14ac:dyDescent="0.25">
      <c r="A12" s="45" t="s">
        <v>272</v>
      </c>
      <c r="B12" s="29" t="s">
        <v>44</v>
      </c>
      <c r="C12" s="30"/>
      <c r="D12" s="22"/>
      <c r="E12" s="22"/>
      <c r="F12" s="22">
        <v>352</v>
      </c>
      <c r="G12" s="22">
        <v>139</v>
      </c>
      <c r="H12" s="22">
        <v>371</v>
      </c>
      <c r="I12" s="22">
        <v>9</v>
      </c>
      <c r="J12" s="22">
        <v>53</v>
      </c>
      <c r="K12" s="22"/>
      <c r="L12" s="22">
        <v>18</v>
      </c>
      <c r="M12" s="31">
        <v>0.6</v>
      </c>
      <c r="N12" s="32">
        <v>0.8</v>
      </c>
      <c r="O12" s="32"/>
      <c r="P12" s="32"/>
      <c r="Q12" s="32"/>
      <c r="R12" s="33"/>
    </row>
    <row r="13" spans="1:18" x14ac:dyDescent="0.25">
      <c r="A13" s="45" t="s">
        <v>273</v>
      </c>
      <c r="B13" s="29" t="s">
        <v>45</v>
      </c>
      <c r="C13" s="30"/>
      <c r="D13" s="22"/>
      <c r="E13" s="22"/>
      <c r="F13" s="22">
        <v>371</v>
      </c>
      <c r="G13" s="22">
        <v>159</v>
      </c>
      <c r="H13" s="22">
        <v>371</v>
      </c>
      <c r="I13" s="22">
        <v>7</v>
      </c>
      <c r="J13" s="22">
        <v>63</v>
      </c>
      <c r="K13" s="22"/>
      <c r="L13" s="22">
        <v>17</v>
      </c>
      <c r="M13" s="31">
        <v>0.6</v>
      </c>
      <c r="N13" s="32">
        <v>0.8</v>
      </c>
      <c r="O13" s="32"/>
      <c r="P13" s="32"/>
      <c r="Q13" s="32"/>
      <c r="R13" s="33"/>
    </row>
    <row r="14" spans="1:18" x14ac:dyDescent="0.25">
      <c r="A14" s="45" t="s">
        <v>274</v>
      </c>
      <c r="B14" s="29" t="s">
        <v>46</v>
      </c>
      <c r="C14" s="30"/>
      <c r="D14" s="22"/>
      <c r="E14" s="22"/>
      <c r="F14" s="22">
        <v>405</v>
      </c>
      <c r="G14" s="22">
        <v>188</v>
      </c>
      <c r="H14" s="22">
        <v>371</v>
      </c>
      <c r="I14" s="22">
        <v>10</v>
      </c>
      <c r="J14" s="22">
        <v>67</v>
      </c>
      <c r="K14" s="22"/>
      <c r="L14" s="22">
        <v>21</v>
      </c>
      <c r="M14" s="31">
        <v>0.6</v>
      </c>
      <c r="N14" s="32">
        <v>0.8</v>
      </c>
      <c r="O14" s="32"/>
      <c r="P14" s="32"/>
      <c r="Q14" s="32"/>
      <c r="R14" s="33"/>
    </row>
    <row r="15" spans="1:18" x14ac:dyDescent="0.25">
      <c r="A15" s="45" t="s">
        <v>275</v>
      </c>
      <c r="B15" s="29" t="s">
        <v>47</v>
      </c>
      <c r="C15" s="30"/>
      <c r="D15" s="22"/>
      <c r="E15" s="22"/>
      <c r="F15" s="22">
        <v>392</v>
      </c>
      <c r="G15" s="22">
        <v>155</v>
      </c>
      <c r="H15" s="22">
        <v>371</v>
      </c>
      <c r="I15" s="22">
        <v>9</v>
      </c>
      <c r="J15" s="22">
        <v>74</v>
      </c>
      <c r="K15" s="22"/>
      <c r="L15" s="22">
        <v>21</v>
      </c>
      <c r="M15" s="31">
        <v>0.6</v>
      </c>
      <c r="N15" s="32">
        <v>0.8</v>
      </c>
      <c r="O15" s="32"/>
      <c r="P15" s="32"/>
      <c r="Q15" s="32"/>
      <c r="R15" s="33"/>
    </row>
    <row r="16" spans="1:18" x14ac:dyDescent="0.25">
      <c r="A16" s="45" t="s">
        <v>276</v>
      </c>
      <c r="B16" s="29" t="s">
        <v>48</v>
      </c>
      <c r="C16" s="30"/>
      <c r="D16" s="22"/>
      <c r="E16" s="22"/>
      <c r="F16" s="22">
        <v>425</v>
      </c>
      <c r="G16" s="22">
        <v>182</v>
      </c>
      <c r="H16" s="22">
        <v>371</v>
      </c>
      <c r="I16" s="22">
        <v>11</v>
      </c>
      <c r="J16" s="22">
        <v>79</v>
      </c>
      <c r="K16" s="22"/>
      <c r="L16" s="22">
        <v>23</v>
      </c>
      <c r="M16" s="31">
        <v>0.6</v>
      </c>
      <c r="N16" s="32">
        <v>0.8</v>
      </c>
      <c r="O16" s="32"/>
      <c r="P16" s="32"/>
      <c r="Q16" s="32"/>
      <c r="R16" s="33"/>
    </row>
    <row r="17" spans="1:18" x14ac:dyDescent="0.25">
      <c r="A17" s="45" t="s">
        <v>277</v>
      </c>
      <c r="B17" s="29" t="s">
        <v>49</v>
      </c>
      <c r="C17" s="30"/>
      <c r="D17" s="22"/>
      <c r="E17" s="22"/>
      <c r="F17" s="22">
        <v>431</v>
      </c>
      <c r="G17" s="22">
        <v>141</v>
      </c>
      <c r="H17" s="22">
        <v>371</v>
      </c>
      <c r="I17" s="22">
        <v>10</v>
      </c>
      <c r="J17" s="22">
        <v>88</v>
      </c>
      <c r="K17" s="22"/>
      <c r="L17" s="22">
        <v>24</v>
      </c>
      <c r="M17" s="31">
        <v>0.6</v>
      </c>
      <c r="N17" s="32">
        <v>0.8</v>
      </c>
      <c r="O17" s="32"/>
      <c r="P17" s="32"/>
      <c r="Q17" s="32"/>
      <c r="R17" s="33"/>
    </row>
    <row r="18" spans="1:18" x14ac:dyDescent="0.25">
      <c r="A18" s="45" t="s">
        <v>278</v>
      </c>
      <c r="B18" s="29" t="s">
        <v>50</v>
      </c>
      <c r="C18" s="30"/>
      <c r="D18" s="22"/>
      <c r="E18" s="22"/>
      <c r="F18" s="22">
        <v>436</v>
      </c>
      <c r="G18" s="22">
        <v>163</v>
      </c>
      <c r="H18" s="22">
        <v>371</v>
      </c>
      <c r="I18" s="22">
        <v>11</v>
      </c>
      <c r="J18" s="22">
        <v>89</v>
      </c>
      <c r="K18" s="22"/>
      <c r="L18" s="22">
        <v>24</v>
      </c>
      <c r="M18" s="31">
        <v>0.6</v>
      </c>
      <c r="N18" s="32">
        <v>0.8</v>
      </c>
      <c r="O18" s="32"/>
      <c r="P18" s="32"/>
      <c r="Q18" s="32"/>
      <c r="R18" s="33"/>
    </row>
    <row r="19" spans="1:18" x14ac:dyDescent="0.25">
      <c r="A19" s="45" t="s">
        <v>279</v>
      </c>
      <c r="B19" s="29" t="s">
        <v>121</v>
      </c>
      <c r="C19" s="30"/>
      <c r="D19" s="22"/>
      <c r="E19" s="22"/>
      <c r="F19" s="22">
        <v>454</v>
      </c>
      <c r="G19" s="22">
        <v>187</v>
      </c>
      <c r="H19" s="22">
        <v>371</v>
      </c>
      <c r="I19" s="22">
        <v>13</v>
      </c>
      <c r="J19" s="22">
        <v>91</v>
      </c>
      <c r="K19" s="22"/>
      <c r="L19" s="22">
        <v>24</v>
      </c>
      <c r="M19" s="31">
        <v>0.6</v>
      </c>
      <c r="N19" s="32">
        <v>0.8</v>
      </c>
      <c r="O19" s="32"/>
      <c r="P19" s="32"/>
      <c r="Q19" s="32"/>
      <c r="R19" s="33"/>
    </row>
    <row r="20" spans="1:18" x14ac:dyDescent="0.25">
      <c r="A20" s="45" t="s">
        <v>280</v>
      </c>
      <c r="B20" s="29" t="s">
        <v>51</v>
      </c>
      <c r="C20" s="30"/>
      <c r="D20" s="22"/>
      <c r="E20" s="22"/>
      <c r="F20" s="22">
        <v>465</v>
      </c>
      <c r="G20" s="22">
        <v>144</v>
      </c>
      <c r="H20" s="22">
        <v>371</v>
      </c>
      <c r="I20" s="22">
        <v>11</v>
      </c>
      <c r="J20" s="22">
        <v>113</v>
      </c>
      <c r="K20" s="22"/>
      <c r="L20" s="22">
        <v>26</v>
      </c>
      <c r="M20" s="31">
        <v>0.6</v>
      </c>
      <c r="N20" s="32">
        <v>0.8</v>
      </c>
      <c r="O20" s="32"/>
      <c r="P20" s="32"/>
      <c r="Q20" s="32"/>
      <c r="R20" s="33"/>
    </row>
    <row r="21" spans="1:18" x14ac:dyDescent="0.25">
      <c r="A21" s="45" t="s">
        <v>281</v>
      </c>
      <c r="B21" s="29" t="s">
        <v>52</v>
      </c>
      <c r="C21" s="30"/>
      <c r="D21" s="22"/>
      <c r="E21" s="22"/>
      <c r="F21" s="22">
        <v>465</v>
      </c>
      <c r="G21" s="22">
        <v>164</v>
      </c>
      <c r="H21" s="22">
        <v>371</v>
      </c>
      <c r="I21" s="22">
        <v>13</v>
      </c>
      <c r="J21" s="22">
        <v>115</v>
      </c>
      <c r="K21" s="22"/>
      <c r="L21" s="22">
        <v>28</v>
      </c>
      <c r="M21" s="31">
        <v>0.6</v>
      </c>
      <c r="N21" s="32">
        <v>0.8</v>
      </c>
      <c r="O21" s="32"/>
      <c r="P21" s="32"/>
      <c r="Q21" s="32"/>
      <c r="R21" s="33"/>
    </row>
    <row r="22" spans="1:18" x14ac:dyDescent="0.25">
      <c r="A22" s="45" t="s">
        <v>282</v>
      </c>
      <c r="B22" s="29" t="s">
        <v>53</v>
      </c>
      <c r="C22" s="30"/>
      <c r="D22" s="22"/>
      <c r="E22" s="22"/>
      <c r="F22" s="22">
        <v>345</v>
      </c>
      <c r="G22" s="22">
        <v>159</v>
      </c>
      <c r="H22" s="22">
        <v>234</v>
      </c>
      <c r="I22" s="22">
        <v>6</v>
      </c>
      <c r="J22" s="22">
        <v>28</v>
      </c>
      <c r="K22" s="22"/>
      <c r="L22" s="22">
        <v>13</v>
      </c>
      <c r="M22" s="31">
        <v>0.66900000000000004</v>
      </c>
      <c r="N22" s="32">
        <v>0.74299999999999999</v>
      </c>
      <c r="O22" s="32"/>
      <c r="P22" s="32"/>
      <c r="Q22" s="32"/>
      <c r="R22" s="33"/>
    </row>
    <row r="23" spans="1:18" x14ac:dyDescent="0.25">
      <c r="A23" s="45" t="s">
        <v>283</v>
      </c>
      <c r="B23" s="29" t="s">
        <v>54</v>
      </c>
      <c r="C23" s="30"/>
      <c r="D23" s="22"/>
      <c r="E23" s="22"/>
      <c r="F23" s="22">
        <v>357</v>
      </c>
      <c r="G23" s="22">
        <v>199</v>
      </c>
      <c r="H23" s="22">
        <v>322</v>
      </c>
      <c r="I23" s="22">
        <v>7</v>
      </c>
      <c r="J23" s="22">
        <v>36</v>
      </c>
      <c r="K23" s="22"/>
      <c r="L23" s="22">
        <v>17</v>
      </c>
      <c r="M23" s="31">
        <v>0.6</v>
      </c>
      <c r="N23" s="32">
        <v>0.8</v>
      </c>
      <c r="O23" s="32"/>
      <c r="P23" s="32"/>
      <c r="Q23" s="32"/>
      <c r="R23" s="33"/>
    </row>
    <row r="24" spans="1:18" x14ac:dyDescent="0.25">
      <c r="A24" s="45" t="s">
        <v>284</v>
      </c>
      <c r="B24" s="29" t="s">
        <v>55</v>
      </c>
      <c r="C24" s="30"/>
      <c r="D24" s="22"/>
      <c r="E24" s="22"/>
      <c r="F24" s="22">
        <v>355</v>
      </c>
      <c r="G24" s="22">
        <v>216</v>
      </c>
      <c r="H24" s="22">
        <v>371</v>
      </c>
      <c r="I24" s="22">
        <v>10</v>
      </c>
      <c r="J24" s="22">
        <v>51</v>
      </c>
      <c r="K24" s="22"/>
      <c r="L24" s="22">
        <v>15</v>
      </c>
      <c r="M24" s="31">
        <v>0.6</v>
      </c>
      <c r="N24" s="32">
        <v>0.8</v>
      </c>
      <c r="O24" s="32"/>
      <c r="P24" s="32"/>
      <c r="Q24" s="32"/>
      <c r="R24" s="33"/>
    </row>
    <row r="25" spans="1:18" x14ac:dyDescent="0.25">
      <c r="A25" s="45" t="s">
        <v>285</v>
      </c>
      <c r="B25" s="29" t="s">
        <v>56</v>
      </c>
      <c r="C25" s="30"/>
      <c r="D25" s="22"/>
      <c r="E25" s="22"/>
      <c r="F25" s="22">
        <v>359</v>
      </c>
      <c r="G25" s="22">
        <v>212</v>
      </c>
      <c r="H25" s="22">
        <v>371</v>
      </c>
      <c r="I25" s="22">
        <v>10</v>
      </c>
      <c r="J25" s="22">
        <v>46</v>
      </c>
      <c r="K25" s="22"/>
      <c r="L25" s="22">
        <v>17</v>
      </c>
      <c r="M25" s="31">
        <v>0.6</v>
      </c>
      <c r="N25" s="32">
        <v>0.8</v>
      </c>
      <c r="O25" s="32"/>
      <c r="P25" s="32"/>
      <c r="Q25" s="32"/>
      <c r="R25" s="33"/>
    </row>
    <row r="26" spans="1:18" x14ac:dyDescent="0.25">
      <c r="A26" s="45" t="s">
        <v>286</v>
      </c>
      <c r="B26" s="29" t="s">
        <v>57</v>
      </c>
      <c r="C26" s="30"/>
      <c r="D26" s="22"/>
      <c r="E26" s="22"/>
      <c r="F26" s="22">
        <v>355</v>
      </c>
      <c r="G26" s="22">
        <v>216</v>
      </c>
      <c r="H26" s="22">
        <v>371</v>
      </c>
      <c r="I26" s="22">
        <v>10</v>
      </c>
      <c r="J26" s="22">
        <v>51</v>
      </c>
      <c r="K26" s="22"/>
      <c r="L26" s="22">
        <v>15</v>
      </c>
      <c r="M26" s="31">
        <v>0.6</v>
      </c>
      <c r="N26" s="32">
        <v>0.8</v>
      </c>
      <c r="O26" s="32"/>
      <c r="P26" s="32"/>
      <c r="Q26" s="32"/>
      <c r="R26" s="33"/>
    </row>
    <row r="27" spans="1:18" x14ac:dyDescent="0.25">
      <c r="A27" s="45" t="s">
        <v>287</v>
      </c>
      <c r="B27" s="29" t="s">
        <v>58</v>
      </c>
      <c r="C27" s="30"/>
      <c r="D27" s="22"/>
      <c r="E27" s="22"/>
      <c r="F27" s="22">
        <v>357</v>
      </c>
      <c r="G27" s="22">
        <v>220</v>
      </c>
      <c r="H27" s="22">
        <v>371</v>
      </c>
      <c r="I27" s="22">
        <v>18</v>
      </c>
      <c r="J27" s="22">
        <v>52</v>
      </c>
      <c r="K27" s="22"/>
      <c r="L27" s="22">
        <v>20</v>
      </c>
      <c r="M27" s="31">
        <v>0.6</v>
      </c>
      <c r="N27" s="32">
        <v>0.8</v>
      </c>
      <c r="O27" s="32"/>
      <c r="P27" s="32"/>
      <c r="Q27" s="32"/>
      <c r="R27" s="33"/>
    </row>
    <row r="28" spans="1:18" x14ac:dyDescent="0.25">
      <c r="A28" s="45" t="s">
        <v>288</v>
      </c>
      <c r="B28" s="29" t="s">
        <v>59</v>
      </c>
      <c r="C28" s="30"/>
      <c r="D28" s="22"/>
      <c r="E28" s="22"/>
      <c r="F28" s="22">
        <v>416</v>
      </c>
      <c r="G28" s="22">
        <v>307</v>
      </c>
      <c r="H28" s="22">
        <v>371</v>
      </c>
      <c r="I28" s="22">
        <v>21</v>
      </c>
      <c r="J28" s="22">
        <v>67</v>
      </c>
      <c r="K28" s="22"/>
      <c r="L28" s="22">
        <v>22</v>
      </c>
      <c r="M28" s="31">
        <v>0.6</v>
      </c>
      <c r="N28" s="32">
        <v>0.8</v>
      </c>
      <c r="O28" s="32"/>
      <c r="P28" s="32"/>
      <c r="Q28" s="32"/>
      <c r="R28" s="33"/>
    </row>
    <row r="29" spans="1:18" x14ac:dyDescent="0.25">
      <c r="A29" s="45" t="s">
        <v>289</v>
      </c>
      <c r="B29" s="29" t="s">
        <v>60</v>
      </c>
      <c r="C29" s="30"/>
      <c r="D29" s="22"/>
      <c r="E29" s="22"/>
      <c r="F29" s="22">
        <v>452</v>
      </c>
      <c r="G29" s="22">
        <v>360</v>
      </c>
      <c r="H29" s="22">
        <v>371</v>
      </c>
      <c r="I29" s="22">
        <v>21</v>
      </c>
      <c r="J29" s="22">
        <v>71</v>
      </c>
      <c r="K29" s="22"/>
      <c r="L29" s="22">
        <v>24</v>
      </c>
      <c r="M29" s="31">
        <v>0.6</v>
      </c>
      <c r="N29" s="32">
        <v>0.8</v>
      </c>
      <c r="O29" s="32"/>
      <c r="P29" s="32"/>
      <c r="Q29" s="32"/>
      <c r="R29" s="33"/>
    </row>
    <row r="30" spans="1:18" x14ac:dyDescent="0.25">
      <c r="A30" s="45" t="s">
        <v>290</v>
      </c>
      <c r="B30" s="29" t="s">
        <v>61</v>
      </c>
      <c r="C30" s="30"/>
      <c r="D30" s="22"/>
      <c r="E30" s="22"/>
      <c r="F30" s="22">
        <v>462</v>
      </c>
      <c r="G30" s="22">
        <v>369</v>
      </c>
      <c r="H30" s="22">
        <v>371</v>
      </c>
      <c r="I30" s="22">
        <v>22</v>
      </c>
      <c r="J30" s="22">
        <v>82</v>
      </c>
      <c r="K30" s="22"/>
      <c r="L30" s="22">
        <v>25</v>
      </c>
      <c r="M30" s="31">
        <v>0.6</v>
      </c>
      <c r="N30" s="32">
        <v>0.8</v>
      </c>
      <c r="O30" s="32"/>
      <c r="P30" s="32"/>
      <c r="Q30" s="32"/>
      <c r="R30" s="33"/>
    </row>
    <row r="31" spans="1:18" x14ac:dyDescent="0.25">
      <c r="A31" s="45" t="s">
        <v>291</v>
      </c>
      <c r="B31" s="29" t="s">
        <v>62</v>
      </c>
      <c r="C31" s="30"/>
      <c r="D31" s="22"/>
      <c r="E31" s="22"/>
      <c r="F31" s="22">
        <v>463</v>
      </c>
      <c r="G31" s="22">
        <v>368</v>
      </c>
      <c r="H31" s="22">
        <v>371</v>
      </c>
      <c r="I31" s="22">
        <v>22</v>
      </c>
      <c r="J31" s="22">
        <v>94</v>
      </c>
      <c r="K31" s="22"/>
      <c r="L31" s="22">
        <v>26</v>
      </c>
      <c r="M31" s="31">
        <v>0.6</v>
      </c>
      <c r="N31" s="32">
        <v>0.8</v>
      </c>
      <c r="O31" s="32"/>
      <c r="P31" s="32"/>
      <c r="Q31" s="32"/>
      <c r="R31" s="33"/>
    </row>
    <row r="32" spans="1:18" x14ac:dyDescent="0.25">
      <c r="A32" s="45" t="s">
        <v>292</v>
      </c>
      <c r="B32" s="29" t="s">
        <v>63</v>
      </c>
      <c r="C32" s="30"/>
      <c r="D32" s="22"/>
      <c r="E32" s="22"/>
      <c r="F32" s="22">
        <v>463</v>
      </c>
      <c r="G32" s="22">
        <v>367</v>
      </c>
      <c r="H32" s="22">
        <v>371</v>
      </c>
      <c r="I32" s="22">
        <v>24</v>
      </c>
      <c r="J32" s="22">
        <v>95</v>
      </c>
      <c r="K32" s="22"/>
      <c r="L32" s="22">
        <v>35</v>
      </c>
      <c r="M32" s="31">
        <v>0.67600000000000005</v>
      </c>
      <c r="N32" s="32">
        <v>0.73699999999999999</v>
      </c>
      <c r="O32" s="32"/>
      <c r="P32" s="32"/>
      <c r="Q32" s="32"/>
      <c r="R32" s="33"/>
    </row>
    <row r="33" spans="1:18" x14ac:dyDescent="0.25">
      <c r="A33" s="45" t="s">
        <v>293</v>
      </c>
      <c r="B33" s="29" t="s">
        <v>64</v>
      </c>
      <c r="C33" s="30"/>
      <c r="D33" s="22"/>
      <c r="E33" s="22"/>
      <c r="F33" s="22">
        <v>463</v>
      </c>
      <c r="G33" s="22">
        <v>367</v>
      </c>
      <c r="H33" s="22">
        <v>371</v>
      </c>
      <c r="I33" s="22">
        <v>24</v>
      </c>
      <c r="J33" s="22">
        <v>94</v>
      </c>
      <c r="K33" s="22"/>
      <c r="L33" s="22">
        <v>35</v>
      </c>
      <c r="M33" s="31">
        <v>0.67600000000000005</v>
      </c>
      <c r="N33" s="32">
        <v>0.73699999999999999</v>
      </c>
      <c r="O33" s="32"/>
      <c r="P33" s="32"/>
      <c r="Q33" s="32"/>
      <c r="R33" s="33"/>
    </row>
    <row r="34" spans="1:18" x14ac:dyDescent="0.25">
      <c r="A34" s="45" t="s">
        <v>294</v>
      </c>
      <c r="B34" s="29" t="s">
        <v>65</v>
      </c>
      <c r="C34" s="30"/>
      <c r="D34" s="22"/>
      <c r="E34" s="22"/>
      <c r="F34" s="22">
        <v>463</v>
      </c>
      <c r="G34" s="22">
        <v>367</v>
      </c>
      <c r="H34" s="22">
        <v>371</v>
      </c>
      <c r="I34" s="22">
        <v>25</v>
      </c>
      <c r="J34" s="22">
        <v>96</v>
      </c>
      <c r="K34" s="22"/>
      <c r="L34" s="22">
        <v>36</v>
      </c>
      <c r="M34" s="31">
        <v>0.67600000000000005</v>
      </c>
      <c r="N34" s="32">
        <v>0.73699999999999999</v>
      </c>
      <c r="O34" s="32"/>
      <c r="P34" s="32"/>
      <c r="Q34" s="32"/>
      <c r="R34" s="33"/>
    </row>
    <row r="35" spans="1:18" x14ac:dyDescent="0.25">
      <c r="A35" s="45" t="s">
        <v>295</v>
      </c>
      <c r="B35" s="29" t="s">
        <v>66</v>
      </c>
      <c r="C35" s="30"/>
      <c r="D35" s="22"/>
      <c r="E35" s="22"/>
      <c r="F35" s="22">
        <v>465</v>
      </c>
      <c r="G35" s="22">
        <v>234</v>
      </c>
      <c r="H35" s="22">
        <v>371</v>
      </c>
      <c r="I35" s="22">
        <v>24</v>
      </c>
      <c r="J35" s="22">
        <v>108</v>
      </c>
      <c r="K35" s="22"/>
      <c r="L35" s="22">
        <v>33</v>
      </c>
      <c r="M35" s="31">
        <v>0.67600000000000005</v>
      </c>
      <c r="N35" s="32">
        <v>0.73699999999999999</v>
      </c>
      <c r="O35" s="32"/>
      <c r="P35" s="32"/>
      <c r="Q35" s="32"/>
      <c r="R35" s="33"/>
    </row>
    <row r="36" spans="1:18" x14ac:dyDescent="0.25">
      <c r="A36" s="45" t="s">
        <v>296</v>
      </c>
      <c r="B36" s="29" t="s">
        <v>67</v>
      </c>
      <c r="C36" s="30"/>
      <c r="D36" s="22"/>
      <c r="E36" s="22"/>
      <c r="F36" s="22">
        <v>464</v>
      </c>
      <c r="G36" s="22">
        <v>366</v>
      </c>
      <c r="H36" s="22">
        <v>371</v>
      </c>
      <c r="I36" s="22">
        <v>25</v>
      </c>
      <c r="J36" s="22">
        <v>117</v>
      </c>
      <c r="K36" s="22"/>
      <c r="L36" s="22">
        <v>36</v>
      </c>
      <c r="M36" s="31">
        <v>0.67600000000000005</v>
      </c>
      <c r="N36" s="32">
        <v>0.73699999999999999</v>
      </c>
      <c r="O36" s="32"/>
      <c r="P36" s="32"/>
      <c r="Q36" s="32"/>
      <c r="R36" s="33"/>
    </row>
    <row r="37" spans="1:18" x14ac:dyDescent="0.25">
      <c r="A37" s="45" t="s">
        <v>297</v>
      </c>
      <c r="B37" s="29" t="s">
        <v>68</v>
      </c>
      <c r="C37" s="30"/>
      <c r="D37" s="22"/>
      <c r="E37" s="22"/>
      <c r="F37" s="22">
        <v>464</v>
      </c>
      <c r="G37" s="22">
        <v>366</v>
      </c>
      <c r="H37" s="22">
        <v>371</v>
      </c>
      <c r="I37" s="22">
        <v>25</v>
      </c>
      <c r="J37" s="22">
        <v>117</v>
      </c>
      <c r="K37" s="22"/>
      <c r="L37" s="22">
        <v>36</v>
      </c>
      <c r="M37" s="31">
        <v>0.67600000000000005</v>
      </c>
      <c r="N37" s="32">
        <v>0.73699999999999999</v>
      </c>
      <c r="O37" s="32"/>
      <c r="P37" s="32"/>
      <c r="Q37" s="32"/>
      <c r="R37" s="33"/>
    </row>
    <row r="38" spans="1:18" x14ac:dyDescent="0.25">
      <c r="A38" s="45" t="s">
        <v>298</v>
      </c>
      <c r="B38" s="29" t="s">
        <v>69</v>
      </c>
      <c r="C38" s="30"/>
      <c r="D38" s="22"/>
      <c r="E38" s="22"/>
      <c r="F38" s="22">
        <v>464</v>
      </c>
      <c r="G38" s="22">
        <v>366</v>
      </c>
      <c r="H38" s="22">
        <v>371</v>
      </c>
      <c r="I38" s="22">
        <v>26</v>
      </c>
      <c r="J38" s="22">
        <v>119</v>
      </c>
      <c r="K38" s="22"/>
      <c r="L38" s="22">
        <v>37</v>
      </c>
      <c r="M38" s="31">
        <v>0.67600000000000005</v>
      </c>
      <c r="N38" s="32">
        <v>0.73699999999999999</v>
      </c>
      <c r="O38" s="32"/>
      <c r="P38" s="32"/>
      <c r="Q38" s="32"/>
      <c r="R38" s="33"/>
    </row>
    <row r="39" spans="1:18" x14ac:dyDescent="0.25">
      <c r="A39" s="45" t="s">
        <v>299</v>
      </c>
      <c r="B39" s="29" t="s">
        <v>70</v>
      </c>
      <c r="C39" s="30"/>
      <c r="D39" s="22"/>
      <c r="E39" s="22"/>
      <c r="F39" s="22">
        <v>468</v>
      </c>
      <c r="G39" s="22">
        <v>370</v>
      </c>
      <c r="H39" s="22">
        <v>371</v>
      </c>
      <c r="I39" s="22">
        <v>26</v>
      </c>
      <c r="J39" s="22">
        <v>148</v>
      </c>
      <c r="K39" s="22"/>
      <c r="L39" s="22">
        <v>42</v>
      </c>
      <c r="M39" s="31">
        <v>0.67600000000000005</v>
      </c>
      <c r="N39" s="32">
        <v>0.73699999999999999</v>
      </c>
      <c r="O39" s="32"/>
      <c r="P39" s="32"/>
      <c r="Q39" s="32"/>
      <c r="R39" s="33"/>
    </row>
    <row r="40" spans="1:18" x14ac:dyDescent="0.25">
      <c r="A40" s="45" t="s">
        <v>300</v>
      </c>
      <c r="B40" s="29" t="s">
        <v>71</v>
      </c>
      <c r="C40" s="30"/>
      <c r="D40" s="22"/>
      <c r="E40" s="22"/>
      <c r="F40" s="22">
        <v>466</v>
      </c>
      <c r="G40" s="22">
        <v>369</v>
      </c>
      <c r="H40" s="22">
        <v>371</v>
      </c>
      <c r="I40" s="22">
        <v>24</v>
      </c>
      <c r="J40" s="22">
        <v>140</v>
      </c>
      <c r="K40" s="22"/>
      <c r="L40" s="22">
        <v>40</v>
      </c>
      <c r="M40" s="31">
        <v>0.67600000000000005</v>
      </c>
      <c r="N40" s="32">
        <v>0.73699999999999999</v>
      </c>
      <c r="O40" s="32"/>
      <c r="P40" s="32"/>
      <c r="Q40" s="32"/>
      <c r="R40" s="33"/>
    </row>
    <row r="41" spans="1:18" x14ac:dyDescent="0.25">
      <c r="A41" s="45" t="s">
        <v>301</v>
      </c>
      <c r="B41" s="29" t="s">
        <v>72</v>
      </c>
      <c r="C41" s="30"/>
      <c r="D41" s="22"/>
      <c r="E41" s="22"/>
      <c r="F41" s="22">
        <v>466</v>
      </c>
      <c r="G41" s="22">
        <v>368</v>
      </c>
      <c r="H41" s="22">
        <v>371</v>
      </c>
      <c r="I41" s="22">
        <v>26</v>
      </c>
      <c r="J41" s="22">
        <v>152</v>
      </c>
      <c r="K41" s="22"/>
      <c r="L41" s="22">
        <v>42</v>
      </c>
      <c r="M41" s="31">
        <v>0.67600000000000005</v>
      </c>
      <c r="N41" s="32">
        <v>0.73699999999999999</v>
      </c>
      <c r="O41" s="32"/>
      <c r="P41" s="32"/>
      <c r="Q41" s="32"/>
      <c r="R41" s="33"/>
    </row>
    <row r="42" spans="1:18" x14ac:dyDescent="0.25">
      <c r="A42" s="45" t="s">
        <v>302</v>
      </c>
      <c r="B42" s="29" t="s">
        <v>73</v>
      </c>
      <c r="C42" s="30"/>
      <c r="D42" s="22"/>
      <c r="E42" s="22"/>
      <c r="F42" s="22">
        <v>469</v>
      </c>
      <c r="G42" s="22">
        <v>309</v>
      </c>
      <c r="H42" s="22">
        <v>371</v>
      </c>
      <c r="I42" s="22">
        <v>26</v>
      </c>
      <c r="J42" s="22">
        <v>219</v>
      </c>
      <c r="K42" s="22"/>
      <c r="L42" s="22">
        <v>42</v>
      </c>
      <c r="M42" s="31">
        <v>0.67600000000000005</v>
      </c>
      <c r="N42" s="32">
        <v>0.73699999999999999</v>
      </c>
      <c r="O42" s="32"/>
      <c r="P42" s="32"/>
      <c r="Q42" s="32"/>
      <c r="R42" s="33"/>
    </row>
    <row r="43" spans="1:18" x14ac:dyDescent="0.25">
      <c r="A43" s="45" t="s">
        <v>303</v>
      </c>
      <c r="B43" s="29" t="s">
        <v>304</v>
      </c>
      <c r="C43" s="30"/>
      <c r="D43" s="22"/>
      <c r="E43" s="22"/>
      <c r="F43" s="22">
        <v>489</v>
      </c>
      <c r="G43" s="22">
        <v>310</v>
      </c>
      <c r="H43" s="22">
        <v>371</v>
      </c>
      <c r="I43" s="22">
        <v>26</v>
      </c>
      <c r="J43" s="22">
        <v>243</v>
      </c>
      <c r="K43" s="22"/>
      <c r="L43" s="22">
        <v>42</v>
      </c>
      <c r="M43" s="31">
        <v>0.67600000000000005</v>
      </c>
      <c r="N43" s="32">
        <v>0.73699999999999999</v>
      </c>
      <c r="O43" s="32"/>
      <c r="P43" s="32"/>
      <c r="Q43" s="32"/>
      <c r="R43" s="33"/>
    </row>
    <row r="44" spans="1:18" x14ac:dyDescent="0.25">
      <c r="A44" s="45" t="s">
        <v>305</v>
      </c>
      <c r="B44" s="29" t="s">
        <v>306</v>
      </c>
      <c r="C44" s="30"/>
      <c r="D44" s="22"/>
      <c r="E44" s="22"/>
      <c r="F44" s="22">
        <v>490</v>
      </c>
      <c r="G44" s="22">
        <v>286</v>
      </c>
      <c r="H44" s="22">
        <v>371</v>
      </c>
      <c r="I44" s="22">
        <v>26</v>
      </c>
      <c r="J44" s="22">
        <v>266</v>
      </c>
      <c r="K44" s="22"/>
      <c r="L44" s="22">
        <v>43</v>
      </c>
      <c r="M44" s="31">
        <v>0.67600000000000005</v>
      </c>
      <c r="N44" s="32">
        <v>0.73699999999999999</v>
      </c>
      <c r="O44" s="32"/>
      <c r="P44" s="32"/>
      <c r="Q44" s="32"/>
      <c r="R44" s="33"/>
    </row>
    <row r="45" spans="1:18" x14ac:dyDescent="0.25">
      <c r="A45" s="45" t="s">
        <v>307</v>
      </c>
      <c r="B45" s="29" t="s">
        <v>308</v>
      </c>
      <c r="C45" s="30"/>
      <c r="D45" s="22"/>
      <c r="E45" s="22"/>
      <c r="F45" s="22">
        <v>111</v>
      </c>
      <c r="G45" s="22">
        <v>27</v>
      </c>
      <c r="H45" s="22">
        <v>51</v>
      </c>
      <c r="I45" s="22">
        <v>1</v>
      </c>
      <c r="J45" s="22">
        <v>6</v>
      </c>
      <c r="K45" s="22"/>
      <c r="L45" s="22">
        <v>6</v>
      </c>
      <c r="M45" s="31">
        <v>1</v>
      </c>
      <c r="N45" s="32">
        <v>0</v>
      </c>
      <c r="O45" s="32"/>
      <c r="P45" s="32"/>
      <c r="Q45" s="32"/>
      <c r="R45" s="33"/>
    </row>
    <row r="46" spans="1:18" x14ac:dyDescent="0.25">
      <c r="A46" s="45" t="s">
        <v>309</v>
      </c>
      <c r="B46" s="29" t="s">
        <v>310</v>
      </c>
      <c r="C46" s="30"/>
      <c r="D46" s="22"/>
      <c r="E46" s="22"/>
      <c r="F46" s="22">
        <v>178</v>
      </c>
      <c r="G46" s="22">
        <v>33</v>
      </c>
      <c r="H46" s="22">
        <v>42</v>
      </c>
      <c r="I46" s="22">
        <v>1</v>
      </c>
      <c r="J46" s="22">
        <v>11</v>
      </c>
      <c r="K46" s="22"/>
      <c r="L46" s="22">
        <v>7</v>
      </c>
      <c r="M46" s="31">
        <v>0.89400000000000002</v>
      </c>
      <c r="N46" s="32">
        <v>0.44700000000000001</v>
      </c>
      <c r="O46" s="32"/>
      <c r="P46" s="32"/>
      <c r="Q46" s="32"/>
      <c r="R46" s="33"/>
    </row>
    <row r="47" spans="1:18" x14ac:dyDescent="0.25">
      <c r="A47" s="45" t="s">
        <v>311</v>
      </c>
      <c r="B47" s="29" t="s">
        <v>312</v>
      </c>
      <c r="C47" s="30"/>
      <c r="D47" s="22"/>
      <c r="E47" s="22"/>
      <c r="F47" s="22">
        <v>185</v>
      </c>
      <c r="G47" s="22">
        <v>37</v>
      </c>
      <c r="H47" s="22">
        <v>65</v>
      </c>
      <c r="I47" s="22">
        <v>2</v>
      </c>
      <c r="J47" s="22">
        <v>13</v>
      </c>
      <c r="K47" s="22"/>
      <c r="L47" s="22">
        <v>9</v>
      </c>
      <c r="M47" s="31">
        <v>0.89400000000000002</v>
      </c>
      <c r="N47" s="32">
        <v>0.44700000000000001</v>
      </c>
      <c r="O47" s="32"/>
      <c r="P47" s="32"/>
      <c r="Q47" s="32"/>
      <c r="R47" s="33"/>
    </row>
    <row r="48" spans="1:18" x14ac:dyDescent="0.25">
      <c r="A48" s="45" t="s">
        <v>313</v>
      </c>
      <c r="B48" s="29" t="s">
        <v>314</v>
      </c>
      <c r="C48" s="30"/>
      <c r="D48" s="22"/>
      <c r="E48" s="22"/>
      <c r="F48" s="22">
        <v>187</v>
      </c>
      <c r="G48" s="22">
        <v>41</v>
      </c>
      <c r="H48" s="22">
        <v>70</v>
      </c>
      <c r="I48" s="22">
        <v>2</v>
      </c>
      <c r="J48" s="22">
        <v>15</v>
      </c>
      <c r="K48" s="22"/>
      <c r="L48" s="22">
        <v>10</v>
      </c>
      <c r="M48" s="31">
        <v>0.86399999999999999</v>
      </c>
      <c r="N48" s="32">
        <v>0.504</v>
      </c>
      <c r="O48" s="32"/>
      <c r="P48" s="32"/>
      <c r="Q48" s="32"/>
      <c r="R48" s="33"/>
    </row>
    <row r="49" spans="1:18" x14ac:dyDescent="0.25">
      <c r="A49" s="45" t="s">
        <v>315</v>
      </c>
      <c r="B49" s="29" t="s">
        <v>316</v>
      </c>
      <c r="C49" s="30"/>
      <c r="D49" s="22"/>
      <c r="E49" s="22"/>
      <c r="F49" s="22">
        <v>190</v>
      </c>
      <c r="G49" s="22">
        <v>45</v>
      </c>
      <c r="H49" s="22">
        <v>77</v>
      </c>
      <c r="I49" s="22">
        <v>3</v>
      </c>
      <c r="J49" s="22">
        <v>17</v>
      </c>
      <c r="K49" s="22"/>
      <c r="L49" s="22">
        <v>3</v>
      </c>
      <c r="M49" s="31">
        <v>0.86399999999999999</v>
      </c>
      <c r="N49" s="32">
        <v>0.504</v>
      </c>
      <c r="O49" s="32"/>
      <c r="P49" s="32"/>
      <c r="Q49" s="32"/>
      <c r="R49" s="33"/>
    </row>
    <row r="50" spans="1:18" x14ac:dyDescent="0.25">
      <c r="A50" s="45" t="s">
        <v>317</v>
      </c>
      <c r="B50" s="29" t="s">
        <v>318</v>
      </c>
      <c r="C50" s="30"/>
      <c r="D50" s="22"/>
      <c r="E50" s="22"/>
      <c r="F50" s="22">
        <v>197</v>
      </c>
      <c r="G50" s="22">
        <v>59</v>
      </c>
      <c r="H50" s="22">
        <v>87</v>
      </c>
      <c r="I50" s="22">
        <v>4</v>
      </c>
      <c r="J50" s="22">
        <v>21</v>
      </c>
      <c r="K50" s="22"/>
      <c r="L50" s="22">
        <v>15</v>
      </c>
      <c r="M50" s="31">
        <v>0.8</v>
      </c>
      <c r="N50" s="32">
        <v>0.6</v>
      </c>
      <c r="O50" s="32"/>
      <c r="P50" s="32"/>
      <c r="Q50" s="32"/>
      <c r="R50" s="33"/>
    </row>
    <row r="51" spans="1:18" x14ac:dyDescent="0.25">
      <c r="A51" s="45" t="s">
        <v>319</v>
      </c>
      <c r="B51" s="29" t="s">
        <v>320</v>
      </c>
      <c r="C51" s="30"/>
      <c r="D51" s="22"/>
      <c r="E51" s="22"/>
      <c r="F51" s="22">
        <v>207</v>
      </c>
      <c r="G51" s="22">
        <v>67</v>
      </c>
      <c r="H51" s="22">
        <v>89</v>
      </c>
      <c r="I51" s="22">
        <v>4</v>
      </c>
      <c r="J51" s="22">
        <v>27</v>
      </c>
      <c r="K51" s="22"/>
      <c r="L51" s="22">
        <v>18</v>
      </c>
      <c r="M51" s="31">
        <v>0.70699999999999996</v>
      </c>
      <c r="N51" s="32">
        <v>0.70699999999999996</v>
      </c>
      <c r="O51" s="32"/>
      <c r="P51" s="32"/>
      <c r="Q51" s="32"/>
      <c r="R51" s="33"/>
    </row>
    <row r="52" spans="1:18" x14ac:dyDescent="0.25">
      <c r="A52" s="45" t="s">
        <v>321</v>
      </c>
      <c r="B52" s="29" t="s">
        <v>322</v>
      </c>
      <c r="C52" s="30"/>
      <c r="D52" s="22"/>
      <c r="E52" s="22"/>
      <c r="F52" s="22">
        <v>304</v>
      </c>
      <c r="G52" s="22">
        <v>80</v>
      </c>
      <c r="H52" s="22">
        <v>104</v>
      </c>
      <c r="I52" s="22">
        <v>6</v>
      </c>
      <c r="J52" s="22">
        <v>50</v>
      </c>
      <c r="K52" s="22"/>
      <c r="L52" s="22">
        <v>27</v>
      </c>
      <c r="M52" s="31">
        <v>0.70699999999999996</v>
      </c>
      <c r="N52" s="32">
        <v>0.70699999999999996</v>
      </c>
      <c r="O52" s="32"/>
      <c r="P52" s="32"/>
      <c r="Q52" s="32"/>
      <c r="R52" s="33"/>
    </row>
    <row r="53" spans="1:18" x14ac:dyDescent="0.25">
      <c r="A53" s="46" t="s">
        <v>323</v>
      </c>
      <c r="B53" s="29" t="s">
        <v>106</v>
      </c>
      <c r="C53" s="30"/>
      <c r="D53" s="22"/>
      <c r="E53" s="22"/>
      <c r="F53" s="22">
        <v>185</v>
      </c>
      <c r="G53" s="22">
        <v>83</v>
      </c>
      <c r="H53" s="22">
        <v>123</v>
      </c>
      <c r="I53" s="22">
        <v>1</v>
      </c>
      <c r="J53" s="22">
        <v>12</v>
      </c>
      <c r="K53" s="22"/>
      <c r="L53" s="22">
        <v>3</v>
      </c>
      <c r="M53" s="31">
        <v>0.85299999999999998</v>
      </c>
      <c r="N53" s="32">
        <v>0.52100000000000002</v>
      </c>
      <c r="O53" s="32"/>
      <c r="P53" s="32"/>
      <c r="Q53" s="32"/>
      <c r="R53" s="33"/>
    </row>
    <row r="54" spans="1:18" x14ac:dyDescent="0.25">
      <c r="A54" s="46" t="s">
        <v>324</v>
      </c>
      <c r="B54" s="29">
        <v>18</v>
      </c>
      <c r="C54" s="30"/>
      <c r="D54" s="22"/>
      <c r="E54" s="22"/>
      <c r="F54" s="22">
        <v>190</v>
      </c>
      <c r="G54" s="22">
        <v>101</v>
      </c>
      <c r="H54" s="22">
        <v>149</v>
      </c>
      <c r="I54" s="22">
        <v>2</v>
      </c>
      <c r="J54" s="22">
        <v>14</v>
      </c>
      <c r="K54" s="22"/>
      <c r="L54" s="22">
        <v>4</v>
      </c>
      <c r="M54" s="31">
        <v>0.83199999999999996</v>
      </c>
      <c r="N54" s="32">
        <v>0.55500000000000005</v>
      </c>
      <c r="O54" s="32"/>
      <c r="P54" s="32"/>
      <c r="Q54" s="32"/>
      <c r="R54" s="33"/>
    </row>
    <row r="55" spans="1:18" x14ac:dyDescent="0.25">
      <c r="A55" s="46" t="s">
        <v>325</v>
      </c>
      <c r="B55" s="29" t="s">
        <v>37</v>
      </c>
      <c r="C55" s="30"/>
      <c r="D55" s="22"/>
      <c r="E55" s="22"/>
      <c r="F55" s="22">
        <v>252</v>
      </c>
      <c r="G55" s="22">
        <v>136</v>
      </c>
      <c r="H55" s="22">
        <v>215</v>
      </c>
      <c r="I55" s="22">
        <v>3</v>
      </c>
      <c r="J55" s="22">
        <v>21</v>
      </c>
      <c r="K55" s="22"/>
      <c r="L55" s="22">
        <v>6</v>
      </c>
      <c r="M55" s="31">
        <v>0.747</v>
      </c>
      <c r="N55" s="32">
        <v>0.66400000000000003</v>
      </c>
      <c r="O55" s="32"/>
      <c r="P55" s="32"/>
      <c r="Q55" s="32"/>
      <c r="R55" s="33"/>
    </row>
    <row r="56" spans="1:18" x14ac:dyDescent="0.25">
      <c r="A56" s="46" t="s">
        <v>326</v>
      </c>
      <c r="B56" s="29" t="s">
        <v>38</v>
      </c>
      <c r="C56" s="30"/>
      <c r="D56" s="22"/>
      <c r="E56" s="22"/>
      <c r="F56" s="22">
        <v>253</v>
      </c>
      <c r="G56" s="22">
        <v>156</v>
      </c>
      <c r="H56" s="22">
        <v>255</v>
      </c>
      <c r="I56" s="22">
        <v>3</v>
      </c>
      <c r="J56" s="22">
        <v>21</v>
      </c>
      <c r="K56" s="22"/>
      <c r="L56" s="22">
        <v>7</v>
      </c>
      <c r="M56" s="31">
        <v>0.747</v>
      </c>
      <c r="N56" s="32">
        <v>0.66400000000000003</v>
      </c>
      <c r="O56" s="32"/>
      <c r="P56" s="32"/>
      <c r="Q56" s="32"/>
      <c r="R56" s="33"/>
    </row>
    <row r="57" spans="1:18" x14ac:dyDescent="0.25">
      <c r="A57" s="46" t="s">
        <v>327</v>
      </c>
      <c r="B57" s="29" t="s">
        <v>39</v>
      </c>
      <c r="C57" s="30"/>
      <c r="D57" s="22"/>
      <c r="E57" s="22"/>
      <c r="F57" s="22">
        <v>359</v>
      </c>
      <c r="G57" s="22">
        <v>170</v>
      </c>
      <c r="H57" s="22">
        <v>241</v>
      </c>
      <c r="I57" s="22">
        <v>3</v>
      </c>
      <c r="J57" s="22">
        <v>37</v>
      </c>
      <c r="K57" s="22"/>
      <c r="L57" s="22">
        <v>9</v>
      </c>
      <c r="M57" s="31">
        <v>0.54100000000000004</v>
      </c>
      <c r="N57" s="32">
        <v>0.84099999999999997</v>
      </c>
      <c r="O57" s="32"/>
      <c r="P57" s="32"/>
      <c r="Q57" s="32"/>
      <c r="R57" s="33"/>
    </row>
    <row r="58" spans="1:18" x14ac:dyDescent="0.25">
      <c r="A58" s="46" t="s">
        <v>328</v>
      </c>
      <c r="B58" s="29" t="s">
        <v>40</v>
      </c>
      <c r="C58" s="30"/>
      <c r="D58" s="22"/>
      <c r="E58" s="22"/>
      <c r="F58" s="22">
        <v>359</v>
      </c>
      <c r="G58" s="22">
        <v>194</v>
      </c>
      <c r="H58" s="22">
        <v>288</v>
      </c>
      <c r="I58" s="22">
        <v>4</v>
      </c>
      <c r="J58" s="22">
        <v>37</v>
      </c>
      <c r="K58" s="22"/>
      <c r="L58" s="22">
        <v>10</v>
      </c>
      <c r="M58" s="31">
        <v>0.54100000000000004</v>
      </c>
      <c r="N58" s="32">
        <v>0.84099999999999997</v>
      </c>
      <c r="O58" s="32"/>
      <c r="P58" s="32"/>
      <c r="Q58" s="32"/>
      <c r="R58" s="33"/>
    </row>
    <row r="59" spans="1:18" x14ac:dyDescent="0.25">
      <c r="A59" s="46" t="s">
        <v>329</v>
      </c>
      <c r="B59" s="29" t="s">
        <v>41</v>
      </c>
      <c r="C59" s="30"/>
      <c r="D59" s="22"/>
      <c r="E59" s="22"/>
      <c r="F59" s="22">
        <v>431</v>
      </c>
      <c r="G59" s="22">
        <v>207</v>
      </c>
      <c r="H59" s="22">
        <v>311</v>
      </c>
      <c r="I59" s="22">
        <v>4</v>
      </c>
      <c r="J59" s="22">
        <v>55</v>
      </c>
      <c r="K59" s="22"/>
      <c r="L59" s="22">
        <v>12</v>
      </c>
      <c r="M59" s="31">
        <v>0.44700000000000001</v>
      </c>
      <c r="N59" s="32">
        <v>0.89400000000000002</v>
      </c>
      <c r="O59" s="32"/>
      <c r="P59" s="32"/>
      <c r="Q59" s="32"/>
      <c r="R59" s="33"/>
    </row>
    <row r="60" spans="1:18" x14ac:dyDescent="0.25">
      <c r="A60" s="46" t="s">
        <v>330</v>
      </c>
      <c r="B60" s="29" t="s">
        <v>42</v>
      </c>
      <c r="C60" s="30"/>
      <c r="D60" s="22"/>
      <c r="E60" s="22"/>
      <c r="F60" s="22">
        <v>436</v>
      </c>
      <c r="G60" s="22">
        <v>236</v>
      </c>
      <c r="H60" s="22">
        <v>371</v>
      </c>
      <c r="I60" s="22">
        <v>6</v>
      </c>
      <c r="J60" s="22">
        <v>56</v>
      </c>
      <c r="K60" s="22"/>
      <c r="L60" s="22">
        <v>14</v>
      </c>
      <c r="M60" s="31">
        <v>0.44700000000000001</v>
      </c>
      <c r="N60" s="32">
        <v>0.89400000000000002</v>
      </c>
      <c r="O60" s="32"/>
      <c r="P60" s="32"/>
      <c r="Q60" s="32"/>
      <c r="R60" s="33"/>
    </row>
    <row r="61" spans="1:18" x14ac:dyDescent="0.25">
      <c r="A61" s="46" t="s">
        <v>331</v>
      </c>
      <c r="B61" s="29" t="s">
        <v>43</v>
      </c>
      <c r="C61" s="30"/>
      <c r="D61" s="22"/>
      <c r="E61" s="22"/>
      <c r="F61" s="22">
        <v>572</v>
      </c>
      <c r="G61" s="22">
        <v>266</v>
      </c>
      <c r="H61" s="22">
        <v>395</v>
      </c>
      <c r="I61" s="22">
        <v>8</v>
      </c>
      <c r="J61" s="22">
        <v>84</v>
      </c>
      <c r="K61" s="22"/>
      <c r="L61" s="22">
        <v>18</v>
      </c>
      <c r="M61" s="31">
        <v>0.35099999999999998</v>
      </c>
      <c r="N61" s="32">
        <v>0.93600000000000005</v>
      </c>
      <c r="O61" s="32"/>
      <c r="P61" s="32"/>
      <c r="Q61" s="32"/>
      <c r="R61" s="33"/>
    </row>
    <row r="62" spans="1:18" x14ac:dyDescent="0.25">
      <c r="A62" s="46" t="s">
        <v>332</v>
      </c>
      <c r="B62" s="29" t="s">
        <v>44</v>
      </c>
      <c r="C62" s="30"/>
      <c r="D62" s="22"/>
      <c r="E62" s="22"/>
      <c r="F62" s="22">
        <v>539</v>
      </c>
      <c r="G62" s="22">
        <v>273</v>
      </c>
      <c r="H62" s="22">
        <v>444</v>
      </c>
      <c r="I62" s="22">
        <v>9</v>
      </c>
      <c r="J62" s="22">
        <v>85</v>
      </c>
      <c r="K62" s="22"/>
      <c r="L62" s="22">
        <v>20</v>
      </c>
      <c r="M62" s="31">
        <v>0.35099999999999998</v>
      </c>
      <c r="N62" s="32">
        <v>0.93600000000000005</v>
      </c>
      <c r="O62" s="32"/>
      <c r="P62" s="32"/>
      <c r="Q62" s="32"/>
      <c r="R62" s="33"/>
    </row>
    <row r="63" spans="1:18" x14ac:dyDescent="0.25">
      <c r="A63" s="46" t="s">
        <v>333</v>
      </c>
      <c r="B63" s="29" t="s">
        <v>45</v>
      </c>
      <c r="C63" s="30"/>
      <c r="D63" s="22"/>
      <c r="E63" s="22"/>
      <c r="F63" s="22">
        <v>669</v>
      </c>
      <c r="G63" s="22">
        <v>294</v>
      </c>
      <c r="H63" s="22">
        <v>496</v>
      </c>
      <c r="I63" s="22">
        <v>9</v>
      </c>
      <c r="J63" s="22">
        <v>106</v>
      </c>
      <c r="K63" s="22"/>
      <c r="L63" s="22">
        <v>22</v>
      </c>
      <c r="M63" s="31">
        <v>0.30599999999999999</v>
      </c>
      <c r="N63" s="32">
        <v>0.95199999999999996</v>
      </c>
      <c r="O63" s="32"/>
      <c r="P63" s="32"/>
      <c r="Q63" s="32"/>
      <c r="R63" s="33"/>
    </row>
    <row r="64" spans="1:18" x14ac:dyDescent="0.25">
      <c r="A64" s="46" t="s">
        <v>334</v>
      </c>
      <c r="B64" s="29" t="s">
        <v>46</v>
      </c>
      <c r="C64" s="30"/>
      <c r="D64" s="22"/>
      <c r="E64" s="22"/>
      <c r="F64" s="22">
        <v>678</v>
      </c>
      <c r="G64" s="22">
        <v>288</v>
      </c>
      <c r="H64" s="22">
        <v>576</v>
      </c>
      <c r="I64" s="22">
        <v>12</v>
      </c>
      <c r="J64" s="22">
        <v>108</v>
      </c>
      <c r="K64" s="22"/>
      <c r="L64" s="22">
        <v>25</v>
      </c>
      <c r="M64" s="31">
        <v>0.30599999999999999</v>
      </c>
      <c r="N64" s="32">
        <v>0.95199999999999996</v>
      </c>
      <c r="O64" s="32"/>
      <c r="P64" s="32"/>
      <c r="Q64" s="32"/>
      <c r="R64" s="33"/>
    </row>
    <row r="65" spans="1:18" x14ac:dyDescent="0.25">
      <c r="A65" s="46" t="s">
        <v>335</v>
      </c>
      <c r="B65" s="29" t="s">
        <v>47</v>
      </c>
      <c r="C65" s="30"/>
      <c r="D65" s="22"/>
      <c r="E65" s="22"/>
      <c r="F65" s="22">
        <v>720</v>
      </c>
      <c r="G65" s="22">
        <v>302</v>
      </c>
      <c r="H65" s="22">
        <v>630</v>
      </c>
      <c r="I65" s="22">
        <v>10</v>
      </c>
      <c r="J65" s="22">
        <v>133</v>
      </c>
      <c r="K65" s="22"/>
      <c r="L65" s="22">
        <v>25</v>
      </c>
      <c r="M65" s="31">
        <v>0.26700000000000002</v>
      </c>
      <c r="N65" s="32">
        <v>0.96399999999999997</v>
      </c>
      <c r="O65" s="32"/>
      <c r="P65" s="32"/>
      <c r="Q65" s="32"/>
      <c r="R65" s="33"/>
    </row>
    <row r="66" spans="1:18" x14ac:dyDescent="0.25">
      <c r="A66" s="46" t="s">
        <v>336</v>
      </c>
      <c r="B66" s="29" t="s">
        <v>48</v>
      </c>
      <c r="C66" s="30"/>
      <c r="D66" s="22"/>
      <c r="E66" s="22"/>
      <c r="F66" s="22">
        <v>716</v>
      </c>
      <c r="G66" s="22">
        <v>298</v>
      </c>
      <c r="H66" s="22">
        <v>713</v>
      </c>
      <c r="I66" s="22">
        <v>11</v>
      </c>
      <c r="J66" s="22">
        <v>133</v>
      </c>
      <c r="K66" s="22"/>
      <c r="L66" s="22">
        <v>25</v>
      </c>
      <c r="M66" s="31">
        <v>0.26700000000000002</v>
      </c>
      <c r="N66" s="32">
        <v>0.96399999999999997</v>
      </c>
      <c r="O66" s="32"/>
      <c r="P66" s="32"/>
      <c r="Q66" s="32"/>
      <c r="R66" s="33"/>
    </row>
    <row r="67" spans="1:18" x14ac:dyDescent="0.25">
      <c r="A67" s="46" t="s">
        <v>337</v>
      </c>
      <c r="B67" s="29" t="s">
        <v>49</v>
      </c>
      <c r="C67" s="30"/>
      <c r="D67" s="22"/>
      <c r="E67" s="22"/>
      <c r="F67" s="22">
        <v>848</v>
      </c>
      <c r="G67" s="22">
        <v>302</v>
      </c>
      <c r="H67" s="22">
        <v>750</v>
      </c>
      <c r="I67" s="22">
        <v>10</v>
      </c>
      <c r="J67" s="22">
        <v>169</v>
      </c>
      <c r="K67" s="22"/>
      <c r="L67" s="22">
        <v>25</v>
      </c>
      <c r="M67" s="31">
        <v>0.24299999999999999</v>
      </c>
      <c r="N67" s="32">
        <v>0.97</v>
      </c>
      <c r="O67" s="32"/>
      <c r="P67" s="32"/>
      <c r="Q67" s="32"/>
      <c r="R67" s="33"/>
    </row>
    <row r="68" spans="1:18" x14ac:dyDescent="0.25">
      <c r="A68" s="46" t="s">
        <v>338</v>
      </c>
      <c r="B68" s="29" t="s">
        <v>50</v>
      </c>
      <c r="C68" s="30"/>
      <c r="D68" s="22"/>
      <c r="E68" s="22"/>
      <c r="F68" s="22">
        <v>840</v>
      </c>
      <c r="G68" s="22">
        <v>302</v>
      </c>
      <c r="H68" s="22">
        <v>776</v>
      </c>
      <c r="I68" s="22">
        <v>11</v>
      </c>
      <c r="J68" s="22">
        <v>168</v>
      </c>
      <c r="K68" s="22"/>
      <c r="L68" s="22">
        <v>25</v>
      </c>
      <c r="M68" s="31">
        <v>0.24299999999999999</v>
      </c>
      <c r="N68" s="32">
        <v>0.97</v>
      </c>
      <c r="O68" s="32"/>
      <c r="P68" s="32"/>
      <c r="Q68" s="32"/>
      <c r="R68" s="33"/>
    </row>
    <row r="69" spans="1:18" x14ac:dyDescent="0.25">
      <c r="A69" s="46" t="s">
        <v>339</v>
      </c>
      <c r="B69" s="29" t="s">
        <v>121</v>
      </c>
      <c r="C69" s="30"/>
      <c r="D69" s="22"/>
      <c r="E69" s="22"/>
      <c r="F69" s="22">
        <v>979</v>
      </c>
      <c r="G69" s="22">
        <v>355</v>
      </c>
      <c r="H69" s="22">
        <v>877</v>
      </c>
      <c r="I69" s="22">
        <v>15</v>
      </c>
      <c r="J69" s="22">
        <v>184</v>
      </c>
      <c r="K69" s="22"/>
      <c r="L69" s="22">
        <v>32</v>
      </c>
      <c r="M69" s="31">
        <v>0.24299999999999999</v>
      </c>
      <c r="N69" s="32">
        <v>0.97</v>
      </c>
      <c r="O69" s="32"/>
      <c r="P69" s="32"/>
      <c r="Q69" s="32"/>
      <c r="R69" s="33"/>
    </row>
    <row r="70" spans="1:18" x14ac:dyDescent="0.25">
      <c r="A70" s="46" t="s">
        <v>340</v>
      </c>
      <c r="B70" s="29" t="s">
        <v>51</v>
      </c>
      <c r="C70" s="30"/>
      <c r="D70" s="22"/>
      <c r="E70" s="22"/>
      <c r="F70" s="22">
        <v>1283</v>
      </c>
      <c r="G70" s="22">
        <v>337</v>
      </c>
      <c r="H70" s="22">
        <v>1024</v>
      </c>
      <c r="I70" s="22">
        <v>14</v>
      </c>
      <c r="J70" s="22">
        <v>262</v>
      </c>
      <c r="K70" s="22"/>
      <c r="L70" s="22">
        <v>34</v>
      </c>
      <c r="M70" s="31">
        <v>0.18099999999999999</v>
      </c>
      <c r="N70" s="32">
        <v>0.98399999999999999</v>
      </c>
      <c r="O70" s="32"/>
      <c r="P70" s="32"/>
      <c r="Q70" s="32"/>
      <c r="R70" s="33"/>
    </row>
    <row r="71" spans="1:18" x14ac:dyDescent="0.25">
      <c r="A71" s="46" t="s">
        <v>341</v>
      </c>
      <c r="B71" s="29" t="s">
        <v>52</v>
      </c>
      <c r="C71" s="30"/>
      <c r="D71" s="22"/>
      <c r="E71" s="22"/>
      <c r="F71" s="22">
        <v>1281</v>
      </c>
      <c r="G71" s="22">
        <v>375</v>
      </c>
      <c r="H71" s="22">
        <v>1131</v>
      </c>
      <c r="I71" s="22">
        <v>15</v>
      </c>
      <c r="J71" s="22">
        <v>264</v>
      </c>
      <c r="K71" s="22"/>
      <c r="L71" s="22">
        <v>36</v>
      </c>
      <c r="M71" s="31">
        <v>0.18099999999999999</v>
      </c>
      <c r="N71" s="32">
        <v>0.98399999999999999</v>
      </c>
      <c r="O71" s="32"/>
      <c r="P71" s="32"/>
      <c r="Q71" s="32"/>
      <c r="R71" s="33"/>
    </row>
    <row r="72" spans="1:18" x14ac:dyDescent="0.25">
      <c r="A72" s="46" t="s">
        <v>342</v>
      </c>
      <c r="B72" s="29" t="s">
        <v>53</v>
      </c>
      <c r="C72" s="30"/>
      <c r="D72" s="22"/>
      <c r="E72" s="22"/>
      <c r="F72" s="22">
        <v>265</v>
      </c>
      <c r="G72" s="22">
        <v>192</v>
      </c>
      <c r="H72" s="22">
        <v>245</v>
      </c>
      <c r="I72" s="22">
        <v>7</v>
      </c>
      <c r="J72" s="22">
        <v>22</v>
      </c>
      <c r="K72" s="22"/>
      <c r="L72" s="22">
        <v>11</v>
      </c>
      <c r="M72" s="31">
        <v>0.78900000000000003</v>
      </c>
      <c r="N72" s="32">
        <v>0.61399999999999999</v>
      </c>
      <c r="O72" s="32"/>
      <c r="P72" s="32"/>
      <c r="Q72" s="32"/>
      <c r="R72" s="33"/>
    </row>
    <row r="73" spans="1:18" x14ac:dyDescent="0.25">
      <c r="A73" s="46" t="s">
        <v>343</v>
      </c>
      <c r="B73" s="29" t="s">
        <v>54</v>
      </c>
      <c r="C73" s="30"/>
      <c r="D73" s="22"/>
      <c r="E73" s="22"/>
      <c r="F73" s="22">
        <v>379</v>
      </c>
      <c r="G73" s="22">
        <v>233</v>
      </c>
      <c r="H73" s="22">
        <v>336</v>
      </c>
      <c r="I73" s="22">
        <v>12</v>
      </c>
      <c r="J73" s="22">
        <v>39</v>
      </c>
      <c r="K73" s="22"/>
      <c r="L73" s="22">
        <v>18</v>
      </c>
      <c r="M73" s="31">
        <v>0.56899999999999995</v>
      </c>
      <c r="N73" s="32">
        <v>0.82199999999999995</v>
      </c>
      <c r="O73" s="32"/>
      <c r="P73" s="32"/>
      <c r="Q73" s="32"/>
      <c r="R73" s="33"/>
    </row>
    <row r="74" spans="1:18" x14ac:dyDescent="0.25">
      <c r="A74" s="46" t="s">
        <v>344</v>
      </c>
      <c r="B74" s="29" t="s">
        <v>55</v>
      </c>
      <c r="C74" s="30"/>
      <c r="D74" s="22"/>
      <c r="E74" s="22"/>
      <c r="F74" s="22">
        <v>483</v>
      </c>
      <c r="G74" s="22">
        <v>268</v>
      </c>
      <c r="H74" s="22">
        <v>449</v>
      </c>
      <c r="I74" s="22">
        <v>13</v>
      </c>
      <c r="J74" s="22">
        <v>61</v>
      </c>
      <c r="K74" s="22"/>
      <c r="L74" s="22">
        <v>26</v>
      </c>
      <c r="M74" s="31">
        <v>0.44700000000000001</v>
      </c>
      <c r="N74" s="32">
        <v>0.89400000000000002</v>
      </c>
      <c r="O74" s="32"/>
      <c r="P74" s="32"/>
      <c r="Q74" s="32"/>
      <c r="R74" s="33"/>
    </row>
    <row r="75" spans="1:18" x14ac:dyDescent="0.25">
      <c r="A75" s="46" t="s">
        <v>345</v>
      </c>
      <c r="B75" s="29" t="s">
        <v>56</v>
      </c>
      <c r="C75" s="30"/>
      <c r="D75" s="22"/>
      <c r="E75" s="22"/>
      <c r="F75" s="22">
        <v>483</v>
      </c>
      <c r="G75" s="22">
        <v>343</v>
      </c>
      <c r="H75" s="22">
        <v>524</v>
      </c>
      <c r="I75" s="22">
        <v>14</v>
      </c>
      <c r="J75" s="22">
        <v>61</v>
      </c>
      <c r="K75" s="22"/>
      <c r="L75" s="22">
        <v>28</v>
      </c>
      <c r="M75" s="31">
        <v>0.44700000000000001</v>
      </c>
      <c r="N75" s="32">
        <v>0.89400000000000002</v>
      </c>
      <c r="O75" s="32"/>
      <c r="P75" s="32"/>
      <c r="Q75" s="32"/>
      <c r="R75" s="33"/>
    </row>
    <row r="76" spans="1:18" x14ac:dyDescent="0.25">
      <c r="A76" s="46" t="s">
        <v>346</v>
      </c>
      <c r="B76" s="29" t="s">
        <v>57</v>
      </c>
      <c r="C76" s="30"/>
      <c r="D76" s="22"/>
      <c r="E76" s="22"/>
      <c r="F76" s="22">
        <v>491</v>
      </c>
      <c r="G76" s="22">
        <v>273</v>
      </c>
      <c r="H76" s="22">
        <v>494</v>
      </c>
      <c r="I76" s="22">
        <v>17</v>
      </c>
      <c r="J76" s="22">
        <v>71</v>
      </c>
      <c r="K76" s="22"/>
      <c r="L76" s="22">
        <v>23</v>
      </c>
      <c r="M76" s="31">
        <v>0.39400000000000002</v>
      </c>
      <c r="N76" s="32">
        <v>0.91900000000000004</v>
      </c>
      <c r="O76" s="32"/>
      <c r="P76" s="32"/>
      <c r="Q76" s="32"/>
      <c r="R76" s="33"/>
    </row>
    <row r="77" spans="1:18" x14ac:dyDescent="0.25">
      <c r="A77" s="46" t="s">
        <v>347</v>
      </c>
      <c r="B77" s="29" t="s">
        <v>58</v>
      </c>
      <c r="C77" s="30"/>
      <c r="D77" s="22"/>
      <c r="E77" s="22"/>
      <c r="F77" s="22">
        <v>498</v>
      </c>
      <c r="G77" s="22">
        <v>265</v>
      </c>
      <c r="H77" s="22">
        <v>572</v>
      </c>
      <c r="I77" s="22">
        <v>18</v>
      </c>
      <c r="J77" s="22">
        <v>72</v>
      </c>
      <c r="K77" s="22"/>
      <c r="L77" s="22">
        <v>24</v>
      </c>
      <c r="M77" s="31">
        <v>0.39400000000000002</v>
      </c>
      <c r="N77" s="32">
        <v>0.91900000000000004</v>
      </c>
      <c r="O77" s="32"/>
      <c r="P77" s="32"/>
      <c r="Q77" s="32"/>
      <c r="R77" s="33"/>
    </row>
    <row r="78" spans="1:18" x14ac:dyDescent="0.25">
      <c r="A78" s="46" t="s">
        <v>348</v>
      </c>
      <c r="B78" s="29" t="s">
        <v>59</v>
      </c>
      <c r="C78" s="30"/>
      <c r="D78" s="22"/>
      <c r="E78" s="22"/>
      <c r="F78" s="22">
        <v>705</v>
      </c>
      <c r="G78" s="22">
        <v>292</v>
      </c>
      <c r="H78" s="22">
        <v>655</v>
      </c>
      <c r="I78" s="22">
        <v>22</v>
      </c>
      <c r="J78" s="22">
        <v>112</v>
      </c>
      <c r="K78" s="22"/>
      <c r="L78" s="22">
        <v>24</v>
      </c>
      <c r="M78" s="31">
        <v>0.32700000000000001</v>
      </c>
      <c r="N78" s="32">
        <v>0.94499999999999995</v>
      </c>
      <c r="O78" s="32"/>
      <c r="P78" s="32"/>
      <c r="Q78" s="32"/>
      <c r="R78" s="33"/>
    </row>
    <row r="79" spans="1:18" x14ac:dyDescent="0.25">
      <c r="A79" s="46" t="s">
        <v>349</v>
      </c>
      <c r="B79" s="29" t="s">
        <v>60</v>
      </c>
      <c r="C79" s="30"/>
      <c r="D79" s="22"/>
      <c r="E79" s="22"/>
      <c r="F79" s="22">
        <v>707</v>
      </c>
      <c r="G79" s="22">
        <v>356</v>
      </c>
      <c r="H79" s="22">
        <v>719</v>
      </c>
      <c r="I79" s="22">
        <v>25</v>
      </c>
      <c r="J79" s="22">
        <v>111</v>
      </c>
      <c r="K79" s="22"/>
      <c r="L79" s="22">
        <v>24</v>
      </c>
      <c r="M79" s="31">
        <v>0.32700000000000001</v>
      </c>
      <c r="N79" s="32">
        <v>0.94499999999999995</v>
      </c>
      <c r="O79" s="32"/>
      <c r="P79" s="32"/>
      <c r="Q79" s="32"/>
      <c r="R79" s="33"/>
    </row>
    <row r="80" spans="1:18" x14ac:dyDescent="0.25">
      <c r="A80" s="46" t="s">
        <v>350</v>
      </c>
      <c r="B80" s="29" t="s">
        <v>61</v>
      </c>
      <c r="C80" s="30"/>
      <c r="D80" s="22"/>
      <c r="E80" s="22"/>
      <c r="F80" s="22">
        <v>796</v>
      </c>
      <c r="G80" s="22">
        <v>422</v>
      </c>
      <c r="H80" s="22">
        <v>874</v>
      </c>
      <c r="I80" s="22">
        <v>24</v>
      </c>
      <c r="J80" s="22">
        <v>142</v>
      </c>
      <c r="K80" s="22"/>
      <c r="L80" s="22">
        <v>26</v>
      </c>
      <c r="M80" s="31">
        <v>0.26700000000000002</v>
      </c>
      <c r="N80" s="32">
        <v>0.96399999999999997</v>
      </c>
      <c r="O80" s="32"/>
      <c r="P80" s="32"/>
      <c r="Q80" s="32"/>
      <c r="R80" s="33"/>
    </row>
    <row r="81" spans="1:18" x14ac:dyDescent="0.25">
      <c r="A81" s="46" t="s">
        <v>351</v>
      </c>
      <c r="B81" s="29" t="s">
        <v>62</v>
      </c>
      <c r="C81" s="30"/>
      <c r="D81" s="22"/>
      <c r="E81" s="22"/>
      <c r="F81" s="22">
        <v>961</v>
      </c>
      <c r="G81" s="22">
        <v>412</v>
      </c>
      <c r="H81" s="22">
        <v>929</v>
      </c>
      <c r="I81" s="22">
        <v>20</v>
      </c>
      <c r="J81" s="22">
        <v>185</v>
      </c>
      <c r="K81" s="22"/>
      <c r="L81" s="22">
        <v>26</v>
      </c>
      <c r="M81" s="31">
        <v>0.24299999999999999</v>
      </c>
      <c r="N81" s="32">
        <v>0.97</v>
      </c>
      <c r="O81" s="32"/>
      <c r="P81" s="32"/>
      <c r="Q81" s="32"/>
      <c r="R81" s="33"/>
    </row>
    <row r="82" spans="1:18" x14ac:dyDescent="0.25">
      <c r="A82" s="46" t="s">
        <v>352</v>
      </c>
      <c r="B82" s="29" t="s">
        <v>63</v>
      </c>
      <c r="C82" s="30"/>
      <c r="D82" s="22"/>
      <c r="E82" s="22"/>
      <c r="F82" s="22">
        <v>970</v>
      </c>
      <c r="G82" s="22">
        <v>457</v>
      </c>
      <c r="H82" s="22">
        <v>1179</v>
      </c>
      <c r="I82" s="22">
        <v>23</v>
      </c>
      <c r="J82" s="22">
        <v>190</v>
      </c>
      <c r="K82" s="22"/>
      <c r="L82" s="22">
        <v>28</v>
      </c>
      <c r="M82" s="31">
        <v>0.24299999999999999</v>
      </c>
      <c r="N82" s="32">
        <v>0.97</v>
      </c>
      <c r="O82" s="32"/>
      <c r="P82" s="32"/>
      <c r="Q82" s="32"/>
      <c r="R82" s="33"/>
    </row>
    <row r="83" spans="1:18" x14ac:dyDescent="0.25">
      <c r="A83" s="46" t="s">
        <v>353</v>
      </c>
      <c r="B83" s="29" t="s">
        <v>64</v>
      </c>
      <c r="C83" s="30"/>
      <c r="D83" s="22"/>
      <c r="E83" s="22"/>
      <c r="F83" s="22">
        <v>966</v>
      </c>
      <c r="G83" s="22">
        <v>485</v>
      </c>
      <c r="H83" s="22">
        <v>1180</v>
      </c>
      <c r="I83" s="22">
        <v>26</v>
      </c>
      <c r="J83" s="22">
        <v>190</v>
      </c>
      <c r="K83" s="22"/>
      <c r="L83" s="22">
        <v>28</v>
      </c>
      <c r="M83" s="31">
        <v>0.24299999999999999</v>
      </c>
      <c r="N83" s="32">
        <v>0.97</v>
      </c>
      <c r="O83" s="32"/>
      <c r="P83" s="32"/>
      <c r="Q83" s="32"/>
      <c r="R83" s="33"/>
    </row>
    <row r="84" spans="1:18" x14ac:dyDescent="0.25">
      <c r="A84" s="46" t="s">
        <v>354</v>
      </c>
      <c r="B84" s="29" t="s">
        <v>65</v>
      </c>
      <c r="C84" s="30"/>
      <c r="D84" s="22"/>
      <c r="E84" s="22"/>
      <c r="F84" s="22">
        <v>1115</v>
      </c>
      <c r="G84" s="22">
        <v>513</v>
      </c>
      <c r="H84" s="22">
        <v>1181</v>
      </c>
      <c r="I84" s="22">
        <v>28</v>
      </c>
      <c r="J84" s="22">
        <v>210</v>
      </c>
      <c r="K84" s="22"/>
      <c r="L84" s="22">
        <v>30</v>
      </c>
      <c r="M84" s="31">
        <v>0.24299999999999999</v>
      </c>
      <c r="N84" s="32">
        <v>0.97</v>
      </c>
      <c r="O84" s="32"/>
      <c r="P84" s="32"/>
      <c r="Q84" s="32"/>
      <c r="R84" s="33"/>
    </row>
    <row r="85" spans="1:18" x14ac:dyDescent="0.25">
      <c r="A85" s="46" t="s">
        <v>355</v>
      </c>
      <c r="B85" s="29" t="s">
        <v>66</v>
      </c>
      <c r="C85" s="30"/>
      <c r="D85" s="22"/>
      <c r="E85" s="22"/>
      <c r="F85" s="22">
        <v>1331</v>
      </c>
      <c r="G85" s="22">
        <v>495</v>
      </c>
      <c r="H85" s="22">
        <v>1197</v>
      </c>
      <c r="I85" s="22">
        <v>19</v>
      </c>
      <c r="J85" s="22">
        <v>285</v>
      </c>
      <c r="K85" s="22"/>
      <c r="L85" s="22">
        <v>29</v>
      </c>
      <c r="M85" s="31">
        <v>0.19400000000000001</v>
      </c>
      <c r="N85" s="32">
        <v>0.98099999999999998</v>
      </c>
      <c r="O85" s="32"/>
      <c r="P85" s="32"/>
      <c r="Q85" s="32"/>
      <c r="R85" s="33"/>
    </row>
    <row r="86" spans="1:18" x14ac:dyDescent="0.25">
      <c r="A86" s="46" t="s">
        <v>356</v>
      </c>
      <c r="B86" s="29" t="s">
        <v>67</v>
      </c>
      <c r="C86" s="30"/>
      <c r="D86" s="22"/>
      <c r="E86" s="22"/>
      <c r="F86" s="22">
        <v>1384</v>
      </c>
      <c r="G86" s="22">
        <v>551</v>
      </c>
      <c r="H86" s="22">
        <v>1350</v>
      </c>
      <c r="I86" s="22">
        <v>23</v>
      </c>
      <c r="J86" s="22">
        <v>296</v>
      </c>
      <c r="K86" s="22"/>
      <c r="L86" s="22">
        <v>32</v>
      </c>
      <c r="M86" s="31">
        <v>0.19400000000000001</v>
      </c>
      <c r="N86" s="32">
        <v>0.98099999999999998</v>
      </c>
      <c r="O86" s="32"/>
      <c r="P86" s="32"/>
      <c r="Q86" s="32"/>
      <c r="R86" s="33"/>
    </row>
    <row r="87" spans="1:18" x14ac:dyDescent="0.25">
      <c r="A87" s="46" t="s">
        <v>357</v>
      </c>
      <c r="B87" s="29" t="s">
        <v>68</v>
      </c>
      <c r="C87" s="30"/>
      <c r="D87" s="22"/>
      <c r="E87" s="22"/>
      <c r="F87" s="22">
        <v>1340</v>
      </c>
      <c r="G87" s="22">
        <v>558</v>
      </c>
      <c r="H87" s="22">
        <v>1418</v>
      </c>
      <c r="I87" s="22">
        <v>27</v>
      </c>
      <c r="J87" s="22">
        <v>291</v>
      </c>
      <c r="K87" s="22"/>
      <c r="L87" s="22">
        <v>33</v>
      </c>
      <c r="M87" s="31">
        <v>0.19400000000000001</v>
      </c>
      <c r="N87" s="32">
        <v>0.98099999999999998</v>
      </c>
      <c r="O87" s="32"/>
      <c r="P87" s="32"/>
      <c r="Q87" s="32"/>
      <c r="R87" s="33"/>
    </row>
    <row r="88" spans="1:18" x14ac:dyDescent="0.25">
      <c r="A88" s="46" t="s">
        <v>358</v>
      </c>
      <c r="B88" s="29" t="s">
        <v>69</v>
      </c>
      <c r="C88" s="30"/>
      <c r="D88" s="22"/>
      <c r="E88" s="22"/>
      <c r="F88" s="22">
        <v>1311</v>
      </c>
      <c r="G88" s="22">
        <v>570</v>
      </c>
      <c r="H88" s="22">
        <v>1418</v>
      </c>
      <c r="I88" s="22">
        <v>32</v>
      </c>
      <c r="J88" s="22">
        <v>288</v>
      </c>
      <c r="K88" s="22"/>
      <c r="L88" s="22">
        <v>34</v>
      </c>
      <c r="M88" s="31">
        <v>0.19400000000000001</v>
      </c>
      <c r="N88" s="32">
        <v>0.98099999999999998</v>
      </c>
      <c r="O88" s="32"/>
      <c r="P88" s="32"/>
      <c r="Q88" s="32"/>
      <c r="R88" s="33"/>
    </row>
    <row r="89" spans="1:18" x14ac:dyDescent="0.25">
      <c r="A89" s="46" t="s">
        <v>359</v>
      </c>
      <c r="B89" s="29" t="s">
        <v>70</v>
      </c>
      <c r="C89" s="30"/>
      <c r="D89" s="22"/>
      <c r="E89" s="22"/>
      <c r="F89" s="22">
        <v>2420</v>
      </c>
      <c r="G89" s="22">
        <v>1037</v>
      </c>
      <c r="H89" s="22">
        <v>2461</v>
      </c>
      <c r="I89" s="22">
        <v>135</v>
      </c>
      <c r="J89" s="22">
        <v>571</v>
      </c>
      <c r="K89" s="22"/>
      <c r="L89" s="22">
        <v>87</v>
      </c>
      <c r="M89" s="31">
        <v>0.223</v>
      </c>
      <c r="N89" s="32">
        <v>0.97499999999999998</v>
      </c>
      <c r="O89" s="32"/>
      <c r="P89" s="32"/>
      <c r="Q89" s="32"/>
      <c r="R89" s="33"/>
    </row>
    <row r="90" spans="1:18" x14ac:dyDescent="0.25">
      <c r="A90" s="46" t="s">
        <v>360</v>
      </c>
      <c r="B90" s="29" t="s">
        <v>71</v>
      </c>
      <c r="C90" s="30"/>
      <c r="D90" s="22"/>
      <c r="E90" s="22"/>
      <c r="F90" s="22">
        <v>2015</v>
      </c>
      <c r="G90" s="22">
        <v>839</v>
      </c>
      <c r="H90" s="22">
        <v>1945</v>
      </c>
      <c r="I90" s="22">
        <v>32</v>
      </c>
      <c r="J90" s="22">
        <v>498</v>
      </c>
      <c r="K90" s="22"/>
      <c r="L90" s="22">
        <v>59</v>
      </c>
      <c r="M90" s="31">
        <v>0.219</v>
      </c>
      <c r="N90" s="32">
        <v>0.97599999999999998</v>
      </c>
      <c r="O90" s="32"/>
      <c r="P90" s="32"/>
      <c r="Q90" s="32"/>
      <c r="R90" s="33"/>
    </row>
    <row r="91" spans="1:18" x14ac:dyDescent="0.25">
      <c r="A91" s="46" t="s">
        <v>361</v>
      </c>
      <c r="B91" s="29" t="s">
        <v>72</v>
      </c>
      <c r="C91" s="30"/>
      <c r="D91" s="22"/>
      <c r="E91" s="22"/>
      <c r="F91" s="22">
        <v>2157</v>
      </c>
      <c r="G91" s="22">
        <v>849</v>
      </c>
      <c r="H91" s="22">
        <v>2188</v>
      </c>
      <c r="I91" s="22">
        <v>146</v>
      </c>
      <c r="J91" s="22">
        <v>561</v>
      </c>
      <c r="K91" s="22"/>
      <c r="L91" s="22">
        <v>58</v>
      </c>
      <c r="M91" s="31">
        <v>0.193</v>
      </c>
      <c r="N91" s="32">
        <v>0.98099999999999998</v>
      </c>
      <c r="O91" s="32"/>
      <c r="P91" s="32"/>
      <c r="Q91" s="32"/>
      <c r="R91" s="33"/>
    </row>
    <row r="92" spans="1:18" x14ac:dyDescent="0.25">
      <c r="A92" s="46" t="s">
        <v>362</v>
      </c>
      <c r="B92" s="29" t="s">
        <v>73</v>
      </c>
      <c r="C92" s="30"/>
      <c r="D92" s="22"/>
      <c r="E92" s="22"/>
      <c r="F92" s="22">
        <v>2900</v>
      </c>
      <c r="G92" s="22">
        <v>778</v>
      </c>
      <c r="H92" s="22">
        <v>3160</v>
      </c>
      <c r="I92" s="22">
        <v>77</v>
      </c>
      <c r="J92" s="22">
        <v>981</v>
      </c>
      <c r="K92" s="22"/>
      <c r="L92" s="22">
        <v>61</v>
      </c>
      <c r="M92" s="31">
        <v>0.13</v>
      </c>
      <c r="N92" s="32">
        <v>0.99199999999999999</v>
      </c>
      <c r="O92" s="32"/>
      <c r="P92" s="32"/>
      <c r="Q92" s="32"/>
      <c r="R92" s="33"/>
    </row>
    <row r="93" spans="1:18" x14ac:dyDescent="0.25">
      <c r="A93" s="46" t="s">
        <v>363</v>
      </c>
      <c r="B93" s="29" t="s">
        <v>304</v>
      </c>
      <c r="C93" s="30"/>
      <c r="D93" s="22"/>
      <c r="E93" s="22"/>
      <c r="F93" s="22">
        <v>3352</v>
      </c>
      <c r="G93" s="22">
        <v>900</v>
      </c>
      <c r="H93" s="22">
        <v>3648</v>
      </c>
      <c r="I93" s="22">
        <v>92</v>
      </c>
      <c r="J93" s="22">
        <v>1205</v>
      </c>
      <c r="K93" s="22"/>
      <c r="L93" s="22">
        <v>71</v>
      </c>
      <c r="M93" s="31">
        <v>0.112</v>
      </c>
      <c r="N93" s="32">
        <v>0.99399999999999999</v>
      </c>
      <c r="O93" s="32"/>
      <c r="P93" s="32"/>
      <c r="Q93" s="32"/>
      <c r="R93" s="33"/>
    </row>
    <row r="94" spans="1:18" x14ac:dyDescent="0.25">
      <c r="A94" s="46" t="s">
        <v>364</v>
      </c>
      <c r="B94" s="29" t="s">
        <v>306</v>
      </c>
      <c r="C94" s="30"/>
      <c r="D94" s="22"/>
      <c r="E94" s="22"/>
      <c r="F94" s="22">
        <v>3332</v>
      </c>
      <c r="G94" s="22">
        <v>651</v>
      </c>
      <c r="H94" s="22">
        <v>3891</v>
      </c>
      <c r="I94" s="22">
        <v>87</v>
      </c>
      <c r="J94" s="22">
        <v>1321</v>
      </c>
      <c r="K94" s="22"/>
      <c r="L94" s="22">
        <v>68</v>
      </c>
      <c r="M94" s="31">
        <v>0.104</v>
      </c>
      <c r="N94" s="32">
        <v>0.995</v>
      </c>
      <c r="O94" s="32"/>
      <c r="P94" s="32"/>
      <c r="Q94" s="32"/>
      <c r="R94" s="33"/>
    </row>
    <row r="95" spans="1:18" x14ac:dyDescent="0.25">
      <c r="A95" s="46" t="s">
        <v>365</v>
      </c>
      <c r="B95" s="29" t="s">
        <v>197</v>
      </c>
      <c r="C95" s="30"/>
      <c r="D95" s="22"/>
      <c r="E95" s="22"/>
      <c r="F95" s="22">
        <v>368</v>
      </c>
      <c r="G95" s="22">
        <v>336</v>
      </c>
      <c r="H95" s="22">
        <v>121</v>
      </c>
      <c r="I95" s="22">
        <v>11</v>
      </c>
      <c r="J95" s="22">
        <v>28</v>
      </c>
      <c r="K95" s="22"/>
      <c r="L95" s="22">
        <v>20</v>
      </c>
      <c r="M95" s="31">
        <v>0.78900000000000003</v>
      </c>
      <c r="N95" s="32">
        <v>0.61399999999999999</v>
      </c>
      <c r="O95" s="32"/>
      <c r="P95" s="32"/>
      <c r="Q95" s="32"/>
      <c r="R95" s="33"/>
    </row>
    <row r="96" spans="1:18" x14ac:dyDescent="0.25">
      <c r="A96" s="46" t="s">
        <v>366</v>
      </c>
      <c r="B96" s="29" t="s">
        <v>74</v>
      </c>
      <c r="C96" s="30"/>
      <c r="D96" s="22"/>
      <c r="E96" s="22"/>
      <c r="F96" s="22">
        <v>517</v>
      </c>
      <c r="G96" s="22">
        <v>473</v>
      </c>
      <c r="H96" s="22">
        <v>275</v>
      </c>
      <c r="I96" s="22">
        <v>18</v>
      </c>
      <c r="J96" s="22">
        <v>47</v>
      </c>
      <c r="K96" s="22"/>
      <c r="L96" s="22">
        <v>25</v>
      </c>
      <c r="M96" s="31">
        <v>0.54100000000000004</v>
      </c>
      <c r="N96" s="32">
        <v>0.84099999999999997</v>
      </c>
      <c r="O96" s="32"/>
      <c r="P96" s="32"/>
      <c r="Q96" s="32"/>
      <c r="R96" s="33"/>
    </row>
    <row r="97" spans="1:18" x14ac:dyDescent="0.25">
      <c r="A97" s="46" t="s">
        <v>367</v>
      </c>
      <c r="B97" s="29" t="s">
        <v>75</v>
      </c>
      <c r="C97" s="30"/>
      <c r="D97" s="22"/>
      <c r="E97" s="22"/>
      <c r="F97" s="22">
        <v>790</v>
      </c>
      <c r="G97" s="22">
        <v>668</v>
      </c>
      <c r="H97" s="22">
        <v>368</v>
      </c>
      <c r="I97" s="22">
        <v>30</v>
      </c>
      <c r="J97" s="22">
        <v>105</v>
      </c>
      <c r="K97" s="22"/>
      <c r="L97" s="22">
        <v>25</v>
      </c>
      <c r="M97" s="31">
        <v>0.41899999999999998</v>
      </c>
      <c r="N97" s="32">
        <v>0.90800000000000003</v>
      </c>
      <c r="O97" s="32"/>
      <c r="P97" s="32"/>
      <c r="Q97" s="32"/>
      <c r="R97" s="33"/>
    </row>
    <row r="98" spans="1:18" x14ac:dyDescent="0.25">
      <c r="A98" s="46" t="s">
        <v>368</v>
      </c>
      <c r="B98" s="29" t="s">
        <v>76</v>
      </c>
      <c r="C98" s="30"/>
      <c r="D98" s="22"/>
      <c r="E98" s="22"/>
      <c r="F98" s="22">
        <v>955</v>
      </c>
      <c r="G98" s="22">
        <v>837</v>
      </c>
      <c r="H98" s="22">
        <v>522</v>
      </c>
      <c r="I98" s="22">
        <v>40</v>
      </c>
      <c r="J98" s="22">
        <v>143</v>
      </c>
      <c r="K98" s="22"/>
      <c r="L98" s="22">
        <v>26</v>
      </c>
      <c r="M98" s="31">
        <v>0.32700000000000001</v>
      </c>
      <c r="N98" s="32">
        <v>0.94499999999999995</v>
      </c>
      <c r="O98" s="32"/>
      <c r="P98" s="32"/>
      <c r="Q98" s="32"/>
      <c r="R98" s="33"/>
    </row>
    <row r="99" spans="1:18" x14ac:dyDescent="0.25">
      <c r="A99" s="47" t="s">
        <v>369</v>
      </c>
      <c r="B99" s="29" t="s">
        <v>106</v>
      </c>
      <c r="C99" s="30"/>
      <c r="D99" s="22"/>
      <c r="E99" s="22"/>
      <c r="F99" s="22">
        <v>185</v>
      </c>
      <c r="G99" s="22">
        <v>83</v>
      </c>
      <c r="H99" s="22">
        <v>123</v>
      </c>
      <c r="I99" s="22">
        <v>1</v>
      </c>
      <c r="J99" s="22">
        <v>12</v>
      </c>
      <c r="K99" s="22"/>
      <c r="L99" s="22">
        <v>3</v>
      </c>
      <c r="M99" s="31">
        <v>0.90300000000000002</v>
      </c>
      <c r="N99" s="32">
        <v>0.42899999999999999</v>
      </c>
      <c r="O99" s="32"/>
      <c r="P99" s="32"/>
      <c r="Q99" s="32"/>
      <c r="R99" s="33"/>
    </row>
    <row r="100" spans="1:18" x14ac:dyDescent="0.25">
      <c r="A100" s="47" t="s">
        <v>370</v>
      </c>
      <c r="B100" s="29">
        <v>18</v>
      </c>
      <c r="C100" s="30"/>
      <c r="D100" s="22"/>
      <c r="E100" s="22"/>
      <c r="F100" s="22">
        <v>190</v>
      </c>
      <c r="G100" s="22">
        <v>101</v>
      </c>
      <c r="H100" s="22">
        <v>149</v>
      </c>
      <c r="I100" s="22">
        <v>2</v>
      </c>
      <c r="J100" s="22">
        <v>14</v>
      </c>
      <c r="K100" s="22"/>
      <c r="L100" s="22">
        <v>4</v>
      </c>
      <c r="M100" s="31">
        <v>0.89400000000000002</v>
      </c>
      <c r="N100" s="32">
        <v>0.44700000000000001</v>
      </c>
      <c r="O100" s="32"/>
      <c r="P100" s="32"/>
      <c r="Q100" s="32"/>
      <c r="R100" s="33"/>
    </row>
    <row r="101" spans="1:18" x14ac:dyDescent="0.25">
      <c r="A101" s="47" t="s">
        <v>371</v>
      </c>
      <c r="B101" s="29" t="s">
        <v>37</v>
      </c>
      <c r="C101" s="30"/>
      <c r="D101" s="22"/>
      <c r="E101" s="22"/>
      <c r="F101" s="22">
        <v>252</v>
      </c>
      <c r="G101" s="22">
        <v>136</v>
      </c>
      <c r="H101" s="22">
        <v>215</v>
      </c>
      <c r="I101" s="22">
        <v>3</v>
      </c>
      <c r="J101" s="22">
        <v>21</v>
      </c>
      <c r="K101" s="22"/>
      <c r="L101" s="22">
        <v>6</v>
      </c>
      <c r="M101" s="31">
        <v>0.83199999999999996</v>
      </c>
      <c r="N101" s="32">
        <v>0.55500000000000005</v>
      </c>
      <c r="O101" s="32"/>
      <c r="P101" s="32"/>
      <c r="Q101" s="32"/>
      <c r="R101" s="33"/>
    </row>
    <row r="102" spans="1:18" x14ac:dyDescent="0.25">
      <c r="A102" s="47" t="s">
        <v>372</v>
      </c>
      <c r="B102" s="29" t="s">
        <v>38</v>
      </c>
      <c r="C102" s="30"/>
      <c r="D102" s="22"/>
      <c r="E102" s="22"/>
      <c r="F102" s="22">
        <v>253</v>
      </c>
      <c r="G102" s="22">
        <v>156</v>
      </c>
      <c r="H102" s="22">
        <v>255</v>
      </c>
      <c r="I102" s="22">
        <v>3</v>
      </c>
      <c r="J102" s="22">
        <v>21</v>
      </c>
      <c r="K102" s="22"/>
      <c r="L102" s="22">
        <v>7</v>
      </c>
      <c r="M102" s="31">
        <v>0.82899999999999996</v>
      </c>
      <c r="N102" s="32">
        <v>0.55900000000000005</v>
      </c>
      <c r="O102" s="32"/>
      <c r="P102" s="32"/>
      <c r="Q102" s="32"/>
      <c r="R102" s="33"/>
    </row>
    <row r="103" spans="1:18" x14ac:dyDescent="0.25">
      <c r="A103" s="47" t="s">
        <v>373</v>
      </c>
      <c r="B103" s="29" t="s">
        <v>39</v>
      </c>
      <c r="C103" s="30"/>
      <c r="D103" s="22"/>
      <c r="E103" s="22"/>
      <c r="F103" s="22">
        <v>359</v>
      </c>
      <c r="G103" s="22">
        <v>170</v>
      </c>
      <c r="H103" s="22">
        <v>241</v>
      </c>
      <c r="I103" s="22">
        <v>3</v>
      </c>
      <c r="J103" s="22">
        <v>37</v>
      </c>
      <c r="K103" s="22"/>
      <c r="L103" s="22">
        <v>9</v>
      </c>
      <c r="M103" s="31">
        <v>0.65100000000000002</v>
      </c>
      <c r="N103" s="32">
        <v>0.75900000000000001</v>
      </c>
      <c r="O103" s="32"/>
      <c r="P103" s="32"/>
      <c r="Q103" s="32"/>
      <c r="R103" s="33"/>
    </row>
    <row r="104" spans="1:18" x14ac:dyDescent="0.25">
      <c r="A104" s="47" t="s">
        <v>374</v>
      </c>
      <c r="B104" s="29" t="s">
        <v>40</v>
      </c>
      <c r="C104" s="30"/>
      <c r="D104" s="22"/>
      <c r="E104" s="22"/>
      <c r="F104" s="22">
        <v>359</v>
      </c>
      <c r="G104" s="22">
        <v>194</v>
      </c>
      <c r="H104" s="22">
        <v>288</v>
      </c>
      <c r="I104" s="22">
        <v>4</v>
      </c>
      <c r="J104" s="22">
        <v>37</v>
      </c>
      <c r="K104" s="22"/>
      <c r="L104" s="22">
        <v>10</v>
      </c>
      <c r="M104" s="31">
        <v>0.65100000000000002</v>
      </c>
      <c r="N104" s="32">
        <v>0.75900000000000001</v>
      </c>
      <c r="O104" s="32"/>
      <c r="P104" s="32"/>
      <c r="Q104" s="32"/>
      <c r="R104" s="33"/>
    </row>
    <row r="105" spans="1:18" x14ac:dyDescent="0.25">
      <c r="A105" s="47" t="s">
        <v>375</v>
      </c>
      <c r="B105" s="29" t="s">
        <v>41</v>
      </c>
      <c r="C105" s="30"/>
      <c r="D105" s="22"/>
      <c r="E105" s="22"/>
      <c r="F105" s="22">
        <v>431</v>
      </c>
      <c r="G105" s="22">
        <v>207</v>
      </c>
      <c r="H105" s="22">
        <v>311</v>
      </c>
      <c r="I105" s="22">
        <v>4</v>
      </c>
      <c r="J105" s="22">
        <v>55</v>
      </c>
      <c r="K105" s="22"/>
      <c r="L105" s="22">
        <v>12</v>
      </c>
      <c r="M105" s="31">
        <v>0.55500000000000005</v>
      </c>
      <c r="N105" s="32">
        <v>0.83199999999999996</v>
      </c>
      <c r="O105" s="32"/>
      <c r="P105" s="32"/>
      <c r="Q105" s="32"/>
      <c r="R105" s="33"/>
    </row>
    <row r="106" spans="1:18" x14ac:dyDescent="0.25">
      <c r="A106" s="47" t="s">
        <v>376</v>
      </c>
      <c r="B106" s="29" t="s">
        <v>42</v>
      </c>
      <c r="C106" s="30"/>
      <c r="D106" s="22"/>
      <c r="E106" s="22"/>
      <c r="F106" s="22">
        <v>436</v>
      </c>
      <c r="G106" s="22">
        <v>236</v>
      </c>
      <c r="H106" s="22">
        <v>371</v>
      </c>
      <c r="I106" s="22">
        <v>6</v>
      </c>
      <c r="J106" s="22">
        <v>56</v>
      </c>
      <c r="K106" s="22"/>
      <c r="L106" s="22">
        <v>14</v>
      </c>
      <c r="M106" s="31">
        <v>0.55500000000000005</v>
      </c>
      <c r="N106" s="32">
        <v>0.83199999999999996</v>
      </c>
      <c r="O106" s="32"/>
      <c r="P106" s="32"/>
      <c r="Q106" s="32"/>
      <c r="R106" s="33"/>
    </row>
    <row r="107" spans="1:18" x14ac:dyDescent="0.25">
      <c r="A107" s="47" t="s">
        <v>377</v>
      </c>
      <c r="B107" s="29" t="s">
        <v>43</v>
      </c>
      <c r="C107" s="30"/>
      <c r="D107" s="22"/>
      <c r="E107" s="22"/>
      <c r="F107" s="22">
        <v>572</v>
      </c>
      <c r="G107" s="22">
        <v>266</v>
      </c>
      <c r="H107" s="22">
        <v>395</v>
      </c>
      <c r="I107" s="22">
        <v>8</v>
      </c>
      <c r="J107" s="22">
        <v>84</v>
      </c>
      <c r="K107" s="22"/>
      <c r="L107" s="22">
        <v>18</v>
      </c>
      <c r="M107" s="31">
        <v>0.44700000000000001</v>
      </c>
      <c r="N107" s="32">
        <v>0.89400000000000002</v>
      </c>
      <c r="O107" s="32"/>
      <c r="P107" s="32"/>
      <c r="Q107" s="32"/>
      <c r="R107" s="33"/>
    </row>
    <row r="108" spans="1:18" x14ac:dyDescent="0.25">
      <c r="A108" s="47" t="s">
        <v>378</v>
      </c>
      <c r="B108" s="29" t="s">
        <v>44</v>
      </c>
      <c r="C108" s="30"/>
      <c r="D108" s="22"/>
      <c r="E108" s="22"/>
      <c r="F108" s="22">
        <v>539</v>
      </c>
      <c r="G108" s="22">
        <v>273</v>
      </c>
      <c r="H108" s="22">
        <v>444</v>
      </c>
      <c r="I108" s="22">
        <v>9</v>
      </c>
      <c r="J108" s="22">
        <v>85</v>
      </c>
      <c r="K108" s="22"/>
      <c r="L108" s="22">
        <v>20</v>
      </c>
      <c r="M108" s="31">
        <v>0.44700000000000001</v>
      </c>
      <c r="N108" s="32">
        <v>0.89400000000000002</v>
      </c>
      <c r="O108" s="32"/>
      <c r="P108" s="32"/>
      <c r="Q108" s="32"/>
      <c r="R108" s="33"/>
    </row>
    <row r="109" spans="1:18" x14ac:dyDescent="0.25">
      <c r="A109" s="47" t="s">
        <v>379</v>
      </c>
      <c r="B109" s="29" t="s">
        <v>45</v>
      </c>
      <c r="C109" s="30"/>
      <c r="D109" s="22"/>
      <c r="E109" s="22"/>
      <c r="F109" s="22">
        <v>640</v>
      </c>
      <c r="G109" s="22">
        <v>294</v>
      </c>
      <c r="H109" s="22">
        <v>496</v>
      </c>
      <c r="I109" s="22">
        <v>9</v>
      </c>
      <c r="J109" s="22">
        <v>106</v>
      </c>
      <c r="K109" s="22"/>
      <c r="L109" s="22">
        <v>22</v>
      </c>
      <c r="M109" s="31">
        <v>0.39400000000000002</v>
      </c>
      <c r="N109" s="32">
        <v>0.91900000000000004</v>
      </c>
      <c r="O109" s="32"/>
      <c r="P109" s="32"/>
      <c r="Q109" s="32"/>
      <c r="R109" s="33"/>
    </row>
    <row r="110" spans="1:18" x14ac:dyDescent="0.25">
      <c r="A110" s="47" t="s">
        <v>380</v>
      </c>
      <c r="B110" s="29" t="s">
        <v>46</v>
      </c>
      <c r="C110" s="30"/>
      <c r="D110" s="22"/>
      <c r="E110" s="22"/>
      <c r="F110" s="22">
        <v>649</v>
      </c>
      <c r="G110" s="22">
        <v>288</v>
      </c>
      <c r="H110" s="22">
        <v>576</v>
      </c>
      <c r="I110" s="22">
        <v>12</v>
      </c>
      <c r="J110" s="22">
        <v>108</v>
      </c>
      <c r="K110" s="22"/>
      <c r="L110" s="22">
        <v>25</v>
      </c>
      <c r="M110" s="31">
        <v>0.39400000000000002</v>
      </c>
      <c r="N110" s="32">
        <v>0.91900000000000004</v>
      </c>
      <c r="O110" s="32"/>
      <c r="P110" s="32"/>
      <c r="Q110" s="32"/>
      <c r="R110" s="33"/>
    </row>
    <row r="111" spans="1:18" x14ac:dyDescent="0.25">
      <c r="A111" s="47" t="s">
        <v>381</v>
      </c>
      <c r="B111" s="29" t="s">
        <v>47</v>
      </c>
      <c r="C111" s="30"/>
      <c r="D111" s="22"/>
      <c r="E111" s="22"/>
      <c r="F111" s="22">
        <v>720</v>
      </c>
      <c r="G111" s="22">
        <v>302</v>
      </c>
      <c r="H111" s="22">
        <v>630</v>
      </c>
      <c r="I111" s="22">
        <v>10</v>
      </c>
      <c r="J111" s="22">
        <v>133</v>
      </c>
      <c r="K111" s="22"/>
      <c r="L111" s="22">
        <v>25</v>
      </c>
      <c r="M111" s="31">
        <v>0.34499999999999997</v>
      </c>
      <c r="N111" s="32">
        <v>0.93799999999999994</v>
      </c>
      <c r="O111" s="32"/>
      <c r="P111" s="32"/>
      <c r="Q111" s="32"/>
      <c r="R111" s="33"/>
    </row>
    <row r="112" spans="1:18" x14ac:dyDescent="0.25">
      <c r="A112" s="47" t="s">
        <v>382</v>
      </c>
      <c r="B112" s="29" t="s">
        <v>48</v>
      </c>
      <c r="C112" s="30"/>
      <c r="D112" s="22"/>
      <c r="E112" s="22"/>
      <c r="F112" s="22">
        <v>716</v>
      </c>
      <c r="G112" s="22">
        <v>298</v>
      </c>
      <c r="H112" s="22">
        <v>713</v>
      </c>
      <c r="I112" s="22">
        <v>11</v>
      </c>
      <c r="J112" s="22">
        <v>133</v>
      </c>
      <c r="K112" s="22"/>
      <c r="L112" s="22">
        <v>25</v>
      </c>
      <c r="M112" s="31">
        <v>0.34499999999999997</v>
      </c>
      <c r="N112" s="32">
        <v>0.93799999999999994</v>
      </c>
      <c r="O112" s="32"/>
      <c r="P112" s="32"/>
      <c r="Q112" s="32"/>
      <c r="R112" s="33"/>
    </row>
    <row r="113" spans="1:18" x14ac:dyDescent="0.25">
      <c r="A113" s="47" t="s">
        <v>383</v>
      </c>
      <c r="B113" s="29" t="s">
        <v>49</v>
      </c>
      <c r="C113" s="30"/>
      <c r="D113" s="22"/>
      <c r="E113" s="22"/>
      <c r="F113" s="22">
        <v>848</v>
      </c>
      <c r="G113" s="22">
        <v>302</v>
      </c>
      <c r="H113" s="22">
        <v>750</v>
      </c>
      <c r="I113" s="22">
        <v>10</v>
      </c>
      <c r="J113" s="22">
        <v>169</v>
      </c>
      <c r="K113" s="22"/>
      <c r="L113" s="22">
        <v>25</v>
      </c>
      <c r="M113" s="31">
        <v>0.316</v>
      </c>
      <c r="N113" s="32">
        <v>0.94899999999999995</v>
      </c>
      <c r="O113" s="32"/>
      <c r="P113" s="32"/>
      <c r="Q113" s="32"/>
      <c r="R113" s="33"/>
    </row>
    <row r="114" spans="1:18" x14ac:dyDescent="0.25">
      <c r="A114" s="47" t="s">
        <v>384</v>
      </c>
      <c r="B114" s="29" t="s">
        <v>50</v>
      </c>
      <c r="C114" s="30"/>
      <c r="D114" s="22"/>
      <c r="E114" s="22"/>
      <c r="F114" s="22">
        <v>840</v>
      </c>
      <c r="G114" s="22">
        <v>302</v>
      </c>
      <c r="H114" s="22">
        <v>776</v>
      </c>
      <c r="I114" s="22">
        <v>11</v>
      </c>
      <c r="J114" s="22">
        <v>168</v>
      </c>
      <c r="K114" s="22"/>
      <c r="L114" s="22">
        <v>25</v>
      </c>
      <c r="M114" s="31">
        <v>0.316</v>
      </c>
      <c r="N114" s="32">
        <v>0.94899999999999995</v>
      </c>
      <c r="O114" s="32"/>
      <c r="P114" s="32"/>
      <c r="Q114" s="32"/>
      <c r="R114" s="33"/>
    </row>
    <row r="115" spans="1:18" x14ac:dyDescent="0.25">
      <c r="A115" s="47" t="s">
        <v>385</v>
      </c>
      <c r="B115" s="29" t="s">
        <v>121</v>
      </c>
      <c r="C115" s="30"/>
      <c r="D115" s="22"/>
      <c r="E115" s="22"/>
      <c r="F115" s="22">
        <v>979</v>
      </c>
      <c r="G115" s="22">
        <v>355</v>
      </c>
      <c r="H115" s="22">
        <v>877</v>
      </c>
      <c r="I115" s="22">
        <v>15</v>
      </c>
      <c r="J115" s="22">
        <v>184</v>
      </c>
      <c r="K115" s="22"/>
      <c r="L115" s="22">
        <v>32</v>
      </c>
      <c r="M115" s="31">
        <v>0.316</v>
      </c>
      <c r="N115" s="32">
        <v>0.94899999999999995</v>
      </c>
      <c r="O115" s="32"/>
      <c r="P115" s="32"/>
      <c r="Q115" s="32"/>
      <c r="R115" s="33"/>
    </row>
    <row r="116" spans="1:18" x14ac:dyDescent="0.25">
      <c r="A116" s="47" t="s">
        <v>386</v>
      </c>
      <c r="B116" s="29" t="s">
        <v>51</v>
      </c>
      <c r="C116" s="30"/>
      <c r="D116" s="22"/>
      <c r="E116" s="22"/>
      <c r="F116" s="22">
        <v>1283</v>
      </c>
      <c r="G116" s="22">
        <v>337</v>
      </c>
      <c r="H116" s="22">
        <v>1024</v>
      </c>
      <c r="I116" s="22">
        <v>14</v>
      </c>
      <c r="J116" s="22">
        <v>262</v>
      </c>
      <c r="K116" s="22"/>
      <c r="L116" s="22">
        <v>34</v>
      </c>
      <c r="M116" s="31">
        <v>0.23799999999999999</v>
      </c>
      <c r="N116" s="32">
        <v>0.97099999999999997</v>
      </c>
      <c r="O116" s="32"/>
      <c r="P116" s="32"/>
      <c r="Q116" s="32"/>
      <c r="R116" s="33"/>
    </row>
    <row r="117" spans="1:18" x14ac:dyDescent="0.25">
      <c r="A117" s="47" t="s">
        <v>387</v>
      </c>
      <c r="B117" s="29" t="s">
        <v>52</v>
      </c>
      <c r="C117" s="30"/>
      <c r="D117" s="22"/>
      <c r="E117" s="22"/>
      <c r="F117" s="22">
        <v>1281</v>
      </c>
      <c r="G117" s="22">
        <v>375</v>
      </c>
      <c r="H117" s="22">
        <v>1131</v>
      </c>
      <c r="I117" s="22">
        <v>15</v>
      </c>
      <c r="J117" s="22">
        <v>264</v>
      </c>
      <c r="K117" s="22"/>
      <c r="L117" s="22">
        <v>36</v>
      </c>
      <c r="M117" s="31">
        <v>0.23799999999999999</v>
      </c>
      <c r="N117" s="32">
        <v>0.97099999999999997</v>
      </c>
      <c r="O117" s="32"/>
      <c r="P117" s="32"/>
      <c r="Q117" s="32"/>
      <c r="R117" s="33"/>
    </row>
    <row r="118" spans="1:18" x14ac:dyDescent="0.25">
      <c r="A118" s="47" t="s">
        <v>388</v>
      </c>
      <c r="B118" s="29" t="s">
        <v>53</v>
      </c>
      <c r="C118" s="30"/>
      <c r="D118" s="22"/>
      <c r="E118" s="22"/>
      <c r="F118" s="22">
        <v>265</v>
      </c>
      <c r="G118" s="22">
        <v>192</v>
      </c>
      <c r="H118" s="22">
        <v>245</v>
      </c>
      <c r="I118" s="22">
        <v>7</v>
      </c>
      <c r="J118" s="22">
        <v>22</v>
      </c>
      <c r="K118" s="22"/>
      <c r="L118" s="22">
        <v>11</v>
      </c>
      <c r="M118" s="31">
        <v>0.86399999999999999</v>
      </c>
      <c r="N118" s="32">
        <v>0.504</v>
      </c>
      <c r="O118" s="32"/>
      <c r="P118" s="32"/>
      <c r="Q118" s="32"/>
      <c r="R118" s="33"/>
    </row>
    <row r="119" spans="1:18" x14ac:dyDescent="0.25">
      <c r="A119" s="47" t="s">
        <v>389</v>
      </c>
      <c r="B119" s="29" t="s">
        <v>54</v>
      </c>
      <c r="C119" s="30"/>
      <c r="D119" s="22"/>
      <c r="E119" s="22"/>
      <c r="F119" s="22">
        <v>379</v>
      </c>
      <c r="G119" s="22">
        <v>233</v>
      </c>
      <c r="H119" s="22">
        <v>336</v>
      </c>
      <c r="I119" s="22">
        <v>12</v>
      </c>
      <c r="J119" s="22">
        <v>39</v>
      </c>
      <c r="K119" s="22"/>
      <c r="L119" s="22">
        <v>18</v>
      </c>
      <c r="M119" s="31">
        <v>0.67800000000000005</v>
      </c>
      <c r="N119" s="32">
        <v>0.73499999999999999</v>
      </c>
      <c r="O119" s="32"/>
      <c r="P119" s="32"/>
      <c r="Q119" s="32"/>
      <c r="R119" s="33"/>
    </row>
    <row r="120" spans="1:18" x14ac:dyDescent="0.25">
      <c r="A120" s="47" t="s">
        <v>390</v>
      </c>
      <c r="B120" s="29" t="s">
        <v>55</v>
      </c>
      <c r="C120" s="30"/>
      <c r="D120" s="22"/>
      <c r="E120" s="22"/>
      <c r="F120" s="22">
        <v>483</v>
      </c>
      <c r="G120" s="22">
        <v>268</v>
      </c>
      <c r="H120" s="22">
        <v>449</v>
      </c>
      <c r="I120" s="22">
        <v>13</v>
      </c>
      <c r="J120" s="22">
        <v>61</v>
      </c>
      <c r="K120" s="22"/>
      <c r="L120" s="22">
        <v>26</v>
      </c>
      <c r="M120" s="31">
        <v>0.55500000000000005</v>
      </c>
      <c r="N120" s="32">
        <v>0.83199999999999996</v>
      </c>
      <c r="O120" s="32"/>
      <c r="P120" s="32"/>
      <c r="Q120" s="32"/>
      <c r="R120" s="33"/>
    </row>
    <row r="121" spans="1:18" x14ac:dyDescent="0.25">
      <c r="A121" s="47" t="s">
        <v>391</v>
      </c>
      <c r="B121" s="29" t="s">
        <v>56</v>
      </c>
      <c r="C121" s="30"/>
      <c r="D121" s="22"/>
      <c r="E121" s="22"/>
      <c r="F121" s="22">
        <v>483</v>
      </c>
      <c r="G121" s="22">
        <v>343</v>
      </c>
      <c r="H121" s="22">
        <v>524</v>
      </c>
      <c r="I121" s="22">
        <v>14</v>
      </c>
      <c r="J121" s="22">
        <v>61</v>
      </c>
      <c r="K121" s="22"/>
      <c r="L121" s="22">
        <v>28</v>
      </c>
      <c r="M121" s="31">
        <v>0.55500000000000005</v>
      </c>
      <c r="N121" s="32">
        <v>0.83199999999999996</v>
      </c>
      <c r="O121" s="32"/>
      <c r="P121" s="32"/>
      <c r="Q121" s="32"/>
      <c r="R121" s="33"/>
    </row>
    <row r="122" spans="1:18" x14ac:dyDescent="0.25">
      <c r="A122" s="47" t="s">
        <v>392</v>
      </c>
      <c r="B122" s="29" t="s">
        <v>57</v>
      </c>
      <c r="C122" s="30"/>
      <c r="D122" s="22"/>
      <c r="E122" s="22"/>
      <c r="F122" s="22">
        <v>491</v>
      </c>
      <c r="G122" s="22">
        <v>273</v>
      </c>
      <c r="H122" s="22">
        <v>494</v>
      </c>
      <c r="I122" s="22">
        <v>17</v>
      </c>
      <c r="J122" s="22">
        <v>71</v>
      </c>
      <c r="K122" s="22"/>
      <c r="L122" s="22">
        <v>23</v>
      </c>
      <c r="M122" s="31">
        <v>0.496</v>
      </c>
      <c r="N122" s="32">
        <v>0.86799999999999999</v>
      </c>
      <c r="O122" s="32"/>
      <c r="P122" s="32"/>
      <c r="Q122" s="32"/>
      <c r="R122" s="33"/>
    </row>
    <row r="123" spans="1:18" x14ac:dyDescent="0.25">
      <c r="A123" s="47" t="s">
        <v>393</v>
      </c>
      <c r="B123" s="29" t="s">
        <v>58</v>
      </c>
      <c r="C123" s="30"/>
      <c r="D123" s="22"/>
      <c r="E123" s="22"/>
      <c r="F123" s="22">
        <v>498</v>
      </c>
      <c r="G123" s="22">
        <v>265</v>
      </c>
      <c r="H123" s="22">
        <v>572</v>
      </c>
      <c r="I123" s="22">
        <v>18</v>
      </c>
      <c r="J123" s="22">
        <v>72</v>
      </c>
      <c r="K123" s="22"/>
      <c r="L123" s="22">
        <v>24</v>
      </c>
      <c r="M123" s="31">
        <v>0.496</v>
      </c>
      <c r="N123" s="32">
        <v>0.86799999999999999</v>
      </c>
      <c r="O123" s="32"/>
      <c r="P123" s="32"/>
      <c r="Q123" s="32"/>
      <c r="R123" s="33"/>
    </row>
    <row r="124" spans="1:18" x14ac:dyDescent="0.25">
      <c r="A124" s="47" t="s">
        <v>394</v>
      </c>
      <c r="B124" s="29" t="s">
        <v>59</v>
      </c>
      <c r="C124" s="30"/>
      <c r="D124" s="22"/>
      <c r="E124" s="22"/>
      <c r="F124" s="22">
        <v>705</v>
      </c>
      <c r="G124" s="22">
        <v>292</v>
      </c>
      <c r="H124" s="22">
        <v>655</v>
      </c>
      <c r="I124" s="22">
        <v>22</v>
      </c>
      <c r="J124" s="22">
        <v>112</v>
      </c>
      <c r="K124" s="22"/>
      <c r="L124" s="22">
        <v>24</v>
      </c>
      <c r="M124" s="31">
        <v>0.41799999999999998</v>
      </c>
      <c r="N124" s="32">
        <v>0.90900000000000003</v>
      </c>
      <c r="O124" s="32"/>
      <c r="P124" s="32"/>
      <c r="Q124" s="32"/>
      <c r="R124" s="33"/>
    </row>
    <row r="125" spans="1:18" x14ac:dyDescent="0.25">
      <c r="A125" s="47" t="s">
        <v>395</v>
      </c>
      <c r="B125" s="29" t="s">
        <v>60</v>
      </c>
      <c r="C125" s="30"/>
      <c r="D125" s="22"/>
      <c r="E125" s="22"/>
      <c r="F125" s="22">
        <v>707</v>
      </c>
      <c r="G125" s="22">
        <v>356</v>
      </c>
      <c r="H125" s="22">
        <v>719</v>
      </c>
      <c r="I125" s="22">
        <v>25</v>
      </c>
      <c r="J125" s="22">
        <v>111</v>
      </c>
      <c r="K125" s="22"/>
      <c r="L125" s="22">
        <v>24</v>
      </c>
      <c r="M125" s="31">
        <v>0.41899999999999998</v>
      </c>
      <c r="N125" s="32">
        <v>0.90800000000000003</v>
      </c>
      <c r="O125" s="32"/>
      <c r="P125" s="32"/>
      <c r="Q125" s="32"/>
      <c r="R125" s="33"/>
    </row>
    <row r="126" spans="1:18" x14ac:dyDescent="0.25">
      <c r="A126" s="47" t="s">
        <v>396</v>
      </c>
      <c r="B126" s="29" t="s">
        <v>61</v>
      </c>
      <c r="C126" s="30"/>
      <c r="D126" s="22"/>
      <c r="E126" s="22"/>
      <c r="F126" s="22">
        <v>796</v>
      </c>
      <c r="G126" s="22">
        <v>422</v>
      </c>
      <c r="H126" s="22">
        <v>874</v>
      </c>
      <c r="I126" s="22">
        <v>24</v>
      </c>
      <c r="J126" s="22">
        <v>142</v>
      </c>
      <c r="K126" s="22"/>
      <c r="L126" s="22">
        <v>26</v>
      </c>
      <c r="M126" s="31">
        <v>0.34499999999999997</v>
      </c>
      <c r="N126" s="32">
        <v>0.93799999999999994</v>
      </c>
      <c r="O126" s="32"/>
      <c r="P126" s="32"/>
      <c r="Q126" s="32"/>
      <c r="R126" s="33"/>
    </row>
    <row r="127" spans="1:18" x14ac:dyDescent="0.25">
      <c r="A127" s="47" t="s">
        <v>397</v>
      </c>
      <c r="B127" s="29" t="s">
        <v>62</v>
      </c>
      <c r="C127" s="30"/>
      <c r="D127" s="22"/>
      <c r="E127" s="22"/>
      <c r="F127" s="22">
        <v>961</v>
      </c>
      <c r="G127" s="22">
        <v>412</v>
      </c>
      <c r="H127" s="22">
        <v>929</v>
      </c>
      <c r="I127" s="22">
        <v>20</v>
      </c>
      <c r="J127" s="22">
        <v>185</v>
      </c>
      <c r="K127" s="22"/>
      <c r="L127" s="22">
        <v>26</v>
      </c>
      <c r="M127" s="31">
        <v>0.316</v>
      </c>
      <c r="N127" s="32">
        <v>0.94899999999999995</v>
      </c>
      <c r="O127" s="32"/>
      <c r="P127" s="32"/>
      <c r="Q127" s="32"/>
      <c r="R127" s="33"/>
    </row>
    <row r="128" spans="1:18" x14ac:dyDescent="0.25">
      <c r="A128" s="47" t="s">
        <v>398</v>
      </c>
      <c r="B128" s="29" t="s">
        <v>63</v>
      </c>
      <c r="C128" s="30"/>
      <c r="D128" s="22"/>
      <c r="E128" s="22"/>
      <c r="F128" s="22">
        <v>970</v>
      </c>
      <c r="G128" s="22">
        <v>457</v>
      </c>
      <c r="H128" s="22">
        <v>1179</v>
      </c>
      <c r="I128" s="22">
        <v>23</v>
      </c>
      <c r="J128" s="22">
        <v>190</v>
      </c>
      <c r="K128" s="22"/>
      <c r="L128" s="22">
        <v>28</v>
      </c>
      <c r="M128" s="31">
        <v>0.315</v>
      </c>
      <c r="N128" s="32">
        <v>0.94899999999999995</v>
      </c>
      <c r="O128" s="32"/>
      <c r="P128" s="32"/>
      <c r="Q128" s="32"/>
      <c r="R128" s="33"/>
    </row>
    <row r="129" spans="1:18" x14ac:dyDescent="0.25">
      <c r="A129" s="47" t="s">
        <v>399</v>
      </c>
      <c r="B129" s="29" t="s">
        <v>64</v>
      </c>
      <c r="C129" s="30"/>
      <c r="D129" s="22"/>
      <c r="E129" s="22"/>
      <c r="F129" s="22">
        <v>966</v>
      </c>
      <c r="G129" s="22">
        <v>485</v>
      </c>
      <c r="H129" s="22">
        <v>1180</v>
      </c>
      <c r="I129" s="22">
        <v>26</v>
      </c>
      <c r="J129" s="22">
        <v>190</v>
      </c>
      <c r="K129" s="22"/>
      <c r="L129" s="22">
        <v>28</v>
      </c>
      <c r="M129" s="31">
        <v>0.315</v>
      </c>
      <c r="N129" s="32">
        <v>0.94899999999999995</v>
      </c>
      <c r="O129" s="32"/>
      <c r="P129" s="32"/>
      <c r="Q129" s="32"/>
      <c r="R129" s="33"/>
    </row>
    <row r="130" spans="1:18" x14ac:dyDescent="0.25">
      <c r="A130" s="47" t="s">
        <v>400</v>
      </c>
      <c r="B130" s="29" t="s">
        <v>65</v>
      </c>
      <c r="C130" s="30"/>
      <c r="D130" s="22"/>
      <c r="E130" s="22"/>
      <c r="F130" s="22">
        <v>1115</v>
      </c>
      <c r="G130" s="22">
        <v>513</v>
      </c>
      <c r="H130" s="22">
        <v>1181</v>
      </c>
      <c r="I130" s="22">
        <v>28</v>
      </c>
      <c r="J130" s="22">
        <v>210</v>
      </c>
      <c r="K130" s="22"/>
      <c r="L130" s="22">
        <v>30</v>
      </c>
      <c r="M130" s="31">
        <v>0.315</v>
      </c>
      <c r="N130" s="32">
        <v>0.94899999999999995</v>
      </c>
      <c r="O130" s="32"/>
      <c r="P130" s="32"/>
      <c r="Q130" s="32"/>
      <c r="R130" s="33"/>
    </row>
    <row r="131" spans="1:18" x14ac:dyDescent="0.25">
      <c r="A131" s="47" t="s">
        <v>401</v>
      </c>
      <c r="B131" s="29" t="s">
        <v>66</v>
      </c>
      <c r="C131" s="30"/>
      <c r="D131" s="22"/>
      <c r="E131" s="22"/>
      <c r="F131" s="22">
        <v>1331</v>
      </c>
      <c r="G131" s="22">
        <v>495</v>
      </c>
      <c r="H131" s="22">
        <v>1197</v>
      </c>
      <c r="I131" s="22">
        <v>19</v>
      </c>
      <c r="J131" s="22">
        <v>285</v>
      </c>
      <c r="K131" s="22"/>
      <c r="L131" s="22">
        <v>29</v>
      </c>
      <c r="M131" s="31">
        <v>0.254</v>
      </c>
      <c r="N131" s="32">
        <v>0.96699999999999997</v>
      </c>
      <c r="O131" s="32"/>
      <c r="P131" s="32"/>
      <c r="Q131" s="32"/>
      <c r="R131" s="33"/>
    </row>
    <row r="132" spans="1:18" x14ac:dyDescent="0.25">
      <c r="A132" s="47" t="s">
        <v>402</v>
      </c>
      <c r="B132" s="29" t="s">
        <v>67</v>
      </c>
      <c r="C132" s="30"/>
      <c r="D132" s="22"/>
      <c r="E132" s="22"/>
      <c r="F132" s="22">
        <v>1384</v>
      </c>
      <c r="G132" s="22">
        <v>551</v>
      </c>
      <c r="H132" s="22">
        <v>1350</v>
      </c>
      <c r="I132" s="22">
        <v>23</v>
      </c>
      <c r="J132" s="22">
        <v>296</v>
      </c>
      <c r="K132" s="22"/>
      <c r="L132" s="22">
        <v>32</v>
      </c>
      <c r="M132" s="31">
        <v>0.255</v>
      </c>
      <c r="N132" s="32">
        <v>0.96699999999999997</v>
      </c>
      <c r="O132" s="32"/>
      <c r="P132" s="32"/>
      <c r="Q132" s="32"/>
      <c r="R132" s="33"/>
    </row>
    <row r="133" spans="1:18" x14ac:dyDescent="0.25">
      <c r="A133" s="47" t="s">
        <v>403</v>
      </c>
      <c r="B133" s="29" t="s">
        <v>68</v>
      </c>
      <c r="C133" s="30"/>
      <c r="D133" s="22"/>
      <c r="E133" s="22"/>
      <c r="F133" s="22">
        <v>1340</v>
      </c>
      <c r="G133" s="22">
        <v>558</v>
      </c>
      <c r="H133" s="22">
        <v>1350</v>
      </c>
      <c r="I133" s="22">
        <v>27</v>
      </c>
      <c r="J133" s="22">
        <v>291</v>
      </c>
      <c r="K133" s="22"/>
      <c r="L133" s="22">
        <v>33</v>
      </c>
      <c r="M133" s="31">
        <v>0.255</v>
      </c>
      <c r="N133" s="32">
        <v>0.96699999999999997</v>
      </c>
      <c r="O133" s="32"/>
      <c r="P133" s="32"/>
      <c r="Q133" s="32"/>
      <c r="R133" s="33"/>
    </row>
    <row r="134" spans="1:18" x14ac:dyDescent="0.25">
      <c r="A134" s="47" t="s">
        <v>404</v>
      </c>
      <c r="B134" s="29" t="s">
        <v>69</v>
      </c>
      <c r="C134" s="30"/>
      <c r="D134" s="22"/>
      <c r="E134" s="22"/>
      <c r="F134" s="22">
        <v>1311</v>
      </c>
      <c r="G134" s="22">
        <v>570</v>
      </c>
      <c r="H134" s="22">
        <v>1350</v>
      </c>
      <c r="I134" s="22">
        <v>32</v>
      </c>
      <c r="J134" s="22">
        <v>288</v>
      </c>
      <c r="K134" s="22"/>
      <c r="L134" s="22">
        <v>34</v>
      </c>
      <c r="M134" s="31">
        <v>0.255</v>
      </c>
      <c r="N134" s="32">
        <v>0.96699999999999997</v>
      </c>
      <c r="O134" s="32"/>
      <c r="P134" s="32"/>
      <c r="Q134" s="32"/>
      <c r="R134" s="33"/>
    </row>
    <row r="135" spans="1:18" x14ac:dyDescent="0.25">
      <c r="A135" s="47" t="s">
        <v>405</v>
      </c>
      <c r="B135" s="29" t="s">
        <v>70</v>
      </c>
      <c r="C135" s="30"/>
      <c r="D135" s="22"/>
      <c r="E135" s="22"/>
      <c r="F135" s="22">
        <v>2420</v>
      </c>
      <c r="G135" s="22">
        <v>1037</v>
      </c>
      <c r="H135" s="22">
        <v>2461</v>
      </c>
      <c r="I135" s="22">
        <v>132</v>
      </c>
      <c r="J135" s="22">
        <v>571</v>
      </c>
      <c r="K135" s="22"/>
      <c r="L135" s="22">
        <v>87</v>
      </c>
      <c r="M135" s="31">
        <v>0.25700000000000001</v>
      </c>
      <c r="N135" s="32">
        <v>0.96599999999999997</v>
      </c>
      <c r="O135" s="32"/>
      <c r="P135" s="32"/>
      <c r="Q135" s="32"/>
      <c r="R135" s="33"/>
    </row>
    <row r="136" spans="1:18" x14ac:dyDescent="0.25">
      <c r="A136" s="47" t="s">
        <v>406</v>
      </c>
      <c r="B136" s="29" t="s">
        <v>71</v>
      </c>
      <c r="C136" s="30"/>
      <c r="D136" s="22"/>
      <c r="E136" s="22"/>
      <c r="F136" s="22">
        <v>2015</v>
      </c>
      <c r="G136" s="22">
        <v>839</v>
      </c>
      <c r="H136" s="22">
        <v>1945</v>
      </c>
      <c r="I136" s="22">
        <v>32</v>
      </c>
      <c r="J136" s="22">
        <v>498</v>
      </c>
      <c r="K136" s="22"/>
      <c r="L136" s="22">
        <v>59</v>
      </c>
      <c r="M136" s="31">
        <v>0.23799999999999999</v>
      </c>
      <c r="N136" s="32">
        <v>0.97099999999999997</v>
      </c>
      <c r="O136" s="32"/>
      <c r="P136" s="32"/>
      <c r="Q136" s="32"/>
      <c r="R136" s="33"/>
    </row>
    <row r="137" spans="1:18" x14ac:dyDescent="0.25">
      <c r="A137" s="47" t="s">
        <v>407</v>
      </c>
      <c r="B137" s="29" t="s">
        <v>72</v>
      </c>
      <c r="C137" s="30"/>
      <c r="D137" s="22"/>
      <c r="E137" s="22"/>
      <c r="F137" s="22">
        <v>2157</v>
      </c>
      <c r="G137" s="22">
        <v>849</v>
      </c>
      <c r="H137" s="22">
        <v>2188</v>
      </c>
      <c r="I137" s="22">
        <v>146</v>
      </c>
      <c r="J137" s="22">
        <v>561</v>
      </c>
      <c r="K137" s="22"/>
      <c r="L137" s="22">
        <v>58</v>
      </c>
      <c r="M137" s="31">
        <v>0.21</v>
      </c>
      <c r="N137" s="32">
        <v>0.97799999999999998</v>
      </c>
      <c r="O137" s="32"/>
      <c r="P137" s="32"/>
      <c r="Q137" s="32"/>
      <c r="R137" s="33"/>
    </row>
    <row r="138" spans="1:18" x14ac:dyDescent="0.25">
      <c r="A138" s="47" t="s">
        <v>408</v>
      </c>
      <c r="B138" s="29" t="s">
        <v>73</v>
      </c>
      <c r="C138" s="30"/>
      <c r="D138" s="22"/>
      <c r="E138" s="22"/>
      <c r="F138" s="22">
        <v>2618</v>
      </c>
      <c r="G138" s="22">
        <v>613</v>
      </c>
      <c r="H138" s="22">
        <v>3159</v>
      </c>
      <c r="I138" s="22">
        <v>71</v>
      </c>
      <c r="J138" s="22">
        <v>914</v>
      </c>
      <c r="K138" s="22"/>
      <c r="L138" s="22">
        <v>60</v>
      </c>
      <c r="M138" s="31">
        <v>0.14099999999999999</v>
      </c>
      <c r="N138" s="32">
        <v>0.99</v>
      </c>
      <c r="O138" s="32"/>
      <c r="P138" s="32"/>
      <c r="Q138" s="32"/>
      <c r="R138" s="33"/>
    </row>
    <row r="139" spans="1:18" x14ac:dyDescent="0.25">
      <c r="A139" s="47" t="s">
        <v>409</v>
      </c>
      <c r="B139" s="29" t="s">
        <v>304</v>
      </c>
      <c r="C139" s="30"/>
      <c r="D139" s="22"/>
      <c r="E139" s="22"/>
      <c r="F139" s="22">
        <v>3016</v>
      </c>
      <c r="G139" s="22">
        <v>636</v>
      </c>
      <c r="H139" s="22">
        <v>3647</v>
      </c>
      <c r="I139" s="22">
        <v>83</v>
      </c>
      <c r="J139" s="22">
        <v>1153</v>
      </c>
      <c r="K139" s="22"/>
      <c r="L139" s="22">
        <v>68</v>
      </c>
      <c r="M139" s="31">
        <v>0.122</v>
      </c>
      <c r="N139" s="32">
        <v>0.99299999999999999</v>
      </c>
      <c r="O139" s="32"/>
      <c r="P139" s="32"/>
      <c r="Q139" s="32"/>
      <c r="R139" s="33"/>
    </row>
    <row r="140" spans="1:18" x14ac:dyDescent="0.25">
      <c r="A140" s="47" t="s">
        <v>410</v>
      </c>
      <c r="B140" s="29" t="s">
        <v>306</v>
      </c>
      <c r="C140" s="30"/>
      <c r="D140" s="22"/>
      <c r="E140" s="22"/>
      <c r="F140" s="22">
        <v>3147</v>
      </c>
      <c r="G140" s="22">
        <v>624</v>
      </c>
      <c r="H140" s="22">
        <v>3891</v>
      </c>
      <c r="I140" s="22">
        <v>79</v>
      </c>
      <c r="J140" s="22">
        <v>1295</v>
      </c>
      <c r="K140" s="22"/>
      <c r="L140" s="22">
        <v>66</v>
      </c>
      <c r="M140" s="31">
        <v>0.114</v>
      </c>
      <c r="N140" s="32">
        <v>0.99399999999999999</v>
      </c>
      <c r="O140" s="32"/>
      <c r="P140" s="32"/>
      <c r="Q140" s="32"/>
      <c r="R140" s="33"/>
    </row>
    <row r="141" spans="1:18" x14ac:dyDescent="0.25">
      <c r="A141" s="47" t="s">
        <v>411</v>
      </c>
      <c r="B141" s="29" t="s">
        <v>197</v>
      </c>
      <c r="C141" s="30"/>
      <c r="D141" s="22"/>
      <c r="E141" s="22"/>
      <c r="F141" s="22">
        <v>354</v>
      </c>
      <c r="G141" s="22">
        <v>336</v>
      </c>
      <c r="H141" s="22">
        <v>109</v>
      </c>
      <c r="I141" s="22">
        <v>11</v>
      </c>
      <c r="J141" s="22">
        <v>28</v>
      </c>
      <c r="K141" s="22"/>
      <c r="L141" s="22">
        <v>20</v>
      </c>
      <c r="M141" s="31">
        <v>0.86399999999999999</v>
      </c>
      <c r="N141" s="32">
        <v>0.504</v>
      </c>
      <c r="O141" s="32"/>
      <c r="P141" s="32"/>
      <c r="Q141" s="32"/>
      <c r="R141" s="33"/>
    </row>
    <row r="142" spans="1:18" x14ac:dyDescent="0.25">
      <c r="A142" s="47" t="s">
        <v>412</v>
      </c>
      <c r="B142" s="29" t="s">
        <v>74</v>
      </c>
      <c r="C142" s="30"/>
      <c r="D142" s="22"/>
      <c r="E142" s="22"/>
      <c r="F142" s="22">
        <v>497</v>
      </c>
      <c r="G142" s="22">
        <v>473</v>
      </c>
      <c r="H142" s="22">
        <v>248</v>
      </c>
      <c r="I142" s="22">
        <v>18</v>
      </c>
      <c r="J142" s="22">
        <v>47</v>
      </c>
      <c r="K142" s="22"/>
      <c r="L142" s="22">
        <v>25</v>
      </c>
      <c r="M142" s="31">
        <v>0.65100000000000002</v>
      </c>
      <c r="N142" s="32">
        <v>0.75900000000000001</v>
      </c>
      <c r="O142" s="32"/>
      <c r="P142" s="32"/>
      <c r="Q142" s="32"/>
      <c r="R142" s="33"/>
    </row>
    <row r="143" spans="1:18" x14ac:dyDescent="0.25">
      <c r="A143" s="47" t="s">
        <v>413</v>
      </c>
      <c r="B143" s="29" t="s">
        <v>75</v>
      </c>
      <c r="C143" s="30"/>
      <c r="D143" s="22"/>
      <c r="E143" s="22"/>
      <c r="F143" s="22">
        <v>790</v>
      </c>
      <c r="G143" s="22">
        <v>668</v>
      </c>
      <c r="H143" s="22">
        <v>368</v>
      </c>
      <c r="I143" s="22">
        <v>30</v>
      </c>
      <c r="J143" s="22">
        <v>105</v>
      </c>
      <c r="K143" s="22"/>
      <c r="L143" s="22">
        <v>25</v>
      </c>
      <c r="M143" s="31">
        <v>0.52600000000000002</v>
      </c>
      <c r="N143" s="32">
        <v>0.85</v>
      </c>
      <c r="O143" s="32"/>
      <c r="P143" s="32"/>
      <c r="Q143" s="32"/>
      <c r="R143" s="33"/>
    </row>
    <row r="144" spans="1:18" x14ac:dyDescent="0.25">
      <c r="A144" s="47" t="s">
        <v>414</v>
      </c>
      <c r="B144" s="29" t="s">
        <v>76</v>
      </c>
      <c r="C144" s="30"/>
      <c r="D144" s="22"/>
      <c r="E144" s="22"/>
      <c r="F144" s="22">
        <v>955</v>
      </c>
      <c r="G144" s="22">
        <v>837</v>
      </c>
      <c r="H144" s="22">
        <v>522</v>
      </c>
      <c r="I144" s="22">
        <v>40</v>
      </c>
      <c r="J144" s="22">
        <v>143</v>
      </c>
      <c r="K144" s="22"/>
      <c r="L144" s="22">
        <v>26</v>
      </c>
      <c r="M144" s="31">
        <v>0.41899999999999998</v>
      </c>
      <c r="N144" s="32">
        <v>0.90800000000000003</v>
      </c>
      <c r="O144" s="32"/>
      <c r="P144" s="32"/>
      <c r="Q144" s="32"/>
      <c r="R144" s="33"/>
    </row>
    <row r="145" spans="1:18" x14ac:dyDescent="0.25">
      <c r="A145" s="48" t="s">
        <v>415</v>
      </c>
      <c r="B145" s="29" t="s">
        <v>37</v>
      </c>
      <c r="C145" s="30"/>
      <c r="D145" s="22"/>
      <c r="E145" s="22"/>
      <c r="F145" s="22">
        <v>418</v>
      </c>
      <c r="G145" s="22">
        <v>55</v>
      </c>
      <c r="H145" s="22">
        <v>197</v>
      </c>
      <c r="I145" s="22">
        <v>2</v>
      </c>
      <c r="J145" s="22">
        <v>32</v>
      </c>
      <c r="K145" s="22"/>
      <c r="L145" s="22">
        <v>13</v>
      </c>
      <c r="M145" s="31">
        <v>0.78100000000000003</v>
      </c>
      <c r="N145" s="32">
        <v>0.625</v>
      </c>
      <c r="O145" s="32"/>
      <c r="P145" s="32"/>
      <c r="Q145" s="32"/>
      <c r="R145" s="33"/>
    </row>
    <row r="146" spans="1:18" x14ac:dyDescent="0.25">
      <c r="A146" s="48" t="s">
        <v>416</v>
      </c>
      <c r="B146" s="29" t="s">
        <v>38</v>
      </c>
      <c r="C146" s="30"/>
      <c r="D146" s="22"/>
      <c r="E146" s="22"/>
      <c r="F146" s="22">
        <v>418</v>
      </c>
      <c r="G146" s="22">
        <v>66</v>
      </c>
      <c r="H146" s="22">
        <v>236</v>
      </c>
      <c r="I146" s="22">
        <v>3</v>
      </c>
      <c r="J146" s="22">
        <v>33</v>
      </c>
      <c r="K146" s="22"/>
      <c r="L146" s="22">
        <v>15</v>
      </c>
      <c r="M146" s="31">
        <v>0.77700000000000002</v>
      </c>
      <c r="N146" s="32">
        <v>0.63</v>
      </c>
      <c r="O146" s="32"/>
      <c r="P146" s="32"/>
      <c r="Q146" s="32"/>
      <c r="R146" s="33"/>
    </row>
    <row r="147" spans="1:18" x14ac:dyDescent="0.25">
      <c r="A147" s="48" t="s">
        <v>417</v>
      </c>
      <c r="B147" s="29" t="s">
        <v>39</v>
      </c>
      <c r="C147" s="30"/>
      <c r="D147" s="22"/>
      <c r="E147" s="22"/>
      <c r="F147" s="22">
        <v>509</v>
      </c>
      <c r="G147" s="22">
        <v>76</v>
      </c>
      <c r="H147" s="22">
        <v>225</v>
      </c>
      <c r="I147" s="22">
        <v>3</v>
      </c>
      <c r="J147" s="22">
        <v>49</v>
      </c>
      <c r="K147" s="22"/>
      <c r="L147" s="22">
        <v>13</v>
      </c>
      <c r="M147" s="31">
        <v>0.73099999999999998</v>
      </c>
      <c r="N147" s="32">
        <v>0.68200000000000005</v>
      </c>
      <c r="O147" s="32"/>
      <c r="P147" s="32"/>
      <c r="Q147" s="32"/>
      <c r="R147" s="33"/>
    </row>
    <row r="148" spans="1:18" x14ac:dyDescent="0.25">
      <c r="A148" s="48" t="s">
        <v>418</v>
      </c>
      <c r="B148" s="29" t="s">
        <v>40</v>
      </c>
      <c r="C148" s="30"/>
      <c r="D148" s="22"/>
      <c r="E148" s="22"/>
      <c r="F148" s="22">
        <v>508</v>
      </c>
      <c r="G148" s="22">
        <v>87</v>
      </c>
      <c r="H148" s="22">
        <v>271</v>
      </c>
      <c r="I148" s="22">
        <v>3</v>
      </c>
      <c r="J148" s="22">
        <v>51</v>
      </c>
      <c r="K148" s="22"/>
      <c r="L148" s="22">
        <v>14</v>
      </c>
      <c r="M148" s="31">
        <v>0.73099999999999998</v>
      </c>
      <c r="N148" s="32">
        <v>0.68200000000000005</v>
      </c>
      <c r="O148" s="32"/>
      <c r="P148" s="32"/>
      <c r="Q148" s="32"/>
      <c r="R148" s="33"/>
    </row>
    <row r="149" spans="1:18" x14ac:dyDescent="0.25">
      <c r="A149" s="48" t="s">
        <v>419</v>
      </c>
      <c r="B149" s="29" t="s">
        <v>41</v>
      </c>
      <c r="C149" s="30"/>
      <c r="D149" s="22"/>
      <c r="E149" s="22"/>
      <c r="F149" s="22">
        <v>741</v>
      </c>
      <c r="G149" s="22">
        <v>102</v>
      </c>
      <c r="H149" s="22">
        <v>295</v>
      </c>
      <c r="I149" s="22">
        <v>3</v>
      </c>
      <c r="J149" s="22">
        <v>70</v>
      </c>
      <c r="K149" s="22"/>
      <c r="L149" s="22">
        <v>13</v>
      </c>
      <c r="M149" s="31">
        <v>0.443</v>
      </c>
      <c r="N149" s="32">
        <v>0.89600000000000002</v>
      </c>
      <c r="O149" s="32"/>
      <c r="P149" s="32"/>
      <c r="Q149" s="32"/>
      <c r="R149" s="33"/>
    </row>
    <row r="150" spans="1:18" x14ac:dyDescent="0.25">
      <c r="A150" s="48" t="s">
        <v>420</v>
      </c>
      <c r="B150" s="29" t="s">
        <v>42</v>
      </c>
      <c r="C150" s="30"/>
      <c r="D150" s="22"/>
      <c r="E150" s="22"/>
      <c r="F150" s="22">
        <v>752</v>
      </c>
      <c r="G150" s="22">
        <v>117</v>
      </c>
      <c r="H150" s="22">
        <v>350</v>
      </c>
      <c r="I150" s="22">
        <v>5</v>
      </c>
      <c r="J150" s="22">
        <v>79</v>
      </c>
      <c r="K150" s="22"/>
      <c r="L150" s="22">
        <v>16</v>
      </c>
      <c r="M150" s="31">
        <v>0.439</v>
      </c>
      <c r="N150" s="32">
        <v>0.89800000000000002</v>
      </c>
      <c r="O150" s="32"/>
      <c r="P150" s="32"/>
      <c r="Q150" s="32"/>
      <c r="R150" s="33"/>
    </row>
    <row r="151" spans="1:18" x14ac:dyDescent="0.25">
      <c r="A151" s="48" t="s">
        <v>421</v>
      </c>
      <c r="B151" s="29" t="s">
        <v>43</v>
      </c>
      <c r="C151" s="30"/>
      <c r="D151" s="22"/>
      <c r="E151" s="22"/>
      <c r="F151" s="22">
        <v>843</v>
      </c>
      <c r="G151" s="22">
        <v>104</v>
      </c>
      <c r="H151" s="22">
        <v>376</v>
      </c>
      <c r="I151" s="22">
        <v>8</v>
      </c>
      <c r="J151" s="22">
        <v>110</v>
      </c>
      <c r="K151" s="22"/>
      <c r="L151" s="22">
        <v>22</v>
      </c>
      <c r="M151" s="31">
        <v>0.38500000000000001</v>
      </c>
      <c r="N151" s="32">
        <v>0.92300000000000004</v>
      </c>
      <c r="O151" s="32"/>
      <c r="P151" s="32"/>
      <c r="Q151" s="32"/>
      <c r="R151" s="33"/>
    </row>
    <row r="152" spans="1:18" x14ac:dyDescent="0.25">
      <c r="A152" s="48" t="s">
        <v>422</v>
      </c>
      <c r="B152" s="29" t="s">
        <v>44</v>
      </c>
      <c r="C152" s="30"/>
      <c r="D152" s="22"/>
      <c r="E152" s="22"/>
      <c r="F152" s="22">
        <v>944</v>
      </c>
      <c r="G152" s="22">
        <v>121</v>
      </c>
      <c r="H152" s="22">
        <v>421</v>
      </c>
      <c r="I152" s="22">
        <v>10</v>
      </c>
      <c r="J152" s="22">
        <v>119</v>
      </c>
      <c r="K152" s="22"/>
      <c r="L152" s="22">
        <v>25</v>
      </c>
      <c r="M152" s="31">
        <v>0.38500000000000001</v>
      </c>
      <c r="N152" s="32">
        <v>0.92300000000000004</v>
      </c>
      <c r="O152" s="32"/>
      <c r="P152" s="32"/>
      <c r="Q152" s="32"/>
      <c r="R152" s="33"/>
    </row>
    <row r="153" spans="1:18" x14ac:dyDescent="0.25">
      <c r="A153" s="48" t="s">
        <v>423</v>
      </c>
      <c r="B153" s="29" t="s">
        <v>45</v>
      </c>
      <c r="C153" s="30"/>
      <c r="D153" s="22"/>
      <c r="E153" s="22"/>
      <c r="F153" s="22">
        <v>866</v>
      </c>
      <c r="G153" s="22">
        <v>119</v>
      </c>
      <c r="H153" s="22">
        <v>475</v>
      </c>
      <c r="I153" s="22">
        <v>10</v>
      </c>
      <c r="J153" s="22">
        <v>132</v>
      </c>
      <c r="K153" s="22"/>
      <c r="L153" s="22">
        <v>22</v>
      </c>
      <c r="M153" s="31">
        <v>0.38500000000000001</v>
      </c>
      <c r="N153" s="32">
        <v>0.92300000000000004</v>
      </c>
      <c r="O153" s="32"/>
      <c r="P153" s="32"/>
      <c r="Q153" s="32"/>
      <c r="R153" s="33"/>
    </row>
    <row r="154" spans="1:18" x14ac:dyDescent="0.25">
      <c r="A154" s="48" t="s">
        <v>424</v>
      </c>
      <c r="B154" s="29" t="s">
        <v>46</v>
      </c>
      <c r="C154" s="30"/>
      <c r="D154" s="22"/>
      <c r="E154" s="22"/>
      <c r="F154" s="22">
        <v>1082</v>
      </c>
      <c r="G154" s="22">
        <v>246</v>
      </c>
      <c r="H154" s="22">
        <v>553</v>
      </c>
      <c r="I154" s="22">
        <v>10</v>
      </c>
      <c r="J154" s="22">
        <v>154</v>
      </c>
      <c r="K154" s="22"/>
      <c r="L154" s="22">
        <v>26</v>
      </c>
      <c r="M154" s="31">
        <v>0.38500000000000001</v>
      </c>
      <c r="N154" s="32">
        <v>0.92300000000000004</v>
      </c>
      <c r="O154" s="32"/>
      <c r="P154" s="32"/>
      <c r="Q154" s="32"/>
      <c r="R154" s="33"/>
    </row>
    <row r="155" spans="1:18" x14ac:dyDescent="0.25">
      <c r="A155" s="48" t="s">
        <v>425</v>
      </c>
      <c r="B155" s="29" t="s">
        <v>47</v>
      </c>
      <c r="C155" s="30"/>
      <c r="D155" s="22"/>
      <c r="E155" s="22"/>
      <c r="F155" s="22">
        <v>1272</v>
      </c>
      <c r="G155" s="22">
        <v>92</v>
      </c>
      <c r="H155" s="22">
        <v>609</v>
      </c>
      <c r="I155" s="22">
        <v>13</v>
      </c>
      <c r="J155" s="22">
        <v>203</v>
      </c>
      <c r="K155" s="22"/>
      <c r="L155" s="22">
        <v>31</v>
      </c>
      <c r="M155" s="31">
        <v>0.254</v>
      </c>
      <c r="N155" s="32">
        <v>0.96699999999999997</v>
      </c>
      <c r="O155" s="32"/>
      <c r="P155" s="32"/>
      <c r="Q155" s="32"/>
      <c r="R155" s="33"/>
    </row>
    <row r="156" spans="1:18" x14ac:dyDescent="0.25">
      <c r="A156" s="48" t="s">
        <v>426</v>
      </c>
      <c r="B156" s="29" t="s">
        <v>48</v>
      </c>
      <c r="C156" s="30"/>
      <c r="D156" s="22"/>
      <c r="E156" s="22"/>
      <c r="F156" s="22">
        <v>1401</v>
      </c>
      <c r="G156" s="22">
        <v>108</v>
      </c>
      <c r="H156" s="22">
        <v>691</v>
      </c>
      <c r="I156" s="22">
        <v>13</v>
      </c>
      <c r="J156" s="22">
        <v>214</v>
      </c>
      <c r="K156" s="22"/>
      <c r="L156" s="22">
        <v>34</v>
      </c>
      <c r="M156" s="31">
        <v>0.254</v>
      </c>
      <c r="N156" s="32">
        <v>0.96699999999999997</v>
      </c>
      <c r="O156" s="32"/>
      <c r="P156" s="32"/>
      <c r="Q156" s="32"/>
      <c r="R156" s="33"/>
    </row>
    <row r="157" spans="1:18" x14ac:dyDescent="0.25">
      <c r="A157" s="48" t="s">
        <v>427</v>
      </c>
      <c r="B157" s="29" t="s">
        <v>49</v>
      </c>
      <c r="C157" s="30"/>
      <c r="D157" s="22"/>
      <c r="E157" s="22"/>
      <c r="F157" s="22">
        <v>1387</v>
      </c>
      <c r="G157" s="22">
        <v>112</v>
      </c>
      <c r="H157" s="22">
        <v>733</v>
      </c>
      <c r="I157" s="22">
        <v>11</v>
      </c>
      <c r="J157" s="22">
        <v>241</v>
      </c>
      <c r="K157" s="22"/>
      <c r="L157" s="22">
        <v>29</v>
      </c>
      <c r="M157" s="31">
        <v>0.25</v>
      </c>
      <c r="N157" s="32">
        <v>0.96799999999999997</v>
      </c>
      <c r="O157" s="32"/>
      <c r="P157" s="32"/>
      <c r="Q157" s="32"/>
      <c r="R157" s="33"/>
    </row>
    <row r="158" spans="1:18" x14ac:dyDescent="0.25">
      <c r="A158" s="48" t="s">
        <v>428</v>
      </c>
      <c r="B158" s="29" t="s">
        <v>50</v>
      </c>
      <c r="C158" s="30"/>
      <c r="D158" s="22"/>
      <c r="E158" s="22"/>
      <c r="F158" s="22">
        <v>1391</v>
      </c>
      <c r="G158" s="22">
        <v>111</v>
      </c>
      <c r="H158" s="22">
        <v>760</v>
      </c>
      <c r="I158" s="22">
        <v>12</v>
      </c>
      <c r="J158" s="22">
        <v>243</v>
      </c>
      <c r="K158" s="22"/>
      <c r="L158" s="22">
        <v>30</v>
      </c>
      <c r="M158" s="31">
        <v>0.25</v>
      </c>
      <c r="N158" s="32">
        <v>0.96799999999999997</v>
      </c>
      <c r="O158" s="32"/>
      <c r="P158" s="32"/>
      <c r="Q158" s="32"/>
      <c r="R158" s="33"/>
    </row>
    <row r="159" spans="1:18" x14ac:dyDescent="0.25">
      <c r="A159" s="48" t="s">
        <v>429</v>
      </c>
      <c r="B159" s="29" t="s">
        <v>121</v>
      </c>
      <c r="C159" s="30"/>
      <c r="D159" s="22"/>
      <c r="E159" s="22"/>
      <c r="F159" s="22">
        <v>1398</v>
      </c>
      <c r="G159" s="22">
        <v>111</v>
      </c>
      <c r="H159" s="22">
        <v>846</v>
      </c>
      <c r="I159" s="22">
        <v>13</v>
      </c>
      <c r="J159" s="22">
        <v>247</v>
      </c>
      <c r="K159" s="22"/>
      <c r="L159" s="22">
        <v>31</v>
      </c>
      <c r="M159" s="31">
        <v>0.25</v>
      </c>
      <c r="N159" s="32">
        <v>0.96799999999999997</v>
      </c>
      <c r="O159" s="32"/>
      <c r="P159" s="32"/>
      <c r="Q159" s="32"/>
      <c r="R159" s="33"/>
    </row>
    <row r="160" spans="1:18" x14ac:dyDescent="0.25">
      <c r="A160" s="48" t="s">
        <v>430</v>
      </c>
      <c r="B160" s="29" t="s">
        <v>51</v>
      </c>
      <c r="C160" s="30"/>
      <c r="D160" s="22"/>
      <c r="E160" s="22"/>
      <c r="F160" s="22">
        <v>1854</v>
      </c>
      <c r="G160" s="22">
        <v>218</v>
      </c>
      <c r="H160" s="22">
        <v>1008</v>
      </c>
      <c r="I160" s="22">
        <v>13</v>
      </c>
      <c r="J160" s="22">
        <v>341</v>
      </c>
      <c r="K160" s="22"/>
      <c r="L160" s="22">
        <v>38</v>
      </c>
      <c r="M160" s="31">
        <v>0.26900000000000002</v>
      </c>
      <c r="N160" s="32">
        <v>0.96299999999999997</v>
      </c>
      <c r="O160" s="32"/>
      <c r="P160" s="32"/>
      <c r="Q160" s="32"/>
      <c r="R160" s="33"/>
    </row>
    <row r="161" spans="1:18" x14ac:dyDescent="0.25">
      <c r="A161" s="48" t="s">
        <v>431</v>
      </c>
      <c r="B161" s="29" t="s">
        <v>52</v>
      </c>
      <c r="C161" s="30"/>
      <c r="D161" s="22"/>
      <c r="E161" s="22"/>
      <c r="F161" s="22">
        <v>1875</v>
      </c>
      <c r="G161" s="22">
        <v>249</v>
      </c>
      <c r="H161" s="22">
        <v>1110</v>
      </c>
      <c r="I161" s="22">
        <v>15</v>
      </c>
      <c r="J161" s="22">
        <v>344</v>
      </c>
      <c r="K161" s="22"/>
      <c r="L161" s="22">
        <v>39</v>
      </c>
      <c r="M161" s="31">
        <v>0.26900000000000002</v>
      </c>
      <c r="N161" s="32">
        <v>0.96299999999999997</v>
      </c>
      <c r="O161" s="32"/>
      <c r="P161" s="32"/>
      <c r="Q161" s="32"/>
      <c r="R161" s="33"/>
    </row>
    <row r="162" spans="1:18" x14ac:dyDescent="0.25">
      <c r="A162" s="48" t="s">
        <v>432</v>
      </c>
      <c r="B162" s="29" t="s">
        <v>53</v>
      </c>
      <c r="C162" s="30"/>
      <c r="D162" s="22"/>
      <c r="E162" s="22"/>
      <c r="F162" s="22">
        <v>418</v>
      </c>
      <c r="G162" s="22">
        <v>98</v>
      </c>
      <c r="H162" s="22">
        <v>215</v>
      </c>
      <c r="I162" s="22">
        <v>6</v>
      </c>
      <c r="J162" s="22">
        <v>31</v>
      </c>
      <c r="K162" s="22"/>
      <c r="L162" s="22">
        <v>16</v>
      </c>
      <c r="M162" s="31">
        <v>0.76400000000000001</v>
      </c>
      <c r="N162" s="32">
        <v>0.64500000000000002</v>
      </c>
      <c r="O162" s="32"/>
      <c r="P162" s="32"/>
      <c r="Q162" s="32"/>
      <c r="R162" s="33"/>
    </row>
    <row r="163" spans="1:18" x14ac:dyDescent="0.25">
      <c r="A163" s="48" t="s">
        <v>433</v>
      </c>
      <c r="B163" s="29" t="s">
        <v>54</v>
      </c>
      <c r="C163" s="30"/>
      <c r="D163" s="22"/>
      <c r="E163" s="22"/>
      <c r="F163" s="22">
        <v>563</v>
      </c>
      <c r="G163" s="22">
        <v>100</v>
      </c>
      <c r="H163" s="22">
        <v>301</v>
      </c>
      <c r="I163" s="22">
        <v>11</v>
      </c>
      <c r="J163" s="22">
        <v>57</v>
      </c>
      <c r="K163" s="22"/>
      <c r="L163" s="22">
        <v>24</v>
      </c>
      <c r="M163" s="31">
        <v>0.71499999999999997</v>
      </c>
      <c r="N163" s="32">
        <v>0.69899999999999995</v>
      </c>
      <c r="O163" s="32"/>
      <c r="P163" s="32"/>
      <c r="Q163" s="32"/>
      <c r="R163" s="33"/>
    </row>
    <row r="164" spans="1:18" x14ac:dyDescent="0.25">
      <c r="A164" s="48" t="s">
        <v>434</v>
      </c>
      <c r="B164" s="29" t="s">
        <v>55</v>
      </c>
      <c r="C164" s="30"/>
      <c r="D164" s="22"/>
      <c r="E164" s="22"/>
      <c r="F164" s="22">
        <v>832</v>
      </c>
      <c r="G164" s="22">
        <v>119</v>
      </c>
      <c r="H164" s="22">
        <v>410</v>
      </c>
      <c r="I164" s="22">
        <v>10</v>
      </c>
      <c r="J164" s="22">
        <v>88</v>
      </c>
      <c r="K164" s="22"/>
      <c r="L164" s="22">
        <v>26</v>
      </c>
      <c r="M164" s="31">
        <v>0.436</v>
      </c>
      <c r="N164" s="32">
        <v>0.9</v>
      </c>
      <c r="O164" s="32"/>
      <c r="P164" s="32"/>
      <c r="Q164" s="32"/>
      <c r="R164" s="33"/>
    </row>
    <row r="165" spans="1:18" x14ac:dyDescent="0.25">
      <c r="A165" s="48" t="s">
        <v>435</v>
      </c>
      <c r="B165" s="29" t="s">
        <v>56</v>
      </c>
      <c r="C165" s="30"/>
      <c r="D165" s="22"/>
      <c r="E165" s="22"/>
      <c r="F165" s="22">
        <v>831</v>
      </c>
      <c r="G165" s="22">
        <v>119</v>
      </c>
      <c r="H165" s="22">
        <v>470</v>
      </c>
      <c r="I165" s="22">
        <v>12</v>
      </c>
      <c r="J165" s="22">
        <v>89</v>
      </c>
      <c r="K165" s="22"/>
      <c r="L165" s="22">
        <v>27</v>
      </c>
      <c r="M165" s="31">
        <v>0.436</v>
      </c>
      <c r="N165" s="32">
        <v>0.9</v>
      </c>
      <c r="O165" s="32"/>
      <c r="P165" s="32"/>
      <c r="Q165" s="32"/>
      <c r="R165" s="33"/>
    </row>
    <row r="166" spans="1:18" x14ac:dyDescent="0.25">
      <c r="A166" s="48" t="s">
        <v>436</v>
      </c>
      <c r="B166" s="29" t="s">
        <v>57</v>
      </c>
      <c r="C166" s="30"/>
      <c r="D166" s="22"/>
      <c r="E166" s="22"/>
      <c r="F166" s="22">
        <v>1024</v>
      </c>
      <c r="G166" s="22">
        <v>104</v>
      </c>
      <c r="H166" s="22">
        <v>463</v>
      </c>
      <c r="I166" s="22">
        <v>14</v>
      </c>
      <c r="J166" s="22">
        <v>124</v>
      </c>
      <c r="K166" s="22"/>
      <c r="L166" s="22">
        <v>26</v>
      </c>
      <c r="M166" s="31">
        <v>0.38200000000000001</v>
      </c>
      <c r="N166" s="32">
        <v>0.92400000000000004</v>
      </c>
      <c r="O166" s="32"/>
      <c r="P166" s="32"/>
      <c r="Q166" s="32"/>
      <c r="R166" s="33"/>
    </row>
    <row r="167" spans="1:18" x14ac:dyDescent="0.25">
      <c r="A167" s="48" t="s">
        <v>437</v>
      </c>
      <c r="B167" s="29" t="s">
        <v>58</v>
      </c>
      <c r="C167" s="30"/>
      <c r="D167" s="22"/>
      <c r="E167" s="22"/>
      <c r="F167" s="22">
        <v>1107</v>
      </c>
      <c r="G167" s="22">
        <v>125</v>
      </c>
      <c r="H167" s="22">
        <v>529</v>
      </c>
      <c r="I167" s="22">
        <v>15</v>
      </c>
      <c r="J167" s="22">
        <v>130</v>
      </c>
      <c r="K167" s="22"/>
      <c r="L167" s="22">
        <v>27</v>
      </c>
      <c r="M167" s="31">
        <v>0.38200000000000001</v>
      </c>
      <c r="N167" s="32">
        <v>0.92400000000000004</v>
      </c>
      <c r="O167" s="32"/>
      <c r="P167" s="32"/>
      <c r="Q167" s="32"/>
      <c r="R167" s="33"/>
    </row>
    <row r="168" spans="1:18" x14ac:dyDescent="0.25">
      <c r="A168" s="48" t="s">
        <v>438</v>
      </c>
      <c r="B168" s="29" t="s">
        <v>59</v>
      </c>
      <c r="C168" s="30"/>
      <c r="D168" s="22"/>
      <c r="E168" s="22"/>
      <c r="F168" s="22">
        <v>1069</v>
      </c>
      <c r="G168" s="22">
        <v>124</v>
      </c>
      <c r="H168" s="22">
        <v>630</v>
      </c>
      <c r="I168" s="22">
        <v>22</v>
      </c>
      <c r="J168" s="22">
        <v>153</v>
      </c>
      <c r="K168" s="22"/>
      <c r="L168" s="22">
        <v>28</v>
      </c>
      <c r="M168" s="31">
        <v>0.377</v>
      </c>
      <c r="N168" s="32">
        <v>0.92600000000000005</v>
      </c>
      <c r="O168" s="32"/>
      <c r="P168" s="32"/>
      <c r="Q168" s="32"/>
      <c r="R168" s="33"/>
    </row>
    <row r="169" spans="1:18" x14ac:dyDescent="0.25">
      <c r="A169" s="48" t="s">
        <v>439</v>
      </c>
      <c r="B169" s="29" t="s">
        <v>60</v>
      </c>
      <c r="C169" s="30"/>
      <c r="D169" s="22"/>
      <c r="E169" s="22"/>
      <c r="F169" s="22">
        <v>1027</v>
      </c>
      <c r="G169" s="22">
        <v>91</v>
      </c>
      <c r="H169" s="22">
        <v>677</v>
      </c>
      <c r="I169" s="22">
        <v>30</v>
      </c>
      <c r="J169" s="22">
        <v>154</v>
      </c>
      <c r="K169" s="22"/>
      <c r="L169" s="22">
        <v>30</v>
      </c>
      <c r="M169" s="31">
        <v>0.379</v>
      </c>
      <c r="N169" s="32">
        <v>0.92600000000000005</v>
      </c>
      <c r="O169" s="32"/>
      <c r="P169" s="32"/>
      <c r="Q169" s="32"/>
      <c r="R169" s="33"/>
    </row>
    <row r="170" spans="1:18" x14ac:dyDescent="0.25">
      <c r="A170" s="48" t="s">
        <v>440</v>
      </c>
      <c r="B170" s="29" t="s">
        <v>61</v>
      </c>
      <c r="C170" s="30"/>
      <c r="D170" s="22"/>
      <c r="E170" s="22"/>
      <c r="F170" s="22">
        <v>998</v>
      </c>
      <c r="G170" s="22">
        <v>92</v>
      </c>
      <c r="H170" s="22">
        <v>831</v>
      </c>
      <c r="I170" s="22">
        <v>33</v>
      </c>
      <c r="J170" s="22">
        <v>171</v>
      </c>
      <c r="K170" s="22"/>
      <c r="L170" s="22">
        <v>30</v>
      </c>
      <c r="M170" s="31">
        <v>0.379</v>
      </c>
      <c r="N170" s="32">
        <v>0.92600000000000005</v>
      </c>
      <c r="O170" s="32"/>
      <c r="P170" s="32"/>
      <c r="Q170" s="32"/>
      <c r="R170" s="33"/>
    </row>
    <row r="171" spans="1:18" x14ac:dyDescent="0.25">
      <c r="A171" s="48" t="s">
        <v>441</v>
      </c>
      <c r="B171" s="29" t="s">
        <v>62</v>
      </c>
      <c r="C171" s="30"/>
      <c r="D171" s="22"/>
      <c r="E171" s="22"/>
      <c r="F171" s="22">
        <v>1568</v>
      </c>
      <c r="G171" s="22">
        <v>359</v>
      </c>
      <c r="H171" s="22">
        <v>902</v>
      </c>
      <c r="I171" s="22">
        <v>19</v>
      </c>
      <c r="J171" s="22">
        <v>250</v>
      </c>
      <c r="K171" s="22"/>
      <c r="L171" s="22">
        <v>35</v>
      </c>
      <c r="M171" s="31">
        <v>0.27500000000000002</v>
      </c>
      <c r="N171" s="32">
        <v>0.96199999999999997</v>
      </c>
      <c r="O171" s="32"/>
      <c r="P171" s="32"/>
      <c r="Q171" s="32"/>
      <c r="R171" s="33"/>
    </row>
    <row r="172" spans="1:18" x14ac:dyDescent="0.25">
      <c r="A172" s="48" t="s">
        <v>442</v>
      </c>
      <c r="B172" s="29" t="s">
        <v>63</v>
      </c>
      <c r="C172" s="30"/>
      <c r="D172" s="22"/>
      <c r="E172" s="22"/>
      <c r="F172" s="22">
        <v>1579</v>
      </c>
      <c r="G172" s="22">
        <v>359</v>
      </c>
      <c r="H172" s="22">
        <v>1185</v>
      </c>
      <c r="I172" s="22">
        <v>22</v>
      </c>
      <c r="J172" s="22">
        <v>255</v>
      </c>
      <c r="K172" s="22"/>
      <c r="L172" s="22">
        <v>38</v>
      </c>
      <c r="M172" s="31">
        <v>0.27400000000000002</v>
      </c>
      <c r="N172" s="32">
        <v>0.96199999999999997</v>
      </c>
      <c r="O172" s="32"/>
      <c r="P172" s="32"/>
      <c r="Q172" s="32"/>
      <c r="R172" s="33"/>
    </row>
    <row r="173" spans="1:18" x14ac:dyDescent="0.25">
      <c r="A173" s="48" t="s">
        <v>443</v>
      </c>
      <c r="B173" s="29" t="s">
        <v>64</v>
      </c>
      <c r="C173" s="30"/>
      <c r="D173" s="22"/>
      <c r="E173" s="22"/>
      <c r="F173" s="22">
        <v>1573</v>
      </c>
      <c r="G173" s="22">
        <v>357</v>
      </c>
      <c r="H173" s="22">
        <v>1204</v>
      </c>
      <c r="I173" s="22">
        <v>26</v>
      </c>
      <c r="J173" s="22">
        <v>257</v>
      </c>
      <c r="K173" s="22"/>
      <c r="L173" s="22">
        <v>39</v>
      </c>
      <c r="M173" s="31">
        <v>0.27400000000000002</v>
      </c>
      <c r="N173" s="32">
        <v>0.96199999999999997</v>
      </c>
      <c r="O173" s="32"/>
      <c r="P173" s="32"/>
      <c r="Q173" s="32"/>
      <c r="R173" s="33"/>
    </row>
    <row r="174" spans="1:18" x14ac:dyDescent="0.25">
      <c r="A174" s="48" t="s">
        <v>444</v>
      </c>
      <c r="B174" s="29" t="s">
        <v>65</v>
      </c>
      <c r="C174" s="30"/>
      <c r="D174" s="22"/>
      <c r="E174" s="22"/>
      <c r="F174" s="22">
        <v>1569</v>
      </c>
      <c r="G174" s="22">
        <v>376</v>
      </c>
      <c r="H174" s="22">
        <v>1296</v>
      </c>
      <c r="I174" s="22">
        <v>30</v>
      </c>
      <c r="J174" s="22">
        <v>260</v>
      </c>
      <c r="K174" s="22"/>
      <c r="L174" s="22">
        <v>41</v>
      </c>
      <c r="M174" s="31">
        <v>0.27400000000000002</v>
      </c>
      <c r="N174" s="32">
        <v>0.96199999999999997</v>
      </c>
      <c r="O174" s="32"/>
      <c r="P174" s="32"/>
      <c r="Q174" s="32"/>
      <c r="R174" s="33"/>
    </row>
    <row r="175" spans="1:18" x14ac:dyDescent="0.25">
      <c r="A175" s="48" t="s">
        <v>445</v>
      </c>
      <c r="B175" s="29" t="s">
        <v>66</v>
      </c>
      <c r="C175" s="30"/>
      <c r="D175" s="22"/>
      <c r="E175" s="22"/>
      <c r="F175" s="22">
        <v>1916</v>
      </c>
      <c r="G175" s="22">
        <v>398</v>
      </c>
      <c r="H175" s="22">
        <v>1186</v>
      </c>
      <c r="I175" s="22">
        <v>24</v>
      </c>
      <c r="J175" s="22">
        <v>383</v>
      </c>
      <c r="K175" s="22"/>
      <c r="L175" s="22">
        <v>44</v>
      </c>
      <c r="M175" s="31">
        <v>0.26600000000000001</v>
      </c>
      <c r="N175" s="32">
        <v>0.96399999999999997</v>
      </c>
      <c r="O175" s="32"/>
      <c r="P175" s="32"/>
      <c r="Q175" s="32"/>
      <c r="R175" s="33"/>
    </row>
    <row r="176" spans="1:18" x14ac:dyDescent="0.25">
      <c r="A176" s="48" t="s">
        <v>446</v>
      </c>
      <c r="B176" s="29" t="s">
        <v>67</v>
      </c>
      <c r="C176" s="30"/>
      <c r="D176" s="22"/>
      <c r="E176" s="22"/>
      <c r="F176" s="22">
        <v>1923</v>
      </c>
      <c r="G176" s="22">
        <v>397</v>
      </c>
      <c r="H176" s="22">
        <v>1485</v>
      </c>
      <c r="I176" s="22">
        <v>29</v>
      </c>
      <c r="J176" s="22">
        <v>390</v>
      </c>
      <c r="K176" s="22"/>
      <c r="L176" s="22">
        <v>48</v>
      </c>
      <c r="M176" s="31">
        <v>0.26600000000000001</v>
      </c>
      <c r="N176" s="32">
        <v>0.96399999999999997</v>
      </c>
      <c r="O176" s="32"/>
      <c r="P176" s="32"/>
      <c r="Q176" s="32"/>
      <c r="R176" s="33"/>
    </row>
    <row r="177" spans="1:18" x14ac:dyDescent="0.25">
      <c r="A177" s="48" t="s">
        <v>447</v>
      </c>
      <c r="B177" s="29" t="s">
        <v>68</v>
      </c>
      <c r="C177" s="30"/>
      <c r="D177" s="22"/>
      <c r="E177" s="22"/>
      <c r="F177" s="22">
        <v>1920</v>
      </c>
      <c r="G177" s="22">
        <v>387</v>
      </c>
      <c r="H177" s="22">
        <v>1687</v>
      </c>
      <c r="I177" s="22">
        <v>35</v>
      </c>
      <c r="J177" s="22">
        <v>394</v>
      </c>
      <c r="K177" s="22"/>
      <c r="L177" s="22">
        <v>51</v>
      </c>
      <c r="M177" s="31">
        <v>0.26600000000000001</v>
      </c>
      <c r="N177" s="32">
        <v>0.96399999999999997</v>
      </c>
      <c r="O177" s="32"/>
      <c r="P177" s="32"/>
      <c r="Q177" s="32"/>
      <c r="R177" s="33"/>
    </row>
    <row r="178" spans="1:18" x14ac:dyDescent="0.25">
      <c r="A178" s="48" t="s">
        <v>448</v>
      </c>
      <c r="B178" s="29" t="s">
        <v>69</v>
      </c>
      <c r="C178" s="30"/>
      <c r="D178" s="22"/>
      <c r="E178" s="22"/>
      <c r="F178" s="22">
        <v>1929</v>
      </c>
      <c r="G178" s="22">
        <v>385</v>
      </c>
      <c r="H178" s="22">
        <v>1843</v>
      </c>
      <c r="I178" s="22">
        <v>42</v>
      </c>
      <c r="J178" s="22">
        <v>396</v>
      </c>
      <c r="K178" s="22"/>
      <c r="L178" s="22">
        <v>54</v>
      </c>
      <c r="M178" s="31">
        <v>0.26800000000000002</v>
      </c>
      <c r="N178" s="32">
        <v>0.96299999999999997</v>
      </c>
      <c r="O178" s="32"/>
      <c r="P178" s="32"/>
      <c r="Q178" s="32"/>
      <c r="R178" s="33"/>
    </row>
    <row r="179" spans="1:18" x14ac:dyDescent="0.25">
      <c r="A179" s="49" t="s">
        <v>449</v>
      </c>
      <c r="B179" s="29" t="s">
        <v>106</v>
      </c>
      <c r="C179" s="30"/>
      <c r="D179" s="22"/>
      <c r="E179" s="22"/>
      <c r="F179" s="22">
        <v>216</v>
      </c>
      <c r="G179" s="22">
        <v>83</v>
      </c>
      <c r="H179" s="22">
        <v>123</v>
      </c>
      <c r="I179" s="22">
        <v>1</v>
      </c>
      <c r="J179" s="22">
        <v>13</v>
      </c>
      <c r="K179" s="22"/>
      <c r="L179" s="22">
        <v>3</v>
      </c>
      <c r="M179" s="31">
        <v>0.83199999999999996</v>
      </c>
      <c r="N179" s="32">
        <v>0.55500000000000005</v>
      </c>
      <c r="O179" s="32"/>
      <c r="P179" s="32"/>
      <c r="Q179" s="32"/>
      <c r="R179" s="33"/>
    </row>
    <row r="180" spans="1:18" x14ac:dyDescent="0.25">
      <c r="A180" s="49" t="s">
        <v>450</v>
      </c>
      <c r="B180" s="29">
        <v>18</v>
      </c>
      <c r="C180" s="30"/>
      <c r="D180" s="22"/>
      <c r="E180" s="22"/>
      <c r="F180" s="22">
        <v>223</v>
      </c>
      <c r="G180" s="22">
        <v>119</v>
      </c>
      <c r="H180" s="22">
        <v>179</v>
      </c>
      <c r="I180" s="22">
        <v>2</v>
      </c>
      <c r="J180" s="22">
        <v>17</v>
      </c>
      <c r="K180" s="22"/>
      <c r="L180" s="22">
        <v>5</v>
      </c>
      <c r="M180" s="31">
        <v>0.83199999999999996</v>
      </c>
      <c r="N180" s="32">
        <v>0.55500000000000005</v>
      </c>
      <c r="O180" s="32"/>
      <c r="P180" s="32"/>
      <c r="Q180" s="32"/>
      <c r="R180" s="33"/>
    </row>
    <row r="181" spans="1:18" x14ac:dyDescent="0.25">
      <c r="A181" s="49" t="s">
        <v>451</v>
      </c>
      <c r="B181" s="29" t="s">
        <v>37</v>
      </c>
      <c r="C181" s="30"/>
      <c r="D181" s="22"/>
      <c r="E181" s="22"/>
      <c r="F181" s="22">
        <v>254</v>
      </c>
      <c r="G181" s="22">
        <v>100</v>
      </c>
      <c r="H181" s="22">
        <v>211</v>
      </c>
      <c r="I181" s="22">
        <v>3</v>
      </c>
      <c r="J181" s="22">
        <v>21</v>
      </c>
      <c r="K181" s="22"/>
      <c r="L181" s="22">
        <v>6</v>
      </c>
      <c r="M181" s="31">
        <v>0.747</v>
      </c>
      <c r="N181" s="32">
        <v>0.66400000000000003</v>
      </c>
      <c r="O181" s="32"/>
      <c r="P181" s="32"/>
      <c r="Q181" s="32"/>
      <c r="R181" s="33"/>
    </row>
    <row r="182" spans="1:18" x14ac:dyDescent="0.25">
      <c r="A182" s="49" t="s">
        <v>452</v>
      </c>
      <c r="B182" s="29" t="s">
        <v>38</v>
      </c>
      <c r="C182" s="30"/>
      <c r="D182" s="22"/>
      <c r="E182" s="22"/>
      <c r="F182" s="22">
        <v>263</v>
      </c>
      <c r="G182" s="22">
        <v>164</v>
      </c>
      <c r="H182" s="22">
        <v>260</v>
      </c>
      <c r="I182" s="22">
        <v>4</v>
      </c>
      <c r="J182" s="22">
        <v>22</v>
      </c>
      <c r="K182" s="22"/>
      <c r="L182" s="22">
        <v>7</v>
      </c>
      <c r="M182" s="31">
        <v>0.747</v>
      </c>
      <c r="N182" s="32">
        <v>0.66400000000000003</v>
      </c>
      <c r="O182" s="32"/>
      <c r="P182" s="32"/>
      <c r="Q182" s="32"/>
      <c r="R182" s="33"/>
    </row>
    <row r="183" spans="1:18" x14ac:dyDescent="0.25">
      <c r="A183" s="49" t="s">
        <v>453</v>
      </c>
      <c r="B183" s="29" t="s">
        <v>39</v>
      </c>
      <c r="C183" s="30"/>
      <c r="D183" s="22"/>
      <c r="E183" s="22"/>
      <c r="F183" s="22">
        <v>359</v>
      </c>
      <c r="G183" s="22">
        <v>170</v>
      </c>
      <c r="H183" s="22">
        <v>241</v>
      </c>
      <c r="I183" s="22">
        <v>3</v>
      </c>
      <c r="J183" s="22">
        <v>37</v>
      </c>
      <c r="K183" s="22"/>
      <c r="L183" s="22">
        <v>9</v>
      </c>
      <c r="M183" s="31">
        <v>0.54100000000000004</v>
      </c>
      <c r="N183" s="32">
        <v>0.84099999999999997</v>
      </c>
      <c r="O183" s="32"/>
      <c r="P183" s="32"/>
      <c r="Q183" s="32"/>
      <c r="R183" s="33"/>
    </row>
    <row r="184" spans="1:18" x14ac:dyDescent="0.25">
      <c r="A184" s="49" t="s">
        <v>454</v>
      </c>
      <c r="B184" s="29" t="s">
        <v>40</v>
      </c>
      <c r="C184" s="30"/>
      <c r="D184" s="22"/>
      <c r="E184" s="22"/>
      <c r="F184" s="22">
        <v>362</v>
      </c>
      <c r="G184" s="22">
        <v>194</v>
      </c>
      <c r="H184" s="22">
        <v>289</v>
      </c>
      <c r="I184" s="22">
        <v>4</v>
      </c>
      <c r="J184" s="22">
        <v>37</v>
      </c>
      <c r="K184" s="22"/>
      <c r="L184" s="22">
        <v>9</v>
      </c>
      <c r="M184" s="31">
        <v>0.54100000000000004</v>
      </c>
      <c r="N184" s="32">
        <v>0.84099999999999997</v>
      </c>
      <c r="O184" s="32"/>
      <c r="P184" s="32"/>
      <c r="Q184" s="32"/>
      <c r="R184" s="33"/>
    </row>
    <row r="185" spans="1:18" x14ac:dyDescent="0.25">
      <c r="A185" s="49" t="s">
        <v>455</v>
      </c>
      <c r="B185" s="29" t="s">
        <v>41</v>
      </c>
      <c r="C185" s="30"/>
      <c r="D185" s="22"/>
      <c r="E185" s="22"/>
      <c r="F185" s="22">
        <v>430</v>
      </c>
      <c r="G185" s="22">
        <v>206</v>
      </c>
      <c r="H185" s="22">
        <v>311</v>
      </c>
      <c r="I185" s="22">
        <v>4</v>
      </c>
      <c r="J185" s="22">
        <v>53</v>
      </c>
      <c r="K185" s="22"/>
      <c r="L185" s="22">
        <v>11</v>
      </c>
      <c r="M185" s="31">
        <v>0.44700000000000001</v>
      </c>
      <c r="N185" s="32">
        <v>0.89400000000000002</v>
      </c>
      <c r="O185" s="32"/>
      <c r="P185" s="32"/>
      <c r="Q185" s="32"/>
      <c r="R185" s="33"/>
    </row>
    <row r="186" spans="1:18" x14ac:dyDescent="0.25">
      <c r="A186" s="49" t="s">
        <v>456</v>
      </c>
      <c r="B186" s="29" t="s">
        <v>42</v>
      </c>
      <c r="C186" s="30"/>
      <c r="D186" s="22"/>
      <c r="E186" s="22"/>
      <c r="F186" s="22">
        <v>432</v>
      </c>
      <c r="G186" s="22">
        <v>235</v>
      </c>
      <c r="H186" s="22">
        <v>371</v>
      </c>
      <c r="I186" s="22">
        <v>6</v>
      </c>
      <c r="J186" s="22">
        <v>54</v>
      </c>
      <c r="K186" s="22"/>
      <c r="L186" s="22">
        <v>13</v>
      </c>
      <c r="M186" s="31">
        <v>0.44700000000000001</v>
      </c>
      <c r="N186" s="32">
        <v>0.89400000000000002</v>
      </c>
      <c r="O186" s="32"/>
      <c r="P186" s="32"/>
      <c r="Q186" s="32"/>
      <c r="R186" s="33"/>
    </row>
    <row r="187" spans="1:18" x14ac:dyDescent="0.25">
      <c r="A187" s="49" t="s">
        <v>457</v>
      </c>
      <c r="B187" s="29" t="s">
        <v>43</v>
      </c>
      <c r="C187" s="30"/>
      <c r="D187" s="22"/>
      <c r="E187" s="22"/>
      <c r="F187" s="22">
        <v>552</v>
      </c>
      <c r="G187" s="22">
        <v>266</v>
      </c>
      <c r="H187" s="22">
        <v>395</v>
      </c>
      <c r="I187" s="22">
        <v>7</v>
      </c>
      <c r="J187" s="22">
        <v>77</v>
      </c>
      <c r="K187" s="22"/>
      <c r="L187" s="22">
        <v>17</v>
      </c>
      <c r="M187" s="31">
        <v>0.35099999999999998</v>
      </c>
      <c r="N187" s="32">
        <v>0.93600000000000005</v>
      </c>
      <c r="O187" s="32"/>
      <c r="P187" s="32"/>
      <c r="Q187" s="32"/>
      <c r="R187" s="33"/>
    </row>
    <row r="188" spans="1:18" x14ac:dyDescent="0.25">
      <c r="A188" s="49" t="s">
        <v>458</v>
      </c>
      <c r="B188" s="29" t="s">
        <v>44</v>
      </c>
      <c r="C188" s="30"/>
      <c r="D188" s="22"/>
      <c r="E188" s="22"/>
      <c r="F188" s="22">
        <v>564</v>
      </c>
      <c r="G188" s="22">
        <v>279</v>
      </c>
      <c r="H188" s="22">
        <v>445</v>
      </c>
      <c r="I188" s="22">
        <v>17</v>
      </c>
      <c r="J188" s="22">
        <v>79</v>
      </c>
      <c r="K188" s="22"/>
      <c r="L188" s="22">
        <v>10</v>
      </c>
      <c r="M188" s="31">
        <v>0.35099999999999998</v>
      </c>
      <c r="N188" s="32">
        <v>0.93600000000000005</v>
      </c>
      <c r="O188" s="32"/>
      <c r="P188" s="32"/>
      <c r="Q188" s="32"/>
      <c r="R188" s="33"/>
    </row>
    <row r="189" spans="1:18" x14ac:dyDescent="0.25">
      <c r="A189" s="49" t="s">
        <v>459</v>
      </c>
      <c r="B189" s="29" t="s">
        <v>45</v>
      </c>
      <c r="C189" s="30"/>
      <c r="D189" s="22"/>
      <c r="E189" s="22"/>
      <c r="F189" s="22">
        <v>613</v>
      </c>
      <c r="G189" s="22">
        <v>285</v>
      </c>
      <c r="H189" s="22">
        <v>497</v>
      </c>
      <c r="I189" s="22">
        <v>10</v>
      </c>
      <c r="J189" s="22">
        <v>95</v>
      </c>
      <c r="K189" s="22"/>
      <c r="L189" s="22">
        <v>21</v>
      </c>
      <c r="M189" s="31">
        <v>0.30599999999999999</v>
      </c>
      <c r="N189" s="32">
        <v>0.95199999999999996</v>
      </c>
      <c r="O189" s="32"/>
      <c r="P189" s="32"/>
      <c r="Q189" s="32"/>
      <c r="R189" s="33"/>
    </row>
    <row r="190" spans="1:18" x14ac:dyDescent="0.25">
      <c r="A190" s="49" t="s">
        <v>460</v>
      </c>
      <c r="B190" s="29" t="s">
        <v>46</v>
      </c>
      <c r="C190" s="30"/>
      <c r="D190" s="22"/>
      <c r="E190" s="22"/>
      <c r="F190" s="22">
        <v>621</v>
      </c>
      <c r="G190" s="22">
        <v>278</v>
      </c>
      <c r="H190" s="22">
        <v>578</v>
      </c>
      <c r="I190" s="22">
        <v>13</v>
      </c>
      <c r="J190" s="22">
        <v>97</v>
      </c>
      <c r="K190" s="22"/>
      <c r="L190" s="22">
        <v>24</v>
      </c>
      <c r="M190" s="31">
        <v>0.30599999999999999</v>
      </c>
      <c r="N190" s="32">
        <v>0.95199999999999996</v>
      </c>
      <c r="O190" s="32"/>
      <c r="P190" s="32"/>
      <c r="Q190" s="32"/>
      <c r="R190" s="33"/>
    </row>
    <row r="191" spans="1:18" x14ac:dyDescent="0.25">
      <c r="A191" s="49" t="s">
        <v>461</v>
      </c>
      <c r="B191" s="29" t="s">
        <v>47</v>
      </c>
      <c r="C191" s="30"/>
      <c r="D191" s="22"/>
      <c r="E191" s="22"/>
      <c r="F191" s="22">
        <v>684</v>
      </c>
      <c r="G191" s="22">
        <v>292</v>
      </c>
      <c r="H191" s="22">
        <v>630</v>
      </c>
      <c r="I191" s="22">
        <v>12</v>
      </c>
      <c r="J191" s="22">
        <v>120</v>
      </c>
      <c r="K191" s="22"/>
      <c r="L191" s="22">
        <v>24</v>
      </c>
      <c r="M191" s="31">
        <v>0.26700000000000002</v>
      </c>
      <c r="N191" s="32">
        <v>0.96399999999999997</v>
      </c>
      <c r="O191" s="32"/>
      <c r="P191" s="32"/>
      <c r="Q191" s="32"/>
      <c r="R191" s="33"/>
    </row>
    <row r="192" spans="1:18" x14ac:dyDescent="0.25">
      <c r="A192" s="49" t="s">
        <v>462</v>
      </c>
      <c r="B192" s="29" t="s">
        <v>48</v>
      </c>
      <c r="C192" s="30"/>
      <c r="D192" s="22"/>
      <c r="E192" s="22"/>
      <c r="F192" s="22">
        <v>675</v>
      </c>
      <c r="G192" s="22">
        <v>288</v>
      </c>
      <c r="H192" s="22">
        <v>714</v>
      </c>
      <c r="I192" s="22">
        <v>13</v>
      </c>
      <c r="J192" s="22">
        <v>124</v>
      </c>
      <c r="K192" s="22"/>
      <c r="L192" s="22">
        <v>25</v>
      </c>
      <c r="M192" s="31">
        <v>0.26700000000000002</v>
      </c>
      <c r="N192" s="32">
        <v>0.96399999999999997</v>
      </c>
      <c r="O192" s="32"/>
      <c r="P192" s="32"/>
      <c r="Q192" s="32"/>
      <c r="R192" s="33"/>
    </row>
    <row r="193" spans="1:18" x14ac:dyDescent="0.25">
      <c r="A193" s="49" t="s">
        <v>463</v>
      </c>
      <c r="B193" s="29" t="s">
        <v>49</v>
      </c>
      <c r="C193" s="30"/>
      <c r="D193" s="22"/>
      <c r="E193" s="22"/>
      <c r="F193" s="22">
        <v>776</v>
      </c>
      <c r="G193" s="22">
        <v>298</v>
      </c>
      <c r="H193" s="22">
        <v>750</v>
      </c>
      <c r="I193" s="22">
        <v>11</v>
      </c>
      <c r="J193" s="22">
        <v>157</v>
      </c>
      <c r="K193" s="22"/>
      <c r="L193" s="22">
        <v>24</v>
      </c>
      <c r="M193" s="31">
        <v>0.24299999999999999</v>
      </c>
      <c r="N193" s="32">
        <v>0.97</v>
      </c>
      <c r="O193" s="32"/>
      <c r="P193" s="32"/>
      <c r="Q193" s="32"/>
      <c r="R193" s="33"/>
    </row>
    <row r="194" spans="1:18" x14ac:dyDescent="0.25">
      <c r="A194" s="49" t="s">
        <v>464</v>
      </c>
      <c r="B194" s="29" t="s">
        <v>50</v>
      </c>
      <c r="C194" s="30"/>
      <c r="D194" s="22"/>
      <c r="E194" s="22"/>
      <c r="F194" s="22">
        <v>756</v>
      </c>
      <c r="G194" s="22">
        <v>288</v>
      </c>
      <c r="H194" s="22">
        <v>777</v>
      </c>
      <c r="I194" s="22">
        <v>12</v>
      </c>
      <c r="J194" s="22">
        <v>156</v>
      </c>
      <c r="K194" s="22"/>
      <c r="L194" s="22">
        <v>25</v>
      </c>
      <c r="M194" s="31">
        <v>0.24299999999999999</v>
      </c>
      <c r="N194" s="32">
        <v>0.97</v>
      </c>
      <c r="O194" s="32"/>
      <c r="P194" s="32"/>
      <c r="Q194" s="32"/>
      <c r="R194" s="33"/>
    </row>
    <row r="195" spans="1:18" x14ac:dyDescent="0.25">
      <c r="A195" s="49" t="s">
        <v>465</v>
      </c>
      <c r="B195" s="29" t="s">
        <v>121</v>
      </c>
      <c r="C195" s="30"/>
      <c r="D195" s="22"/>
      <c r="E195" s="22"/>
      <c r="F195" s="22">
        <v>850</v>
      </c>
      <c r="G195" s="22">
        <v>336</v>
      </c>
      <c r="H195" s="22">
        <v>880</v>
      </c>
      <c r="I195" s="22">
        <v>16</v>
      </c>
      <c r="J195" s="22">
        <v>169</v>
      </c>
      <c r="K195" s="22"/>
      <c r="L195" s="22">
        <v>31</v>
      </c>
      <c r="M195" s="31">
        <v>0.24299999999999999</v>
      </c>
      <c r="N195" s="32">
        <v>0.97</v>
      </c>
      <c r="O195" s="32"/>
      <c r="P195" s="32"/>
      <c r="Q195" s="32"/>
      <c r="R195" s="33"/>
    </row>
    <row r="196" spans="1:18" x14ac:dyDescent="0.25">
      <c r="A196" s="49" t="s">
        <v>466</v>
      </c>
      <c r="B196" s="29" t="s">
        <v>51</v>
      </c>
      <c r="C196" s="30"/>
      <c r="D196" s="22"/>
      <c r="E196" s="22"/>
      <c r="F196" s="22">
        <v>1069</v>
      </c>
      <c r="G196" s="22">
        <v>336</v>
      </c>
      <c r="H196" s="22">
        <v>1025</v>
      </c>
      <c r="I196" s="22">
        <v>15</v>
      </c>
      <c r="J196" s="22">
        <v>222</v>
      </c>
      <c r="K196" s="22"/>
      <c r="L196" s="22">
        <v>34</v>
      </c>
      <c r="M196" s="31">
        <v>0.18099999999999999</v>
      </c>
      <c r="N196" s="32">
        <v>0.98399999999999999</v>
      </c>
      <c r="O196" s="32"/>
      <c r="P196" s="32"/>
      <c r="Q196" s="32"/>
      <c r="R196" s="33"/>
    </row>
    <row r="197" spans="1:18" x14ac:dyDescent="0.25">
      <c r="A197" s="49" t="s">
        <v>467</v>
      </c>
      <c r="B197" s="29" t="s">
        <v>52</v>
      </c>
      <c r="C197" s="30"/>
      <c r="D197" s="22"/>
      <c r="E197" s="22"/>
      <c r="F197" s="22">
        <v>1070</v>
      </c>
      <c r="G197" s="22">
        <v>374</v>
      </c>
      <c r="H197" s="22">
        <v>1132</v>
      </c>
      <c r="I197" s="22">
        <v>16</v>
      </c>
      <c r="J197" s="22">
        <v>227</v>
      </c>
      <c r="K197" s="22"/>
      <c r="L197" s="22">
        <v>35</v>
      </c>
      <c r="M197" s="31">
        <v>0.18099999999999999</v>
      </c>
      <c r="N197" s="32">
        <v>0.98399999999999999</v>
      </c>
      <c r="O197" s="32"/>
      <c r="P197" s="32"/>
      <c r="Q197" s="32"/>
      <c r="R197" s="33"/>
    </row>
    <row r="198" spans="1:18" x14ac:dyDescent="0.25">
      <c r="A198" s="49" t="s">
        <v>468</v>
      </c>
      <c r="B198" s="29" t="s">
        <v>53</v>
      </c>
      <c r="C198" s="30"/>
      <c r="D198" s="22"/>
      <c r="E198" s="22"/>
      <c r="F198" s="22">
        <v>262</v>
      </c>
      <c r="G198" s="22">
        <v>189</v>
      </c>
      <c r="H198" s="22">
        <v>246</v>
      </c>
      <c r="I198" s="22">
        <v>6</v>
      </c>
      <c r="J198" s="22">
        <v>10</v>
      </c>
      <c r="K198" s="22"/>
      <c r="L198" s="22">
        <v>22</v>
      </c>
      <c r="M198" s="31">
        <v>0.78900000000000003</v>
      </c>
      <c r="N198" s="32">
        <v>0.61399999999999999</v>
      </c>
      <c r="O198" s="32"/>
      <c r="P198" s="32"/>
      <c r="Q198" s="32"/>
      <c r="R198" s="33"/>
    </row>
    <row r="199" spans="1:18" x14ac:dyDescent="0.25">
      <c r="A199" s="49" t="s">
        <v>469</v>
      </c>
      <c r="B199" s="29" t="s">
        <v>54</v>
      </c>
      <c r="C199" s="30"/>
      <c r="D199" s="22"/>
      <c r="E199" s="22"/>
      <c r="F199" s="22">
        <v>361</v>
      </c>
      <c r="G199" s="22">
        <v>227</v>
      </c>
      <c r="H199" s="22">
        <v>337</v>
      </c>
      <c r="I199" s="22">
        <v>10</v>
      </c>
      <c r="J199" s="22">
        <v>36</v>
      </c>
      <c r="K199" s="22"/>
      <c r="L199" s="22">
        <v>17</v>
      </c>
      <c r="M199" s="31">
        <v>0.56899999999999995</v>
      </c>
      <c r="N199" s="32">
        <v>0.82199999999999995</v>
      </c>
      <c r="O199" s="32"/>
      <c r="P199" s="32"/>
      <c r="Q199" s="32"/>
      <c r="R199" s="33"/>
    </row>
    <row r="200" spans="1:18" x14ac:dyDescent="0.25">
      <c r="A200" s="49" t="s">
        <v>470</v>
      </c>
      <c r="B200" s="29" t="s">
        <v>55</v>
      </c>
      <c r="C200" s="30"/>
      <c r="D200" s="22"/>
      <c r="E200" s="22"/>
      <c r="F200" s="22">
        <v>465</v>
      </c>
      <c r="G200" s="22">
        <v>245</v>
      </c>
      <c r="H200" s="22">
        <v>448</v>
      </c>
      <c r="I200" s="22">
        <v>13</v>
      </c>
      <c r="J200" s="22">
        <v>55</v>
      </c>
      <c r="K200" s="22"/>
      <c r="L200" s="22">
        <v>22</v>
      </c>
      <c r="M200" s="31">
        <v>0.44700000000000001</v>
      </c>
      <c r="N200" s="32">
        <v>0.89400000000000002</v>
      </c>
      <c r="O200" s="32"/>
      <c r="P200" s="32"/>
      <c r="Q200" s="32"/>
      <c r="R200" s="33"/>
    </row>
    <row r="201" spans="1:18" x14ac:dyDescent="0.25">
      <c r="A201" s="49" t="s">
        <v>471</v>
      </c>
      <c r="B201" s="29" t="s">
        <v>56</v>
      </c>
      <c r="C201" s="30"/>
      <c r="D201" s="22"/>
      <c r="E201" s="22"/>
      <c r="F201" s="22">
        <v>487</v>
      </c>
      <c r="G201" s="22">
        <v>322</v>
      </c>
      <c r="H201" s="22">
        <v>522</v>
      </c>
      <c r="I201" s="22">
        <v>16</v>
      </c>
      <c r="J201" s="22">
        <v>59</v>
      </c>
      <c r="K201" s="22"/>
      <c r="L201" s="22">
        <v>23</v>
      </c>
      <c r="M201" s="31">
        <v>0.44700000000000001</v>
      </c>
      <c r="N201" s="32">
        <v>0.89400000000000002</v>
      </c>
      <c r="O201" s="32"/>
      <c r="P201" s="32"/>
      <c r="Q201" s="32"/>
      <c r="R201" s="33"/>
    </row>
    <row r="202" spans="1:18" x14ac:dyDescent="0.25">
      <c r="A202" s="49" t="s">
        <v>472</v>
      </c>
      <c r="B202" s="29" t="s">
        <v>57</v>
      </c>
      <c r="C202" s="30"/>
      <c r="D202" s="22"/>
      <c r="E202" s="22"/>
      <c r="F202" s="22">
        <v>484</v>
      </c>
      <c r="G202" s="22">
        <v>265</v>
      </c>
      <c r="H202" s="22">
        <v>495</v>
      </c>
      <c r="I202" s="22">
        <v>17</v>
      </c>
      <c r="J202" s="22">
        <v>66</v>
      </c>
      <c r="K202" s="22"/>
      <c r="L202" s="22">
        <v>23</v>
      </c>
      <c r="M202" s="31">
        <v>0.39400000000000002</v>
      </c>
      <c r="N202" s="32">
        <v>0.91900000000000004</v>
      </c>
      <c r="O202" s="32"/>
      <c r="P202" s="32"/>
      <c r="Q202" s="32"/>
      <c r="R202" s="33"/>
    </row>
    <row r="203" spans="1:18" x14ac:dyDescent="0.25">
      <c r="A203" s="49" t="s">
        <v>473</v>
      </c>
      <c r="B203" s="29" t="s">
        <v>58</v>
      </c>
      <c r="C203" s="30"/>
      <c r="D203" s="22"/>
      <c r="E203" s="22"/>
      <c r="F203" s="22">
        <v>486</v>
      </c>
      <c r="G203" s="22">
        <v>257</v>
      </c>
      <c r="H203" s="22">
        <v>574</v>
      </c>
      <c r="I203" s="22">
        <v>20</v>
      </c>
      <c r="J203" s="22">
        <v>67</v>
      </c>
      <c r="K203" s="22"/>
      <c r="L203" s="22">
        <v>24</v>
      </c>
      <c r="M203" s="31">
        <v>0.39400000000000002</v>
      </c>
      <c r="N203" s="32">
        <v>0.91900000000000004</v>
      </c>
      <c r="O203" s="32"/>
      <c r="P203" s="32"/>
      <c r="Q203" s="32"/>
      <c r="R203" s="33"/>
    </row>
    <row r="204" spans="1:18" x14ac:dyDescent="0.25">
      <c r="A204" s="49" t="s">
        <v>474</v>
      </c>
      <c r="B204" s="29" t="s">
        <v>59</v>
      </c>
      <c r="C204" s="30"/>
      <c r="D204" s="22"/>
      <c r="E204" s="22"/>
      <c r="F204" s="22">
        <v>603</v>
      </c>
      <c r="G204" s="22">
        <v>288</v>
      </c>
      <c r="H204" s="22">
        <v>659</v>
      </c>
      <c r="I204" s="22">
        <v>22</v>
      </c>
      <c r="J204" s="22">
        <v>92</v>
      </c>
      <c r="K204" s="22"/>
      <c r="L204" s="22">
        <v>24</v>
      </c>
      <c r="M204" s="31">
        <v>0.32700000000000001</v>
      </c>
      <c r="N204" s="32">
        <v>0.94499999999999995</v>
      </c>
      <c r="O204" s="32"/>
      <c r="P204" s="32"/>
      <c r="Q204" s="32"/>
      <c r="R204" s="33"/>
    </row>
    <row r="205" spans="1:18" x14ac:dyDescent="0.25">
      <c r="A205" s="49" t="s">
        <v>475</v>
      </c>
      <c r="B205" s="29" t="s">
        <v>60</v>
      </c>
      <c r="C205" s="30"/>
      <c r="D205" s="22"/>
      <c r="E205" s="22"/>
      <c r="F205" s="22">
        <v>617</v>
      </c>
      <c r="G205" s="22">
        <v>343</v>
      </c>
      <c r="H205" s="22">
        <v>722</v>
      </c>
      <c r="I205" s="22">
        <v>26</v>
      </c>
      <c r="J205" s="22">
        <v>95</v>
      </c>
      <c r="K205" s="22"/>
      <c r="L205" s="22">
        <v>25</v>
      </c>
      <c r="M205" s="31">
        <v>0.32700000000000001</v>
      </c>
      <c r="N205" s="32">
        <v>0.94499999999999995</v>
      </c>
      <c r="O205" s="32"/>
      <c r="P205" s="32"/>
      <c r="Q205" s="32"/>
      <c r="R205" s="33"/>
    </row>
    <row r="206" spans="1:18" x14ac:dyDescent="0.25">
      <c r="A206" s="49" t="s">
        <v>476</v>
      </c>
      <c r="B206" s="29" t="s">
        <v>61</v>
      </c>
      <c r="C206" s="30"/>
      <c r="D206" s="22"/>
      <c r="E206" s="22"/>
      <c r="F206" s="22">
        <v>714</v>
      </c>
      <c r="G206" s="22">
        <v>411</v>
      </c>
      <c r="H206" s="22">
        <v>879</v>
      </c>
      <c r="I206" s="22">
        <v>27</v>
      </c>
      <c r="J206" s="22">
        <v>123</v>
      </c>
      <c r="K206" s="22"/>
      <c r="L206" s="22">
        <v>27</v>
      </c>
      <c r="M206" s="31">
        <v>0.26700000000000002</v>
      </c>
      <c r="N206" s="32">
        <v>0.96399999999999997</v>
      </c>
      <c r="O206" s="32"/>
      <c r="P206" s="32"/>
      <c r="Q206" s="32"/>
      <c r="R206" s="33"/>
    </row>
    <row r="207" spans="1:18" x14ac:dyDescent="0.25">
      <c r="A207" s="49" t="s">
        <v>477</v>
      </c>
      <c r="B207" s="29" t="s">
        <v>62</v>
      </c>
      <c r="C207" s="30"/>
      <c r="D207" s="22"/>
      <c r="E207" s="22"/>
      <c r="F207" s="22">
        <v>830</v>
      </c>
      <c r="G207" s="22">
        <v>400</v>
      </c>
      <c r="H207" s="22">
        <v>931</v>
      </c>
      <c r="I207" s="22">
        <v>24</v>
      </c>
      <c r="J207" s="22">
        <v>155</v>
      </c>
      <c r="K207" s="22"/>
      <c r="L207" s="22">
        <v>26</v>
      </c>
      <c r="M207" s="31">
        <v>0.24299999999999999</v>
      </c>
      <c r="N207" s="32">
        <v>0.97</v>
      </c>
      <c r="O207" s="32"/>
      <c r="P207" s="32"/>
      <c r="Q207" s="32"/>
      <c r="R207" s="33"/>
    </row>
    <row r="208" spans="1:18" x14ac:dyDescent="0.25">
      <c r="A208" s="49" t="s">
        <v>478</v>
      </c>
      <c r="B208" s="29" t="s">
        <v>63</v>
      </c>
      <c r="C208" s="30"/>
      <c r="D208" s="22"/>
      <c r="E208" s="22"/>
      <c r="F208" s="22">
        <v>847</v>
      </c>
      <c r="G208" s="22">
        <v>440</v>
      </c>
      <c r="H208" s="22">
        <v>1180</v>
      </c>
      <c r="I208" s="22">
        <v>27</v>
      </c>
      <c r="J208" s="22">
        <v>159</v>
      </c>
      <c r="K208" s="22"/>
      <c r="L208" s="22">
        <v>28</v>
      </c>
      <c r="M208" s="31">
        <v>0.24299999999999999</v>
      </c>
      <c r="N208" s="32">
        <v>0.97</v>
      </c>
      <c r="O208" s="32"/>
      <c r="P208" s="32"/>
      <c r="Q208" s="32"/>
      <c r="R208" s="33"/>
    </row>
    <row r="209" spans="1:18" x14ac:dyDescent="0.25">
      <c r="A209" s="49" t="s">
        <v>479</v>
      </c>
      <c r="B209" s="29" t="s">
        <v>64</v>
      </c>
      <c r="C209" s="30"/>
      <c r="D209" s="22"/>
      <c r="E209" s="22"/>
      <c r="F209" s="22">
        <v>829</v>
      </c>
      <c r="G209" s="22">
        <v>462</v>
      </c>
      <c r="H209" s="22">
        <v>1181</v>
      </c>
      <c r="I209" s="22">
        <v>30</v>
      </c>
      <c r="J209" s="22">
        <v>158</v>
      </c>
      <c r="K209" s="22"/>
      <c r="L209" s="22">
        <v>28</v>
      </c>
      <c r="M209" s="31">
        <v>0.24299999999999999</v>
      </c>
      <c r="N209" s="32">
        <v>0.97</v>
      </c>
      <c r="O209" s="32"/>
      <c r="P209" s="32"/>
      <c r="Q209" s="32"/>
      <c r="R209" s="33"/>
    </row>
    <row r="210" spans="1:18" x14ac:dyDescent="0.25">
      <c r="A210" s="49" t="s">
        <v>480</v>
      </c>
      <c r="B210" s="29" t="s">
        <v>65</v>
      </c>
      <c r="C210" s="30"/>
      <c r="D210" s="22"/>
      <c r="E210" s="22"/>
      <c r="F210" s="22">
        <v>948</v>
      </c>
      <c r="G210" s="22">
        <v>495</v>
      </c>
      <c r="H210" s="22">
        <v>1182</v>
      </c>
      <c r="I210" s="22">
        <v>35</v>
      </c>
      <c r="J210" s="22">
        <v>172</v>
      </c>
      <c r="K210" s="22"/>
      <c r="L210" s="22">
        <v>31</v>
      </c>
      <c r="M210" s="31">
        <v>0.24299999999999999</v>
      </c>
      <c r="N210" s="32">
        <v>0.97</v>
      </c>
      <c r="O210" s="32"/>
      <c r="P210" s="32"/>
      <c r="Q210" s="32"/>
      <c r="R210" s="33"/>
    </row>
    <row r="211" spans="1:18" x14ac:dyDescent="0.25">
      <c r="A211" s="49" t="s">
        <v>481</v>
      </c>
      <c r="B211" s="29" t="s">
        <v>66</v>
      </c>
      <c r="C211" s="30"/>
      <c r="D211" s="22"/>
      <c r="E211" s="22"/>
      <c r="F211" s="22">
        <v>1135</v>
      </c>
      <c r="G211" s="22">
        <v>490</v>
      </c>
      <c r="H211" s="22">
        <v>1201</v>
      </c>
      <c r="I211" s="22">
        <v>24</v>
      </c>
      <c r="J211" s="22">
        <v>228</v>
      </c>
      <c r="K211" s="22"/>
      <c r="L211" s="22">
        <v>29</v>
      </c>
      <c r="M211" s="31">
        <v>0.19400000000000001</v>
      </c>
      <c r="N211" s="32">
        <v>0.98099999999999998</v>
      </c>
      <c r="O211" s="32"/>
      <c r="P211" s="32"/>
      <c r="Q211" s="32"/>
      <c r="R211" s="33"/>
    </row>
    <row r="212" spans="1:18" x14ac:dyDescent="0.25">
      <c r="A212" s="49" t="s">
        <v>482</v>
      </c>
      <c r="B212" s="29" t="s">
        <v>67</v>
      </c>
      <c r="C212" s="30"/>
      <c r="D212" s="22"/>
      <c r="E212" s="22"/>
      <c r="F212" s="22">
        <v>1161</v>
      </c>
      <c r="G212" s="22">
        <v>535</v>
      </c>
      <c r="H212" s="22">
        <v>1351</v>
      </c>
      <c r="I212" s="22">
        <v>28</v>
      </c>
      <c r="J212" s="22">
        <v>237</v>
      </c>
      <c r="K212" s="22"/>
      <c r="L212" s="22">
        <v>31</v>
      </c>
      <c r="M212" s="31">
        <v>0.19400000000000001</v>
      </c>
      <c r="N212" s="32">
        <v>0.98099999999999998</v>
      </c>
      <c r="O212" s="32"/>
      <c r="P212" s="32"/>
      <c r="Q212" s="32"/>
      <c r="R212" s="33"/>
    </row>
    <row r="213" spans="1:18" x14ac:dyDescent="0.25">
      <c r="A213" s="49" t="s">
        <v>483</v>
      </c>
      <c r="B213" s="29" t="s">
        <v>68</v>
      </c>
      <c r="C213" s="30"/>
      <c r="D213" s="22"/>
      <c r="E213" s="22"/>
      <c r="F213" s="22">
        <v>1168</v>
      </c>
      <c r="G213" s="22">
        <v>530</v>
      </c>
      <c r="H213" s="22">
        <v>1352</v>
      </c>
      <c r="I213" s="22">
        <v>34</v>
      </c>
      <c r="J213" s="22">
        <v>241</v>
      </c>
      <c r="K213" s="22"/>
      <c r="L213" s="22">
        <v>33</v>
      </c>
      <c r="M213" s="31">
        <v>0.19400000000000001</v>
      </c>
      <c r="N213" s="32">
        <v>0.98099999999999998</v>
      </c>
      <c r="O213" s="32"/>
      <c r="P213" s="32"/>
      <c r="Q213" s="32"/>
      <c r="R213" s="33"/>
    </row>
    <row r="214" spans="1:18" x14ac:dyDescent="0.25">
      <c r="A214" s="49" t="s">
        <v>484</v>
      </c>
      <c r="B214" s="29" t="s">
        <v>69</v>
      </c>
      <c r="C214" s="30"/>
      <c r="D214" s="22"/>
      <c r="E214" s="22"/>
      <c r="F214" s="22">
        <v>1167</v>
      </c>
      <c r="G214" s="22">
        <v>543</v>
      </c>
      <c r="H214" s="22">
        <v>1352</v>
      </c>
      <c r="I214" s="22">
        <v>41</v>
      </c>
      <c r="J214" s="22">
        <v>241</v>
      </c>
      <c r="K214" s="22"/>
      <c r="L214" s="22">
        <v>34</v>
      </c>
      <c r="M214" s="31">
        <v>0.19400000000000001</v>
      </c>
      <c r="N214" s="32">
        <v>0.98099999999999998</v>
      </c>
      <c r="O214" s="32"/>
      <c r="P214" s="32"/>
      <c r="Q214" s="32"/>
      <c r="R214" s="33"/>
    </row>
    <row r="215" spans="1:18" x14ac:dyDescent="0.25">
      <c r="A215" s="49" t="s">
        <v>485</v>
      </c>
      <c r="B215" s="29" t="s">
        <v>197</v>
      </c>
      <c r="C215" s="30"/>
      <c r="D215" s="22"/>
      <c r="E215" s="22"/>
      <c r="F215" s="22">
        <v>284</v>
      </c>
      <c r="G215" s="22">
        <v>270</v>
      </c>
      <c r="H215" s="22">
        <v>296</v>
      </c>
      <c r="I215" s="22">
        <v>8</v>
      </c>
      <c r="J215" s="22">
        <v>15</v>
      </c>
      <c r="K215" s="22"/>
      <c r="L215" s="22">
        <v>23</v>
      </c>
      <c r="M215" s="31">
        <v>0.78900000000000003</v>
      </c>
      <c r="N215" s="32">
        <v>0.61399999999999999</v>
      </c>
      <c r="O215" s="32"/>
      <c r="P215" s="32"/>
      <c r="Q215" s="32"/>
      <c r="R215" s="33"/>
    </row>
    <row r="216" spans="1:18" x14ac:dyDescent="0.25">
      <c r="A216" s="49" t="s">
        <v>486</v>
      </c>
      <c r="B216" s="29" t="s">
        <v>77</v>
      </c>
      <c r="C216" s="30"/>
      <c r="D216" s="22"/>
      <c r="E216" s="22"/>
      <c r="F216" s="22">
        <v>454</v>
      </c>
      <c r="G216" s="22">
        <v>238</v>
      </c>
      <c r="H216" s="22">
        <v>369</v>
      </c>
      <c r="I216" s="22">
        <v>10</v>
      </c>
      <c r="J216" s="22">
        <v>44</v>
      </c>
      <c r="K216" s="22"/>
      <c r="L216" s="22">
        <v>22</v>
      </c>
      <c r="M216" s="31">
        <v>0.56899999999999995</v>
      </c>
      <c r="N216" s="32">
        <v>0.82199999999999995</v>
      </c>
      <c r="O216" s="32"/>
      <c r="P216" s="32"/>
      <c r="Q216" s="32"/>
      <c r="R216" s="33"/>
    </row>
    <row r="217" spans="1:18" x14ac:dyDescent="0.25">
      <c r="A217" s="49" t="s">
        <v>487</v>
      </c>
      <c r="B217" s="29" t="s">
        <v>76</v>
      </c>
      <c r="C217" s="30"/>
      <c r="D217" s="22"/>
      <c r="E217" s="22"/>
      <c r="F217" s="22">
        <v>730</v>
      </c>
      <c r="G217" s="22">
        <v>383</v>
      </c>
      <c r="H217" s="22">
        <v>723</v>
      </c>
      <c r="I217" s="22">
        <v>24</v>
      </c>
      <c r="J217" s="22">
        <v>107</v>
      </c>
      <c r="K217" s="22"/>
      <c r="L217" s="22">
        <v>26</v>
      </c>
      <c r="M217" s="31">
        <v>0.32700000000000001</v>
      </c>
      <c r="N217" s="32">
        <v>0.94499999999999995</v>
      </c>
      <c r="O217" s="32"/>
      <c r="P217" s="32"/>
      <c r="Q217" s="32"/>
      <c r="R217" s="33"/>
    </row>
    <row r="218" spans="1:18" x14ac:dyDescent="0.25">
      <c r="A218" s="49" t="s">
        <v>488</v>
      </c>
      <c r="B218" s="29" t="s">
        <v>78</v>
      </c>
      <c r="C218" s="30"/>
      <c r="D218" s="22"/>
      <c r="E218" s="22"/>
      <c r="F218" s="22">
        <v>816</v>
      </c>
      <c r="G218" s="22">
        <v>440</v>
      </c>
      <c r="H218" s="22">
        <v>844</v>
      </c>
      <c r="I218" s="22">
        <v>28</v>
      </c>
      <c r="J218" s="22">
        <v>116</v>
      </c>
      <c r="K218" s="22"/>
      <c r="L218" s="22">
        <v>29</v>
      </c>
      <c r="M218" s="31">
        <v>0.32700000000000001</v>
      </c>
      <c r="N218" s="32">
        <v>0.94499999999999995</v>
      </c>
      <c r="O218" s="32"/>
      <c r="P218" s="32"/>
      <c r="Q218" s="32"/>
      <c r="R218" s="33"/>
    </row>
    <row r="219" spans="1:18" x14ac:dyDescent="0.25">
      <c r="A219" s="49" t="s">
        <v>489</v>
      </c>
      <c r="B219" s="29" t="s">
        <v>490</v>
      </c>
      <c r="C219" s="30"/>
      <c r="D219" s="22"/>
      <c r="E219" s="22"/>
      <c r="F219" s="22">
        <v>2098</v>
      </c>
      <c r="G219" s="22">
        <v>926</v>
      </c>
      <c r="H219" s="22">
        <v>2463</v>
      </c>
      <c r="I219" s="22">
        <v>146</v>
      </c>
      <c r="J219" s="22">
        <v>524</v>
      </c>
      <c r="K219" s="22"/>
      <c r="L219" s="22">
        <v>89</v>
      </c>
      <c r="M219" s="31">
        <v>0.223</v>
      </c>
      <c r="N219" s="32">
        <v>0.97499999999999998</v>
      </c>
      <c r="O219" s="32"/>
      <c r="P219" s="32"/>
      <c r="Q219" s="32"/>
      <c r="R219" s="33"/>
    </row>
    <row r="220" spans="1:18" x14ac:dyDescent="0.25">
      <c r="A220" s="49" t="s">
        <v>491</v>
      </c>
      <c r="B220" s="29" t="s">
        <v>492</v>
      </c>
      <c r="C220" s="30"/>
      <c r="D220" s="22"/>
      <c r="E220" s="22"/>
      <c r="F220" s="22">
        <v>1820</v>
      </c>
      <c r="G220" s="22">
        <v>753</v>
      </c>
      <c r="H220" s="22">
        <v>1945</v>
      </c>
      <c r="I220" s="22">
        <v>44</v>
      </c>
      <c r="J220" s="22">
        <v>434</v>
      </c>
      <c r="K220" s="22"/>
      <c r="L220" s="22">
        <v>56</v>
      </c>
      <c r="M220" s="31">
        <v>0.219</v>
      </c>
      <c r="N220" s="32">
        <v>0.97599999999999998</v>
      </c>
      <c r="O220" s="32"/>
      <c r="P220" s="32"/>
      <c r="Q220" s="32"/>
      <c r="R220" s="33"/>
    </row>
    <row r="221" spans="1:18" x14ac:dyDescent="0.25">
      <c r="A221" s="49" t="s">
        <v>493</v>
      </c>
      <c r="B221" s="29" t="s">
        <v>494</v>
      </c>
      <c r="C221" s="30"/>
      <c r="D221" s="22"/>
      <c r="E221" s="22"/>
      <c r="F221" s="22">
        <v>1874</v>
      </c>
      <c r="G221" s="22">
        <v>807</v>
      </c>
      <c r="H221" s="22">
        <v>2189</v>
      </c>
      <c r="I221" s="22">
        <v>134</v>
      </c>
      <c r="J221" s="22">
        <v>474</v>
      </c>
      <c r="K221" s="22"/>
      <c r="L221" s="22">
        <v>57</v>
      </c>
      <c r="M221" s="31">
        <v>0.193</v>
      </c>
      <c r="N221" s="32">
        <v>0.98099999999999998</v>
      </c>
      <c r="O221" s="32"/>
      <c r="P221" s="32"/>
      <c r="Q221" s="32"/>
      <c r="R221" s="33"/>
    </row>
    <row r="222" spans="1:18" x14ac:dyDescent="0.25">
      <c r="A222" s="49" t="s">
        <v>495</v>
      </c>
      <c r="B222" s="29" t="s">
        <v>496</v>
      </c>
      <c r="C222" s="30"/>
      <c r="D222" s="22"/>
      <c r="E222" s="22"/>
      <c r="F222" s="22">
        <v>2230</v>
      </c>
      <c r="G222" s="22">
        <v>737</v>
      </c>
      <c r="H222" s="22">
        <v>3160</v>
      </c>
      <c r="I222" s="22">
        <v>97</v>
      </c>
      <c r="J222" s="22">
        <v>820</v>
      </c>
      <c r="K222" s="22"/>
      <c r="L222" s="22">
        <v>60</v>
      </c>
      <c r="M222" s="31">
        <v>0.13</v>
      </c>
      <c r="N222" s="32">
        <v>0.99199999999999999</v>
      </c>
      <c r="O222" s="32"/>
      <c r="P222" s="32"/>
      <c r="Q222" s="32"/>
      <c r="R222" s="33"/>
    </row>
    <row r="223" spans="1:18" x14ac:dyDescent="0.25">
      <c r="A223" s="49" t="s">
        <v>497</v>
      </c>
      <c r="B223" s="29" t="s">
        <v>498</v>
      </c>
      <c r="C223" s="30"/>
      <c r="D223" s="22"/>
      <c r="E223" s="22"/>
      <c r="F223" s="22">
        <v>2741</v>
      </c>
      <c r="G223" s="22">
        <v>768</v>
      </c>
      <c r="H223" s="22">
        <v>3649</v>
      </c>
      <c r="I223" s="22">
        <v>104</v>
      </c>
      <c r="J223" s="22">
        <v>1053</v>
      </c>
      <c r="K223" s="22"/>
      <c r="L223" s="22">
        <v>67</v>
      </c>
      <c r="M223" s="31">
        <v>0.112</v>
      </c>
      <c r="N223" s="32">
        <v>0.99399999999999999</v>
      </c>
      <c r="O223" s="32"/>
      <c r="P223" s="32"/>
      <c r="Q223" s="32"/>
      <c r="R223" s="33"/>
    </row>
    <row r="224" spans="1:18" x14ac:dyDescent="0.25">
      <c r="A224" s="49" t="s">
        <v>499</v>
      </c>
      <c r="B224" s="29" t="s">
        <v>306</v>
      </c>
      <c r="C224" s="30"/>
      <c r="D224" s="22"/>
      <c r="E224" s="22"/>
      <c r="F224" s="22">
        <v>2893</v>
      </c>
      <c r="G224" s="22">
        <v>748</v>
      </c>
      <c r="H224" s="22">
        <v>3892</v>
      </c>
      <c r="I224" s="22">
        <v>101</v>
      </c>
      <c r="J224" s="22">
        <v>1207</v>
      </c>
      <c r="K224" s="22"/>
      <c r="L224" s="22">
        <v>66</v>
      </c>
      <c r="M224" s="31">
        <v>0.104</v>
      </c>
      <c r="N224" s="32">
        <v>0.995</v>
      </c>
      <c r="O224" s="32"/>
      <c r="P224" s="32"/>
      <c r="Q224" s="32"/>
      <c r="R224" s="33"/>
    </row>
    <row r="225" spans="1:18" x14ac:dyDescent="0.25">
      <c r="A225" s="50" t="s">
        <v>500</v>
      </c>
      <c r="B225" s="29" t="s">
        <v>106</v>
      </c>
      <c r="C225" s="30"/>
      <c r="D225" s="22"/>
      <c r="E225" s="22"/>
      <c r="F225" s="22">
        <v>417</v>
      </c>
      <c r="G225" s="22">
        <v>29</v>
      </c>
      <c r="H225" s="22">
        <v>109</v>
      </c>
      <c r="I225" s="22">
        <v>1</v>
      </c>
      <c r="J225" s="22">
        <v>17</v>
      </c>
      <c r="K225" s="22"/>
      <c r="L225" s="22">
        <v>5</v>
      </c>
      <c r="M225" s="31">
        <v>0.69199999999999995</v>
      </c>
      <c r="N225" s="32">
        <v>0.72199999999999998</v>
      </c>
      <c r="O225" s="32"/>
      <c r="P225" s="32"/>
      <c r="Q225" s="32"/>
      <c r="R225" s="33"/>
    </row>
    <row r="226" spans="1:18" x14ac:dyDescent="0.25">
      <c r="A226" s="50" t="s">
        <v>501</v>
      </c>
      <c r="B226" s="29">
        <v>18</v>
      </c>
      <c r="C226" s="30"/>
      <c r="D226" s="22"/>
      <c r="E226" s="22"/>
      <c r="F226" s="22">
        <v>418</v>
      </c>
      <c r="G226" s="22">
        <v>47</v>
      </c>
      <c r="H226" s="22">
        <v>162</v>
      </c>
      <c r="I226" s="22">
        <v>1</v>
      </c>
      <c r="J226" s="22">
        <v>23</v>
      </c>
      <c r="K226" s="22"/>
      <c r="L226" s="22">
        <v>7</v>
      </c>
      <c r="M226" s="31">
        <v>0.65900000000000003</v>
      </c>
      <c r="N226" s="32">
        <v>0.753</v>
      </c>
      <c r="O226" s="32"/>
      <c r="P226" s="32"/>
      <c r="Q226" s="32"/>
      <c r="R226" s="33"/>
    </row>
    <row r="227" spans="1:18" x14ac:dyDescent="0.25">
      <c r="A227" s="50" t="s">
        <v>502</v>
      </c>
      <c r="B227" s="29" t="s">
        <v>37</v>
      </c>
      <c r="C227" s="30"/>
      <c r="D227" s="22"/>
      <c r="E227" s="22"/>
      <c r="F227" s="22">
        <v>419</v>
      </c>
      <c r="G227" s="22">
        <v>55</v>
      </c>
      <c r="H227" s="22">
        <v>195</v>
      </c>
      <c r="I227" s="22">
        <v>2</v>
      </c>
      <c r="J227" s="22">
        <v>27</v>
      </c>
      <c r="K227" s="22"/>
      <c r="L227" s="22">
        <v>8</v>
      </c>
      <c r="M227" s="31">
        <v>0.747</v>
      </c>
      <c r="N227" s="32">
        <v>0.66400000000000003</v>
      </c>
      <c r="O227" s="32"/>
      <c r="P227" s="32"/>
      <c r="Q227" s="32"/>
      <c r="R227" s="33"/>
    </row>
    <row r="228" spans="1:18" x14ac:dyDescent="0.25">
      <c r="A228" s="50" t="s">
        <v>503</v>
      </c>
      <c r="B228" s="29" t="s">
        <v>38</v>
      </c>
      <c r="C228" s="30"/>
      <c r="D228" s="22"/>
      <c r="E228" s="22"/>
      <c r="F228" s="22">
        <v>419</v>
      </c>
      <c r="G228" s="22">
        <v>66</v>
      </c>
      <c r="H228" s="22">
        <v>233</v>
      </c>
      <c r="I228" s="22">
        <v>2</v>
      </c>
      <c r="J228" s="22">
        <v>31</v>
      </c>
      <c r="K228" s="22"/>
      <c r="L228" s="22">
        <v>11</v>
      </c>
      <c r="M228" s="31">
        <v>0.77700000000000002</v>
      </c>
      <c r="N228" s="32">
        <v>0.63</v>
      </c>
      <c r="O228" s="32"/>
      <c r="P228" s="32"/>
      <c r="Q228" s="32"/>
      <c r="R228" s="33"/>
    </row>
    <row r="229" spans="1:18" x14ac:dyDescent="0.25">
      <c r="A229" s="50" t="s">
        <v>504</v>
      </c>
      <c r="B229" s="29" t="s">
        <v>39</v>
      </c>
      <c r="C229" s="30"/>
      <c r="D229" s="22"/>
      <c r="E229" s="22"/>
      <c r="F229" s="22">
        <v>522</v>
      </c>
      <c r="G229" s="22">
        <v>77</v>
      </c>
      <c r="H229" s="22">
        <v>223</v>
      </c>
      <c r="I229" s="22">
        <v>3</v>
      </c>
      <c r="J229" s="22">
        <v>42</v>
      </c>
      <c r="K229" s="22"/>
      <c r="L229" s="22">
        <v>10</v>
      </c>
      <c r="M229" s="31">
        <v>0.73099999999999998</v>
      </c>
      <c r="N229" s="32">
        <v>0.68200000000000005</v>
      </c>
      <c r="O229" s="32"/>
      <c r="P229" s="32"/>
      <c r="Q229" s="32"/>
      <c r="R229" s="33"/>
    </row>
    <row r="230" spans="1:18" x14ac:dyDescent="0.25">
      <c r="A230" s="50" t="s">
        <v>505</v>
      </c>
      <c r="B230" s="29" t="s">
        <v>40</v>
      </c>
      <c r="C230" s="30"/>
      <c r="D230" s="22"/>
      <c r="E230" s="22"/>
      <c r="F230" s="22">
        <v>556</v>
      </c>
      <c r="G230" s="22">
        <v>88</v>
      </c>
      <c r="H230" s="22">
        <v>269</v>
      </c>
      <c r="I230" s="22">
        <v>3</v>
      </c>
      <c r="J230" s="22">
        <v>45</v>
      </c>
      <c r="K230" s="22"/>
      <c r="L230" s="22">
        <v>12</v>
      </c>
      <c r="M230" s="31">
        <v>0.73099999999999998</v>
      </c>
      <c r="N230" s="32">
        <v>0.68200000000000005</v>
      </c>
      <c r="O230" s="32"/>
      <c r="P230" s="32"/>
      <c r="Q230" s="32"/>
      <c r="R230" s="33"/>
    </row>
    <row r="231" spans="1:18" x14ac:dyDescent="0.25">
      <c r="A231" s="50" t="s">
        <v>506</v>
      </c>
      <c r="B231" s="29" t="s">
        <v>41</v>
      </c>
      <c r="C231" s="30"/>
      <c r="D231" s="22"/>
      <c r="E231" s="22"/>
      <c r="F231" s="22">
        <v>634</v>
      </c>
      <c r="G231" s="22">
        <v>103</v>
      </c>
      <c r="H231" s="22">
        <v>294</v>
      </c>
      <c r="I231" s="22">
        <v>4</v>
      </c>
      <c r="J231" s="22">
        <v>70</v>
      </c>
      <c r="K231" s="22"/>
      <c r="L231" s="22">
        <v>14</v>
      </c>
      <c r="M231" s="31">
        <v>0.42799999999999999</v>
      </c>
      <c r="N231" s="32">
        <v>0.90400000000000003</v>
      </c>
      <c r="O231" s="32"/>
      <c r="P231" s="32"/>
      <c r="Q231" s="32"/>
      <c r="R231" s="33"/>
    </row>
    <row r="232" spans="1:18" x14ac:dyDescent="0.25">
      <c r="A232" s="50" t="s">
        <v>507</v>
      </c>
      <c r="B232" s="29" t="s">
        <v>42</v>
      </c>
      <c r="C232" s="30"/>
      <c r="D232" s="22"/>
      <c r="E232" s="22"/>
      <c r="F232" s="22">
        <v>687</v>
      </c>
      <c r="G232" s="22">
        <v>118</v>
      </c>
      <c r="H232" s="22">
        <v>350</v>
      </c>
      <c r="I232" s="22">
        <v>4</v>
      </c>
      <c r="J232" s="22">
        <v>73</v>
      </c>
      <c r="K232" s="22"/>
      <c r="L232" s="22">
        <v>15</v>
      </c>
      <c r="M232" s="31">
        <v>0.42399999999999999</v>
      </c>
      <c r="N232" s="32">
        <v>0.90500000000000003</v>
      </c>
      <c r="O232" s="32"/>
      <c r="P232" s="32"/>
      <c r="Q232" s="32"/>
      <c r="R232" s="33"/>
    </row>
    <row r="233" spans="1:18" x14ac:dyDescent="0.25">
      <c r="A233" s="50" t="s">
        <v>508</v>
      </c>
      <c r="B233" s="29" t="s">
        <v>43</v>
      </c>
      <c r="C233" s="30"/>
      <c r="D233" s="22"/>
      <c r="E233" s="22"/>
      <c r="F233" s="22">
        <v>856</v>
      </c>
      <c r="G233" s="22">
        <v>148</v>
      </c>
      <c r="H233" s="22">
        <v>376</v>
      </c>
      <c r="I233" s="22">
        <v>7</v>
      </c>
      <c r="J233" s="22">
        <v>105</v>
      </c>
      <c r="K233" s="22"/>
      <c r="L233" s="22">
        <v>20</v>
      </c>
      <c r="M233" s="31">
        <v>0.38500000000000001</v>
      </c>
      <c r="N233" s="32">
        <v>0.92300000000000004</v>
      </c>
      <c r="O233" s="32"/>
      <c r="P233" s="32"/>
      <c r="Q233" s="32"/>
      <c r="R233" s="33"/>
    </row>
    <row r="234" spans="1:18" x14ac:dyDescent="0.25">
      <c r="A234" s="50" t="s">
        <v>509</v>
      </c>
      <c r="B234" s="29" t="s">
        <v>44</v>
      </c>
      <c r="C234" s="30"/>
      <c r="D234" s="22"/>
      <c r="E234" s="22"/>
      <c r="F234" s="22">
        <v>873</v>
      </c>
      <c r="G234" s="22">
        <v>172</v>
      </c>
      <c r="H234" s="22">
        <v>421</v>
      </c>
      <c r="I234" s="22">
        <v>9</v>
      </c>
      <c r="J234" s="22">
        <v>108</v>
      </c>
      <c r="K234" s="22"/>
      <c r="L234" s="22">
        <v>22</v>
      </c>
      <c r="M234" s="31">
        <v>0.38500000000000001</v>
      </c>
      <c r="N234" s="32">
        <v>0.92300000000000004</v>
      </c>
      <c r="O234" s="32"/>
      <c r="P234" s="32"/>
      <c r="Q234" s="32"/>
      <c r="R234" s="33"/>
    </row>
    <row r="235" spans="1:18" x14ac:dyDescent="0.25">
      <c r="A235" s="50" t="s">
        <v>510</v>
      </c>
      <c r="B235" s="29" t="s">
        <v>45</v>
      </c>
      <c r="C235" s="30"/>
      <c r="D235" s="22"/>
      <c r="E235" s="22"/>
      <c r="F235" s="22">
        <v>890</v>
      </c>
      <c r="G235" s="22">
        <v>207</v>
      </c>
      <c r="H235" s="22">
        <v>477</v>
      </c>
      <c r="I235" s="22">
        <v>9</v>
      </c>
      <c r="J235" s="22">
        <v>123</v>
      </c>
      <c r="K235" s="22"/>
      <c r="L235" s="22">
        <v>23</v>
      </c>
      <c r="M235" s="31">
        <v>0.37</v>
      </c>
      <c r="N235" s="32">
        <v>0.92900000000000005</v>
      </c>
      <c r="O235" s="32"/>
      <c r="P235" s="32"/>
      <c r="Q235" s="32"/>
      <c r="R235" s="33"/>
    </row>
    <row r="236" spans="1:18" x14ac:dyDescent="0.25">
      <c r="A236" s="50" t="s">
        <v>511</v>
      </c>
      <c r="B236" s="29" t="s">
        <v>46</v>
      </c>
      <c r="C236" s="30"/>
      <c r="D236" s="22"/>
      <c r="E236" s="22"/>
      <c r="F236" s="22">
        <v>990</v>
      </c>
      <c r="G236" s="22">
        <v>246</v>
      </c>
      <c r="H236" s="22">
        <v>552</v>
      </c>
      <c r="I236" s="22">
        <v>10</v>
      </c>
      <c r="J236" s="22">
        <v>131</v>
      </c>
      <c r="K236" s="22"/>
      <c r="L236" s="22">
        <v>25</v>
      </c>
      <c r="M236" s="31">
        <v>0.35399999999999998</v>
      </c>
      <c r="N236" s="32">
        <v>0.93500000000000005</v>
      </c>
      <c r="O236" s="32"/>
      <c r="P236" s="32"/>
      <c r="Q236" s="32"/>
      <c r="R236" s="33"/>
    </row>
    <row r="237" spans="1:18" x14ac:dyDescent="0.25">
      <c r="A237" s="50" t="s">
        <v>512</v>
      </c>
      <c r="B237" s="29" t="s">
        <v>47</v>
      </c>
      <c r="C237" s="30"/>
      <c r="D237" s="22"/>
      <c r="E237" s="22"/>
      <c r="F237" s="22">
        <v>1209</v>
      </c>
      <c r="G237" s="22">
        <v>212</v>
      </c>
      <c r="H237" s="22">
        <v>609</v>
      </c>
      <c r="I237" s="22">
        <v>10</v>
      </c>
      <c r="J237" s="22">
        <v>180</v>
      </c>
      <c r="K237" s="22"/>
      <c r="L237" s="22">
        <v>28</v>
      </c>
      <c r="M237" s="31">
        <v>0.252</v>
      </c>
      <c r="N237" s="32">
        <v>0.96799999999999997</v>
      </c>
      <c r="O237" s="32"/>
      <c r="P237" s="32"/>
      <c r="Q237" s="32"/>
      <c r="R237" s="33"/>
    </row>
    <row r="238" spans="1:18" x14ac:dyDescent="0.25">
      <c r="A238" s="50" t="s">
        <v>513</v>
      </c>
      <c r="B238" s="29" t="s">
        <v>48</v>
      </c>
      <c r="C238" s="30"/>
      <c r="D238" s="22"/>
      <c r="E238" s="22"/>
      <c r="F238" s="22">
        <v>1217</v>
      </c>
      <c r="G238" s="22">
        <v>247</v>
      </c>
      <c r="H238" s="22">
        <v>621</v>
      </c>
      <c r="I238" s="22">
        <v>11</v>
      </c>
      <c r="J238" s="22">
        <v>180</v>
      </c>
      <c r="K238" s="22"/>
      <c r="L238" s="22">
        <v>29</v>
      </c>
      <c r="M238" s="31">
        <v>0.254</v>
      </c>
      <c r="N238" s="32">
        <v>0.96699999999999997</v>
      </c>
      <c r="O238" s="32"/>
      <c r="P238" s="32"/>
      <c r="Q238" s="32"/>
      <c r="R238" s="33"/>
    </row>
    <row r="239" spans="1:18" x14ac:dyDescent="0.25">
      <c r="A239" s="50" t="s">
        <v>514</v>
      </c>
      <c r="B239" s="29" t="s">
        <v>49</v>
      </c>
      <c r="C239" s="30"/>
      <c r="D239" s="22"/>
      <c r="E239" s="22"/>
      <c r="F239" s="22">
        <v>1202</v>
      </c>
      <c r="G239" s="22">
        <v>199</v>
      </c>
      <c r="H239" s="22">
        <v>667</v>
      </c>
      <c r="I239" s="22">
        <v>10</v>
      </c>
      <c r="J239" s="22">
        <v>190</v>
      </c>
      <c r="K239" s="22"/>
      <c r="L239" s="22">
        <v>26</v>
      </c>
      <c r="M239" s="31">
        <v>0.25</v>
      </c>
      <c r="N239" s="32">
        <v>0.96799999999999997</v>
      </c>
      <c r="O239" s="32"/>
      <c r="P239" s="32"/>
      <c r="Q239" s="32"/>
      <c r="R239" s="33"/>
    </row>
    <row r="240" spans="1:18" x14ac:dyDescent="0.25">
      <c r="A240" s="50" t="s">
        <v>515</v>
      </c>
      <c r="B240" s="29" t="s">
        <v>50</v>
      </c>
      <c r="C240" s="30"/>
      <c r="D240" s="22"/>
      <c r="E240" s="22"/>
      <c r="F240" s="22">
        <v>1198</v>
      </c>
      <c r="G240" s="22">
        <v>231</v>
      </c>
      <c r="H240" s="22">
        <v>673</v>
      </c>
      <c r="I240" s="22">
        <v>12</v>
      </c>
      <c r="J240" s="22">
        <v>190</v>
      </c>
      <c r="K240" s="22"/>
      <c r="L240" s="22">
        <v>27</v>
      </c>
      <c r="M240" s="31">
        <v>0.25</v>
      </c>
      <c r="N240" s="32">
        <v>0.96799999999999997</v>
      </c>
      <c r="O240" s="32"/>
      <c r="P240" s="32"/>
      <c r="Q240" s="32"/>
      <c r="R240" s="33"/>
    </row>
    <row r="241" spans="1:18" x14ac:dyDescent="0.25">
      <c r="A241" s="50" t="s">
        <v>516</v>
      </c>
      <c r="B241" s="29" t="s">
        <v>121</v>
      </c>
      <c r="C241" s="30"/>
      <c r="D241" s="22"/>
      <c r="E241" s="22"/>
      <c r="F241" s="22">
        <v>1283</v>
      </c>
      <c r="G241" s="22">
        <v>266</v>
      </c>
      <c r="H241" s="22">
        <v>844</v>
      </c>
      <c r="I241" s="22">
        <v>14</v>
      </c>
      <c r="J241" s="22">
        <v>205</v>
      </c>
      <c r="K241" s="22"/>
      <c r="L241" s="22">
        <v>28</v>
      </c>
      <c r="M241" s="31">
        <v>0.25</v>
      </c>
      <c r="N241" s="32">
        <v>0.96799999999999997</v>
      </c>
      <c r="O241" s="32"/>
      <c r="P241" s="32"/>
      <c r="Q241" s="32"/>
      <c r="R241" s="33"/>
    </row>
    <row r="242" spans="1:18" x14ac:dyDescent="0.25">
      <c r="A242" s="50" t="s">
        <v>517</v>
      </c>
      <c r="B242" s="29" t="s">
        <v>51</v>
      </c>
      <c r="C242" s="30"/>
      <c r="D242" s="22"/>
      <c r="E242" s="22"/>
      <c r="F242" s="22">
        <v>1586</v>
      </c>
      <c r="G242" s="22">
        <v>219</v>
      </c>
      <c r="H242" s="22">
        <v>1006</v>
      </c>
      <c r="I242" s="22">
        <v>14</v>
      </c>
      <c r="J242" s="22">
        <v>289</v>
      </c>
      <c r="K242" s="22"/>
      <c r="L242" s="22">
        <v>34</v>
      </c>
      <c r="M242" s="31">
        <v>0.246</v>
      </c>
      <c r="N242" s="32">
        <v>0.96899999999999997</v>
      </c>
      <c r="O242" s="32"/>
      <c r="P242" s="32"/>
      <c r="Q242" s="32"/>
      <c r="R242" s="33"/>
    </row>
    <row r="243" spans="1:18" x14ac:dyDescent="0.25">
      <c r="A243" s="50" t="s">
        <v>518</v>
      </c>
      <c r="B243" s="29" t="s">
        <v>52</v>
      </c>
      <c r="C243" s="30"/>
      <c r="D243" s="22"/>
      <c r="E243" s="22"/>
      <c r="F243" s="22">
        <v>1621</v>
      </c>
      <c r="G243" s="22">
        <v>251</v>
      </c>
      <c r="H243" s="22">
        <v>1037</v>
      </c>
      <c r="I243" s="22">
        <v>15</v>
      </c>
      <c r="J243" s="22">
        <v>289</v>
      </c>
      <c r="K243" s="22"/>
      <c r="L243" s="22">
        <v>35</v>
      </c>
      <c r="M243" s="31">
        <v>0.246</v>
      </c>
      <c r="N243" s="32">
        <v>0.96899999999999997</v>
      </c>
      <c r="O243" s="32"/>
      <c r="P243" s="32"/>
      <c r="Q243" s="32"/>
      <c r="R243" s="33"/>
    </row>
    <row r="244" spans="1:18" x14ac:dyDescent="0.25">
      <c r="A244" s="50" t="s">
        <v>519</v>
      </c>
      <c r="B244" s="29" t="s">
        <v>53</v>
      </c>
      <c r="C244" s="30"/>
      <c r="D244" s="22"/>
      <c r="E244" s="22"/>
      <c r="F244" s="22">
        <v>418</v>
      </c>
      <c r="G244" s="22">
        <v>139</v>
      </c>
      <c r="H244" s="22">
        <v>214</v>
      </c>
      <c r="I244" s="22">
        <v>5</v>
      </c>
      <c r="J244" s="22">
        <v>32</v>
      </c>
      <c r="K244" s="22"/>
      <c r="L244" s="22">
        <v>15</v>
      </c>
      <c r="M244" s="31">
        <v>0.76400000000000001</v>
      </c>
      <c r="N244" s="32">
        <v>0.64500000000000002</v>
      </c>
      <c r="O244" s="32"/>
      <c r="P244" s="32"/>
      <c r="Q244" s="32"/>
      <c r="R244" s="33"/>
    </row>
    <row r="245" spans="1:18" x14ac:dyDescent="0.25">
      <c r="A245" s="50" t="s">
        <v>520</v>
      </c>
      <c r="B245" s="29" t="s">
        <v>54</v>
      </c>
      <c r="C245" s="30"/>
      <c r="D245" s="22"/>
      <c r="E245" s="22"/>
      <c r="F245" s="22">
        <v>570</v>
      </c>
      <c r="G245" s="22">
        <v>199</v>
      </c>
      <c r="H245" s="22">
        <v>299</v>
      </c>
      <c r="I245" s="22">
        <v>7</v>
      </c>
      <c r="J245" s="22">
        <v>53</v>
      </c>
      <c r="K245" s="22"/>
      <c r="L245" s="22">
        <v>20</v>
      </c>
      <c r="M245" s="31">
        <v>0.71499999999999997</v>
      </c>
      <c r="N245" s="32">
        <v>0.69899999999999995</v>
      </c>
      <c r="O245" s="32"/>
      <c r="P245" s="32"/>
      <c r="Q245" s="32"/>
      <c r="R245" s="33"/>
    </row>
    <row r="246" spans="1:18" x14ac:dyDescent="0.25">
      <c r="A246" s="50" t="s">
        <v>521</v>
      </c>
      <c r="B246" s="29" t="s">
        <v>55</v>
      </c>
      <c r="C246" s="30"/>
      <c r="D246" s="22"/>
      <c r="E246" s="22"/>
      <c r="F246" s="22">
        <v>773</v>
      </c>
      <c r="G246" s="22">
        <v>260</v>
      </c>
      <c r="H246" s="22">
        <v>388</v>
      </c>
      <c r="I246" s="22">
        <v>9</v>
      </c>
      <c r="J246" s="22">
        <v>84</v>
      </c>
      <c r="K246" s="22"/>
      <c r="L246" s="22">
        <v>24</v>
      </c>
      <c r="M246" s="31">
        <v>0.42399999999999999</v>
      </c>
      <c r="N246" s="32">
        <v>0.90500000000000003</v>
      </c>
      <c r="O246" s="32"/>
      <c r="P246" s="32"/>
      <c r="Q246" s="32"/>
      <c r="R246" s="33"/>
    </row>
    <row r="247" spans="1:18" x14ac:dyDescent="0.25">
      <c r="A247" s="50" t="s">
        <v>522</v>
      </c>
      <c r="B247" s="29" t="s">
        <v>56</v>
      </c>
      <c r="C247" s="30"/>
      <c r="D247" s="22"/>
      <c r="E247" s="22"/>
      <c r="F247" s="22">
        <v>807</v>
      </c>
      <c r="G247" s="22">
        <v>326</v>
      </c>
      <c r="H247" s="22">
        <v>470</v>
      </c>
      <c r="I247" s="22">
        <v>13</v>
      </c>
      <c r="J247" s="22">
        <v>90</v>
      </c>
      <c r="K247" s="22"/>
      <c r="L247" s="22">
        <v>28</v>
      </c>
      <c r="M247" s="31">
        <v>0.436</v>
      </c>
      <c r="N247" s="32">
        <v>0.9</v>
      </c>
      <c r="O247" s="32"/>
      <c r="P247" s="32"/>
      <c r="Q247" s="32"/>
      <c r="R247" s="33"/>
    </row>
    <row r="248" spans="1:18" x14ac:dyDescent="0.25">
      <c r="A248" s="50" t="s">
        <v>523</v>
      </c>
      <c r="B248" s="29" t="s">
        <v>57</v>
      </c>
      <c r="C248" s="30"/>
      <c r="D248" s="22"/>
      <c r="E248" s="22"/>
      <c r="F248" s="22">
        <v>967</v>
      </c>
      <c r="G248" s="22">
        <v>262</v>
      </c>
      <c r="H248" s="22">
        <v>464</v>
      </c>
      <c r="I248" s="22">
        <v>13</v>
      </c>
      <c r="J248" s="22">
        <v>116</v>
      </c>
      <c r="K248" s="22"/>
      <c r="L248" s="22">
        <v>26</v>
      </c>
      <c r="M248" s="31">
        <v>0.38200000000000001</v>
      </c>
      <c r="N248" s="32">
        <v>0.92400000000000004</v>
      </c>
      <c r="O248" s="32"/>
      <c r="P248" s="32"/>
      <c r="Q248" s="32"/>
      <c r="R248" s="33"/>
    </row>
    <row r="249" spans="1:18" x14ac:dyDescent="0.25">
      <c r="A249" s="50" t="s">
        <v>524</v>
      </c>
      <c r="B249" s="29" t="s">
        <v>58</v>
      </c>
      <c r="C249" s="30"/>
      <c r="D249" s="22"/>
      <c r="E249" s="22"/>
      <c r="F249" s="22">
        <v>1001</v>
      </c>
      <c r="G249" s="22">
        <v>402</v>
      </c>
      <c r="H249" s="22">
        <v>531</v>
      </c>
      <c r="I249" s="22">
        <v>16</v>
      </c>
      <c r="J249" s="22">
        <v>118</v>
      </c>
      <c r="K249" s="22"/>
      <c r="L249" s="22">
        <v>28</v>
      </c>
      <c r="M249" s="31">
        <v>0.373</v>
      </c>
      <c r="N249" s="32">
        <v>0.92800000000000005</v>
      </c>
      <c r="O249" s="32"/>
      <c r="P249" s="32"/>
      <c r="Q249" s="32"/>
      <c r="R249" s="33"/>
    </row>
    <row r="250" spans="1:18" x14ac:dyDescent="0.25">
      <c r="A250" s="50" t="s">
        <v>525</v>
      </c>
      <c r="B250" s="29" t="s">
        <v>59</v>
      </c>
      <c r="C250" s="30"/>
      <c r="D250" s="22"/>
      <c r="E250" s="22"/>
      <c r="F250" s="22">
        <v>996</v>
      </c>
      <c r="G250" s="22">
        <v>390</v>
      </c>
      <c r="H250" s="22">
        <v>625</v>
      </c>
      <c r="I250" s="22">
        <v>21</v>
      </c>
      <c r="J250" s="22">
        <v>131</v>
      </c>
      <c r="K250" s="22"/>
      <c r="L250" s="22">
        <v>26</v>
      </c>
      <c r="M250" s="31">
        <v>0.36</v>
      </c>
      <c r="N250" s="32">
        <v>0.93300000000000005</v>
      </c>
      <c r="O250" s="32"/>
      <c r="P250" s="32"/>
      <c r="Q250" s="32"/>
      <c r="R250" s="33"/>
    </row>
    <row r="251" spans="1:18" x14ac:dyDescent="0.25">
      <c r="A251" s="50" t="s">
        <v>526</v>
      </c>
      <c r="B251" s="29" t="s">
        <v>60</v>
      </c>
      <c r="C251" s="30"/>
      <c r="D251" s="22"/>
      <c r="E251" s="22"/>
      <c r="F251" s="22">
        <v>1120</v>
      </c>
      <c r="G251" s="22">
        <v>460</v>
      </c>
      <c r="H251" s="22">
        <v>673</v>
      </c>
      <c r="I251" s="22">
        <v>27</v>
      </c>
      <c r="J251" s="22">
        <v>140</v>
      </c>
      <c r="K251" s="22"/>
      <c r="L251" s="22">
        <v>28</v>
      </c>
      <c r="M251" s="31">
        <v>0.35099999999999998</v>
      </c>
      <c r="N251" s="32">
        <v>0.93600000000000005</v>
      </c>
      <c r="O251" s="32"/>
      <c r="P251" s="32"/>
      <c r="Q251" s="32"/>
      <c r="R251" s="33"/>
    </row>
    <row r="252" spans="1:18" x14ac:dyDescent="0.25">
      <c r="A252" s="50" t="s">
        <v>527</v>
      </c>
      <c r="B252" s="29" t="s">
        <v>61</v>
      </c>
      <c r="C252" s="30"/>
      <c r="D252" s="22"/>
      <c r="E252" s="22"/>
      <c r="F252" s="22">
        <v>1103</v>
      </c>
      <c r="G252" s="22">
        <v>440</v>
      </c>
      <c r="H252" s="22">
        <v>826</v>
      </c>
      <c r="I252" s="22">
        <v>31</v>
      </c>
      <c r="J252" s="22">
        <v>155</v>
      </c>
      <c r="K252" s="22"/>
      <c r="L252" s="22">
        <v>27</v>
      </c>
      <c r="M252" s="31">
        <v>0.379</v>
      </c>
      <c r="N252" s="32">
        <v>0.92600000000000005</v>
      </c>
      <c r="O252" s="32"/>
      <c r="P252" s="32"/>
      <c r="Q252" s="32"/>
      <c r="R252" s="33"/>
    </row>
    <row r="253" spans="1:18" x14ac:dyDescent="0.25">
      <c r="A253" s="50" t="s">
        <v>528</v>
      </c>
      <c r="B253" s="29" t="s">
        <v>62</v>
      </c>
      <c r="C253" s="30"/>
      <c r="D253" s="22"/>
      <c r="E253" s="22"/>
      <c r="F253" s="22">
        <v>1490</v>
      </c>
      <c r="G253" s="22">
        <v>503</v>
      </c>
      <c r="H253" s="22">
        <v>899</v>
      </c>
      <c r="I253" s="22">
        <v>25</v>
      </c>
      <c r="J253" s="22">
        <v>206</v>
      </c>
      <c r="K253" s="22"/>
      <c r="L253" s="22">
        <v>30</v>
      </c>
      <c r="M253" s="31">
        <v>0.245</v>
      </c>
      <c r="N253" s="32">
        <v>0.96899999999999997</v>
      </c>
      <c r="O253" s="32"/>
      <c r="P253" s="32"/>
      <c r="Q253" s="32"/>
      <c r="R253" s="33"/>
    </row>
    <row r="254" spans="1:18" x14ac:dyDescent="0.25">
      <c r="A254" s="50" t="s">
        <v>529</v>
      </c>
      <c r="B254" s="29" t="s">
        <v>63</v>
      </c>
      <c r="C254" s="30"/>
      <c r="D254" s="22"/>
      <c r="E254" s="22"/>
      <c r="F254" s="22">
        <v>1495</v>
      </c>
      <c r="G254" s="22">
        <v>529</v>
      </c>
      <c r="H254" s="22">
        <v>1043</v>
      </c>
      <c r="I254" s="22">
        <v>31</v>
      </c>
      <c r="J254" s="22">
        <v>213</v>
      </c>
      <c r="K254" s="22"/>
      <c r="L254" s="22">
        <v>37</v>
      </c>
      <c r="M254" s="31">
        <v>0.26700000000000002</v>
      </c>
      <c r="N254" s="32">
        <v>0.96399999999999997</v>
      </c>
      <c r="O254" s="32"/>
      <c r="P254" s="32"/>
      <c r="Q254" s="32"/>
      <c r="R254" s="33"/>
    </row>
    <row r="255" spans="1:18" x14ac:dyDescent="0.25">
      <c r="A255" s="50" t="s">
        <v>530</v>
      </c>
      <c r="B255" s="29" t="s">
        <v>64</v>
      </c>
      <c r="C255" s="30"/>
      <c r="D255" s="22"/>
      <c r="E255" s="22"/>
      <c r="F255" s="22">
        <v>1486</v>
      </c>
      <c r="G255" s="22">
        <v>522</v>
      </c>
      <c r="H255" s="22">
        <v>1057</v>
      </c>
      <c r="I255" s="22">
        <v>37</v>
      </c>
      <c r="J255" s="22">
        <v>223</v>
      </c>
      <c r="K255" s="22"/>
      <c r="L255" s="22">
        <v>39</v>
      </c>
      <c r="M255" s="31">
        <v>0.26600000000000001</v>
      </c>
      <c r="N255" s="32">
        <v>0.96399999999999997</v>
      </c>
      <c r="O255" s="32"/>
      <c r="P255" s="32"/>
      <c r="Q255" s="32"/>
      <c r="R255" s="33"/>
    </row>
    <row r="256" spans="1:18" x14ac:dyDescent="0.25">
      <c r="A256" s="50" t="s">
        <v>531</v>
      </c>
      <c r="B256" s="29" t="s">
        <v>65</v>
      </c>
      <c r="C256" s="30"/>
      <c r="D256" s="22"/>
      <c r="E256" s="22"/>
      <c r="F256" s="22">
        <v>1497</v>
      </c>
      <c r="G256" s="22">
        <v>550</v>
      </c>
      <c r="H256" s="22">
        <v>1123</v>
      </c>
      <c r="I256" s="22">
        <v>45</v>
      </c>
      <c r="J256" s="22">
        <v>227</v>
      </c>
      <c r="K256" s="22"/>
      <c r="L256" s="22">
        <v>40</v>
      </c>
      <c r="M256" s="31">
        <v>0.26400000000000001</v>
      </c>
      <c r="N256" s="32">
        <v>0.96399999999999997</v>
      </c>
      <c r="O256" s="32"/>
      <c r="P256" s="32"/>
      <c r="Q256" s="32"/>
      <c r="R256" s="33"/>
    </row>
    <row r="257" spans="1:18" x14ac:dyDescent="0.25">
      <c r="A257" s="50" t="s">
        <v>532</v>
      </c>
      <c r="B257" s="29" t="s">
        <v>66</v>
      </c>
      <c r="C257" s="30"/>
      <c r="D257" s="22"/>
      <c r="E257" s="22"/>
      <c r="F257" s="22">
        <v>1718</v>
      </c>
      <c r="G257" s="22">
        <v>553</v>
      </c>
      <c r="H257" s="22">
        <v>1177</v>
      </c>
      <c r="I257" s="22">
        <v>28</v>
      </c>
      <c r="J257" s="22">
        <v>268</v>
      </c>
      <c r="K257" s="22"/>
      <c r="L257" s="22">
        <v>34</v>
      </c>
      <c r="M257" s="31">
        <v>0.26300000000000001</v>
      </c>
      <c r="N257" s="32">
        <v>0.96499999999999997</v>
      </c>
      <c r="O257" s="32"/>
      <c r="P257" s="32"/>
      <c r="Q257" s="32"/>
      <c r="R257" s="33"/>
    </row>
    <row r="258" spans="1:18" x14ac:dyDescent="0.25">
      <c r="A258" s="50" t="s">
        <v>533</v>
      </c>
      <c r="B258" s="29" t="s">
        <v>67</v>
      </c>
      <c r="C258" s="30"/>
      <c r="D258" s="22"/>
      <c r="E258" s="22"/>
      <c r="F258" s="22">
        <v>1735</v>
      </c>
      <c r="G258" s="22">
        <v>581</v>
      </c>
      <c r="H258" s="22">
        <v>1225</v>
      </c>
      <c r="I258" s="22">
        <v>36</v>
      </c>
      <c r="J258" s="22">
        <v>271</v>
      </c>
      <c r="K258" s="22"/>
      <c r="L258" s="22">
        <v>37</v>
      </c>
      <c r="M258" s="31">
        <v>0.26200000000000001</v>
      </c>
      <c r="N258" s="32">
        <v>0.96499999999999997</v>
      </c>
      <c r="O258" s="32"/>
      <c r="P258" s="32"/>
      <c r="Q258" s="32"/>
      <c r="R258" s="33"/>
    </row>
    <row r="259" spans="1:18" x14ac:dyDescent="0.25">
      <c r="A259" s="50" t="s">
        <v>534</v>
      </c>
      <c r="B259" s="29" t="s">
        <v>68</v>
      </c>
      <c r="C259" s="30"/>
      <c r="D259" s="22"/>
      <c r="E259" s="22"/>
      <c r="F259" s="22">
        <v>1734</v>
      </c>
      <c r="G259" s="22">
        <v>568</v>
      </c>
      <c r="H259" s="22">
        <v>1462</v>
      </c>
      <c r="I259" s="22">
        <v>55</v>
      </c>
      <c r="J259" s="22">
        <v>314</v>
      </c>
      <c r="K259" s="22"/>
      <c r="L259" s="22">
        <v>44</v>
      </c>
      <c r="M259" s="31">
        <v>0.26600000000000001</v>
      </c>
      <c r="N259" s="32">
        <v>0.96399999999999997</v>
      </c>
      <c r="O259" s="32"/>
      <c r="P259" s="32"/>
      <c r="Q259" s="32"/>
      <c r="R259" s="33"/>
    </row>
    <row r="260" spans="1:18" x14ac:dyDescent="0.25">
      <c r="A260" s="50" t="s">
        <v>535</v>
      </c>
      <c r="B260" s="29" t="s">
        <v>69</v>
      </c>
      <c r="C260" s="30"/>
      <c r="D260" s="22"/>
      <c r="E260" s="22"/>
      <c r="F260" s="22">
        <v>1718</v>
      </c>
      <c r="G260" s="22">
        <v>598</v>
      </c>
      <c r="H260" s="22">
        <v>1658</v>
      </c>
      <c r="I260" s="22">
        <v>71</v>
      </c>
      <c r="J260" s="22">
        <v>329</v>
      </c>
      <c r="K260" s="22"/>
      <c r="L260" s="22">
        <v>48</v>
      </c>
      <c r="M260" s="31">
        <v>0.26800000000000002</v>
      </c>
      <c r="N260" s="32">
        <v>0.96299999999999997</v>
      </c>
      <c r="O260" s="32"/>
      <c r="P260" s="32"/>
      <c r="Q260" s="32"/>
      <c r="R260" s="33"/>
    </row>
    <row r="261" spans="1:18" x14ac:dyDescent="0.25">
      <c r="A261" s="50" t="s">
        <v>536</v>
      </c>
      <c r="B261" s="29" t="s">
        <v>197</v>
      </c>
      <c r="C261" s="30"/>
      <c r="D261" s="22"/>
      <c r="E261" s="22"/>
      <c r="F261" s="22">
        <v>419</v>
      </c>
      <c r="G261" s="22">
        <v>278</v>
      </c>
      <c r="H261" s="22">
        <v>289</v>
      </c>
      <c r="I261" s="22">
        <v>12</v>
      </c>
      <c r="J261" s="22">
        <v>32</v>
      </c>
      <c r="K261" s="22"/>
      <c r="L261" s="22">
        <v>24</v>
      </c>
      <c r="M261" s="31">
        <v>0.747</v>
      </c>
      <c r="N261" s="32">
        <v>0.66400000000000003</v>
      </c>
      <c r="O261" s="32"/>
      <c r="P261" s="32"/>
      <c r="Q261" s="32"/>
      <c r="R261" s="33"/>
    </row>
    <row r="262" spans="1:18" x14ac:dyDescent="0.25">
      <c r="A262" s="50" t="s">
        <v>537</v>
      </c>
      <c r="B262" s="29" t="s">
        <v>77</v>
      </c>
      <c r="C262" s="30"/>
      <c r="D262" s="22"/>
      <c r="E262" s="22"/>
      <c r="F262" s="22">
        <v>591</v>
      </c>
      <c r="G262" s="22">
        <v>297</v>
      </c>
      <c r="H262" s="22">
        <v>352</v>
      </c>
      <c r="I262" s="22">
        <v>13</v>
      </c>
      <c r="J262" s="22">
        <v>58</v>
      </c>
      <c r="K262" s="22"/>
      <c r="L262" s="22">
        <v>24</v>
      </c>
      <c r="M262" s="31">
        <v>0.72299999999999998</v>
      </c>
      <c r="N262" s="32">
        <v>0.69099999999999995</v>
      </c>
      <c r="O262" s="32"/>
      <c r="P262" s="32"/>
      <c r="Q262" s="32"/>
      <c r="R262" s="33"/>
    </row>
    <row r="263" spans="1:18" x14ac:dyDescent="0.25">
      <c r="A263" s="50" t="s">
        <v>538</v>
      </c>
      <c r="B263" s="29" t="s">
        <v>76</v>
      </c>
      <c r="C263" s="30"/>
      <c r="D263" s="22"/>
      <c r="E263" s="22"/>
      <c r="F263" s="22">
        <v>1019</v>
      </c>
      <c r="G263" s="22">
        <v>396</v>
      </c>
      <c r="H263" s="22">
        <v>716</v>
      </c>
      <c r="I263" s="22">
        <v>23</v>
      </c>
      <c r="J263" s="22">
        <v>137</v>
      </c>
      <c r="K263" s="22"/>
      <c r="L263" s="22">
        <v>27</v>
      </c>
      <c r="M263" s="31">
        <v>0.36399999999999999</v>
      </c>
      <c r="N263" s="32">
        <v>0.93100000000000005</v>
      </c>
      <c r="O263" s="32"/>
      <c r="P263" s="32"/>
      <c r="Q263" s="32"/>
      <c r="R263" s="33"/>
    </row>
    <row r="264" spans="1:18" x14ac:dyDescent="0.25">
      <c r="A264" s="50" t="s">
        <v>539</v>
      </c>
      <c r="B264" s="29" t="s">
        <v>78</v>
      </c>
      <c r="C264" s="30"/>
      <c r="D264" s="22"/>
      <c r="E264" s="22"/>
      <c r="F264" s="22">
        <v>1106</v>
      </c>
      <c r="G264" s="22">
        <v>462</v>
      </c>
      <c r="H264" s="22">
        <v>844</v>
      </c>
      <c r="I264" s="22">
        <v>25</v>
      </c>
      <c r="J264" s="22">
        <v>148</v>
      </c>
      <c r="K264" s="22"/>
      <c r="L264" s="22">
        <v>31</v>
      </c>
      <c r="M264" s="31">
        <v>0.35099999999999998</v>
      </c>
      <c r="N264" s="32">
        <v>0.93600000000000005</v>
      </c>
      <c r="O264" s="32"/>
      <c r="P264" s="32"/>
      <c r="Q264" s="32"/>
      <c r="R264" s="33"/>
    </row>
    <row r="265" spans="1:18" x14ac:dyDescent="0.25">
      <c r="A265" s="50" t="s">
        <v>540</v>
      </c>
      <c r="B265" s="29" t="s">
        <v>70</v>
      </c>
      <c r="C265" s="30"/>
      <c r="D265" s="22"/>
      <c r="E265" s="22"/>
      <c r="F265" s="22">
        <v>2420</v>
      </c>
      <c r="G265" s="22">
        <v>1150</v>
      </c>
      <c r="H265" s="22">
        <v>2239</v>
      </c>
      <c r="I265" s="22">
        <v>163</v>
      </c>
      <c r="J265" s="22">
        <v>561</v>
      </c>
      <c r="K265" s="22"/>
      <c r="L265" s="22">
        <v>117</v>
      </c>
      <c r="M265" s="31">
        <v>0.23499999999999999</v>
      </c>
      <c r="N265" s="32">
        <v>0.97199999999999998</v>
      </c>
      <c r="O265" s="32"/>
      <c r="P265" s="32"/>
      <c r="Q265" s="32"/>
      <c r="R265" s="33"/>
    </row>
    <row r="266" spans="1:18" x14ac:dyDescent="0.25">
      <c r="A266" s="50" t="s">
        <v>541</v>
      </c>
      <c r="B266" s="29" t="s">
        <v>71</v>
      </c>
      <c r="C266" s="30"/>
      <c r="D266" s="22"/>
      <c r="E266" s="22"/>
      <c r="F266" s="22">
        <v>2565</v>
      </c>
      <c r="G266" s="22">
        <v>767</v>
      </c>
      <c r="H266" s="22">
        <v>2158</v>
      </c>
      <c r="I266" s="22">
        <v>44</v>
      </c>
      <c r="J266" s="22">
        <v>546</v>
      </c>
      <c r="K266" s="22"/>
      <c r="L266" s="22">
        <v>68</v>
      </c>
      <c r="M266" s="31">
        <v>0.19400000000000001</v>
      </c>
      <c r="N266" s="32">
        <v>0.98099999999999998</v>
      </c>
      <c r="O266" s="32"/>
      <c r="P266" s="32"/>
      <c r="Q266" s="32"/>
      <c r="R266" s="33"/>
    </row>
    <row r="267" spans="1:18" x14ac:dyDescent="0.25">
      <c r="A267" s="50" t="s">
        <v>542</v>
      </c>
      <c r="B267" s="29" t="s">
        <v>72</v>
      </c>
      <c r="C267" s="30"/>
      <c r="D267" s="22"/>
      <c r="E267" s="22"/>
      <c r="F267" s="22">
        <v>2574</v>
      </c>
      <c r="G267" s="22">
        <v>873</v>
      </c>
      <c r="H267" s="22">
        <v>2287</v>
      </c>
      <c r="I267" s="22">
        <v>129</v>
      </c>
      <c r="J267" s="22">
        <v>598</v>
      </c>
      <c r="K267" s="22"/>
      <c r="L267" s="22">
        <v>66</v>
      </c>
      <c r="M267" s="31">
        <v>0.189</v>
      </c>
      <c r="N267" s="32">
        <v>0.98199999999999998</v>
      </c>
      <c r="O267" s="32"/>
      <c r="P267" s="32"/>
      <c r="Q267" s="32"/>
      <c r="R267" s="33"/>
    </row>
    <row r="268" spans="1:18" x14ac:dyDescent="0.25">
      <c r="A268" s="50" t="s">
        <v>543</v>
      </c>
      <c r="B268" s="29" t="s">
        <v>73</v>
      </c>
      <c r="C268" s="30"/>
      <c r="D268" s="22"/>
      <c r="E268" s="22"/>
      <c r="F268" s="22">
        <v>3634</v>
      </c>
      <c r="G268" s="22">
        <v>950</v>
      </c>
      <c r="H268" s="22">
        <v>3213</v>
      </c>
      <c r="I268" s="22">
        <v>103</v>
      </c>
      <c r="J268" s="22">
        <v>1062</v>
      </c>
      <c r="K268" s="22"/>
      <c r="L268" s="22">
        <v>72</v>
      </c>
      <c r="M268" s="31">
        <v>0.125</v>
      </c>
      <c r="N268" s="32">
        <v>0.99199999999999999</v>
      </c>
      <c r="O268" s="32"/>
      <c r="P268" s="32"/>
      <c r="Q268" s="32"/>
      <c r="R268" s="33"/>
    </row>
    <row r="269" spans="1:18" x14ac:dyDescent="0.25">
      <c r="A269" s="50" t="s">
        <v>544</v>
      </c>
      <c r="B269" s="29" t="s">
        <v>304</v>
      </c>
      <c r="C269" s="30"/>
      <c r="D269" s="22"/>
      <c r="E269" s="22"/>
      <c r="F269" s="22">
        <v>3958</v>
      </c>
      <c r="G269" s="22">
        <v>913</v>
      </c>
      <c r="H269" s="22">
        <v>4037</v>
      </c>
      <c r="I269" s="22">
        <v>171</v>
      </c>
      <c r="J269" s="22">
        <v>1267</v>
      </c>
      <c r="K269" s="22"/>
      <c r="L269" s="22">
        <v>105</v>
      </c>
      <c r="M269" s="31">
        <v>0.11899999999999999</v>
      </c>
      <c r="N269" s="32">
        <v>0.99299999999999999</v>
      </c>
      <c r="O269" s="32"/>
      <c r="P269" s="32"/>
      <c r="Q269" s="32"/>
      <c r="R269" s="33"/>
    </row>
    <row r="270" spans="1:18" x14ac:dyDescent="0.25">
      <c r="A270" s="50" t="s">
        <v>545</v>
      </c>
      <c r="B270" s="29" t="s">
        <v>306</v>
      </c>
      <c r="C270" s="30"/>
      <c r="D270" s="22"/>
      <c r="E270" s="22"/>
      <c r="F270" s="22">
        <v>3976</v>
      </c>
      <c r="G270" s="22">
        <v>884</v>
      </c>
      <c r="H270" s="22">
        <v>4300</v>
      </c>
      <c r="I270" s="22">
        <v>164</v>
      </c>
      <c r="J270" s="22">
        <v>1398</v>
      </c>
      <c r="K270" s="22"/>
      <c r="L270" s="22">
        <v>99</v>
      </c>
      <c r="M270" s="31">
        <v>0.114</v>
      </c>
      <c r="N270" s="32">
        <v>0.99399999999999999</v>
      </c>
      <c r="O270" s="32"/>
      <c r="P270" s="32"/>
      <c r="Q270" s="32"/>
      <c r="R270" s="33"/>
    </row>
    <row r="271" spans="1:18" x14ac:dyDescent="0.25">
      <c r="A271" s="51" t="s">
        <v>546</v>
      </c>
      <c r="B271" s="29" t="s">
        <v>106</v>
      </c>
      <c r="C271" s="30"/>
      <c r="D271" s="22"/>
      <c r="E271" s="22"/>
      <c r="F271" s="22">
        <v>185</v>
      </c>
      <c r="G271" s="22">
        <v>21</v>
      </c>
      <c r="H271" s="22">
        <v>74</v>
      </c>
      <c r="I271" s="22">
        <v>2</v>
      </c>
      <c r="J271" s="22">
        <v>6</v>
      </c>
      <c r="K271" s="22"/>
      <c r="L271" s="22">
        <v>3</v>
      </c>
      <c r="M271" s="31">
        <v>0.83199999999999996</v>
      </c>
      <c r="N271" s="32">
        <v>0.55500000000000005</v>
      </c>
      <c r="O271" s="32"/>
      <c r="P271" s="32"/>
      <c r="Q271" s="32"/>
      <c r="R271" s="33"/>
    </row>
    <row r="272" spans="1:18" x14ac:dyDescent="0.25">
      <c r="A272" s="51" t="s">
        <v>547</v>
      </c>
      <c r="B272" s="29">
        <v>18</v>
      </c>
      <c r="C272" s="30"/>
      <c r="D272" s="22"/>
      <c r="E272" s="22"/>
      <c r="F272" s="22">
        <v>190</v>
      </c>
      <c r="G272" s="22">
        <v>25</v>
      </c>
      <c r="H272" s="22">
        <v>89</v>
      </c>
      <c r="I272" s="22">
        <v>2</v>
      </c>
      <c r="J272" s="22">
        <v>7</v>
      </c>
      <c r="K272" s="22"/>
      <c r="L272" s="22">
        <v>4</v>
      </c>
      <c r="M272" s="31">
        <v>0.83199999999999996</v>
      </c>
      <c r="N272" s="32">
        <v>0.55500000000000005</v>
      </c>
      <c r="O272" s="32"/>
      <c r="P272" s="32"/>
      <c r="Q272" s="32"/>
      <c r="R272" s="33"/>
    </row>
    <row r="273" spans="1:18" x14ac:dyDescent="0.25">
      <c r="A273" s="51" t="s">
        <v>548</v>
      </c>
      <c r="B273" s="29" t="s">
        <v>37</v>
      </c>
      <c r="C273" s="30"/>
      <c r="D273" s="22"/>
      <c r="E273" s="22"/>
      <c r="F273" s="22">
        <v>253</v>
      </c>
      <c r="G273" s="22">
        <v>31</v>
      </c>
      <c r="H273" s="22">
        <v>131</v>
      </c>
      <c r="I273" s="22">
        <v>4</v>
      </c>
      <c r="J273" s="22">
        <v>10</v>
      </c>
      <c r="K273" s="22"/>
      <c r="L273" s="22">
        <v>5</v>
      </c>
      <c r="M273" s="31">
        <v>0.747</v>
      </c>
      <c r="N273" s="32">
        <v>0.66400000000000003</v>
      </c>
      <c r="O273" s="32"/>
      <c r="P273" s="32"/>
      <c r="Q273" s="32"/>
      <c r="R273" s="33"/>
    </row>
    <row r="274" spans="1:18" x14ac:dyDescent="0.25">
      <c r="A274" s="51" t="s">
        <v>549</v>
      </c>
      <c r="B274" s="29" t="s">
        <v>38</v>
      </c>
      <c r="C274" s="30"/>
      <c r="D274" s="22"/>
      <c r="E274" s="22"/>
      <c r="F274" s="22">
        <v>258</v>
      </c>
      <c r="G274" s="22">
        <v>37</v>
      </c>
      <c r="H274" s="22">
        <v>135</v>
      </c>
      <c r="I274" s="22">
        <v>5</v>
      </c>
      <c r="J274" s="22">
        <v>12</v>
      </c>
      <c r="K274" s="22"/>
      <c r="L274" s="22">
        <v>6</v>
      </c>
      <c r="M274" s="31">
        <v>0.747</v>
      </c>
      <c r="N274" s="32">
        <v>0.66400000000000003</v>
      </c>
      <c r="O274" s="32"/>
      <c r="P274" s="32"/>
      <c r="Q274" s="32"/>
      <c r="R274" s="33"/>
    </row>
    <row r="275" spans="1:18" x14ac:dyDescent="0.25">
      <c r="A275" s="51" t="s">
        <v>550</v>
      </c>
      <c r="B275" s="29" t="s">
        <v>39</v>
      </c>
      <c r="C275" s="30"/>
      <c r="D275" s="22"/>
      <c r="E275" s="22"/>
      <c r="F275" s="22">
        <v>352</v>
      </c>
      <c r="G275" s="22">
        <v>39</v>
      </c>
      <c r="H275" s="22">
        <v>202</v>
      </c>
      <c r="I275" s="22">
        <v>5</v>
      </c>
      <c r="J275" s="22">
        <v>18</v>
      </c>
      <c r="K275" s="22"/>
      <c r="L275" s="22">
        <v>6</v>
      </c>
      <c r="M275" s="31">
        <v>0.54100000000000004</v>
      </c>
      <c r="N275" s="32">
        <v>0.84099999999999997</v>
      </c>
      <c r="O275" s="32"/>
      <c r="P275" s="32"/>
      <c r="Q275" s="32"/>
      <c r="R275" s="33"/>
    </row>
    <row r="276" spans="1:18" x14ac:dyDescent="0.25">
      <c r="A276" s="51" t="s">
        <v>551</v>
      </c>
      <c r="B276" s="29" t="s">
        <v>40</v>
      </c>
      <c r="C276" s="30"/>
      <c r="D276" s="22"/>
      <c r="E276" s="22"/>
      <c r="F276" s="22">
        <v>353</v>
      </c>
      <c r="G276" s="22">
        <v>41</v>
      </c>
      <c r="H276" s="22">
        <v>220</v>
      </c>
      <c r="I276" s="22">
        <v>6</v>
      </c>
      <c r="J276" s="22">
        <v>20</v>
      </c>
      <c r="K276" s="22"/>
      <c r="L276" s="22">
        <v>6</v>
      </c>
      <c r="M276" s="31">
        <v>0.54100000000000004</v>
      </c>
      <c r="N276" s="32">
        <v>0.84099999999999997</v>
      </c>
      <c r="O276" s="32"/>
      <c r="P276" s="32"/>
      <c r="Q276" s="32"/>
      <c r="R276" s="33"/>
    </row>
    <row r="277" spans="1:18" x14ac:dyDescent="0.25">
      <c r="A277" s="51" t="s">
        <v>552</v>
      </c>
      <c r="B277" s="29" t="s">
        <v>41</v>
      </c>
      <c r="C277" s="30"/>
      <c r="D277" s="22"/>
      <c r="E277" s="22"/>
      <c r="F277" s="22">
        <v>428</v>
      </c>
      <c r="G277" s="22">
        <v>47</v>
      </c>
      <c r="H277" s="22">
        <v>273</v>
      </c>
      <c r="I277" s="22">
        <v>9</v>
      </c>
      <c r="J277" s="22">
        <v>28</v>
      </c>
      <c r="K277" s="22"/>
      <c r="L277" s="22">
        <v>7</v>
      </c>
      <c r="M277" s="31">
        <v>0.44700000000000001</v>
      </c>
      <c r="N277" s="32">
        <v>0.89400000000000002</v>
      </c>
      <c r="O277" s="32"/>
      <c r="P277" s="32"/>
      <c r="Q277" s="32"/>
      <c r="R277" s="33"/>
    </row>
    <row r="278" spans="1:18" x14ac:dyDescent="0.25">
      <c r="A278" s="51" t="s">
        <v>553</v>
      </c>
      <c r="B278" s="29" t="s">
        <v>42</v>
      </c>
      <c r="C278" s="30"/>
      <c r="D278" s="22"/>
      <c r="E278" s="22"/>
      <c r="F278" s="22">
        <v>429</v>
      </c>
      <c r="G278" s="22">
        <v>52</v>
      </c>
      <c r="H278" s="22">
        <v>305</v>
      </c>
      <c r="I278" s="22">
        <v>11</v>
      </c>
      <c r="J278" s="22">
        <v>28</v>
      </c>
      <c r="K278" s="22"/>
      <c r="L278" s="22">
        <v>8</v>
      </c>
      <c r="M278" s="31">
        <v>0.44700000000000001</v>
      </c>
      <c r="N278" s="32">
        <v>0.89400000000000002</v>
      </c>
      <c r="O278" s="32"/>
      <c r="P278" s="32"/>
      <c r="Q278" s="32"/>
      <c r="R278" s="33"/>
    </row>
    <row r="279" spans="1:18" x14ac:dyDescent="0.25">
      <c r="A279" s="51" t="s">
        <v>554</v>
      </c>
      <c r="B279" s="29" t="s">
        <v>43</v>
      </c>
      <c r="C279" s="30"/>
      <c r="D279" s="22"/>
      <c r="E279" s="22"/>
      <c r="F279" s="22">
        <v>534</v>
      </c>
      <c r="G279" s="22">
        <v>32</v>
      </c>
      <c r="H279" s="22">
        <v>232</v>
      </c>
      <c r="I279" s="22">
        <v>16</v>
      </c>
      <c r="J279" s="22">
        <v>40</v>
      </c>
      <c r="K279" s="22"/>
      <c r="L279" s="22">
        <v>10</v>
      </c>
      <c r="M279" s="31">
        <v>0.35099999999999998</v>
      </c>
      <c r="N279" s="32">
        <v>0.93600000000000005</v>
      </c>
      <c r="O279" s="32"/>
      <c r="P279" s="32"/>
      <c r="Q279" s="32"/>
      <c r="R279" s="33"/>
    </row>
    <row r="280" spans="1:18" x14ac:dyDescent="0.25">
      <c r="A280" s="51" t="s">
        <v>555</v>
      </c>
      <c r="B280" s="29" t="s">
        <v>44</v>
      </c>
      <c r="C280" s="30"/>
      <c r="D280" s="22"/>
      <c r="E280" s="22"/>
      <c r="F280" s="22">
        <v>537</v>
      </c>
      <c r="G280" s="22">
        <v>46</v>
      </c>
      <c r="H280" s="22">
        <v>291</v>
      </c>
      <c r="I280" s="22">
        <v>18</v>
      </c>
      <c r="J280" s="22">
        <v>47</v>
      </c>
      <c r="K280" s="22"/>
      <c r="L280" s="22">
        <v>12</v>
      </c>
      <c r="M280" s="31">
        <v>0.35099999999999998</v>
      </c>
      <c r="N280" s="32">
        <v>0.93600000000000005</v>
      </c>
      <c r="O280" s="32"/>
      <c r="P280" s="32"/>
      <c r="Q280" s="32"/>
      <c r="R280" s="33"/>
    </row>
    <row r="281" spans="1:18" x14ac:dyDescent="0.25">
      <c r="A281" s="51" t="s">
        <v>556</v>
      </c>
      <c r="B281" s="29" t="s">
        <v>45</v>
      </c>
      <c r="C281" s="30"/>
      <c r="D281" s="22"/>
      <c r="E281" s="22"/>
      <c r="F281" s="22">
        <v>610</v>
      </c>
      <c r="G281" s="22">
        <v>50</v>
      </c>
      <c r="H281" s="22">
        <v>357</v>
      </c>
      <c r="I281" s="22">
        <v>18</v>
      </c>
      <c r="J281" s="22">
        <v>58</v>
      </c>
      <c r="K281" s="22"/>
      <c r="L281" s="22">
        <v>13</v>
      </c>
      <c r="M281" s="31">
        <v>0.30599999999999999</v>
      </c>
      <c r="N281" s="32">
        <v>0.95199999999999996</v>
      </c>
      <c r="O281" s="32"/>
      <c r="P281" s="32"/>
      <c r="Q281" s="32"/>
      <c r="R281" s="33"/>
    </row>
    <row r="282" spans="1:18" x14ac:dyDescent="0.25">
      <c r="A282" s="51" t="s">
        <v>557</v>
      </c>
      <c r="B282" s="29" t="s">
        <v>46</v>
      </c>
      <c r="C282" s="30"/>
      <c r="D282" s="22"/>
      <c r="E282" s="22"/>
      <c r="F282" s="22">
        <v>614</v>
      </c>
      <c r="G282" s="22">
        <v>56</v>
      </c>
      <c r="H282" s="22">
        <v>366</v>
      </c>
      <c r="I282" s="22">
        <v>21</v>
      </c>
      <c r="J282" s="22">
        <v>62</v>
      </c>
      <c r="K282" s="22"/>
      <c r="L282" s="22">
        <v>14</v>
      </c>
      <c r="M282" s="31">
        <v>0.30599999999999999</v>
      </c>
      <c r="N282" s="32">
        <v>0.95199999999999996</v>
      </c>
      <c r="O282" s="32"/>
      <c r="P282" s="32"/>
      <c r="Q282" s="32"/>
      <c r="R282" s="33"/>
    </row>
    <row r="283" spans="1:18" x14ac:dyDescent="0.25">
      <c r="A283" s="51" t="s">
        <v>558</v>
      </c>
      <c r="B283" s="29" t="s">
        <v>47</v>
      </c>
      <c r="C283" s="30"/>
      <c r="D283" s="22"/>
      <c r="E283" s="22"/>
      <c r="F283" s="22">
        <v>673</v>
      </c>
      <c r="G283" s="22">
        <v>45</v>
      </c>
      <c r="H283" s="22">
        <v>431</v>
      </c>
      <c r="I283" s="22">
        <v>31</v>
      </c>
      <c r="J283" s="22">
        <v>103</v>
      </c>
      <c r="K283" s="22"/>
      <c r="L283" s="22">
        <v>11</v>
      </c>
      <c r="M283" s="31">
        <v>0.26700000000000002</v>
      </c>
      <c r="N283" s="32">
        <v>0.96399999999999997</v>
      </c>
      <c r="O283" s="32"/>
      <c r="P283" s="32"/>
      <c r="Q283" s="32"/>
      <c r="R283" s="33"/>
    </row>
    <row r="284" spans="1:18" x14ac:dyDescent="0.25">
      <c r="A284" s="51" t="s">
        <v>559</v>
      </c>
      <c r="B284" s="29" t="s">
        <v>48</v>
      </c>
      <c r="C284" s="30"/>
      <c r="D284" s="22"/>
      <c r="E284" s="22"/>
      <c r="F284" s="22">
        <v>690</v>
      </c>
      <c r="G284" s="22">
        <v>58</v>
      </c>
      <c r="H284" s="22">
        <v>459</v>
      </c>
      <c r="I284" s="22">
        <v>22</v>
      </c>
      <c r="J284" s="22">
        <v>75</v>
      </c>
      <c r="K284" s="22"/>
      <c r="L284" s="22">
        <v>15</v>
      </c>
      <c r="M284" s="31">
        <v>0.26700000000000002</v>
      </c>
      <c r="N284" s="32">
        <v>0.96399999999999997</v>
      </c>
      <c r="O284" s="32"/>
      <c r="P284" s="32"/>
      <c r="Q284" s="32"/>
      <c r="R284" s="33"/>
    </row>
    <row r="285" spans="1:18" x14ac:dyDescent="0.25">
      <c r="A285" s="51" t="s">
        <v>560</v>
      </c>
      <c r="B285" s="29" t="s">
        <v>49</v>
      </c>
      <c r="C285" s="30"/>
      <c r="D285" s="22"/>
      <c r="E285" s="22"/>
      <c r="F285" s="22">
        <v>746</v>
      </c>
      <c r="G285" s="22">
        <v>59</v>
      </c>
      <c r="H285" s="22">
        <v>532</v>
      </c>
      <c r="I285" s="22">
        <v>22</v>
      </c>
      <c r="J285" s="22">
        <v>89</v>
      </c>
      <c r="K285" s="22"/>
      <c r="L285" s="22">
        <v>15</v>
      </c>
      <c r="M285" s="31">
        <v>0.24299999999999999</v>
      </c>
      <c r="N285" s="32">
        <v>0.97</v>
      </c>
      <c r="O285" s="32"/>
      <c r="P285" s="32"/>
      <c r="Q285" s="32"/>
      <c r="R285" s="33"/>
    </row>
    <row r="286" spans="1:18" x14ac:dyDescent="0.25">
      <c r="A286" s="51" t="s">
        <v>561</v>
      </c>
      <c r="B286" s="29" t="s">
        <v>50</v>
      </c>
      <c r="C286" s="30"/>
      <c r="D286" s="22"/>
      <c r="E286" s="22"/>
      <c r="F286" s="22">
        <v>757</v>
      </c>
      <c r="G286" s="22">
        <v>56</v>
      </c>
      <c r="H286" s="22">
        <v>541</v>
      </c>
      <c r="I286" s="22">
        <v>22</v>
      </c>
      <c r="J286" s="22">
        <v>89</v>
      </c>
      <c r="K286" s="22"/>
      <c r="L286" s="22">
        <v>14</v>
      </c>
      <c r="M286" s="31">
        <v>0.24299999999999999</v>
      </c>
      <c r="N286" s="32">
        <v>0.97</v>
      </c>
      <c r="O286" s="32"/>
      <c r="P286" s="32"/>
      <c r="Q286" s="32"/>
      <c r="R286" s="33"/>
    </row>
    <row r="287" spans="1:18" x14ac:dyDescent="0.25">
      <c r="A287" s="51" t="s">
        <v>562</v>
      </c>
      <c r="B287" s="29" t="s">
        <v>121</v>
      </c>
      <c r="C287" s="30"/>
      <c r="D287" s="22"/>
      <c r="E287" s="22"/>
      <c r="F287" s="22">
        <v>895</v>
      </c>
      <c r="G287" s="22">
        <v>75</v>
      </c>
      <c r="H287" s="22">
        <v>622</v>
      </c>
      <c r="I287" s="22">
        <v>26</v>
      </c>
      <c r="J287" s="22">
        <v>107</v>
      </c>
      <c r="K287" s="22"/>
      <c r="L287" s="22">
        <v>18</v>
      </c>
      <c r="M287" s="31">
        <v>0.24299999999999999</v>
      </c>
      <c r="N287" s="32">
        <v>0.97</v>
      </c>
      <c r="O287" s="32"/>
      <c r="P287" s="32"/>
      <c r="Q287" s="32"/>
      <c r="R287" s="33"/>
    </row>
    <row r="288" spans="1:18" x14ac:dyDescent="0.25">
      <c r="A288" s="51" t="s">
        <v>563</v>
      </c>
      <c r="B288" s="29" t="s">
        <v>51</v>
      </c>
      <c r="C288" s="30"/>
      <c r="D288" s="22"/>
      <c r="E288" s="22"/>
      <c r="F288" s="22">
        <v>1201</v>
      </c>
      <c r="G288" s="22">
        <v>82</v>
      </c>
      <c r="H288" s="22">
        <v>839</v>
      </c>
      <c r="I288" s="22">
        <v>27</v>
      </c>
      <c r="J288" s="22">
        <v>166</v>
      </c>
      <c r="K288" s="22"/>
      <c r="L288" s="22">
        <v>20</v>
      </c>
      <c r="M288" s="31">
        <v>0.18099999999999999</v>
      </c>
      <c r="N288" s="32">
        <v>0.98399999999999999</v>
      </c>
      <c r="O288" s="32"/>
      <c r="P288" s="32"/>
      <c r="Q288" s="32"/>
      <c r="R288" s="33"/>
    </row>
    <row r="289" spans="1:18" x14ac:dyDescent="0.25">
      <c r="A289" s="51" t="s">
        <v>564</v>
      </c>
      <c r="B289" s="29" t="s">
        <v>52</v>
      </c>
      <c r="C289" s="30"/>
      <c r="D289" s="22"/>
      <c r="E289" s="22"/>
      <c r="F289" s="22">
        <v>1097</v>
      </c>
      <c r="G289" s="22">
        <v>86</v>
      </c>
      <c r="H289" s="22">
        <v>843</v>
      </c>
      <c r="I289" s="22">
        <v>31</v>
      </c>
      <c r="J289" s="22">
        <v>168</v>
      </c>
      <c r="K289" s="22"/>
      <c r="L289" s="22">
        <v>21</v>
      </c>
      <c r="M289" s="31">
        <v>0.18099999999999999</v>
      </c>
      <c r="N289" s="32">
        <v>0.98399999999999999</v>
      </c>
      <c r="O289" s="32"/>
      <c r="P289" s="32"/>
      <c r="Q289" s="32"/>
      <c r="R289" s="33"/>
    </row>
    <row r="290" spans="1:18" x14ac:dyDescent="0.25">
      <c r="A290" s="51" t="s">
        <v>565</v>
      </c>
      <c r="B290" s="29" t="s">
        <v>53</v>
      </c>
      <c r="C290" s="30"/>
      <c r="D290" s="22"/>
      <c r="E290" s="22"/>
      <c r="F290" s="22">
        <v>262</v>
      </c>
      <c r="G290" s="22">
        <v>44</v>
      </c>
      <c r="H290" s="22">
        <v>131</v>
      </c>
      <c r="I290" s="22">
        <v>8</v>
      </c>
      <c r="J290" s="22">
        <v>11</v>
      </c>
      <c r="K290" s="22"/>
      <c r="L290" s="22">
        <v>7</v>
      </c>
      <c r="M290" s="31">
        <v>0.78900000000000003</v>
      </c>
      <c r="N290" s="32">
        <v>0.61399999999999999</v>
      </c>
      <c r="O290" s="32"/>
      <c r="P290" s="32"/>
      <c r="Q290" s="32"/>
      <c r="R290" s="33"/>
    </row>
    <row r="291" spans="1:18" x14ac:dyDescent="0.25">
      <c r="A291" s="51" t="s">
        <v>566</v>
      </c>
      <c r="B291" s="29" t="s">
        <v>54</v>
      </c>
      <c r="C291" s="30"/>
      <c r="D291" s="22"/>
      <c r="E291" s="22"/>
      <c r="F291" s="22">
        <v>348</v>
      </c>
      <c r="G291" s="22">
        <v>66</v>
      </c>
      <c r="H291" s="22">
        <v>219</v>
      </c>
      <c r="I291" s="22">
        <v>14</v>
      </c>
      <c r="J291" s="22">
        <v>22</v>
      </c>
      <c r="K291" s="22"/>
      <c r="L291" s="22">
        <v>10</v>
      </c>
      <c r="M291" s="31">
        <v>0.56899999999999995</v>
      </c>
      <c r="N291" s="32">
        <v>0.82199999999999995</v>
      </c>
      <c r="O291" s="32"/>
      <c r="P291" s="32"/>
      <c r="Q291" s="32"/>
      <c r="R291" s="33"/>
    </row>
    <row r="292" spans="1:18" x14ac:dyDescent="0.25">
      <c r="A292" s="51" t="s">
        <v>567</v>
      </c>
      <c r="B292" s="29" t="s">
        <v>55</v>
      </c>
      <c r="C292" s="30"/>
      <c r="D292" s="22"/>
      <c r="E292" s="22"/>
      <c r="F292" s="22">
        <v>442</v>
      </c>
      <c r="G292" s="22">
        <v>83</v>
      </c>
      <c r="H292" s="22">
        <v>329</v>
      </c>
      <c r="I292" s="22">
        <v>18</v>
      </c>
      <c r="J292" s="22">
        <v>31</v>
      </c>
      <c r="K292" s="22"/>
      <c r="L292" s="22">
        <v>13</v>
      </c>
      <c r="M292" s="31">
        <v>0.44700000000000001</v>
      </c>
      <c r="N292" s="32">
        <v>0.89400000000000002</v>
      </c>
      <c r="O292" s="32"/>
      <c r="P292" s="32"/>
      <c r="Q292" s="32"/>
      <c r="R292" s="33"/>
    </row>
    <row r="293" spans="1:18" x14ac:dyDescent="0.25">
      <c r="A293" s="51" t="s">
        <v>568</v>
      </c>
      <c r="B293" s="29" t="s">
        <v>56</v>
      </c>
      <c r="C293" s="30"/>
      <c r="D293" s="22"/>
      <c r="E293" s="22"/>
      <c r="F293" s="22">
        <v>465</v>
      </c>
      <c r="G293" s="22">
        <v>90</v>
      </c>
      <c r="H293" s="22">
        <v>346</v>
      </c>
      <c r="I293" s="22">
        <v>21</v>
      </c>
      <c r="J293" s="22">
        <v>33</v>
      </c>
      <c r="K293" s="22"/>
      <c r="L293" s="22">
        <v>14</v>
      </c>
      <c r="M293" s="31">
        <v>0.44700000000000001</v>
      </c>
      <c r="N293" s="32">
        <v>0.89400000000000002</v>
      </c>
      <c r="O293" s="32"/>
      <c r="P293" s="32"/>
      <c r="Q293" s="32"/>
      <c r="R293" s="33"/>
    </row>
    <row r="294" spans="1:18" x14ac:dyDescent="0.25">
      <c r="A294" s="51" t="s">
        <v>569</v>
      </c>
      <c r="B294" s="29" t="s">
        <v>57</v>
      </c>
      <c r="C294" s="30"/>
      <c r="D294" s="22"/>
      <c r="E294" s="22"/>
      <c r="F294" s="22">
        <v>469</v>
      </c>
      <c r="G294" s="22">
        <v>79</v>
      </c>
      <c r="H294" s="22">
        <v>370</v>
      </c>
      <c r="I294" s="22">
        <v>20</v>
      </c>
      <c r="J294" s="22">
        <v>40</v>
      </c>
      <c r="K294" s="22"/>
      <c r="L294" s="22">
        <v>13</v>
      </c>
      <c r="M294" s="31">
        <v>0.39400000000000002</v>
      </c>
      <c r="N294" s="32">
        <v>0.91900000000000004</v>
      </c>
      <c r="O294" s="32"/>
      <c r="P294" s="32"/>
      <c r="Q294" s="32"/>
      <c r="R294" s="33"/>
    </row>
    <row r="295" spans="1:18" x14ac:dyDescent="0.25">
      <c r="A295" s="51" t="s">
        <v>570</v>
      </c>
      <c r="B295" s="29" t="s">
        <v>58</v>
      </c>
      <c r="C295" s="30"/>
      <c r="D295" s="22"/>
      <c r="E295" s="22"/>
      <c r="F295" s="22">
        <v>453</v>
      </c>
      <c r="G295" s="22">
        <v>81</v>
      </c>
      <c r="H295" s="22">
        <v>372</v>
      </c>
      <c r="I295" s="22">
        <v>23</v>
      </c>
      <c r="J295" s="22">
        <v>41</v>
      </c>
      <c r="K295" s="22"/>
      <c r="L295" s="22">
        <v>13</v>
      </c>
      <c r="M295" s="31">
        <v>0.39400000000000002</v>
      </c>
      <c r="N295" s="32">
        <v>0.91900000000000004</v>
      </c>
      <c r="O295" s="32"/>
      <c r="P295" s="32"/>
      <c r="Q295" s="32"/>
      <c r="R295" s="33"/>
    </row>
    <row r="296" spans="1:18" x14ac:dyDescent="0.25">
      <c r="A296" s="51" t="s">
        <v>571</v>
      </c>
      <c r="B296" s="29" t="s">
        <v>59</v>
      </c>
      <c r="C296" s="30"/>
      <c r="D296" s="22"/>
      <c r="E296" s="22"/>
      <c r="F296" s="22">
        <v>613</v>
      </c>
      <c r="G296" s="22">
        <v>53</v>
      </c>
      <c r="H296" s="22">
        <v>353</v>
      </c>
      <c r="I296" s="22">
        <v>24</v>
      </c>
      <c r="J296" s="22">
        <v>55</v>
      </c>
      <c r="K296" s="22"/>
      <c r="L296" s="22">
        <v>14</v>
      </c>
      <c r="M296" s="31">
        <v>0.32700000000000001</v>
      </c>
      <c r="N296" s="32">
        <v>0.94499999999999995</v>
      </c>
      <c r="O296" s="32"/>
      <c r="P296" s="32"/>
      <c r="Q296" s="32"/>
      <c r="R296" s="33"/>
    </row>
    <row r="297" spans="1:18" x14ac:dyDescent="0.25">
      <c r="A297" s="51" t="s">
        <v>572</v>
      </c>
      <c r="B297" s="29" t="s">
        <v>60</v>
      </c>
      <c r="C297" s="30"/>
      <c r="D297" s="22"/>
      <c r="E297" s="22"/>
      <c r="F297" s="22">
        <v>590</v>
      </c>
      <c r="G297" s="22">
        <v>54</v>
      </c>
      <c r="H297" s="22">
        <v>348</v>
      </c>
      <c r="I297" s="22">
        <v>26</v>
      </c>
      <c r="J297" s="22">
        <v>57</v>
      </c>
      <c r="K297" s="22"/>
      <c r="L297" s="22">
        <v>14</v>
      </c>
      <c r="M297" s="31">
        <v>0.32700000000000001</v>
      </c>
      <c r="N297" s="32">
        <v>0.94499999999999995</v>
      </c>
      <c r="O297" s="32"/>
      <c r="P297" s="32"/>
      <c r="Q297" s="32"/>
      <c r="R297" s="33"/>
    </row>
    <row r="298" spans="1:18" x14ac:dyDescent="0.25">
      <c r="A298" s="51" t="s">
        <v>573</v>
      </c>
      <c r="B298" s="29" t="s">
        <v>61</v>
      </c>
      <c r="C298" s="30"/>
      <c r="D298" s="22"/>
      <c r="E298" s="22"/>
      <c r="F298" s="22">
        <v>675</v>
      </c>
      <c r="G298" s="22">
        <v>60</v>
      </c>
      <c r="H298" s="22">
        <v>449</v>
      </c>
      <c r="I298" s="22">
        <v>28</v>
      </c>
      <c r="J298" s="22">
        <v>85</v>
      </c>
      <c r="K298" s="22"/>
      <c r="L298" s="22">
        <v>15</v>
      </c>
      <c r="M298" s="31">
        <v>0.26700000000000002</v>
      </c>
      <c r="N298" s="32">
        <v>0.96399999999999997</v>
      </c>
      <c r="O298" s="32"/>
      <c r="P298" s="32"/>
      <c r="Q298" s="32"/>
      <c r="R298" s="33"/>
    </row>
    <row r="299" spans="1:18" x14ac:dyDescent="0.25">
      <c r="A299" s="51" t="s">
        <v>574</v>
      </c>
      <c r="B299" s="29" t="s">
        <v>62</v>
      </c>
      <c r="C299" s="30"/>
      <c r="D299" s="22"/>
      <c r="E299" s="22"/>
      <c r="F299" s="22">
        <v>753</v>
      </c>
      <c r="G299" s="22">
        <v>59</v>
      </c>
      <c r="H299" s="22">
        <v>545</v>
      </c>
      <c r="I299" s="22">
        <v>31</v>
      </c>
      <c r="J299" s="22">
        <v>99</v>
      </c>
      <c r="K299" s="22"/>
      <c r="L299" s="22">
        <v>15</v>
      </c>
      <c r="M299" s="31">
        <v>0.24299999999999999</v>
      </c>
      <c r="N299" s="32">
        <v>0.97</v>
      </c>
      <c r="O299" s="32"/>
      <c r="P299" s="32"/>
      <c r="Q299" s="32"/>
      <c r="R299" s="33"/>
    </row>
    <row r="300" spans="1:18" x14ac:dyDescent="0.25">
      <c r="A300" s="51" t="s">
        <v>575</v>
      </c>
      <c r="B300" s="29" t="s">
        <v>63</v>
      </c>
      <c r="C300" s="30"/>
      <c r="D300" s="22"/>
      <c r="E300" s="22"/>
      <c r="F300" s="22">
        <v>762</v>
      </c>
      <c r="G300" s="22">
        <v>67</v>
      </c>
      <c r="H300" s="22">
        <v>557</v>
      </c>
      <c r="I300" s="22">
        <v>44</v>
      </c>
      <c r="J300" s="22">
        <v>102</v>
      </c>
      <c r="K300" s="22"/>
      <c r="L300" s="22">
        <v>17</v>
      </c>
      <c r="M300" s="31">
        <v>0.24299999999999999</v>
      </c>
      <c r="N300" s="32">
        <v>0.97</v>
      </c>
      <c r="O300" s="32"/>
      <c r="P300" s="32"/>
      <c r="Q300" s="32"/>
      <c r="R300" s="33"/>
    </row>
    <row r="301" spans="1:18" x14ac:dyDescent="0.25">
      <c r="A301" s="51" t="s">
        <v>576</v>
      </c>
      <c r="B301" s="29" t="s">
        <v>64</v>
      </c>
      <c r="C301" s="30"/>
      <c r="D301" s="22"/>
      <c r="E301" s="22"/>
      <c r="F301" s="22">
        <v>766</v>
      </c>
      <c r="G301" s="22">
        <v>67</v>
      </c>
      <c r="H301" s="22">
        <v>566</v>
      </c>
      <c r="I301" s="22">
        <v>45</v>
      </c>
      <c r="J301" s="22">
        <v>103</v>
      </c>
      <c r="K301" s="22"/>
      <c r="L301" s="22">
        <v>17</v>
      </c>
      <c r="M301" s="31">
        <v>0.24299999999999999</v>
      </c>
      <c r="N301" s="32">
        <v>0.97</v>
      </c>
      <c r="O301" s="32"/>
      <c r="P301" s="32"/>
      <c r="Q301" s="32"/>
      <c r="R301" s="33"/>
    </row>
    <row r="302" spans="1:18" x14ac:dyDescent="0.25">
      <c r="A302" s="51" t="s">
        <v>577</v>
      </c>
      <c r="B302" s="29" t="s">
        <v>65</v>
      </c>
      <c r="C302" s="30"/>
      <c r="D302" s="22"/>
      <c r="E302" s="22"/>
      <c r="F302" s="22">
        <v>913</v>
      </c>
      <c r="G302" s="22">
        <v>75</v>
      </c>
      <c r="H302" s="22">
        <v>634</v>
      </c>
      <c r="I302" s="22">
        <v>38</v>
      </c>
      <c r="J302" s="22">
        <v>112</v>
      </c>
      <c r="K302" s="22"/>
      <c r="L302" s="22">
        <v>19</v>
      </c>
      <c r="M302" s="31">
        <v>0.24299999999999999</v>
      </c>
      <c r="N302" s="32">
        <v>0.97</v>
      </c>
      <c r="O302" s="32"/>
      <c r="P302" s="32"/>
      <c r="Q302" s="32"/>
      <c r="R302" s="33"/>
    </row>
    <row r="303" spans="1:18" x14ac:dyDescent="0.25">
      <c r="A303" s="51" t="s">
        <v>578</v>
      </c>
      <c r="B303" s="29" t="s">
        <v>66</v>
      </c>
      <c r="C303" s="30"/>
      <c r="D303" s="22"/>
      <c r="E303" s="22"/>
      <c r="F303" s="22">
        <v>1134</v>
      </c>
      <c r="G303" s="22">
        <v>69</v>
      </c>
      <c r="H303" s="22">
        <v>844</v>
      </c>
      <c r="I303" s="22">
        <v>29</v>
      </c>
      <c r="J303" s="22">
        <v>157</v>
      </c>
      <c r="K303" s="22"/>
      <c r="L303" s="22">
        <v>17</v>
      </c>
      <c r="M303" s="31">
        <v>0.19400000000000001</v>
      </c>
      <c r="N303" s="32">
        <v>0.98099999999999998</v>
      </c>
      <c r="O303" s="32"/>
      <c r="P303" s="32"/>
      <c r="Q303" s="32"/>
      <c r="R303" s="33"/>
    </row>
    <row r="304" spans="1:18" x14ac:dyDescent="0.25">
      <c r="A304" s="51" t="s">
        <v>579</v>
      </c>
      <c r="B304" s="29" t="s">
        <v>67</v>
      </c>
      <c r="C304" s="30"/>
      <c r="D304" s="22"/>
      <c r="E304" s="22"/>
      <c r="F304" s="22">
        <v>1118</v>
      </c>
      <c r="G304" s="22">
        <v>79</v>
      </c>
      <c r="H304" s="22">
        <v>861</v>
      </c>
      <c r="I304" s="22">
        <v>41</v>
      </c>
      <c r="J304" s="22">
        <v>157</v>
      </c>
      <c r="K304" s="22"/>
      <c r="L304" s="22">
        <v>19</v>
      </c>
      <c r="M304" s="31">
        <v>0.19400000000000001</v>
      </c>
      <c r="N304" s="32">
        <v>0.98099999999999998</v>
      </c>
      <c r="O304" s="32"/>
      <c r="P304" s="32"/>
      <c r="Q304" s="32"/>
      <c r="R304" s="33"/>
    </row>
    <row r="305" spans="1:18" x14ac:dyDescent="0.25">
      <c r="A305" s="51" t="s">
        <v>580</v>
      </c>
      <c r="B305" s="29" t="s">
        <v>68</v>
      </c>
      <c r="C305" s="30"/>
      <c r="D305" s="22"/>
      <c r="E305" s="22"/>
      <c r="F305" s="22">
        <v>1146</v>
      </c>
      <c r="G305" s="22">
        <v>99</v>
      </c>
      <c r="H305" s="22">
        <v>896</v>
      </c>
      <c r="I305" s="22">
        <v>64</v>
      </c>
      <c r="J305" s="22">
        <v>167</v>
      </c>
      <c r="K305" s="22"/>
      <c r="L305" s="22">
        <v>21</v>
      </c>
      <c r="M305" s="31">
        <v>0.19400000000000001</v>
      </c>
      <c r="N305" s="32">
        <v>0.98099999999999998</v>
      </c>
      <c r="O305" s="32"/>
      <c r="P305" s="32"/>
      <c r="Q305" s="32"/>
      <c r="R305" s="33"/>
    </row>
    <row r="306" spans="1:18" x14ac:dyDescent="0.25">
      <c r="A306" s="51" t="s">
        <v>581</v>
      </c>
      <c r="B306" s="29" t="s">
        <v>69</v>
      </c>
      <c r="C306" s="30"/>
      <c r="D306" s="22"/>
      <c r="E306" s="22"/>
      <c r="F306" s="22">
        <v>1095</v>
      </c>
      <c r="G306" s="22">
        <v>90</v>
      </c>
      <c r="H306" s="22">
        <v>865</v>
      </c>
      <c r="I306" s="22">
        <v>62</v>
      </c>
      <c r="J306" s="22">
        <v>161</v>
      </c>
      <c r="K306" s="22"/>
      <c r="L306" s="22">
        <v>22</v>
      </c>
      <c r="M306" s="31">
        <v>0.19400000000000001</v>
      </c>
      <c r="N306" s="32">
        <v>0.98099999999999998</v>
      </c>
      <c r="O306" s="32"/>
      <c r="P306" s="32"/>
      <c r="Q306" s="32"/>
      <c r="R306" s="33"/>
    </row>
    <row r="307" spans="1:18" x14ac:dyDescent="0.25">
      <c r="A307" s="51" t="s">
        <v>582</v>
      </c>
      <c r="B307" s="29" t="s">
        <v>70</v>
      </c>
      <c r="C307" s="30"/>
      <c r="D307" s="22"/>
      <c r="E307" s="22"/>
      <c r="F307" s="22">
        <v>1995</v>
      </c>
      <c r="G307" s="22">
        <v>248</v>
      </c>
      <c r="H307" s="22">
        <v>1791</v>
      </c>
      <c r="I307" s="22">
        <v>183</v>
      </c>
      <c r="J307" s="22">
        <v>405</v>
      </c>
      <c r="K307" s="22"/>
      <c r="L307" s="22">
        <v>70</v>
      </c>
      <c r="M307" s="31">
        <v>0.223</v>
      </c>
      <c r="N307" s="32">
        <v>0.97499999999999998</v>
      </c>
      <c r="O307" s="32"/>
      <c r="P307" s="32"/>
      <c r="Q307" s="32"/>
      <c r="R307" s="33"/>
    </row>
    <row r="308" spans="1:18" x14ac:dyDescent="0.25">
      <c r="A308" s="51" t="s">
        <v>583</v>
      </c>
      <c r="B308" s="29" t="s">
        <v>71</v>
      </c>
      <c r="C308" s="30"/>
      <c r="D308" s="22"/>
      <c r="E308" s="22"/>
      <c r="F308" s="22">
        <v>2100</v>
      </c>
      <c r="G308" s="22">
        <v>182</v>
      </c>
      <c r="H308" s="22">
        <v>1557</v>
      </c>
      <c r="I308" s="22">
        <v>195</v>
      </c>
      <c r="J308" s="22">
        <v>390</v>
      </c>
      <c r="K308" s="22"/>
      <c r="L308" s="22">
        <v>50</v>
      </c>
      <c r="M308" s="31">
        <v>0.219</v>
      </c>
      <c r="N308" s="32">
        <v>0.97599999999999998</v>
      </c>
      <c r="O308" s="32"/>
      <c r="P308" s="32"/>
      <c r="Q308" s="32"/>
      <c r="R308" s="33"/>
    </row>
    <row r="309" spans="1:18" x14ac:dyDescent="0.25">
      <c r="A309" s="51" t="s">
        <v>584</v>
      </c>
      <c r="B309" s="29" t="s">
        <v>72</v>
      </c>
      <c r="C309" s="30"/>
      <c r="D309" s="22"/>
      <c r="E309" s="22"/>
      <c r="F309" s="22">
        <v>1857</v>
      </c>
      <c r="G309" s="22">
        <v>143</v>
      </c>
      <c r="H309" s="22">
        <v>1621</v>
      </c>
      <c r="I309" s="22">
        <v>169</v>
      </c>
      <c r="J309" s="22">
        <v>402</v>
      </c>
      <c r="K309" s="22"/>
      <c r="L309" s="22">
        <v>40</v>
      </c>
      <c r="M309" s="31">
        <v>0.193</v>
      </c>
      <c r="N309" s="32">
        <v>0.98099999999999998</v>
      </c>
      <c r="O309" s="32"/>
      <c r="P309" s="32"/>
      <c r="Q309" s="32"/>
      <c r="R309" s="33"/>
    </row>
    <row r="310" spans="1:18" x14ac:dyDescent="0.25">
      <c r="A310" s="51" t="s">
        <v>585</v>
      </c>
      <c r="B310" s="29" t="s">
        <v>73</v>
      </c>
      <c r="C310" s="30"/>
      <c r="D310" s="22"/>
      <c r="E310" s="22"/>
      <c r="F310" s="22">
        <v>2525</v>
      </c>
      <c r="G310" s="22">
        <v>203</v>
      </c>
      <c r="H310" s="22">
        <v>2735</v>
      </c>
      <c r="I310" s="22">
        <v>251</v>
      </c>
      <c r="J310" s="22">
        <v>746</v>
      </c>
      <c r="K310" s="22"/>
      <c r="L310" s="22">
        <v>47</v>
      </c>
      <c r="M310" s="31">
        <v>0.13</v>
      </c>
      <c r="N310" s="32">
        <v>0.99199999999999999</v>
      </c>
      <c r="O310" s="32"/>
      <c r="P310" s="32"/>
      <c r="Q310" s="32"/>
      <c r="R310" s="33"/>
    </row>
    <row r="311" spans="1:18" x14ac:dyDescent="0.25">
      <c r="A311" s="51" t="s">
        <v>586</v>
      </c>
      <c r="B311" s="29" t="s">
        <v>304</v>
      </c>
      <c r="C311" s="30"/>
      <c r="D311" s="22"/>
      <c r="E311" s="22"/>
      <c r="F311" s="22">
        <v>2810</v>
      </c>
      <c r="G311" s="22">
        <v>256</v>
      </c>
      <c r="H311" s="22">
        <v>3241</v>
      </c>
      <c r="I311" s="22">
        <v>283</v>
      </c>
      <c r="J311" s="22">
        <v>974</v>
      </c>
      <c r="K311" s="22"/>
      <c r="L311" s="22">
        <v>61</v>
      </c>
      <c r="M311" s="31">
        <v>0.112</v>
      </c>
      <c r="N311" s="32">
        <v>0.99399999999999999</v>
      </c>
      <c r="O311" s="32"/>
      <c r="P311" s="32"/>
      <c r="Q311" s="32"/>
      <c r="R311" s="33"/>
    </row>
    <row r="312" spans="1:18" x14ac:dyDescent="0.25">
      <c r="A312" s="51" t="s">
        <v>587</v>
      </c>
      <c r="B312" s="29" t="s">
        <v>306</v>
      </c>
      <c r="C312" s="30"/>
      <c r="D312" s="22"/>
      <c r="E312" s="22"/>
      <c r="F312" s="22">
        <v>2884</v>
      </c>
      <c r="G312" s="22">
        <v>331</v>
      </c>
      <c r="H312" s="22">
        <v>3517</v>
      </c>
      <c r="I312" s="22">
        <v>305</v>
      </c>
      <c r="J312" s="22">
        <v>1237</v>
      </c>
      <c r="K312" s="22"/>
      <c r="L312" s="22">
        <v>79</v>
      </c>
      <c r="M312" s="31">
        <v>0.104</v>
      </c>
      <c r="N312" s="32">
        <v>0.995</v>
      </c>
      <c r="O312" s="32"/>
      <c r="P312" s="32"/>
      <c r="Q312" s="32"/>
      <c r="R312" s="33"/>
    </row>
    <row r="313" spans="1:18" x14ac:dyDescent="0.25">
      <c r="A313" s="51" t="s">
        <v>588</v>
      </c>
      <c r="B313" s="29" t="s">
        <v>310</v>
      </c>
      <c r="C313" s="30"/>
      <c r="D313" s="22"/>
      <c r="E313" s="22"/>
      <c r="F313" s="22">
        <v>158</v>
      </c>
      <c r="G313" s="22">
        <v>22</v>
      </c>
      <c r="H313" s="22">
        <v>41</v>
      </c>
      <c r="I313" s="22">
        <v>2</v>
      </c>
      <c r="J313" s="22">
        <v>5</v>
      </c>
      <c r="K313" s="22"/>
      <c r="L313" s="22">
        <v>3</v>
      </c>
      <c r="M313" s="31">
        <v>0.89400000000000002</v>
      </c>
      <c r="N313" s="32">
        <v>0.44700000000000001</v>
      </c>
      <c r="O313" s="32"/>
      <c r="P313" s="32"/>
      <c r="Q313" s="32"/>
      <c r="R313" s="33"/>
    </row>
    <row r="314" spans="1:18" x14ac:dyDescent="0.25">
      <c r="A314" s="51" t="s">
        <v>589</v>
      </c>
      <c r="B314" s="29" t="s">
        <v>312</v>
      </c>
      <c r="C314" s="30"/>
      <c r="D314" s="22"/>
      <c r="E314" s="22"/>
      <c r="F314" s="22">
        <v>163</v>
      </c>
      <c r="G314" s="22">
        <v>23</v>
      </c>
      <c r="H314" s="22">
        <v>46</v>
      </c>
      <c r="I314" s="22">
        <v>2</v>
      </c>
      <c r="J314" s="22">
        <v>6</v>
      </c>
      <c r="K314" s="22"/>
      <c r="L314" s="22">
        <v>3</v>
      </c>
      <c r="M314" s="31">
        <v>0.89400000000000002</v>
      </c>
      <c r="N314" s="32">
        <v>0.44700000000000001</v>
      </c>
      <c r="O314" s="32"/>
      <c r="P314" s="32"/>
      <c r="Q314" s="32"/>
      <c r="R314" s="33"/>
    </row>
    <row r="315" spans="1:18" x14ac:dyDescent="0.25">
      <c r="A315" s="51" t="s">
        <v>590</v>
      </c>
      <c r="B315" s="29" t="s">
        <v>314</v>
      </c>
      <c r="C315" s="30"/>
      <c r="D315" s="22"/>
      <c r="E315" s="22"/>
      <c r="F315" s="22">
        <v>184</v>
      </c>
      <c r="G315" s="22">
        <v>29</v>
      </c>
      <c r="H315" s="22">
        <v>48</v>
      </c>
      <c r="I315" s="22">
        <v>2</v>
      </c>
      <c r="J315" s="22">
        <v>8</v>
      </c>
      <c r="K315" s="22"/>
      <c r="L315" s="22">
        <v>5</v>
      </c>
      <c r="M315" s="31">
        <v>0.86399999999999999</v>
      </c>
      <c r="N315" s="32">
        <v>0.504</v>
      </c>
      <c r="O315" s="32"/>
      <c r="P315" s="32"/>
      <c r="Q315" s="32"/>
      <c r="R315" s="33"/>
    </row>
    <row r="316" spans="1:18" x14ac:dyDescent="0.25">
      <c r="A316" s="51" t="s">
        <v>591</v>
      </c>
      <c r="B316" s="29" t="s">
        <v>316</v>
      </c>
      <c r="C316" s="30"/>
      <c r="D316" s="22"/>
      <c r="E316" s="22"/>
      <c r="F316" s="22">
        <v>187</v>
      </c>
      <c r="G316" s="22">
        <v>30</v>
      </c>
      <c r="H316" s="22">
        <v>51</v>
      </c>
      <c r="I316" s="22">
        <v>3</v>
      </c>
      <c r="J316" s="22">
        <v>9</v>
      </c>
      <c r="K316" s="22"/>
      <c r="L316" s="22">
        <v>5</v>
      </c>
      <c r="M316" s="31">
        <v>0.86399999999999999</v>
      </c>
      <c r="N316" s="32">
        <v>0.504</v>
      </c>
      <c r="O316" s="32"/>
      <c r="P316" s="32"/>
      <c r="Q316" s="32"/>
      <c r="R316" s="33"/>
    </row>
    <row r="317" spans="1:18" x14ac:dyDescent="0.25">
      <c r="A317" s="51" t="s">
        <v>592</v>
      </c>
      <c r="B317" s="29" t="s">
        <v>318</v>
      </c>
      <c r="C317" s="30"/>
      <c r="D317" s="22"/>
      <c r="E317" s="22"/>
      <c r="F317" s="22">
        <v>250</v>
      </c>
      <c r="G317" s="22">
        <v>42</v>
      </c>
      <c r="H317" s="22">
        <v>67</v>
      </c>
      <c r="I317" s="22">
        <v>4</v>
      </c>
      <c r="J317" s="22">
        <v>14</v>
      </c>
      <c r="K317" s="22"/>
      <c r="L317" s="22">
        <v>7</v>
      </c>
      <c r="M317" s="31">
        <v>0.70699999999999996</v>
      </c>
      <c r="N317" s="32">
        <v>0.70699999999999996</v>
      </c>
      <c r="O317" s="32"/>
      <c r="P317" s="32"/>
      <c r="Q317" s="32"/>
      <c r="R317" s="33"/>
    </row>
    <row r="318" spans="1:18" x14ac:dyDescent="0.25">
      <c r="A318" s="51" t="s">
        <v>593</v>
      </c>
      <c r="B318" s="29" t="s">
        <v>320</v>
      </c>
      <c r="C318" s="30"/>
      <c r="D318" s="22"/>
      <c r="E318" s="22"/>
      <c r="F318" s="22">
        <v>290</v>
      </c>
      <c r="G318" s="22">
        <v>45</v>
      </c>
      <c r="H318" s="22">
        <v>75</v>
      </c>
      <c r="I318" s="22">
        <v>5</v>
      </c>
      <c r="J318" s="22">
        <v>22</v>
      </c>
      <c r="K318" s="22"/>
      <c r="L318" s="22">
        <v>7</v>
      </c>
      <c r="M318" s="31">
        <v>0.55500000000000005</v>
      </c>
      <c r="N318" s="32">
        <v>0.83199999999999996</v>
      </c>
      <c r="O318" s="32"/>
      <c r="P318" s="32"/>
      <c r="Q318" s="32"/>
      <c r="R318" s="33"/>
    </row>
    <row r="319" spans="1:18" x14ac:dyDescent="0.25">
      <c r="A319" s="51" t="s">
        <v>594</v>
      </c>
      <c r="B319" s="29" t="s">
        <v>322</v>
      </c>
      <c r="C319" s="30"/>
      <c r="D319" s="22"/>
      <c r="E319" s="22"/>
      <c r="F319" s="22">
        <v>455</v>
      </c>
      <c r="G319" s="22">
        <v>42</v>
      </c>
      <c r="H319" s="22">
        <v>79</v>
      </c>
      <c r="I319" s="22">
        <v>8</v>
      </c>
      <c r="J319" s="22">
        <v>36</v>
      </c>
      <c r="K319" s="22"/>
      <c r="L319" s="22">
        <v>11</v>
      </c>
      <c r="M319" s="31">
        <v>0.44700000000000001</v>
      </c>
      <c r="N319" s="32">
        <v>0.89400000000000002</v>
      </c>
      <c r="O319" s="32"/>
      <c r="P319" s="32"/>
      <c r="Q319" s="32"/>
      <c r="R319" s="33"/>
    </row>
    <row r="320" spans="1:18" x14ac:dyDescent="0.25">
      <c r="A320" s="52"/>
      <c r="B320" s="29"/>
      <c r="C320" s="30"/>
      <c r="D320" s="22"/>
      <c r="E320" s="22"/>
      <c r="F320" s="22"/>
      <c r="G320" s="22"/>
      <c r="H320" s="22"/>
      <c r="I320" s="22"/>
      <c r="J320" s="22"/>
      <c r="K320" s="22"/>
      <c r="L320" s="22"/>
      <c r="M320" s="31"/>
      <c r="N320" s="32"/>
      <c r="O320" s="32"/>
      <c r="P320" s="32"/>
      <c r="Q320" s="32"/>
      <c r="R320" s="33"/>
    </row>
    <row r="321" spans="1:18" x14ac:dyDescent="0.25">
      <c r="A321" s="52"/>
      <c r="B321" s="29"/>
      <c r="C321" s="30"/>
      <c r="D321" s="22"/>
      <c r="E321" s="22"/>
      <c r="F321" s="22"/>
      <c r="G321" s="22"/>
      <c r="H321" s="22"/>
      <c r="I321" s="22"/>
      <c r="J321" s="22"/>
      <c r="K321" s="22"/>
      <c r="L321" s="22"/>
      <c r="M321" s="31"/>
      <c r="N321" s="32"/>
      <c r="O321" s="32"/>
      <c r="P321" s="32"/>
      <c r="Q321" s="32"/>
      <c r="R321" s="33"/>
    </row>
    <row r="322" spans="1:18" x14ac:dyDescent="0.25">
      <c r="A322" s="52"/>
      <c r="B322" s="29"/>
      <c r="C322" s="30"/>
      <c r="D322" s="22"/>
      <c r="E322" s="22"/>
      <c r="F322" s="22"/>
      <c r="G322" s="22"/>
      <c r="H322" s="22"/>
      <c r="I322" s="22"/>
      <c r="J322" s="22"/>
      <c r="K322" s="22"/>
      <c r="L322" s="22"/>
      <c r="M322" s="31"/>
      <c r="N322" s="32"/>
      <c r="O322" s="32"/>
      <c r="P322" s="32"/>
      <c r="Q322" s="32"/>
      <c r="R322" s="33"/>
    </row>
    <row r="323" spans="1:18" x14ac:dyDescent="0.25">
      <c r="A323" s="52"/>
      <c r="B323" s="29"/>
      <c r="C323" s="30"/>
      <c r="D323" s="22"/>
      <c r="E323" s="22"/>
      <c r="F323" s="22"/>
      <c r="G323" s="22"/>
      <c r="H323" s="22"/>
      <c r="I323" s="22"/>
      <c r="J323" s="22"/>
      <c r="K323" s="22"/>
      <c r="L323" s="22"/>
      <c r="M323" s="31"/>
      <c r="N323" s="32"/>
      <c r="O323" s="32"/>
      <c r="P323" s="32"/>
      <c r="Q323" s="32"/>
      <c r="R323" s="33"/>
    </row>
    <row r="324" spans="1:18" x14ac:dyDescent="0.25">
      <c r="A324" s="52"/>
      <c r="B324" s="29"/>
      <c r="C324" s="30"/>
      <c r="D324" s="22"/>
      <c r="E324" s="22"/>
      <c r="F324" s="22"/>
      <c r="G324" s="22"/>
      <c r="H324" s="22"/>
      <c r="I324" s="22"/>
      <c r="J324" s="22"/>
      <c r="K324" s="22"/>
      <c r="L324" s="22"/>
      <c r="M324" s="31"/>
      <c r="N324" s="32"/>
      <c r="O324" s="32"/>
      <c r="P324" s="32"/>
      <c r="Q324" s="32"/>
      <c r="R324" s="33"/>
    </row>
    <row r="325" spans="1:18" x14ac:dyDescent="0.25">
      <c r="A325" s="52"/>
      <c r="B325" s="29"/>
      <c r="C325" s="30"/>
      <c r="D325" s="22"/>
      <c r="E325" s="22"/>
      <c r="F325" s="22"/>
      <c r="G325" s="22"/>
      <c r="H325" s="22"/>
      <c r="I325" s="22"/>
      <c r="J325" s="22"/>
      <c r="K325" s="22"/>
      <c r="L325" s="22"/>
      <c r="M325" s="31"/>
      <c r="N325" s="32"/>
      <c r="O325" s="32"/>
      <c r="P325" s="32"/>
      <c r="Q325" s="32"/>
      <c r="R325" s="33"/>
    </row>
    <row r="326" spans="1:18" x14ac:dyDescent="0.25">
      <c r="A326" s="52"/>
      <c r="B326" s="29"/>
      <c r="C326" s="30"/>
      <c r="D326" s="22"/>
      <c r="E326" s="22"/>
      <c r="F326" s="22"/>
      <c r="G326" s="22"/>
      <c r="H326" s="22"/>
      <c r="I326" s="22"/>
      <c r="J326" s="22"/>
      <c r="K326" s="22"/>
      <c r="L326" s="22"/>
      <c r="M326" s="31"/>
      <c r="N326" s="32"/>
      <c r="O326" s="32"/>
      <c r="P326" s="32"/>
      <c r="Q326" s="32"/>
      <c r="R326" s="33"/>
    </row>
    <row r="327" spans="1:18" x14ac:dyDescent="0.25">
      <c r="A327" s="52"/>
      <c r="B327" s="29"/>
      <c r="C327" s="30"/>
      <c r="D327" s="22"/>
      <c r="E327" s="22"/>
      <c r="F327" s="22"/>
      <c r="G327" s="22"/>
      <c r="H327" s="22"/>
      <c r="I327" s="22"/>
      <c r="J327" s="22"/>
      <c r="K327" s="22"/>
      <c r="L327" s="22"/>
      <c r="M327" s="31"/>
      <c r="N327" s="32"/>
      <c r="O327" s="32"/>
      <c r="P327" s="32"/>
      <c r="Q327" s="32"/>
      <c r="R327" s="33"/>
    </row>
    <row r="328" spans="1:18" x14ac:dyDescent="0.25">
      <c r="A328" s="52"/>
      <c r="B328" s="29"/>
      <c r="C328" s="30"/>
      <c r="D328" s="22"/>
      <c r="E328" s="22"/>
      <c r="F328" s="22"/>
      <c r="G328" s="22"/>
      <c r="H328" s="22"/>
      <c r="I328" s="22"/>
      <c r="J328" s="22"/>
      <c r="K328" s="22"/>
      <c r="L328" s="22"/>
      <c r="M328" s="31"/>
      <c r="N328" s="32"/>
      <c r="O328" s="32"/>
      <c r="P328" s="32"/>
      <c r="Q328" s="32"/>
      <c r="R328" s="33"/>
    </row>
    <row r="329" spans="1:18" x14ac:dyDescent="0.25">
      <c r="A329" s="52"/>
      <c r="B329" s="29"/>
      <c r="C329" s="30"/>
      <c r="D329" s="22"/>
      <c r="E329" s="22"/>
      <c r="F329" s="22"/>
      <c r="G329" s="22"/>
      <c r="H329" s="22"/>
      <c r="I329" s="22"/>
      <c r="J329" s="22"/>
      <c r="K329" s="22"/>
      <c r="L329" s="22"/>
      <c r="M329" s="31"/>
      <c r="N329" s="32"/>
      <c r="O329" s="32"/>
      <c r="P329" s="32"/>
      <c r="Q329" s="32"/>
      <c r="R329" s="33"/>
    </row>
    <row r="330" spans="1:18" x14ac:dyDescent="0.25">
      <c r="A330" s="52"/>
      <c r="B330" s="29"/>
      <c r="C330" s="30"/>
      <c r="D330" s="22"/>
      <c r="E330" s="22"/>
      <c r="F330" s="22"/>
      <c r="G330" s="22"/>
      <c r="H330" s="22"/>
      <c r="I330" s="22"/>
      <c r="J330" s="22"/>
      <c r="K330" s="22"/>
      <c r="L330" s="22"/>
      <c r="M330" s="31"/>
      <c r="N330" s="32"/>
      <c r="O330" s="32"/>
      <c r="P330" s="32"/>
      <c r="Q330" s="32"/>
      <c r="R330" s="33"/>
    </row>
    <row r="331" spans="1:18" x14ac:dyDescent="0.25">
      <c r="A331" s="52"/>
      <c r="B331" s="29"/>
      <c r="C331" s="30"/>
      <c r="D331" s="22"/>
      <c r="E331" s="22"/>
      <c r="F331" s="22"/>
      <c r="G331" s="22"/>
      <c r="H331" s="22"/>
      <c r="I331" s="22"/>
      <c r="J331" s="22"/>
      <c r="K331" s="22"/>
      <c r="L331" s="22"/>
      <c r="M331" s="31"/>
      <c r="N331" s="32"/>
      <c r="O331" s="32"/>
      <c r="P331" s="32"/>
      <c r="Q331" s="32"/>
      <c r="R331" s="33"/>
    </row>
    <row r="332" spans="1:18" x14ac:dyDescent="0.25">
      <c r="A332" s="52"/>
      <c r="B332" s="29"/>
      <c r="C332" s="30"/>
      <c r="D332" s="22"/>
      <c r="E332" s="22"/>
      <c r="F332" s="22"/>
      <c r="G332" s="22"/>
      <c r="H332" s="22"/>
      <c r="I332" s="22"/>
      <c r="J332" s="22"/>
      <c r="K332" s="22"/>
      <c r="L332" s="22"/>
      <c r="M332" s="31"/>
      <c r="N332" s="32"/>
      <c r="O332" s="32"/>
      <c r="P332" s="32"/>
      <c r="Q332" s="32"/>
      <c r="R332" s="33"/>
    </row>
    <row r="333" spans="1:18" x14ac:dyDescent="0.25">
      <c r="A333" s="52"/>
      <c r="B333" s="29"/>
      <c r="C333" s="30"/>
      <c r="D333" s="22"/>
      <c r="E333" s="22"/>
      <c r="F333" s="22"/>
      <c r="G333" s="22"/>
      <c r="H333" s="22"/>
      <c r="I333" s="22"/>
      <c r="J333" s="22"/>
      <c r="K333" s="22"/>
      <c r="L333" s="22"/>
      <c r="M333" s="31"/>
      <c r="N333" s="32"/>
      <c r="O333" s="32"/>
      <c r="P333" s="32"/>
      <c r="Q333" s="32"/>
      <c r="R333" s="33"/>
    </row>
    <row r="334" spans="1:18" x14ac:dyDescent="0.25">
      <c r="A334" s="52"/>
      <c r="B334" s="29"/>
      <c r="C334" s="30"/>
      <c r="D334" s="22"/>
      <c r="E334" s="22"/>
      <c r="F334" s="22"/>
      <c r="G334" s="22"/>
      <c r="H334" s="22"/>
      <c r="I334" s="22"/>
      <c r="J334" s="22"/>
      <c r="K334" s="22"/>
      <c r="L334" s="22"/>
      <c r="M334" s="31"/>
      <c r="N334" s="32"/>
      <c r="O334" s="32"/>
      <c r="P334" s="32"/>
      <c r="Q334" s="32"/>
      <c r="R334" s="33"/>
    </row>
    <row r="335" spans="1:18" x14ac:dyDescent="0.25">
      <c r="A335" s="52"/>
      <c r="B335" s="29"/>
      <c r="C335" s="30"/>
      <c r="D335" s="22"/>
      <c r="E335" s="22"/>
      <c r="F335" s="22"/>
      <c r="G335" s="22"/>
      <c r="H335" s="22"/>
      <c r="I335" s="22"/>
      <c r="J335" s="22"/>
      <c r="K335" s="22"/>
      <c r="L335" s="22"/>
      <c r="M335" s="31"/>
      <c r="N335" s="32"/>
      <c r="O335" s="32"/>
      <c r="P335" s="32"/>
      <c r="Q335" s="32"/>
      <c r="R335" s="33"/>
    </row>
    <row r="336" spans="1:18" x14ac:dyDescent="0.25">
      <c r="A336" s="52"/>
      <c r="B336" s="29"/>
      <c r="C336" s="30"/>
      <c r="D336" s="22"/>
      <c r="E336" s="22"/>
      <c r="F336" s="22"/>
      <c r="G336" s="22"/>
      <c r="H336" s="22"/>
      <c r="I336" s="22"/>
      <c r="J336" s="22"/>
      <c r="K336" s="22"/>
      <c r="L336" s="22"/>
      <c r="M336" s="31"/>
      <c r="N336" s="32"/>
      <c r="O336" s="32"/>
      <c r="P336" s="32"/>
      <c r="Q336" s="32"/>
      <c r="R336" s="33"/>
    </row>
    <row r="337" spans="1:18" x14ac:dyDescent="0.25">
      <c r="A337" s="52"/>
      <c r="B337" s="29"/>
      <c r="C337" s="30"/>
      <c r="D337" s="22"/>
      <c r="E337" s="22"/>
      <c r="F337" s="22"/>
      <c r="G337" s="22"/>
      <c r="H337" s="22"/>
      <c r="I337" s="22"/>
      <c r="J337" s="22"/>
      <c r="K337" s="22"/>
      <c r="L337" s="22"/>
      <c r="M337" s="31"/>
      <c r="N337" s="32"/>
      <c r="O337" s="32"/>
      <c r="P337" s="32"/>
      <c r="Q337" s="32"/>
      <c r="R337" s="33"/>
    </row>
    <row r="338" spans="1:18" x14ac:dyDescent="0.25">
      <c r="A338" s="52"/>
      <c r="B338" s="29"/>
      <c r="C338" s="30"/>
      <c r="D338" s="22"/>
      <c r="E338" s="22"/>
      <c r="F338" s="22"/>
      <c r="G338" s="22"/>
      <c r="H338" s="22"/>
      <c r="I338" s="22"/>
      <c r="J338" s="22"/>
      <c r="K338" s="22"/>
      <c r="L338" s="22"/>
      <c r="M338" s="31"/>
      <c r="N338" s="32"/>
      <c r="O338" s="32"/>
      <c r="P338" s="32"/>
      <c r="Q338" s="32"/>
      <c r="R338" s="33"/>
    </row>
    <row r="339" spans="1:18" x14ac:dyDescent="0.25">
      <c r="A339" s="52"/>
      <c r="B339" s="29"/>
      <c r="C339" s="30"/>
      <c r="D339" s="22"/>
      <c r="E339" s="22"/>
      <c r="F339" s="22"/>
      <c r="G339" s="22"/>
      <c r="H339" s="22"/>
      <c r="I339" s="22"/>
      <c r="J339" s="22"/>
      <c r="K339" s="22"/>
      <c r="L339" s="22"/>
      <c r="M339" s="31"/>
      <c r="N339" s="32"/>
      <c r="O339" s="32"/>
      <c r="P339" s="32"/>
      <c r="Q339" s="32"/>
      <c r="R339" s="33"/>
    </row>
    <row r="340" spans="1:18" x14ac:dyDescent="0.25">
      <c r="A340" s="52"/>
      <c r="B340" s="29"/>
      <c r="C340" s="30"/>
      <c r="D340" s="22"/>
      <c r="E340" s="22"/>
      <c r="F340" s="22"/>
      <c r="G340" s="22"/>
      <c r="H340" s="22"/>
      <c r="I340" s="22"/>
      <c r="J340" s="22"/>
      <c r="K340" s="22"/>
      <c r="L340" s="22"/>
      <c r="M340" s="31"/>
      <c r="N340" s="32"/>
      <c r="O340" s="32"/>
      <c r="P340" s="32"/>
      <c r="Q340" s="32"/>
      <c r="R340" s="33"/>
    </row>
    <row r="341" spans="1:18" x14ac:dyDescent="0.25">
      <c r="A341" s="52"/>
      <c r="B341" s="29"/>
      <c r="C341" s="30"/>
      <c r="D341" s="22"/>
      <c r="E341" s="22"/>
      <c r="F341" s="22"/>
      <c r="G341" s="22"/>
      <c r="H341" s="22"/>
      <c r="I341" s="22"/>
      <c r="J341" s="22"/>
      <c r="K341" s="22"/>
      <c r="L341" s="22"/>
      <c r="M341" s="31"/>
      <c r="N341" s="32"/>
      <c r="O341" s="32"/>
      <c r="P341" s="32"/>
      <c r="Q341" s="32"/>
      <c r="R341" s="33"/>
    </row>
    <row r="342" spans="1:18" x14ac:dyDescent="0.25">
      <c r="A342" s="52"/>
      <c r="B342" s="29"/>
      <c r="C342" s="30"/>
      <c r="D342" s="22"/>
      <c r="E342" s="22"/>
      <c r="F342" s="22"/>
      <c r="G342" s="22"/>
      <c r="H342" s="22"/>
      <c r="I342" s="22"/>
      <c r="J342" s="22"/>
      <c r="K342" s="22"/>
      <c r="L342" s="22"/>
      <c r="M342" s="31"/>
      <c r="N342" s="32"/>
      <c r="O342" s="32"/>
      <c r="P342" s="32"/>
      <c r="Q342" s="32"/>
      <c r="R342" s="33"/>
    </row>
    <row r="343" spans="1:18" x14ac:dyDescent="0.25">
      <c r="A343" s="52"/>
      <c r="B343" s="29"/>
      <c r="C343" s="30"/>
      <c r="D343" s="22"/>
      <c r="E343" s="22"/>
      <c r="F343" s="22"/>
      <c r="G343" s="22"/>
      <c r="H343" s="22"/>
      <c r="I343" s="22"/>
      <c r="J343" s="22"/>
      <c r="K343" s="22"/>
      <c r="L343" s="22"/>
      <c r="M343" s="31"/>
      <c r="N343" s="32"/>
      <c r="O343" s="32"/>
      <c r="P343" s="32"/>
      <c r="Q343" s="32"/>
      <c r="R343" s="33"/>
    </row>
    <row r="344" spans="1:18" x14ac:dyDescent="0.25">
      <c r="A344" s="52"/>
      <c r="B344" s="29"/>
      <c r="C344" s="30"/>
      <c r="D344" s="22"/>
      <c r="E344" s="22"/>
      <c r="F344" s="22"/>
      <c r="G344" s="22"/>
      <c r="H344" s="22"/>
      <c r="I344" s="22"/>
      <c r="J344" s="22"/>
      <c r="K344" s="22"/>
      <c r="L344" s="22"/>
      <c r="M344" s="31"/>
      <c r="N344" s="32"/>
      <c r="O344" s="32"/>
      <c r="P344" s="32"/>
      <c r="Q344" s="32"/>
      <c r="R344" s="33"/>
    </row>
    <row r="345" spans="1:18" x14ac:dyDescent="0.25">
      <c r="A345" s="52"/>
      <c r="B345" s="29"/>
      <c r="C345" s="30"/>
      <c r="D345" s="22"/>
      <c r="E345" s="22"/>
      <c r="F345" s="22"/>
      <c r="G345" s="22"/>
      <c r="H345" s="22"/>
      <c r="I345" s="22"/>
      <c r="J345" s="22"/>
      <c r="K345" s="22"/>
      <c r="L345" s="22"/>
      <c r="M345" s="31"/>
      <c r="N345" s="32"/>
      <c r="O345" s="32"/>
      <c r="P345" s="32"/>
      <c r="Q345" s="32"/>
      <c r="R345" s="33"/>
    </row>
    <row r="346" spans="1:18" x14ac:dyDescent="0.25">
      <c r="A346" s="52"/>
      <c r="B346" s="29"/>
      <c r="C346" s="30"/>
      <c r="D346" s="22"/>
      <c r="E346" s="22"/>
      <c r="F346" s="22"/>
      <c r="G346" s="22"/>
      <c r="H346" s="22"/>
      <c r="I346" s="22"/>
      <c r="J346" s="22"/>
      <c r="K346" s="22"/>
      <c r="L346" s="22"/>
      <c r="M346" s="31"/>
      <c r="N346" s="32"/>
      <c r="O346" s="32"/>
      <c r="P346" s="32"/>
      <c r="Q346" s="32"/>
      <c r="R346" s="33"/>
    </row>
    <row r="347" spans="1:18" x14ac:dyDescent="0.25">
      <c r="A347" s="52"/>
      <c r="B347" s="29"/>
      <c r="C347" s="30"/>
      <c r="D347" s="22"/>
      <c r="E347" s="22"/>
      <c r="F347" s="22"/>
      <c r="G347" s="22"/>
      <c r="H347" s="22"/>
      <c r="I347" s="22"/>
      <c r="J347" s="22"/>
      <c r="K347" s="22"/>
      <c r="L347" s="22"/>
      <c r="M347" s="31"/>
      <c r="N347" s="32"/>
      <c r="O347" s="32"/>
      <c r="P347" s="32"/>
      <c r="Q347" s="32"/>
      <c r="R347" s="33"/>
    </row>
  </sheetData>
  <autoFilter ref="A2:R2" xr:uid="{00000000-0009-0000-0000-000003000000}"/>
  <mergeCells count="2">
    <mergeCell ref="D1:L1"/>
    <mergeCell ref="M1:R1"/>
  </mergeCells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AL6592"/>
  <sheetViews>
    <sheetView zoomScaleNormal="100" workbookViewId="0">
      <selection activeCell="E3" sqref="E3:E7"/>
    </sheetView>
  </sheetViews>
  <sheetFormatPr defaultRowHeight="15" x14ac:dyDescent="0.25"/>
  <cols>
    <col min="1" max="1" width="9.85546875" customWidth="1"/>
    <col min="2" max="2" width="17.7109375" bestFit="1" customWidth="1"/>
    <col min="3" max="3" width="11.7109375" customWidth="1"/>
    <col min="4" max="4" width="21.5703125" customWidth="1"/>
    <col min="6" max="6" width="19.140625" customWidth="1"/>
    <col min="7" max="7" width="17.7109375" bestFit="1" customWidth="1"/>
    <col min="8" max="8" width="22" customWidth="1"/>
    <col min="11" max="11" width="36.140625" customWidth="1"/>
    <col min="18" max="18" width="21.28515625" bestFit="1" customWidth="1"/>
    <col min="24" max="24" width="10.5703125" customWidth="1"/>
  </cols>
  <sheetData>
    <row r="1" spans="1:38" ht="15.75" customHeight="1" thickBot="1" x14ac:dyDescent="0.3">
      <c r="B1" t="s">
        <v>92</v>
      </c>
      <c r="D1" t="s">
        <v>93</v>
      </c>
      <c r="E1" s="1" t="s">
        <v>2093</v>
      </c>
      <c r="G1" t="s">
        <v>94</v>
      </c>
      <c r="H1" t="s">
        <v>95</v>
      </c>
      <c r="Y1" t="s">
        <v>2166</v>
      </c>
      <c r="Z1" t="s">
        <v>2107</v>
      </c>
      <c r="AA1" t="s">
        <v>2433</v>
      </c>
      <c r="AB1" t="s">
        <v>2434</v>
      </c>
      <c r="AC1" t="s">
        <v>2108</v>
      </c>
      <c r="AD1" t="s">
        <v>2391</v>
      </c>
      <c r="AE1" t="str">
        <f ca="1">IF('DCL(РСН)'!O1=0,"N, ","")</f>
        <v/>
      </c>
      <c r="AF1" t="str">
        <f ca="1">IF('DCL(РСН)'!P1=0,"Mk, ","")</f>
        <v/>
      </c>
      <c r="AH1" t="str">
        <f ca="1">IF('DCL(РСН)'!R1=0,"Q, ","")</f>
        <v/>
      </c>
      <c r="AJ1" t="str">
        <f ca="1">IF('DCL(РСН)'!T1=0,"Qo, ","")</f>
        <v/>
      </c>
      <c r="AK1" t="str">
        <f ca="1">IF('DCL(РСН)'!U1=0,"B.","")</f>
        <v>B.</v>
      </c>
      <c r="AL1" t="s">
        <v>2392</v>
      </c>
    </row>
    <row r="2" spans="1:38" ht="15.75" customHeight="1" thickBot="1" x14ac:dyDescent="0.3">
      <c r="A2">
        <f>IF(COUNTIF(B$1:B2,B2)=1,MAX(A$1:A1)+1,"")</f>
        <v>1</v>
      </c>
      <c r="B2" s="29" t="s">
        <v>106</v>
      </c>
      <c r="C2" s="11">
        <f>IF(COUNTIF(D$1:D2,D2)=1,MAX(C$1:C1)+1,"")</f>
        <v>1</v>
      </c>
      <c r="D2" s="30" t="s">
        <v>595</v>
      </c>
      <c r="E2" s="1" t="s">
        <v>2094</v>
      </c>
      <c r="G2" s="1" t="str">
        <f>IF(MAX(A2:A6592)&lt;ROW(1:1),"",VLOOKUP(ROW(1:1),A2:B6592,2))</f>
        <v>16Б1</v>
      </c>
      <c r="H2" s="1" t="str">
        <f>IF(MAX(C2:C6592)&lt;ROW(1:1),"",VLOOKUP(ROW(1:1),C2:D6592,2))</f>
        <v xml:space="preserve">Гнз80x4 </v>
      </c>
      <c r="K2" s="27" t="s">
        <v>98</v>
      </c>
      <c r="L2" s="340" t="s">
        <v>99</v>
      </c>
      <c r="M2" s="341"/>
      <c r="N2" s="341"/>
      <c r="O2" s="341"/>
      <c r="R2" s="191" t="s">
        <v>2117</v>
      </c>
      <c r="S2" s="191"/>
      <c r="T2" s="191"/>
      <c r="U2" s="191"/>
      <c r="V2" s="191"/>
      <c r="X2" t="s">
        <v>106</v>
      </c>
      <c r="Y2">
        <v>13.96</v>
      </c>
      <c r="Z2">
        <v>1</v>
      </c>
      <c r="AA2">
        <v>1</v>
      </c>
      <c r="AB2">
        <v>1</v>
      </c>
      <c r="AC2">
        <v>1</v>
      </c>
    </row>
    <row r="3" spans="1:38" ht="15.75" customHeight="1" x14ac:dyDescent="0.25">
      <c r="A3">
        <f>IF(COUNTIF(B$1:B3,B3)=1,MAX(A$1:A2)+1,"")</f>
        <v>2</v>
      </c>
      <c r="B3" s="29">
        <v>18</v>
      </c>
      <c r="C3" s="11">
        <f>IF(COUNTIF(D$1:D3,D3)=1,MAX(C$1:C2)+1,"")</f>
        <v>2</v>
      </c>
      <c r="D3" s="30" t="s">
        <v>596</v>
      </c>
      <c r="E3" s="1" t="s">
        <v>602</v>
      </c>
      <c r="G3" s="1">
        <f t="shared" ref="G3:G57" si="0">IF(MAX(A3:A6593)&lt;ROW(2:2),"",VLOOKUP(ROW(2:2),A3:B6593,2))</f>
        <v>18</v>
      </c>
      <c r="H3" s="1" t="str">
        <f t="shared" ref="H3:H66" si="1">IF(MAX(C3:C6593)&lt;ROW(2:2),"",VLOOKUP(ROW(2:2),C3:D6593,2))</f>
        <v xml:space="preserve">Гнз100x5 </v>
      </c>
      <c r="K3" s="338" t="s">
        <v>100</v>
      </c>
      <c r="L3" s="337" t="s">
        <v>253</v>
      </c>
      <c r="M3" s="337" t="s">
        <v>254</v>
      </c>
      <c r="N3" s="337" t="s">
        <v>255</v>
      </c>
      <c r="O3" s="337" t="s">
        <v>256</v>
      </c>
      <c r="R3" s="331" t="s">
        <v>2116</v>
      </c>
      <c r="S3" s="334" t="s">
        <v>253</v>
      </c>
      <c r="T3" s="337" t="s">
        <v>254</v>
      </c>
      <c r="U3" s="337" t="s">
        <v>255</v>
      </c>
      <c r="V3" s="337" t="s">
        <v>256</v>
      </c>
      <c r="X3">
        <v>18</v>
      </c>
      <c r="Y3">
        <v>12.29</v>
      </c>
      <c r="Z3">
        <v>2</v>
      </c>
      <c r="AA3">
        <v>2</v>
      </c>
      <c r="AB3">
        <v>2</v>
      </c>
      <c r="AC3">
        <v>2</v>
      </c>
      <c r="AD3" t="str">
        <f ca="1">CONCATENATE(AD1,AE1,AF1,AG1,AH1,AI1,AJ1,AL1)</f>
        <v>Внимание не заполнены следующие усилия:  Необходимо проверить корректность введенных данных</v>
      </c>
    </row>
    <row r="4" spans="1:38" ht="15.75" customHeight="1" x14ac:dyDescent="0.25">
      <c r="A4">
        <f>IF(COUNTIF(B$1:B4,B4)=1,MAX(A$1:A3)+1,"")</f>
        <v>3</v>
      </c>
      <c r="B4" s="29" t="s">
        <v>37</v>
      </c>
      <c r="C4" s="11">
        <f>IF(COUNTIF(D$1:D4,D4)=1,MAX(C$1:C3)+1,"")</f>
        <v>3</v>
      </c>
      <c r="D4" s="30" t="s">
        <v>597</v>
      </c>
      <c r="E4" s="1" t="s">
        <v>2114</v>
      </c>
      <c r="G4" s="1" t="str">
        <f t="shared" si="0"/>
        <v>20Б1</v>
      </c>
      <c r="H4" s="1" t="str">
        <f t="shared" si="1"/>
        <v>Гнз120x5</v>
      </c>
      <c r="K4" s="338"/>
      <c r="L4" s="338"/>
      <c r="M4" s="338"/>
      <c r="N4" s="338"/>
      <c r="O4" s="338"/>
      <c r="R4" s="332"/>
      <c r="S4" s="335"/>
      <c r="T4" s="338"/>
      <c r="U4" s="338"/>
      <c r="V4" s="338"/>
      <c r="X4" t="s">
        <v>37</v>
      </c>
      <c r="Y4">
        <v>11.01</v>
      </c>
      <c r="Z4">
        <v>3</v>
      </c>
      <c r="AA4">
        <v>3</v>
      </c>
      <c r="AB4">
        <v>3</v>
      </c>
      <c r="AD4" t="str">
        <f ca="1">CONCATENATE(AD1,AE1,AF1,AG1,AH1,AI1,AJ1,AK1,AL1)</f>
        <v>Внимание не заполнены следующие усилия: B. Необходимо проверить корректность введенных данных</v>
      </c>
    </row>
    <row r="5" spans="1:38" ht="15.75" customHeight="1" x14ac:dyDescent="0.25">
      <c r="A5">
        <f>IF(COUNTIF(B$1:B5,B5)=1,MAX(A$1:A4)+1,"")</f>
        <v>4</v>
      </c>
      <c r="B5" s="29" t="s">
        <v>38</v>
      </c>
      <c r="C5" s="11">
        <f>IF(COUNTIF(D$1:D5,D5)=1,MAX(C$1:C4)+1,"")</f>
        <v>4</v>
      </c>
      <c r="D5" s="30" t="s">
        <v>598</v>
      </c>
      <c r="E5" s="1" t="s">
        <v>603</v>
      </c>
      <c r="G5" s="1" t="str">
        <f t="shared" si="0"/>
        <v>20Б2</v>
      </c>
      <c r="H5" s="1" t="str">
        <f t="shared" si="1"/>
        <v xml:space="preserve">Гнз140x6 </v>
      </c>
      <c r="K5" s="338"/>
      <c r="L5" s="338"/>
      <c r="M5" s="338"/>
      <c r="N5" s="338"/>
      <c r="O5" s="338"/>
      <c r="R5" s="332"/>
      <c r="S5" s="335"/>
      <c r="T5" s="338"/>
      <c r="U5" s="338"/>
      <c r="V5" s="338"/>
      <c r="X5" t="s">
        <v>38</v>
      </c>
      <c r="Y5">
        <v>10.93</v>
      </c>
      <c r="Z5">
        <v>4</v>
      </c>
      <c r="AB5">
        <v>4</v>
      </c>
    </row>
    <row r="6" spans="1:38" ht="15.75" customHeight="1" thickBot="1" x14ac:dyDescent="0.3">
      <c r="A6">
        <f>IF(COUNTIF(B$1:B6,B6)=1,MAX(A$1:A5)+1,"")</f>
        <v>5</v>
      </c>
      <c r="B6" s="29" t="s">
        <v>39</v>
      </c>
      <c r="C6" s="11">
        <f>IF(COUNTIF(D$1:D6,D6)=1,MAX(C$1:C5)+1,"")</f>
        <v>5</v>
      </c>
      <c r="D6" s="30" t="s">
        <v>599</v>
      </c>
      <c r="E6" s="1" t="s">
        <v>608</v>
      </c>
      <c r="G6" s="1" t="str">
        <f t="shared" si="0"/>
        <v>25Б1</v>
      </c>
      <c r="H6" s="1" t="str">
        <f t="shared" si="1"/>
        <v xml:space="preserve">Гнз160x6 </v>
      </c>
      <c r="K6" s="339"/>
      <c r="L6" s="339"/>
      <c r="M6" s="339"/>
      <c r="N6" s="339"/>
      <c r="O6" s="339"/>
      <c r="R6" s="333"/>
      <c r="S6" s="336"/>
      <c r="T6" s="339"/>
      <c r="U6" s="339"/>
      <c r="V6" s="339"/>
      <c r="X6" t="s">
        <v>39</v>
      </c>
      <c r="Y6">
        <v>8.81</v>
      </c>
      <c r="AB6">
        <v>5</v>
      </c>
    </row>
    <row r="7" spans="1:38" ht="15.75" customHeight="1" thickBot="1" x14ac:dyDescent="0.3">
      <c r="A7">
        <f>IF(COUNTIF(B$1:B7,B7)=1,MAX(A$1:A6)+1,"")</f>
        <v>6</v>
      </c>
      <c r="B7" s="29" t="s">
        <v>40</v>
      </c>
      <c r="C7" s="11">
        <f>IF(COUNTIF(D$1:D7,D7)=1,MAX(C$1:C6)+1,"")</f>
        <v>6</v>
      </c>
      <c r="D7" s="30" t="s">
        <v>600</v>
      </c>
      <c r="E7" s="1" t="s">
        <v>604</v>
      </c>
      <c r="G7" s="1" t="str">
        <f t="shared" si="0"/>
        <v>25Б2</v>
      </c>
      <c r="H7" s="1" t="str">
        <f t="shared" si="1"/>
        <v xml:space="preserve">Гнз180x8 </v>
      </c>
      <c r="K7" s="28" t="s">
        <v>101</v>
      </c>
      <c r="L7" s="28">
        <v>100</v>
      </c>
      <c r="M7" s="28">
        <v>55</v>
      </c>
      <c r="N7" s="28">
        <v>4.0999999999999996</v>
      </c>
      <c r="O7" s="28">
        <v>5.7</v>
      </c>
      <c r="R7" s="56"/>
      <c r="S7" s="28"/>
      <c r="T7" s="28"/>
      <c r="U7" s="28"/>
      <c r="V7" s="28"/>
      <c r="X7" t="s">
        <v>40</v>
      </c>
      <c r="Y7">
        <v>8.7799999999999994</v>
      </c>
      <c r="AB7">
        <v>6</v>
      </c>
    </row>
    <row r="8" spans="1:38" ht="15.75" customHeight="1" thickBot="1" x14ac:dyDescent="0.3">
      <c r="A8">
        <f>IF(COUNTIF(B$1:B8,B8)=1,MAX(A$1:A7)+1,"")</f>
        <v>7</v>
      </c>
      <c r="B8" s="29" t="s">
        <v>41</v>
      </c>
      <c r="C8" s="11">
        <f>IF(COUNTIF(D$1:D8,D8)=1,MAX(C$1:C7)+1,"")</f>
        <v>7</v>
      </c>
      <c r="D8" s="30" t="s">
        <v>601</v>
      </c>
      <c r="E8" s="1" t="s">
        <v>2095</v>
      </c>
      <c r="G8" s="1" t="str">
        <f t="shared" si="0"/>
        <v>30Б1</v>
      </c>
      <c r="H8" s="1" t="str">
        <f t="shared" si="1"/>
        <v xml:space="preserve">Гнз200x10 </v>
      </c>
      <c r="K8" s="28" t="s">
        <v>102</v>
      </c>
      <c r="L8" s="28">
        <v>117.6</v>
      </c>
      <c r="M8" s="28">
        <v>64</v>
      </c>
      <c r="N8" s="28">
        <v>3.8</v>
      </c>
      <c r="O8" s="28">
        <v>5.0999999999999996</v>
      </c>
      <c r="R8" s="28" t="s">
        <v>102</v>
      </c>
      <c r="S8" s="28">
        <v>117.6</v>
      </c>
      <c r="T8" s="28">
        <v>64</v>
      </c>
      <c r="U8" s="28">
        <v>3.8</v>
      </c>
      <c r="V8" s="28">
        <v>5.0999999999999996</v>
      </c>
      <c r="X8" t="s">
        <v>41</v>
      </c>
      <c r="Y8">
        <v>7.29</v>
      </c>
    </row>
    <row r="9" spans="1:38" ht="15.75" customHeight="1" thickBot="1" x14ac:dyDescent="0.3">
      <c r="A9">
        <f>IF(COUNTIF(B$1:B9,B9)=1,MAX(A$1:A8)+1,"")</f>
        <v>8</v>
      </c>
      <c r="B9" s="29" t="s">
        <v>42</v>
      </c>
      <c r="C9" s="11" t="str">
        <f>IF(COUNTIF(D$1:D9,D9)=1,MAX(C$1:C8)+1,"")</f>
        <v/>
      </c>
      <c r="D9" s="30" t="s">
        <v>595</v>
      </c>
      <c r="E9" s="1" t="s">
        <v>2096</v>
      </c>
      <c r="G9" s="1" t="str">
        <f t="shared" si="0"/>
        <v>30Б2</v>
      </c>
      <c r="H9" s="1" t="str">
        <f t="shared" si="1"/>
        <v/>
      </c>
      <c r="K9" s="28" t="s">
        <v>103</v>
      </c>
      <c r="L9" s="28">
        <v>120</v>
      </c>
      <c r="M9" s="28">
        <v>64</v>
      </c>
      <c r="N9" s="28">
        <v>4.4000000000000004</v>
      </c>
      <c r="O9" s="28">
        <v>6.3</v>
      </c>
      <c r="R9" s="28" t="s">
        <v>104</v>
      </c>
      <c r="S9" s="28">
        <v>137.4</v>
      </c>
      <c r="T9" s="28">
        <v>73</v>
      </c>
      <c r="U9" s="28">
        <v>3.8</v>
      </c>
      <c r="V9" s="28">
        <v>5.6</v>
      </c>
      <c r="X9" t="s">
        <v>42</v>
      </c>
      <c r="Y9">
        <v>7.27</v>
      </c>
    </row>
    <row r="10" spans="1:38" ht="15.75" customHeight="1" thickBot="1" x14ac:dyDescent="0.3">
      <c r="A10">
        <f>IF(COUNTIF(B$1:B10,B10)=1,MAX(A$1:A9)+1,"")</f>
        <v>9</v>
      </c>
      <c r="B10" s="29" t="s">
        <v>43</v>
      </c>
      <c r="C10" s="11" t="str">
        <f>IF(COUNTIF(D$1:D10,D10)=1,MAX(C$1:C9)+1,"")</f>
        <v/>
      </c>
      <c r="D10" s="30" t="s">
        <v>596</v>
      </c>
      <c r="E10" s="1" t="s">
        <v>2097</v>
      </c>
      <c r="G10" s="1" t="str">
        <f t="shared" si="0"/>
        <v>35Б1</v>
      </c>
      <c r="H10" s="1" t="str">
        <f t="shared" si="1"/>
        <v/>
      </c>
      <c r="K10" s="28" t="s">
        <v>104</v>
      </c>
      <c r="L10" s="28">
        <v>137.4</v>
      </c>
      <c r="M10" s="28">
        <v>73</v>
      </c>
      <c r="N10" s="28">
        <v>3.8</v>
      </c>
      <c r="O10" s="28">
        <v>5.6</v>
      </c>
      <c r="R10" s="28" t="s">
        <v>106</v>
      </c>
      <c r="S10" s="28">
        <v>157</v>
      </c>
      <c r="T10" s="28">
        <v>82</v>
      </c>
      <c r="U10" s="28">
        <v>4</v>
      </c>
      <c r="V10" s="28">
        <v>5.9</v>
      </c>
      <c r="X10" t="s">
        <v>43</v>
      </c>
      <c r="Y10">
        <v>6.28</v>
      </c>
    </row>
    <row r="11" spans="1:38" ht="15.75" customHeight="1" thickBot="1" x14ac:dyDescent="0.3">
      <c r="A11">
        <f>IF(COUNTIF(B$1:B11,B11)=1,MAX(A$1:A10)+1,"")</f>
        <v>10</v>
      </c>
      <c r="B11" s="29" t="s">
        <v>44</v>
      </c>
      <c r="C11" s="11" t="str">
        <f>IF(COUNTIF(D$1:D11,D11)=1,MAX(C$1:C10)+1,"")</f>
        <v/>
      </c>
      <c r="D11" s="30" t="s">
        <v>597</v>
      </c>
      <c r="E11" s="1" t="s">
        <v>2098</v>
      </c>
      <c r="G11" s="1" t="str">
        <f t="shared" si="0"/>
        <v>35Б2</v>
      </c>
      <c r="H11" s="1" t="str">
        <f t="shared" si="1"/>
        <v/>
      </c>
      <c r="K11" s="28" t="s">
        <v>105</v>
      </c>
      <c r="L11" s="28">
        <v>140</v>
      </c>
      <c r="M11" s="28">
        <v>73</v>
      </c>
      <c r="N11" s="28">
        <v>4.7</v>
      </c>
      <c r="O11" s="28">
        <v>6.9</v>
      </c>
      <c r="R11" s="28" t="s">
        <v>107</v>
      </c>
      <c r="S11" s="28">
        <v>160</v>
      </c>
      <c r="T11" s="28">
        <v>82</v>
      </c>
      <c r="U11" s="28">
        <v>5</v>
      </c>
      <c r="V11" s="28">
        <v>7.4</v>
      </c>
      <c r="X11" t="s">
        <v>44</v>
      </c>
      <c r="Y11">
        <v>6.25</v>
      </c>
    </row>
    <row r="12" spans="1:38" ht="15.75" customHeight="1" thickBot="1" x14ac:dyDescent="0.3">
      <c r="A12">
        <f>IF(COUNTIF(B$1:B12,B12)=1,MAX(A$1:A11)+1,"")</f>
        <v>11</v>
      </c>
      <c r="B12" s="29" t="s">
        <v>45</v>
      </c>
      <c r="C12" s="11" t="str">
        <f>IF(COUNTIF(D$1:D12,D12)=1,MAX(C$1:C11)+1,"")</f>
        <v/>
      </c>
      <c r="D12" s="30" t="s">
        <v>598</v>
      </c>
      <c r="E12" s="1" t="s">
        <v>2099</v>
      </c>
      <c r="G12" s="1" t="str">
        <f t="shared" si="0"/>
        <v>40Б1</v>
      </c>
      <c r="H12" s="1" t="str">
        <f t="shared" si="1"/>
        <v/>
      </c>
      <c r="K12" s="28" t="s">
        <v>106</v>
      </c>
      <c r="L12" s="28">
        <v>157</v>
      </c>
      <c r="M12" s="28">
        <v>82</v>
      </c>
      <c r="N12" s="28">
        <v>4</v>
      </c>
      <c r="O12" s="28">
        <v>5.9</v>
      </c>
      <c r="R12" s="28" t="s">
        <v>37</v>
      </c>
      <c r="S12" s="28">
        <v>200</v>
      </c>
      <c r="T12" s="28">
        <v>100</v>
      </c>
      <c r="U12" s="28">
        <v>5.5</v>
      </c>
      <c r="V12" s="28">
        <v>8</v>
      </c>
      <c r="X12" t="s">
        <v>45</v>
      </c>
      <c r="Y12">
        <v>5.5</v>
      </c>
    </row>
    <row r="13" spans="1:38" ht="15.75" customHeight="1" thickBot="1" x14ac:dyDescent="0.3">
      <c r="A13">
        <f>IF(COUNTIF(B$1:B13,B13)=1,MAX(A$1:A12)+1,"")</f>
        <v>12</v>
      </c>
      <c r="B13" s="29" t="s">
        <v>46</v>
      </c>
      <c r="C13" s="11" t="str">
        <f>IF(COUNTIF(D$1:D13,D13)=1,MAX(C$1:C12)+1,"")</f>
        <v/>
      </c>
      <c r="D13" s="30" t="s">
        <v>599</v>
      </c>
      <c r="E13" s="1" t="s">
        <v>2100</v>
      </c>
      <c r="G13" s="1" t="str">
        <f t="shared" si="0"/>
        <v>40Б2</v>
      </c>
      <c r="H13" s="1" t="str">
        <f t="shared" si="1"/>
        <v/>
      </c>
      <c r="K13" s="28" t="s">
        <v>107</v>
      </c>
      <c r="L13" s="28">
        <v>160</v>
      </c>
      <c r="M13" s="28">
        <v>82</v>
      </c>
      <c r="N13" s="28">
        <v>5</v>
      </c>
      <c r="O13" s="28">
        <v>7.4</v>
      </c>
      <c r="R13" s="28" t="s">
        <v>38</v>
      </c>
      <c r="S13" s="28">
        <v>203</v>
      </c>
      <c r="T13" s="28">
        <v>101</v>
      </c>
      <c r="U13" s="28">
        <v>6.5</v>
      </c>
      <c r="V13" s="28">
        <v>9.5</v>
      </c>
      <c r="X13" t="s">
        <v>46</v>
      </c>
      <c r="Y13">
        <v>5.48</v>
      </c>
    </row>
    <row r="14" spans="1:38" ht="15.75" customHeight="1" thickBot="1" x14ac:dyDescent="0.3">
      <c r="A14">
        <f>IF(COUNTIF(B$1:B14,B14)=1,MAX(A$1:A13)+1,"")</f>
        <v>13</v>
      </c>
      <c r="B14" s="29" t="s">
        <v>47</v>
      </c>
      <c r="C14" s="11" t="str">
        <f>IF(COUNTIF(D$1:D14,D14)=1,MAX(C$1:C13)+1,"")</f>
        <v/>
      </c>
      <c r="D14" s="30" t="s">
        <v>600</v>
      </c>
      <c r="E14" s="1" t="s">
        <v>2101</v>
      </c>
      <c r="G14" s="1" t="str">
        <f t="shared" si="0"/>
        <v>45Б1</v>
      </c>
      <c r="H14" s="1" t="str">
        <f t="shared" si="1"/>
        <v/>
      </c>
      <c r="K14" s="28" t="s">
        <v>108</v>
      </c>
      <c r="L14" s="28">
        <v>177</v>
      </c>
      <c r="M14" s="28">
        <v>91</v>
      </c>
      <c r="N14" s="28">
        <v>4.3</v>
      </c>
      <c r="O14" s="28">
        <v>6.5</v>
      </c>
      <c r="R14" s="28" t="s">
        <v>39</v>
      </c>
      <c r="S14" s="28">
        <v>248</v>
      </c>
      <c r="T14" s="28">
        <v>124</v>
      </c>
      <c r="U14" s="28">
        <v>5</v>
      </c>
      <c r="V14" s="28">
        <v>8</v>
      </c>
      <c r="X14" t="s">
        <v>47</v>
      </c>
      <c r="Y14">
        <v>4.88</v>
      </c>
    </row>
    <row r="15" spans="1:38" ht="15.75" customHeight="1" thickBot="1" x14ac:dyDescent="0.3">
      <c r="A15">
        <f>IF(COUNTIF(B$1:B15,B15)=1,MAX(A$1:A14)+1,"")</f>
        <v>14</v>
      </c>
      <c r="B15" s="29" t="s">
        <v>48</v>
      </c>
      <c r="C15" s="11" t="str">
        <f>IF(COUNTIF(D$1:D15,D15)=1,MAX(C$1:C14)+1,"")</f>
        <v/>
      </c>
      <c r="D15" s="30" t="s">
        <v>601</v>
      </c>
      <c r="E15" s="1" t="s">
        <v>2102</v>
      </c>
      <c r="G15" s="1" t="str">
        <f t="shared" si="0"/>
        <v>45Б2</v>
      </c>
      <c r="H15" s="1" t="str">
        <f t="shared" si="1"/>
        <v/>
      </c>
      <c r="K15" s="28" t="s">
        <v>109</v>
      </c>
      <c r="L15" s="28">
        <v>180</v>
      </c>
      <c r="M15" s="28">
        <v>91</v>
      </c>
      <c r="N15" s="28">
        <v>5.3</v>
      </c>
      <c r="O15" s="28">
        <v>8</v>
      </c>
      <c r="R15" s="28" t="s">
        <v>40</v>
      </c>
      <c r="S15" s="28">
        <v>250</v>
      </c>
      <c r="T15" s="28">
        <v>125</v>
      </c>
      <c r="U15" s="28">
        <v>6</v>
      </c>
      <c r="V15" s="28">
        <v>9</v>
      </c>
      <c r="X15" t="s">
        <v>48</v>
      </c>
      <c r="Y15">
        <v>4.87</v>
      </c>
    </row>
    <row r="16" spans="1:38" ht="15.75" customHeight="1" thickBot="1" x14ac:dyDescent="0.3">
      <c r="A16">
        <f>IF(COUNTIF(B$1:B16,B16)=1,MAX(A$1:A15)+1,"")</f>
        <v>15</v>
      </c>
      <c r="B16" s="29" t="s">
        <v>49</v>
      </c>
      <c r="C16" s="11" t="str">
        <f>IF(COUNTIF(D$1:D16,D16)=1,MAX(C$1:C15)+1,"")</f>
        <v/>
      </c>
      <c r="D16" s="30" t="s">
        <v>595</v>
      </c>
      <c r="E16" s="1" t="s">
        <v>605</v>
      </c>
      <c r="G16" s="1" t="str">
        <f t="shared" si="0"/>
        <v>50Б1</v>
      </c>
      <c r="H16" s="1" t="str">
        <f t="shared" si="1"/>
        <v/>
      </c>
      <c r="K16" s="28" t="s">
        <v>37</v>
      </c>
      <c r="L16" s="28">
        <v>200</v>
      </c>
      <c r="M16" s="28">
        <v>100</v>
      </c>
      <c r="N16" s="28">
        <v>5.5</v>
      </c>
      <c r="O16" s="28">
        <v>8</v>
      </c>
      <c r="R16" s="28" t="s">
        <v>41</v>
      </c>
      <c r="S16" s="28">
        <v>298</v>
      </c>
      <c r="T16" s="28">
        <v>149</v>
      </c>
      <c r="U16" s="28">
        <v>5.5</v>
      </c>
      <c r="V16" s="28">
        <v>8</v>
      </c>
      <c r="X16" t="s">
        <v>49</v>
      </c>
      <c r="Y16">
        <v>4.42</v>
      </c>
    </row>
    <row r="17" spans="1:25" ht="15.75" customHeight="1" thickBot="1" x14ac:dyDescent="0.3">
      <c r="A17">
        <f>IF(COUNTIF(B$1:B17,B17)=1,MAX(A$1:A16)+1,"")</f>
        <v>16</v>
      </c>
      <c r="B17" s="29" t="s">
        <v>50</v>
      </c>
      <c r="C17" s="11" t="str">
        <f>IF(COUNTIF(D$1:D17,D17)=1,MAX(C$1:C16)+1,"")</f>
        <v/>
      </c>
      <c r="D17" s="30" t="s">
        <v>596</v>
      </c>
      <c r="E17" s="1" t="s">
        <v>606</v>
      </c>
      <c r="G17" s="1" t="str">
        <f t="shared" si="0"/>
        <v>50Б2</v>
      </c>
      <c r="H17" s="1" t="str">
        <f t="shared" si="1"/>
        <v/>
      </c>
      <c r="K17" s="28" t="s">
        <v>38</v>
      </c>
      <c r="L17" s="28">
        <v>203</v>
      </c>
      <c r="M17" s="28">
        <v>101</v>
      </c>
      <c r="N17" s="28">
        <v>6.5</v>
      </c>
      <c r="O17" s="28">
        <v>9.5</v>
      </c>
      <c r="R17" s="28" t="s">
        <v>42</v>
      </c>
      <c r="S17" s="28">
        <v>300</v>
      </c>
      <c r="T17" s="28">
        <v>150</v>
      </c>
      <c r="U17" s="28">
        <v>6.5</v>
      </c>
      <c r="V17" s="28">
        <v>9</v>
      </c>
      <c r="X17" t="s">
        <v>50</v>
      </c>
      <c r="Y17">
        <v>4.41</v>
      </c>
    </row>
    <row r="18" spans="1:25" ht="15.75" customHeight="1" thickBot="1" x14ac:dyDescent="0.3">
      <c r="A18">
        <f>IF(COUNTIF(B$1:B18,B18)=1,MAX(A$1:A17)+1,"")</f>
        <v>17</v>
      </c>
      <c r="B18" s="29" t="s">
        <v>121</v>
      </c>
      <c r="C18" s="11" t="str">
        <f>IF(COUNTIF(D$1:D18,D18)=1,MAX(C$1:C17)+1,"")</f>
        <v/>
      </c>
      <c r="D18" s="30" t="s">
        <v>597</v>
      </c>
      <c r="E18" s="1" t="s">
        <v>2103</v>
      </c>
      <c r="G18" s="1" t="str">
        <f t="shared" si="0"/>
        <v>50Б3</v>
      </c>
      <c r="H18" s="1" t="str">
        <f t="shared" si="1"/>
        <v/>
      </c>
      <c r="K18" s="28" t="s">
        <v>110</v>
      </c>
      <c r="L18" s="28">
        <v>208</v>
      </c>
      <c r="M18" s="28">
        <v>102</v>
      </c>
      <c r="N18" s="28">
        <v>8</v>
      </c>
      <c r="O18" s="28">
        <v>12</v>
      </c>
      <c r="R18" s="27" t="s">
        <v>43</v>
      </c>
      <c r="S18" s="27">
        <v>346</v>
      </c>
      <c r="T18" s="27">
        <v>174</v>
      </c>
      <c r="U18" s="27">
        <v>6</v>
      </c>
      <c r="V18" s="27">
        <v>9</v>
      </c>
      <c r="X18" t="s">
        <v>121</v>
      </c>
      <c r="Y18">
        <v>4.3899999999999997</v>
      </c>
    </row>
    <row r="19" spans="1:25" ht="15.75" customHeight="1" thickBot="1" x14ac:dyDescent="0.3">
      <c r="A19">
        <f>IF(COUNTIF(B$1:B19,B19)=1,MAX(A$1:A18)+1,"")</f>
        <v>18</v>
      </c>
      <c r="B19" s="29" t="s">
        <v>51</v>
      </c>
      <c r="C19" s="11" t="str">
        <f>IF(COUNTIF(D$1:D19,D19)=1,MAX(C$1:C18)+1,"")</f>
        <v/>
      </c>
      <c r="D19" s="30" t="s">
        <v>598</v>
      </c>
      <c r="E19" s="1" t="s">
        <v>2104</v>
      </c>
      <c r="G19" s="1" t="str">
        <f t="shared" si="0"/>
        <v>60Б1</v>
      </c>
      <c r="H19" s="1" t="str">
        <f t="shared" si="1"/>
        <v/>
      </c>
      <c r="K19" s="28" t="s">
        <v>39</v>
      </c>
      <c r="L19" s="28">
        <v>248</v>
      </c>
      <c r="M19" s="28">
        <v>124</v>
      </c>
      <c r="N19" s="28">
        <v>5</v>
      </c>
      <c r="O19" s="28">
        <v>8</v>
      </c>
      <c r="R19" s="28" t="s">
        <v>44</v>
      </c>
      <c r="S19" s="28">
        <v>350</v>
      </c>
      <c r="T19" s="28">
        <v>175</v>
      </c>
      <c r="U19" s="28">
        <v>7</v>
      </c>
      <c r="V19" s="28">
        <v>11</v>
      </c>
      <c r="X19" t="s">
        <v>51</v>
      </c>
      <c r="Y19">
        <v>3.66</v>
      </c>
    </row>
    <row r="20" spans="1:25" ht="15.75" customHeight="1" thickBot="1" x14ac:dyDescent="0.3">
      <c r="A20">
        <f>IF(COUNTIF(B$1:B20,B20)=1,MAX(A$1:A19)+1,"")</f>
        <v>19</v>
      </c>
      <c r="B20" s="29" t="s">
        <v>52</v>
      </c>
      <c r="C20" s="11" t="str">
        <f>IF(COUNTIF(D$1:D20,D20)=1,MAX(C$1:C19)+1,"")</f>
        <v/>
      </c>
      <c r="D20" s="30" t="s">
        <v>599</v>
      </c>
      <c r="E20" s="1" t="s">
        <v>2105</v>
      </c>
      <c r="G20" s="1" t="str">
        <f t="shared" si="0"/>
        <v>60Б2</v>
      </c>
      <c r="H20" s="1" t="str">
        <f t="shared" si="1"/>
        <v/>
      </c>
      <c r="K20" s="28" t="s">
        <v>40</v>
      </c>
      <c r="L20" s="28">
        <v>250</v>
      </c>
      <c r="M20" s="28">
        <v>125</v>
      </c>
      <c r="N20" s="28">
        <v>6</v>
      </c>
      <c r="O20" s="28">
        <v>9</v>
      </c>
      <c r="R20" s="28" t="s">
        <v>45</v>
      </c>
      <c r="S20" s="28">
        <v>396</v>
      </c>
      <c r="T20" s="28">
        <v>199</v>
      </c>
      <c r="U20" s="28">
        <v>7</v>
      </c>
      <c r="V20" s="28">
        <v>11</v>
      </c>
      <c r="X20" t="s">
        <v>52</v>
      </c>
      <c r="Y20">
        <v>3.65</v>
      </c>
    </row>
    <row r="21" spans="1:25" ht="15.75" customHeight="1" thickBot="1" x14ac:dyDescent="0.3">
      <c r="A21">
        <f>IF(COUNTIF(B$1:B21,B21)=1,MAX(A$1:A20)+1,"")</f>
        <v>20</v>
      </c>
      <c r="B21" s="29" t="s">
        <v>53</v>
      </c>
      <c r="C21" s="11" t="str">
        <f>IF(COUNTIF(D$1:D21,D21)=1,MAX(C$1:C20)+1,"")</f>
        <v/>
      </c>
      <c r="D21" s="30" t="s">
        <v>600</v>
      </c>
      <c r="E21" s="1" t="s">
        <v>607</v>
      </c>
      <c r="G21" s="1" t="str">
        <f t="shared" si="0"/>
        <v>20Ш1</v>
      </c>
      <c r="H21" s="1" t="str">
        <f t="shared" si="1"/>
        <v/>
      </c>
      <c r="K21" s="28" t="s">
        <v>111</v>
      </c>
      <c r="L21" s="28">
        <v>255</v>
      </c>
      <c r="M21" s="28">
        <v>126</v>
      </c>
      <c r="N21" s="28">
        <v>7.5</v>
      </c>
      <c r="O21" s="28">
        <v>11.5</v>
      </c>
      <c r="R21" s="28" t="s">
        <v>46</v>
      </c>
      <c r="S21" s="28">
        <v>400</v>
      </c>
      <c r="T21" s="28">
        <v>200</v>
      </c>
      <c r="U21" s="28">
        <v>8</v>
      </c>
      <c r="V21" s="28">
        <v>13</v>
      </c>
      <c r="X21" t="s">
        <v>53</v>
      </c>
      <c r="Y21">
        <v>11.43</v>
      </c>
    </row>
    <row r="22" spans="1:25" ht="15.75" customHeight="1" thickBot="1" x14ac:dyDescent="0.3">
      <c r="A22">
        <f>IF(COUNTIF(B$1:B22,B22)=1,MAX(A$1:A21)+1,"")</f>
        <v>21</v>
      </c>
      <c r="B22" s="29" t="s">
        <v>54</v>
      </c>
      <c r="C22" s="11" t="str">
        <f>IF(COUNTIF(D$1:D22,D22)=1,MAX(C$1:C21)+1,"")</f>
        <v/>
      </c>
      <c r="D22" s="30" t="s">
        <v>601</v>
      </c>
      <c r="E22" s="1" t="s">
        <v>2106</v>
      </c>
      <c r="G22" s="1" t="str">
        <f t="shared" si="0"/>
        <v>25Ш1</v>
      </c>
      <c r="H22" s="1" t="str">
        <f t="shared" si="1"/>
        <v/>
      </c>
      <c r="K22" s="28" t="s">
        <v>112</v>
      </c>
      <c r="L22" s="28">
        <v>260</v>
      </c>
      <c r="M22" s="28">
        <v>127</v>
      </c>
      <c r="N22" s="28">
        <v>9</v>
      </c>
      <c r="O22" s="28">
        <v>14</v>
      </c>
      <c r="R22" s="28" t="s">
        <v>47</v>
      </c>
      <c r="S22" s="28">
        <v>446</v>
      </c>
      <c r="T22" s="28">
        <v>199</v>
      </c>
      <c r="U22" s="28">
        <v>8</v>
      </c>
      <c r="V22" s="28">
        <v>12</v>
      </c>
      <c r="X22" t="s">
        <v>54</v>
      </c>
      <c r="Y22">
        <v>9.09</v>
      </c>
    </row>
    <row r="23" spans="1:25" ht="15.75" customHeight="1" thickBot="1" x14ac:dyDescent="0.3">
      <c r="A23">
        <f>IF(COUNTIF(B$1:B23,B23)=1,MAX(A$1:A22)+1,"")</f>
        <v>22</v>
      </c>
      <c r="B23" s="29" t="s">
        <v>55</v>
      </c>
      <c r="C23" s="11" t="str">
        <f>IF(COUNTIF(D$1:D23,D23)=1,MAX(C$1:C22)+1,"")</f>
        <v/>
      </c>
      <c r="D23" s="30" t="s">
        <v>595</v>
      </c>
      <c r="E23" s="1" t="s">
        <v>2107</v>
      </c>
      <c r="G23" s="1" t="str">
        <f t="shared" si="0"/>
        <v>30Ш1</v>
      </c>
      <c r="H23" s="1" t="str">
        <f t="shared" si="1"/>
        <v/>
      </c>
      <c r="K23" s="28" t="s">
        <v>41</v>
      </c>
      <c r="L23" s="28">
        <v>298</v>
      </c>
      <c r="M23" s="28">
        <v>149</v>
      </c>
      <c r="N23" s="28">
        <v>5.5</v>
      </c>
      <c r="O23" s="28">
        <v>8</v>
      </c>
      <c r="R23" s="28" t="s">
        <v>48</v>
      </c>
      <c r="S23" s="28">
        <v>450</v>
      </c>
      <c r="T23" s="28">
        <v>200</v>
      </c>
      <c r="U23" s="28">
        <v>9</v>
      </c>
      <c r="V23" s="28">
        <v>14</v>
      </c>
      <c r="X23" t="s">
        <v>55</v>
      </c>
      <c r="Y23">
        <v>7.52</v>
      </c>
    </row>
    <row r="24" spans="1:25" ht="15.75" customHeight="1" thickBot="1" x14ac:dyDescent="0.3">
      <c r="A24">
        <f>IF(COUNTIF(B$1:B24,B24)=1,MAX(A$1:A23)+1,"")</f>
        <v>23</v>
      </c>
      <c r="B24" s="29" t="s">
        <v>56</v>
      </c>
      <c r="C24" s="11" t="str">
        <f>IF(COUNTIF(D$1:D24,D24)=1,MAX(C$1:C23)+1,"")</f>
        <v/>
      </c>
      <c r="D24" s="30" t="s">
        <v>596</v>
      </c>
      <c r="E24" s="1" t="s">
        <v>2108</v>
      </c>
      <c r="G24" s="1" t="str">
        <f t="shared" si="0"/>
        <v>30Ш2</v>
      </c>
      <c r="H24" s="1" t="str">
        <f t="shared" si="1"/>
        <v/>
      </c>
      <c r="K24" s="28" t="s">
        <v>42</v>
      </c>
      <c r="L24" s="28">
        <v>300</v>
      </c>
      <c r="M24" s="28">
        <v>150</v>
      </c>
      <c r="N24" s="28">
        <v>6.5</v>
      </c>
      <c r="O24" s="28">
        <v>9</v>
      </c>
      <c r="R24" s="28" t="s">
        <v>49</v>
      </c>
      <c r="S24" s="28">
        <v>492</v>
      </c>
      <c r="T24" s="28">
        <v>199</v>
      </c>
      <c r="U24" s="28">
        <v>8.8000000000000007</v>
      </c>
      <c r="V24" s="28">
        <v>12</v>
      </c>
      <c r="X24" t="s">
        <v>56</v>
      </c>
      <c r="Y24">
        <v>7.46</v>
      </c>
    </row>
    <row r="25" spans="1:25" ht="15.75" customHeight="1" thickBot="1" x14ac:dyDescent="0.3">
      <c r="A25">
        <f>IF(COUNTIF(B$1:B25,B25)=1,MAX(A$1:A24)+1,"")</f>
        <v>24</v>
      </c>
      <c r="B25" s="29" t="s">
        <v>57</v>
      </c>
      <c r="C25" s="11" t="str">
        <f>IF(COUNTIF(D$1:D25,D25)=1,MAX(C$1:C24)+1,"")</f>
        <v/>
      </c>
      <c r="D25" s="30" t="s">
        <v>597</v>
      </c>
      <c r="E25" s="1" t="s">
        <v>2083</v>
      </c>
      <c r="G25" s="1" t="str">
        <f t="shared" si="0"/>
        <v>35Ш1</v>
      </c>
      <c r="H25" s="1" t="str">
        <f t="shared" si="1"/>
        <v/>
      </c>
      <c r="K25" s="28" t="s">
        <v>113</v>
      </c>
      <c r="L25" s="28">
        <v>305</v>
      </c>
      <c r="M25" s="28">
        <v>151</v>
      </c>
      <c r="N25" s="28">
        <v>8</v>
      </c>
      <c r="O25" s="28">
        <v>11.5</v>
      </c>
      <c r="R25" s="28" t="s">
        <v>50</v>
      </c>
      <c r="S25" s="28">
        <v>496</v>
      </c>
      <c r="T25" s="28">
        <v>199</v>
      </c>
      <c r="U25" s="28">
        <v>9</v>
      </c>
      <c r="V25" s="28">
        <v>14</v>
      </c>
      <c r="X25" t="s">
        <v>57</v>
      </c>
      <c r="Y25">
        <v>6.56</v>
      </c>
    </row>
    <row r="26" spans="1:25" ht="15.75" customHeight="1" thickBot="1" x14ac:dyDescent="0.3">
      <c r="A26">
        <f>IF(COUNTIF(B$1:B26,B26)=1,MAX(A$1:A25)+1,"")</f>
        <v>25</v>
      </c>
      <c r="B26" s="29" t="s">
        <v>58</v>
      </c>
      <c r="C26" s="11" t="str">
        <f>IF(COUNTIF(D$1:D26,D26)=1,MAX(C$1:C25)+1,"")</f>
        <v/>
      </c>
      <c r="D26" s="30" t="s">
        <v>598</v>
      </c>
      <c r="E26" s="1" t="s">
        <v>2085</v>
      </c>
      <c r="G26" s="1" t="str">
        <f t="shared" si="0"/>
        <v>35Ш2</v>
      </c>
      <c r="H26" s="1" t="str">
        <f t="shared" si="1"/>
        <v/>
      </c>
      <c r="K26" s="28" t="s">
        <v>114</v>
      </c>
      <c r="L26" s="28">
        <v>310</v>
      </c>
      <c r="M26" s="28">
        <v>152</v>
      </c>
      <c r="N26" s="28">
        <v>9.5</v>
      </c>
      <c r="O26" s="28">
        <v>14</v>
      </c>
      <c r="R26" s="28" t="s">
        <v>121</v>
      </c>
      <c r="S26" s="28">
        <v>500</v>
      </c>
      <c r="T26" s="28">
        <v>200</v>
      </c>
      <c r="U26" s="28">
        <v>10</v>
      </c>
      <c r="V26" s="28">
        <v>16</v>
      </c>
      <c r="X26" t="s">
        <v>58</v>
      </c>
      <c r="Y26">
        <v>6.51</v>
      </c>
    </row>
    <row r="27" spans="1:25" ht="15.75" customHeight="1" thickBot="1" x14ac:dyDescent="0.3">
      <c r="A27">
        <f>IF(COUNTIF(B$1:B27,B27)=1,MAX(A$1:A26)+1,"")</f>
        <v>26</v>
      </c>
      <c r="B27" s="29" t="s">
        <v>59</v>
      </c>
      <c r="C27" s="11" t="str">
        <f>IF(COUNTIF(D$1:D27,D27)=1,MAX(C$1:C26)+1,"")</f>
        <v/>
      </c>
      <c r="D27" s="30" t="s">
        <v>599</v>
      </c>
      <c r="E27" s="1" t="s">
        <v>2084</v>
      </c>
      <c r="G27" s="1" t="str">
        <f t="shared" si="0"/>
        <v>40Ш1</v>
      </c>
      <c r="H27" s="1" t="str">
        <f t="shared" si="1"/>
        <v/>
      </c>
      <c r="K27" s="27" t="s">
        <v>43</v>
      </c>
      <c r="L27" s="27">
        <v>346</v>
      </c>
      <c r="M27" s="27">
        <v>174</v>
      </c>
      <c r="N27" s="27">
        <v>6</v>
      </c>
      <c r="O27" s="27">
        <v>9</v>
      </c>
      <c r="R27" s="28" t="s">
        <v>51</v>
      </c>
      <c r="S27" s="28">
        <v>596</v>
      </c>
      <c r="T27" s="28">
        <v>199</v>
      </c>
      <c r="U27" s="28">
        <v>10</v>
      </c>
      <c r="V27" s="28">
        <v>15</v>
      </c>
      <c r="X27" t="s">
        <v>59</v>
      </c>
      <c r="Y27">
        <v>5.72</v>
      </c>
    </row>
    <row r="28" spans="1:25" ht="15.75" customHeight="1" thickBot="1" x14ac:dyDescent="0.3">
      <c r="A28">
        <f>IF(COUNTIF(B$1:B28,B28)=1,MAX(A$1:A27)+1,"")</f>
        <v>27</v>
      </c>
      <c r="B28" s="29" t="s">
        <v>60</v>
      </c>
      <c r="C28" s="11" t="str">
        <f>IF(COUNTIF(D$1:D28,D28)=1,MAX(C$1:C27)+1,"")</f>
        <v/>
      </c>
      <c r="D28" s="30" t="s">
        <v>600</v>
      </c>
      <c r="E28" s="1" t="s">
        <v>2086</v>
      </c>
      <c r="G28" s="1" t="str">
        <f t="shared" si="0"/>
        <v>40Ш2</v>
      </c>
      <c r="H28" s="1" t="str">
        <f t="shared" si="1"/>
        <v/>
      </c>
      <c r="K28" s="28" t="s">
        <v>44</v>
      </c>
      <c r="L28" s="28">
        <v>350</v>
      </c>
      <c r="M28" s="28">
        <v>175</v>
      </c>
      <c r="N28" s="28">
        <v>7</v>
      </c>
      <c r="O28" s="28">
        <v>11</v>
      </c>
      <c r="R28" s="28" t="s">
        <v>52</v>
      </c>
      <c r="S28" s="28">
        <v>600</v>
      </c>
      <c r="T28" s="28">
        <v>200</v>
      </c>
      <c r="U28" s="28">
        <v>11</v>
      </c>
      <c r="V28" s="28">
        <v>17</v>
      </c>
      <c r="X28" t="s">
        <v>60</v>
      </c>
      <c r="Y28">
        <v>5.69</v>
      </c>
    </row>
    <row r="29" spans="1:25" ht="15.75" customHeight="1" thickBot="1" x14ac:dyDescent="0.3">
      <c r="A29">
        <f>IF(COUNTIF(B$1:B29,B29)=1,MAX(A$1:A28)+1,"")</f>
        <v>28</v>
      </c>
      <c r="B29" s="29" t="s">
        <v>61</v>
      </c>
      <c r="C29" s="11" t="str">
        <f>IF(COUNTIF(D$1:D29,D29)=1,MAX(C$1:C28)+1,"")</f>
        <v/>
      </c>
      <c r="D29" s="30" t="s">
        <v>601</v>
      </c>
      <c r="E29" s="1" t="s">
        <v>2109</v>
      </c>
      <c r="G29" s="1" t="str">
        <f t="shared" si="0"/>
        <v>45Ш1</v>
      </c>
      <c r="H29" s="1" t="str">
        <f t="shared" si="1"/>
        <v/>
      </c>
      <c r="K29" s="28" t="s">
        <v>115</v>
      </c>
      <c r="L29" s="28">
        <v>355</v>
      </c>
      <c r="M29" s="28">
        <v>176</v>
      </c>
      <c r="N29" s="28">
        <v>8.5</v>
      </c>
      <c r="O29" s="28">
        <v>13.5</v>
      </c>
      <c r="R29" s="28" t="s">
        <v>53</v>
      </c>
      <c r="S29" s="28">
        <v>194</v>
      </c>
      <c r="T29" s="28">
        <v>150</v>
      </c>
      <c r="U29" s="28">
        <v>6</v>
      </c>
      <c r="V29" s="28">
        <v>9</v>
      </c>
      <c r="X29" t="s">
        <v>61</v>
      </c>
      <c r="Y29">
        <v>5.05</v>
      </c>
    </row>
    <row r="30" spans="1:25" ht="15.75" customHeight="1" thickBot="1" x14ac:dyDescent="0.3">
      <c r="A30">
        <f>IF(COUNTIF(B$1:B30,B30)=1,MAX(A$1:A29)+1,"")</f>
        <v>29</v>
      </c>
      <c r="B30" s="29" t="s">
        <v>62</v>
      </c>
      <c r="C30" s="11" t="str">
        <f>IF(COUNTIF(D$1:D30,D30)=1,MAX(C$1:C29)+1,"")</f>
        <v/>
      </c>
      <c r="D30" s="12"/>
      <c r="E30" s="1" t="s">
        <v>2110</v>
      </c>
      <c r="G30" s="1" t="str">
        <f t="shared" si="0"/>
        <v>50Ш1</v>
      </c>
      <c r="H30" s="1" t="str">
        <f t="shared" si="1"/>
        <v/>
      </c>
      <c r="K30" s="28" t="s">
        <v>116</v>
      </c>
      <c r="L30" s="28">
        <v>361</v>
      </c>
      <c r="M30" s="28">
        <v>177</v>
      </c>
      <c r="N30" s="28">
        <v>10</v>
      </c>
      <c r="O30" s="28">
        <v>16.5</v>
      </c>
      <c r="R30" s="28" t="s">
        <v>54</v>
      </c>
      <c r="S30" s="28">
        <v>244</v>
      </c>
      <c r="T30" s="28">
        <v>175</v>
      </c>
      <c r="U30" s="28">
        <v>7</v>
      </c>
      <c r="V30" s="28">
        <v>11</v>
      </c>
      <c r="X30" t="s">
        <v>62</v>
      </c>
      <c r="Y30">
        <v>4.55</v>
      </c>
    </row>
    <row r="31" spans="1:25" ht="15.75" customHeight="1" thickBot="1" x14ac:dyDescent="0.3">
      <c r="A31">
        <f>IF(COUNTIF(B$1:B31,B31)=1,MAX(A$1:A30)+1,"")</f>
        <v>30</v>
      </c>
      <c r="B31" s="29" t="s">
        <v>63</v>
      </c>
      <c r="C31" s="11" t="str">
        <f>IF(COUNTIF(D$1:D31,D31)=1,MAX(C$1:C30)+1,"")</f>
        <v/>
      </c>
      <c r="D31" s="12"/>
      <c r="E31" s="1" t="s">
        <v>2087</v>
      </c>
      <c r="G31" s="1" t="str">
        <f t="shared" si="0"/>
        <v>50Ш2</v>
      </c>
      <c r="H31" s="1" t="str">
        <f t="shared" si="1"/>
        <v/>
      </c>
      <c r="K31" s="28" t="s">
        <v>45</v>
      </c>
      <c r="L31" s="28">
        <v>396</v>
      </c>
      <c r="M31" s="28">
        <v>199</v>
      </c>
      <c r="N31" s="28">
        <v>7</v>
      </c>
      <c r="O31" s="28">
        <v>11</v>
      </c>
      <c r="R31" s="28" t="s">
        <v>55</v>
      </c>
      <c r="S31" s="28">
        <v>294</v>
      </c>
      <c r="T31" s="28">
        <v>200</v>
      </c>
      <c r="U31" s="28">
        <v>8</v>
      </c>
      <c r="V31" s="28">
        <v>12</v>
      </c>
      <c r="X31" t="s">
        <v>63</v>
      </c>
      <c r="Y31">
        <v>4.53</v>
      </c>
    </row>
    <row r="32" spans="1:25" ht="15.75" customHeight="1" thickBot="1" x14ac:dyDescent="0.3">
      <c r="A32">
        <f>IF(COUNTIF(B$1:B32,B32)=1,MAX(A$1:A31)+1,"")</f>
        <v>31</v>
      </c>
      <c r="B32" s="29" t="s">
        <v>64</v>
      </c>
      <c r="C32" s="11" t="str">
        <f>IF(COUNTIF(D$1:D32,D32)=1,MAX(C$1:C31)+1,"")</f>
        <v/>
      </c>
      <c r="D32" s="12"/>
      <c r="E32" s="1" t="s">
        <v>2088</v>
      </c>
      <c r="G32" s="1" t="str">
        <f t="shared" si="0"/>
        <v>50Ш3</v>
      </c>
      <c r="H32" s="1" t="str">
        <f t="shared" si="1"/>
        <v/>
      </c>
      <c r="K32" s="28" t="s">
        <v>46</v>
      </c>
      <c r="L32" s="28">
        <v>400</v>
      </c>
      <c r="M32" s="28">
        <v>200</v>
      </c>
      <c r="N32" s="28">
        <v>8</v>
      </c>
      <c r="O32" s="28">
        <v>13</v>
      </c>
      <c r="R32" s="27" t="s">
        <v>56</v>
      </c>
      <c r="S32" s="27">
        <v>300</v>
      </c>
      <c r="T32" s="27">
        <v>201</v>
      </c>
      <c r="U32" s="27">
        <v>9</v>
      </c>
      <c r="V32" s="27">
        <v>15</v>
      </c>
      <c r="X32" t="s">
        <v>64</v>
      </c>
      <c r="Y32">
        <v>4.5199999999999996</v>
      </c>
    </row>
    <row r="33" spans="1:25" ht="15.75" customHeight="1" thickBot="1" x14ac:dyDescent="0.3">
      <c r="A33">
        <f>IF(COUNTIF(B$1:B33,B33)=1,MAX(A$1:A32)+1,"")</f>
        <v>32</v>
      </c>
      <c r="B33" s="29" t="s">
        <v>65</v>
      </c>
      <c r="C33" s="11" t="str">
        <f>IF(COUNTIF(D$1:D33,D33)=1,MAX(C$1:C32)+1,"")</f>
        <v/>
      </c>
      <c r="D33" s="12"/>
      <c r="E33" s="1" t="s">
        <v>2089</v>
      </c>
      <c r="G33" s="1" t="str">
        <f t="shared" si="0"/>
        <v>50Ш4</v>
      </c>
      <c r="H33" s="1" t="str">
        <f t="shared" si="1"/>
        <v/>
      </c>
      <c r="K33" s="28" t="s">
        <v>117</v>
      </c>
      <c r="L33" s="28">
        <v>406</v>
      </c>
      <c r="M33" s="28">
        <v>201</v>
      </c>
      <c r="N33" s="28">
        <v>9.5</v>
      </c>
      <c r="O33" s="28">
        <v>16</v>
      </c>
      <c r="R33" s="28" t="s">
        <v>57</v>
      </c>
      <c r="S33" s="28">
        <v>334</v>
      </c>
      <c r="T33" s="28">
        <v>249</v>
      </c>
      <c r="U33" s="28">
        <v>8</v>
      </c>
      <c r="V33" s="28">
        <v>11</v>
      </c>
      <c r="X33" t="s">
        <v>65</v>
      </c>
      <c r="Y33">
        <v>4.5</v>
      </c>
    </row>
    <row r="34" spans="1:25" ht="15.75" customHeight="1" thickBot="1" x14ac:dyDescent="0.3">
      <c r="A34">
        <f>IF(COUNTIF(B$1:B34,B34)=1,MAX(A$1:A33)+1,"")</f>
        <v>33</v>
      </c>
      <c r="B34" s="29" t="s">
        <v>66</v>
      </c>
      <c r="C34" s="11" t="str">
        <f>IF(COUNTIF(D$1:D34,D34)=1,MAX(C$1:C33)+1,"")</f>
        <v/>
      </c>
      <c r="D34" s="12"/>
      <c r="E34" s="1" t="s">
        <v>2090</v>
      </c>
      <c r="G34" s="1" t="str">
        <f t="shared" si="0"/>
        <v>60Ш1</v>
      </c>
      <c r="H34" s="1" t="str">
        <f t="shared" si="1"/>
        <v/>
      </c>
      <c r="K34" s="28" t="s">
        <v>118</v>
      </c>
      <c r="L34" s="28">
        <v>412</v>
      </c>
      <c r="M34" s="28">
        <v>202</v>
      </c>
      <c r="N34" s="28">
        <v>11</v>
      </c>
      <c r="O34" s="28">
        <v>19</v>
      </c>
      <c r="R34" s="28" t="s">
        <v>58</v>
      </c>
      <c r="S34" s="28">
        <v>340</v>
      </c>
      <c r="T34" s="28">
        <v>250</v>
      </c>
      <c r="U34" s="28">
        <v>9</v>
      </c>
      <c r="V34" s="28">
        <v>14</v>
      </c>
      <c r="X34" t="s">
        <v>66</v>
      </c>
      <c r="Y34">
        <v>3.77</v>
      </c>
    </row>
    <row r="35" spans="1:25" ht="15.75" customHeight="1" thickBot="1" x14ac:dyDescent="0.3">
      <c r="A35">
        <f>IF(COUNTIF(B$1:B35,B35)=1,MAX(A$1:A34)+1,"")</f>
        <v>34</v>
      </c>
      <c r="B35" s="29" t="s">
        <v>67</v>
      </c>
      <c r="C35" s="11" t="str">
        <f>IF(COUNTIF(D$1:D35,D35)=1,MAX(C$1:C34)+1,"")</f>
        <v/>
      </c>
      <c r="D35" s="12"/>
      <c r="E35" s="1" t="s">
        <v>2111</v>
      </c>
      <c r="G35" s="1" t="str">
        <f t="shared" si="0"/>
        <v>60Ш2</v>
      </c>
      <c r="H35" s="1" t="str">
        <f t="shared" si="1"/>
        <v/>
      </c>
      <c r="K35" s="28" t="s">
        <v>47</v>
      </c>
      <c r="L35" s="28">
        <v>446</v>
      </c>
      <c r="M35" s="28">
        <v>199</v>
      </c>
      <c r="N35" s="28">
        <v>8</v>
      </c>
      <c r="O35" s="28">
        <v>12</v>
      </c>
      <c r="R35" s="28" t="s">
        <v>59</v>
      </c>
      <c r="S35" s="28">
        <v>383</v>
      </c>
      <c r="T35" s="28">
        <v>299</v>
      </c>
      <c r="U35" s="28">
        <v>9.5</v>
      </c>
      <c r="V35" s="28">
        <v>12.5</v>
      </c>
      <c r="X35" t="s">
        <v>67</v>
      </c>
      <c r="Y35">
        <v>3.75</v>
      </c>
    </row>
    <row r="36" spans="1:25" ht="15.75" customHeight="1" thickBot="1" x14ac:dyDescent="0.3">
      <c r="A36">
        <f>IF(COUNTIF(B$1:B36,B36)=1,MAX(A$1:A35)+1,"")</f>
        <v>35</v>
      </c>
      <c r="B36" s="29" t="s">
        <v>68</v>
      </c>
      <c r="C36" s="11" t="str">
        <f>IF(COUNTIF(D$1:D36,D36)=1,MAX(C$1:C35)+1,"")</f>
        <v/>
      </c>
      <c r="D36" s="12"/>
      <c r="E36" s="1" t="s">
        <v>2123</v>
      </c>
      <c r="G36" s="1" t="str">
        <f t="shared" si="0"/>
        <v>60Ш3</v>
      </c>
      <c r="H36" s="1" t="str">
        <f t="shared" si="1"/>
        <v/>
      </c>
      <c r="K36" s="28" t="s">
        <v>48</v>
      </c>
      <c r="L36" s="28">
        <v>450</v>
      </c>
      <c r="M36" s="28">
        <v>200</v>
      </c>
      <c r="N36" s="28">
        <v>9</v>
      </c>
      <c r="O36" s="28">
        <v>14</v>
      </c>
      <c r="R36" s="28" t="s">
        <v>60</v>
      </c>
      <c r="S36" s="28">
        <v>390</v>
      </c>
      <c r="T36" s="28">
        <v>300</v>
      </c>
      <c r="U36" s="28">
        <v>10</v>
      </c>
      <c r="V36" s="28">
        <v>16</v>
      </c>
      <c r="X36" t="s">
        <v>68</v>
      </c>
      <c r="Y36">
        <v>3.74</v>
      </c>
    </row>
    <row r="37" spans="1:25" ht="15.75" customHeight="1" thickBot="1" x14ac:dyDescent="0.3">
      <c r="A37">
        <f>IF(COUNTIF(B$1:B37,B37)=1,MAX(A$1:A36)+1,"")</f>
        <v>36</v>
      </c>
      <c r="B37" s="29" t="s">
        <v>69</v>
      </c>
      <c r="C37" s="11" t="str">
        <f>IF(COUNTIF(D$1:D37,D37)=1,MAX(C$1:C36)+1,"")</f>
        <v/>
      </c>
      <c r="D37" s="12"/>
      <c r="E37" s="1" t="s">
        <v>2091</v>
      </c>
      <c r="G37" s="1" t="str">
        <f t="shared" si="0"/>
        <v>60Ш4</v>
      </c>
      <c r="H37" s="1" t="str">
        <f t="shared" si="1"/>
        <v/>
      </c>
      <c r="K37" s="28" t="s">
        <v>119</v>
      </c>
      <c r="L37" s="28">
        <v>456</v>
      </c>
      <c r="M37" s="28">
        <v>201</v>
      </c>
      <c r="N37" s="28">
        <v>10.5</v>
      </c>
      <c r="O37" s="28">
        <v>17</v>
      </c>
      <c r="R37" s="28" t="s">
        <v>61</v>
      </c>
      <c r="S37" s="28">
        <v>440</v>
      </c>
      <c r="T37" s="28">
        <v>300</v>
      </c>
      <c r="U37" s="28">
        <v>11</v>
      </c>
      <c r="V37" s="28">
        <v>18</v>
      </c>
      <c r="X37" t="s">
        <v>69</v>
      </c>
      <c r="Y37">
        <v>3.73</v>
      </c>
    </row>
    <row r="38" spans="1:25" ht="15.75" customHeight="1" thickBot="1" x14ac:dyDescent="0.3">
      <c r="A38">
        <f>IF(COUNTIF(B$1:B38,B38)=1,MAX(A$1:A37)+1,"")</f>
        <v>37</v>
      </c>
      <c r="B38" s="29" t="s">
        <v>70</v>
      </c>
      <c r="C38" s="11" t="str">
        <f>IF(COUNTIF(D$1:D38,D38)=1,MAX(C$1:C37)+1,"")</f>
        <v/>
      </c>
      <c r="D38" s="12"/>
      <c r="E38" s="1" t="s">
        <v>2092</v>
      </c>
      <c r="G38" s="1" t="str">
        <f t="shared" si="0"/>
        <v>H-644х42+317х68</v>
      </c>
      <c r="H38" s="1" t="str">
        <f t="shared" si="1"/>
        <v/>
      </c>
      <c r="K38" s="28" t="s">
        <v>120</v>
      </c>
      <c r="L38" s="28">
        <v>462</v>
      </c>
      <c r="M38" s="28">
        <v>202</v>
      </c>
      <c r="N38" s="28">
        <v>12</v>
      </c>
      <c r="O38" s="28">
        <v>20</v>
      </c>
      <c r="R38" s="28" t="s">
        <v>62</v>
      </c>
      <c r="S38" s="28">
        <v>482</v>
      </c>
      <c r="T38" s="28">
        <v>300</v>
      </c>
      <c r="U38" s="28">
        <v>11</v>
      </c>
      <c r="V38" s="28">
        <v>15</v>
      </c>
      <c r="X38" t="s">
        <v>79</v>
      </c>
      <c r="Y38">
        <v>11.38</v>
      </c>
    </row>
    <row r="39" spans="1:25" ht="15.75" customHeight="1" thickBot="1" x14ac:dyDescent="0.3">
      <c r="A39">
        <f>IF(COUNTIF(B$1:B39,B39)=1,MAX(A$1:A38)+1,"")</f>
        <v>38</v>
      </c>
      <c r="B39" s="29" t="s">
        <v>71</v>
      </c>
      <c r="C39" s="11" t="str">
        <f>IF(COUNTIF(D$1:D39,D39)=1,MAX(C$1:C38)+1,"")</f>
        <v/>
      </c>
      <c r="D39" s="12"/>
      <c r="E39" s="1" t="s">
        <v>2112</v>
      </c>
      <c r="G39" s="1" t="str">
        <f t="shared" si="0"/>
        <v>H-650х20+315х25</v>
      </c>
      <c r="H39" s="1" t="str">
        <f t="shared" si="1"/>
        <v/>
      </c>
      <c r="K39" s="28" t="s">
        <v>49</v>
      </c>
      <c r="L39" s="28">
        <v>492</v>
      </c>
      <c r="M39" s="28">
        <v>199</v>
      </c>
      <c r="N39" s="28">
        <v>8.8000000000000007</v>
      </c>
      <c r="O39" s="28">
        <v>12</v>
      </c>
      <c r="R39" s="28" t="s">
        <v>63</v>
      </c>
      <c r="S39" s="28">
        <v>487</v>
      </c>
      <c r="T39" s="28">
        <v>300</v>
      </c>
      <c r="U39" s="28">
        <v>14.5</v>
      </c>
      <c r="V39" s="28">
        <v>17.5</v>
      </c>
      <c r="X39" t="s">
        <v>197</v>
      </c>
      <c r="Y39">
        <v>11.28</v>
      </c>
    </row>
    <row r="40" spans="1:25" ht="15.75" customHeight="1" thickBot="1" x14ac:dyDescent="0.3">
      <c r="A40">
        <f>IF(COUNTIF(B$1:B40,B40)=1,MAX(A$1:A39)+1,"")</f>
        <v>39</v>
      </c>
      <c r="B40" s="29" t="s">
        <v>72</v>
      </c>
      <c r="C40" s="11" t="str">
        <f>IF(COUNTIF(D$1:D40,D40)=1,MAX(C$1:C39)+1,"")</f>
        <v/>
      </c>
      <c r="D40" s="12"/>
      <c r="E40" s="1" t="s">
        <v>2113</v>
      </c>
      <c r="G40" s="1" t="str">
        <f t="shared" si="0"/>
        <v>H-700х20+630х25</v>
      </c>
      <c r="H40" s="1" t="str">
        <f t="shared" si="1"/>
        <v/>
      </c>
      <c r="K40" s="28" t="s">
        <v>50</v>
      </c>
      <c r="L40" s="28">
        <v>496</v>
      </c>
      <c r="M40" s="28">
        <v>199</v>
      </c>
      <c r="N40" s="28">
        <v>9</v>
      </c>
      <c r="O40" s="28">
        <v>14</v>
      </c>
      <c r="R40" s="28" t="s">
        <v>64</v>
      </c>
      <c r="S40" s="28">
        <v>493</v>
      </c>
      <c r="T40" s="28">
        <v>300</v>
      </c>
      <c r="U40" s="28">
        <v>15.5</v>
      </c>
      <c r="V40" s="28">
        <v>20.5</v>
      </c>
      <c r="X40" t="s">
        <v>77</v>
      </c>
      <c r="Y40">
        <v>9.06</v>
      </c>
    </row>
    <row r="41" spans="1:25" ht="15.75" thickBot="1" x14ac:dyDescent="0.3">
      <c r="A41">
        <f>IF(COUNTIF(B$1:B41,B41)=1,MAX(A$1:A40)+1,"")</f>
        <v>40</v>
      </c>
      <c r="B41" s="29" t="s">
        <v>73</v>
      </c>
      <c r="C41" s="11" t="str">
        <f>IF(COUNTIF(D$1:D41,D41)=1,MAX(C$1:C40)+1,"")</f>
        <v/>
      </c>
      <c r="D41" s="12"/>
      <c r="E41" s="1" t="s">
        <v>254</v>
      </c>
      <c r="G41" s="1" t="str">
        <f t="shared" si="0"/>
        <v>H-1000х20+500х32</v>
      </c>
      <c r="H41" s="1" t="str">
        <f t="shared" si="1"/>
        <v/>
      </c>
      <c r="K41" s="28" t="s">
        <v>121</v>
      </c>
      <c r="L41" s="28">
        <v>500</v>
      </c>
      <c r="M41" s="28">
        <v>200</v>
      </c>
      <c r="N41" s="28">
        <v>10</v>
      </c>
      <c r="O41" s="28">
        <v>16</v>
      </c>
      <c r="R41" s="28" t="s">
        <v>65</v>
      </c>
      <c r="S41" s="28">
        <v>499</v>
      </c>
      <c r="T41" s="28">
        <v>300</v>
      </c>
      <c r="U41" s="28">
        <v>16.5</v>
      </c>
      <c r="V41" s="28">
        <v>23.5</v>
      </c>
      <c r="X41" t="s">
        <v>74</v>
      </c>
      <c r="Y41">
        <v>9</v>
      </c>
    </row>
    <row r="42" spans="1:25" ht="15.75" thickBot="1" x14ac:dyDescent="0.3">
      <c r="A42">
        <f>IF(COUNTIF(B$1:B42,B42)=1,MAX(A$1:A41)+1,"")</f>
        <v>41</v>
      </c>
      <c r="B42" s="29" t="s">
        <v>304</v>
      </c>
      <c r="C42" s="11" t="str">
        <f>IF(COUNTIF(D$1:D42,D42)=1,MAX(C$1:C41)+1,"")</f>
        <v/>
      </c>
      <c r="D42" s="12"/>
      <c r="E42" s="1" t="s">
        <v>2177</v>
      </c>
      <c r="G42" s="1" t="str">
        <f t="shared" si="0"/>
        <v>H-1100x25+500x40</v>
      </c>
      <c r="K42" s="28" t="s">
        <v>122</v>
      </c>
      <c r="L42" s="28">
        <v>508</v>
      </c>
      <c r="M42" s="28">
        <v>201</v>
      </c>
      <c r="N42" s="28">
        <v>12</v>
      </c>
      <c r="O42" s="28">
        <v>20</v>
      </c>
      <c r="R42" s="28" t="s">
        <v>66</v>
      </c>
      <c r="S42" s="28">
        <v>582</v>
      </c>
      <c r="T42" s="28">
        <v>300</v>
      </c>
      <c r="U42" s="28">
        <v>12</v>
      </c>
      <c r="V42" s="28">
        <v>17</v>
      </c>
      <c r="X42" t="s">
        <v>80</v>
      </c>
      <c r="Y42">
        <v>8.9499999999999993</v>
      </c>
    </row>
    <row r="43" spans="1:25" ht="15.75" thickBot="1" x14ac:dyDescent="0.3">
      <c r="A43">
        <f>IF(COUNTIF(B$1:B43,B43)=1,MAX(A$1:A42)+1,"")</f>
        <v>42</v>
      </c>
      <c r="B43" s="29" t="s">
        <v>306</v>
      </c>
      <c r="C43" s="11" t="str">
        <f>IF(COUNTIF(D$1:D43,D43)=1,MAX(C$1:C42)+1,"")</f>
        <v/>
      </c>
      <c r="D43" s="12"/>
      <c r="E43" s="1" t="s">
        <v>2178</v>
      </c>
      <c r="G43" s="1" t="str">
        <f t="shared" si="0"/>
        <v>H-1200x25+500x40</v>
      </c>
      <c r="K43" s="28" t="s">
        <v>123</v>
      </c>
      <c r="L43" s="28">
        <v>516</v>
      </c>
      <c r="M43" s="28">
        <v>202</v>
      </c>
      <c r="N43" s="28">
        <v>15</v>
      </c>
      <c r="O43" s="28">
        <v>24</v>
      </c>
      <c r="R43" s="28" t="s">
        <v>67</v>
      </c>
      <c r="S43" s="28">
        <v>589</v>
      </c>
      <c r="T43" s="28">
        <v>300</v>
      </c>
      <c r="U43" s="28">
        <v>16</v>
      </c>
      <c r="V43" s="28">
        <v>20.5</v>
      </c>
      <c r="X43" t="s">
        <v>81</v>
      </c>
      <c r="Y43">
        <v>7.48</v>
      </c>
    </row>
    <row r="44" spans="1:25" ht="15.75" thickBot="1" x14ac:dyDescent="0.3">
      <c r="B44" s="29"/>
      <c r="C44" s="11" t="str">
        <f>IF(COUNTIF(D$1:D44,D44)=1,MAX(C$1:C43)+1,"")</f>
        <v/>
      </c>
      <c r="D44" s="12"/>
      <c r="G44" s="1" t="str">
        <f t="shared" si="0"/>
        <v>20К2</v>
      </c>
      <c r="H44" s="1"/>
      <c r="K44" s="28" t="s">
        <v>124</v>
      </c>
      <c r="L44" s="28">
        <v>543</v>
      </c>
      <c r="M44" s="28">
        <v>220</v>
      </c>
      <c r="N44" s="28">
        <v>9.5</v>
      </c>
      <c r="O44" s="28">
        <v>13.5</v>
      </c>
      <c r="R44" s="28" t="s">
        <v>68</v>
      </c>
      <c r="S44" s="28">
        <v>597</v>
      </c>
      <c r="T44" s="28">
        <v>300</v>
      </c>
      <c r="U44" s="28">
        <v>18</v>
      </c>
      <c r="V44" s="28">
        <v>24.5</v>
      </c>
      <c r="X44" t="s">
        <v>82</v>
      </c>
      <c r="Y44">
        <v>7.46</v>
      </c>
    </row>
    <row r="45" spans="1:25" ht="15.75" thickBot="1" x14ac:dyDescent="0.3">
      <c r="A45" t="str">
        <f>IF(COUNTIF(B$1:B321,B321)=1,MAX(A$1:A44)+1,"")</f>
        <v/>
      </c>
      <c r="B45" s="29" t="s">
        <v>38</v>
      </c>
      <c r="C45" s="11" t="str">
        <f>IF(COUNTIF(D$1:D45,D45)=1,MAX(C$1:C44)+1,"")</f>
        <v/>
      </c>
      <c r="D45" s="12"/>
      <c r="G45" s="1" t="str">
        <f t="shared" si="0"/>
        <v>25К2</v>
      </c>
      <c r="H45" s="1"/>
      <c r="K45" s="28" t="s">
        <v>125</v>
      </c>
      <c r="L45" s="28">
        <v>547</v>
      </c>
      <c r="M45" s="28">
        <v>220</v>
      </c>
      <c r="N45" s="28">
        <v>10</v>
      </c>
      <c r="O45" s="28">
        <v>15.5</v>
      </c>
      <c r="R45" s="28" t="s">
        <v>69</v>
      </c>
      <c r="S45" s="28">
        <v>605</v>
      </c>
      <c r="T45" s="28">
        <v>300</v>
      </c>
      <c r="U45" s="28">
        <v>20</v>
      </c>
      <c r="V45" s="28">
        <v>28.5</v>
      </c>
      <c r="X45" t="s">
        <v>83</v>
      </c>
      <c r="Y45">
        <v>7.46</v>
      </c>
    </row>
    <row r="46" spans="1:25" ht="15.75" thickBot="1" x14ac:dyDescent="0.3">
      <c r="A46" t="str">
        <f>IF(COUNTIF(B$1:B322,B322)=1,MAX(A$1:A45)+1,"")</f>
        <v/>
      </c>
      <c r="B46" s="29" t="s">
        <v>39</v>
      </c>
      <c r="C46" s="11" t="str">
        <f>IF(COUNTIF(D$1:D46,D46)=1,MAX(C$1:C45)+1,"")</f>
        <v/>
      </c>
      <c r="D46" s="12"/>
      <c r="G46" s="1" t="str">
        <f t="shared" si="0"/>
        <v>35К1</v>
      </c>
      <c r="H46" s="29"/>
      <c r="K46" s="28" t="s">
        <v>126</v>
      </c>
      <c r="L46" s="28">
        <v>553</v>
      </c>
      <c r="M46" s="28">
        <v>221</v>
      </c>
      <c r="N46" s="28">
        <v>12</v>
      </c>
      <c r="O46" s="28">
        <v>18.5</v>
      </c>
      <c r="R46" s="28" t="s">
        <v>192</v>
      </c>
      <c r="S46" s="28">
        <v>147</v>
      </c>
      <c r="T46" s="28">
        <v>149</v>
      </c>
      <c r="U46" s="28">
        <v>6</v>
      </c>
      <c r="V46" s="28">
        <v>8.5</v>
      </c>
      <c r="X46" t="s">
        <v>84</v>
      </c>
      <c r="Y46">
        <v>7.42</v>
      </c>
    </row>
    <row r="47" spans="1:25" ht="15.75" thickBot="1" x14ac:dyDescent="0.3">
      <c r="A47" t="str">
        <f>IF(COUNTIF(B$1:B323,B323)=1,MAX(A$1:A46)+1,"")</f>
        <v/>
      </c>
      <c r="B47" s="29" t="s">
        <v>40</v>
      </c>
      <c r="C47" s="11" t="str">
        <f>IF(COUNTIF(D$1:D47,D47)=1,MAX(C$1:C46)+1,"")</f>
        <v/>
      </c>
      <c r="D47" s="12"/>
      <c r="G47" s="1" t="str">
        <f t="shared" si="0"/>
        <v>40К1</v>
      </c>
      <c r="H47" s="29"/>
      <c r="K47" s="28" t="s">
        <v>127</v>
      </c>
      <c r="L47" s="28">
        <v>560</v>
      </c>
      <c r="M47" s="28">
        <v>222</v>
      </c>
      <c r="N47" s="28">
        <v>14</v>
      </c>
      <c r="O47" s="28">
        <v>22</v>
      </c>
      <c r="R47" s="28" t="s">
        <v>193</v>
      </c>
      <c r="S47" s="28">
        <v>150</v>
      </c>
      <c r="T47" s="28">
        <v>150</v>
      </c>
      <c r="U47" s="28">
        <v>7</v>
      </c>
      <c r="V47" s="28">
        <v>10</v>
      </c>
      <c r="X47" t="s">
        <v>75</v>
      </c>
      <c r="Y47">
        <v>6.5</v>
      </c>
    </row>
    <row r="48" spans="1:25" ht="15.75" thickBot="1" x14ac:dyDescent="0.3">
      <c r="A48" t="str">
        <f>IF(COUNTIF(B$1:B324,B324)=1,MAX(A$1:A47)+1,"")</f>
        <v/>
      </c>
      <c r="B48" s="29" t="s">
        <v>41</v>
      </c>
      <c r="C48" s="11" t="str">
        <f>IF(COUNTIF(D$1:D48,D48)=1,MAX(C$1:C47)+1,"")</f>
        <v/>
      </c>
      <c r="D48" s="12"/>
      <c r="G48" s="1" t="str">
        <f t="shared" si="0"/>
        <v>25К1</v>
      </c>
      <c r="K48" s="28" t="s">
        <v>51</v>
      </c>
      <c r="L48" s="28">
        <v>596</v>
      </c>
      <c r="M48" s="28">
        <v>199</v>
      </c>
      <c r="N48" s="28">
        <v>10</v>
      </c>
      <c r="O48" s="28">
        <v>15</v>
      </c>
      <c r="R48" s="28" t="s">
        <v>194</v>
      </c>
      <c r="S48" s="28">
        <v>155</v>
      </c>
      <c r="T48" s="28">
        <v>151</v>
      </c>
      <c r="U48" s="28">
        <v>8.5</v>
      </c>
      <c r="V48" s="28">
        <v>12.5</v>
      </c>
      <c r="X48" t="s">
        <v>85</v>
      </c>
      <c r="Y48">
        <v>6.44</v>
      </c>
    </row>
    <row r="49" spans="1:25" ht="15.75" thickBot="1" x14ac:dyDescent="0.3">
      <c r="A49" t="str">
        <f>IF(COUNTIF(B$1:B325,B325)=1,MAX(A$1:A48)+1,"")</f>
        <v/>
      </c>
      <c r="B49" s="29" t="s">
        <v>42</v>
      </c>
      <c r="C49" s="11" t="str">
        <f>IF(COUNTIF(D$1:D49,D49)=1,MAX(C$1:C48)+1,"")</f>
        <v/>
      </c>
      <c r="D49" s="12"/>
      <c r="G49" s="1" t="str">
        <f t="shared" si="0"/>
        <v>40К2</v>
      </c>
      <c r="K49" s="28" t="s">
        <v>52</v>
      </c>
      <c r="L49" s="28">
        <v>600</v>
      </c>
      <c r="M49" s="28">
        <v>200</v>
      </c>
      <c r="N49" s="28">
        <v>11</v>
      </c>
      <c r="O49" s="28">
        <v>17</v>
      </c>
      <c r="R49" s="28" t="s">
        <v>195</v>
      </c>
      <c r="S49" s="28">
        <v>160</v>
      </c>
      <c r="T49" s="28">
        <v>152</v>
      </c>
      <c r="U49" s="28">
        <v>10</v>
      </c>
      <c r="V49" s="28">
        <v>15</v>
      </c>
      <c r="X49" t="s">
        <v>76</v>
      </c>
      <c r="Y49">
        <v>5.66</v>
      </c>
    </row>
    <row r="50" spans="1:25" ht="15.75" thickBot="1" x14ac:dyDescent="0.3">
      <c r="A50" t="str">
        <f>IF(COUNTIF(B$1:B326,B326)=1,MAX(A$1:A49)+1,"")</f>
        <v/>
      </c>
      <c r="B50" s="29" t="s">
        <v>43</v>
      </c>
      <c r="C50" s="11" t="str">
        <f>IF(COUNTIF(D$1:D50,D50)=1,MAX(C$1:C49)+1,"")</f>
        <v/>
      </c>
      <c r="D50" s="12"/>
      <c r="G50" s="1" t="str">
        <f t="shared" si="0"/>
        <v>12П</v>
      </c>
      <c r="K50" s="27" t="s">
        <v>128</v>
      </c>
      <c r="L50" s="27">
        <v>604</v>
      </c>
      <c r="M50" s="27">
        <v>201</v>
      </c>
      <c r="N50" s="27">
        <v>12.5</v>
      </c>
      <c r="O50" s="27">
        <v>19</v>
      </c>
      <c r="R50" s="28" t="s">
        <v>79</v>
      </c>
      <c r="S50" s="28">
        <v>196</v>
      </c>
      <c r="T50" s="28">
        <v>199</v>
      </c>
      <c r="U50" s="28">
        <v>6.5</v>
      </c>
      <c r="V50" s="28">
        <v>10</v>
      </c>
      <c r="X50" t="s">
        <v>78</v>
      </c>
      <c r="Y50">
        <v>5.63</v>
      </c>
    </row>
    <row r="51" spans="1:25" ht="15.75" thickBot="1" x14ac:dyDescent="0.3">
      <c r="A51" t="str">
        <f>IF(COUNTIF(B$1:B327,B327)=1,MAX(A$1:A50)+1,"")</f>
        <v/>
      </c>
      <c r="B51" s="29" t="s">
        <v>44</v>
      </c>
      <c r="C51" s="11" t="str">
        <f>IF(COUNTIF(D$1:D51,D51)=1,MAX(C$1:C50)+1,"")</f>
        <v/>
      </c>
      <c r="D51" s="12"/>
      <c r="G51" s="1" t="str">
        <f t="shared" si="0"/>
        <v>14П</v>
      </c>
      <c r="H51" t="str">
        <f t="shared" si="1"/>
        <v/>
      </c>
      <c r="K51" s="28" t="s">
        <v>129</v>
      </c>
      <c r="L51" s="28">
        <v>612</v>
      </c>
      <c r="M51" s="28">
        <v>202</v>
      </c>
      <c r="N51" s="28">
        <v>15</v>
      </c>
      <c r="O51" s="28">
        <v>23</v>
      </c>
      <c r="R51" s="28" t="s">
        <v>197</v>
      </c>
      <c r="S51" s="28">
        <v>200</v>
      </c>
      <c r="T51" s="28">
        <v>200</v>
      </c>
      <c r="U51" s="28">
        <v>8</v>
      </c>
      <c r="V51" s="28">
        <v>12</v>
      </c>
      <c r="X51" t="s">
        <v>86</v>
      </c>
      <c r="Y51">
        <v>5.6</v>
      </c>
    </row>
    <row r="52" spans="1:25" ht="15.75" thickBot="1" x14ac:dyDescent="0.3">
      <c r="A52" t="str">
        <f>IF(COUNTIF(B$1:B328,B328)=1,MAX(A$1:A51)+1,"")</f>
        <v/>
      </c>
      <c r="B52" s="29" t="s">
        <v>45</v>
      </c>
      <c r="C52" s="11" t="str">
        <f>IF(COUNTIF(D$1:D52,D52)=1,MAX(C$1:C51)+1,"")</f>
        <v/>
      </c>
      <c r="D52" s="12"/>
      <c r="G52" s="1" t="str">
        <f t="shared" si="0"/>
        <v>16П</v>
      </c>
      <c r="H52" t="str">
        <f t="shared" si="1"/>
        <v/>
      </c>
      <c r="K52" s="28" t="s">
        <v>130</v>
      </c>
      <c r="L52" s="28">
        <v>691</v>
      </c>
      <c r="M52" s="28">
        <v>260</v>
      </c>
      <c r="N52" s="28">
        <v>12</v>
      </c>
      <c r="O52" s="28">
        <v>15.5</v>
      </c>
      <c r="R52" s="28" t="s">
        <v>77</v>
      </c>
      <c r="S52" s="28">
        <v>246</v>
      </c>
      <c r="T52" s="28">
        <v>249</v>
      </c>
      <c r="U52" s="28">
        <v>8</v>
      </c>
      <c r="V52" s="28">
        <v>12</v>
      </c>
      <c r="X52" t="s">
        <v>87</v>
      </c>
      <c r="Y52">
        <v>5.56</v>
      </c>
    </row>
    <row r="53" spans="1:25" ht="15.75" thickBot="1" x14ac:dyDescent="0.3">
      <c r="A53" t="str">
        <f>IF(COUNTIF(B$1:B329,B329)=1,MAX(A$1:A52)+1,"")</f>
        <v/>
      </c>
      <c r="B53" s="29" t="s">
        <v>46</v>
      </c>
      <c r="C53" s="11" t="str">
        <f>IF(COUNTIF(D$1:D53,D53)=1,MAX(C$1:C52)+1,"")</f>
        <v/>
      </c>
      <c r="D53" s="12"/>
      <c r="G53" s="1" t="str">
        <f t="shared" si="0"/>
        <v>18П</v>
      </c>
      <c r="H53" t="str">
        <f t="shared" si="1"/>
        <v/>
      </c>
      <c r="K53" s="28" t="s">
        <v>131</v>
      </c>
      <c r="L53" s="28">
        <v>697</v>
      </c>
      <c r="M53" s="28">
        <v>260</v>
      </c>
      <c r="N53" s="28">
        <v>12.5</v>
      </c>
      <c r="O53" s="28">
        <v>18.5</v>
      </c>
      <c r="R53" s="28" t="s">
        <v>74</v>
      </c>
      <c r="S53" s="28">
        <v>250</v>
      </c>
      <c r="T53" s="28">
        <v>250</v>
      </c>
      <c r="U53" s="28">
        <v>9</v>
      </c>
      <c r="V53" s="28">
        <v>14</v>
      </c>
      <c r="X53" t="s">
        <v>252</v>
      </c>
      <c r="Y53">
        <v>5.56</v>
      </c>
    </row>
    <row r="54" spans="1:25" ht="15.75" thickBot="1" x14ac:dyDescent="0.3">
      <c r="A54" t="str">
        <f>IF(COUNTIF(B$1:B44,B44)=1,MAX(A$1:A53)+1,"")</f>
        <v/>
      </c>
      <c r="B54" s="29" t="s">
        <v>47</v>
      </c>
      <c r="C54" s="11" t="str">
        <f>IF(COUNTIF(D$1:D54,D54)=1,MAX(C$1:C53)+1,"")</f>
        <v/>
      </c>
      <c r="D54" s="12"/>
      <c r="G54" s="1" t="str">
        <f t="shared" si="0"/>
        <v>20П</v>
      </c>
      <c r="H54" t="str">
        <f t="shared" si="1"/>
        <v/>
      </c>
      <c r="K54" s="28" t="s">
        <v>132</v>
      </c>
      <c r="L54" s="28">
        <v>702</v>
      </c>
      <c r="M54" s="28">
        <v>261</v>
      </c>
      <c r="N54" s="28">
        <v>14.5</v>
      </c>
      <c r="O54" s="28">
        <v>21</v>
      </c>
      <c r="R54" s="28" t="s">
        <v>80</v>
      </c>
      <c r="S54" s="28">
        <v>253</v>
      </c>
      <c r="T54" s="28">
        <v>251</v>
      </c>
      <c r="U54" s="28">
        <v>10</v>
      </c>
      <c r="V54" s="28">
        <v>15.5</v>
      </c>
      <c r="X54" t="s">
        <v>70</v>
      </c>
      <c r="Y54">
        <v>3.11</v>
      </c>
    </row>
    <row r="55" spans="1:25" ht="15.75" thickBot="1" x14ac:dyDescent="0.3">
      <c r="A55" t="str">
        <f>IF(COUNTIF(B$1:B45,B45)=1,MAX(A$1:A54)+1,"")</f>
        <v/>
      </c>
      <c r="B55" s="29" t="s">
        <v>48</v>
      </c>
      <c r="C55" s="11" t="str">
        <f>IF(COUNTIF(D$1:D55,D55)=1,MAX(C$1:C54)+1,"")</f>
        <v/>
      </c>
      <c r="D55" s="12"/>
      <c r="G55" s="1" t="str">
        <f t="shared" si="0"/>
        <v>24П</v>
      </c>
      <c r="H55" t="str">
        <f t="shared" si="1"/>
        <v/>
      </c>
      <c r="K55" s="28" t="s">
        <v>133</v>
      </c>
      <c r="L55" s="28">
        <v>710</v>
      </c>
      <c r="M55" s="28">
        <v>262</v>
      </c>
      <c r="N55" s="28">
        <v>17</v>
      </c>
      <c r="O55" s="28">
        <v>25</v>
      </c>
      <c r="R55" s="28" t="s">
        <v>81</v>
      </c>
      <c r="S55" s="28">
        <v>298</v>
      </c>
      <c r="T55" s="28">
        <v>299</v>
      </c>
      <c r="U55" s="28">
        <v>9</v>
      </c>
      <c r="V55" s="28">
        <v>14</v>
      </c>
      <c r="X55" t="s">
        <v>71</v>
      </c>
      <c r="Y55">
        <v>3.17</v>
      </c>
    </row>
    <row r="56" spans="1:25" ht="15.75" thickBot="1" x14ac:dyDescent="0.3">
      <c r="A56" t="str">
        <f>IF(COUNTIF(B$1:B46,B46)=1,MAX(A$1:A55)+1,"")</f>
        <v/>
      </c>
      <c r="B56" s="29" t="s">
        <v>49</v>
      </c>
      <c r="C56" s="11" t="str">
        <f>IF(COUNTIF(D$1:D56,D56)=1,MAX(C$1:C55)+1,"")</f>
        <v/>
      </c>
      <c r="D56" s="12"/>
      <c r="G56" s="1" t="str">
        <f t="shared" si="0"/>
        <v>30П</v>
      </c>
      <c r="H56" t="str">
        <f t="shared" si="1"/>
        <v/>
      </c>
      <c r="K56" s="28" t="s">
        <v>134</v>
      </c>
      <c r="L56" s="28">
        <v>190</v>
      </c>
      <c r="M56" s="28">
        <v>149</v>
      </c>
      <c r="N56" s="28">
        <v>5</v>
      </c>
      <c r="O56" s="28">
        <v>7</v>
      </c>
      <c r="R56" s="28" t="s">
        <v>82</v>
      </c>
      <c r="S56" s="28">
        <v>300</v>
      </c>
      <c r="T56" s="28">
        <v>300</v>
      </c>
      <c r="U56" s="28">
        <v>10</v>
      </c>
      <c r="V56" s="28">
        <v>15</v>
      </c>
      <c r="X56" t="s">
        <v>72</v>
      </c>
      <c r="Y56">
        <v>2.95</v>
      </c>
    </row>
    <row r="57" spans="1:25" ht="15.75" thickBot="1" x14ac:dyDescent="0.3">
      <c r="A57" t="str">
        <f>IF(COUNTIF(B$1:B47,B47)=1,MAX(A$1:A56)+1,"")</f>
        <v/>
      </c>
      <c r="B57" s="29" t="s">
        <v>50</v>
      </c>
      <c r="C57" s="11" t="str">
        <f>IF(COUNTIF(D$1:D57,D57)=1,MAX(C$1:C56)+1,"")</f>
        <v/>
      </c>
      <c r="D57" s="12"/>
      <c r="F57">
        <v>56</v>
      </c>
      <c r="G57" s="1" t="str">
        <f t="shared" si="0"/>
        <v>36П</v>
      </c>
      <c r="H57" t="str">
        <f t="shared" si="1"/>
        <v/>
      </c>
      <c r="K57" s="28" t="s">
        <v>53</v>
      </c>
      <c r="L57" s="28">
        <v>194</v>
      </c>
      <c r="M57" s="28">
        <v>150</v>
      </c>
      <c r="N57" s="28">
        <v>6</v>
      </c>
      <c r="O57" s="28">
        <v>9</v>
      </c>
      <c r="R57" s="28" t="s">
        <v>83</v>
      </c>
      <c r="S57" s="28">
        <v>300</v>
      </c>
      <c r="T57" s="28">
        <v>305</v>
      </c>
      <c r="U57" s="28">
        <v>15</v>
      </c>
      <c r="V57" s="28">
        <v>15</v>
      </c>
      <c r="X57" t="s">
        <v>73</v>
      </c>
      <c r="Y57">
        <v>2.09</v>
      </c>
    </row>
    <row r="58" spans="1:25" ht="15.75" thickBot="1" x14ac:dyDescent="0.3">
      <c r="A58" t="str">
        <f>IF(COUNTIF(B$1:B48,B48)=1,MAX(A$1:A57)+1,"")</f>
        <v/>
      </c>
      <c r="B58" s="29" t="s">
        <v>121</v>
      </c>
      <c r="C58" s="11" t="str">
        <f>IF(COUNTIF(D$1:D58,D58)=1,MAX(C$1:C57)+1,"")</f>
        <v/>
      </c>
      <c r="D58" s="12"/>
      <c r="G58" s="1" t="s">
        <v>595</v>
      </c>
      <c r="K58" s="28" t="s">
        <v>135</v>
      </c>
      <c r="L58" s="28">
        <v>199</v>
      </c>
      <c r="M58" s="28">
        <v>151</v>
      </c>
      <c r="N58" s="28">
        <v>7.5</v>
      </c>
      <c r="O58" s="28">
        <v>11.5</v>
      </c>
      <c r="R58" s="28" t="s">
        <v>84</v>
      </c>
      <c r="S58" s="28">
        <v>304</v>
      </c>
      <c r="T58" s="28">
        <v>301</v>
      </c>
      <c r="U58" s="28">
        <v>11</v>
      </c>
      <c r="V58" s="28">
        <v>17</v>
      </c>
      <c r="X58" t="s">
        <v>2167</v>
      </c>
      <c r="Y58">
        <v>1.9</v>
      </c>
    </row>
    <row r="59" spans="1:25" ht="15.75" thickBot="1" x14ac:dyDescent="0.3">
      <c r="A59" t="str">
        <f>IF(COUNTIF(B$1:B49,B49)=1,MAX(A$1:A58)+1,"")</f>
        <v/>
      </c>
      <c r="B59" s="29" t="s">
        <v>51</v>
      </c>
      <c r="C59" s="11" t="str">
        <f>IF(COUNTIF(D$1:D59,D59)=1,MAX(C$1:C58)+1,"")</f>
        <v/>
      </c>
      <c r="D59" s="12"/>
      <c r="G59" s="1" t="s">
        <v>596</v>
      </c>
      <c r="H59" t="str">
        <f t="shared" si="1"/>
        <v/>
      </c>
      <c r="K59" s="28" t="s">
        <v>136</v>
      </c>
      <c r="L59" s="28">
        <v>204</v>
      </c>
      <c r="M59" s="28">
        <v>152</v>
      </c>
      <c r="N59" s="28">
        <v>9</v>
      </c>
      <c r="O59" s="28">
        <v>14</v>
      </c>
      <c r="R59" s="28" t="s">
        <v>75</v>
      </c>
      <c r="S59" s="28">
        <v>342</v>
      </c>
      <c r="T59" s="28">
        <v>348</v>
      </c>
      <c r="U59" s="28">
        <v>10</v>
      </c>
      <c r="V59" s="28">
        <v>15</v>
      </c>
      <c r="X59" t="s">
        <v>2168</v>
      </c>
      <c r="Y59">
        <v>1.75</v>
      </c>
    </row>
    <row r="60" spans="1:25" ht="15.75" thickBot="1" x14ac:dyDescent="0.3">
      <c r="A60" t="str">
        <f>IF(COUNTIF(B$1:B50,B50)=1,MAX(A$1:A59)+1,"")</f>
        <v/>
      </c>
      <c r="B60" s="29" t="s">
        <v>52</v>
      </c>
      <c r="C60" s="11" t="str">
        <f>IF(COUNTIF(D$1:D60,D60)=1,MAX(C$1:C59)+1,"")</f>
        <v/>
      </c>
      <c r="D60" s="12"/>
      <c r="G60" s="1" t="s">
        <v>597</v>
      </c>
      <c r="H60" t="str">
        <f t="shared" si="1"/>
        <v/>
      </c>
      <c r="K60" s="28" t="s">
        <v>137</v>
      </c>
      <c r="L60" s="28">
        <v>211</v>
      </c>
      <c r="M60" s="28">
        <v>155</v>
      </c>
      <c r="N60" s="28">
        <v>11</v>
      </c>
      <c r="O60" s="28">
        <v>17.5</v>
      </c>
      <c r="R60" s="28" t="s">
        <v>85</v>
      </c>
      <c r="S60" s="28">
        <v>350</v>
      </c>
      <c r="T60" s="28">
        <v>350</v>
      </c>
      <c r="U60" s="28">
        <v>12</v>
      </c>
      <c r="V60" s="28">
        <v>19</v>
      </c>
      <c r="X60" t="s">
        <v>88</v>
      </c>
      <c r="Y60">
        <v>3.61</v>
      </c>
    </row>
    <row r="61" spans="1:25" ht="15.75" thickBot="1" x14ac:dyDescent="0.3">
      <c r="A61" t="str">
        <f>IF(COUNTIF(B$1:B51,B51)=1,MAX(A$1:A60)+1,"")</f>
        <v/>
      </c>
      <c r="B61" s="29" t="s">
        <v>53</v>
      </c>
      <c r="C61" s="11" t="str">
        <f>IF(COUNTIF(D$1:D61,D61)=1,MAX(C$1:C60)+1,"")</f>
        <v/>
      </c>
      <c r="D61" s="12"/>
      <c r="G61" s="1" t="s">
        <v>598</v>
      </c>
      <c r="H61" t="str">
        <f t="shared" si="1"/>
        <v/>
      </c>
      <c r="K61" s="28" t="s">
        <v>138</v>
      </c>
      <c r="L61" s="28">
        <v>218</v>
      </c>
      <c r="M61" s="28">
        <v>157</v>
      </c>
      <c r="N61" s="28">
        <v>13</v>
      </c>
      <c r="O61" s="28">
        <v>21</v>
      </c>
      <c r="R61" s="28" t="s">
        <v>76</v>
      </c>
      <c r="S61" s="28">
        <v>394</v>
      </c>
      <c r="T61" s="28">
        <v>398</v>
      </c>
      <c r="U61" s="28">
        <v>11</v>
      </c>
      <c r="V61" s="28">
        <v>18</v>
      </c>
      <c r="X61" t="s">
        <v>89</v>
      </c>
      <c r="Y61">
        <v>3.31</v>
      </c>
    </row>
    <row r="62" spans="1:25" ht="15.75" thickBot="1" x14ac:dyDescent="0.3">
      <c r="A62" t="str">
        <f>IF(COUNTIF(B$1:B52,B52)=1,MAX(A$1:A61)+1,"")</f>
        <v/>
      </c>
      <c r="B62" s="29" t="s">
        <v>54</v>
      </c>
      <c r="C62" s="11" t="str">
        <f>IF(COUNTIF(D$1:D62,D62)=1,MAX(C$1:C61)+1,"")</f>
        <v/>
      </c>
      <c r="D62" s="12"/>
      <c r="G62" s="1" t="s">
        <v>599</v>
      </c>
      <c r="H62" t="str">
        <f t="shared" si="1"/>
        <v/>
      </c>
      <c r="K62" s="28" t="s">
        <v>139</v>
      </c>
      <c r="L62" s="28">
        <v>228</v>
      </c>
      <c r="M62" s="28">
        <v>159</v>
      </c>
      <c r="N62" s="28">
        <v>16</v>
      </c>
      <c r="O62" s="28">
        <v>26</v>
      </c>
      <c r="R62" s="28" t="s">
        <v>78</v>
      </c>
      <c r="S62" s="28">
        <v>400</v>
      </c>
      <c r="T62" s="28">
        <v>400</v>
      </c>
      <c r="U62" s="28">
        <v>13</v>
      </c>
      <c r="V62" s="28">
        <v>21</v>
      </c>
      <c r="X62" t="s">
        <v>90</v>
      </c>
      <c r="Y62">
        <v>2.74</v>
      </c>
    </row>
    <row r="63" spans="1:25" ht="15.75" thickBot="1" x14ac:dyDescent="0.3">
      <c r="A63" t="str">
        <f>IF(COUNTIF(B$1:B53,B53)=1,MAX(A$1:A62)+1,"")</f>
        <v/>
      </c>
      <c r="B63" s="29" t="s">
        <v>55</v>
      </c>
      <c r="C63" s="11" t="str">
        <f>IF(COUNTIF(D$1:D63,D63)=1,MAX(C$1:C62)+1,"")</f>
        <v/>
      </c>
      <c r="D63" s="12"/>
      <c r="G63" s="1" t="s">
        <v>600</v>
      </c>
      <c r="H63" t="str">
        <f t="shared" si="1"/>
        <v/>
      </c>
      <c r="K63" s="28" t="s">
        <v>140</v>
      </c>
      <c r="L63" s="28">
        <v>240</v>
      </c>
      <c r="M63" s="28">
        <v>174</v>
      </c>
      <c r="N63" s="28">
        <v>6</v>
      </c>
      <c r="O63" s="28">
        <v>9</v>
      </c>
      <c r="R63" s="28" t="s">
        <v>86</v>
      </c>
      <c r="S63" s="28">
        <v>406</v>
      </c>
      <c r="T63" s="28">
        <v>403</v>
      </c>
      <c r="U63" s="28">
        <v>16</v>
      </c>
      <c r="V63" s="28">
        <v>24</v>
      </c>
    </row>
    <row r="64" spans="1:25" ht="15.75" thickBot="1" x14ac:dyDescent="0.3">
      <c r="A64" t="str">
        <f>IF(COUNTIF(B$1:B54,B54)=1,MAX(A$1:A63)+1,"")</f>
        <v/>
      </c>
      <c r="B64" s="29" t="s">
        <v>56</v>
      </c>
      <c r="C64" s="11" t="str">
        <f>IF(COUNTIF(D$1:D64,D64)=1,MAX(C$1:C63)+1,"")</f>
        <v/>
      </c>
      <c r="D64" s="12"/>
      <c r="G64" s="1" t="s">
        <v>601</v>
      </c>
      <c r="H64" t="str">
        <f t="shared" si="1"/>
        <v/>
      </c>
      <c r="K64" s="28" t="s">
        <v>54</v>
      </c>
      <c r="L64" s="28">
        <v>244</v>
      </c>
      <c r="M64" s="28">
        <v>175</v>
      </c>
      <c r="N64" s="28">
        <v>7</v>
      </c>
      <c r="O64" s="28">
        <v>11</v>
      </c>
      <c r="R64" s="28" t="s">
        <v>87</v>
      </c>
      <c r="S64" s="28">
        <v>414</v>
      </c>
      <c r="T64" s="28">
        <v>405</v>
      </c>
      <c r="U64" s="28">
        <v>18</v>
      </c>
      <c r="V64" s="28">
        <v>28</v>
      </c>
    </row>
    <row r="65" spans="1:22" ht="15.75" thickBot="1" x14ac:dyDescent="0.3">
      <c r="A65" t="str">
        <f>IF(COUNTIF(B$1:B55,B55)=1,MAX(A$1:A64)+1,"")</f>
        <v/>
      </c>
      <c r="B65" s="29" t="s">
        <v>57</v>
      </c>
      <c r="C65" s="11" t="str">
        <f>IF(COUNTIF(D$1:D65,D65)=1,MAX(C$1:C64)+1,"")</f>
        <v/>
      </c>
      <c r="D65" s="12"/>
      <c r="G65" s="1" t="s">
        <v>2180</v>
      </c>
      <c r="H65" t="str">
        <f t="shared" si="1"/>
        <v/>
      </c>
      <c r="K65" s="28" t="s">
        <v>141</v>
      </c>
      <c r="L65" s="28">
        <v>249</v>
      </c>
      <c r="M65" s="28">
        <v>176</v>
      </c>
      <c r="N65" s="28">
        <v>8.5</v>
      </c>
      <c r="O65" s="28">
        <v>13.5</v>
      </c>
      <c r="R65" s="28" t="s">
        <v>252</v>
      </c>
      <c r="S65" s="28">
        <v>429</v>
      </c>
      <c r="T65" s="28">
        <v>400</v>
      </c>
      <c r="U65" s="28">
        <v>23</v>
      </c>
      <c r="V65" s="28">
        <v>35.5</v>
      </c>
    </row>
    <row r="66" spans="1:22" ht="15.75" thickBot="1" x14ac:dyDescent="0.3">
      <c r="A66" t="str">
        <f>IF(COUNTIF(B$1:B56,B56)=1,MAX(A$1:A65)+1,"")</f>
        <v/>
      </c>
      <c r="B66" s="29" t="s">
        <v>58</v>
      </c>
      <c r="C66" s="11" t="str">
        <f>IF(COUNTIF(D$1:D66,D66)=1,MAX(C$1:C65)+1,"")</f>
        <v/>
      </c>
      <c r="D66" s="12"/>
      <c r="G66" s="1" t="s">
        <v>2182</v>
      </c>
      <c r="H66" t="str">
        <f t="shared" si="1"/>
        <v/>
      </c>
      <c r="K66" s="28" t="s">
        <v>142</v>
      </c>
      <c r="L66" s="28">
        <v>256</v>
      </c>
      <c r="M66" s="28">
        <v>177</v>
      </c>
      <c r="N66" s="28">
        <v>10.5</v>
      </c>
      <c r="O66" s="28">
        <v>17</v>
      </c>
      <c r="R66" s="28" t="s">
        <v>70</v>
      </c>
      <c r="S66" s="28">
        <v>644</v>
      </c>
      <c r="T66" s="28">
        <v>317</v>
      </c>
      <c r="U66" s="28"/>
      <c r="V66" s="28">
        <v>68</v>
      </c>
    </row>
    <row r="67" spans="1:22" ht="15.75" thickBot="1" x14ac:dyDescent="0.3">
      <c r="A67" t="str">
        <f>IF(COUNTIF(B$1:B57,B57)=1,MAX(A$1:A66)+1,"")</f>
        <v/>
      </c>
      <c r="B67" s="29" t="s">
        <v>59</v>
      </c>
      <c r="C67" s="11" t="str">
        <f>IF(COUNTIF(D$1:D67,D67)=1,MAX(C$1:C66)+1,"")</f>
        <v/>
      </c>
      <c r="D67" s="12"/>
      <c r="G67" s="1" t="s">
        <v>2184</v>
      </c>
      <c r="H67" t="str">
        <f t="shared" ref="H67:H68" si="2">IF(MAX(C67:C6657)&lt;ROW(66:66),"",VLOOKUP(ROW(66:66),C67:D6657,2))</f>
        <v/>
      </c>
      <c r="K67" s="28" t="s">
        <v>143</v>
      </c>
      <c r="L67" s="28">
        <v>264</v>
      </c>
      <c r="M67" s="28">
        <v>182</v>
      </c>
      <c r="N67" s="28">
        <v>13</v>
      </c>
      <c r="O67" s="28">
        <v>21</v>
      </c>
      <c r="R67" s="28" t="s">
        <v>71</v>
      </c>
      <c r="S67" s="28">
        <v>650</v>
      </c>
      <c r="T67" s="28">
        <v>315</v>
      </c>
      <c r="U67" s="28"/>
      <c r="V67" s="28">
        <v>25</v>
      </c>
    </row>
    <row r="68" spans="1:22" ht="15.75" thickBot="1" x14ac:dyDescent="0.3">
      <c r="A68" t="str">
        <f>IF(COUNTIF(B$1:B58,B58)=1,MAX(A$1:A67)+1,"")</f>
        <v/>
      </c>
      <c r="B68" s="29" t="s">
        <v>60</v>
      </c>
      <c r="C68" s="11" t="str">
        <f>IF(COUNTIF(D$1:D68,D68)=1,MAX(C$1:C67)+1,"")</f>
        <v/>
      </c>
      <c r="D68" s="12"/>
      <c r="G68" s="1" t="s">
        <v>2186</v>
      </c>
      <c r="H68" t="str">
        <f t="shared" si="2"/>
        <v/>
      </c>
      <c r="K68" s="28" t="s">
        <v>144</v>
      </c>
      <c r="L68" s="28">
        <v>274</v>
      </c>
      <c r="M68" s="28">
        <v>184</v>
      </c>
      <c r="N68" s="28">
        <v>16</v>
      </c>
      <c r="O68" s="28">
        <v>26</v>
      </c>
      <c r="R68" s="28" t="s">
        <v>72</v>
      </c>
      <c r="S68" s="28">
        <v>700</v>
      </c>
      <c r="T68" s="28">
        <v>630</v>
      </c>
      <c r="U68" s="28"/>
      <c r="V68" s="28">
        <v>25</v>
      </c>
    </row>
    <row r="69" spans="1:22" ht="15.75" thickBot="1" x14ac:dyDescent="0.3">
      <c r="A69" t="str">
        <f>IF(COUNTIF(B$1:B59,B59)=1,MAX(A$1:A68)+1,"")</f>
        <v/>
      </c>
      <c r="B69" s="29" t="s">
        <v>61</v>
      </c>
      <c r="C69" s="11" t="str">
        <f>IF(COUNTIF(D$1:D69,D69)=1,MAX(C$1:C68)+1,"")</f>
        <v/>
      </c>
      <c r="D69" s="12"/>
      <c r="G69" s="1" t="s">
        <v>2188</v>
      </c>
      <c r="K69" s="28" t="s">
        <v>145</v>
      </c>
      <c r="L69" s="28">
        <v>286</v>
      </c>
      <c r="M69" s="28">
        <v>186</v>
      </c>
      <c r="N69" s="28">
        <v>19</v>
      </c>
      <c r="O69" s="28">
        <v>32</v>
      </c>
      <c r="R69" s="28" t="s">
        <v>73</v>
      </c>
      <c r="S69" s="28">
        <v>1000</v>
      </c>
      <c r="T69" s="28">
        <v>500</v>
      </c>
      <c r="U69" s="28"/>
      <c r="V69" s="28">
        <v>32</v>
      </c>
    </row>
    <row r="70" spans="1:22" ht="15.75" thickBot="1" x14ac:dyDescent="0.3">
      <c r="A70" t="str">
        <f>IF(COUNTIF(B$1:B60,B60)=1,MAX(A$1:A69)+1,"")</f>
        <v/>
      </c>
      <c r="B70" s="29" t="s">
        <v>62</v>
      </c>
      <c r="C70" s="11" t="str">
        <f>IF(COUNTIF(D$1:D70,D70)=1,MAX(C$1:C69)+1,"")</f>
        <v/>
      </c>
      <c r="D70" s="12"/>
      <c r="G70" s="1" t="s">
        <v>2190</v>
      </c>
      <c r="K70" s="28" t="s">
        <v>146</v>
      </c>
      <c r="L70" s="28">
        <v>290</v>
      </c>
      <c r="M70" s="28">
        <v>199</v>
      </c>
      <c r="N70" s="28">
        <v>7</v>
      </c>
      <c r="O70" s="28">
        <v>10</v>
      </c>
      <c r="R70" s="28" t="s">
        <v>304</v>
      </c>
      <c r="S70" s="28">
        <v>1100</v>
      </c>
      <c r="T70" s="28">
        <v>500</v>
      </c>
      <c r="U70" s="28"/>
      <c r="V70" s="28">
        <v>40</v>
      </c>
    </row>
    <row r="71" spans="1:22" ht="15.75" thickBot="1" x14ac:dyDescent="0.3">
      <c r="A71" t="str">
        <f>IF(COUNTIF(B$1:B61,B61)=1,MAX(A$1:A70)+1,"")</f>
        <v/>
      </c>
      <c r="B71" s="29" t="s">
        <v>63</v>
      </c>
      <c r="C71" s="11" t="str">
        <f>IF(COUNTIF(D$1:D71,D71)=1,MAX(C$1:C70)+1,"")</f>
        <v/>
      </c>
      <c r="D71" s="12"/>
      <c r="G71" s="1" t="s">
        <v>2192</v>
      </c>
      <c r="K71" s="28" t="s">
        <v>55</v>
      </c>
      <c r="L71" s="28">
        <v>294</v>
      </c>
      <c r="M71" s="28">
        <v>200</v>
      </c>
      <c r="N71" s="28">
        <v>8</v>
      </c>
      <c r="O71" s="28">
        <v>12</v>
      </c>
      <c r="R71" s="28" t="s">
        <v>306</v>
      </c>
      <c r="S71" s="28">
        <v>1200</v>
      </c>
      <c r="T71" s="28">
        <v>500</v>
      </c>
      <c r="U71" s="28"/>
      <c r="V71" s="28">
        <v>40</v>
      </c>
    </row>
    <row r="72" spans="1:22" ht="15.75" thickBot="1" x14ac:dyDescent="0.3">
      <c r="A72" t="str">
        <f>IF(COUNTIF(B$1:B62,B62)=1,MAX(A$1:A71)+1,"")</f>
        <v/>
      </c>
      <c r="B72" s="29" t="s">
        <v>64</v>
      </c>
      <c r="C72" s="11" t="str">
        <f>IF(COUNTIF(D$1:D72,D72)=1,MAX(C$1:C71)+1,"")</f>
        <v/>
      </c>
      <c r="D72" s="12"/>
      <c r="G72" s="1" t="s">
        <v>2194</v>
      </c>
      <c r="K72" s="27" t="s">
        <v>56</v>
      </c>
      <c r="L72" s="27">
        <v>300</v>
      </c>
      <c r="M72" s="27">
        <v>201</v>
      </c>
      <c r="N72" s="27">
        <v>9</v>
      </c>
      <c r="O72" s="27">
        <v>15</v>
      </c>
      <c r="R72" s="28" t="s">
        <v>91</v>
      </c>
      <c r="S72" s="28">
        <v>1100</v>
      </c>
      <c r="T72" s="28">
        <v>500</v>
      </c>
      <c r="U72" s="28"/>
      <c r="V72" s="28">
        <v>40</v>
      </c>
    </row>
    <row r="73" spans="1:22" ht="15.75" thickBot="1" x14ac:dyDescent="0.3">
      <c r="A73" t="str">
        <f>IF(COUNTIF(B$1:B63,B63)=1,MAX(A$1:A72)+1,"")</f>
        <v/>
      </c>
      <c r="B73" s="29" t="s">
        <v>65</v>
      </c>
      <c r="C73" s="11" t="str">
        <f>IF(COUNTIF(D$1:D73,D73)=1,MAX(C$1:C72)+1,"")</f>
        <v/>
      </c>
      <c r="D73" s="12"/>
      <c r="G73" s="1" t="s">
        <v>2196</v>
      </c>
      <c r="K73" s="28" t="s">
        <v>147</v>
      </c>
      <c r="L73" s="28">
        <v>306</v>
      </c>
      <c r="M73" s="28">
        <v>203</v>
      </c>
      <c r="N73" s="28">
        <v>11</v>
      </c>
      <c r="O73" s="28">
        <v>18</v>
      </c>
      <c r="R73" s="28" t="s">
        <v>88</v>
      </c>
      <c r="S73" s="28">
        <v>560</v>
      </c>
      <c r="T73" s="28">
        <v>500</v>
      </c>
      <c r="U73" s="28"/>
      <c r="V73" s="28">
        <v>40</v>
      </c>
    </row>
    <row r="74" spans="1:22" ht="15.75" thickBot="1" x14ac:dyDescent="0.3">
      <c r="A74" t="str">
        <f>IF(COUNTIF(B$1:B64,B64)=1,MAX(A$1:A73)+1,"")</f>
        <v/>
      </c>
      <c r="B74" s="29" t="s">
        <v>66</v>
      </c>
      <c r="C74" s="11" t="str">
        <f>IF(COUNTIF(D$1:D74,D74)=1,MAX(C$1:C73)+1,"")</f>
        <v/>
      </c>
      <c r="D74" s="12"/>
      <c r="G74" s="1" t="s">
        <v>2198</v>
      </c>
      <c r="K74" s="28" t="s">
        <v>148</v>
      </c>
      <c r="L74" s="28">
        <v>314</v>
      </c>
      <c r="M74" s="28">
        <v>206</v>
      </c>
      <c r="N74" s="28">
        <v>13</v>
      </c>
      <c r="O74" s="28">
        <v>22</v>
      </c>
      <c r="R74" s="28" t="s">
        <v>89</v>
      </c>
      <c r="S74" s="28">
        <v>610</v>
      </c>
      <c r="T74" s="28">
        <v>650</v>
      </c>
      <c r="U74" s="28"/>
      <c r="V74" s="28">
        <v>50</v>
      </c>
    </row>
    <row r="75" spans="1:22" ht="15.75" thickBot="1" x14ac:dyDescent="0.3">
      <c r="A75" t="str">
        <f>IF(COUNTIF(B$1:B65,B65)=1,MAX(A$1:A74)+1,"")</f>
        <v/>
      </c>
      <c r="B75" s="29" t="s">
        <v>67</v>
      </c>
      <c r="C75" s="11" t="str">
        <f>IF(COUNTIF(D$1:D75,D75)=1,MAX(C$1:C74)+1,"")</f>
        <v/>
      </c>
      <c r="D75" s="12"/>
      <c r="G75" s="1" t="s">
        <v>2200</v>
      </c>
      <c r="K75" s="28" t="s">
        <v>149</v>
      </c>
      <c r="L75" s="28">
        <v>326</v>
      </c>
      <c r="M75" s="28">
        <v>208</v>
      </c>
      <c r="N75" s="28">
        <v>16</v>
      </c>
      <c r="O75" s="28">
        <v>28</v>
      </c>
      <c r="R75" s="28" t="s">
        <v>90</v>
      </c>
      <c r="S75" s="28">
        <v>750</v>
      </c>
      <c r="T75" s="28">
        <v>700</v>
      </c>
      <c r="U75" s="28"/>
      <c r="V75" s="28">
        <v>40</v>
      </c>
    </row>
    <row r="76" spans="1:22" ht="15.75" thickBot="1" x14ac:dyDescent="0.3">
      <c r="A76" t="str">
        <f>IF(COUNTIF(B$1:B66,B66)=1,MAX(A$1:A75)+1,"")</f>
        <v/>
      </c>
      <c r="B76" s="29" t="s">
        <v>68</v>
      </c>
      <c r="C76" s="11" t="str">
        <f>IF(COUNTIF(D$1:D76,D76)=1,MAX(C$1:C75)+1,"")</f>
        <v/>
      </c>
      <c r="D76" s="12"/>
      <c r="G76" s="1" t="s">
        <v>2202</v>
      </c>
      <c r="K76" s="28" t="s">
        <v>150</v>
      </c>
      <c r="L76" s="28">
        <v>342</v>
      </c>
      <c r="M76" s="28">
        <v>210</v>
      </c>
      <c r="N76" s="28" t="s">
        <v>151</v>
      </c>
      <c r="O76" s="28">
        <v>36</v>
      </c>
    </row>
    <row r="77" spans="1:22" ht="15.75" thickBot="1" x14ac:dyDescent="0.3">
      <c r="A77" t="str">
        <f>IF(COUNTIF(B$1:B67,B67)=1,MAX(A$1:A76)+1,"")</f>
        <v/>
      </c>
      <c r="B77" s="29" t="s">
        <v>69</v>
      </c>
      <c r="C77" s="11" t="str">
        <f>IF(COUNTIF(D$1:D77,D77)=1,MAX(C$1:C76)+1,"")</f>
        <v/>
      </c>
      <c r="D77" s="12"/>
      <c r="G77" s="1" t="s">
        <v>2204</v>
      </c>
      <c r="K77" s="28" t="s">
        <v>57</v>
      </c>
      <c r="L77" s="28">
        <v>334</v>
      </c>
      <c r="M77" s="28">
        <v>249</v>
      </c>
      <c r="N77" s="28">
        <v>8</v>
      </c>
      <c r="O77" s="28">
        <v>11</v>
      </c>
    </row>
    <row r="78" spans="1:22" ht="15.75" thickBot="1" x14ac:dyDescent="0.3">
      <c r="A78" t="str">
        <f>IF(COUNTIF(B$1:B68,B68)=1,MAX(A$1:A77)+1,"")</f>
        <v/>
      </c>
      <c r="C78" s="11" t="str">
        <f>IF(COUNTIF(D$1:D78,D78)=1,MAX(C$1:C77)+1,"")</f>
        <v/>
      </c>
      <c r="D78" s="12"/>
      <c r="G78" s="1" t="s">
        <v>2206</v>
      </c>
      <c r="K78" s="28" t="s">
        <v>58</v>
      </c>
      <c r="L78" s="28">
        <v>340</v>
      </c>
      <c r="M78" s="28">
        <v>250</v>
      </c>
      <c r="N78" s="28">
        <v>9</v>
      </c>
      <c r="O78" s="28">
        <v>14</v>
      </c>
    </row>
    <row r="79" spans="1:22" ht="15.75" thickBot="1" x14ac:dyDescent="0.3">
      <c r="A79" t="str">
        <f>IF(COUNTIF(B$1:B69,B69)=1,MAX(A$1:A78)+1,"")</f>
        <v/>
      </c>
      <c r="C79" s="11" t="str">
        <f>IF(COUNTIF(D$1:D79,D79)=1,MAX(C$1:C78)+1,"")</f>
        <v/>
      </c>
      <c r="D79" s="12"/>
      <c r="G79" s="1" t="s">
        <v>2208</v>
      </c>
      <c r="K79" s="28" t="s">
        <v>152</v>
      </c>
      <c r="L79" s="28">
        <v>347</v>
      </c>
      <c r="M79" s="28">
        <v>252</v>
      </c>
      <c r="N79" s="28">
        <v>11</v>
      </c>
      <c r="O79" s="28">
        <v>17.5</v>
      </c>
    </row>
    <row r="80" spans="1:22" ht="15.75" thickBot="1" x14ac:dyDescent="0.3">
      <c r="A80" t="str">
        <f>IF(COUNTIF(B$1:B70,B70)=1,MAX(A$1:A79)+1,"")</f>
        <v/>
      </c>
      <c r="C80" s="11" t="str">
        <f>IF(COUNTIF(D$1:D80,D80)=1,MAX(C$1:C79)+1,"")</f>
        <v/>
      </c>
      <c r="D80" s="12"/>
      <c r="G80" s="1" t="s">
        <v>2210</v>
      </c>
      <c r="K80" s="28" t="s">
        <v>153</v>
      </c>
      <c r="L80" s="28">
        <v>354</v>
      </c>
      <c r="M80" s="28">
        <v>254</v>
      </c>
      <c r="N80" s="28">
        <v>13</v>
      </c>
      <c r="O80" s="28">
        <v>21</v>
      </c>
    </row>
    <row r="81" spans="1:15" ht="15.75" thickBot="1" x14ac:dyDescent="0.3">
      <c r="A81" t="str">
        <f>IF(COUNTIF(B$1:B71,B71)=1,MAX(A$1:A80)+1,"")</f>
        <v/>
      </c>
      <c r="C81" s="11" t="str">
        <f>IF(COUNTIF(D$1:D81,D81)=1,MAX(C$1:C80)+1,"")</f>
        <v/>
      </c>
      <c r="D81" s="12"/>
      <c r="G81" s="1" t="s">
        <v>2212</v>
      </c>
      <c r="K81" s="28" t="s">
        <v>154</v>
      </c>
      <c r="L81" s="28">
        <v>364</v>
      </c>
      <c r="M81" s="28">
        <v>258</v>
      </c>
      <c r="N81" s="28">
        <v>16</v>
      </c>
      <c r="O81" s="28">
        <v>26</v>
      </c>
    </row>
    <row r="82" spans="1:15" ht="15.75" thickBot="1" x14ac:dyDescent="0.3">
      <c r="A82" t="str">
        <f>IF(COUNTIF(B$1:B72,B72)=1,MAX(A$1:A81)+1,"")</f>
        <v/>
      </c>
      <c r="C82" s="11" t="str">
        <f>IF(COUNTIF(D$1:D82,D82)=1,MAX(C$1:C81)+1,"")</f>
        <v/>
      </c>
      <c r="D82" s="12"/>
      <c r="G82" s="1" t="s">
        <v>2214</v>
      </c>
      <c r="K82" s="28" t="s">
        <v>155</v>
      </c>
      <c r="L82" s="28">
        <v>376</v>
      </c>
      <c r="M82" s="28">
        <v>260</v>
      </c>
      <c r="N82" s="28">
        <v>19</v>
      </c>
      <c r="O82" s="28">
        <v>32</v>
      </c>
    </row>
    <row r="83" spans="1:15" ht="15.75" thickBot="1" x14ac:dyDescent="0.3">
      <c r="A83" t="str">
        <f>IF(COUNTIF(B$1:B73,B73)=1,MAX(A$1:A82)+1,"")</f>
        <v/>
      </c>
      <c r="C83" s="11" t="str">
        <f>IF(COUNTIF(D$1:D83,D83)=1,MAX(C$1:C82)+1,"")</f>
        <v/>
      </c>
      <c r="D83" s="12"/>
      <c r="G83" s="1" t="s">
        <v>2216</v>
      </c>
      <c r="K83" s="28" t="s">
        <v>156</v>
      </c>
      <c r="L83" s="28">
        <v>392</v>
      </c>
      <c r="M83" s="28">
        <v>262</v>
      </c>
      <c r="N83" s="28">
        <v>23</v>
      </c>
      <c r="O83" s="28">
        <v>40</v>
      </c>
    </row>
    <row r="84" spans="1:15" ht="15.75" thickBot="1" x14ac:dyDescent="0.3">
      <c r="A84" t="str">
        <f>IF(COUNTIF(B$1:B74,B74)=1,MAX(A$1:A83)+1,"")</f>
        <v/>
      </c>
      <c r="C84" s="11" t="str">
        <f>IF(COUNTIF(D$1:D84,D84)=1,MAX(C$1:C83)+1,"")</f>
        <v/>
      </c>
      <c r="D84" s="12"/>
      <c r="G84" s="1" t="s">
        <v>2218</v>
      </c>
      <c r="K84" s="28" t="s">
        <v>59</v>
      </c>
      <c r="L84" s="28">
        <v>383</v>
      </c>
      <c r="M84" s="28">
        <v>299</v>
      </c>
      <c r="N84" s="28">
        <v>9.5</v>
      </c>
      <c r="O84" s="28">
        <v>12.5</v>
      </c>
    </row>
    <row r="85" spans="1:15" ht="15.75" thickBot="1" x14ac:dyDescent="0.3">
      <c r="A85" t="str">
        <f>IF(COUNTIF(B$1:B75,B75)=1,MAX(A$1:A84)+1,"")</f>
        <v/>
      </c>
      <c r="C85" s="11" t="str">
        <f>IF(COUNTIF(D$1:D85,D85)=1,MAX(C$1:C84)+1,"")</f>
        <v/>
      </c>
      <c r="D85" s="12"/>
      <c r="G85" s="1" t="s">
        <v>2220</v>
      </c>
      <c r="K85" s="28" t="s">
        <v>60</v>
      </c>
      <c r="L85" s="28">
        <v>390</v>
      </c>
      <c r="M85" s="28">
        <v>300</v>
      </c>
      <c r="N85" s="28">
        <v>10</v>
      </c>
      <c r="O85" s="28">
        <v>16</v>
      </c>
    </row>
    <row r="86" spans="1:15" ht="15.75" thickBot="1" x14ac:dyDescent="0.3">
      <c r="A86" t="str">
        <f>IF(COUNTIF(B$1:B76,B76)=1,MAX(A$1:A85)+1,"")</f>
        <v/>
      </c>
      <c r="C86" s="11" t="str">
        <f>IF(COUNTIF(D$1:D86,D86)=1,MAX(C$1:C85)+1,"")</f>
        <v/>
      </c>
      <c r="D86" s="12"/>
      <c r="G86" s="1" t="s">
        <v>2222</v>
      </c>
      <c r="K86" s="28" t="s">
        <v>157</v>
      </c>
      <c r="L86" s="28">
        <v>397</v>
      </c>
      <c r="M86" s="28">
        <v>302</v>
      </c>
      <c r="N86" s="28">
        <v>12</v>
      </c>
      <c r="O86" s="28">
        <v>19.5</v>
      </c>
    </row>
    <row r="87" spans="1:15" ht="15.75" thickBot="1" x14ac:dyDescent="0.3">
      <c r="A87" t="str">
        <f>IF(COUNTIF(B$1:B77,B77)=1,MAX(A$1:A86)+1,"")</f>
        <v/>
      </c>
      <c r="C87" s="11" t="str">
        <f>IF(COUNTIF(D$1:D87,D87)=1,MAX(C$1:C86)+1,"")</f>
        <v/>
      </c>
      <c r="D87" s="12"/>
      <c r="G87" s="1" t="s">
        <v>2224</v>
      </c>
      <c r="K87" s="28" t="s">
        <v>158</v>
      </c>
      <c r="L87" s="28">
        <v>406</v>
      </c>
      <c r="M87" s="28">
        <v>304</v>
      </c>
      <c r="N87" s="28">
        <v>14.5</v>
      </c>
      <c r="O87" s="28">
        <v>24</v>
      </c>
    </row>
    <row r="88" spans="1:15" ht="15.75" thickBot="1" x14ac:dyDescent="0.3">
      <c r="A88" t="str">
        <f>IF(COUNTIF(B$1:B88,B88)=1,MAX(A$1:A87)+1,"")</f>
        <v/>
      </c>
      <c r="B88" s="29"/>
      <c r="C88" s="11" t="str">
        <f>IF(COUNTIF(D$1:D88,D88)=1,MAX(C$1:C87)+1,"")</f>
        <v/>
      </c>
      <c r="D88" s="12"/>
      <c r="G88" s="1" t="s">
        <v>2226</v>
      </c>
      <c r="K88" s="28" t="s">
        <v>159</v>
      </c>
      <c r="L88" s="28">
        <v>418</v>
      </c>
      <c r="M88" s="28">
        <v>309</v>
      </c>
      <c r="N88" s="28">
        <v>17.5</v>
      </c>
      <c r="O88" s="28">
        <v>30</v>
      </c>
    </row>
    <row r="89" spans="1:15" ht="15.75" thickBot="1" x14ac:dyDescent="0.3">
      <c r="A89" t="str">
        <f>IF(COUNTIF(B$1:B89,B89)=1,MAX(A$1:A88)+1,"")</f>
        <v/>
      </c>
      <c r="B89" s="29"/>
      <c r="C89" s="11" t="str">
        <f>IF(COUNTIF(D$1:D89,D89)=1,MAX(C$1:C88)+1,"")</f>
        <v/>
      </c>
      <c r="D89" s="12"/>
      <c r="G89" s="1" t="s">
        <v>2228</v>
      </c>
      <c r="K89" s="28" t="s">
        <v>160</v>
      </c>
      <c r="L89" s="28">
        <v>430</v>
      </c>
      <c r="M89" s="28">
        <v>311</v>
      </c>
      <c r="N89" s="28">
        <v>21</v>
      </c>
      <c r="O89" s="28">
        <v>36</v>
      </c>
    </row>
    <row r="90" spans="1:15" ht="15.75" thickBot="1" x14ac:dyDescent="0.3">
      <c r="A90" t="str">
        <f>IF(COUNTIF(B$1:B90,B90)=1,MAX(A$1:A89)+1,"")</f>
        <v/>
      </c>
      <c r="B90" s="29"/>
      <c r="C90" s="11" t="str">
        <f>IF(COUNTIF(D$1:D90,D90)=1,MAX(C$1:C89)+1,"")</f>
        <v/>
      </c>
      <c r="D90" s="12"/>
      <c r="G90" s="1" t="s">
        <v>2230</v>
      </c>
      <c r="K90" s="28" t="s">
        <v>161</v>
      </c>
      <c r="L90" s="28">
        <v>446</v>
      </c>
      <c r="M90" s="28">
        <v>313</v>
      </c>
      <c r="N90" s="28">
        <v>25</v>
      </c>
      <c r="O90" s="28">
        <v>44</v>
      </c>
    </row>
    <row r="91" spans="1:15" ht="15.75" thickBot="1" x14ac:dyDescent="0.3">
      <c r="A91" t="str">
        <f>IF(COUNTIF(B$1:B91,B91)=1,MAX(A$1:A90)+1,"")</f>
        <v/>
      </c>
      <c r="B91" s="29"/>
      <c r="C91" s="11" t="str">
        <f>IF(COUNTIF(D$1:D91,D91)=1,MAX(C$1:C90)+1,"")</f>
        <v/>
      </c>
      <c r="D91" s="12"/>
      <c r="G91" s="1" t="s">
        <v>2232</v>
      </c>
      <c r="K91" s="28" t="s">
        <v>162</v>
      </c>
      <c r="L91" s="28">
        <v>434</v>
      </c>
      <c r="M91" s="28">
        <v>299</v>
      </c>
      <c r="N91" s="28">
        <v>10</v>
      </c>
      <c r="O91" s="28">
        <v>15</v>
      </c>
    </row>
    <row r="92" spans="1:15" ht="15.75" thickBot="1" x14ac:dyDescent="0.3">
      <c r="A92" t="str">
        <f>IF(COUNTIF(B$1:B92,B92)=1,MAX(A$1:A91)+1,"")</f>
        <v/>
      </c>
      <c r="B92" s="29"/>
      <c r="C92" s="11" t="str">
        <f>IF(COUNTIF(D$1:D92,D92)=1,MAX(C$1:C91)+1,"")</f>
        <v/>
      </c>
      <c r="D92" s="12"/>
      <c r="G92" s="1" t="s">
        <v>2234</v>
      </c>
      <c r="K92" s="28" t="s">
        <v>61</v>
      </c>
      <c r="L92" s="28">
        <v>440</v>
      </c>
      <c r="M92" s="28">
        <v>300</v>
      </c>
      <c r="N92" s="28">
        <v>11</v>
      </c>
      <c r="O92" s="28">
        <v>18</v>
      </c>
    </row>
    <row r="93" spans="1:15" ht="15.75" thickBot="1" x14ac:dyDescent="0.3">
      <c r="A93" t="str">
        <f>IF(COUNTIF(B$1:B93,B93)=1,MAX(A$1:A92)+1,"")</f>
        <v/>
      </c>
      <c r="B93" s="29"/>
      <c r="C93" s="11" t="str">
        <f>IF(COUNTIF(D$1:D93,D93)=1,MAX(C$1:C92)+1,"")</f>
        <v/>
      </c>
      <c r="D93" s="12"/>
      <c r="G93" s="1" t="s">
        <v>2236</v>
      </c>
      <c r="K93" s="28" t="s">
        <v>163</v>
      </c>
      <c r="L93" s="28">
        <v>446</v>
      </c>
      <c r="M93" s="28">
        <v>302</v>
      </c>
      <c r="N93" s="28">
        <v>13</v>
      </c>
      <c r="O93" s="28">
        <v>21</v>
      </c>
    </row>
    <row r="94" spans="1:15" ht="15.75" thickBot="1" x14ac:dyDescent="0.3">
      <c r="A94">
        <f>IF(COUNTIF(B$1:B94,B94)=1,MAX(A$1:A93)+1,"")</f>
        <v>43</v>
      </c>
      <c r="B94" s="29" t="s">
        <v>197</v>
      </c>
      <c r="C94" s="11" t="str">
        <f>IF(COUNTIF(D$1:D94,D94)=1,MAX(C$1:C93)+1,"")</f>
        <v/>
      </c>
      <c r="D94" s="12"/>
      <c r="G94" s="1" t="s">
        <v>2238</v>
      </c>
      <c r="K94" s="28" t="s">
        <v>164</v>
      </c>
      <c r="L94" s="28">
        <v>452</v>
      </c>
      <c r="M94" s="28">
        <v>304</v>
      </c>
      <c r="N94" s="28">
        <v>15</v>
      </c>
      <c r="O94" s="28">
        <v>24</v>
      </c>
    </row>
    <row r="95" spans="1:15" ht="15.75" thickBot="1" x14ac:dyDescent="0.3">
      <c r="A95">
        <f>IF(COUNTIF(B$1:B95,B95)=1,MAX(A$1:A94)+1,"")</f>
        <v>44</v>
      </c>
      <c r="B95" s="29" t="s">
        <v>74</v>
      </c>
      <c r="C95" s="11" t="str">
        <f>IF(COUNTIF(D$1:D95,D95)=1,MAX(C$1:C94)+1,"")</f>
        <v/>
      </c>
      <c r="D95" s="12"/>
      <c r="G95" s="1" t="s">
        <v>2240</v>
      </c>
      <c r="K95" s="27" t="s">
        <v>165</v>
      </c>
      <c r="L95" s="27">
        <v>464</v>
      </c>
      <c r="M95" s="27">
        <v>308</v>
      </c>
      <c r="N95" s="27">
        <v>18</v>
      </c>
      <c r="O95" s="27">
        <v>30</v>
      </c>
    </row>
    <row r="96" spans="1:15" ht="15.75" thickBot="1" x14ac:dyDescent="0.3">
      <c r="A96">
        <f>IF(COUNTIF(B$1:B96,B96)=1,MAX(A$1:A95)+1,"")</f>
        <v>45</v>
      </c>
      <c r="B96" s="29" t="s">
        <v>75</v>
      </c>
      <c r="C96" s="11" t="str">
        <f>IF(COUNTIF(D$1:D96,D96)=1,MAX(C$1:C95)+1,"")</f>
        <v/>
      </c>
      <c r="D96" s="12"/>
      <c r="G96" s="1" t="s">
        <v>2242</v>
      </c>
      <c r="K96" s="28" t="s">
        <v>166</v>
      </c>
      <c r="L96" s="28">
        <v>476</v>
      </c>
      <c r="M96" s="28">
        <v>310</v>
      </c>
      <c r="N96" s="28">
        <v>21</v>
      </c>
      <c r="O96" s="28">
        <v>36</v>
      </c>
    </row>
    <row r="97" spans="1:15" ht="15.75" thickBot="1" x14ac:dyDescent="0.3">
      <c r="A97">
        <f>IF(COUNTIF(B$1:B97,B97)=1,MAX(A$1:A96)+1,"")</f>
        <v>46</v>
      </c>
      <c r="B97" s="29" t="s">
        <v>76</v>
      </c>
      <c r="C97" s="11" t="str">
        <f>IF(COUNTIF(D$1:D97,D97)=1,MAX(C$1:C96)+1,"")</f>
        <v/>
      </c>
      <c r="D97" s="12"/>
      <c r="G97" s="1" t="s">
        <v>2244</v>
      </c>
      <c r="K97" s="28" t="s">
        <v>167</v>
      </c>
      <c r="L97" s="28">
        <v>492</v>
      </c>
      <c r="M97" s="28">
        <v>312</v>
      </c>
      <c r="N97" s="28">
        <v>25</v>
      </c>
      <c r="O97" s="28">
        <v>44</v>
      </c>
    </row>
    <row r="98" spans="1:15" ht="15.75" thickBot="1" x14ac:dyDescent="0.3">
      <c r="A98" t="str">
        <f>IF(COUNTIF(B$1:B98,B98)=1,MAX(A$1:A97)+1,"")</f>
        <v/>
      </c>
      <c r="B98" s="29" t="s">
        <v>106</v>
      </c>
      <c r="C98" s="11" t="str">
        <f>IF(COUNTIF(D$1:D98,D98)=1,MAX(C$1:C97)+1,"")</f>
        <v/>
      </c>
      <c r="D98" s="12"/>
      <c r="G98" s="1" t="s">
        <v>2246</v>
      </c>
      <c r="K98" s="28" t="s">
        <v>62</v>
      </c>
      <c r="L98" s="28">
        <v>482</v>
      </c>
      <c r="M98" s="28">
        <v>300</v>
      </c>
      <c r="N98" s="28">
        <v>11</v>
      </c>
      <c r="O98" s="28">
        <v>15</v>
      </c>
    </row>
    <row r="99" spans="1:15" ht="15.75" thickBot="1" x14ac:dyDescent="0.3">
      <c r="A99" t="str">
        <f>IF(COUNTIF(B$1:B99,B99)=1,MAX(A$1:A98)+1,"")</f>
        <v/>
      </c>
      <c r="B99" s="29">
        <v>18</v>
      </c>
      <c r="C99" s="11" t="str">
        <f>IF(COUNTIF(D$1:D99,D99)=1,MAX(C$1:C98)+1,"")</f>
        <v/>
      </c>
      <c r="D99" s="12"/>
      <c r="G99" s="1" t="s">
        <v>2248</v>
      </c>
      <c r="K99" s="28" t="s">
        <v>63</v>
      </c>
      <c r="L99" s="28">
        <v>487</v>
      </c>
      <c r="M99" s="28">
        <v>300</v>
      </c>
      <c r="N99" s="28">
        <v>14.5</v>
      </c>
      <c r="O99" s="28">
        <v>17.5</v>
      </c>
    </row>
    <row r="100" spans="1:15" ht="15.75" thickBot="1" x14ac:dyDescent="0.3">
      <c r="A100" t="str">
        <f>IF(COUNTIF(B$1:B100,B100)=1,MAX(A$1:A99)+1,"")</f>
        <v/>
      </c>
      <c r="B100" s="29" t="s">
        <v>37</v>
      </c>
      <c r="C100" s="11" t="str">
        <f>IF(COUNTIF(D$1:D100,D100)=1,MAX(C$1:C99)+1,"")</f>
        <v/>
      </c>
      <c r="D100" s="12"/>
      <c r="G100" s="1" t="s">
        <v>2250</v>
      </c>
      <c r="K100" s="28" t="s">
        <v>64</v>
      </c>
      <c r="L100" s="28">
        <v>493</v>
      </c>
      <c r="M100" s="28">
        <v>300</v>
      </c>
      <c r="N100" s="28">
        <v>15.5</v>
      </c>
      <c r="O100" s="28">
        <v>20.5</v>
      </c>
    </row>
    <row r="101" spans="1:15" ht="15.75" thickBot="1" x14ac:dyDescent="0.3">
      <c r="A101" t="str">
        <f>IF(COUNTIF(B$1:B101,B101)=1,MAX(A$1:A100)+1,"")</f>
        <v/>
      </c>
      <c r="B101" s="29" t="s">
        <v>38</v>
      </c>
      <c r="C101" s="11" t="str">
        <f>IF(COUNTIF(D$1:D101,D101)=1,MAX(C$1:C100)+1,"")</f>
        <v/>
      </c>
      <c r="D101" s="12"/>
      <c r="G101" s="1" t="s">
        <v>2252</v>
      </c>
      <c r="K101" s="28" t="s">
        <v>65</v>
      </c>
      <c r="L101" s="28">
        <v>499</v>
      </c>
      <c r="M101" s="28">
        <v>300</v>
      </c>
      <c r="N101" s="28">
        <v>16.5</v>
      </c>
      <c r="O101" s="28">
        <v>23.5</v>
      </c>
    </row>
    <row r="102" spans="1:15" ht="15.75" thickBot="1" x14ac:dyDescent="0.3">
      <c r="A102" t="str">
        <f>IF(COUNTIF(B$1:B102,B102)=1,MAX(A$1:A101)+1,"")</f>
        <v/>
      </c>
      <c r="B102" s="29" t="s">
        <v>39</v>
      </c>
      <c r="C102" s="11" t="str">
        <f>IF(COUNTIF(D$1:D102,D102)=1,MAX(C$1:C101)+1,"")</f>
        <v/>
      </c>
      <c r="D102" s="12"/>
      <c r="G102" s="1" t="s">
        <v>2254</v>
      </c>
      <c r="K102" s="28" t="s">
        <v>168</v>
      </c>
      <c r="L102" s="28">
        <v>508</v>
      </c>
      <c r="M102" s="28">
        <v>302</v>
      </c>
      <c r="N102" s="28">
        <v>19</v>
      </c>
      <c r="O102" s="28">
        <v>28</v>
      </c>
    </row>
    <row r="103" spans="1:15" ht="15.75" thickBot="1" x14ac:dyDescent="0.3">
      <c r="A103" t="str">
        <f>IF(COUNTIF(B$1:B103,B103)=1,MAX(A$1:A102)+1,"")</f>
        <v/>
      </c>
      <c r="B103" s="29" t="s">
        <v>40</v>
      </c>
      <c r="C103" s="11" t="str">
        <f>IF(COUNTIF(D$1:D103,D103)=1,MAX(C$1:C102)+1,"")</f>
        <v/>
      </c>
      <c r="D103" s="12"/>
      <c r="G103" s="1" t="s">
        <v>2256</v>
      </c>
      <c r="K103" s="28" t="s">
        <v>169</v>
      </c>
      <c r="L103" s="28">
        <v>518</v>
      </c>
      <c r="M103" s="28">
        <v>310</v>
      </c>
      <c r="N103" s="28">
        <v>22</v>
      </c>
      <c r="O103" s="28">
        <v>33</v>
      </c>
    </row>
    <row r="104" spans="1:15" ht="15.75" thickBot="1" x14ac:dyDescent="0.3">
      <c r="A104" t="str">
        <f>IF(COUNTIF(B$1:B104,B104)=1,MAX(A$1:A103)+1,"")</f>
        <v/>
      </c>
      <c r="B104" s="29" t="s">
        <v>41</v>
      </c>
      <c r="C104" s="11" t="str">
        <f>IF(COUNTIF(D$1:D104,D104)=1,MAX(C$1:C103)+1,"")</f>
        <v/>
      </c>
      <c r="D104" s="12"/>
      <c r="G104" s="1" t="s">
        <v>2258</v>
      </c>
      <c r="K104" s="28" t="s">
        <v>170</v>
      </c>
      <c r="L104" s="28">
        <v>532</v>
      </c>
      <c r="M104" s="28">
        <v>312</v>
      </c>
      <c r="N104" s="28">
        <v>26</v>
      </c>
      <c r="O104" s="28">
        <v>40</v>
      </c>
    </row>
    <row r="105" spans="1:15" ht="15.75" thickBot="1" x14ac:dyDescent="0.3">
      <c r="A105" t="str">
        <f>IF(COUNTIF(B$1:B105,B105)=1,MAX(A$1:A104)+1,"")</f>
        <v/>
      </c>
      <c r="B105" s="29" t="s">
        <v>42</v>
      </c>
      <c r="C105" s="11" t="str">
        <f>IF(COUNTIF(D$1:D105,D105)=1,MAX(C$1:C104)+1,"")</f>
        <v/>
      </c>
      <c r="D105" s="12"/>
      <c r="G105" s="1" t="s">
        <v>2260</v>
      </c>
      <c r="K105" s="28" t="s">
        <v>171</v>
      </c>
      <c r="L105" s="28">
        <v>548</v>
      </c>
      <c r="M105" s="28">
        <v>314</v>
      </c>
      <c r="N105" s="28">
        <v>30</v>
      </c>
      <c r="O105" s="28">
        <v>48</v>
      </c>
    </row>
    <row r="106" spans="1:15" ht="15.75" thickBot="1" x14ac:dyDescent="0.3">
      <c r="A106" t="str">
        <f>IF(COUNTIF(B$1:B106,B106)=1,MAX(A$1:A105)+1,"")</f>
        <v/>
      </c>
      <c r="B106" s="29" t="s">
        <v>43</v>
      </c>
      <c r="C106" s="11" t="str">
        <f>IF(COUNTIF(D$1:D106,D106)=1,MAX(C$1:C105)+1,"")</f>
        <v/>
      </c>
      <c r="D106" s="12"/>
      <c r="G106" s="1" t="s">
        <v>2262</v>
      </c>
      <c r="K106" s="28" t="s">
        <v>66</v>
      </c>
      <c r="L106" s="28">
        <v>582</v>
      </c>
      <c r="M106" s="28">
        <v>300</v>
      </c>
      <c r="N106" s="28">
        <v>12</v>
      </c>
      <c r="O106" s="28">
        <v>17</v>
      </c>
    </row>
    <row r="107" spans="1:15" ht="15.75" thickBot="1" x14ac:dyDescent="0.3">
      <c r="A107" t="str">
        <f>IF(COUNTIF(B$1:B107,B107)=1,MAX(A$1:A106)+1,"")</f>
        <v/>
      </c>
      <c r="B107" s="29" t="s">
        <v>44</v>
      </c>
      <c r="C107" s="11" t="str">
        <f>IF(COUNTIF(D$1:D107,D107)=1,MAX(C$1:C106)+1,"")</f>
        <v/>
      </c>
      <c r="D107" s="12"/>
      <c r="G107" s="1"/>
      <c r="K107" s="28" t="s">
        <v>67</v>
      </c>
      <c r="L107" s="28">
        <v>589</v>
      </c>
      <c r="M107" s="28">
        <v>300</v>
      </c>
      <c r="N107" s="28">
        <v>16</v>
      </c>
      <c r="O107" s="28">
        <v>20.5</v>
      </c>
    </row>
    <row r="108" spans="1:15" ht="15.75" thickBot="1" x14ac:dyDescent="0.3">
      <c r="A108" t="str">
        <f>IF(COUNTIF(B$1:B108,B108)=1,MAX(A$1:A107)+1,"")</f>
        <v/>
      </c>
      <c r="B108" s="29" t="s">
        <v>45</v>
      </c>
      <c r="C108" s="11" t="str">
        <f>IF(COUNTIF(D$1:D108,D108)=1,MAX(C$1:C107)+1,"")</f>
        <v/>
      </c>
      <c r="D108" s="12"/>
      <c r="G108" s="1"/>
      <c r="K108" s="28" t="s">
        <v>68</v>
      </c>
      <c r="L108" s="28">
        <v>597</v>
      </c>
      <c r="M108" s="28">
        <v>300</v>
      </c>
      <c r="N108" s="28">
        <v>18</v>
      </c>
      <c r="O108" s="28">
        <v>24.5</v>
      </c>
    </row>
    <row r="109" spans="1:15" ht="15.75" thickBot="1" x14ac:dyDescent="0.3">
      <c r="A109" t="str">
        <f>IF(COUNTIF(B$1:B109,B109)=1,MAX(A$1:A108)+1,"")</f>
        <v/>
      </c>
      <c r="B109" s="29" t="s">
        <v>46</v>
      </c>
      <c r="C109" s="11" t="str">
        <f>IF(COUNTIF(D$1:D109,D109)=1,MAX(C$1:C108)+1,"")</f>
        <v/>
      </c>
      <c r="D109" s="12"/>
      <c r="G109" s="1"/>
      <c r="K109" s="28" t="s">
        <v>69</v>
      </c>
      <c r="L109" s="28">
        <v>605</v>
      </c>
      <c r="M109" s="28">
        <v>300</v>
      </c>
      <c r="N109" s="28">
        <v>20</v>
      </c>
      <c r="O109" s="28">
        <v>28.5</v>
      </c>
    </row>
    <row r="110" spans="1:15" ht="15.75" thickBot="1" x14ac:dyDescent="0.3">
      <c r="A110" t="str">
        <f>IF(COUNTIF(B$1:B110,B110)=1,MAX(A$1:A109)+1,"")</f>
        <v/>
      </c>
      <c r="B110" s="29" t="s">
        <v>47</v>
      </c>
      <c r="C110" s="11" t="str">
        <f>IF(COUNTIF(D$1:D110,D110)=1,MAX(C$1:C109)+1,"")</f>
        <v/>
      </c>
      <c r="D110" s="12"/>
      <c r="G110" s="1"/>
      <c r="K110" s="28" t="s">
        <v>172</v>
      </c>
      <c r="L110" s="28">
        <v>616</v>
      </c>
      <c r="M110" s="28">
        <v>302</v>
      </c>
      <c r="N110" s="28">
        <v>23</v>
      </c>
      <c r="O110" s="28">
        <v>34</v>
      </c>
    </row>
    <row r="111" spans="1:15" ht="15.75" thickBot="1" x14ac:dyDescent="0.3">
      <c r="A111" t="str">
        <f>IF(COUNTIF(B$1:B111,B111)=1,MAX(A$1:A110)+1,"")</f>
        <v/>
      </c>
      <c r="B111" s="29" t="s">
        <v>48</v>
      </c>
      <c r="C111" s="11" t="str">
        <f>IF(COUNTIF(D$1:D111,D111)=1,MAX(C$1:C110)+1,"")</f>
        <v/>
      </c>
      <c r="D111" s="12"/>
      <c r="G111" s="1"/>
      <c r="K111" s="28" t="s">
        <v>173</v>
      </c>
      <c r="L111" s="28">
        <v>630</v>
      </c>
      <c r="M111" s="28">
        <v>315</v>
      </c>
      <c r="N111" s="28">
        <v>27</v>
      </c>
      <c r="O111" s="28">
        <v>41</v>
      </c>
    </row>
    <row r="112" spans="1:15" ht="15.75" thickBot="1" x14ac:dyDescent="0.3">
      <c r="A112" t="str">
        <f>IF(COUNTIF(B$1:B112,B112)=1,MAX(A$1:A111)+1,"")</f>
        <v/>
      </c>
      <c r="B112" s="29" t="s">
        <v>49</v>
      </c>
      <c r="C112" s="11" t="str">
        <f>IF(COUNTIF(D$1:D112,D112)=1,MAX(C$1:C111)+1,"")</f>
        <v/>
      </c>
      <c r="D112" s="12"/>
      <c r="G112" s="1"/>
      <c r="K112" s="28" t="s">
        <v>174</v>
      </c>
      <c r="L112" s="28">
        <v>644</v>
      </c>
      <c r="M112" s="28">
        <v>317</v>
      </c>
      <c r="N112" s="28">
        <v>31</v>
      </c>
      <c r="O112" s="28">
        <v>48</v>
      </c>
    </row>
    <row r="113" spans="1:15" ht="15.75" thickBot="1" x14ac:dyDescent="0.3">
      <c r="A113" t="str">
        <f>IF(COUNTIF(B$1:B113,B113)=1,MAX(A$1:A112)+1,"")</f>
        <v/>
      </c>
      <c r="B113" s="29" t="s">
        <v>50</v>
      </c>
      <c r="C113" s="11" t="str">
        <f>IF(COUNTIF(D$1:D113,D113)=1,MAX(C$1:C112)+1,"")</f>
        <v/>
      </c>
      <c r="D113" s="12"/>
      <c r="G113" s="1"/>
      <c r="K113" s="28" t="s">
        <v>175</v>
      </c>
      <c r="L113" s="28">
        <v>664</v>
      </c>
      <c r="M113" s="28">
        <v>319</v>
      </c>
      <c r="N113" s="28">
        <v>36</v>
      </c>
      <c r="O113" s="28">
        <v>58</v>
      </c>
    </row>
    <row r="114" spans="1:15" ht="15.75" thickBot="1" x14ac:dyDescent="0.3">
      <c r="A114" t="str">
        <f>IF(COUNTIF(B$1:B114,B114)=1,MAX(A$1:A113)+1,"")</f>
        <v/>
      </c>
      <c r="B114" s="29" t="s">
        <v>121</v>
      </c>
      <c r="C114" s="11" t="str">
        <f>IF(COUNTIF(D$1:D114,D114)=1,MAX(C$1:C113)+1,"")</f>
        <v/>
      </c>
      <c r="D114" s="12"/>
      <c r="G114" s="1"/>
      <c r="K114" s="28" t="s">
        <v>176</v>
      </c>
      <c r="L114" s="28">
        <v>692</v>
      </c>
      <c r="M114" s="28">
        <v>300</v>
      </c>
      <c r="N114" s="28">
        <v>13</v>
      </c>
      <c r="O114" s="28">
        <v>20</v>
      </c>
    </row>
    <row r="115" spans="1:15" ht="15.75" thickBot="1" x14ac:dyDescent="0.3">
      <c r="A115" t="str">
        <f>IF(COUNTIF(B$1:B115,B115)=1,MAX(A$1:A114)+1,"")</f>
        <v/>
      </c>
      <c r="B115" s="29" t="s">
        <v>51</v>
      </c>
      <c r="C115" s="11" t="str">
        <f>IF(COUNTIF(D$1:D115,D115)=1,MAX(C$1:C114)+1,"")</f>
        <v/>
      </c>
      <c r="D115" s="12"/>
      <c r="G115" s="1"/>
      <c r="K115" s="28" t="s">
        <v>177</v>
      </c>
      <c r="L115" s="28">
        <v>698</v>
      </c>
      <c r="M115" s="28">
        <v>300</v>
      </c>
      <c r="N115" s="28">
        <v>15</v>
      </c>
      <c r="O115" s="28">
        <v>23</v>
      </c>
    </row>
    <row r="116" spans="1:15" ht="15.75" thickBot="1" x14ac:dyDescent="0.3">
      <c r="A116" t="str">
        <f>IF(COUNTIF(B$1:B116,B116)=1,MAX(A$1:A115)+1,"")</f>
        <v/>
      </c>
      <c r="B116" s="29" t="s">
        <v>52</v>
      </c>
      <c r="C116" s="11" t="str">
        <f>IF(COUNTIF(D$1:D116,D116)=1,MAX(C$1:C115)+1,"")</f>
        <v/>
      </c>
      <c r="D116" s="12"/>
      <c r="G116" s="1"/>
      <c r="K116" s="28" t="s">
        <v>178</v>
      </c>
      <c r="L116" s="28">
        <v>707</v>
      </c>
      <c r="M116" s="28">
        <v>300</v>
      </c>
      <c r="N116" s="28">
        <v>18</v>
      </c>
      <c r="O116" s="28">
        <v>27.5</v>
      </c>
    </row>
    <row r="117" spans="1:15" ht="15.75" thickBot="1" x14ac:dyDescent="0.3">
      <c r="A117" t="str">
        <f>IF(COUNTIF(B$1:B117,B117)=1,MAX(A$1:A116)+1,"")</f>
        <v/>
      </c>
      <c r="B117" s="29" t="s">
        <v>53</v>
      </c>
      <c r="C117" s="11" t="str">
        <f>IF(COUNTIF(D$1:D117,D117)=1,MAX(C$1:C116)+1,"")</f>
        <v/>
      </c>
      <c r="D117" s="12"/>
      <c r="G117" s="1"/>
      <c r="K117" s="28" t="s">
        <v>179</v>
      </c>
      <c r="L117" s="28">
        <v>715</v>
      </c>
      <c r="M117" s="28">
        <v>300</v>
      </c>
      <c r="N117" s="28">
        <v>20.5</v>
      </c>
      <c r="O117" s="28">
        <v>31.5</v>
      </c>
    </row>
    <row r="118" spans="1:15" ht="15.75" thickBot="1" x14ac:dyDescent="0.3">
      <c r="A118" t="str">
        <f>IF(COUNTIF(B$1:B118,B118)=1,MAX(A$1:A117)+1,"")</f>
        <v/>
      </c>
      <c r="B118" s="29" t="s">
        <v>54</v>
      </c>
      <c r="C118" s="11" t="str">
        <f>IF(COUNTIF(D$1:D118,D118)=1,MAX(C$1:C117)+1,"")</f>
        <v/>
      </c>
      <c r="D118" s="12"/>
      <c r="G118" s="1"/>
      <c r="K118" s="27" t="s">
        <v>180</v>
      </c>
      <c r="L118" s="27">
        <v>725</v>
      </c>
      <c r="M118" s="27">
        <v>300</v>
      </c>
      <c r="N118" s="27">
        <v>23</v>
      </c>
      <c r="O118" s="27">
        <v>36.5</v>
      </c>
    </row>
    <row r="119" spans="1:15" ht="15.75" thickBot="1" x14ac:dyDescent="0.3">
      <c r="A119" t="str">
        <f>IF(COUNTIF(B$1:B119,B119)=1,MAX(A$1:A118)+1,"")</f>
        <v/>
      </c>
      <c r="B119" s="29" t="s">
        <v>55</v>
      </c>
      <c r="C119" s="11" t="str">
        <f>IF(COUNTIF(D$1:D119,D119)=1,MAX(C$1:C118)+1,"")</f>
        <v/>
      </c>
      <c r="D119" s="12"/>
      <c r="G119" s="1"/>
      <c r="K119" s="28" t="s">
        <v>181</v>
      </c>
      <c r="L119" s="28">
        <v>740</v>
      </c>
      <c r="M119" s="28">
        <v>313</v>
      </c>
      <c r="N119" s="28">
        <v>27</v>
      </c>
      <c r="O119" s="28">
        <v>44</v>
      </c>
    </row>
    <row r="120" spans="1:15" ht="15.75" thickBot="1" x14ac:dyDescent="0.3">
      <c r="A120" t="str">
        <f>IF(COUNTIF(B$1:B120,B120)=1,MAX(A$1:A119)+1,"")</f>
        <v/>
      </c>
      <c r="B120" s="29" t="s">
        <v>56</v>
      </c>
      <c r="C120" s="11" t="str">
        <f>IF(COUNTIF(D$1:D120,D120)=1,MAX(C$1:C119)+1,"")</f>
        <v/>
      </c>
      <c r="D120" s="12"/>
      <c r="G120" s="1"/>
      <c r="K120" s="28" t="s">
        <v>182</v>
      </c>
      <c r="L120" s="28">
        <v>758</v>
      </c>
      <c r="M120" s="28">
        <v>315</v>
      </c>
      <c r="N120" s="28">
        <v>32</v>
      </c>
      <c r="O120" s="28">
        <v>53</v>
      </c>
    </row>
    <row r="121" spans="1:15" ht="15.75" thickBot="1" x14ac:dyDescent="0.3">
      <c r="A121" t="str">
        <f>IF(COUNTIF(B$1:B121,B121)=1,MAX(A$1:A120)+1,"")</f>
        <v/>
      </c>
      <c r="B121" s="29" t="s">
        <v>57</v>
      </c>
      <c r="C121" s="11" t="str">
        <f>IF(COUNTIF(D$1:D121,D121)=1,MAX(C$1:C120)+1,"")</f>
        <v/>
      </c>
      <c r="D121" s="12"/>
      <c r="G121" s="1"/>
      <c r="K121" s="28" t="s">
        <v>183</v>
      </c>
      <c r="L121" s="28">
        <v>780</v>
      </c>
      <c r="M121" s="28">
        <v>317</v>
      </c>
      <c r="N121" s="28">
        <v>38</v>
      </c>
      <c r="O121" s="28">
        <v>64</v>
      </c>
    </row>
    <row r="122" spans="1:15" ht="15.75" thickBot="1" x14ac:dyDescent="0.3">
      <c r="A122" t="str">
        <f>IF(COUNTIF(B$1:B122,B122)=1,MAX(A$1:A121)+1,"")</f>
        <v/>
      </c>
      <c r="B122" s="29" t="s">
        <v>58</v>
      </c>
      <c r="C122" s="11" t="str">
        <f>IF(COUNTIF(D$1:D122,D122)=1,MAX(C$1:C121)+1,"")</f>
        <v/>
      </c>
      <c r="D122" s="12"/>
      <c r="G122" s="1"/>
      <c r="K122" s="28" t="s">
        <v>184</v>
      </c>
      <c r="L122" s="28">
        <v>782</v>
      </c>
      <c r="M122" s="28">
        <v>300</v>
      </c>
      <c r="N122" s="28">
        <v>13.5</v>
      </c>
      <c r="O122" s="28">
        <v>17</v>
      </c>
    </row>
    <row r="123" spans="1:15" ht="15.75" thickBot="1" x14ac:dyDescent="0.3">
      <c r="A123" t="str">
        <f>IF(COUNTIF(B$1:B123,B123)=1,MAX(A$1:A122)+1,"")</f>
        <v/>
      </c>
      <c r="B123" s="29" t="s">
        <v>59</v>
      </c>
      <c r="C123" s="11" t="str">
        <f>IF(COUNTIF(D$1:D123,D123)=1,MAX(C$1:C122)+1,"")</f>
        <v/>
      </c>
      <c r="D123" s="12"/>
      <c r="K123" s="28" t="s">
        <v>185</v>
      </c>
      <c r="L123" s="28">
        <v>792</v>
      </c>
      <c r="M123" s="28">
        <v>300</v>
      </c>
      <c r="N123" s="28">
        <v>14</v>
      </c>
      <c r="O123" s="28">
        <v>22</v>
      </c>
    </row>
    <row r="124" spans="1:15" ht="15.75" thickBot="1" x14ac:dyDescent="0.3">
      <c r="A124" t="str">
        <f>IF(COUNTIF(B$1:B124,B124)=1,MAX(A$1:A123)+1,"")</f>
        <v/>
      </c>
      <c r="B124" s="29" t="s">
        <v>60</v>
      </c>
      <c r="C124" s="11" t="str">
        <f>IF(COUNTIF(D$1:D124,D124)=1,MAX(C$1:C123)+1,"")</f>
        <v/>
      </c>
      <c r="D124" s="12"/>
      <c r="K124" s="28" t="s">
        <v>186</v>
      </c>
      <c r="L124" s="28">
        <v>881</v>
      </c>
      <c r="M124" s="28">
        <v>299</v>
      </c>
      <c r="N124" s="28">
        <v>15</v>
      </c>
      <c r="O124" s="28">
        <v>18.5</v>
      </c>
    </row>
    <row r="125" spans="1:15" ht="15.75" thickBot="1" x14ac:dyDescent="0.3">
      <c r="A125" t="str">
        <f>IF(COUNTIF(B$1:B125,B125)=1,MAX(A$1:A124)+1,"")</f>
        <v/>
      </c>
      <c r="B125" s="29" t="s">
        <v>61</v>
      </c>
      <c r="C125" s="11" t="str">
        <f>IF(COUNTIF(D$1:D125,D125)=1,MAX(C$1:C124)+1,"")</f>
        <v/>
      </c>
      <c r="D125" s="12"/>
      <c r="K125" s="28" t="s">
        <v>187</v>
      </c>
      <c r="L125" s="28">
        <v>890</v>
      </c>
      <c r="M125" s="28">
        <v>299</v>
      </c>
      <c r="N125" s="28">
        <v>15</v>
      </c>
      <c r="O125" s="28">
        <v>23</v>
      </c>
    </row>
    <row r="126" spans="1:15" ht="15.75" thickBot="1" x14ac:dyDescent="0.3">
      <c r="A126" t="str">
        <f>IF(COUNTIF(B$1:B126,B126)=1,MAX(A$1:A125)+1,"")</f>
        <v/>
      </c>
      <c r="B126" s="29" t="s">
        <v>62</v>
      </c>
      <c r="C126" s="11" t="str">
        <f>IF(COUNTIF(D$1:D126,D126)=1,MAX(C$1:C125)+1,"")</f>
        <v/>
      </c>
      <c r="D126" s="12"/>
      <c r="K126" s="28" t="s">
        <v>188</v>
      </c>
      <c r="L126" s="28">
        <v>990</v>
      </c>
      <c r="M126" s="28">
        <v>320</v>
      </c>
      <c r="N126" s="28">
        <v>16</v>
      </c>
      <c r="O126" s="28">
        <v>21</v>
      </c>
    </row>
    <row r="127" spans="1:15" ht="15.75" thickBot="1" x14ac:dyDescent="0.3">
      <c r="A127" t="str">
        <f>IF(COUNTIF(B$1:B127,B127)=1,MAX(A$1:A126)+1,"")</f>
        <v/>
      </c>
      <c r="B127" s="29" t="s">
        <v>63</v>
      </c>
      <c r="C127" s="11" t="str">
        <f>IF(COUNTIF(D$1:D127,D127)=1,MAX(C$1:C126)+1,"")</f>
        <v/>
      </c>
      <c r="D127" s="12"/>
      <c r="K127" s="28" t="s">
        <v>189</v>
      </c>
      <c r="L127" s="28">
        <v>998</v>
      </c>
      <c r="M127" s="28">
        <v>320</v>
      </c>
      <c r="N127" s="28">
        <v>17</v>
      </c>
      <c r="O127" s="28">
        <v>25</v>
      </c>
    </row>
    <row r="128" spans="1:15" ht="15.75" thickBot="1" x14ac:dyDescent="0.3">
      <c r="A128" t="str">
        <f>IF(COUNTIF(B$1:B128,B128)=1,MAX(A$1:A127)+1,"")</f>
        <v/>
      </c>
      <c r="B128" s="29" t="s">
        <v>64</v>
      </c>
      <c r="C128" s="11" t="str">
        <f>IF(COUNTIF(D$1:D128,D128)=1,MAX(C$1:C127)+1,"")</f>
        <v/>
      </c>
      <c r="D128" s="12"/>
      <c r="K128" s="28" t="s">
        <v>190</v>
      </c>
      <c r="L128" s="28">
        <v>1006</v>
      </c>
      <c r="M128" s="28">
        <v>320</v>
      </c>
      <c r="N128" s="28">
        <v>18</v>
      </c>
      <c r="O128" s="28">
        <v>29</v>
      </c>
    </row>
    <row r="129" spans="1:15" ht="15.75" thickBot="1" x14ac:dyDescent="0.3">
      <c r="A129" t="str">
        <f>IF(COUNTIF(B$1:B129,B129)=1,MAX(A$1:A128)+1,"")</f>
        <v/>
      </c>
      <c r="B129" s="29" t="s">
        <v>65</v>
      </c>
      <c r="C129" s="11" t="str">
        <f>IF(COUNTIF(D$1:D129,D129)=1,MAX(C$1:C128)+1,"")</f>
        <v/>
      </c>
      <c r="D129" s="12"/>
      <c r="K129" s="28" t="s">
        <v>191</v>
      </c>
      <c r="L129" s="28">
        <v>1013</v>
      </c>
      <c r="M129" s="28">
        <v>320</v>
      </c>
      <c r="N129" s="28">
        <v>19.5</v>
      </c>
      <c r="O129" s="28">
        <v>32.5</v>
      </c>
    </row>
    <row r="130" spans="1:15" ht="15.75" thickBot="1" x14ac:dyDescent="0.3">
      <c r="A130" t="str">
        <f>IF(COUNTIF(B$1:B130,B130)=1,MAX(A$1:A129)+1,"")</f>
        <v/>
      </c>
      <c r="B130" s="29" t="s">
        <v>66</v>
      </c>
      <c r="C130" s="11" t="str">
        <f>IF(COUNTIF(D$1:D130,D130)=1,MAX(C$1:C129)+1,"")</f>
        <v/>
      </c>
      <c r="D130" s="12"/>
      <c r="K130" s="28" t="s">
        <v>192</v>
      </c>
      <c r="L130" s="28">
        <v>147</v>
      </c>
      <c r="M130" s="28">
        <v>149</v>
      </c>
      <c r="N130" s="28">
        <v>6</v>
      </c>
      <c r="O130" s="28">
        <v>8.5</v>
      </c>
    </row>
    <row r="131" spans="1:15" ht="15.75" thickBot="1" x14ac:dyDescent="0.3">
      <c r="A131" t="str">
        <f>IF(COUNTIF(B$1:B131,B131)=1,MAX(A$1:A130)+1,"")</f>
        <v/>
      </c>
      <c r="B131" s="29" t="s">
        <v>67</v>
      </c>
      <c r="C131" s="11" t="str">
        <f>IF(COUNTIF(D$1:D131,D131)=1,MAX(C$1:C130)+1,"")</f>
        <v/>
      </c>
      <c r="D131" s="12"/>
      <c r="K131" s="28" t="s">
        <v>193</v>
      </c>
      <c r="L131" s="28">
        <v>150</v>
      </c>
      <c r="M131" s="28">
        <v>150</v>
      </c>
      <c r="N131" s="28">
        <v>7</v>
      </c>
      <c r="O131" s="28">
        <v>10</v>
      </c>
    </row>
    <row r="132" spans="1:15" ht="15.75" thickBot="1" x14ac:dyDescent="0.3">
      <c r="A132" t="str">
        <f>IF(COUNTIF(B$1:B132,B132)=1,MAX(A$1:A131)+1,"")</f>
        <v/>
      </c>
      <c r="B132" s="29" t="s">
        <v>68</v>
      </c>
      <c r="C132" s="11" t="str">
        <f>IF(COUNTIF(D$1:D132,D132)=1,MAX(C$1:C131)+1,"")</f>
        <v/>
      </c>
      <c r="D132" s="12"/>
      <c r="K132" s="28" t="s">
        <v>194</v>
      </c>
      <c r="L132" s="28">
        <v>155</v>
      </c>
      <c r="M132" s="28">
        <v>151</v>
      </c>
      <c r="N132" s="28">
        <v>8.5</v>
      </c>
      <c r="O132" s="28">
        <v>12.5</v>
      </c>
    </row>
    <row r="133" spans="1:15" ht="15.75" thickBot="1" x14ac:dyDescent="0.3">
      <c r="A133" t="str">
        <f>IF(COUNTIF(B$1:B133,B133)=1,MAX(A$1:A132)+1,"")</f>
        <v/>
      </c>
      <c r="B133" s="29" t="s">
        <v>69</v>
      </c>
      <c r="C133" s="11" t="str">
        <f>IF(COUNTIF(D$1:D133,D133)=1,MAX(C$1:C132)+1,"")</f>
        <v/>
      </c>
      <c r="D133" s="12"/>
      <c r="K133" s="28" t="s">
        <v>195</v>
      </c>
      <c r="L133" s="28">
        <v>160</v>
      </c>
      <c r="M133" s="28">
        <v>152</v>
      </c>
      <c r="N133" s="28">
        <v>10</v>
      </c>
      <c r="O133" s="28">
        <v>15</v>
      </c>
    </row>
    <row r="134" spans="1:15" ht="15.75" thickBot="1" x14ac:dyDescent="0.3">
      <c r="A134" t="str">
        <f>IF(COUNTIF(B$1:B134,B134)=1,MAX(A$1:A133)+1,"")</f>
        <v/>
      </c>
      <c r="B134" s="29"/>
      <c r="C134" s="11" t="str">
        <f>IF(COUNTIF(D$1:D134,D134)=1,MAX(C$1:C133)+1,"")</f>
        <v/>
      </c>
      <c r="D134" s="12"/>
      <c r="K134" s="28" t="s">
        <v>196</v>
      </c>
      <c r="L134" s="28">
        <v>166</v>
      </c>
      <c r="M134" s="28">
        <v>153</v>
      </c>
      <c r="N134" s="28">
        <v>12</v>
      </c>
      <c r="O134" s="28">
        <v>18</v>
      </c>
    </row>
    <row r="135" spans="1:15" ht="15.75" thickBot="1" x14ac:dyDescent="0.3">
      <c r="A135" t="str">
        <f>IF(COUNTIF(B$1:B135,B135)=1,MAX(A$1:A134)+1,"")</f>
        <v/>
      </c>
      <c r="B135" s="29"/>
      <c r="C135" s="11" t="str">
        <f>IF(COUNTIF(D$1:D135,D135)=1,MAX(C$1:C134)+1,"")</f>
        <v/>
      </c>
      <c r="D135" s="12"/>
      <c r="K135" s="28" t="s">
        <v>79</v>
      </c>
      <c r="L135" s="28">
        <v>196</v>
      </c>
      <c r="M135" s="28">
        <v>199</v>
      </c>
      <c r="N135" s="28">
        <v>6.5</v>
      </c>
      <c r="O135" s="28">
        <v>10</v>
      </c>
    </row>
    <row r="136" spans="1:15" ht="15.75" thickBot="1" x14ac:dyDescent="0.3">
      <c r="A136" t="str">
        <f>IF(COUNTIF(B$1:B136,B136)=1,MAX(A$1:A135)+1,"")</f>
        <v/>
      </c>
      <c r="B136" s="29"/>
      <c r="C136" s="11" t="str">
        <f>IF(COUNTIF(D$1:D136,D136)=1,MAX(C$1:C135)+1,"")</f>
        <v/>
      </c>
      <c r="D136" s="12"/>
      <c r="K136" s="28" t="s">
        <v>197</v>
      </c>
      <c r="L136" s="28">
        <v>200</v>
      </c>
      <c r="M136" s="28">
        <v>200</v>
      </c>
      <c r="N136" s="28">
        <v>8</v>
      </c>
      <c r="O136" s="28">
        <v>12</v>
      </c>
    </row>
    <row r="137" spans="1:15" ht="15.75" thickBot="1" x14ac:dyDescent="0.3">
      <c r="A137" t="str">
        <f>IF(COUNTIF(B$1:B137,B137)=1,MAX(A$1:A136)+1,"")</f>
        <v/>
      </c>
      <c r="B137" s="29"/>
      <c r="C137" s="11" t="str">
        <f>IF(COUNTIF(D$1:D137,D137)=1,MAX(C$1:C136)+1,"")</f>
        <v/>
      </c>
      <c r="D137" s="12"/>
      <c r="K137" s="28" t="s">
        <v>198</v>
      </c>
      <c r="L137" s="28">
        <v>204</v>
      </c>
      <c r="M137" s="28">
        <v>201</v>
      </c>
      <c r="N137" s="28">
        <v>9</v>
      </c>
      <c r="O137" s="28">
        <v>14</v>
      </c>
    </row>
    <row r="138" spans="1:15" ht="15.75" thickBot="1" x14ac:dyDescent="0.3">
      <c r="A138" t="str">
        <f>IF(COUNTIF(B$1:B138,B138)=1,MAX(A$1:A137)+1,"")</f>
        <v/>
      </c>
      <c r="B138" s="29"/>
      <c r="C138" s="11" t="str">
        <f>IF(COUNTIF(D$1:D138,D138)=1,MAX(C$1:C137)+1,"")</f>
        <v/>
      </c>
      <c r="D138" s="12"/>
      <c r="K138" s="28" t="s">
        <v>199</v>
      </c>
      <c r="L138" s="28">
        <v>210</v>
      </c>
      <c r="M138" s="28">
        <v>201</v>
      </c>
      <c r="N138" s="28">
        <v>10.5</v>
      </c>
      <c r="O138" s="28">
        <v>17</v>
      </c>
    </row>
    <row r="139" spans="1:15" ht="15.75" thickBot="1" x14ac:dyDescent="0.3">
      <c r="A139" t="str">
        <f>IF(COUNTIF(B$1:B139,B139)=1,MAX(A$1:A138)+1,"")</f>
        <v/>
      </c>
      <c r="B139" s="29"/>
      <c r="C139" s="11" t="str">
        <f>IF(COUNTIF(D$1:D139,D139)=1,MAX(C$1:C138)+1,"")</f>
        <v/>
      </c>
      <c r="D139" s="12"/>
      <c r="K139" s="28" t="s">
        <v>200</v>
      </c>
      <c r="L139" s="28">
        <v>214</v>
      </c>
      <c r="M139" s="28">
        <v>202</v>
      </c>
      <c r="N139" s="28">
        <v>12</v>
      </c>
      <c r="O139" s="28">
        <v>19</v>
      </c>
    </row>
    <row r="140" spans="1:15" ht="15.75" thickBot="1" x14ac:dyDescent="0.3">
      <c r="A140" t="str">
        <f>IF(COUNTIF(B$1:B140,B140)=1,MAX(A$1:A139)+1,"")</f>
        <v/>
      </c>
      <c r="B140" s="29" t="s">
        <v>197</v>
      </c>
      <c r="C140" s="11" t="str">
        <f>IF(COUNTIF(D$1:D140,D140)=1,MAX(C$1:C139)+1,"")</f>
        <v/>
      </c>
      <c r="D140" s="12"/>
      <c r="K140" s="28" t="s">
        <v>201</v>
      </c>
      <c r="L140" s="28">
        <v>220</v>
      </c>
      <c r="M140" s="28">
        <v>202</v>
      </c>
      <c r="N140" s="28">
        <v>14</v>
      </c>
      <c r="O140" s="28">
        <v>22</v>
      </c>
    </row>
    <row r="141" spans="1:15" ht="15.75" thickBot="1" x14ac:dyDescent="0.3">
      <c r="A141" t="str">
        <f>IF(COUNTIF(B$1:B141,B141)=1,MAX(A$1:A140)+1,"")</f>
        <v/>
      </c>
      <c r="B141" s="29" t="s">
        <v>74</v>
      </c>
      <c r="C141" s="11" t="str">
        <f>IF(COUNTIF(D$1:D141,D141)=1,MAX(C$1:C140)+1,"")</f>
        <v/>
      </c>
      <c r="D141" s="12"/>
      <c r="K141" s="28" t="s">
        <v>202</v>
      </c>
      <c r="L141" s="28">
        <v>226</v>
      </c>
      <c r="M141" s="28">
        <v>203</v>
      </c>
      <c r="N141" s="28">
        <v>16</v>
      </c>
      <c r="O141" s="28">
        <v>25</v>
      </c>
    </row>
    <row r="142" spans="1:15" ht="15.75" thickBot="1" x14ac:dyDescent="0.3">
      <c r="A142" t="str">
        <f>IF(COUNTIF(B$1:B142,B142)=1,MAX(A$1:A141)+1,"")</f>
        <v/>
      </c>
      <c r="B142" s="29" t="s">
        <v>75</v>
      </c>
      <c r="C142" s="11" t="str">
        <f>IF(COUNTIF(D$1:D142,D142)=1,MAX(C$1:C141)+1,"")</f>
        <v/>
      </c>
      <c r="D142" s="12"/>
      <c r="K142" s="28" t="s">
        <v>203</v>
      </c>
      <c r="L142" s="28">
        <v>234</v>
      </c>
      <c r="M142" s="28">
        <v>203</v>
      </c>
      <c r="N142" s="28">
        <v>18</v>
      </c>
      <c r="O142" s="28">
        <v>29</v>
      </c>
    </row>
    <row r="143" spans="1:15" ht="15.75" thickBot="1" x14ac:dyDescent="0.3">
      <c r="A143" t="str">
        <f>IF(COUNTIF(B$1:B143,B143)=1,MAX(A$1:A142)+1,"")</f>
        <v/>
      </c>
      <c r="B143" s="29" t="s">
        <v>76</v>
      </c>
      <c r="C143" s="11" t="str">
        <f>IF(COUNTIF(D$1:D143,D143)=1,MAX(C$1:C142)+1,"")</f>
        <v/>
      </c>
      <c r="D143" s="12"/>
      <c r="K143" s="28" t="s">
        <v>77</v>
      </c>
      <c r="L143" s="28">
        <v>246</v>
      </c>
      <c r="M143" s="28">
        <v>249</v>
      </c>
      <c r="N143" s="28">
        <v>8</v>
      </c>
      <c r="O143" s="28">
        <v>12</v>
      </c>
    </row>
    <row r="144" spans="1:15" ht="15.75" thickBot="1" x14ac:dyDescent="0.3">
      <c r="A144" t="str">
        <f>IF(COUNTIF(B$1:B144,B144)=1,MAX(A$1:A143)+1,"")</f>
        <v/>
      </c>
      <c r="B144" s="29" t="s">
        <v>37</v>
      </c>
      <c r="C144" s="11" t="str">
        <f>IF(COUNTIF(D$1:D144,D144)=1,MAX(C$1:C143)+1,"")</f>
        <v/>
      </c>
      <c r="D144" s="12"/>
      <c r="K144" s="28" t="s">
        <v>74</v>
      </c>
      <c r="L144" s="28">
        <v>250</v>
      </c>
      <c r="M144" s="28">
        <v>250</v>
      </c>
      <c r="N144" s="28">
        <v>9</v>
      </c>
      <c r="O144" s="28">
        <v>14</v>
      </c>
    </row>
    <row r="145" spans="1:15" ht="15.75" thickBot="1" x14ac:dyDescent="0.3">
      <c r="A145" t="str">
        <f>IF(COUNTIF(B$1:B145,B145)=1,MAX(A$1:A144)+1,"")</f>
        <v/>
      </c>
      <c r="B145" s="29" t="s">
        <v>38</v>
      </c>
      <c r="C145" s="11" t="str">
        <f>IF(COUNTIF(D$1:D145,D145)=1,MAX(C$1:C144)+1,"")</f>
        <v/>
      </c>
      <c r="D145" s="12"/>
      <c r="K145" s="28" t="s">
        <v>80</v>
      </c>
      <c r="L145" s="28">
        <v>253</v>
      </c>
      <c r="M145" s="28">
        <v>251</v>
      </c>
      <c r="N145" s="28">
        <v>10</v>
      </c>
      <c r="O145" s="28">
        <v>15.5</v>
      </c>
    </row>
    <row r="146" spans="1:15" ht="15.75" thickBot="1" x14ac:dyDescent="0.3">
      <c r="A146" t="str">
        <f>IF(COUNTIF(B$1:B146,B146)=1,MAX(A$1:A145)+1,"")</f>
        <v/>
      </c>
      <c r="B146" s="29" t="s">
        <v>39</v>
      </c>
      <c r="C146" s="11" t="str">
        <f>IF(COUNTIF(D$1:D146,D146)=1,MAX(C$1:C145)+1,"")</f>
        <v/>
      </c>
      <c r="D146" s="12"/>
      <c r="K146" s="28" t="s">
        <v>204</v>
      </c>
      <c r="L146" s="28">
        <v>257</v>
      </c>
      <c r="M146" s="28">
        <v>252</v>
      </c>
      <c r="N146" s="28">
        <v>11</v>
      </c>
      <c r="O146" s="28">
        <v>17.5</v>
      </c>
    </row>
    <row r="147" spans="1:15" ht="15.75" thickBot="1" x14ac:dyDescent="0.3">
      <c r="A147" t="str">
        <f>IF(COUNTIF(B$1:B147,B147)=1,MAX(A$1:A146)+1,"")</f>
        <v/>
      </c>
      <c r="B147" s="29" t="s">
        <v>40</v>
      </c>
      <c r="C147" s="11" t="str">
        <f>IF(COUNTIF(D$1:D147,D147)=1,MAX(C$1:C146)+1,"")</f>
        <v/>
      </c>
      <c r="D147" s="12"/>
      <c r="K147" s="28" t="s">
        <v>205</v>
      </c>
      <c r="L147" s="28">
        <v>262</v>
      </c>
      <c r="M147" s="28">
        <v>253</v>
      </c>
      <c r="N147" s="28">
        <v>12.5</v>
      </c>
      <c r="O147" s="28">
        <v>20</v>
      </c>
    </row>
    <row r="148" spans="1:15" ht="15.75" thickBot="1" x14ac:dyDescent="0.3">
      <c r="A148" t="str">
        <f>IF(COUNTIF(B$1:B148,B148)=1,MAX(A$1:A147)+1,"")</f>
        <v/>
      </c>
      <c r="B148" s="29" t="s">
        <v>41</v>
      </c>
      <c r="C148" s="11" t="str">
        <f>IF(COUNTIF(D$1:D148,D148)=1,MAX(C$1:C147)+1,"")</f>
        <v/>
      </c>
      <c r="D148" s="12"/>
      <c r="K148" s="27" t="s">
        <v>206</v>
      </c>
      <c r="L148" s="27">
        <v>267</v>
      </c>
      <c r="M148" s="27">
        <v>253</v>
      </c>
      <c r="N148" s="27">
        <v>14</v>
      </c>
      <c r="O148" s="27">
        <v>22.5</v>
      </c>
    </row>
    <row r="149" spans="1:15" ht="15.75" thickBot="1" x14ac:dyDescent="0.3">
      <c r="A149" t="str">
        <f>IF(COUNTIF(B$1:B149,B149)=1,MAX(A$1:A148)+1,"")</f>
        <v/>
      </c>
      <c r="B149" s="29" t="s">
        <v>42</v>
      </c>
      <c r="C149" s="11" t="str">
        <f>IF(COUNTIF(D$1:D149,D149)=1,MAX(C$1:C148)+1,"")</f>
        <v/>
      </c>
      <c r="D149" s="12"/>
      <c r="K149" s="28" t="s">
        <v>207</v>
      </c>
      <c r="L149" s="28">
        <v>274</v>
      </c>
      <c r="M149" s="28">
        <v>258</v>
      </c>
      <c r="N149" s="28">
        <v>16</v>
      </c>
      <c r="O149" s="28">
        <v>26</v>
      </c>
    </row>
    <row r="150" spans="1:15" ht="15.75" thickBot="1" x14ac:dyDescent="0.3">
      <c r="A150" t="str">
        <f>IF(COUNTIF(B$1:B150,B150)=1,MAX(A$1:A149)+1,"")</f>
        <v/>
      </c>
      <c r="B150" s="29" t="s">
        <v>43</v>
      </c>
      <c r="C150" s="11" t="str">
        <f>IF(COUNTIF(D$1:D150,D150)=1,MAX(C$1:C149)+1,"")</f>
        <v/>
      </c>
      <c r="D150" s="12"/>
      <c r="K150" s="28" t="s">
        <v>208</v>
      </c>
      <c r="L150" s="28">
        <v>281</v>
      </c>
      <c r="M150" s="28">
        <v>259</v>
      </c>
      <c r="N150" s="28">
        <v>18</v>
      </c>
      <c r="O150" s="28">
        <v>29.5</v>
      </c>
    </row>
    <row r="151" spans="1:15" ht="15.75" thickBot="1" x14ac:dyDescent="0.3">
      <c r="A151" t="str">
        <f>IF(COUNTIF(B$1:B151,B151)=1,MAX(A$1:A150)+1,"")</f>
        <v/>
      </c>
      <c r="B151" s="29" t="s">
        <v>44</v>
      </c>
      <c r="C151" s="11" t="str">
        <f>IF(COUNTIF(D$1:D151,D151)=1,MAX(C$1:C150)+1,"")</f>
        <v/>
      </c>
      <c r="D151" s="12"/>
      <c r="K151" s="28" t="s">
        <v>209</v>
      </c>
      <c r="L151" s="28">
        <v>288</v>
      </c>
      <c r="M151" s="28">
        <v>260</v>
      </c>
      <c r="N151" s="28">
        <v>20</v>
      </c>
      <c r="O151" s="28">
        <v>33</v>
      </c>
    </row>
    <row r="152" spans="1:15" ht="15.75" thickBot="1" x14ac:dyDescent="0.3">
      <c r="A152" t="str">
        <f>IF(COUNTIF(B$1:B152,B152)=1,MAX(A$1:A151)+1,"")</f>
        <v/>
      </c>
      <c r="B152" s="29" t="s">
        <v>45</v>
      </c>
      <c r="C152" s="11" t="str">
        <f>IF(COUNTIF(D$1:D152,D152)=1,MAX(C$1:C151)+1,"")</f>
        <v/>
      </c>
      <c r="D152" s="12"/>
      <c r="K152" s="28" t="s">
        <v>210</v>
      </c>
      <c r="L152" s="28">
        <v>298</v>
      </c>
      <c r="M152" s="28">
        <v>261</v>
      </c>
      <c r="N152" s="28">
        <v>23</v>
      </c>
      <c r="O152" s="28">
        <v>38</v>
      </c>
    </row>
    <row r="153" spans="1:15" ht="15.75" thickBot="1" x14ac:dyDescent="0.3">
      <c r="A153" t="str">
        <f>IF(COUNTIF(B$1:B153,B153)=1,MAX(A$1:A152)+1,"")</f>
        <v/>
      </c>
      <c r="B153" s="29" t="s">
        <v>46</v>
      </c>
      <c r="C153" s="11" t="str">
        <f>IF(COUNTIF(D$1:D153,D153)=1,MAX(C$1:C152)+1,"")</f>
        <v/>
      </c>
      <c r="D153" s="12"/>
      <c r="K153" s="28" t="s">
        <v>81</v>
      </c>
      <c r="L153" s="28">
        <v>298</v>
      </c>
      <c r="M153" s="28">
        <v>299</v>
      </c>
      <c r="N153" s="28">
        <v>9</v>
      </c>
      <c r="O153" s="28">
        <v>14</v>
      </c>
    </row>
    <row r="154" spans="1:15" ht="15.75" thickBot="1" x14ac:dyDescent="0.3">
      <c r="A154" t="str">
        <f>IF(COUNTIF(B$1:B154,B154)=1,MAX(A$1:A153)+1,"")</f>
        <v/>
      </c>
      <c r="B154" s="29" t="s">
        <v>47</v>
      </c>
      <c r="C154" s="11" t="str">
        <f>IF(COUNTIF(D$1:D154,D154)=1,MAX(C$1:C153)+1,"")</f>
        <v/>
      </c>
      <c r="D154" s="12"/>
      <c r="K154" s="28" t="s">
        <v>82</v>
      </c>
      <c r="L154" s="28">
        <v>300</v>
      </c>
      <c r="M154" s="28">
        <v>300</v>
      </c>
      <c r="N154" s="28">
        <v>10</v>
      </c>
      <c r="O154" s="28">
        <v>15</v>
      </c>
    </row>
    <row r="155" spans="1:15" ht="15.75" thickBot="1" x14ac:dyDescent="0.3">
      <c r="A155" t="str">
        <f>IF(COUNTIF(B$1:B155,B155)=1,MAX(A$1:A154)+1,"")</f>
        <v/>
      </c>
      <c r="B155" s="29" t="s">
        <v>48</v>
      </c>
      <c r="C155" s="11" t="str">
        <f>IF(COUNTIF(D$1:D155,D155)=1,MAX(C$1:C154)+1,"")</f>
        <v/>
      </c>
      <c r="D155" s="12"/>
      <c r="K155" s="28" t="s">
        <v>83</v>
      </c>
      <c r="L155" s="28">
        <v>300</v>
      </c>
      <c r="M155" s="28">
        <v>305</v>
      </c>
      <c r="N155" s="28">
        <v>15</v>
      </c>
      <c r="O155" s="28">
        <v>15</v>
      </c>
    </row>
    <row r="156" spans="1:15" ht="15.75" thickBot="1" x14ac:dyDescent="0.3">
      <c r="A156" t="str">
        <f>IF(COUNTIF(B$1:B156,B156)=1,MAX(A$1:A155)+1,"")</f>
        <v/>
      </c>
      <c r="B156" s="29" t="s">
        <v>49</v>
      </c>
      <c r="C156" s="11" t="str">
        <f>IF(COUNTIF(D$1:D156,D156)=1,MAX(C$1:C155)+1,"")</f>
        <v/>
      </c>
      <c r="D156" s="12"/>
      <c r="K156" s="28" t="s">
        <v>84</v>
      </c>
      <c r="L156" s="28">
        <v>304</v>
      </c>
      <c r="M156" s="28">
        <v>301</v>
      </c>
      <c r="N156" s="28">
        <v>11</v>
      </c>
      <c r="O156" s="28">
        <v>17</v>
      </c>
    </row>
    <row r="157" spans="1:15" ht="15.75" thickBot="1" x14ac:dyDescent="0.3">
      <c r="A157" t="str">
        <f>IF(COUNTIF(B$1:B157,B157)=1,MAX(A$1:A156)+1,"")</f>
        <v/>
      </c>
      <c r="B157" s="29" t="s">
        <v>50</v>
      </c>
      <c r="C157" s="11" t="str">
        <f>IF(COUNTIF(D$1:D157,D157)=1,MAX(C$1:C156)+1,"")</f>
        <v/>
      </c>
      <c r="D157" s="12"/>
      <c r="K157" s="28" t="s">
        <v>211</v>
      </c>
      <c r="L157" s="28">
        <v>308</v>
      </c>
      <c r="M157" s="28">
        <v>301</v>
      </c>
      <c r="N157" s="28">
        <v>12</v>
      </c>
      <c r="O157" s="28">
        <v>19</v>
      </c>
    </row>
    <row r="158" spans="1:15" ht="15.75" thickBot="1" x14ac:dyDescent="0.3">
      <c r="A158" t="str">
        <f>IF(COUNTIF(B$1:B158,B158)=1,MAX(A$1:A157)+1,"")</f>
        <v/>
      </c>
      <c r="B158" s="29" t="s">
        <v>121</v>
      </c>
      <c r="C158" s="11" t="str">
        <f>IF(COUNTIF(D$1:D158,D158)=1,MAX(C$1:C157)+1,"")</f>
        <v/>
      </c>
      <c r="D158" s="12"/>
      <c r="K158" s="28" t="s">
        <v>212</v>
      </c>
      <c r="L158" s="28">
        <v>312</v>
      </c>
      <c r="M158" s="28">
        <v>302</v>
      </c>
      <c r="N158" s="28">
        <v>13</v>
      </c>
      <c r="O158" s="28">
        <v>21</v>
      </c>
    </row>
    <row r="159" spans="1:15" ht="15.75" thickBot="1" x14ac:dyDescent="0.3">
      <c r="A159" t="str">
        <f>IF(COUNTIF(B$1:B159,B159)=1,MAX(A$1:A158)+1,"")</f>
        <v/>
      </c>
      <c r="B159" s="29" t="s">
        <v>51</v>
      </c>
      <c r="C159" s="11" t="str">
        <f>IF(COUNTIF(D$1:D159,D159)=1,MAX(C$1:C158)+1,"")</f>
        <v/>
      </c>
      <c r="D159" s="12"/>
      <c r="K159" s="28" t="s">
        <v>213</v>
      </c>
      <c r="L159" s="28">
        <v>316</v>
      </c>
      <c r="M159" s="28">
        <v>302</v>
      </c>
      <c r="N159" s="28">
        <v>14.5</v>
      </c>
      <c r="O159" s="28">
        <v>23</v>
      </c>
    </row>
    <row r="160" spans="1:15" ht="15.75" thickBot="1" x14ac:dyDescent="0.3">
      <c r="A160" t="str">
        <f>IF(COUNTIF(B$1:B160,B160)=1,MAX(A$1:A159)+1,"")</f>
        <v/>
      </c>
      <c r="B160" s="29" t="s">
        <v>52</v>
      </c>
      <c r="C160" s="11" t="str">
        <f>IF(COUNTIF(D$1:D160,D160)=1,MAX(C$1:C159)+1,"")</f>
        <v/>
      </c>
      <c r="D160" s="12"/>
      <c r="K160" s="28" t="s">
        <v>214</v>
      </c>
      <c r="L160" s="28">
        <v>316</v>
      </c>
      <c r="M160" s="28">
        <v>357</v>
      </c>
      <c r="N160" s="28">
        <v>14.5</v>
      </c>
      <c r="O160" s="28">
        <v>23</v>
      </c>
    </row>
    <row r="161" spans="1:15" ht="15.75" thickBot="1" x14ac:dyDescent="0.3">
      <c r="A161" t="str">
        <f>IF(COUNTIF(B$1:B161,B161)=1,MAX(A$1:A160)+1,"")</f>
        <v/>
      </c>
      <c r="B161" s="29" t="s">
        <v>53</v>
      </c>
      <c r="C161" s="11" t="str">
        <f>IF(COUNTIF(D$1:D161,D161)=1,MAX(C$1:C160)+1,"")</f>
        <v/>
      </c>
      <c r="D161" s="12"/>
      <c r="K161" s="28" t="s">
        <v>215</v>
      </c>
      <c r="L161" s="28">
        <v>322</v>
      </c>
      <c r="M161" s="28">
        <v>358</v>
      </c>
      <c r="N161" s="28">
        <v>16</v>
      </c>
      <c r="O161" s="28">
        <v>26</v>
      </c>
    </row>
    <row r="162" spans="1:15" ht="15.75" thickBot="1" x14ac:dyDescent="0.3">
      <c r="A162" t="str">
        <f>IF(COUNTIF(B$1:B162,B162)=1,MAX(A$1:A161)+1,"")</f>
        <v/>
      </c>
      <c r="B162" s="29" t="s">
        <v>54</v>
      </c>
      <c r="C162" s="11" t="str">
        <f>IF(COUNTIF(D$1:D162,D162)=1,MAX(C$1:C161)+1,"")</f>
        <v/>
      </c>
      <c r="D162" s="12"/>
      <c r="K162" s="28" t="s">
        <v>216</v>
      </c>
      <c r="L162" s="28">
        <v>328</v>
      </c>
      <c r="M162" s="28">
        <v>359</v>
      </c>
      <c r="N162" s="28">
        <v>18</v>
      </c>
      <c r="O162" s="28">
        <v>29</v>
      </c>
    </row>
    <row r="163" spans="1:15" ht="15.75" thickBot="1" x14ac:dyDescent="0.3">
      <c r="A163" t="str">
        <f>IF(COUNTIF(B$1:B163,B163)=1,MAX(A$1:A162)+1,"")</f>
        <v/>
      </c>
      <c r="B163" s="29" t="s">
        <v>55</v>
      </c>
      <c r="C163" s="11" t="str">
        <f>IF(COUNTIF(D$1:D163,D163)=1,MAX(C$1:C162)+1,"")</f>
        <v/>
      </c>
      <c r="D163" s="12"/>
      <c r="K163" s="28" t="s">
        <v>217</v>
      </c>
      <c r="L163" s="28">
        <v>334</v>
      </c>
      <c r="M163" s="28">
        <v>360</v>
      </c>
      <c r="N163" s="28">
        <v>20</v>
      </c>
      <c r="O163" s="28">
        <v>32</v>
      </c>
    </row>
    <row r="164" spans="1:15" ht="15.75" thickBot="1" x14ac:dyDescent="0.3">
      <c r="A164" t="str">
        <f>IF(COUNTIF(B$1:B164,B164)=1,MAX(A$1:A163)+1,"")</f>
        <v/>
      </c>
      <c r="B164" s="29" t="s">
        <v>56</v>
      </c>
      <c r="C164" s="11" t="str">
        <f>IF(COUNTIF(D$1:D164,D164)=1,MAX(C$1:C163)+1,"")</f>
        <v/>
      </c>
      <c r="D164" s="12"/>
      <c r="K164" s="28" t="s">
        <v>218</v>
      </c>
      <c r="L164" s="28">
        <v>341</v>
      </c>
      <c r="M164" s="28">
        <v>361</v>
      </c>
      <c r="N164" s="28">
        <v>22</v>
      </c>
      <c r="O164" s="28">
        <v>35.5</v>
      </c>
    </row>
    <row r="165" spans="1:15" ht="15.75" thickBot="1" x14ac:dyDescent="0.3">
      <c r="A165" t="str">
        <f>IF(COUNTIF(B$1:B165,B165)=1,MAX(A$1:A164)+1,"")</f>
        <v/>
      </c>
      <c r="B165" s="29" t="s">
        <v>57</v>
      </c>
      <c r="C165" s="11" t="str">
        <f>IF(COUNTIF(D$1:D165,D165)=1,MAX(C$1:C164)+1,"")</f>
        <v/>
      </c>
      <c r="D165" s="12"/>
      <c r="K165" s="28" t="s">
        <v>219</v>
      </c>
      <c r="L165" s="28">
        <v>350</v>
      </c>
      <c r="M165" s="28">
        <v>362</v>
      </c>
      <c r="N165" s="28">
        <v>24</v>
      </c>
      <c r="O165" s="28">
        <v>40</v>
      </c>
    </row>
    <row r="166" spans="1:15" ht="15.75" thickBot="1" x14ac:dyDescent="0.3">
      <c r="A166" t="str">
        <f>IF(COUNTIF(B$1:B166,B166)=1,MAX(A$1:A165)+1,"")</f>
        <v/>
      </c>
      <c r="B166" s="29" t="s">
        <v>58</v>
      </c>
      <c r="C166" s="11" t="str">
        <f>IF(COUNTIF(D$1:D166,D166)=1,MAX(C$1:C165)+1,"")</f>
        <v/>
      </c>
      <c r="D166" s="12"/>
      <c r="K166" s="28" t="s">
        <v>220</v>
      </c>
      <c r="L166" s="28">
        <v>356</v>
      </c>
      <c r="M166" s="28">
        <v>371</v>
      </c>
      <c r="N166" s="28">
        <v>27</v>
      </c>
      <c r="O166" s="28">
        <v>43</v>
      </c>
    </row>
    <row r="167" spans="1:15" ht="15.75" thickBot="1" x14ac:dyDescent="0.3">
      <c r="A167" t="str">
        <f>IF(COUNTIF(B$1:B167,B167)=1,MAX(A$1:A166)+1,"")</f>
        <v/>
      </c>
      <c r="B167" s="29" t="s">
        <v>59</v>
      </c>
      <c r="C167" s="11" t="str">
        <f>IF(COUNTIF(D$1:D167,D167)=1,MAX(C$1:C166)+1,"")</f>
        <v/>
      </c>
      <c r="D167" s="12"/>
      <c r="K167" s="28" t="s">
        <v>221</v>
      </c>
      <c r="L167" s="28">
        <v>364</v>
      </c>
      <c r="M167" s="28">
        <v>372</v>
      </c>
      <c r="N167" s="28">
        <v>30</v>
      </c>
      <c r="O167" s="28">
        <v>47</v>
      </c>
    </row>
    <row r="168" spans="1:15" ht="15.75" thickBot="1" x14ac:dyDescent="0.3">
      <c r="A168" t="str">
        <f>IF(COUNTIF(B$1:B168,B168)=1,MAX(A$1:A167)+1,"")</f>
        <v/>
      </c>
      <c r="B168" s="29" t="s">
        <v>60</v>
      </c>
      <c r="C168" s="11" t="str">
        <f>IF(COUNTIF(D$1:D168,D168)=1,MAX(C$1:C167)+1,"")</f>
        <v/>
      </c>
      <c r="D168" s="12"/>
      <c r="K168" s="28" t="s">
        <v>222</v>
      </c>
      <c r="L168" s="28">
        <v>374</v>
      </c>
      <c r="M168" s="28">
        <v>373</v>
      </c>
      <c r="N168" s="28">
        <v>33</v>
      </c>
      <c r="O168" s="28">
        <v>52</v>
      </c>
    </row>
    <row r="169" spans="1:15" ht="15.75" thickBot="1" x14ac:dyDescent="0.3">
      <c r="A169" t="str">
        <f>IF(COUNTIF(B$1:B169,B169)=1,MAX(A$1:A168)+1,"")</f>
        <v/>
      </c>
      <c r="B169" s="29" t="s">
        <v>61</v>
      </c>
      <c r="C169" s="11" t="str">
        <f>IF(COUNTIF(D$1:D169,D169)=1,MAX(C$1:C168)+1,"")</f>
        <v/>
      </c>
      <c r="D169" s="12"/>
      <c r="K169" s="28" t="s">
        <v>223</v>
      </c>
      <c r="L169" s="28">
        <v>384</v>
      </c>
      <c r="M169" s="28">
        <v>374</v>
      </c>
      <c r="N169" s="28">
        <v>36</v>
      </c>
      <c r="O169" s="28">
        <v>57</v>
      </c>
    </row>
    <row r="170" spans="1:15" ht="15.75" thickBot="1" x14ac:dyDescent="0.3">
      <c r="A170" t="str">
        <f>IF(COUNTIF(B$1:B170,B170)=1,MAX(A$1:A169)+1,"")</f>
        <v/>
      </c>
      <c r="B170" s="29" t="s">
        <v>62</v>
      </c>
      <c r="C170" s="11" t="str">
        <f>IF(COUNTIF(D$1:D170,D170)=1,MAX(C$1:C169)+1,"")</f>
        <v/>
      </c>
      <c r="D170" s="12"/>
      <c r="K170" s="28" t="s">
        <v>224</v>
      </c>
      <c r="L170" s="28">
        <v>396</v>
      </c>
      <c r="M170" s="28">
        <v>375</v>
      </c>
      <c r="N170" s="28">
        <v>39</v>
      </c>
      <c r="O170" s="28">
        <v>63</v>
      </c>
    </row>
    <row r="171" spans="1:15" ht="15.75" thickBot="1" x14ac:dyDescent="0.3">
      <c r="A171" t="str">
        <f>IF(COUNTIF(B$1:B171,B171)=1,MAX(A$1:A170)+1,"")</f>
        <v/>
      </c>
      <c r="B171" s="29" t="s">
        <v>63</v>
      </c>
      <c r="C171" s="11" t="str">
        <f>IF(COUNTIF(D$1:D171,D171)=1,MAX(C$1:C170)+1,"")</f>
        <v/>
      </c>
      <c r="D171" s="12"/>
      <c r="K171" s="27" t="s">
        <v>225</v>
      </c>
      <c r="L171" s="27">
        <v>408</v>
      </c>
      <c r="M171" s="27">
        <v>385</v>
      </c>
      <c r="N171" s="27">
        <v>43</v>
      </c>
      <c r="O171" s="27">
        <v>69</v>
      </c>
    </row>
    <row r="172" spans="1:15" ht="15.75" thickBot="1" x14ac:dyDescent="0.3">
      <c r="A172" t="str">
        <f>IF(COUNTIF(B$1:B172,B172)=1,MAX(A$1:A171)+1,"")</f>
        <v/>
      </c>
      <c r="B172" s="29" t="s">
        <v>64</v>
      </c>
      <c r="C172" s="11" t="str">
        <f>IF(COUNTIF(D$1:D172,D172)=1,MAX(C$1:C171)+1,"")</f>
        <v/>
      </c>
      <c r="D172" s="12"/>
      <c r="K172" s="28" t="s">
        <v>226</v>
      </c>
      <c r="L172" s="28">
        <v>422</v>
      </c>
      <c r="M172" s="28">
        <v>387</v>
      </c>
      <c r="N172" s="28">
        <v>47</v>
      </c>
      <c r="O172" s="28">
        <v>76</v>
      </c>
    </row>
    <row r="173" spans="1:15" ht="15.75" thickBot="1" x14ac:dyDescent="0.3">
      <c r="A173" t="str">
        <f>IF(COUNTIF(B$1:B173,B173)=1,MAX(A$1:A172)+1,"")</f>
        <v/>
      </c>
      <c r="B173" s="29" t="s">
        <v>65</v>
      </c>
      <c r="C173" s="11" t="str">
        <f>IF(COUNTIF(D$1:D173,D173)=1,MAX(C$1:C172)+1,"")</f>
        <v/>
      </c>
      <c r="D173" s="12"/>
      <c r="K173" s="28" t="s">
        <v>227</v>
      </c>
      <c r="L173" s="28">
        <v>440</v>
      </c>
      <c r="M173" s="28">
        <v>389</v>
      </c>
      <c r="N173" s="28">
        <v>52</v>
      </c>
      <c r="O173" s="28">
        <v>85</v>
      </c>
    </row>
    <row r="174" spans="1:15" ht="15.75" thickBot="1" x14ac:dyDescent="0.3">
      <c r="A174" t="str">
        <f>IF(COUNTIF(B$1:B174,B174)=1,MAX(A$1:A173)+1,"")</f>
        <v/>
      </c>
      <c r="B174" s="29" t="s">
        <v>66</v>
      </c>
      <c r="C174" s="11" t="str">
        <f>IF(COUNTIF(D$1:D174,D174)=1,MAX(C$1:C173)+1,"")</f>
        <v/>
      </c>
      <c r="D174" s="12"/>
      <c r="K174" s="28" t="s">
        <v>75</v>
      </c>
      <c r="L174" s="28">
        <v>342</v>
      </c>
      <c r="M174" s="28">
        <v>348</v>
      </c>
      <c r="N174" s="28">
        <v>10</v>
      </c>
      <c r="O174" s="28">
        <v>15</v>
      </c>
    </row>
    <row r="175" spans="1:15" ht="15.75" thickBot="1" x14ac:dyDescent="0.3">
      <c r="A175" t="str">
        <f>IF(COUNTIF(B$1:B175,B175)=1,MAX(A$1:A174)+1,"")</f>
        <v/>
      </c>
      <c r="B175" s="29" t="s">
        <v>67</v>
      </c>
      <c r="C175" s="11" t="str">
        <f>IF(COUNTIF(D$1:D175,D175)=1,MAX(C$1:C174)+1,"")</f>
        <v/>
      </c>
      <c r="D175" s="12"/>
      <c r="K175" s="28" t="s">
        <v>228</v>
      </c>
      <c r="L175" s="28">
        <v>346</v>
      </c>
      <c r="M175" s="28">
        <v>349</v>
      </c>
      <c r="N175" s="28">
        <v>11</v>
      </c>
      <c r="O175" s="28">
        <v>17</v>
      </c>
    </row>
    <row r="176" spans="1:15" ht="15.75" thickBot="1" x14ac:dyDescent="0.3">
      <c r="A176" t="str">
        <f>IF(COUNTIF(B$1:B176,B176)=1,MAX(A$1:A175)+1,"")</f>
        <v/>
      </c>
      <c r="B176" s="29" t="s">
        <v>68</v>
      </c>
      <c r="C176" s="11" t="str">
        <f>IF(COUNTIF(D$1:D176,D176)=1,MAX(C$1:C175)+1,"")</f>
        <v/>
      </c>
      <c r="D176" s="12"/>
      <c r="K176" s="28" t="s">
        <v>85</v>
      </c>
      <c r="L176" s="28">
        <v>350</v>
      </c>
      <c r="M176" s="28">
        <v>350</v>
      </c>
      <c r="N176" s="28">
        <v>12</v>
      </c>
      <c r="O176" s="28">
        <v>19</v>
      </c>
    </row>
    <row r="177" spans="1:15" ht="15.75" thickBot="1" x14ac:dyDescent="0.3">
      <c r="A177" t="str">
        <f>IF(COUNTIF(B$1:B177,B177)=1,MAX(A$1:A176)+1,"")</f>
        <v/>
      </c>
      <c r="B177" s="29" t="s">
        <v>69</v>
      </c>
      <c r="C177" s="11" t="str">
        <f>IF(COUNTIF(D$1:D177,D177)=1,MAX(C$1:C176)+1,"")</f>
        <v/>
      </c>
      <c r="D177" s="12"/>
      <c r="K177" s="28" t="s">
        <v>229</v>
      </c>
      <c r="L177" s="28">
        <v>355</v>
      </c>
      <c r="M177" s="28">
        <v>351</v>
      </c>
      <c r="N177" s="28">
        <v>13.5</v>
      </c>
      <c r="O177" s="28">
        <v>21.5</v>
      </c>
    </row>
    <row r="178" spans="1:15" ht="15.75" thickBot="1" x14ac:dyDescent="0.3">
      <c r="A178" t="str">
        <f>IF(COUNTIF(B$1:B178,B178)=1,MAX(A$1:A177)+1,"")</f>
        <v/>
      </c>
      <c r="B178" s="29" t="s">
        <v>106</v>
      </c>
      <c r="C178" s="11" t="str">
        <f>IF(COUNTIF(D$1:D178,D178)=1,MAX(C$1:C177)+1,"")</f>
        <v/>
      </c>
      <c r="D178" s="12"/>
      <c r="K178" s="28" t="s">
        <v>230</v>
      </c>
      <c r="L178" s="28">
        <v>360</v>
      </c>
      <c r="M178" s="28">
        <v>352</v>
      </c>
      <c r="N178" s="28">
        <v>15</v>
      </c>
      <c r="O178" s="28">
        <v>24</v>
      </c>
    </row>
    <row r="179" spans="1:15" ht="15.75" thickBot="1" x14ac:dyDescent="0.3">
      <c r="A179" t="str">
        <f>IF(COUNTIF(B$1:B179,B179)=1,MAX(A$1:A178)+1,"")</f>
        <v/>
      </c>
      <c r="B179" s="29">
        <v>18</v>
      </c>
      <c r="C179" s="11" t="str">
        <f>IF(COUNTIF(D$1:D179,D179)=1,MAX(C$1:C178)+1,"")</f>
        <v/>
      </c>
      <c r="D179" s="12"/>
      <c r="K179" s="28" t="s">
        <v>231</v>
      </c>
      <c r="L179" s="28">
        <v>365</v>
      </c>
      <c r="M179" s="28">
        <v>353</v>
      </c>
      <c r="N179" s="28">
        <v>16.5</v>
      </c>
      <c r="O179" s="28">
        <v>26.5</v>
      </c>
    </row>
    <row r="180" spans="1:15" ht="15.75" thickBot="1" x14ac:dyDescent="0.3">
      <c r="A180" t="str">
        <f>IF(COUNTIF(B$1:B180,B180)=1,MAX(A$1:A179)+1,"")</f>
        <v/>
      </c>
      <c r="B180" s="29" t="s">
        <v>37</v>
      </c>
      <c r="C180" s="11" t="str">
        <f>IF(COUNTIF(D$1:D180,D180)=1,MAX(C$1:C179)+1,"")</f>
        <v/>
      </c>
      <c r="D180" s="12"/>
      <c r="K180" s="28" t="s">
        <v>232</v>
      </c>
      <c r="L180" s="28">
        <v>369</v>
      </c>
      <c r="M180" s="28">
        <v>360</v>
      </c>
      <c r="N180" s="28">
        <v>18</v>
      </c>
      <c r="O180" s="28">
        <v>28.5</v>
      </c>
    </row>
    <row r="181" spans="1:15" ht="15.75" thickBot="1" x14ac:dyDescent="0.3">
      <c r="A181" t="str">
        <f>IF(COUNTIF(B$1:B181,B181)=1,MAX(A$1:A180)+1,"")</f>
        <v/>
      </c>
      <c r="B181" s="29" t="s">
        <v>38</v>
      </c>
      <c r="C181" s="11" t="str">
        <f>IF(COUNTIF(D$1:D181,D181)=1,MAX(C$1:C180)+1,"")</f>
        <v/>
      </c>
      <c r="D181" s="12"/>
      <c r="K181" s="28" t="s">
        <v>233</v>
      </c>
      <c r="L181" s="28">
        <v>376</v>
      </c>
      <c r="M181" s="28">
        <v>361</v>
      </c>
      <c r="N181" s="28">
        <v>20</v>
      </c>
      <c r="O181" s="28">
        <v>32</v>
      </c>
    </row>
    <row r="182" spans="1:15" ht="15.75" thickBot="1" x14ac:dyDescent="0.3">
      <c r="A182" t="str">
        <f>IF(COUNTIF(B$1:B182,B182)=1,MAX(A$1:A181)+1,"")</f>
        <v/>
      </c>
      <c r="B182" s="29" t="s">
        <v>39</v>
      </c>
      <c r="C182" s="11" t="str">
        <f>IF(COUNTIF(D$1:D182,D182)=1,MAX(C$1:C181)+1,"")</f>
        <v/>
      </c>
      <c r="D182" s="12"/>
      <c r="K182" s="28" t="s">
        <v>234</v>
      </c>
      <c r="L182" s="28">
        <v>382</v>
      </c>
      <c r="M182" s="28">
        <v>362</v>
      </c>
      <c r="N182" s="28">
        <v>22</v>
      </c>
      <c r="O182" s="28">
        <v>35</v>
      </c>
    </row>
    <row r="183" spans="1:15" ht="15.75" thickBot="1" x14ac:dyDescent="0.3">
      <c r="A183" t="str">
        <f>IF(COUNTIF(B$1:B183,B183)=1,MAX(A$1:A182)+1,"")</f>
        <v/>
      </c>
      <c r="B183" s="29" t="s">
        <v>40</v>
      </c>
      <c r="C183" s="11" t="str">
        <f>IF(COUNTIF(D$1:D183,D183)=1,MAX(C$1:C182)+1,"")</f>
        <v/>
      </c>
      <c r="D183" s="12"/>
      <c r="K183" s="28" t="s">
        <v>235</v>
      </c>
      <c r="L183" s="28">
        <v>389</v>
      </c>
      <c r="M183" s="28">
        <v>363</v>
      </c>
      <c r="N183" s="28">
        <v>24</v>
      </c>
      <c r="O183" s="28">
        <v>38.5</v>
      </c>
    </row>
    <row r="184" spans="1:15" ht="15.75" thickBot="1" x14ac:dyDescent="0.3">
      <c r="A184" t="str">
        <f>IF(COUNTIF(B$1:B184,B184)=1,MAX(A$1:A183)+1,"")</f>
        <v/>
      </c>
      <c r="B184" s="29" t="s">
        <v>41</v>
      </c>
      <c r="C184" s="11" t="str">
        <f>IF(COUNTIF(D$1:D184,D184)=1,MAX(C$1:C183)+1,"")</f>
        <v/>
      </c>
      <c r="D184" s="12"/>
      <c r="K184" s="28" t="s">
        <v>236</v>
      </c>
      <c r="L184" s="28">
        <v>396</v>
      </c>
      <c r="M184" s="28">
        <v>364</v>
      </c>
      <c r="N184" s="28">
        <v>26.5</v>
      </c>
      <c r="O184" s="28">
        <v>42</v>
      </c>
    </row>
    <row r="185" spans="1:15" ht="15.75" thickBot="1" x14ac:dyDescent="0.3">
      <c r="A185" t="str">
        <f>IF(COUNTIF(B$1:B185,B185)=1,MAX(A$1:A184)+1,"")</f>
        <v/>
      </c>
      <c r="B185" s="29" t="s">
        <v>42</v>
      </c>
      <c r="C185" s="11" t="str">
        <f>IF(COUNTIF(D$1:D185,D185)=1,MAX(C$1:C184)+1,"")</f>
        <v/>
      </c>
      <c r="D185" s="12"/>
      <c r="K185" s="28" t="s">
        <v>237</v>
      </c>
      <c r="L185" s="28">
        <v>404</v>
      </c>
      <c r="M185" s="28">
        <v>374</v>
      </c>
      <c r="N185" s="28">
        <v>29</v>
      </c>
      <c r="O185" s="28">
        <v>46</v>
      </c>
    </row>
    <row r="186" spans="1:15" ht="15.75" thickBot="1" x14ac:dyDescent="0.3">
      <c r="A186" t="str">
        <f>IF(COUNTIF(B$1:B186,B186)=1,MAX(A$1:A185)+1,"")</f>
        <v/>
      </c>
      <c r="B186" s="29" t="s">
        <v>43</v>
      </c>
      <c r="C186" s="11" t="str">
        <f>IF(COUNTIF(D$1:D186,D186)=1,MAX(C$1:C185)+1,"")</f>
        <v/>
      </c>
      <c r="D186" s="12"/>
      <c r="K186" s="28" t="s">
        <v>238</v>
      </c>
      <c r="L186" s="28">
        <v>414</v>
      </c>
      <c r="M186" s="28">
        <v>375</v>
      </c>
      <c r="N186" s="28">
        <v>32</v>
      </c>
      <c r="O186" s="28">
        <v>51</v>
      </c>
    </row>
    <row r="187" spans="1:15" ht="15.75" thickBot="1" x14ac:dyDescent="0.3">
      <c r="A187" t="str">
        <f>IF(COUNTIF(B$1:B187,B187)=1,MAX(A$1:A186)+1,"")</f>
        <v/>
      </c>
      <c r="B187" s="29" t="s">
        <v>44</v>
      </c>
      <c r="C187" s="11" t="str">
        <f>IF(COUNTIF(D$1:D187,D187)=1,MAX(C$1:C186)+1,"")</f>
        <v/>
      </c>
      <c r="D187" s="12"/>
      <c r="K187" s="28" t="s">
        <v>239</v>
      </c>
      <c r="L187" s="28">
        <v>424</v>
      </c>
      <c r="M187" s="28">
        <v>376</v>
      </c>
      <c r="N187" s="28">
        <v>35</v>
      </c>
      <c r="O187" s="28">
        <v>56</v>
      </c>
    </row>
    <row r="188" spans="1:15" ht="15.75" thickBot="1" x14ac:dyDescent="0.3">
      <c r="A188" t="str">
        <f>IF(COUNTIF(B$1:B188,B188)=1,MAX(A$1:A187)+1,"")</f>
        <v/>
      </c>
      <c r="B188" s="29" t="s">
        <v>45</v>
      </c>
      <c r="C188" s="11" t="str">
        <f>IF(COUNTIF(D$1:D188,D188)=1,MAX(C$1:C187)+1,"")</f>
        <v/>
      </c>
      <c r="D188" s="12"/>
      <c r="K188" s="28" t="s">
        <v>240</v>
      </c>
      <c r="L188" s="28">
        <v>434</v>
      </c>
      <c r="M188" s="28">
        <v>377</v>
      </c>
      <c r="N188" s="28">
        <v>38</v>
      </c>
      <c r="O188" s="28">
        <v>61</v>
      </c>
    </row>
    <row r="189" spans="1:15" ht="15.75" thickBot="1" x14ac:dyDescent="0.3">
      <c r="A189" t="str">
        <f>IF(COUNTIF(B$1:B189,B189)=1,MAX(A$1:A188)+1,"")</f>
        <v/>
      </c>
      <c r="B189" s="29" t="s">
        <v>46</v>
      </c>
      <c r="C189" s="11" t="str">
        <f>IF(COUNTIF(D$1:D189,D189)=1,MAX(C$1:C188)+1,"")</f>
        <v/>
      </c>
      <c r="D189" s="12"/>
      <c r="K189" s="28" t="s">
        <v>241</v>
      </c>
      <c r="L189" s="28">
        <v>446</v>
      </c>
      <c r="M189" s="28">
        <v>378</v>
      </c>
      <c r="N189" s="28">
        <v>42</v>
      </c>
      <c r="O189" s="28">
        <v>67</v>
      </c>
    </row>
    <row r="190" spans="1:15" ht="15.75" thickBot="1" x14ac:dyDescent="0.3">
      <c r="A190" t="str">
        <f>IF(COUNTIF(B$1:B190,B190)=1,MAX(A$1:A189)+1,"")</f>
        <v/>
      </c>
      <c r="B190" s="29" t="s">
        <v>47</v>
      </c>
      <c r="C190" s="11" t="str">
        <f>IF(COUNTIF(D$1:D190,D190)=1,MAX(C$1:C189)+1,"")</f>
        <v/>
      </c>
      <c r="D190" s="12"/>
      <c r="K190" s="28" t="s">
        <v>242</v>
      </c>
      <c r="L190" s="28">
        <v>458</v>
      </c>
      <c r="M190" s="28">
        <v>392</v>
      </c>
      <c r="N190" s="28">
        <v>46</v>
      </c>
      <c r="O190" s="28">
        <v>73</v>
      </c>
    </row>
    <row r="191" spans="1:15" ht="15.75" thickBot="1" x14ac:dyDescent="0.3">
      <c r="A191" t="str">
        <f>IF(COUNTIF(B$1:B191,B191)=1,MAX(A$1:A190)+1,"")</f>
        <v/>
      </c>
      <c r="B191" s="29" t="s">
        <v>48</v>
      </c>
      <c r="C191" s="11" t="str">
        <f>IF(COUNTIF(D$1:D191,D191)=1,MAX(C$1:C190)+1,"")</f>
        <v/>
      </c>
      <c r="D191" s="12"/>
      <c r="K191" s="28" t="s">
        <v>243</v>
      </c>
      <c r="L191" s="28">
        <v>472</v>
      </c>
      <c r="M191" s="28">
        <v>393</v>
      </c>
      <c r="N191" s="28">
        <v>50</v>
      </c>
      <c r="O191" s="28">
        <v>80</v>
      </c>
    </row>
    <row r="192" spans="1:15" ht="15.75" thickBot="1" x14ac:dyDescent="0.3">
      <c r="A192" t="str">
        <f>IF(COUNTIF(B$1:B192,B192)=1,MAX(A$1:A191)+1,"")</f>
        <v/>
      </c>
      <c r="B192" s="29" t="s">
        <v>49</v>
      </c>
      <c r="C192" s="11" t="str">
        <f>IF(COUNTIF(D$1:D192,D192)=1,MAX(C$1:C191)+1,"")</f>
        <v/>
      </c>
      <c r="D192" s="12"/>
      <c r="K192" s="28" t="s">
        <v>244</v>
      </c>
      <c r="L192" s="28">
        <v>488</v>
      </c>
      <c r="M192" s="28">
        <v>394</v>
      </c>
      <c r="N192" s="28">
        <v>55</v>
      </c>
      <c r="O192" s="28">
        <v>88</v>
      </c>
    </row>
    <row r="193" spans="1:15" ht="15.75" thickBot="1" x14ac:dyDescent="0.3">
      <c r="A193" t="str">
        <f>IF(COUNTIF(B$1:B193,B193)=1,MAX(A$1:A192)+1,"")</f>
        <v/>
      </c>
      <c r="B193" s="29" t="s">
        <v>50</v>
      </c>
      <c r="C193" s="11" t="str">
        <f>IF(COUNTIF(D$1:D193,D193)=1,MAX(C$1:C192)+1,"")</f>
        <v/>
      </c>
      <c r="D193" s="12"/>
      <c r="K193" s="28" t="s">
        <v>245</v>
      </c>
      <c r="L193" s="28">
        <v>506</v>
      </c>
      <c r="M193" s="28">
        <v>395</v>
      </c>
      <c r="N193" s="28">
        <v>60</v>
      </c>
      <c r="O193" s="28">
        <v>97</v>
      </c>
    </row>
    <row r="194" spans="1:15" ht="15.75" thickBot="1" x14ac:dyDescent="0.3">
      <c r="A194" t="str">
        <f>IF(COUNTIF(B$1:B194,B194)=1,MAX(A$1:A193)+1,"")</f>
        <v/>
      </c>
      <c r="B194" s="29" t="s">
        <v>121</v>
      </c>
      <c r="C194" s="11" t="str">
        <f>IF(COUNTIF(D$1:D194,D194)=1,MAX(C$1:C193)+1,"")</f>
        <v/>
      </c>
      <c r="D194" s="12"/>
      <c r="K194" s="27" t="s">
        <v>246</v>
      </c>
      <c r="L194" s="27">
        <v>520</v>
      </c>
      <c r="M194" s="27">
        <v>409</v>
      </c>
      <c r="N194" s="27">
        <v>65</v>
      </c>
      <c r="O194" s="27">
        <v>104</v>
      </c>
    </row>
    <row r="195" spans="1:15" ht="15.75" thickBot="1" x14ac:dyDescent="0.3">
      <c r="A195" t="str">
        <f>IF(COUNTIF(B$1:B195,B195)=1,MAX(A$1:A194)+1,"")</f>
        <v/>
      </c>
      <c r="B195" s="29" t="s">
        <v>51</v>
      </c>
      <c r="C195" s="11" t="str">
        <f>IF(COUNTIF(D$1:D195,D195)=1,MAX(C$1:C194)+1,"")</f>
        <v/>
      </c>
      <c r="D195" s="12"/>
      <c r="K195" s="28" t="s">
        <v>247</v>
      </c>
      <c r="L195" s="28">
        <v>540</v>
      </c>
      <c r="M195" s="28">
        <v>411</v>
      </c>
      <c r="N195" s="28">
        <v>71</v>
      </c>
      <c r="O195" s="28">
        <v>114</v>
      </c>
    </row>
    <row r="196" spans="1:15" ht="15.75" thickBot="1" x14ac:dyDescent="0.3">
      <c r="A196" t="str">
        <f>IF(COUNTIF(B$1:B196,B196)=1,MAX(A$1:A195)+1,"")</f>
        <v/>
      </c>
      <c r="B196" s="29" t="s">
        <v>52</v>
      </c>
      <c r="C196" s="11" t="str">
        <f>IF(COUNTIF(D$1:D196,D196)=1,MAX(C$1:C195)+1,"")</f>
        <v/>
      </c>
      <c r="D196" s="12"/>
      <c r="K196" s="28" t="s">
        <v>248</v>
      </c>
      <c r="L196" s="28">
        <v>562</v>
      </c>
      <c r="M196" s="28">
        <v>413</v>
      </c>
      <c r="N196" s="28">
        <v>77</v>
      </c>
      <c r="O196" s="28">
        <v>125</v>
      </c>
    </row>
    <row r="197" spans="1:15" ht="15.75" thickBot="1" x14ac:dyDescent="0.3">
      <c r="A197" t="str">
        <f>IF(COUNTIF(B$1:B197,B197)=1,MAX(A$1:A196)+1,"")</f>
        <v/>
      </c>
      <c r="B197" s="29" t="s">
        <v>53</v>
      </c>
      <c r="C197" s="11" t="str">
        <f>IF(COUNTIF(D$1:D197,D197)=1,MAX(C$1:C196)+1,"")</f>
        <v/>
      </c>
      <c r="D197" s="12"/>
      <c r="K197" s="28" t="s">
        <v>249</v>
      </c>
      <c r="L197" s="28">
        <v>580</v>
      </c>
      <c r="M197" s="28">
        <v>426</v>
      </c>
      <c r="N197" s="28">
        <v>84</v>
      </c>
      <c r="O197" s="28">
        <v>134</v>
      </c>
    </row>
    <row r="198" spans="1:15" ht="15.75" thickBot="1" x14ac:dyDescent="0.3">
      <c r="A198" t="str">
        <f>IF(COUNTIF(B$1:B198,B198)=1,MAX(A$1:A197)+1,"")</f>
        <v/>
      </c>
      <c r="B198" s="29" t="s">
        <v>54</v>
      </c>
      <c r="C198" s="11" t="str">
        <f>IF(COUNTIF(D$1:D198,D198)=1,MAX(C$1:C197)+1,"")</f>
        <v/>
      </c>
      <c r="D198" s="12"/>
      <c r="K198" s="28" t="s">
        <v>250</v>
      </c>
      <c r="L198" s="28">
        <v>604</v>
      </c>
      <c r="M198" s="28">
        <v>430</v>
      </c>
      <c r="N198" s="28">
        <v>92</v>
      </c>
      <c r="O198" s="28">
        <v>146</v>
      </c>
    </row>
    <row r="199" spans="1:15" ht="15.75" thickBot="1" x14ac:dyDescent="0.3">
      <c r="A199" t="str">
        <f>IF(COUNTIF(B$1:B199,B199)=1,MAX(A$1:A198)+1,"")</f>
        <v/>
      </c>
      <c r="B199" s="29" t="s">
        <v>55</v>
      </c>
      <c r="C199" s="11" t="str">
        <f>IF(COUNTIF(D$1:D199,D199)=1,MAX(C$1:C198)+1,"")</f>
        <v/>
      </c>
      <c r="D199" s="12"/>
      <c r="K199" s="28" t="s">
        <v>76</v>
      </c>
      <c r="L199" s="28">
        <v>394</v>
      </c>
      <c r="M199" s="28">
        <v>398</v>
      </c>
      <c r="N199" s="28">
        <v>11</v>
      </c>
      <c r="O199" s="28">
        <v>18</v>
      </c>
    </row>
    <row r="200" spans="1:15" ht="15.75" thickBot="1" x14ac:dyDescent="0.3">
      <c r="A200" t="str">
        <f>IF(COUNTIF(B$1:B200,B200)=1,MAX(A$1:A199)+1,"")</f>
        <v/>
      </c>
      <c r="B200" s="29" t="s">
        <v>56</v>
      </c>
      <c r="C200" s="11" t="str">
        <f>IF(COUNTIF(D$1:D200,D200)=1,MAX(C$1:C199)+1,"")</f>
        <v/>
      </c>
      <c r="D200" s="12"/>
      <c r="K200" s="28" t="s">
        <v>78</v>
      </c>
      <c r="L200" s="28">
        <v>400</v>
      </c>
      <c r="M200" s="28">
        <v>400</v>
      </c>
      <c r="N200" s="28">
        <v>13</v>
      </c>
      <c r="O200" s="28">
        <v>21</v>
      </c>
    </row>
    <row r="201" spans="1:15" ht="15.75" thickBot="1" x14ac:dyDescent="0.3">
      <c r="A201" t="str">
        <f>IF(COUNTIF(B$1:B201,B201)=1,MAX(A$1:A200)+1,"")</f>
        <v/>
      </c>
      <c r="B201" s="29" t="s">
        <v>57</v>
      </c>
      <c r="C201" s="11" t="str">
        <f>IF(COUNTIF(D$1:D201,D201)=1,MAX(C$1:C200)+1,"")</f>
        <v/>
      </c>
      <c r="D201" s="12"/>
      <c r="K201" s="28" t="s">
        <v>86</v>
      </c>
      <c r="L201" s="28">
        <v>406</v>
      </c>
      <c r="M201" s="28">
        <v>403</v>
      </c>
      <c r="N201" s="28">
        <v>16</v>
      </c>
      <c r="O201" s="28">
        <v>24</v>
      </c>
    </row>
    <row r="202" spans="1:15" ht="15.75" thickBot="1" x14ac:dyDescent="0.3">
      <c r="A202" t="str">
        <f>IF(COUNTIF(B$1:B202,B202)=1,MAX(A$1:A201)+1,"")</f>
        <v/>
      </c>
      <c r="B202" s="29" t="s">
        <v>58</v>
      </c>
      <c r="C202" s="11" t="str">
        <f>IF(COUNTIF(D$1:D202,D202)=1,MAX(C$1:C201)+1,"")</f>
        <v/>
      </c>
      <c r="D202" s="12"/>
      <c r="K202" s="28" t="s">
        <v>87</v>
      </c>
      <c r="L202" s="28">
        <v>414</v>
      </c>
      <c r="M202" s="28">
        <v>405</v>
      </c>
      <c r="N202" s="28">
        <v>18</v>
      </c>
      <c r="O202" s="28">
        <v>28</v>
      </c>
    </row>
    <row r="203" spans="1:15" ht="15.75" thickBot="1" x14ac:dyDescent="0.3">
      <c r="A203" t="str">
        <f>IF(COUNTIF(B$1:B203,B203)=1,MAX(A$1:A202)+1,"")</f>
        <v/>
      </c>
      <c r="B203" s="29" t="s">
        <v>59</v>
      </c>
      <c r="C203" s="11" t="str">
        <f>IF(COUNTIF(D$1:D203,D203)=1,MAX(C$1:C202)+1,"")</f>
        <v/>
      </c>
      <c r="D203" s="12"/>
      <c r="K203" s="28" t="s">
        <v>251</v>
      </c>
      <c r="L203" s="28">
        <v>420</v>
      </c>
      <c r="M203" s="28">
        <v>403</v>
      </c>
      <c r="N203" s="28">
        <v>20</v>
      </c>
      <c r="O203" s="28">
        <v>31</v>
      </c>
    </row>
    <row r="204" spans="1:15" ht="15.75" thickBot="1" x14ac:dyDescent="0.3">
      <c r="A204" t="str">
        <f>IF(COUNTIF(B$1:B204,B204)=1,MAX(A$1:A203)+1,"")</f>
        <v/>
      </c>
      <c r="B204" s="29" t="s">
        <v>60</v>
      </c>
      <c r="C204" s="11" t="str">
        <f>IF(COUNTIF(D$1:D204,D204)=1,MAX(C$1:C203)+1,"")</f>
        <v/>
      </c>
      <c r="D204" s="12"/>
      <c r="K204" s="28" t="s">
        <v>252</v>
      </c>
      <c r="L204" s="28">
        <v>429</v>
      </c>
      <c r="M204" s="28">
        <v>400</v>
      </c>
      <c r="N204" s="28">
        <v>23</v>
      </c>
      <c r="O204" s="28">
        <v>35.5</v>
      </c>
    </row>
    <row r="205" spans="1:15" ht="15.75" customHeight="1" thickBot="1" x14ac:dyDescent="0.3">
      <c r="A205" t="str">
        <f>IF(COUNTIF(B$1:B205,B205)=1,MAX(A$1:A204)+1,"")</f>
        <v/>
      </c>
      <c r="B205" s="29" t="s">
        <v>61</v>
      </c>
      <c r="C205" s="11" t="str">
        <f>IF(COUNTIF(D$1:D205,D205)=1,MAX(C$1:C204)+1,"")</f>
        <v/>
      </c>
      <c r="D205" s="12"/>
      <c r="K205" s="28" t="s">
        <v>70</v>
      </c>
      <c r="L205" s="28">
        <v>644</v>
      </c>
      <c r="M205" s="28"/>
      <c r="N205" s="28"/>
      <c r="O205" s="28">
        <v>68</v>
      </c>
    </row>
    <row r="206" spans="1:15" ht="15.75" customHeight="1" thickBot="1" x14ac:dyDescent="0.3">
      <c r="A206" t="str">
        <f>IF(COUNTIF(B$1:B206,B206)=1,MAX(A$1:A205)+1,"")</f>
        <v/>
      </c>
      <c r="B206" s="29" t="s">
        <v>62</v>
      </c>
      <c r="C206" s="11" t="str">
        <f>IF(COUNTIF(D$1:D206,D206)=1,MAX(C$1:C205)+1,"")</f>
        <v/>
      </c>
      <c r="D206" s="12"/>
      <c r="K206" s="28" t="s">
        <v>71</v>
      </c>
      <c r="L206" s="28">
        <v>650</v>
      </c>
      <c r="M206" s="28"/>
      <c r="N206" s="28"/>
      <c r="O206" s="28">
        <v>25</v>
      </c>
    </row>
    <row r="207" spans="1:15" ht="15.75" customHeight="1" thickBot="1" x14ac:dyDescent="0.3">
      <c r="A207" t="str">
        <f>IF(COUNTIF(B$1:B207,B207)=1,MAX(A$1:A206)+1,"")</f>
        <v/>
      </c>
      <c r="B207" s="29" t="s">
        <v>63</v>
      </c>
      <c r="C207" s="11" t="str">
        <f>IF(COUNTIF(D$1:D207,D207)=1,MAX(C$1:C206)+1,"")</f>
        <v/>
      </c>
      <c r="D207" s="12"/>
      <c r="K207" s="28" t="s">
        <v>72</v>
      </c>
      <c r="L207" s="28">
        <v>700</v>
      </c>
      <c r="M207" s="28"/>
      <c r="N207" s="28"/>
      <c r="O207" s="28">
        <v>25</v>
      </c>
    </row>
    <row r="208" spans="1:15" ht="15.75" customHeight="1" thickBot="1" x14ac:dyDescent="0.3">
      <c r="A208" t="str">
        <f>IF(COUNTIF(B$1:B208,B208)=1,MAX(A$1:A207)+1,"")</f>
        <v/>
      </c>
      <c r="B208" s="29" t="s">
        <v>64</v>
      </c>
      <c r="C208" s="11" t="str">
        <f>IF(COUNTIF(D$1:D208,D208)=1,MAX(C$1:C207)+1,"")</f>
        <v/>
      </c>
      <c r="D208" s="12"/>
      <c r="K208" s="28" t="s">
        <v>73</v>
      </c>
      <c r="L208" s="28">
        <v>1000</v>
      </c>
      <c r="M208" s="28"/>
      <c r="N208" s="28"/>
      <c r="O208" s="28">
        <v>32</v>
      </c>
    </row>
    <row r="209" spans="1:15" ht="15.75" customHeight="1" thickBot="1" x14ac:dyDescent="0.3">
      <c r="A209" t="str">
        <f>IF(COUNTIF(B$1:B209,B209)=1,MAX(A$1:A208)+1,"")</f>
        <v/>
      </c>
      <c r="B209" s="29" t="s">
        <v>65</v>
      </c>
      <c r="C209" s="11" t="str">
        <f>IF(COUNTIF(D$1:D209,D209)=1,MAX(C$1:C208)+1,"")</f>
        <v/>
      </c>
      <c r="D209" s="12"/>
      <c r="K209" s="28" t="s">
        <v>304</v>
      </c>
      <c r="L209" s="28">
        <v>1100</v>
      </c>
      <c r="M209" s="28"/>
      <c r="N209" s="28"/>
      <c r="O209" s="28">
        <v>40</v>
      </c>
    </row>
    <row r="210" spans="1:15" ht="15.75" customHeight="1" thickBot="1" x14ac:dyDescent="0.3">
      <c r="A210" t="str">
        <f>IF(COUNTIF(B$1:B210,B210)=1,MAX(A$1:A209)+1,"")</f>
        <v/>
      </c>
      <c r="B210" s="29" t="s">
        <v>66</v>
      </c>
      <c r="C210" s="11" t="str">
        <f>IF(COUNTIF(D$1:D210,D210)=1,MAX(C$1:C209)+1,"")</f>
        <v/>
      </c>
      <c r="D210" s="12"/>
      <c r="K210" s="28" t="s">
        <v>306</v>
      </c>
      <c r="L210" s="28">
        <v>1200</v>
      </c>
      <c r="M210" s="28"/>
      <c r="N210" s="28"/>
      <c r="O210" s="28">
        <v>40</v>
      </c>
    </row>
    <row r="211" spans="1:15" ht="15.75" thickBot="1" x14ac:dyDescent="0.3">
      <c r="A211" t="str">
        <f>IF(COUNTIF(B$1:B211,B211)=1,MAX(A$1:A210)+1,"")</f>
        <v/>
      </c>
      <c r="B211" s="29" t="s">
        <v>67</v>
      </c>
      <c r="C211" s="11" t="str">
        <f>IF(COUNTIF(D$1:D211,D211)=1,MAX(C$1:C210)+1,"")</f>
        <v/>
      </c>
      <c r="D211" s="12"/>
      <c r="K211" s="28" t="s">
        <v>91</v>
      </c>
      <c r="L211" s="28">
        <v>1100</v>
      </c>
      <c r="M211" s="28"/>
      <c r="N211" s="28"/>
      <c r="O211" s="28">
        <v>40</v>
      </c>
    </row>
    <row r="212" spans="1:15" ht="15.75" thickBot="1" x14ac:dyDescent="0.3">
      <c r="A212" t="str">
        <f>IF(COUNTIF(B$1:B212,B212)=1,MAX(A$1:A211)+1,"")</f>
        <v/>
      </c>
      <c r="B212" s="29" t="s">
        <v>68</v>
      </c>
      <c r="C212" s="11" t="str">
        <f>IF(COUNTIF(D$1:D212,D212)=1,MAX(C$1:C211)+1,"")</f>
        <v/>
      </c>
      <c r="D212" s="12"/>
      <c r="K212" s="28" t="s">
        <v>88</v>
      </c>
      <c r="L212" s="28">
        <v>560</v>
      </c>
      <c r="M212" s="28"/>
      <c r="N212" s="28"/>
      <c r="O212" s="28">
        <v>40</v>
      </c>
    </row>
    <row r="213" spans="1:15" ht="15.75" thickBot="1" x14ac:dyDescent="0.3">
      <c r="A213" t="str">
        <f>IF(COUNTIF(B$1:B213,B213)=1,MAX(A$1:A212)+1,"")</f>
        <v/>
      </c>
      <c r="B213" s="29" t="s">
        <v>69</v>
      </c>
      <c r="C213" s="11" t="str">
        <f>IF(COUNTIF(D$1:D213,D213)=1,MAX(C$1:C212)+1,"")</f>
        <v/>
      </c>
      <c r="D213" s="12"/>
      <c r="K213" s="28" t="s">
        <v>89</v>
      </c>
      <c r="L213" s="28">
        <v>610</v>
      </c>
      <c r="M213" s="28"/>
      <c r="N213" s="28"/>
      <c r="O213" s="28">
        <v>50</v>
      </c>
    </row>
    <row r="214" spans="1:15" ht="15.75" thickBot="1" x14ac:dyDescent="0.3">
      <c r="A214" t="str">
        <f>IF(COUNTIF(B$1:B214,B214)=1,MAX(A$1:A213)+1,"")</f>
        <v/>
      </c>
      <c r="B214" s="29" t="s">
        <v>197</v>
      </c>
      <c r="C214" s="11" t="str">
        <f>IF(COUNTIF(D$1:D214,D214)=1,MAX(C$1:C213)+1,"")</f>
        <v/>
      </c>
      <c r="D214" s="12"/>
      <c r="K214" s="28" t="s">
        <v>90</v>
      </c>
      <c r="L214" s="28">
        <v>750</v>
      </c>
      <c r="M214" s="28"/>
      <c r="N214" s="28"/>
      <c r="O214" s="28">
        <v>40</v>
      </c>
    </row>
    <row r="215" spans="1:15" ht="15.75" thickBot="1" x14ac:dyDescent="0.3">
      <c r="A215">
        <f>IF(COUNTIF(B$1:B215,B215)=1,MAX(A$1:A214)+1,"")</f>
        <v>47</v>
      </c>
      <c r="B215" s="29" t="s">
        <v>77</v>
      </c>
      <c r="C215" s="11" t="str">
        <f>IF(COUNTIF(D$1:D215,D215)=1,MAX(C$1:C214)+1,"")</f>
        <v/>
      </c>
      <c r="D215" s="12"/>
      <c r="K215" s="28"/>
      <c r="L215" s="28"/>
      <c r="M215" s="28"/>
      <c r="N215" s="28"/>
      <c r="O215" s="28"/>
    </row>
    <row r="216" spans="1:15" ht="15.75" thickBot="1" x14ac:dyDescent="0.3">
      <c r="A216" t="str">
        <f>IF(COUNTIF(B$1:B216,B216)=1,MAX(A$1:A215)+1,"")</f>
        <v/>
      </c>
      <c r="B216" s="29" t="s">
        <v>76</v>
      </c>
      <c r="C216" s="11" t="str">
        <f>IF(COUNTIF(D$1:D216,D216)=1,MAX(C$1:C215)+1,"")</f>
        <v/>
      </c>
      <c r="D216" s="12"/>
      <c r="K216" s="28"/>
      <c r="L216" s="28"/>
      <c r="M216" s="28"/>
      <c r="N216" s="28"/>
      <c r="O216" s="28"/>
    </row>
    <row r="217" spans="1:15" ht="15.75" thickBot="1" x14ac:dyDescent="0.3">
      <c r="A217">
        <f>IF(COUNTIF(B$1:B217,B217)=1,MAX(A$1:A216)+1,"")</f>
        <v>48</v>
      </c>
      <c r="B217" s="29" t="s">
        <v>78</v>
      </c>
      <c r="C217" s="11" t="str">
        <f>IF(COUNTIF(D$1:D217,D217)=1,MAX(C$1:C216)+1,"")</f>
        <v/>
      </c>
      <c r="D217" s="12"/>
      <c r="K217" s="28"/>
      <c r="L217" s="28"/>
      <c r="M217" s="28"/>
      <c r="N217" s="28"/>
      <c r="O217" s="28"/>
    </row>
    <row r="218" spans="1:15" ht="15.75" thickBot="1" x14ac:dyDescent="0.3">
      <c r="A218" t="str">
        <f>IF(COUNTIF(B$1:B218,B218)=1,MAX(A$1:A217)+1,"")</f>
        <v/>
      </c>
      <c r="B218" s="29"/>
      <c r="C218" s="11" t="str">
        <f>IF(COUNTIF(D$1:D218,D218)=1,MAX(C$1:C217)+1,"")</f>
        <v/>
      </c>
      <c r="D218" s="12"/>
      <c r="K218" s="28"/>
      <c r="L218" s="28"/>
      <c r="M218" s="28"/>
      <c r="N218" s="28"/>
      <c r="O218" s="28"/>
    </row>
    <row r="219" spans="1:15" x14ac:dyDescent="0.25">
      <c r="A219" t="str">
        <f>IF(COUNTIF(B$1:B219,B219)=1,MAX(A$1:A218)+1,"")</f>
        <v/>
      </c>
      <c r="B219" s="29"/>
      <c r="C219" s="11" t="str">
        <f>IF(COUNTIF(D$1:D219,D219)=1,MAX(C$1:C218)+1,"")</f>
        <v/>
      </c>
      <c r="D219" s="12"/>
    </row>
    <row r="220" spans="1:15" x14ac:dyDescent="0.25">
      <c r="A220" t="str">
        <f>IF(COUNTIF(B$1:B220,B220)=1,MAX(A$1:A219)+1,"")</f>
        <v/>
      </c>
      <c r="B220" s="29"/>
      <c r="C220" s="11" t="str">
        <f>IF(COUNTIF(D$1:D220,D220)=1,MAX(C$1:C219)+1,"")</f>
        <v/>
      </c>
      <c r="D220" s="12"/>
    </row>
    <row r="221" spans="1:15" x14ac:dyDescent="0.25">
      <c r="A221" t="str">
        <f>IF(COUNTIF(B$1:B221,B221)=1,MAX(A$1:A220)+1,"")</f>
        <v/>
      </c>
      <c r="B221" s="29"/>
      <c r="C221" s="11" t="str">
        <f>IF(COUNTIF(D$1:D221,D221)=1,MAX(C$1:C220)+1,"")</f>
        <v/>
      </c>
      <c r="D221" s="12"/>
    </row>
    <row r="222" spans="1:15" x14ac:dyDescent="0.25">
      <c r="A222" t="str">
        <f>IF(COUNTIF(B$1:B222,B222)=1,MAX(A$1:A221)+1,"")</f>
        <v/>
      </c>
      <c r="B222" s="29"/>
      <c r="C222" s="11" t="str">
        <f>IF(COUNTIF(D$1:D222,D222)=1,MAX(C$1:C221)+1,"")</f>
        <v/>
      </c>
      <c r="D222" s="12"/>
    </row>
    <row r="223" spans="1:15" x14ac:dyDescent="0.25">
      <c r="A223" t="str">
        <f>IF(COUNTIF(B$1:B223,B223)=1,MAX(A$1:A222)+1,"")</f>
        <v/>
      </c>
      <c r="B223" s="29"/>
      <c r="C223" s="11" t="str">
        <f>IF(COUNTIF(D$1:D223,D223)=1,MAX(C$1:C222)+1,"")</f>
        <v/>
      </c>
      <c r="D223" s="12"/>
    </row>
    <row r="224" spans="1:15" x14ac:dyDescent="0.25">
      <c r="A224" t="str">
        <f>IF(COUNTIF(B$1:B224,B224)=1,MAX(A$1:A223)+1,"")</f>
        <v/>
      </c>
      <c r="B224" s="29" t="s">
        <v>106</v>
      </c>
      <c r="C224" s="11" t="str">
        <f>IF(COUNTIF(D$1:D224,D224)=1,MAX(C$1:C223)+1,"")</f>
        <v/>
      </c>
      <c r="D224" s="12"/>
    </row>
    <row r="225" spans="1:4" x14ac:dyDescent="0.25">
      <c r="A225" t="str">
        <f>IF(COUNTIF(B$1:B225,B225)=1,MAX(A$1:A224)+1,"")</f>
        <v/>
      </c>
      <c r="B225" s="29">
        <v>18</v>
      </c>
      <c r="C225" s="11" t="str">
        <f>IF(COUNTIF(D$1:D225,D225)=1,MAX(C$1:C224)+1,"")</f>
        <v/>
      </c>
      <c r="D225" s="12"/>
    </row>
    <row r="226" spans="1:4" x14ac:dyDescent="0.25">
      <c r="A226" t="str">
        <f>IF(COUNTIF(B$1:B226,B226)=1,MAX(A$1:A225)+1,"")</f>
        <v/>
      </c>
      <c r="B226" s="29" t="s">
        <v>37</v>
      </c>
      <c r="C226" s="11" t="str">
        <f>IF(COUNTIF(D$1:D226,D226)=1,MAX(C$1:C225)+1,"")</f>
        <v/>
      </c>
      <c r="D226" s="12"/>
    </row>
    <row r="227" spans="1:4" x14ac:dyDescent="0.25">
      <c r="A227" t="str">
        <f>IF(COUNTIF(B$1:B227,B227)=1,MAX(A$1:A226)+1,"")</f>
        <v/>
      </c>
      <c r="B227" s="29" t="s">
        <v>38</v>
      </c>
      <c r="C227" s="11" t="str">
        <f>IF(COUNTIF(D$1:D227,D227)=1,MAX(C$1:C226)+1,"")</f>
        <v/>
      </c>
      <c r="D227" s="12"/>
    </row>
    <row r="228" spans="1:4" x14ac:dyDescent="0.25">
      <c r="A228" t="str">
        <f>IF(COUNTIF(B$1:B228,B228)=1,MAX(A$1:A227)+1,"")</f>
        <v/>
      </c>
      <c r="B228" s="29" t="s">
        <v>39</v>
      </c>
      <c r="C228" s="11" t="str">
        <f>IF(COUNTIF(D$1:D228,D228)=1,MAX(C$1:C227)+1,"")</f>
        <v/>
      </c>
      <c r="D228" s="12"/>
    </row>
    <row r="229" spans="1:4" x14ac:dyDescent="0.25">
      <c r="A229" t="str">
        <f>IF(COUNTIF(B$1:B229,B229)=1,MAX(A$1:A228)+1,"")</f>
        <v/>
      </c>
      <c r="B229" s="29" t="s">
        <v>40</v>
      </c>
      <c r="C229" s="11" t="str">
        <f>IF(COUNTIF(D$1:D229,D229)=1,MAX(C$1:C228)+1,"")</f>
        <v/>
      </c>
      <c r="D229" s="12"/>
    </row>
    <row r="230" spans="1:4" x14ac:dyDescent="0.25">
      <c r="A230" t="str">
        <f>IF(COUNTIF(B$1:B230,B230)=1,MAX(A$1:A229)+1,"")</f>
        <v/>
      </c>
      <c r="B230" s="29" t="s">
        <v>41</v>
      </c>
      <c r="C230" s="11" t="str">
        <f>IF(COUNTIF(D$1:D230,D230)=1,MAX(C$1:C229)+1,"")</f>
        <v/>
      </c>
      <c r="D230" s="12"/>
    </row>
    <row r="231" spans="1:4" x14ac:dyDescent="0.25">
      <c r="A231" t="str">
        <f>IF(COUNTIF(B$1:B231,B231)=1,MAX(A$1:A230)+1,"")</f>
        <v/>
      </c>
      <c r="B231" s="29" t="s">
        <v>42</v>
      </c>
      <c r="C231" s="11" t="str">
        <f>IF(COUNTIF(D$1:D231,D231)=1,MAX(C$1:C230)+1,"")</f>
        <v/>
      </c>
      <c r="D231" s="12"/>
    </row>
    <row r="232" spans="1:4" x14ac:dyDescent="0.25">
      <c r="A232" t="str">
        <f>IF(COUNTIF(B$1:B232,B232)=1,MAX(A$1:A231)+1,"")</f>
        <v/>
      </c>
      <c r="B232" s="29" t="s">
        <v>43</v>
      </c>
      <c r="C232" s="11" t="str">
        <f>IF(COUNTIF(D$1:D232,D232)=1,MAX(C$1:C231)+1,"")</f>
        <v/>
      </c>
      <c r="D232" s="12"/>
    </row>
    <row r="233" spans="1:4" x14ac:dyDescent="0.25">
      <c r="A233" t="str">
        <f>IF(COUNTIF(B$1:B233,B233)=1,MAX(A$1:A232)+1,"")</f>
        <v/>
      </c>
      <c r="B233" s="29" t="s">
        <v>44</v>
      </c>
      <c r="C233" s="11" t="str">
        <f>IF(COUNTIF(D$1:D233,D233)=1,MAX(C$1:C232)+1,"")</f>
        <v/>
      </c>
      <c r="D233" s="12"/>
    </row>
    <row r="234" spans="1:4" x14ac:dyDescent="0.25">
      <c r="A234" t="str">
        <f>IF(COUNTIF(B$1:B234,B234)=1,MAX(A$1:A233)+1,"")</f>
        <v/>
      </c>
      <c r="B234" s="29" t="s">
        <v>45</v>
      </c>
      <c r="C234" s="11" t="str">
        <f>IF(COUNTIF(D$1:D234,D234)=1,MAX(C$1:C233)+1,"")</f>
        <v/>
      </c>
      <c r="D234" s="12"/>
    </row>
    <row r="235" spans="1:4" x14ac:dyDescent="0.25">
      <c r="A235" t="str">
        <f>IF(COUNTIF(B$1:B235,B235)=1,MAX(A$1:A234)+1,"")</f>
        <v/>
      </c>
      <c r="B235" s="29" t="s">
        <v>46</v>
      </c>
      <c r="C235" s="11" t="str">
        <f>IF(COUNTIF(D$1:D235,D235)=1,MAX(C$1:C234)+1,"")</f>
        <v/>
      </c>
      <c r="D235" s="12"/>
    </row>
    <row r="236" spans="1:4" x14ac:dyDescent="0.25">
      <c r="A236" t="str">
        <f>IF(COUNTIF(B$1:B236,B236)=1,MAX(A$1:A235)+1,"")</f>
        <v/>
      </c>
      <c r="B236" s="29" t="s">
        <v>47</v>
      </c>
      <c r="C236" s="11" t="str">
        <f>IF(COUNTIF(D$1:D236,D236)=1,MAX(C$1:C235)+1,"")</f>
        <v/>
      </c>
      <c r="D236" s="12"/>
    </row>
    <row r="237" spans="1:4" x14ac:dyDescent="0.25">
      <c r="A237" t="str">
        <f>IF(COUNTIF(B$1:B237,B237)=1,MAX(A$1:A236)+1,"")</f>
        <v/>
      </c>
      <c r="B237" s="29" t="s">
        <v>48</v>
      </c>
      <c r="C237" s="11" t="str">
        <f>IF(COUNTIF(D$1:D237,D237)=1,MAX(C$1:C236)+1,"")</f>
        <v/>
      </c>
      <c r="D237" s="12"/>
    </row>
    <row r="238" spans="1:4" x14ac:dyDescent="0.25">
      <c r="A238" t="str">
        <f>IF(COUNTIF(B$1:B238,B238)=1,MAX(A$1:A237)+1,"")</f>
        <v/>
      </c>
      <c r="B238" s="29" t="s">
        <v>49</v>
      </c>
      <c r="C238" s="11" t="str">
        <f>IF(COUNTIF(D$1:D238,D238)=1,MAX(C$1:C237)+1,"")</f>
        <v/>
      </c>
      <c r="D238" s="12"/>
    </row>
    <row r="239" spans="1:4" x14ac:dyDescent="0.25">
      <c r="A239" t="str">
        <f>IF(COUNTIF(B$1:B239,B239)=1,MAX(A$1:A238)+1,"")</f>
        <v/>
      </c>
      <c r="B239" s="29" t="s">
        <v>50</v>
      </c>
      <c r="C239" s="11" t="str">
        <f>IF(COUNTIF(D$1:D239,D239)=1,MAX(C$1:C238)+1,"")</f>
        <v/>
      </c>
      <c r="D239" s="12"/>
    </row>
    <row r="240" spans="1:4" x14ac:dyDescent="0.25">
      <c r="A240" t="str">
        <f>IF(COUNTIF(B$1:B240,B240)=1,MAX(A$1:A239)+1,"")</f>
        <v/>
      </c>
      <c r="B240" s="29" t="s">
        <v>121</v>
      </c>
      <c r="C240" s="11" t="str">
        <f>IF(COUNTIF(D$1:D240,D240)=1,MAX(C$1:C239)+1,"")</f>
        <v/>
      </c>
      <c r="D240" s="12"/>
    </row>
    <row r="241" spans="1:4" x14ac:dyDescent="0.25">
      <c r="A241" t="str">
        <f>IF(COUNTIF(B$1:B241,B241)=1,MAX(A$1:A240)+1,"")</f>
        <v/>
      </c>
      <c r="B241" s="29" t="s">
        <v>51</v>
      </c>
      <c r="C241" s="11" t="str">
        <f>IF(COUNTIF(D$1:D241,D241)=1,MAX(C$1:C240)+1,"")</f>
        <v/>
      </c>
      <c r="D241" s="12"/>
    </row>
    <row r="242" spans="1:4" x14ac:dyDescent="0.25">
      <c r="A242" t="str">
        <f>IF(COUNTIF(B$1:B242,B242)=1,MAX(A$1:A241)+1,"")</f>
        <v/>
      </c>
      <c r="B242" s="29" t="s">
        <v>52</v>
      </c>
      <c r="C242" s="11" t="str">
        <f>IF(COUNTIF(D$1:D242,D242)=1,MAX(C$1:C241)+1,"")</f>
        <v/>
      </c>
      <c r="D242" s="12"/>
    </row>
    <row r="243" spans="1:4" x14ac:dyDescent="0.25">
      <c r="A243" t="str">
        <f>IF(COUNTIF(B$1:B243,B243)=1,MAX(A$1:A242)+1,"")</f>
        <v/>
      </c>
      <c r="B243" s="29" t="s">
        <v>53</v>
      </c>
      <c r="C243" s="11" t="str">
        <f>IF(COUNTIF(D$1:D243,D243)=1,MAX(C$1:C242)+1,"")</f>
        <v/>
      </c>
      <c r="D243" s="12"/>
    </row>
    <row r="244" spans="1:4" x14ac:dyDescent="0.25">
      <c r="A244" t="str">
        <f>IF(COUNTIF(B$1:B244,B244)=1,MAX(A$1:A243)+1,"")</f>
        <v/>
      </c>
      <c r="B244" s="29" t="s">
        <v>54</v>
      </c>
      <c r="C244" s="11" t="str">
        <f>IF(COUNTIF(D$1:D244,D244)=1,MAX(C$1:C243)+1,"")</f>
        <v/>
      </c>
      <c r="D244" s="12"/>
    </row>
    <row r="245" spans="1:4" x14ac:dyDescent="0.25">
      <c r="A245" t="str">
        <f>IF(COUNTIF(B$1:B245,B245)=1,MAX(A$1:A244)+1,"")</f>
        <v/>
      </c>
      <c r="B245" s="29" t="s">
        <v>55</v>
      </c>
      <c r="C245" s="11" t="str">
        <f>IF(COUNTIF(D$1:D245,D245)=1,MAX(C$1:C244)+1,"")</f>
        <v/>
      </c>
      <c r="D245" s="12"/>
    </row>
    <row r="246" spans="1:4" x14ac:dyDescent="0.25">
      <c r="A246" t="str">
        <f>IF(COUNTIF(B$1:B246,B246)=1,MAX(A$1:A245)+1,"")</f>
        <v/>
      </c>
      <c r="B246" s="29" t="s">
        <v>56</v>
      </c>
      <c r="C246" s="11" t="str">
        <f>IF(COUNTIF(D$1:D246,D246)=1,MAX(C$1:C245)+1,"")</f>
        <v/>
      </c>
      <c r="D246" s="12"/>
    </row>
    <row r="247" spans="1:4" x14ac:dyDescent="0.25">
      <c r="A247" t="str">
        <f>IF(COUNTIF(B$1:B247,B247)=1,MAX(A$1:A246)+1,"")</f>
        <v/>
      </c>
      <c r="B247" s="29" t="s">
        <v>57</v>
      </c>
      <c r="C247" s="11" t="str">
        <f>IF(COUNTIF(D$1:D247,D247)=1,MAX(C$1:C246)+1,"")</f>
        <v/>
      </c>
      <c r="D247" s="12"/>
    </row>
    <row r="248" spans="1:4" x14ac:dyDescent="0.25">
      <c r="A248" t="str">
        <f>IF(COUNTIF(B$1:B248,B248)=1,MAX(A$1:A247)+1,"")</f>
        <v/>
      </c>
      <c r="B248" s="29" t="s">
        <v>58</v>
      </c>
      <c r="C248" s="11" t="str">
        <f>IF(COUNTIF(D$1:D248,D248)=1,MAX(C$1:C247)+1,"")</f>
        <v/>
      </c>
      <c r="D248" s="12"/>
    </row>
    <row r="249" spans="1:4" x14ac:dyDescent="0.25">
      <c r="A249" t="str">
        <f>IF(COUNTIF(B$1:B249,B249)=1,MAX(A$1:A248)+1,"")</f>
        <v/>
      </c>
      <c r="B249" s="29" t="s">
        <v>59</v>
      </c>
      <c r="C249" s="11" t="str">
        <f>IF(COUNTIF(D$1:D249,D249)=1,MAX(C$1:C248)+1,"")</f>
        <v/>
      </c>
      <c r="D249" s="12"/>
    </row>
    <row r="250" spans="1:4" x14ac:dyDescent="0.25">
      <c r="A250" t="str">
        <f>IF(COUNTIF(B$1:B250,B250)=1,MAX(A$1:A249)+1,"")</f>
        <v/>
      </c>
      <c r="B250" s="29" t="s">
        <v>60</v>
      </c>
      <c r="C250" s="11" t="str">
        <f>IF(COUNTIF(D$1:D250,D250)=1,MAX(C$1:C249)+1,"")</f>
        <v/>
      </c>
      <c r="D250" s="12"/>
    </row>
    <row r="251" spans="1:4" x14ac:dyDescent="0.25">
      <c r="A251" t="str">
        <f>IF(COUNTIF(B$1:B251,B251)=1,MAX(A$1:A250)+1,"")</f>
        <v/>
      </c>
      <c r="B251" s="29" t="s">
        <v>61</v>
      </c>
      <c r="C251" s="11" t="str">
        <f>IF(COUNTIF(D$1:D251,D251)=1,MAX(C$1:C250)+1,"")</f>
        <v/>
      </c>
      <c r="D251" s="12"/>
    </row>
    <row r="252" spans="1:4" x14ac:dyDescent="0.25">
      <c r="A252" t="str">
        <f>IF(COUNTIF(B$1:B252,B252)=1,MAX(A$1:A251)+1,"")</f>
        <v/>
      </c>
      <c r="B252" s="29" t="s">
        <v>62</v>
      </c>
      <c r="C252" s="11" t="str">
        <f>IF(COUNTIF(D$1:D252,D252)=1,MAX(C$1:C251)+1,"")</f>
        <v/>
      </c>
      <c r="D252" s="12"/>
    </row>
    <row r="253" spans="1:4" x14ac:dyDescent="0.25">
      <c r="A253" t="str">
        <f>IF(COUNTIF(B$1:B253,B253)=1,MAX(A$1:A252)+1,"")</f>
        <v/>
      </c>
      <c r="B253" s="29" t="s">
        <v>63</v>
      </c>
      <c r="C253" s="11" t="str">
        <f>IF(COUNTIF(D$1:D253,D253)=1,MAX(C$1:C252)+1,"")</f>
        <v/>
      </c>
      <c r="D253" s="12"/>
    </row>
    <row r="254" spans="1:4" x14ac:dyDescent="0.25">
      <c r="A254" t="str">
        <f>IF(COUNTIF(B$1:B254,B254)=1,MAX(A$1:A253)+1,"")</f>
        <v/>
      </c>
      <c r="B254" s="29" t="s">
        <v>64</v>
      </c>
      <c r="C254" s="11" t="str">
        <f>IF(COUNTIF(D$1:D254,D254)=1,MAX(C$1:C253)+1,"")</f>
        <v/>
      </c>
      <c r="D254" s="12"/>
    </row>
    <row r="255" spans="1:4" x14ac:dyDescent="0.25">
      <c r="A255" t="str">
        <f>IF(COUNTIF(B$1:B255,B255)=1,MAX(A$1:A254)+1,"")</f>
        <v/>
      </c>
      <c r="B255" s="29" t="s">
        <v>65</v>
      </c>
      <c r="C255" s="11" t="str">
        <f>IF(COUNTIF(D$1:D255,D255)=1,MAX(C$1:C254)+1,"")</f>
        <v/>
      </c>
      <c r="D255" s="12"/>
    </row>
    <row r="256" spans="1:4" x14ac:dyDescent="0.25">
      <c r="A256" t="str">
        <f>IF(COUNTIF(B$1:B256,B256)=1,MAX(A$1:A255)+1,"")</f>
        <v/>
      </c>
      <c r="B256" s="29" t="s">
        <v>66</v>
      </c>
      <c r="C256" s="11" t="str">
        <f>IF(COUNTIF(D$1:D256,D256)=1,MAX(C$1:C255)+1,"")</f>
        <v/>
      </c>
      <c r="D256" s="12"/>
    </row>
    <row r="257" spans="1:4" x14ac:dyDescent="0.25">
      <c r="A257" t="str">
        <f>IF(COUNTIF(B$1:B257,B257)=1,MAX(A$1:A256)+1,"")</f>
        <v/>
      </c>
      <c r="B257" s="29" t="s">
        <v>67</v>
      </c>
      <c r="C257" s="11" t="str">
        <f>IF(COUNTIF(D$1:D257,D257)=1,MAX(C$1:C256)+1,"")</f>
        <v/>
      </c>
      <c r="D257" s="12"/>
    </row>
    <row r="258" spans="1:4" x14ac:dyDescent="0.25">
      <c r="A258" t="str">
        <f>IF(COUNTIF(B$1:B258,B258)=1,MAX(A$1:A257)+1,"")</f>
        <v/>
      </c>
      <c r="B258" s="29" t="s">
        <v>68</v>
      </c>
      <c r="C258" s="11" t="str">
        <f>IF(COUNTIF(D$1:D258,D258)=1,MAX(C$1:C257)+1,"")</f>
        <v/>
      </c>
      <c r="D258" s="12"/>
    </row>
    <row r="259" spans="1:4" x14ac:dyDescent="0.25">
      <c r="A259" t="str">
        <f>IF(COUNTIF(B$1:B259,B259)=1,MAX(A$1:A258)+1,"")</f>
        <v/>
      </c>
      <c r="B259" s="29" t="s">
        <v>69</v>
      </c>
      <c r="C259" s="11" t="str">
        <f>IF(COUNTIF(D$1:D259,D259)=1,MAX(C$1:C258)+1,"")</f>
        <v/>
      </c>
      <c r="D259" s="12"/>
    </row>
    <row r="260" spans="1:4" x14ac:dyDescent="0.25">
      <c r="A260" t="str">
        <f>IF(COUNTIF(B$1:B260,B260)=1,MAX(A$1:A259)+1,"")</f>
        <v/>
      </c>
      <c r="B260" s="29" t="s">
        <v>197</v>
      </c>
      <c r="C260" s="11" t="str">
        <f>IF(COUNTIF(D$1:D260,D260)=1,MAX(C$1:C259)+1,"")</f>
        <v/>
      </c>
      <c r="D260" s="12"/>
    </row>
    <row r="261" spans="1:4" x14ac:dyDescent="0.25">
      <c r="A261" t="str">
        <f>IF(COUNTIF(B$1:B261,B261)=1,MAX(A$1:A260)+1,"")</f>
        <v/>
      </c>
      <c r="B261" s="29" t="s">
        <v>77</v>
      </c>
      <c r="C261" s="11" t="str">
        <f>IF(COUNTIF(D$1:D261,D261)=1,MAX(C$1:C260)+1,"")</f>
        <v/>
      </c>
      <c r="D261" s="12"/>
    </row>
    <row r="262" spans="1:4" x14ac:dyDescent="0.25">
      <c r="A262" t="str">
        <f>IF(COUNTIF(B$1:B262,B262)=1,MAX(A$1:A261)+1,"")</f>
        <v/>
      </c>
      <c r="B262" s="29" t="s">
        <v>76</v>
      </c>
      <c r="C262" s="11" t="str">
        <f>IF(COUNTIF(D$1:D262,D262)=1,MAX(C$1:C261)+1,"")</f>
        <v/>
      </c>
      <c r="D262" s="12"/>
    </row>
    <row r="263" spans="1:4" x14ac:dyDescent="0.25">
      <c r="A263" t="str">
        <f>IF(COUNTIF(B$1:B263,B263)=1,MAX(A$1:A262)+1,"")</f>
        <v/>
      </c>
      <c r="B263" s="29" t="s">
        <v>78</v>
      </c>
      <c r="C263" s="11" t="str">
        <f>IF(COUNTIF(D$1:D263,D263)=1,MAX(C$1:C262)+1,"")</f>
        <v/>
      </c>
      <c r="D263" s="12"/>
    </row>
    <row r="264" spans="1:4" x14ac:dyDescent="0.25">
      <c r="A264" t="str">
        <f>IF(COUNTIF(B$1:B264,B264)=1,MAX(A$1:A263)+1,"")</f>
        <v/>
      </c>
      <c r="B264" s="29"/>
      <c r="C264" s="11" t="str">
        <f>IF(COUNTIF(D$1:D264,D264)=1,MAX(C$1:C263)+1,"")</f>
        <v/>
      </c>
      <c r="D264" s="12"/>
    </row>
    <row r="265" spans="1:4" x14ac:dyDescent="0.25">
      <c r="A265" t="str">
        <f>IF(COUNTIF(B$1:B265,B265)=1,MAX(A$1:A264)+1,"")</f>
        <v/>
      </c>
      <c r="B265" s="29"/>
      <c r="C265" s="11" t="str">
        <f>IF(COUNTIF(D$1:D265,D265)=1,MAX(C$1:C264)+1,"")</f>
        <v/>
      </c>
      <c r="D265" s="12"/>
    </row>
    <row r="266" spans="1:4" x14ac:dyDescent="0.25">
      <c r="A266" t="str">
        <f>IF(COUNTIF(B$1:B266,B266)=1,MAX(A$1:A265)+1,"")</f>
        <v/>
      </c>
      <c r="B266" s="29"/>
      <c r="C266" s="11" t="str">
        <f>IF(COUNTIF(D$1:D266,D266)=1,MAX(C$1:C265)+1,"")</f>
        <v/>
      </c>
      <c r="D266" s="12"/>
    </row>
    <row r="267" spans="1:4" x14ac:dyDescent="0.25">
      <c r="A267" t="str">
        <f>IF(COUNTIF(B$1:B267,B267)=1,MAX(A$1:A266)+1,"")</f>
        <v/>
      </c>
      <c r="B267" s="29"/>
      <c r="C267" s="11" t="str">
        <f>IF(COUNTIF(D$1:D267,D267)=1,MAX(C$1:C266)+1,"")</f>
        <v/>
      </c>
      <c r="D267" s="12"/>
    </row>
    <row r="268" spans="1:4" x14ac:dyDescent="0.25">
      <c r="A268" t="str">
        <f>IF(COUNTIF(B$1:B268,B268)=1,MAX(A$1:A267)+1,"")</f>
        <v/>
      </c>
      <c r="B268" s="29"/>
      <c r="C268" s="11" t="str">
        <f>IF(COUNTIF(D$1:D268,D268)=1,MAX(C$1:C267)+1,"")</f>
        <v/>
      </c>
      <c r="D268" s="12"/>
    </row>
    <row r="269" spans="1:4" x14ac:dyDescent="0.25">
      <c r="A269" t="str">
        <f>IF(COUNTIF(B$1:B269,B269)=1,MAX(A$1:A268)+1,"")</f>
        <v/>
      </c>
      <c r="B269" s="29"/>
      <c r="C269" s="11" t="str">
        <f>IF(COUNTIF(D$1:D269,D269)=1,MAX(C$1:C268)+1,"")</f>
        <v/>
      </c>
      <c r="D269" s="12"/>
    </row>
    <row r="270" spans="1:4" x14ac:dyDescent="0.25">
      <c r="A270" t="str">
        <f>IF(COUNTIF(B$1:B270,B270)=1,MAX(A$1:A269)+1,"")</f>
        <v/>
      </c>
      <c r="B270" s="29" t="s">
        <v>106</v>
      </c>
      <c r="C270" s="11" t="str">
        <f>IF(COUNTIF(D$1:D270,D270)=1,MAX(C$1:C269)+1,"")</f>
        <v/>
      </c>
      <c r="D270" s="12"/>
    </row>
    <row r="271" spans="1:4" x14ac:dyDescent="0.25">
      <c r="A271" t="str">
        <f>IF(COUNTIF(B$1:B271,B271)=1,MAX(A$1:A270)+1,"")</f>
        <v/>
      </c>
      <c r="B271" s="29">
        <v>18</v>
      </c>
      <c r="C271" s="11" t="str">
        <f>IF(COUNTIF(D$1:D271,D271)=1,MAX(C$1:C270)+1,"")</f>
        <v/>
      </c>
      <c r="D271" s="12"/>
    </row>
    <row r="272" spans="1:4" x14ac:dyDescent="0.25">
      <c r="A272" t="str">
        <f>IF(COUNTIF(B$1:B272,B272)=1,MAX(A$1:A271)+1,"")</f>
        <v/>
      </c>
      <c r="B272" s="29" t="s">
        <v>37</v>
      </c>
      <c r="C272" s="11" t="str">
        <f>IF(COUNTIF(D$1:D272,D272)=1,MAX(C$1:C271)+1,"")</f>
        <v/>
      </c>
      <c r="D272" s="12"/>
    </row>
    <row r="273" spans="1:4" x14ac:dyDescent="0.25">
      <c r="A273" t="str">
        <f>IF(COUNTIF(B$1:B273,B273)=1,MAX(A$1:A272)+1,"")</f>
        <v/>
      </c>
      <c r="B273" s="29" t="s">
        <v>38</v>
      </c>
      <c r="C273" s="11" t="str">
        <f>IF(COUNTIF(D$1:D273,D273)=1,MAX(C$1:C272)+1,"")</f>
        <v/>
      </c>
      <c r="D273" s="12"/>
    </row>
    <row r="274" spans="1:4" x14ac:dyDescent="0.25">
      <c r="A274" t="str">
        <f>IF(COUNTIF(B$1:B274,B274)=1,MAX(A$1:A273)+1,"")</f>
        <v/>
      </c>
      <c r="B274" s="29" t="s">
        <v>39</v>
      </c>
      <c r="C274" s="11" t="str">
        <f>IF(COUNTIF(D$1:D274,D274)=1,MAX(C$1:C273)+1,"")</f>
        <v/>
      </c>
      <c r="D274" s="12"/>
    </row>
    <row r="275" spans="1:4" x14ac:dyDescent="0.25">
      <c r="A275" t="str">
        <f>IF(COUNTIF(B$1:B275,B275)=1,MAX(A$1:A274)+1,"")</f>
        <v/>
      </c>
      <c r="B275" s="29" t="s">
        <v>40</v>
      </c>
      <c r="C275" s="11" t="str">
        <f>IF(COUNTIF(D$1:D275,D275)=1,MAX(C$1:C274)+1,"")</f>
        <v/>
      </c>
      <c r="D275" s="12"/>
    </row>
    <row r="276" spans="1:4" x14ac:dyDescent="0.25">
      <c r="A276" t="str">
        <f>IF(COUNTIF(B$1:B276,B276)=1,MAX(A$1:A275)+1,"")</f>
        <v/>
      </c>
      <c r="B276" s="29" t="s">
        <v>41</v>
      </c>
      <c r="C276" s="11" t="str">
        <f>IF(COUNTIF(D$1:D276,D276)=1,MAX(C$1:C275)+1,"")</f>
        <v/>
      </c>
      <c r="D276" s="12"/>
    </row>
    <row r="277" spans="1:4" x14ac:dyDescent="0.25">
      <c r="A277" t="str">
        <f>IF(COUNTIF(B$1:B277,B277)=1,MAX(A$1:A276)+1,"")</f>
        <v/>
      </c>
      <c r="B277" s="29" t="s">
        <v>42</v>
      </c>
      <c r="C277" s="11" t="str">
        <f>IF(COUNTIF(D$1:D277,D277)=1,MAX(C$1:C276)+1,"")</f>
        <v/>
      </c>
      <c r="D277" s="12"/>
    </row>
    <row r="278" spans="1:4" x14ac:dyDescent="0.25">
      <c r="A278" t="str">
        <f>IF(COUNTIF(B$1:B278,B278)=1,MAX(A$1:A277)+1,"")</f>
        <v/>
      </c>
      <c r="B278" s="29" t="s">
        <v>43</v>
      </c>
      <c r="C278" s="11" t="str">
        <f>IF(COUNTIF(D$1:D278,D278)=1,MAX(C$1:C277)+1,"")</f>
        <v/>
      </c>
      <c r="D278" s="12"/>
    </row>
    <row r="279" spans="1:4" x14ac:dyDescent="0.25">
      <c r="A279" t="str">
        <f>IF(COUNTIF(B$1:B279,B279)=1,MAX(A$1:A278)+1,"")</f>
        <v/>
      </c>
      <c r="B279" s="29" t="s">
        <v>44</v>
      </c>
      <c r="C279" s="11" t="str">
        <f>IF(COUNTIF(D$1:D279,D279)=1,MAX(C$1:C278)+1,"")</f>
        <v/>
      </c>
      <c r="D279" s="12"/>
    </row>
    <row r="280" spans="1:4" x14ac:dyDescent="0.25">
      <c r="A280" t="str">
        <f>IF(COUNTIF(B$1:B280,B280)=1,MAX(A$1:A279)+1,"")</f>
        <v/>
      </c>
      <c r="B280" s="29" t="s">
        <v>45</v>
      </c>
      <c r="C280" s="11" t="str">
        <f>IF(COUNTIF(D$1:D280,D280)=1,MAX(C$1:C279)+1,"")</f>
        <v/>
      </c>
      <c r="D280" s="12"/>
    </row>
    <row r="281" spans="1:4" x14ac:dyDescent="0.25">
      <c r="A281" t="str">
        <f>IF(COUNTIF(B$1:B281,B281)=1,MAX(A$1:A280)+1,"")</f>
        <v/>
      </c>
      <c r="B281" s="29" t="s">
        <v>46</v>
      </c>
      <c r="C281" s="11" t="str">
        <f>IF(COUNTIF(D$1:D281,D281)=1,MAX(C$1:C280)+1,"")</f>
        <v/>
      </c>
      <c r="D281" s="12"/>
    </row>
    <row r="282" spans="1:4" x14ac:dyDescent="0.25">
      <c r="A282" t="str">
        <f>IF(COUNTIF(B$1:B282,B282)=1,MAX(A$1:A281)+1,"")</f>
        <v/>
      </c>
      <c r="B282" s="29" t="s">
        <v>47</v>
      </c>
      <c r="C282" s="11" t="str">
        <f>IF(COUNTIF(D$1:D282,D282)=1,MAX(C$1:C281)+1,"")</f>
        <v/>
      </c>
      <c r="D282" s="12"/>
    </row>
    <row r="283" spans="1:4" x14ac:dyDescent="0.25">
      <c r="A283" t="str">
        <f>IF(COUNTIF(B$1:B283,B283)=1,MAX(A$1:A282)+1,"")</f>
        <v/>
      </c>
      <c r="B283" s="29" t="s">
        <v>48</v>
      </c>
      <c r="C283" s="11" t="str">
        <f>IF(COUNTIF(D$1:D283,D283)=1,MAX(C$1:C282)+1,"")</f>
        <v/>
      </c>
      <c r="D283" s="12"/>
    </row>
    <row r="284" spans="1:4" x14ac:dyDescent="0.25">
      <c r="A284" t="str">
        <f>IF(COUNTIF(B$1:B284,B284)=1,MAX(A$1:A283)+1,"")</f>
        <v/>
      </c>
      <c r="B284" s="29" t="s">
        <v>49</v>
      </c>
      <c r="C284" s="11" t="str">
        <f>IF(COUNTIF(D$1:D284,D284)=1,MAX(C$1:C283)+1,"")</f>
        <v/>
      </c>
      <c r="D284" s="12"/>
    </row>
    <row r="285" spans="1:4" x14ac:dyDescent="0.25">
      <c r="A285" t="str">
        <f>IF(COUNTIF(B$1:B285,B285)=1,MAX(A$1:A284)+1,"")</f>
        <v/>
      </c>
      <c r="B285" s="29" t="s">
        <v>50</v>
      </c>
      <c r="C285" s="11" t="str">
        <f>IF(COUNTIF(D$1:D285,D285)=1,MAX(C$1:C284)+1,"")</f>
        <v/>
      </c>
      <c r="D285" s="12"/>
    </row>
    <row r="286" spans="1:4" x14ac:dyDescent="0.25">
      <c r="A286" t="str">
        <f>IF(COUNTIF(B$1:B286,B286)=1,MAX(A$1:A285)+1,"")</f>
        <v/>
      </c>
      <c r="B286" s="29" t="s">
        <v>121</v>
      </c>
      <c r="C286" s="11" t="str">
        <f>IF(COUNTIF(D$1:D286,D286)=1,MAX(C$1:C285)+1,"")</f>
        <v/>
      </c>
      <c r="D286" s="12"/>
    </row>
    <row r="287" spans="1:4" x14ac:dyDescent="0.25">
      <c r="A287" t="str">
        <f>IF(COUNTIF(B$1:B287,B287)=1,MAX(A$1:A286)+1,"")</f>
        <v/>
      </c>
      <c r="B287" s="29" t="s">
        <v>51</v>
      </c>
      <c r="C287" s="11" t="str">
        <f>IF(COUNTIF(D$1:D287,D287)=1,MAX(C$1:C286)+1,"")</f>
        <v/>
      </c>
      <c r="D287" s="12"/>
    </row>
    <row r="288" spans="1:4" x14ac:dyDescent="0.25">
      <c r="A288" t="str">
        <f>IF(COUNTIF(B$1:B288,B288)=1,MAX(A$1:A287)+1,"")</f>
        <v/>
      </c>
      <c r="B288" s="29" t="s">
        <v>52</v>
      </c>
      <c r="C288" s="11" t="str">
        <f>IF(COUNTIF(D$1:D288,D288)=1,MAX(C$1:C287)+1,"")</f>
        <v/>
      </c>
      <c r="D288" s="12"/>
    </row>
    <row r="289" spans="1:4" x14ac:dyDescent="0.25">
      <c r="A289" t="str">
        <f>IF(COUNTIF(B$1:B289,B289)=1,MAX(A$1:A288)+1,"")</f>
        <v/>
      </c>
      <c r="B289" s="29" t="s">
        <v>53</v>
      </c>
      <c r="C289" s="11" t="str">
        <f>IF(COUNTIF(D$1:D289,D289)=1,MAX(C$1:C288)+1,"")</f>
        <v/>
      </c>
      <c r="D289" s="12"/>
    </row>
    <row r="290" spans="1:4" x14ac:dyDescent="0.25">
      <c r="A290" t="str">
        <f>IF(COUNTIF(B$1:B290,B290)=1,MAX(A$1:A289)+1,"")</f>
        <v/>
      </c>
      <c r="B290" s="29" t="s">
        <v>54</v>
      </c>
      <c r="C290" s="11" t="str">
        <f>IF(COUNTIF(D$1:D290,D290)=1,MAX(C$1:C289)+1,"")</f>
        <v/>
      </c>
      <c r="D290" s="12"/>
    </row>
    <row r="291" spans="1:4" x14ac:dyDescent="0.25">
      <c r="A291" t="str">
        <f>IF(COUNTIF(B$1:B291,B291)=1,MAX(A$1:A290)+1,"")</f>
        <v/>
      </c>
      <c r="B291" s="29" t="s">
        <v>55</v>
      </c>
      <c r="C291" s="11" t="str">
        <f>IF(COUNTIF(D$1:D291,D291)=1,MAX(C$1:C290)+1,"")</f>
        <v/>
      </c>
      <c r="D291" s="12"/>
    </row>
    <row r="292" spans="1:4" x14ac:dyDescent="0.25">
      <c r="A292" t="str">
        <f>IF(COUNTIF(B$1:B292,B292)=1,MAX(A$1:A291)+1,"")</f>
        <v/>
      </c>
      <c r="B292" s="29" t="s">
        <v>56</v>
      </c>
      <c r="C292" s="11" t="str">
        <f>IF(COUNTIF(D$1:D292,D292)=1,MAX(C$1:C291)+1,"")</f>
        <v/>
      </c>
      <c r="D292" s="12"/>
    </row>
    <row r="293" spans="1:4" x14ac:dyDescent="0.25">
      <c r="A293" t="str">
        <f>IF(COUNTIF(B$1:B293,B293)=1,MAX(A$1:A292)+1,"")</f>
        <v/>
      </c>
      <c r="B293" s="29" t="s">
        <v>57</v>
      </c>
      <c r="C293" s="11" t="str">
        <f>IF(COUNTIF(D$1:D293,D293)=1,MAX(C$1:C292)+1,"")</f>
        <v/>
      </c>
      <c r="D293" s="12"/>
    </row>
    <row r="294" spans="1:4" x14ac:dyDescent="0.25">
      <c r="A294" t="str">
        <f>IF(COUNTIF(B$1:B294,B294)=1,MAX(A$1:A293)+1,"")</f>
        <v/>
      </c>
      <c r="B294" s="29" t="s">
        <v>58</v>
      </c>
      <c r="C294" s="11" t="str">
        <f>IF(COUNTIF(D$1:D294,D294)=1,MAX(C$1:C293)+1,"")</f>
        <v/>
      </c>
      <c r="D294" s="12"/>
    </row>
    <row r="295" spans="1:4" x14ac:dyDescent="0.25">
      <c r="A295" t="str">
        <f>IF(COUNTIF(B$1:B295,B295)=1,MAX(A$1:A294)+1,"")</f>
        <v/>
      </c>
      <c r="B295" s="29" t="s">
        <v>59</v>
      </c>
      <c r="C295" s="11" t="str">
        <f>IF(COUNTIF(D$1:D295,D295)=1,MAX(C$1:C294)+1,"")</f>
        <v/>
      </c>
      <c r="D295" s="12"/>
    </row>
    <row r="296" spans="1:4" x14ac:dyDescent="0.25">
      <c r="A296" t="str">
        <f>IF(COUNTIF(B$1:B296,B296)=1,MAX(A$1:A295)+1,"")</f>
        <v/>
      </c>
      <c r="B296" s="29" t="s">
        <v>60</v>
      </c>
      <c r="C296" s="11" t="str">
        <f>IF(COUNTIF(D$1:D296,D296)=1,MAX(C$1:C295)+1,"")</f>
        <v/>
      </c>
      <c r="D296" s="12"/>
    </row>
    <row r="297" spans="1:4" x14ac:dyDescent="0.25">
      <c r="A297" t="str">
        <f>IF(COUNTIF(B$1:B297,B297)=1,MAX(A$1:A296)+1,"")</f>
        <v/>
      </c>
      <c r="B297" s="29" t="s">
        <v>61</v>
      </c>
      <c r="C297" s="11" t="str">
        <f>IF(COUNTIF(D$1:D297,D297)=1,MAX(C$1:C296)+1,"")</f>
        <v/>
      </c>
      <c r="D297" s="12"/>
    </row>
    <row r="298" spans="1:4" x14ac:dyDescent="0.25">
      <c r="A298" t="str">
        <f>IF(COUNTIF(B$1:B298,B298)=1,MAX(A$1:A297)+1,"")</f>
        <v/>
      </c>
      <c r="B298" s="29" t="s">
        <v>62</v>
      </c>
      <c r="C298" s="11" t="str">
        <f>IF(COUNTIF(D$1:D298,D298)=1,MAX(C$1:C297)+1,"")</f>
        <v/>
      </c>
      <c r="D298" s="12"/>
    </row>
    <row r="299" spans="1:4" x14ac:dyDescent="0.25">
      <c r="A299" t="str">
        <f>IF(COUNTIF(B$1:B299,B299)=1,MAX(A$1:A298)+1,"")</f>
        <v/>
      </c>
      <c r="B299" s="29" t="s">
        <v>63</v>
      </c>
      <c r="C299" s="11" t="str">
        <f>IF(COUNTIF(D$1:D299,D299)=1,MAX(C$1:C298)+1,"")</f>
        <v/>
      </c>
      <c r="D299" s="12"/>
    </row>
    <row r="300" spans="1:4" x14ac:dyDescent="0.25">
      <c r="A300" t="str">
        <f>IF(COUNTIF(B$1:B300,B300)=1,MAX(A$1:A299)+1,"")</f>
        <v/>
      </c>
      <c r="B300" s="29" t="s">
        <v>64</v>
      </c>
      <c r="C300" s="11" t="str">
        <f>IF(COUNTIF(D$1:D300,D300)=1,MAX(C$1:C299)+1,"")</f>
        <v/>
      </c>
      <c r="D300" s="12"/>
    </row>
    <row r="301" spans="1:4" x14ac:dyDescent="0.25">
      <c r="A301" t="str">
        <f>IF(COUNTIF(B$1:B301,B301)=1,MAX(A$1:A300)+1,"")</f>
        <v/>
      </c>
      <c r="B301" s="29" t="s">
        <v>65</v>
      </c>
      <c r="C301" s="11" t="str">
        <f>IF(COUNTIF(D$1:D301,D301)=1,MAX(C$1:C300)+1,"")</f>
        <v/>
      </c>
      <c r="D301" s="12"/>
    </row>
    <row r="302" spans="1:4" x14ac:dyDescent="0.25">
      <c r="A302" t="str">
        <f>IF(COUNTIF(B$1:B302,B302)=1,MAX(A$1:A301)+1,"")</f>
        <v/>
      </c>
      <c r="B302" s="29" t="s">
        <v>66</v>
      </c>
      <c r="C302" s="11" t="str">
        <f>IF(COUNTIF(D$1:D302,D302)=1,MAX(C$1:C301)+1,"")</f>
        <v/>
      </c>
      <c r="D302" s="12"/>
    </row>
    <row r="303" spans="1:4" x14ac:dyDescent="0.25">
      <c r="A303" t="str">
        <f>IF(COUNTIF(B$1:B303,B303)=1,MAX(A$1:A302)+1,"")</f>
        <v/>
      </c>
      <c r="B303" s="29" t="s">
        <v>67</v>
      </c>
      <c r="C303" s="11" t="str">
        <f>IF(COUNTIF(D$1:D303,D303)=1,MAX(C$1:C302)+1,"")</f>
        <v/>
      </c>
      <c r="D303" s="12"/>
    </row>
    <row r="304" spans="1:4" x14ac:dyDescent="0.25">
      <c r="A304" t="str">
        <f>IF(COUNTIF(B$1:B304,B304)=1,MAX(A$1:A303)+1,"")</f>
        <v/>
      </c>
      <c r="B304" s="29" t="s">
        <v>68</v>
      </c>
      <c r="C304" s="11" t="str">
        <f>IF(COUNTIF(D$1:D304,D304)=1,MAX(C$1:C303)+1,"")</f>
        <v/>
      </c>
      <c r="D304" s="12"/>
    </row>
    <row r="305" spans="1:4" x14ac:dyDescent="0.25">
      <c r="A305" t="str">
        <f>IF(COUNTIF(B$1:B305,B305)=1,MAX(A$1:A304)+1,"")</f>
        <v/>
      </c>
      <c r="B305" s="29" t="s">
        <v>69</v>
      </c>
      <c r="C305" s="11" t="str">
        <f>IF(COUNTIF(D$1:D305,D305)=1,MAX(C$1:C304)+1,"")</f>
        <v/>
      </c>
      <c r="D305" s="12"/>
    </row>
    <row r="306" spans="1:4" x14ac:dyDescent="0.25">
      <c r="A306" t="str">
        <f>IF(COUNTIF(B$1:B306,B306)=1,MAX(A$1:A305)+1,"")</f>
        <v/>
      </c>
      <c r="B306" s="29"/>
      <c r="C306" s="11" t="str">
        <f>IF(COUNTIF(D$1:D306,D306)=1,MAX(C$1:C305)+1,"")</f>
        <v/>
      </c>
      <c r="D306" s="12"/>
    </row>
    <row r="307" spans="1:4" x14ac:dyDescent="0.25">
      <c r="A307" t="str">
        <f>IF(COUNTIF(B$1:B307,B307)=1,MAX(A$1:A306)+1,"")</f>
        <v/>
      </c>
      <c r="B307" s="29"/>
      <c r="C307" s="11" t="str">
        <f>IF(COUNTIF(D$1:D307,D307)=1,MAX(C$1:C306)+1,"")</f>
        <v/>
      </c>
      <c r="D307" s="12"/>
    </row>
    <row r="308" spans="1:4" x14ac:dyDescent="0.25">
      <c r="A308" t="str">
        <f>IF(COUNTIF(B$1:B308,B308)=1,MAX(A$1:A307)+1,"")</f>
        <v/>
      </c>
      <c r="B308" s="29"/>
      <c r="C308" s="11" t="str">
        <f>IF(COUNTIF(D$1:D308,D308)=1,MAX(C$1:C307)+1,"")</f>
        <v/>
      </c>
      <c r="D308" s="12"/>
    </row>
    <row r="309" spans="1:4" x14ac:dyDescent="0.25">
      <c r="A309" t="str">
        <f>IF(COUNTIF(B$1:B309,B309)=1,MAX(A$1:A308)+1,"")</f>
        <v/>
      </c>
      <c r="B309" s="29"/>
      <c r="C309" s="11" t="str">
        <f>IF(COUNTIF(D$1:D309,D309)=1,MAX(C$1:C308)+1,"")</f>
        <v/>
      </c>
      <c r="D309" s="12"/>
    </row>
    <row r="310" spans="1:4" x14ac:dyDescent="0.25">
      <c r="A310" t="str">
        <f>IF(COUNTIF(B$1:B310,B310)=1,MAX(A$1:A309)+1,"")</f>
        <v/>
      </c>
      <c r="B310" s="29"/>
      <c r="C310" s="11" t="str">
        <f>IF(COUNTIF(D$1:D310,D310)=1,MAX(C$1:C309)+1,"")</f>
        <v/>
      </c>
      <c r="D310" s="12"/>
    </row>
    <row r="311" spans="1:4" x14ac:dyDescent="0.25">
      <c r="A311">
        <f>IF(COUNTIF(B$1:B311,B311)=1,MAX(A$1:A310)+1,"")</f>
        <v>49</v>
      </c>
      <c r="B311" s="29" t="s">
        <v>308</v>
      </c>
      <c r="C311" s="11" t="str">
        <f>IF(COUNTIF(D$1:D311,D311)=1,MAX(C$1:C310)+1,"")</f>
        <v/>
      </c>
      <c r="D311" s="12"/>
    </row>
    <row r="312" spans="1:4" x14ac:dyDescent="0.25">
      <c r="A312">
        <f>IF(COUNTIF(B$1:B312,B312)=1,MAX(A$1:A311)+1,"")</f>
        <v>50</v>
      </c>
      <c r="B312" s="29" t="s">
        <v>310</v>
      </c>
      <c r="C312" s="11" t="str">
        <f>IF(COUNTIF(D$1:D312,D312)=1,MAX(C$1:C311)+1,"")</f>
        <v/>
      </c>
      <c r="D312" s="12"/>
    </row>
    <row r="313" spans="1:4" x14ac:dyDescent="0.25">
      <c r="A313">
        <f>IF(COUNTIF(B$1:B313,B313)=1,MAX(A$1:A312)+1,"")</f>
        <v>51</v>
      </c>
      <c r="B313" s="29" t="s">
        <v>312</v>
      </c>
      <c r="C313" s="11" t="str">
        <f>IF(COUNTIF(D$1:D313,D313)=1,MAX(C$1:C312)+1,"")</f>
        <v/>
      </c>
      <c r="D313" s="12"/>
    </row>
    <row r="314" spans="1:4" x14ac:dyDescent="0.25">
      <c r="A314">
        <f>IF(COUNTIF(B$1:B314,B314)=1,MAX(A$1:A313)+1,"")</f>
        <v>52</v>
      </c>
      <c r="B314" s="29" t="s">
        <v>314</v>
      </c>
      <c r="C314" s="11" t="str">
        <f>IF(COUNTIF(D$1:D314,D314)=1,MAX(C$1:C313)+1,"")</f>
        <v/>
      </c>
      <c r="D314" s="12"/>
    </row>
    <row r="315" spans="1:4" x14ac:dyDescent="0.25">
      <c r="A315">
        <f>IF(COUNTIF(B$1:B315,B315)=1,MAX(A$1:A314)+1,"")</f>
        <v>53</v>
      </c>
      <c r="B315" s="29" t="s">
        <v>316</v>
      </c>
      <c r="C315" s="11" t="str">
        <f>IF(COUNTIF(D$1:D315,D315)=1,MAX(C$1:C314)+1,"")</f>
        <v/>
      </c>
      <c r="D315" s="12"/>
    </row>
    <row r="316" spans="1:4" x14ac:dyDescent="0.25">
      <c r="A316">
        <f>IF(COUNTIF(B$1:B316,B316)=1,MAX(A$1:A315)+1,"")</f>
        <v>54</v>
      </c>
      <c r="B316" s="29" t="s">
        <v>318</v>
      </c>
      <c r="C316" s="11" t="str">
        <f>IF(COUNTIF(D$1:D316,D316)=1,MAX(C$1:C315)+1,"")</f>
        <v/>
      </c>
      <c r="D316" s="12"/>
    </row>
    <row r="317" spans="1:4" x14ac:dyDescent="0.25">
      <c r="A317">
        <f>IF(COUNTIF(B$1:B317,B317)=1,MAX(A$1:A316)+1,"")</f>
        <v>55</v>
      </c>
      <c r="B317" s="29" t="s">
        <v>320</v>
      </c>
      <c r="C317" s="11" t="str">
        <f>IF(COUNTIF(D$1:D317,D317)=1,MAX(C$1:C316)+1,"")</f>
        <v/>
      </c>
      <c r="D317" s="12"/>
    </row>
    <row r="318" spans="1:4" x14ac:dyDescent="0.25">
      <c r="A318">
        <f>IF(COUNTIF(B$1:B318,B318)=1,MAX(A$1:A317)+1,"")</f>
        <v>56</v>
      </c>
      <c r="B318" s="29" t="s">
        <v>322</v>
      </c>
      <c r="C318" s="11" t="str">
        <f>IF(COUNTIF(D$1:D318,D318)=1,MAX(C$1:C317)+1,"")</f>
        <v/>
      </c>
      <c r="D318" s="12"/>
    </row>
    <row r="319" spans="1:4" x14ac:dyDescent="0.25">
      <c r="A319" t="str">
        <f>IF(COUNTIF(B$1:B319,B319)=1,MAX(A$1:A318)+1,"")</f>
        <v/>
      </c>
      <c r="B319" s="29"/>
      <c r="C319" s="11" t="str">
        <f>IF(COUNTIF(D$1:D319,D319)=1,MAX(C$1:C318)+1,"")</f>
        <v/>
      </c>
      <c r="D319" s="12"/>
    </row>
    <row r="320" spans="1:4" x14ac:dyDescent="0.25">
      <c r="A320" t="str">
        <f>IF(COUNTIF(B$1:B320,B320)=1,MAX(A$1:A319)+1,"")</f>
        <v/>
      </c>
      <c r="B320" s="29" t="s">
        <v>308</v>
      </c>
      <c r="C320" s="11" t="str">
        <f>IF(COUNTIF(D$1:D320,D320)=1,MAX(C$1:C319)+1,"")</f>
        <v/>
      </c>
      <c r="D320" s="12"/>
    </row>
    <row r="321" spans="1:4" x14ac:dyDescent="0.25">
      <c r="A321" t="str">
        <f>IF(COUNTIF(B$1:B321,B321)=1,MAX(A$1:A320)+1,"")</f>
        <v/>
      </c>
      <c r="B321" s="29" t="s">
        <v>310</v>
      </c>
      <c r="C321" s="11" t="str">
        <f>IF(COUNTIF(D$1:D321,D321)=1,MAX(C$1:C320)+1,"")</f>
        <v/>
      </c>
      <c r="D321" s="12"/>
    </row>
    <row r="322" spans="1:4" x14ac:dyDescent="0.25">
      <c r="A322" t="str">
        <f>IF(COUNTIF(B$1:B322,B322)=1,MAX(A$1:A321)+1,"")</f>
        <v/>
      </c>
      <c r="B322" s="29" t="s">
        <v>312</v>
      </c>
      <c r="C322" s="11" t="str">
        <f>IF(COUNTIF(D$1:D322,D322)=1,MAX(C$1:C321)+1,"")</f>
        <v/>
      </c>
      <c r="D322" s="12"/>
    </row>
    <row r="323" spans="1:4" x14ac:dyDescent="0.25">
      <c r="A323" t="str">
        <f>IF(COUNTIF(B$1:B323,B323)=1,MAX(A$1:A322)+1,"")</f>
        <v/>
      </c>
      <c r="B323" s="29" t="s">
        <v>314</v>
      </c>
      <c r="C323" s="11" t="str">
        <f>IF(COUNTIF(D$1:D323,D323)=1,MAX(C$1:C322)+1,"")</f>
        <v/>
      </c>
      <c r="D323" s="12"/>
    </row>
    <row r="324" spans="1:4" x14ac:dyDescent="0.25">
      <c r="A324" t="str">
        <f>IF(COUNTIF(B$1:B324,B324)=1,MAX(A$1:A323)+1,"")</f>
        <v/>
      </c>
      <c r="B324" s="29" t="s">
        <v>316</v>
      </c>
      <c r="C324" s="11" t="str">
        <f>IF(COUNTIF(D$1:D324,D324)=1,MAX(C$1:C323)+1,"")</f>
        <v/>
      </c>
      <c r="D324" s="12"/>
    </row>
    <row r="325" spans="1:4" x14ac:dyDescent="0.25">
      <c r="A325" t="str">
        <f>IF(COUNTIF(B$1:B325,B325)=1,MAX(A$1:A324)+1,"")</f>
        <v/>
      </c>
      <c r="B325" s="29" t="s">
        <v>318</v>
      </c>
      <c r="C325" s="11" t="str">
        <f>IF(COUNTIF(D$1:D325,D325)=1,MAX(C$1:C324)+1,"")</f>
        <v/>
      </c>
      <c r="D325" s="12"/>
    </row>
    <row r="326" spans="1:4" x14ac:dyDescent="0.25">
      <c r="A326" t="str">
        <f>IF(COUNTIF(B$1:B326,B326)=1,MAX(A$1:A325)+1,"")</f>
        <v/>
      </c>
      <c r="B326" s="29" t="s">
        <v>320</v>
      </c>
      <c r="C326" s="11" t="str">
        <f>IF(COUNTIF(D$1:D326,D326)=1,MAX(C$1:C325)+1,"")</f>
        <v/>
      </c>
      <c r="D326" s="12"/>
    </row>
    <row r="327" spans="1:4" x14ac:dyDescent="0.25">
      <c r="A327" t="str">
        <f>IF(COUNTIF(B$1:B327,B327)=1,MAX(A$1:A326)+1,"")</f>
        <v/>
      </c>
      <c r="B327" s="29" t="s">
        <v>322</v>
      </c>
      <c r="C327" s="11" t="str">
        <f>IF(COUNTIF(D$1:D327,D327)=1,MAX(C$1:C326)+1,"")</f>
        <v/>
      </c>
      <c r="D327" s="12"/>
    </row>
    <row r="328" spans="1:4" x14ac:dyDescent="0.25">
      <c r="A328" t="str">
        <f>IF(COUNTIF(B$1:B328,B328)=1,MAX(A$1:A327)+1,"")</f>
        <v/>
      </c>
      <c r="B328" s="29" t="s">
        <v>106</v>
      </c>
      <c r="C328" s="11" t="str">
        <f>IF(COUNTIF(D$1:D328,D328)=1,MAX(C$1:C327)+1,"")</f>
        <v/>
      </c>
      <c r="D328" s="12"/>
    </row>
    <row r="329" spans="1:4" x14ac:dyDescent="0.25">
      <c r="A329" t="str">
        <f>IF(COUNTIF(B$1:B329,B329)=1,MAX(A$1:A328)+1,"")</f>
        <v/>
      </c>
      <c r="B329" s="29">
        <v>18</v>
      </c>
      <c r="C329" s="11" t="str">
        <f>IF(COUNTIF(D$1:D329,D329)=1,MAX(C$1:C328)+1,"")</f>
        <v/>
      </c>
      <c r="D329" s="12"/>
    </row>
    <row r="330" spans="1:4" x14ac:dyDescent="0.25">
      <c r="A330" t="str">
        <f>IF(COUNTIF(B$1:B330,B330)=1,MAX(A$1:A329)+1,"")</f>
        <v/>
      </c>
      <c r="B330" s="29"/>
      <c r="C330" s="11" t="str">
        <f>IF(COUNTIF(D$1:D330,D330)=1,MAX(C$1:C329)+1,"")</f>
        <v/>
      </c>
      <c r="D330" s="12"/>
    </row>
    <row r="331" spans="1:4" x14ac:dyDescent="0.25">
      <c r="A331" t="str">
        <f>IF(COUNTIF(B$1:B331,B331)=1,MAX(A$1:A330)+1,"")</f>
        <v/>
      </c>
      <c r="B331" t="s">
        <v>106</v>
      </c>
      <c r="C331" s="11" t="str">
        <f>IF(COUNTIF(D$1:D331,D331)=1,MAX(C$1:C330)+1,"")</f>
        <v/>
      </c>
      <c r="D331" s="12"/>
    </row>
    <row r="332" spans="1:4" x14ac:dyDescent="0.25">
      <c r="A332" t="str">
        <f>IF(COUNTIF(B$1:B332,B332)=1,MAX(A$1:A331)+1,"")</f>
        <v/>
      </c>
      <c r="B332">
        <v>18</v>
      </c>
      <c r="C332" s="11" t="str">
        <f>IF(COUNTIF(D$1:D332,D332)=1,MAX(C$1:C331)+1,"")</f>
        <v/>
      </c>
      <c r="D332" s="12"/>
    </row>
    <row r="333" spans="1:4" x14ac:dyDescent="0.25">
      <c r="A333" t="str">
        <f>IF(COUNTIF(B$1:B333,B333)=1,MAX(A$1:A332)+1,"")</f>
        <v/>
      </c>
      <c r="B333" t="s">
        <v>37</v>
      </c>
      <c r="C333" s="11" t="str">
        <f>IF(COUNTIF(D$1:D333,D333)=1,MAX(C$1:C332)+1,"")</f>
        <v/>
      </c>
      <c r="D333" s="12"/>
    </row>
    <row r="334" spans="1:4" x14ac:dyDescent="0.25">
      <c r="A334" t="str">
        <f>IF(COUNTIF(B$1:B334,B334)=1,MAX(A$1:A333)+1,"")</f>
        <v/>
      </c>
      <c r="B334" t="s">
        <v>38</v>
      </c>
      <c r="C334" s="11" t="str">
        <f>IF(COUNTIF(D$1:D334,D334)=1,MAX(C$1:C333)+1,"")</f>
        <v/>
      </c>
      <c r="D334" s="12"/>
    </row>
    <row r="335" spans="1:4" x14ac:dyDescent="0.25">
      <c r="A335" t="str">
        <f>IF(COUNTIF(B$1:B335,B335)=1,MAX(A$1:A334)+1,"")</f>
        <v/>
      </c>
      <c r="B335" t="s">
        <v>39</v>
      </c>
      <c r="C335" s="11" t="str">
        <f>IF(COUNTIF(D$1:D335,D335)=1,MAX(C$1:C334)+1,"")</f>
        <v/>
      </c>
      <c r="D335" s="12"/>
    </row>
    <row r="336" spans="1:4" x14ac:dyDescent="0.25">
      <c r="A336" t="str">
        <f>IF(COUNTIF(B$1:B336,B336)=1,MAX(A$1:A335)+1,"")</f>
        <v/>
      </c>
      <c r="B336" t="s">
        <v>40</v>
      </c>
      <c r="C336" s="11" t="str">
        <f>IF(COUNTIF(D$1:D336,D336)=1,MAX(C$1:C335)+1,"")</f>
        <v/>
      </c>
      <c r="D336" s="12"/>
    </row>
    <row r="337" spans="1:4" x14ac:dyDescent="0.25">
      <c r="A337" t="str">
        <f>IF(COUNTIF(B$1:B337,B337)=1,MAX(A$1:A336)+1,"")</f>
        <v/>
      </c>
      <c r="B337" t="s">
        <v>41</v>
      </c>
      <c r="C337" s="11" t="str">
        <f>IF(COUNTIF(D$1:D337,D337)=1,MAX(C$1:C336)+1,"")</f>
        <v/>
      </c>
      <c r="D337" s="12"/>
    </row>
    <row r="338" spans="1:4" x14ac:dyDescent="0.25">
      <c r="A338" t="str">
        <f>IF(COUNTIF(B$1:B338,B338)=1,MAX(A$1:A337)+1,"")</f>
        <v/>
      </c>
      <c r="B338" t="s">
        <v>42</v>
      </c>
      <c r="C338" s="11" t="str">
        <f>IF(COUNTIF(D$1:D338,D338)=1,MAX(C$1:C337)+1,"")</f>
        <v/>
      </c>
      <c r="D338" s="12"/>
    </row>
    <row r="339" spans="1:4" x14ac:dyDescent="0.25">
      <c r="A339" t="str">
        <f>IF(COUNTIF(B$1:B339,B339)=1,MAX(A$1:A338)+1,"")</f>
        <v/>
      </c>
      <c r="B339" t="s">
        <v>43</v>
      </c>
      <c r="C339" s="11" t="str">
        <f>IF(COUNTIF(D$1:D339,D339)=1,MAX(C$1:C338)+1,"")</f>
        <v/>
      </c>
      <c r="D339" s="12"/>
    </row>
    <row r="340" spans="1:4" x14ac:dyDescent="0.25">
      <c r="A340" t="str">
        <f>IF(COUNTIF(B$1:B340,B340)=1,MAX(A$1:A339)+1,"")</f>
        <v/>
      </c>
      <c r="B340" t="s">
        <v>44</v>
      </c>
      <c r="C340" s="11" t="str">
        <f>IF(COUNTIF(D$1:D340,D340)=1,MAX(C$1:C339)+1,"")</f>
        <v/>
      </c>
      <c r="D340" s="12"/>
    </row>
    <row r="341" spans="1:4" x14ac:dyDescent="0.25">
      <c r="A341" t="str">
        <f>IF(COUNTIF(B$1:B341,B341)=1,MAX(A$1:A340)+1,"")</f>
        <v/>
      </c>
      <c r="B341" t="s">
        <v>45</v>
      </c>
      <c r="C341" s="11" t="str">
        <f>IF(COUNTIF(D$1:D341,D341)=1,MAX(C$1:C340)+1,"")</f>
        <v/>
      </c>
      <c r="D341" s="12"/>
    </row>
    <row r="342" spans="1:4" x14ac:dyDescent="0.25">
      <c r="A342" t="str">
        <f>IF(COUNTIF(B$1:B342,B342)=1,MAX(A$1:A341)+1,"")</f>
        <v/>
      </c>
      <c r="B342" t="s">
        <v>46</v>
      </c>
      <c r="C342" s="11" t="str">
        <f>IF(COUNTIF(D$1:D342,D342)=1,MAX(C$1:C341)+1,"")</f>
        <v/>
      </c>
      <c r="D342" s="12"/>
    </row>
    <row r="343" spans="1:4" x14ac:dyDescent="0.25">
      <c r="A343" t="str">
        <f>IF(COUNTIF(B$1:B343,B343)=1,MAX(A$1:A342)+1,"")</f>
        <v/>
      </c>
      <c r="B343" t="s">
        <v>47</v>
      </c>
      <c r="C343" s="11" t="str">
        <f>IF(COUNTIF(D$1:D343,D343)=1,MAX(C$1:C342)+1,"")</f>
        <v/>
      </c>
      <c r="D343" s="12"/>
    </row>
    <row r="344" spans="1:4" x14ac:dyDescent="0.25">
      <c r="A344" t="str">
        <f>IF(COUNTIF(B$1:B344,B344)=1,MAX(A$1:A343)+1,"")</f>
        <v/>
      </c>
      <c r="B344" t="s">
        <v>48</v>
      </c>
      <c r="C344" s="11" t="str">
        <f>IF(COUNTIF(D$1:D344,D344)=1,MAX(C$1:C343)+1,"")</f>
        <v/>
      </c>
      <c r="D344" s="12"/>
    </row>
    <row r="345" spans="1:4" x14ac:dyDescent="0.25">
      <c r="A345" t="str">
        <f>IF(COUNTIF(B$1:B345,B345)=1,MAX(A$1:A344)+1,"")</f>
        <v/>
      </c>
      <c r="B345" t="s">
        <v>49</v>
      </c>
      <c r="C345" s="11" t="str">
        <f>IF(COUNTIF(D$1:D345,D345)=1,MAX(C$1:C344)+1,"")</f>
        <v/>
      </c>
      <c r="D345" s="12"/>
    </row>
    <row r="346" spans="1:4" x14ac:dyDescent="0.25">
      <c r="A346" t="str">
        <f>IF(COUNTIF(B$1:B346,B346)=1,MAX(A$1:A345)+1,"")</f>
        <v/>
      </c>
      <c r="B346" t="s">
        <v>50</v>
      </c>
      <c r="C346" s="11" t="str">
        <f>IF(COUNTIF(D$1:D346,D346)=1,MAX(C$1:C345)+1,"")</f>
        <v/>
      </c>
      <c r="D346" s="12"/>
    </row>
    <row r="347" spans="1:4" x14ac:dyDescent="0.25">
      <c r="A347" t="str">
        <f>IF(COUNTIF(B$1:B347,B347)=1,MAX(A$1:A346)+1,"")</f>
        <v/>
      </c>
      <c r="B347" t="s">
        <v>121</v>
      </c>
      <c r="C347" s="11" t="str">
        <f>IF(COUNTIF(D$1:D347,D347)=1,MAX(C$1:C346)+1,"")</f>
        <v/>
      </c>
      <c r="D347" s="12"/>
    </row>
    <row r="348" spans="1:4" x14ac:dyDescent="0.25">
      <c r="A348" t="str">
        <f>IF(COUNTIF(B$1:B348,B348)=1,MAX(A$1:A347)+1,"")</f>
        <v/>
      </c>
      <c r="B348" t="s">
        <v>51</v>
      </c>
      <c r="C348" s="11" t="str">
        <f>IF(COUNTIF(D$1:D348,D348)=1,MAX(C$1:C347)+1,"")</f>
        <v/>
      </c>
      <c r="D348" s="12"/>
    </row>
    <row r="349" spans="1:4" x14ac:dyDescent="0.25">
      <c r="A349" t="str">
        <f>IF(COUNTIF(B$1:B349,B349)=1,MAX(A$1:A348)+1,"")</f>
        <v/>
      </c>
      <c r="B349" t="s">
        <v>52</v>
      </c>
      <c r="C349" s="11" t="str">
        <f>IF(COUNTIF(D$1:D349,D349)=1,MAX(C$1:C348)+1,"")</f>
        <v/>
      </c>
      <c r="D349" s="12"/>
    </row>
    <row r="350" spans="1:4" x14ac:dyDescent="0.25">
      <c r="A350" t="str">
        <f>IF(COUNTIF(B$1:B350,B350)=1,MAX(A$1:A349)+1,"")</f>
        <v/>
      </c>
      <c r="B350" t="s">
        <v>53</v>
      </c>
      <c r="C350" s="11" t="str">
        <f>IF(COUNTIF(D$1:D350,D350)=1,MAX(C$1:C349)+1,"")</f>
        <v/>
      </c>
      <c r="D350" s="12"/>
    </row>
    <row r="351" spans="1:4" x14ac:dyDescent="0.25">
      <c r="A351" t="str">
        <f>IF(COUNTIF(B$1:B351,B351)=1,MAX(A$1:A350)+1,"")</f>
        <v/>
      </c>
      <c r="B351" t="s">
        <v>54</v>
      </c>
      <c r="C351" s="11" t="str">
        <f>IF(COUNTIF(D$1:D351,D351)=1,MAX(C$1:C350)+1,"")</f>
        <v/>
      </c>
      <c r="D351" s="12"/>
    </row>
    <row r="352" spans="1:4" x14ac:dyDescent="0.25">
      <c r="A352" t="str">
        <f>IF(COUNTIF(B$1:B352,B352)=1,MAX(A$1:A351)+1,"")</f>
        <v/>
      </c>
      <c r="B352" t="s">
        <v>55</v>
      </c>
      <c r="C352" s="11" t="str">
        <f>IF(COUNTIF(D$1:D352,D352)=1,MAX(C$1:C351)+1,"")</f>
        <v/>
      </c>
      <c r="D352" s="12"/>
    </row>
    <row r="353" spans="1:4" x14ac:dyDescent="0.25">
      <c r="A353" t="str">
        <f>IF(COUNTIF(B$1:B353,B353)=1,MAX(A$1:A352)+1,"")</f>
        <v/>
      </c>
      <c r="B353" t="s">
        <v>56</v>
      </c>
      <c r="C353" s="11" t="str">
        <f>IF(COUNTIF(D$1:D353,D353)=1,MAX(C$1:C352)+1,"")</f>
        <v/>
      </c>
      <c r="D353" s="12"/>
    </row>
    <row r="354" spans="1:4" x14ac:dyDescent="0.25">
      <c r="A354" t="str">
        <f>IF(COUNTIF(B$1:B354,B354)=1,MAX(A$1:A353)+1,"")</f>
        <v/>
      </c>
      <c r="B354" t="s">
        <v>57</v>
      </c>
      <c r="C354" s="11" t="str">
        <f>IF(COUNTIF(D$1:D354,D354)=1,MAX(C$1:C353)+1,"")</f>
        <v/>
      </c>
      <c r="D354" s="12"/>
    </row>
    <row r="355" spans="1:4" x14ac:dyDescent="0.25">
      <c r="A355" t="str">
        <f>IF(COUNTIF(B$1:B355,B355)=1,MAX(A$1:A354)+1,"")</f>
        <v/>
      </c>
      <c r="B355" t="s">
        <v>58</v>
      </c>
      <c r="C355" s="11" t="str">
        <f>IF(COUNTIF(D$1:D355,D355)=1,MAX(C$1:C354)+1,"")</f>
        <v/>
      </c>
      <c r="D355" s="12"/>
    </row>
    <row r="356" spans="1:4" x14ac:dyDescent="0.25">
      <c r="A356" t="str">
        <f>IF(COUNTIF(B$1:B356,B356)=1,MAX(A$1:A355)+1,"")</f>
        <v/>
      </c>
      <c r="B356" t="s">
        <v>59</v>
      </c>
      <c r="C356" s="11" t="str">
        <f>IF(COUNTIF(D$1:D356,D356)=1,MAX(C$1:C355)+1,"")</f>
        <v/>
      </c>
      <c r="D356" s="12"/>
    </row>
    <row r="357" spans="1:4" x14ac:dyDescent="0.25">
      <c r="A357" t="str">
        <f>IF(COUNTIF(B$1:B357,B357)=1,MAX(A$1:A356)+1,"")</f>
        <v/>
      </c>
      <c r="B357" t="s">
        <v>60</v>
      </c>
      <c r="C357" s="11" t="str">
        <f>IF(COUNTIF(D$1:D357,D357)=1,MAX(C$1:C356)+1,"")</f>
        <v/>
      </c>
      <c r="D357" s="12"/>
    </row>
    <row r="358" spans="1:4" x14ac:dyDescent="0.25">
      <c r="A358" t="str">
        <f>IF(COUNTIF(B$1:B358,B358)=1,MAX(A$1:A357)+1,"")</f>
        <v/>
      </c>
      <c r="B358" t="s">
        <v>61</v>
      </c>
      <c r="C358" s="11" t="str">
        <f>IF(COUNTIF(D$1:D358,D358)=1,MAX(C$1:C357)+1,"")</f>
        <v/>
      </c>
      <c r="D358" s="12"/>
    </row>
    <row r="359" spans="1:4" x14ac:dyDescent="0.25">
      <c r="A359" t="str">
        <f>IF(COUNTIF(B$1:B359,B359)=1,MAX(A$1:A358)+1,"")</f>
        <v/>
      </c>
      <c r="B359" t="s">
        <v>62</v>
      </c>
      <c r="C359" s="11" t="str">
        <f>IF(COUNTIF(D$1:D359,D359)=1,MAX(C$1:C358)+1,"")</f>
        <v/>
      </c>
      <c r="D359" s="12"/>
    </row>
    <row r="360" spans="1:4" x14ac:dyDescent="0.25">
      <c r="A360" t="str">
        <f>IF(COUNTIF(B$1:B360,B360)=1,MAX(A$1:A359)+1,"")</f>
        <v/>
      </c>
      <c r="B360" t="s">
        <v>63</v>
      </c>
      <c r="C360" s="11" t="str">
        <f>IF(COUNTIF(D$1:D360,D360)=1,MAX(C$1:C359)+1,"")</f>
        <v/>
      </c>
      <c r="D360" s="12"/>
    </row>
    <row r="361" spans="1:4" x14ac:dyDescent="0.25">
      <c r="A361" t="str">
        <f>IF(COUNTIF(B$1:B361,B361)=1,MAX(A$1:A360)+1,"")</f>
        <v/>
      </c>
      <c r="B361" t="s">
        <v>64</v>
      </c>
      <c r="C361" s="11" t="str">
        <f>IF(COUNTIF(D$1:D361,D361)=1,MAX(C$1:C360)+1,"")</f>
        <v/>
      </c>
      <c r="D361" s="12"/>
    </row>
    <row r="362" spans="1:4" x14ac:dyDescent="0.25">
      <c r="A362" t="str">
        <f>IF(COUNTIF(B$1:B362,B362)=1,MAX(A$1:A361)+1,"")</f>
        <v/>
      </c>
      <c r="B362" t="s">
        <v>65</v>
      </c>
      <c r="C362" s="11" t="str">
        <f>IF(COUNTIF(D$1:D362,D362)=1,MAX(C$1:C361)+1,"")</f>
        <v/>
      </c>
      <c r="D362" s="12"/>
    </row>
    <row r="363" spans="1:4" x14ac:dyDescent="0.25">
      <c r="A363" t="str">
        <f>IF(COUNTIF(B$1:B363,B363)=1,MAX(A$1:A362)+1,"")</f>
        <v/>
      </c>
      <c r="B363" t="s">
        <v>66</v>
      </c>
      <c r="C363" s="11" t="str">
        <f>IF(COUNTIF(D$1:D363,D363)=1,MAX(C$1:C362)+1,"")</f>
        <v/>
      </c>
      <c r="D363" s="12"/>
    </row>
    <row r="364" spans="1:4" x14ac:dyDescent="0.25">
      <c r="A364" t="str">
        <f>IF(COUNTIF(B$1:B364,B364)=1,MAX(A$1:A363)+1,"")</f>
        <v/>
      </c>
      <c r="B364" t="s">
        <v>67</v>
      </c>
      <c r="C364" s="11" t="str">
        <f>IF(COUNTIF(D$1:D364,D364)=1,MAX(C$1:C363)+1,"")</f>
        <v/>
      </c>
      <c r="D364" s="12"/>
    </row>
    <row r="365" spans="1:4" x14ac:dyDescent="0.25">
      <c r="A365" t="str">
        <f>IF(COUNTIF(B$1:B365,B365)=1,MAX(A$1:A364)+1,"")</f>
        <v/>
      </c>
      <c r="B365" t="s">
        <v>68</v>
      </c>
      <c r="C365" s="11" t="str">
        <f>IF(COUNTIF(D$1:D365,D365)=1,MAX(C$1:C364)+1,"")</f>
        <v/>
      </c>
      <c r="D365" s="12"/>
    </row>
    <row r="366" spans="1:4" x14ac:dyDescent="0.25">
      <c r="A366" t="str">
        <f>IF(COUNTIF(B$1:B366,B366)=1,MAX(A$1:A365)+1,"")</f>
        <v/>
      </c>
      <c r="B366" t="s">
        <v>69</v>
      </c>
      <c r="C366" s="11" t="str">
        <f>IF(COUNTIF(D$1:D366,D366)=1,MAX(C$1:C365)+1,"")</f>
        <v/>
      </c>
      <c r="D366" s="12"/>
    </row>
    <row r="367" spans="1:4" x14ac:dyDescent="0.25">
      <c r="A367" t="str">
        <f>IF(COUNTIF(B$1:B367,B367)=1,MAX(A$1:A366)+1,"")</f>
        <v/>
      </c>
      <c r="B367" t="s">
        <v>70</v>
      </c>
      <c r="C367" s="11" t="str">
        <f>IF(COUNTIF(D$1:D367,D367)=1,MAX(C$1:C366)+1,"")</f>
        <v/>
      </c>
      <c r="D367" s="12"/>
    </row>
    <row r="368" spans="1:4" x14ac:dyDescent="0.25">
      <c r="A368" t="str">
        <f>IF(COUNTIF(B$1:B368,B368)=1,MAX(A$1:A367)+1,"")</f>
        <v/>
      </c>
      <c r="B368" t="s">
        <v>71</v>
      </c>
      <c r="C368" s="11" t="str">
        <f>IF(COUNTIF(D$1:D368,D368)=1,MAX(C$1:C367)+1,"")</f>
        <v/>
      </c>
      <c r="D368" s="12"/>
    </row>
    <row r="369" spans="1:4" x14ac:dyDescent="0.25">
      <c r="A369" t="str">
        <f>IF(COUNTIF(B$1:B369,B369)=1,MAX(A$1:A368)+1,"")</f>
        <v/>
      </c>
      <c r="B369" t="s">
        <v>72</v>
      </c>
      <c r="C369" s="11" t="str">
        <f>IF(COUNTIF(D$1:D369,D369)=1,MAX(C$1:C368)+1,"")</f>
        <v/>
      </c>
      <c r="D369" s="12"/>
    </row>
    <row r="370" spans="1:4" x14ac:dyDescent="0.25">
      <c r="A370" t="str">
        <f>IF(COUNTIF(B$1:B370,B370)=1,MAX(A$1:A369)+1,"")</f>
        <v/>
      </c>
      <c r="B370" t="s">
        <v>73</v>
      </c>
      <c r="C370" s="11" t="str">
        <f>IF(COUNTIF(D$1:D370,D370)=1,MAX(C$1:C369)+1,"")</f>
        <v/>
      </c>
      <c r="D370" s="12"/>
    </row>
    <row r="371" spans="1:4" x14ac:dyDescent="0.25">
      <c r="A371" t="str">
        <f>IF(COUNTIF(B$1:B371,B371)=1,MAX(A$1:A370)+1,"")</f>
        <v/>
      </c>
      <c r="B371" t="s">
        <v>304</v>
      </c>
      <c r="C371" s="11" t="str">
        <f>IF(COUNTIF(D$1:D371,D371)=1,MAX(C$1:C370)+1,"")</f>
        <v/>
      </c>
      <c r="D371" s="12"/>
    </row>
    <row r="372" spans="1:4" x14ac:dyDescent="0.25">
      <c r="A372" t="str">
        <f>IF(COUNTIF(B$1:B372,B372)=1,MAX(A$1:A371)+1,"")</f>
        <v/>
      </c>
      <c r="B372" t="s">
        <v>306</v>
      </c>
      <c r="C372" s="11" t="str">
        <f>IF(COUNTIF(D$1:D372,D372)=1,MAX(C$1:C371)+1,"")</f>
        <v/>
      </c>
      <c r="D372" s="12"/>
    </row>
    <row r="373" spans="1:4" x14ac:dyDescent="0.25">
      <c r="A373" t="str">
        <f>IF(COUNTIF(B$1:B373,B373)=1,MAX(A$1:A372)+1,"")</f>
        <v/>
      </c>
      <c r="B373" t="s">
        <v>197</v>
      </c>
      <c r="C373" s="11" t="str">
        <f>IF(COUNTIF(D$1:D373,D373)=1,MAX(C$1:C372)+1,"")</f>
        <v/>
      </c>
      <c r="D373" s="12"/>
    </row>
    <row r="374" spans="1:4" x14ac:dyDescent="0.25">
      <c r="A374" t="str">
        <f>IF(COUNTIF(B$1:B374,B374)=1,MAX(A$1:A373)+1,"")</f>
        <v/>
      </c>
      <c r="B374" t="s">
        <v>74</v>
      </c>
      <c r="C374" s="11" t="str">
        <f>IF(COUNTIF(D$1:D374,D374)=1,MAX(C$1:C373)+1,"")</f>
        <v/>
      </c>
      <c r="D374" s="12"/>
    </row>
    <row r="375" spans="1:4" x14ac:dyDescent="0.25">
      <c r="A375" t="str">
        <f>IF(COUNTIF(B$1:B375,B375)=1,MAX(A$1:A374)+1,"")</f>
        <v/>
      </c>
      <c r="B375" t="s">
        <v>75</v>
      </c>
      <c r="C375" s="11" t="str">
        <f>IF(COUNTIF(D$1:D375,D375)=1,MAX(C$1:C374)+1,"")</f>
        <v/>
      </c>
      <c r="D375" s="12"/>
    </row>
    <row r="376" spans="1:4" x14ac:dyDescent="0.25">
      <c r="A376" t="str">
        <f>IF(COUNTIF(B$1:B376,B376)=1,MAX(A$1:A375)+1,"")</f>
        <v/>
      </c>
      <c r="B376" t="s">
        <v>76</v>
      </c>
      <c r="C376" s="11" t="str">
        <f>IF(COUNTIF(D$1:D376,D376)=1,MAX(C$1:C375)+1,"")</f>
        <v/>
      </c>
      <c r="D376" s="12"/>
    </row>
    <row r="377" spans="1:4" x14ac:dyDescent="0.25">
      <c r="A377" t="str">
        <f>IF(COUNTIF(B$1:B377,B377)=1,MAX(A$1:A376)+1,"")</f>
        <v/>
      </c>
      <c r="C377" s="11" t="str">
        <f>IF(COUNTIF(D$1:D377,D377)=1,MAX(C$1:C376)+1,"")</f>
        <v/>
      </c>
      <c r="D377" s="12"/>
    </row>
    <row r="378" spans="1:4" x14ac:dyDescent="0.25">
      <c r="A378" t="str">
        <f>IF(COUNTIF(B$1:B378,B378)=1,MAX(A$1:A377)+1,"")</f>
        <v/>
      </c>
      <c r="B378" t="s">
        <v>318</v>
      </c>
      <c r="C378" s="11" t="str">
        <f>IF(COUNTIF(D$1:D378,D378)=1,MAX(C$1:C377)+1,"")</f>
        <v/>
      </c>
      <c r="D378" s="12"/>
    </row>
    <row r="379" spans="1:4" x14ac:dyDescent="0.25">
      <c r="A379" t="str">
        <f>IF(COUNTIF(B$1:B379,B379)=1,MAX(A$1:A378)+1,"")</f>
        <v/>
      </c>
      <c r="B379" t="s">
        <v>320</v>
      </c>
      <c r="C379" s="11" t="str">
        <f>IF(COUNTIF(D$1:D379,D379)=1,MAX(C$1:C378)+1,"")</f>
        <v/>
      </c>
      <c r="D379" s="12"/>
    </row>
    <row r="380" spans="1:4" x14ac:dyDescent="0.25">
      <c r="A380" t="str">
        <f>IF(COUNTIF(B$1:B380,B380)=1,MAX(A$1:A379)+1,"")</f>
        <v/>
      </c>
      <c r="B380" t="s">
        <v>322</v>
      </c>
      <c r="C380" s="11" t="str">
        <f>IF(COUNTIF(D$1:D380,D380)=1,MAX(C$1:C379)+1,"")</f>
        <v/>
      </c>
      <c r="D380" s="12"/>
    </row>
    <row r="381" spans="1:4" x14ac:dyDescent="0.25">
      <c r="A381" t="str">
        <f>IF(COUNTIF(B$1:B381,B381)=1,MAX(A$1:A380)+1,"")</f>
        <v/>
      </c>
      <c r="B381" s="11"/>
      <c r="C381" s="11" t="str">
        <f>IF(COUNTIF(D$1:D381,D381)=1,MAX(C$1:C380)+1,"")</f>
        <v/>
      </c>
      <c r="D381" s="12"/>
    </row>
    <row r="382" spans="1:4" x14ac:dyDescent="0.25">
      <c r="A382" t="str">
        <f>IF(COUNTIF(B$1:B382,B382)=1,MAX(A$1:A381)+1,"")</f>
        <v/>
      </c>
      <c r="B382" t="s">
        <v>106</v>
      </c>
      <c r="C382" s="11" t="str">
        <f>IF(COUNTIF(D$1:D382,D382)=1,MAX(C$1:C381)+1,"")</f>
        <v/>
      </c>
      <c r="D382" s="12"/>
    </row>
    <row r="383" spans="1:4" x14ac:dyDescent="0.25">
      <c r="A383" t="str">
        <f>IF(COUNTIF(B$1:B383,B383)=1,MAX(A$1:A382)+1,"")</f>
        <v/>
      </c>
      <c r="B383">
        <v>18</v>
      </c>
      <c r="C383" s="11" t="str">
        <f>IF(COUNTIF(D$1:D383,D383)=1,MAX(C$1:C382)+1,"")</f>
        <v/>
      </c>
      <c r="D383" s="12"/>
    </row>
    <row r="384" spans="1:4" x14ac:dyDescent="0.25">
      <c r="A384" t="str">
        <f>IF(COUNTIF(B$1:B384,B384)=1,MAX(A$1:A383)+1,"")</f>
        <v/>
      </c>
      <c r="B384" t="s">
        <v>37</v>
      </c>
      <c r="C384" s="11" t="str">
        <f>IF(COUNTIF(D$1:D384,D384)=1,MAX(C$1:C383)+1,"")</f>
        <v/>
      </c>
      <c r="D384" s="12"/>
    </row>
    <row r="385" spans="1:4" x14ac:dyDescent="0.25">
      <c r="A385" t="str">
        <f>IF(COUNTIF(B$1:B385,B385)=1,MAX(A$1:A384)+1,"")</f>
        <v/>
      </c>
      <c r="B385" t="s">
        <v>38</v>
      </c>
      <c r="C385" s="11" t="str">
        <f>IF(COUNTIF(D$1:D385,D385)=1,MAX(C$1:C384)+1,"")</f>
        <v/>
      </c>
      <c r="D385" s="12"/>
    </row>
    <row r="386" spans="1:4" x14ac:dyDescent="0.25">
      <c r="A386" t="str">
        <f>IF(COUNTIF(B$1:B386,B386)=1,MAX(A$1:A385)+1,"")</f>
        <v/>
      </c>
      <c r="B386" t="s">
        <v>39</v>
      </c>
      <c r="C386" s="11" t="str">
        <f>IF(COUNTIF(D$1:D386,D386)=1,MAX(C$1:C385)+1,"")</f>
        <v/>
      </c>
      <c r="D386" s="12"/>
    </row>
    <row r="387" spans="1:4" x14ac:dyDescent="0.25">
      <c r="A387" t="str">
        <f>IF(COUNTIF(B$1:B387,B387)=1,MAX(A$1:A386)+1,"")</f>
        <v/>
      </c>
      <c r="B387" t="s">
        <v>40</v>
      </c>
      <c r="C387" s="11" t="str">
        <f>IF(COUNTIF(D$1:D387,D387)=1,MAX(C$1:C386)+1,"")</f>
        <v/>
      </c>
      <c r="D387" s="12"/>
    </row>
    <row r="388" spans="1:4" x14ac:dyDescent="0.25">
      <c r="A388" t="str">
        <f>IF(COUNTIF(B$1:B388,B388)=1,MAX(A$1:A387)+1,"")</f>
        <v/>
      </c>
      <c r="B388" t="s">
        <v>41</v>
      </c>
      <c r="C388" s="11" t="str">
        <f>IF(COUNTIF(D$1:D388,D388)=1,MAX(C$1:C387)+1,"")</f>
        <v/>
      </c>
      <c r="D388" s="12"/>
    </row>
    <row r="389" spans="1:4" x14ac:dyDescent="0.25">
      <c r="A389" t="str">
        <f>IF(COUNTIF(B$1:B389,B389)=1,MAX(A$1:A388)+1,"")</f>
        <v/>
      </c>
      <c r="B389" t="s">
        <v>42</v>
      </c>
      <c r="C389" s="11" t="str">
        <f>IF(COUNTIF(D$1:D389,D389)=1,MAX(C$1:C388)+1,"")</f>
        <v/>
      </c>
      <c r="D389" s="12"/>
    </row>
    <row r="390" spans="1:4" x14ac:dyDescent="0.25">
      <c r="A390" t="str">
        <f>IF(COUNTIF(B$1:B390,B390)=1,MAX(A$1:A389)+1,"")</f>
        <v/>
      </c>
      <c r="B390" t="s">
        <v>43</v>
      </c>
      <c r="C390" s="11" t="str">
        <f>IF(COUNTIF(D$1:D390,D390)=1,MAX(C$1:C389)+1,"")</f>
        <v/>
      </c>
      <c r="D390" s="12"/>
    </row>
    <row r="391" spans="1:4" x14ac:dyDescent="0.25">
      <c r="A391" t="str">
        <f>IF(COUNTIF(B$1:B391,B391)=1,MAX(A$1:A390)+1,"")</f>
        <v/>
      </c>
      <c r="B391" t="s">
        <v>44</v>
      </c>
      <c r="C391" s="11" t="str">
        <f>IF(COUNTIF(D$1:D391,D391)=1,MAX(C$1:C390)+1,"")</f>
        <v/>
      </c>
      <c r="D391" s="12"/>
    </row>
    <row r="392" spans="1:4" x14ac:dyDescent="0.25">
      <c r="A392" t="str">
        <f>IF(COUNTIF(B$1:B392,B392)=1,MAX(A$1:A391)+1,"")</f>
        <v/>
      </c>
      <c r="B392" t="s">
        <v>45</v>
      </c>
      <c r="C392" s="11" t="str">
        <f>IF(COUNTIF(D$1:D392,D392)=1,MAX(C$1:C391)+1,"")</f>
        <v/>
      </c>
      <c r="D392" s="12"/>
    </row>
    <row r="393" spans="1:4" x14ac:dyDescent="0.25">
      <c r="A393" t="str">
        <f>IF(COUNTIF(B$1:B393,B393)=1,MAX(A$1:A392)+1,"")</f>
        <v/>
      </c>
      <c r="B393" t="s">
        <v>46</v>
      </c>
      <c r="C393" s="11" t="str">
        <f>IF(COUNTIF(D$1:D393,D393)=1,MAX(C$1:C392)+1,"")</f>
        <v/>
      </c>
      <c r="D393" s="12"/>
    </row>
    <row r="394" spans="1:4" x14ac:dyDescent="0.25">
      <c r="A394" t="str">
        <f>IF(COUNTIF(B$1:B394,B394)=1,MAX(A$1:A393)+1,"")</f>
        <v/>
      </c>
      <c r="B394" t="s">
        <v>47</v>
      </c>
      <c r="C394" s="11" t="str">
        <f>IF(COUNTIF(D$1:D394,D394)=1,MAX(C$1:C393)+1,"")</f>
        <v/>
      </c>
      <c r="D394" s="12"/>
    </row>
    <row r="395" spans="1:4" x14ac:dyDescent="0.25">
      <c r="A395" t="str">
        <f>IF(COUNTIF(B$1:B395,B395)=1,MAX(A$1:A394)+1,"")</f>
        <v/>
      </c>
      <c r="B395" t="s">
        <v>48</v>
      </c>
      <c r="C395" s="11" t="str">
        <f>IF(COUNTIF(D$1:D395,D395)=1,MAX(C$1:C394)+1,"")</f>
        <v/>
      </c>
      <c r="D395" s="12"/>
    </row>
    <row r="396" spans="1:4" x14ac:dyDescent="0.25">
      <c r="A396" t="str">
        <f>IF(COUNTIF(B$1:B396,B396)=1,MAX(A$1:A395)+1,"")</f>
        <v/>
      </c>
      <c r="B396" t="s">
        <v>49</v>
      </c>
      <c r="C396" s="11" t="str">
        <f>IF(COUNTIF(D$1:D396,D396)=1,MAX(C$1:C395)+1,"")</f>
        <v/>
      </c>
      <c r="D396" s="12"/>
    </row>
    <row r="397" spans="1:4" x14ac:dyDescent="0.25">
      <c r="A397" t="str">
        <f>IF(COUNTIF(B$1:B397,B397)=1,MAX(A$1:A396)+1,"")</f>
        <v/>
      </c>
      <c r="B397" t="s">
        <v>50</v>
      </c>
      <c r="C397" s="11" t="str">
        <f>IF(COUNTIF(D$1:D397,D397)=1,MAX(C$1:C396)+1,"")</f>
        <v/>
      </c>
      <c r="D397" s="12"/>
    </row>
    <row r="398" spans="1:4" x14ac:dyDescent="0.25">
      <c r="A398" t="str">
        <f>IF(COUNTIF(B$1:B398,B398)=1,MAX(A$1:A397)+1,"")</f>
        <v/>
      </c>
      <c r="B398" t="s">
        <v>121</v>
      </c>
      <c r="C398" s="11" t="str">
        <f>IF(COUNTIF(D$1:D398,D398)=1,MAX(C$1:C397)+1,"")</f>
        <v/>
      </c>
      <c r="D398" s="12"/>
    </row>
    <row r="399" spans="1:4" x14ac:dyDescent="0.25">
      <c r="A399" t="str">
        <f>IF(COUNTIF(B$1:B399,B399)=1,MAX(A$1:A398)+1,"")</f>
        <v/>
      </c>
      <c r="B399" t="s">
        <v>51</v>
      </c>
      <c r="C399" s="11" t="str">
        <f>IF(COUNTIF(D$1:D399,D399)=1,MAX(C$1:C398)+1,"")</f>
        <v/>
      </c>
      <c r="D399" s="12"/>
    </row>
    <row r="400" spans="1:4" x14ac:dyDescent="0.25">
      <c r="A400" t="str">
        <f>IF(COUNTIF(B$1:B400,B400)=1,MAX(A$1:A399)+1,"")</f>
        <v/>
      </c>
      <c r="B400" t="s">
        <v>52</v>
      </c>
      <c r="C400" s="11" t="str">
        <f>IF(COUNTIF(D$1:D400,D400)=1,MAX(C$1:C399)+1,"")</f>
        <v/>
      </c>
      <c r="D400" s="12"/>
    </row>
    <row r="401" spans="1:4" x14ac:dyDescent="0.25">
      <c r="A401" t="str">
        <f>IF(COUNTIF(B$1:B401,B401)=1,MAX(A$1:A400)+1,"")</f>
        <v/>
      </c>
      <c r="B401" t="s">
        <v>53</v>
      </c>
      <c r="C401" s="11" t="str">
        <f>IF(COUNTIF(D$1:D401,D401)=1,MAX(C$1:C400)+1,"")</f>
        <v/>
      </c>
      <c r="D401" s="12"/>
    </row>
    <row r="402" spans="1:4" x14ac:dyDescent="0.25">
      <c r="A402" t="str">
        <f>IF(COUNTIF(B$1:B402,B402)=1,MAX(A$1:A401)+1,"")</f>
        <v/>
      </c>
      <c r="B402" t="s">
        <v>54</v>
      </c>
      <c r="C402" s="11" t="str">
        <f>IF(COUNTIF(D$1:D402,D402)=1,MAX(C$1:C401)+1,"")</f>
        <v/>
      </c>
      <c r="D402" s="12"/>
    </row>
    <row r="403" spans="1:4" x14ac:dyDescent="0.25">
      <c r="A403" t="str">
        <f>IF(COUNTIF(B$1:B403,B403)=1,MAX(A$1:A402)+1,"")</f>
        <v/>
      </c>
      <c r="B403" t="s">
        <v>55</v>
      </c>
      <c r="C403" s="11" t="str">
        <f>IF(COUNTIF(D$1:D403,D403)=1,MAX(C$1:C402)+1,"")</f>
        <v/>
      </c>
      <c r="D403" s="12"/>
    </row>
    <row r="404" spans="1:4" x14ac:dyDescent="0.25">
      <c r="A404" t="str">
        <f>IF(COUNTIF(B$1:B404,B404)=1,MAX(A$1:A403)+1,"")</f>
        <v/>
      </c>
      <c r="B404" t="s">
        <v>56</v>
      </c>
      <c r="C404" s="11" t="str">
        <f>IF(COUNTIF(D$1:D404,D404)=1,MAX(C$1:C403)+1,"")</f>
        <v/>
      </c>
      <c r="D404" s="12"/>
    </row>
    <row r="405" spans="1:4" x14ac:dyDescent="0.25">
      <c r="A405" t="str">
        <f>IF(COUNTIF(B$1:B405,B405)=1,MAX(A$1:A404)+1,"")</f>
        <v/>
      </c>
      <c r="B405" t="s">
        <v>57</v>
      </c>
      <c r="C405" s="11" t="str">
        <f>IF(COUNTIF(D$1:D405,D405)=1,MAX(C$1:C404)+1,"")</f>
        <v/>
      </c>
      <c r="D405" s="12"/>
    </row>
    <row r="406" spans="1:4" x14ac:dyDescent="0.25">
      <c r="A406" t="str">
        <f>IF(COUNTIF(B$1:B406,B406)=1,MAX(A$1:A405)+1,"")</f>
        <v/>
      </c>
      <c r="B406" t="s">
        <v>58</v>
      </c>
      <c r="C406" s="11" t="str">
        <f>IF(COUNTIF(D$1:D406,D406)=1,MAX(C$1:C405)+1,"")</f>
        <v/>
      </c>
      <c r="D406" s="12"/>
    </row>
    <row r="407" spans="1:4" x14ac:dyDescent="0.25">
      <c r="A407" t="str">
        <f>IF(COUNTIF(B$1:B407,B407)=1,MAX(A$1:A406)+1,"")</f>
        <v/>
      </c>
      <c r="B407" t="s">
        <v>59</v>
      </c>
      <c r="C407" s="11" t="str">
        <f>IF(COUNTIF(D$1:D407,D407)=1,MAX(C$1:C406)+1,"")</f>
        <v/>
      </c>
      <c r="D407" s="12"/>
    </row>
    <row r="408" spans="1:4" x14ac:dyDescent="0.25">
      <c r="A408" t="str">
        <f>IF(COUNTIF(B$1:B408,B408)=1,MAX(A$1:A407)+1,"")</f>
        <v/>
      </c>
      <c r="B408" t="s">
        <v>60</v>
      </c>
      <c r="C408" s="11" t="str">
        <f>IF(COUNTIF(D$1:D408,D408)=1,MAX(C$1:C407)+1,"")</f>
        <v/>
      </c>
      <c r="D408" s="12"/>
    </row>
    <row r="409" spans="1:4" x14ac:dyDescent="0.25">
      <c r="A409" t="str">
        <f>IF(COUNTIF(B$1:B409,B409)=1,MAX(A$1:A408)+1,"")</f>
        <v/>
      </c>
      <c r="B409" t="s">
        <v>61</v>
      </c>
      <c r="C409" s="11" t="str">
        <f>IF(COUNTIF(D$1:D409,D409)=1,MAX(C$1:C408)+1,"")</f>
        <v/>
      </c>
      <c r="D409" s="12"/>
    </row>
    <row r="410" spans="1:4" x14ac:dyDescent="0.25">
      <c r="A410" t="str">
        <f>IF(COUNTIF(B$1:B410,B410)=1,MAX(A$1:A409)+1,"")</f>
        <v/>
      </c>
      <c r="B410" t="s">
        <v>62</v>
      </c>
      <c r="C410" s="11" t="str">
        <f>IF(COUNTIF(D$1:D410,D410)=1,MAX(C$1:C409)+1,"")</f>
        <v/>
      </c>
      <c r="D410" s="12"/>
    </row>
    <row r="411" spans="1:4" x14ac:dyDescent="0.25">
      <c r="A411" t="str">
        <f>IF(COUNTIF(B$1:B411,B411)=1,MAX(A$1:A410)+1,"")</f>
        <v/>
      </c>
      <c r="B411" t="s">
        <v>63</v>
      </c>
      <c r="C411" s="11" t="str">
        <f>IF(COUNTIF(D$1:D411,D411)=1,MAX(C$1:C410)+1,"")</f>
        <v/>
      </c>
      <c r="D411" s="12"/>
    </row>
    <row r="412" spans="1:4" x14ac:dyDescent="0.25">
      <c r="A412" t="str">
        <f>IF(COUNTIF(B$1:B412,B412)=1,MAX(A$1:A411)+1,"")</f>
        <v/>
      </c>
      <c r="B412" t="s">
        <v>64</v>
      </c>
      <c r="C412" s="11" t="str">
        <f>IF(COUNTIF(D$1:D412,D412)=1,MAX(C$1:C411)+1,"")</f>
        <v/>
      </c>
      <c r="D412" s="12"/>
    </row>
    <row r="413" spans="1:4" x14ac:dyDescent="0.25">
      <c r="A413" t="str">
        <f>IF(COUNTIF(B$1:B413,B413)=1,MAX(A$1:A412)+1,"")</f>
        <v/>
      </c>
      <c r="B413" t="s">
        <v>65</v>
      </c>
      <c r="C413" s="11" t="str">
        <f>IF(COUNTIF(D$1:D413,D413)=1,MAX(C$1:C412)+1,"")</f>
        <v/>
      </c>
      <c r="D413" s="12"/>
    </row>
    <row r="414" spans="1:4" x14ac:dyDescent="0.25">
      <c r="A414" t="str">
        <f>IF(COUNTIF(B$1:B414,B414)=1,MAX(A$1:A413)+1,"")</f>
        <v/>
      </c>
      <c r="B414" t="s">
        <v>66</v>
      </c>
      <c r="C414" s="11" t="str">
        <f>IF(COUNTIF(D$1:D414,D414)=1,MAX(C$1:C413)+1,"")</f>
        <v/>
      </c>
      <c r="D414" s="12"/>
    </row>
    <row r="415" spans="1:4" x14ac:dyDescent="0.25">
      <c r="A415" t="str">
        <f>IF(COUNTIF(B$1:B415,B415)=1,MAX(A$1:A414)+1,"")</f>
        <v/>
      </c>
      <c r="B415" t="s">
        <v>67</v>
      </c>
      <c r="C415" s="11" t="str">
        <f>IF(COUNTIF(D$1:D415,D415)=1,MAX(C$1:C414)+1,"")</f>
        <v/>
      </c>
      <c r="D415" s="12"/>
    </row>
    <row r="416" spans="1:4" x14ac:dyDescent="0.25">
      <c r="A416" t="str">
        <f>IF(COUNTIF(B$1:B416,B416)=1,MAX(A$1:A415)+1,"")</f>
        <v/>
      </c>
      <c r="B416" t="s">
        <v>68</v>
      </c>
      <c r="C416" s="11" t="str">
        <f>IF(COUNTIF(D$1:D416,D416)=1,MAX(C$1:C415)+1,"")</f>
        <v/>
      </c>
      <c r="D416" s="12"/>
    </row>
    <row r="417" spans="1:4" x14ac:dyDescent="0.25">
      <c r="A417" t="str">
        <f>IF(COUNTIF(B$1:B417,B417)=1,MAX(A$1:A416)+1,"")</f>
        <v/>
      </c>
      <c r="B417" t="s">
        <v>69</v>
      </c>
      <c r="C417" s="11" t="str">
        <f>IF(COUNTIF(D$1:D417,D417)=1,MAX(C$1:C416)+1,"")</f>
        <v/>
      </c>
      <c r="D417" s="12"/>
    </row>
    <row r="418" spans="1:4" x14ac:dyDescent="0.25">
      <c r="A418" t="str">
        <f>IF(COUNTIF(B$1:B418,B418)=1,MAX(A$1:A417)+1,"")</f>
        <v/>
      </c>
      <c r="B418" t="s">
        <v>70</v>
      </c>
      <c r="C418" s="11" t="str">
        <f>IF(COUNTIF(D$1:D418,D418)=1,MAX(C$1:C417)+1,"")</f>
        <v/>
      </c>
      <c r="D418" s="12"/>
    </row>
    <row r="419" spans="1:4" x14ac:dyDescent="0.25">
      <c r="A419" t="str">
        <f>IF(COUNTIF(B$1:B419,B419)=1,MAX(A$1:A418)+1,"")</f>
        <v/>
      </c>
      <c r="B419" t="s">
        <v>71</v>
      </c>
      <c r="C419" s="11" t="str">
        <f>IF(COUNTIF(D$1:D419,D419)=1,MAX(C$1:C418)+1,"")</f>
        <v/>
      </c>
      <c r="D419" s="12"/>
    </row>
    <row r="420" spans="1:4" x14ac:dyDescent="0.25">
      <c r="A420" t="str">
        <f>IF(COUNTIF(B$1:B420,B420)=1,MAX(A$1:A419)+1,"")</f>
        <v/>
      </c>
      <c r="B420" t="s">
        <v>72</v>
      </c>
      <c r="C420" s="11" t="str">
        <f>IF(COUNTIF(D$1:D420,D420)=1,MAX(C$1:C419)+1,"")</f>
        <v/>
      </c>
      <c r="D420" s="12"/>
    </row>
    <row r="421" spans="1:4" x14ac:dyDescent="0.25">
      <c r="A421" t="str">
        <f>IF(COUNTIF(B$1:B421,B421)=1,MAX(A$1:A420)+1,"")</f>
        <v/>
      </c>
      <c r="B421" t="s">
        <v>73</v>
      </c>
      <c r="C421" s="11" t="str">
        <f>IF(COUNTIF(D$1:D421,D421)=1,MAX(C$1:C420)+1,"")</f>
        <v/>
      </c>
      <c r="D421" s="12"/>
    </row>
    <row r="422" spans="1:4" x14ac:dyDescent="0.25">
      <c r="A422" t="str">
        <f>IF(COUNTIF(B$1:B422,B422)=1,MAX(A$1:A421)+1,"")</f>
        <v/>
      </c>
      <c r="B422" t="s">
        <v>304</v>
      </c>
      <c r="C422" s="11" t="str">
        <f>IF(COUNTIF(D$1:D422,D422)=1,MAX(C$1:C421)+1,"")</f>
        <v/>
      </c>
      <c r="D422" s="12"/>
    </row>
    <row r="423" spans="1:4" x14ac:dyDescent="0.25">
      <c r="A423" t="str">
        <f>IF(COUNTIF(B$1:B423,B423)=1,MAX(A$1:A422)+1,"")</f>
        <v/>
      </c>
      <c r="B423" t="s">
        <v>306</v>
      </c>
      <c r="C423" s="11" t="str">
        <f>IF(COUNTIF(D$1:D423,D423)=1,MAX(C$1:C422)+1,"")</f>
        <v/>
      </c>
      <c r="D423" s="12"/>
    </row>
    <row r="424" spans="1:4" x14ac:dyDescent="0.25">
      <c r="A424" t="str">
        <f>IF(COUNTIF(B$1:B424,B424)=1,MAX(A$1:A423)+1,"")</f>
        <v/>
      </c>
      <c r="B424" t="s">
        <v>308</v>
      </c>
      <c r="C424" s="11" t="str">
        <f>IF(COUNTIF(D$1:D424,D424)=1,MAX(C$1:C423)+1,"")</f>
        <v/>
      </c>
      <c r="D424" s="12"/>
    </row>
    <row r="425" spans="1:4" x14ac:dyDescent="0.25">
      <c r="A425" t="str">
        <f>IF(COUNTIF(B$1:B425,B425)=1,MAX(A$1:A424)+1,"")</f>
        <v/>
      </c>
      <c r="B425" t="s">
        <v>310</v>
      </c>
      <c r="C425" s="11" t="str">
        <f>IF(COUNTIF(D$1:D425,D425)=1,MAX(C$1:C424)+1,"")</f>
        <v/>
      </c>
      <c r="D425" s="12"/>
    </row>
    <row r="426" spans="1:4" x14ac:dyDescent="0.25">
      <c r="A426" t="str">
        <f>IF(COUNTIF(B$1:B426,B426)=1,MAX(A$1:A425)+1,"")</f>
        <v/>
      </c>
      <c r="B426" t="s">
        <v>312</v>
      </c>
      <c r="C426" s="11" t="str">
        <f>IF(COUNTIF(D$1:D426,D426)=1,MAX(C$1:C425)+1,"")</f>
        <v/>
      </c>
      <c r="D426" s="12"/>
    </row>
    <row r="427" spans="1:4" x14ac:dyDescent="0.25">
      <c r="A427" t="str">
        <f>IF(COUNTIF(B$1:B427,B427)=1,MAX(A$1:A426)+1,"")</f>
        <v/>
      </c>
      <c r="B427" t="s">
        <v>314</v>
      </c>
      <c r="C427" s="11" t="str">
        <f>IF(COUNTIF(D$1:D427,D427)=1,MAX(C$1:C426)+1,"")</f>
        <v/>
      </c>
      <c r="D427" s="12"/>
    </row>
    <row r="428" spans="1:4" x14ac:dyDescent="0.25">
      <c r="A428" t="str">
        <f>IF(COUNTIF(B$1:B428,B428)=1,MAX(A$1:A427)+1,"")</f>
        <v/>
      </c>
      <c r="B428" t="s">
        <v>316</v>
      </c>
      <c r="C428" s="11" t="str">
        <f>IF(COUNTIF(D$1:D428,D428)=1,MAX(C$1:C427)+1,"")</f>
        <v/>
      </c>
      <c r="D428" s="12"/>
    </row>
    <row r="429" spans="1:4" x14ac:dyDescent="0.25">
      <c r="A429" t="str">
        <f>IF(COUNTIF(B$1:B429,B429)=1,MAX(A$1:A428)+1,"")</f>
        <v/>
      </c>
      <c r="B429" t="s">
        <v>318</v>
      </c>
      <c r="C429" s="11" t="str">
        <f>IF(COUNTIF(D$1:D429,D429)=1,MAX(C$1:C428)+1,"")</f>
        <v/>
      </c>
      <c r="D429" s="12"/>
    </row>
    <row r="430" spans="1:4" x14ac:dyDescent="0.25">
      <c r="A430" t="str">
        <f>IF(COUNTIF(B$1:B430,B430)=1,MAX(A$1:A429)+1,"")</f>
        <v/>
      </c>
      <c r="B430" t="s">
        <v>320</v>
      </c>
      <c r="C430" s="11" t="str">
        <f>IF(COUNTIF(D$1:D430,D430)=1,MAX(C$1:C429)+1,"")</f>
        <v/>
      </c>
      <c r="D430" s="12"/>
    </row>
    <row r="431" spans="1:4" x14ac:dyDescent="0.25">
      <c r="A431" t="str">
        <f>IF(COUNTIF(B$1:B431,B431)=1,MAX(A$1:A430)+1,"")</f>
        <v/>
      </c>
      <c r="B431" t="s">
        <v>322</v>
      </c>
      <c r="C431" s="11" t="str">
        <f>IF(COUNTIF(D$1:D431,D431)=1,MAX(C$1:C430)+1,"")</f>
        <v/>
      </c>
      <c r="D431" s="12"/>
    </row>
    <row r="432" spans="1:4" x14ac:dyDescent="0.25">
      <c r="A432" t="str">
        <f>IF(COUNTIF(B$1:B432,B432)=1,MAX(A$1:A431)+1,"")</f>
        <v/>
      </c>
      <c r="B432" s="11"/>
      <c r="C432" s="11" t="str">
        <f>IF(COUNTIF(D$1:D432,D432)=1,MAX(C$1:C431)+1,"")</f>
        <v/>
      </c>
      <c r="D432" s="12"/>
    </row>
    <row r="433" spans="1:4" x14ac:dyDescent="0.25">
      <c r="A433" t="str">
        <f>IF(COUNTIF(B$1:B433,B433)=1,MAX(A$1:A432)+1,"")</f>
        <v/>
      </c>
      <c r="B433" s="11"/>
      <c r="C433" s="11" t="str">
        <f>IF(COUNTIF(D$1:D433,D433)=1,MAX(C$1:C432)+1,"")</f>
        <v/>
      </c>
      <c r="D433" s="12"/>
    </row>
    <row r="434" spans="1:4" x14ac:dyDescent="0.25">
      <c r="A434" t="str">
        <f>IF(COUNTIF(B$1:B434,B434)=1,MAX(A$1:A433)+1,"")</f>
        <v/>
      </c>
      <c r="B434" s="11"/>
      <c r="C434" s="11" t="str">
        <f>IF(COUNTIF(D$1:D434,D434)=1,MAX(C$1:C433)+1,"")</f>
        <v/>
      </c>
      <c r="D434" s="12"/>
    </row>
    <row r="435" spans="1:4" x14ac:dyDescent="0.25">
      <c r="A435" t="str">
        <f>IF(COUNTIF(B$1:B435,B435)=1,MAX(A$1:A434)+1,"")</f>
        <v/>
      </c>
      <c r="B435" s="11"/>
      <c r="C435" s="11" t="str">
        <f>IF(COUNTIF(D$1:D435,D435)=1,MAX(C$1:C434)+1,"")</f>
        <v/>
      </c>
      <c r="D435" s="12"/>
    </row>
    <row r="436" spans="1:4" x14ac:dyDescent="0.25">
      <c r="A436" t="str">
        <f>IF(COUNTIF(B$1:B436,B436)=1,MAX(A$1:A435)+1,"")</f>
        <v/>
      </c>
      <c r="B436" s="11"/>
      <c r="C436" s="11" t="str">
        <f>IF(COUNTIF(D$1:D436,D436)=1,MAX(C$1:C435)+1,"")</f>
        <v/>
      </c>
      <c r="D436" s="12"/>
    </row>
    <row r="437" spans="1:4" x14ac:dyDescent="0.25">
      <c r="A437" t="str">
        <f>IF(COUNTIF(B$1:B437,B437)=1,MAX(A$1:A436)+1,"")</f>
        <v/>
      </c>
      <c r="B437" s="11"/>
      <c r="C437" s="11" t="str">
        <f>IF(COUNTIF(D$1:D437,D437)=1,MAX(C$1:C436)+1,"")</f>
        <v/>
      </c>
      <c r="D437" s="12"/>
    </row>
    <row r="438" spans="1:4" x14ac:dyDescent="0.25">
      <c r="A438" t="str">
        <f>IF(COUNTIF(B$1:B438,B438)=1,MAX(A$1:A437)+1,"")</f>
        <v/>
      </c>
      <c r="B438" s="11"/>
      <c r="C438" s="11" t="str">
        <f>IF(COUNTIF(D$1:D438,D438)=1,MAX(C$1:C437)+1,"")</f>
        <v/>
      </c>
      <c r="D438" s="12"/>
    </row>
    <row r="439" spans="1:4" x14ac:dyDescent="0.25">
      <c r="A439" t="str">
        <f>IF(COUNTIF(B$1:B439,B439)=1,MAX(A$1:A438)+1,"")</f>
        <v/>
      </c>
      <c r="B439" s="11"/>
      <c r="C439" s="11" t="str">
        <f>IF(COUNTIF(D$1:D439,D439)=1,MAX(C$1:C438)+1,"")</f>
        <v/>
      </c>
      <c r="D439" s="12"/>
    </row>
    <row r="440" spans="1:4" x14ac:dyDescent="0.25">
      <c r="A440" t="str">
        <f>IF(COUNTIF(B$1:B440,B440)=1,MAX(A$1:A439)+1,"")</f>
        <v/>
      </c>
      <c r="B440" s="11"/>
      <c r="C440" s="11" t="str">
        <f>IF(COUNTIF(D$1:D440,D440)=1,MAX(C$1:C439)+1,"")</f>
        <v/>
      </c>
      <c r="D440" s="12"/>
    </row>
    <row r="441" spans="1:4" x14ac:dyDescent="0.25">
      <c r="A441" t="str">
        <f>IF(COUNTIF(B$1:B441,B441)=1,MAX(A$1:A440)+1,"")</f>
        <v/>
      </c>
      <c r="B441" s="11"/>
      <c r="C441" s="11" t="str">
        <f>IF(COUNTIF(D$1:D441,D441)=1,MAX(C$1:C440)+1,"")</f>
        <v/>
      </c>
      <c r="D441" s="12"/>
    </row>
    <row r="442" spans="1:4" x14ac:dyDescent="0.25">
      <c r="A442" t="str">
        <f>IF(COUNTIF(B$1:B442,B442)=1,MAX(A$1:A441)+1,"")</f>
        <v/>
      </c>
      <c r="B442" s="11"/>
      <c r="C442" s="11" t="str">
        <f>IF(COUNTIF(D$1:D442,D442)=1,MAX(C$1:C441)+1,"")</f>
        <v/>
      </c>
      <c r="D442" s="12"/>
    </row>
    <row r="443" spans="1:4" x14ac:dyDescent="0.25">
      <c r="A443" t="str">
        <f>IF(COUNTIF(B$1:B443,B443)=1,MAX(A$1:A442)+1,"")</f>
        <v/>
      </c>
      <c r="B443" s="11"/>
      <c r="C443" s="11" t="str">
        <f>IF(COUNTIF(D$1:D443,D443)=1,MAX(C$1:C442)+1,"")</f>
        <v/>
      </c>
      <c r="D443" s="12"/>
    </row>
    <row r="444" spans="1:4" x14ac:dyDescent="0.25">
      <c r="A444" t="str">
        <f>IF(COUNTIF(B$1:B444,B444)=1,MAX(A$1:A443)+1,"")</f>
        <v/>
      </c>
      <c r="B444" s="11"/>
      <c r="C444" s="11" t="str">
        <f>IF(COUNTIF(D$1:D444,D444)=1,MAX(C$1:C443)+1,"")</f>
        <v/>
      </c>
      <c r="D444" s="12"/>
    </row>
    <row r="445" spans="1:4" x14ac:dyDescent="0.25">
      <c r="A445" t="str">
        <f>IF(COUNTIF(B$1:B445,B445)=1,MAX(A$1:A444)+1,"")</f>
        <v/>
      </c>
      <c r="B445" s="11"/>
      <c r="C445" s="11" t="str">
        <f>IF(COUNTIF(D$1:D445,D445)=1,MAX(C$1:C444)+1,"")</f>
        <v/>
      </c>
      <c r="D445" s="12"/>
    </row>
    <row r="446" spans="1:4" x14ac:dyDescent="0.25">
      <c r="A446" t="str">
        <f>IF(COUNTIF(B$1:B446,B446)=1,MAX(A$1:A445)+1,"")</f>
        <v/>
      </c>
      <c r="B446" s="11"/>
      <c r="C446" s="11" t="str">
        <f>IF(COUNTIF(D$1:D446,D446)=1,MAX(C$1:C445)+1,"")</f>
        <v/>
      </c>
      <c r="D446" s="12"/>
    </row>
    <row r="447" spans="1:4" x14ac:dyDescent="0.25">
      <c r="A447" t="str">
        <f>IF(COUNTIF(B$1:B447,B447)=1,MAX(A$1:A446)+1,"")</f>
        <v/>
      </c>
      <c r="B447" s="11"/>
      <c r="C447" s="11" t="str">
        <f>IF(COUNTIF(D$1:D447,D447)=1,MAX(C$1:C446)+1,"")</f>
        <v/>
      </c>
      <c r="D447" s="12"/>
    </row>
    <row r="448" spans="1:4" x14ac:dyDescent="0.25">
      <c r="A448" t="str">
        <f>IF(COUNTIF(B$1:B448,B448)=1,MAX(A$1:A447)+1,"")</f>
        <v/>
      </c>
      <c r="B448" s="11"/>
      <c r="C448" s="11" t="str">
        <f>IF(COUNTIF(D$1:D448,D448)=1,MAX(C$1:C447)+1,"")</f>
        <v/>
      </c>
      <c r="D448" s="12"/>
    </row>
    <row r="449" spans="1:4" x14ac:dyDescent="0.25">
      <c r="A449" t="str">
        <f>IF(COUNTIF(B$1:B449,B449)=1,MAX(A$1:A448)+1,"")</f>
        <v/>
      </c>
      <c r="B449" s="11"/>
      <c r="C449" s="11" t="str">
        <f>IF(COUNTIF(D$1:D449,D449)=1,MAX(C$1:C448)+1,"")</f>
        <v/>
      </c>
      <c r="D449" s="12"/>
    </row>
    <row r="450" spans="1:4" x14ac:dyDescent="0.25">
      <c r="A450" t="str">
        <f>IF(COUNTIF(B$1:B450,B450)=1,MAX(A$1:A449)+1,"")</f>
        <v/>
      </c>
      <c r="B450" s="11"/>
      <c r="C450" s="11" t="str">
        <f>IF(COUNTIF(D$1:D450,D450)=1,MAX(C$1:C449)+1,"")</f>
        <v/>
      </c>
      <c r="D450" s="12"/>
    </row>
    <row r="451" spans="1:4" x14ac:dyDescent="0.25">
      <c r="A451" t="str">
        <f>IF(COUNTIF(B$1:B451,B451)=1,MAX(A$1:A450)+1,"")</f>
        <v/>
      </c>
      <c r="B451" s="11"/>
      <c r="C451" s="11" t="str">
        <f>IF(COUNTIF(D$1:D451,D451)=1,MAX(C$1:C450)+1,"")</f>
        <v/>
      </c>
      <c r="D451" s="12"/>
    </row>
    <row r="452" spans="1:4" x14ac:dyDescent="0.25">
      <c r="A452" t="str">
        <f>IF(COUNTIF(B$1:B452,B452)=1,MAX(A$1:A451)+1,"")</f>
        <v/>
      </c>
      <c r="B452" s="11"/>
      <c r="C452" s="11" t="str">
        <f>IF(COUNTIF(D$1:D452,D452)=1,MAX(C$1:C451)+1,"")</f>
        <v/>
      </c>
      <c r="D452" s="12"/>
    </row>
    <row r="453" spans="1:4" x14ac:dyDescent="0.25">
      <c r="A453" t="str">
        <f>IF(COUNTIF(B$1:B453,B453)=1,MAX(A$1:A452)+1,"")</f>
        <v/>
      </c>
      <c r="B453" s="11"/>
      <c r="C453" s="11" t="str">
        <f>IF(COUNTIF(D$1:D453,D453)=1,MAX(C$1:C452)+1,"")</f>
        <v/>
      </c>
      <c r="D453" s="12"/>
    </row>
    <row r="454" spans="1:4" x14ac:dyDescent="0.25">
      <c r="A454" t="str">
        <f>IF(COUNTIF(B$1:B454,B454)=1,MAX(A$1:A453)+1,"")</f>
        <v/>
      </c>
      <c r="B454" s="11"/>
      <c r="C454" s="11" t="str">
        <f>IF(COUNTIF(D$1:D454,D454)=1,MAX(C$1:C453)+1,"")</f>
        <v/>
      </c>
      <c r="D454" s="12"/>
    </row>
    <row r="455" spans="1:4" x14ac:dyDescent="0.25">
      <c r="A455" t="str">
        <f>IF(COUNTIF(B$1:B455,B455)=1,MAX(A$1:A454)+1,"")</f>
        <v/>
      </c>
      <c r="B455" s="11"/>
      <c r="C455" s="11" t="str">
        <f>IF(COUNTIF(D$1:D455,D455)=1,MAX(C$1:C454)+1,"")</f>
        <v/>
      </c>
      <c r="D455" s="12"/>
    </row>
    <row r="456" spans="1:4" x14ac:dyDescent="0.25">
      <c r="A456" t="str">
        <f>IF(COUNTIF(B$1:B456,B456)=1,MAX(A$1:A455)+1,"")</f>
        <v/>
      </c>
      <c r="B456" s="11"/>
      <c r="C456" s="11" t="str">
        <f>IF(COUNTIF(D$1:D456,D456)=1,MAX(C$1:C455)+1,"")</f>
        <v/>
      </c>
      <c r="D456" s="12"/>
    </row>
    <row r="457" spans="1:4" x14ac:dyDescent="0.25">
      <c r="A457" t="str">
        <f>IF(COUNTIF(B$1:B457,B457)=1,MAX(A$1:A456)+1,"")</f>
        <v/>
      </c>
      <c r="B457" s="11"/>
      <c r="C457" s="11" t="str">
        <f>IF(COUNTIF(D$1:D457,D457)=1,MAX(C$1:C456)+1,"")</f>
        <v/>
      </c>
      <c r="D457" s="12"/>
    </row>
    <row r="458" spans="1:4" x14ac:dyDescent="0.25">
      <c r="A458" t="str">
        <f>IF(COUNTIF(B$1:B458,B458)=1,MAX(A$1:A457)+1,"")</f>
        <v/>
      </c>
      <c r="B458" s="11"/>
      <c r="C458" s="11" t="str">
        <f>IF(COUNTIF(D$1:D458,D458)=1,MAX(C$1:C457)+1,"")</f>
        <v/>
      </c>
      <c r="D458" s="12"/>
    </row>
    <row r="459" spans="1:4" x14ac:dyDescent="0.25">
      <c r="A459" t="str">
        <f>IF(COUNTIF(B$1:B459,B459)=1,MAX(A$1:A458)+1,"")</f>
        <v/>
      </c>
      <c r="B459" s="11"/>
      <c r="C459" s="11" t="str">
        <f>IF(COUNTIF(D$1:D459,D459)=1,MAX(C$1:C458)+1,"")</f>
        <v/>
      </c>
      <c r="D459" s="12"/>
    </row>
    <row r="460" spans="1:4" x14ac:dyDescent="0.25">
      <c r="A460" t="str">
        <f>IF(COUNTIF(B$1:B460,B460)=1,MAX(A$1:A459)+1,"")</f>
        <v/>
      </c>
      <c r="B460" s="11"/>
      <c r="C460" s="11" t="str">
        <f>IF(COUNTIF(D$1:D460,D460)=1,MAX(C$1:C459)+1,"")</f>
        <v/>
      </c>
      <c r="D460" s="12"/>
    </row>
    <row r="461" spans="1:4" x14ac:dyDescent="0.25">
      <c r="A461" t="str">
        <f>IF(COUNTIF(B$1:B461,B461)=1,MAX(A$1:A460)+1,"")</f>
        <v/>
      </c>
      <c r="B461" s="11"/>
      <c r="C461" s="11" t="str">
        <f>IF(COUNTIF(D$1:D461,D461)=1,MAX(C$1:C460)+1,"")</f>
        <v/>
      </c>
      <c r="D461" s="12"/>
    </row>
    <row r="462" spans="1:4" x14ac:dyDescent="0.25">
      <c r="A462" t="str">
        <f>IF(COUNTIF(B$1:B462,B462)=1,MAX(A$1:A461)+1,"")</f>
        <v/>
      </c>
      <c r="B462" s="11"/>
      <c r="C462" s="11" t="str">
        <f>IF(COUNTIF(D$1:D462,D462)=1,MAX(C$1:C461)+1,"")</f>
        <v/>
      </c>
      <c r="D462" s="12"/>
    </row>
    <row r="463" spans="1:4" x14ac:dyDescent="0.25">
      <c r="A463" t="str">
        <f>IF(COUNTIF(B$1:B463,B463)=1,MAX(A$1:A462)+1,"")</f>
        <v/>
      </c>
      <c r="B463" s="11"/>
      <c r="C463" s="11" t="str">
        <f>IF(COUNTIF(D$1:D463,D463)=1,MAX(C$1:C462)+1,"")</f>
        <v/>
      </c>
      <c r="D463" s="12"/>
    </row>
    <row r="464" spans="1:4" x14ac:dyDescent="0.25">
      <c r="A464" t="str">
        <f>IF(COUNTIF(B$1:B464,B464)=1,MAX(A$1:A463)+1,"")</f>
        <v/>
      </c>
      <c r="B464" s="11"/>
      <c r="C464" s="11" t="str">
        <f>IF(COUNTIF(D$1:D464,D464)=1,MAX(C$1:C463)+1,"")</f>
        <v/>
      </c>
      <c r="D464" s="12"/>
    </row>
    <row r="465" spans="1:4" x14ac:dyDescent="0.25">
      <c r="A465" t="str">
        <f>IF(COUNTIF(B$1:B465,B465)=1,MAX(A$1:A464)+1,"")</f>
        <v/>
      </c>
      <c r="B465" s="11"/>
      <c r="C465" s="11" t="str">
        <f>IF(COUNTIF(D$1:D465,D465)=1,MAX(C$1:C464)+1,"")</f>
        <v/>
      </c>
      <c r="D465" s="12"/>
    </row>
    <row r="466" spans="1:4" x14ac:dyDescent="0.25">
      <c r="A466" t="str">
        <f>IF(COUNTIF(B$1:B466,B466)=1,MAX(A$1:A465)+1,"")</f>
        <v/>
      </c>
      <c r="B466" s="11"/>
      <c r="C466" s="11" t="str">
        <f>IF(COUNTIF(D$1:D466,D466)=1,MAX(C$1:C465)+1,"")</f>
        <v/>
      </c>
      <c r="D466" s="12"/>
    </row>
    <row r="467" spans="1:4" x14ac:dyDescent="0.25">
      <c r="A467" t="str">
        <f>IF(COUNTIF(B$1:B467,B467)=1,MAX(A$1:A466)+1,"")</f>
        <v/>
      </c>
      <c r="B467" s="11"/>
      <c r="C467" s="11" t="str">
        <f>IF(COUNTIF(D$1:D467,D467)=1,MAX(C$1:C466)+1,"")</f>
        <v/>
      </c>
      <c r="D467" s="12"/>
    </row>
    <row r="468" spans="1:4" x14ac:dyDescent="0.25">
      <c r="A468" t="str">
        <f>IF(COUNTIF(B$1:B468,B468)=1,MAX(A$1:A467)+1,"")</f>
        <v/>
      </c>
      <c r="B468" s="11"/>
      <c r="C468" s="11" t="str">
        <f>IF(COUNTIF(D$1:D468,D468)=1,MAX(C$1:C467)+1,"")</f>
        <v/>
      </c>
      <c r="D468" s="12"/>
    </row>
    <row r="469" spans="1:4" x14ac:dyDescent="0.25">
      <c r="A469" t="str">
        <f>IF(COUNTIF(B$1:B469,B469)=1,MAX(A$1:A468)+1,"")</f>
        <v/>
      </c>
      <c r="B469" s="11"/>
      <c r="C469" s="11" t="str">
        <f>IF(COUNTIF(D$1:D469,D469)=1,MAX(C$1:C468)+1,"")</f>
        <v/>
      </c>
      <c r="D469" s="12"/>
    </row>
    <row r="470" spans="1:4" x14ac:dyDescent="0.25">
      <c r="A470" t="str">
        <f>IF(COUNTIF(B$1:B470,B470)=1,MAX(A$1:A469)+1,"")</f>
        <v/>
      </c>
      <c r="B470" s="11"/>
      <c r="C470" s="11" t="str">
        <f>IF(COUNTIF(D$1:D470,D470)=1,MAX(C$1:C469)+1,"")</f>
        <v/>
      </c>
      <c r="D470" s="12"/>
    </row>
    <row r="471" spans="1:4" x14ac:dyDescent="0.25">
      <c r="A471" t="str">
        <f>IF(COUNTIF(B$1:B471,B471)=1,MAX(A$1:A470)+1,"")</f>
        <v/>
      </c>
      <c r="B471" s="11"/>
      <c r="C471" s="11" t="str">
        <f>IF(COUNTIF(D$1:D471,D471)=1,MAX(C$1:C470)+1,"")</f>
        <v/>
      </c>
      <c r="D471" s="12"/>
    </row>
    <row r="472" spans="1:4" x14ac:dyDescent="0.25">
      <c r="A472" t="str">
        <f>IF(COUNTIF(B$1:B472,B472)=1,MAX(A$1:A471)+1,"")</f>
        <v/>
      </c>
      <c r="B472" s="11"/>
      <c r="C472" s="11" t="str">
        <f>IF(COUNTIF(D$1:D472,D472)=1,MAX(C$1:C471)+1,"")</f>
        <v/>
      </c>
      <c r="D472" s="12"/>
    </row>
    <row r="473" spans="1:4" x14ac:dyDescent="0.25">
      <c r="A473" t="str">
        <f>IF(COUNTIF(B$1:B473,B473)=1,MAX(A$1:A472)+1,"")</f>
        <v/>
      </c>
      <c r="B473" s="11"/>
      <c r="C473" s="11" t="str">
        <f>IF(COUNTIF(D$1:D473,D473)=1,MAX(C$1:C472)+1,"")</f>
        <v/>
      </c>
      <c r="D473" s="12"/>
    </row>
    <row r="474" spans="1:4" x14ac:dyDescent="0.25">
      <c r="A474" t="str">
        <f>IF(COUNTIF(B$1:B474,B474)=1,MAX(A$1:A473)+1,"")</f>
        <v/>
      </c>
      <c r="B474" s="11"/>
      <c r="C474" s="11" t="str">
        <f>IF(COUNTIF(D$1:D474,D474)=1,MAX(C$1:C473)+1,"")</f>
        <v/>
      </c>
      <c r="D474" s="12"/>
    </row>
    <row r="475" spans="1:4" x14ac:dyDescent="0.25">
      <c r="A475" t="str">
        <f>IF(COUNTIF(B$1:B475,B475)=1,MAX(A$1:A474)+1,"")</f>
        <v/>
      </c>
      <c r="B475" s="11"/>
      <c r="C475" s="11" t="str">
        <f>IF(COUNTIF(D$1:D475,D475)=1,MAX(C$1:C474)+1,"")</f>
        <v/>
      </c>
      <c r="D475" s="12"/>
    </row>
    <row r="476" spans="1:4" x14ac:dyDescent="0.25">
      <c r="A476" t="str">
        <f>IF(COUNTIF(B$1:B476,B476)=1,MAX(A$1:A475)+1,"")</f>
        <v/>
      </c>
      <c r="B476" s="11"/>
      <c r="C476" s="11" t="str">
        <f>IF(COUNTIF(D$1:D476,D476)=1,MAX(C$1:C475)+1,"")</f>
        <v/>
      </c>
      <c r="D476" s="12"/>
    </row>
    <row r="477" spans="1:4" x14ac:dyDescent="0.25">
      <c r="A477" t="str">
        <f>IF(COUNTIF(B$1:B477,B477)=1,MAX(A$1:A476)+1,"")</f>
        <v/>
      </c>
      <c r="B477" s="11"/>
      <c r="C477" s="11" t="str">
        <f>IF(COUNTIF(D$1:D477,D477)=1,MAX(C$1:C476)+1,"")</f>
        <v/>
      </c>
      <c r="D477" s="12"/>
    </row>
    <row r="478" spans="1:4" x14ac:dyDescent="0.25">
      <c r="A478" t="str">
        <f>IF(COUNTIF(B$1:B478,B478)=1,MAX(A$1:A477)+1,"")</f>
        <v/>
      </c>
      <c r="B478" s="11"/>
      <c r="C478" s="11" t="str">
        <f>IF(COUNTIF(D$1:D478,D478)=1,MAX(C$1:C477)+1,"")</f>
        <v/>
      </c>
      <c r="D478" s="12"/>
    </row>
    <row r="479" spans="1:4" x14ac:dyDescent="0.25">
      <c r="A479" t="str">
        <f>IF(COUNTIF(B$1:B479,B479)=1,MAX(A$1:A478)+1,"")</f>
        <v/>
      </c>
      <c r="B479" s="11"/>
      <c r="C479" s="11" t="str">
        <f>IF(COUNTIF(D$1:D479,D479)=1,MAX(C$1:C478)+1,"")</f>
        <v/>
      </c>
      <c r="D479" s="12"/>
    </row>
    <row r="480" spans="1:4" x14ac:dyDescent="0.25">
      <c r="A480" t="str">
        <f>IF(COUNTIF(B$1:B480,B480)=1,MAX(A$1:A479)+1,"")</f>
        <v/>
      </c>
      <c r="B480" s="11"/>
      <c r="C480" s="11" t="str">
        <f>IF(COUNTIF(D$1:D480,D480)=1,MAX(C$1:C479)+1,"")</f>
        <v/>
      </c>
      <c r="D480" s="12"/>
    </row>
    <row r="481" spans="1:4" x14ac:dyDescent="0.25">
      <c r="A481" t="str">
        <f>IF(COUNTIF(B$1:B481,B481)=1,MAX(A$1:A480)+1,"")</f>
        <v/>
      </c>
      <c r="B481" s="11"/>
      <c r="C481" s="11" t="str">
        <f>IF(COUNTIF(D$1:D481,D481)=1,MAX(C$1:C480)+1,"")</f>
        <v/>
      </c>
      <c r="D481" s="12"/>
    </row>
    <row r="482" spans="1:4" x14ac:dyDescent="0.25">
      <c r="A482" t="str">
        <f>IF(COUNTIF(B$1:B482,B482)=1,MAX(A$1:A481)+1,"")</f>
        <v/>
      </c>
      <c r="B482" s="11"/>
      <c r="C482" s="11" t="str">
        <f>IF(COUNTIF(D$1:D482,D482)=1,MAX(C$1:C481)+1,"")</f>
        <v/>
      </c>
      <c r="D482" s="12"/>
    </row>
    <row r="483" spans="1:4" x14ac:dyDescent="0.25">
      <c r="A483" t="str">
        <f>IF(COUNTIF(B$1:B483,B483)=1,MAX(A$1:A482)+1,"")</f>
        <v/>
      </c>
      <c r="B483" s="11"/>
      <c r="C483" s="11" t="str">
        <f>IF(COUNTIF(D$1:D483,D483)=1,MAX(C$1:C482)+1,"")</f>
        <v/>
      </c>
      <c r="D483" s="12"/>
    </row>
    <row r="484" spans="1:4" x14ac:dyDescent="0.25">
      <c r="A484" t="str">
        <f>IF(COUNTIF(B$1:B484,B484)=1,MAX(A$1:A483)+1,"")</f>
        <v/>
      </c>
      <c r="B484" s="11"/>
      <c r="C484" s="11" t="str">
        <f>IF(COUNTIF(D$1:D484,D484)=1,MAX(C$1:C483)+1,"")</f>
        <v/>
      </c>
      <c r="D484" s="12"/>
    </row>
    <row r="485" spans="1:4" x14ac:dyDescent="0.25">
      <c r="A485" t="str">
        <f>IF(COUNTIF(B$1:B485,B485)=1,MAX(A$1:A484)+1,"")</f>
        <v/>
      </c>
      <c r="B485" s="11"/>
      <c r="C485" s="11" t="str">
        <f>IF(COUNTIF(D$1:D485,D485)=1,MAX(C$1:C484)+1,"")</f>
        <v/>
      </c>
      <c r="D485" s="12"/>
    </row>
    <row r="486" spans="1:4" x14ac:dyDescent="0.25">
      <c r="A486" t="str">
        <f>IF(COUNTIF(B$1:B486,B486)=1,MAX(A$1:A485)+1,"")</f>
        <v/>
      </c>
      <c r="B486" s="11"/>
      <c r="C486" s="11" t="str">
        <f>IF(COUNTIF(D$1:D486,D486)=1,MAX(C$1:C485)+1,"")</f>
        <v/>
      </c>
      <c r="D486" s="12"/>
    </row>
    <row r="487" spans="1:4" x14ac:dyDescent="0.25">
      <c r="A487" t="str">
        <f>IF(COUNTIF(B$1:B487,B487)=1,MAX(A$1:A486)+1,"")</f>
        <v/>
      </c>
      <c r="B487" s="11"/>
      <c r="C487" s="11" t="str">
        <f>IF(COUNTIF(D$1:D487,D487)=1,MAX(C$1:C486)+1,"")</f>
        <v/>
      </c>
      <c r="D487" s="12"/>
    </row>
    <row r="488" spans="1:4" x14ac:dyDescent="0.25">
      <c r="A488" t="str">
        <f>IF(COUNTIF(B$1:B488,B488)=1,MAX(A$1:A487)+1,"")</f>
        <v/>
      </c>
      <c r="B488" s="11"/>
      <c r="C488" s="11" t="str">
        <f>IF(COUNTIF(D$1:D488,D488)=1,MAX(C$1:C487)+1,"")</f>
        <v/>
      </c>
      <c r="D488" s="12"/>
    </row>
    <row r="489" spans="1:4" x14ac:dyDescent="0.25">
      <c r="A489" t="str">
        <f>IF(COUNTIF(B$1:B489,B489)=1,MAX(A$1:A488)+1,"")</f>
        <v/>
      </c>
      <c r="B489" s="11"/>
      <c r="C489" s="11" t="str">
        <f>IF(COUNTIF(D$1:D489,D489)=1,MAX(C$1:C488)+1,"")</f>
        <v/>
      </c>
      <c r="D489" s="12"/>
    </row>
    <row r="490" spans="1:4" x14ac:dyDescent="0.25">
      <c r="A490" t="str">
        <f>IF(COUNTIF(B$1:B490,B490)=1,MAX(A$1:A489)+1,"")</f>
        <v/>
      </c>
      <c r="B490" s="11"/>
      <c r="C490" s="11" t="str">
        <f>IF(COUNTIF(D$1:D490,D490)=1,MAX(C$1:C489)+1,"")</f>
        <v/>
      </c>
      <c r="D490" s="12"/>
    </row>
    <row r="491" spans="1:4" x14ac:dyDescent="0.25">
      <c r="A491" t="str">
        <f>IF(COUNTIF(B$1:B491,B491)=1,MAX(A$1:A490)+1,"")</f>
        <v/>
      </c>
      <c r="B491" s="11"/>
      <c r="C491" s="11" t="str">
        <f>IF(COUNTIF(D$1:D491,D491)=1,MAX(C$1:C490)+1,"")</f>
        <v/>
      </c>
      <c r="D491" s="12"/>
    </row>
    <row r="492" spans="1:4" x14ac:dyDescent="0.25">
      <c r="A492" t="str">
        <f>IF(COUNTIF(B$1:B492,B492)=1,MAX(A$1:A491)+1,"")</f>
        <v/>
      </c>
      <c r="B492" s="11"/>
      <c r="C492" s="11" t="str">
        <f>IF(COUNTIF(D$1:D492,D492)=1,MAX(C$1:C491)+1,"")</f>
        <v/>
      </c>
      <c r="D492" s="12"/>
    </row>
    <row r="493" spans="1:4" x14ac:dyDescent="0.25">
      <c r="A493" t="str">
        <f>IF(COUNTIF(B$1:B493,B493)=1,MAX(A$1:A492)+1,"")</f>
        <v/>
      </c>
      <c r="B493" s="11"/>
      <c r="C493" s="11" t="str">
        <f>IF(COUNTIF(D$1:D493,D493)=1,MAX(C$1:C492)+1,"")</f>
        <v/>
      </c>
      <c r="D493" s="12"/>
    </row>
    <row r="494" spans="1:4" x14ac:dyDescent="0.25">
      <c r="A494" t="str">
        <f>IF(COUNTIF(B$1:B494,B494)=1,MAX(A$1:A493)+1,"")</f>
        <v/>
      </c>
      <c r="B494" s="11"/>
      <c r="C494" s="11" t="str">
        <f>IF(COUNTIF(D$1:D494,D494)=1,MAX(C$1:C493)+1,"")</f>
        <v/>
      </c>
      <c r="D494" s="12"/>
    </row>
    <row r="495" spans="1:4" x14ac:dyDescent="0.25">
      <c r="A495" t="str">
        <f>IF(COUNTIF(B$1:B495,B495)=1,MAX(A$1:A494)+1,"")</f>
        <v/>
      </c>
      <c r="B495" s="11"/>
      <c r="C495" s="11" t="str">
        <f>IF(COUNTIF(D$1:D495,D495)=1,MAX(C$1:C494)+1,"")</f>
        <v/>
      </c>
      <c r="D495" s="12"/>
    </row>
    <row r="496" spans="1:4" x14ac:dyDescent="0.25">
      <c r="A496" t="str">
        <f>IF(COUNTIF(B$1:B496,B496)=1,MAX(A$1:A495)+1,"")</f>
        <v/>
      </c>
      <c r="B496" s="11"/>
      <c r="C496" s="11" t="str">
        <f>IF(COUNTIF(D$1:D496,D496)=1,MAX(C$1:C495)+1,"")</f>
        <v/>
      </c>
      <c r="D496" s="12"/>
    </row>
    <row r="497" spans="1:4" x14ac:dyDescent="0.25">
      <c r="A497" t="str">
        <f>IF(COUNTIF(B$1:B497,B497)=1,MAX(A$1:A496)+1,"")</f>
        <v/>
      </c>
      <c r="B497" s="11"/>
      <c r="C497" s="11" t="str">
        <f>IF(COUNTIF(D$1:D497,D497)=1,MAX(C$1:C496)+1,"")</f>
        <v/>
      </c>
      <c r="D497" s="12"/>
    </row>
    <row r="498" spans="1:4" x14ac:dyDescent="0.25">
      <c r="A498" t="str">
        <f>IF(COUNTIF(B$1:B498,B498)=1,MAX(A$1:A497)+1,"")</f>
        <v/>
      </c>
      <c r="B498" s="11"/>
      <c r="C498" s="11" t="str">
        <f>IF(COUNTIF(D$1:D498,D498)=1,MAX(C$1:C497)+1,"")</f>
        <v/>
      </c>
      <c r="D498" s="12"/>
    </row>
    <row r="499" spans="1:4" x14ac:dyDescent="0.25">
      <c r="A499" t="str">
        <f>IF(COUNTIF(B$1:B499,B499)=1,MAX(A$1:A498)+1,"")</f>
        <v/>
      </c>
      <c r="B499" s="11"/>
      <c r="C499" s="11" t="str">
        <f>IF(COUNTIF(D$1:D499,D499)=1,MAX(C$1:C498)+1,"")</f>
        <v/>
      </c>
      <c r="D499" s="12"/>
    </row>
    <row r="500" spans="1:4" x14ac:dyDescent="0.25">
      <c r="A500" t="str">
        <f>IF(COUNTIF(B$1:B500,B500)=1,MAX(A$1:A499)+1,"")</f>
        <v/>
      </c>
      <c r="B500" s="11"/>
      <c r="C500" s="11" t="str">
        <f>IF(COUNTIF(D$1:D500,D500)=1,MAX(C$1:C499)+1,"")</f>
        <v/>
      </c>
      <c r="D500" s="12"/>
    </row>
    <row r="501" spans="1:4" x14ac:dyDescent="0.25">
      <c r="A501" t="str">
        <f>IF(COUNTIF(B$1:B501,B501)=1,MAX(A$1:A500)+1,"")</f>
        <v/>
      </c>
      <c r="B501" s="11"/>
      <c r="C501" s="11" t="str">
        <f>IF(COUNTIF(D$1:D501,D501)=1,MAX(C$1:C500)+1,"")</f>
        <v/>
      </c>
      <c r="D501" s="12"/>
    </row>
    <row r="502" spans="1:4" x14ac:dyDescent="0.25">
      <c r="A502" t="str">
        <f>IF(COUNTIF(B$1:B502,B502)=1,MAX(A$1:A501)+1,"")</f>
        <v/>
      </c>
      <c r="B502" s="11"/>
      <c r="C502" s="11" t="str">
        <f>IF(COUNTIF(D$1:D502,D502)=1,MAX(C$1:C501)+1,"")</f>
        <v/>
      </c>
      <c r="D502" s="12"/>
    </row>
    <row r="503" spans="1:4" x14ac:dyDescent="0.25">
      <c r="A503" t="str">
        <f>IF(COUNTIF(B$1:B503,B503)=1,MAX(A$1:A502)+1,"")</f>
        <v/>
      </c>
      <c r="B503" s="11"/>
      <c r="C503" s="11" t="str">
        <f>IF(COUNTIF(D$1:D503,D503)=1,MAX(C$1:C502)+1,"")</f>
        <v/>
      </c>
      <c r="D503" s="12"/>
    </row>
    <row r="504" spans="1:4" x14ac:dyDescent="0.25">
      <c r="A504" t="str">
        <f>IF(COUNTIF(B$1:B504,B504)=1,MAX(A$1:A503)+1,"")</f>
        <v/>
      </c>
      <c r="B504" s="11"/>
      <c r="C504" s="11" t="str">
        <f>IF(COUNTIF(D$1:D504,D504)=1,MAX(C$1:C503)+1,"")</f>
        <v/>
      </c>
      <c r="D504" s="12"/>
    </row>
    <row r="505" spans="1:4" x14ac:dyDescent="0.25">
      <c r="A505" t="str">
        <f>IF(COUNTIF(B$1:B505,B505)=1,MAX(A$1:A504)+1,"")</f>
        <v/>
      </c>
      <c r="B505" s="11"/>
      <c r="C505" s="11" t="str">
        <f>IF(COUNTIF(D$1:D505,D505)=1,MAX(C$1:C504)+1,"")</f>
        <v/>
      </c>
      <c r="D505" s="12"/>
    </row>
    <row r="506" spans="1:4" x14ac:dyDescent="0.25">
      <c r="A506" t="str">
        <f>IF(COUNTIF(B$1:B506,B506)=1,MAX(A$1:A505)+1,"")</f>
        <v/>
      </c>
      <c r="B506" s="11"/>
      <c r="C506" s="11" t="str">
        <f>IF(COUNTIF(D$1:D506,D506)=1,MAX(C$1:C505)+1,"")</f>
        <v/>
      </c>
      <c r="D506" s="12"/>
    </row>
    <row r="507" spans="1:4" x14ac:dyDescent="0.25">
      <c r="A507" t="str">
        <f>IF(COUNTIF(B$1:B507,B507)=1,MAX(A$1:A506)+1,"")</f>
        <v/>
      </c>
      <c r="B507" s="11"/>
      <c r="C507" s="11" t="str">
        <f>IF(COUNTIF(D$1:D507,D507)=1,MAX(C$1:C506)+1,"")</f>
        <v/>
      </c>
      <c r="D507" s="12"/>
    </row>
    <row r="508" spans="1:4" x14ac:dyDescent="0.25">
      <c r="A508" t="str">
        <f>IF(COUNTIF(B$1:B508,B508)=1,MAX(A$1:A507)+1,"")</f>
        <v/>
      </c>
      <c r="B508" s="11"/>
      <c r="C508" s="11" t="str">
        <f>IF(COUNTIF(D$1:D508,D508)=1,MAX(C$1:C507)+1,"")</f>
        <v/>
      </c>
      <c r="D508" s="12"/>
    </row>
    <row r="509" spans="1:4" x14ac:dyDescent="0.25">
      <c r="A509" t="str">
        <f>IF(COUNTIF(B$1:B509,B509)=1,MAX(A$1:A508)+1,"")</f>
        <v/>
      </c>
      <c r="B509" s="11"/>
      <c r="C509" s="11" t="str">
        <f>IF(COUNTIF(D$1:D509,D509)=1,MAX(C$1:C508)+1,"")</f>
        <v/>
      </c>
      <c r="D509" s="12"/>
    </row>
    <row r="510" spans="1:4" x14ac:dyDescent="0.25">
      <c r="A510" t="str">
        <f>IF(COUNTIF(B$1:B510,B510)=1,MAX(A$1:A509)+1,"")</f>
        <v/>
      </c>
      <c r="B510" s="11"/>
      <c r="C510" s="11" t="str">
        <f>IF(COUNTIF(D$1:D510,D510)=1,MAX(C$1:C509)+1,"")</f>
        <v/>
      </c>
      <c r="D510" s="12"/>
    </row>
    <row r="511" spans="1:4" x14ac:dyDescent="0.25">
      <c r="A511" t="str">
        <f>IF(COUNTIF(B$1:B511,B511)=1,MAX(A$1:A510)+1,"")</f>
        <v/>
      </c>
      <c r="B511" s="11"/>
      <c r="C511" s="11" t="str">
        <f>IF(COUNTIF(D$1:D511,D511)=1,MAX(C$1:C510)+1,"")</f>
        <v/>
      </c>
      <c r="D511" s="12"/>
    </row>
    <row r="512" spans="1:4" x14ac:dyDescent="0.25">
      <c r="A512" t="str">
        <f>IF(COUNTIF(B$1:B512,B512)=1,MAX(A$1:A511)+1,"")</f>
        <v/>
      </c>
      <c r="B512" s="11"/>
      <c r="C512" s="11" t="str">
        <f>IF(COUNTIF(D$1:D512,D512)=1,MAX(C$1:C511)+1,"")</f>
        <v/>
      </c>
      <c r="D512" s="12"/>
    </row>
    <row r="513" spans="1:4" x14ac:dyDescent="0.25">
      <c r="A513" t="str">
        <f>IF(COUNTIF(B$1:B513,B513)=1,MAX(A$1:A512)+1,"")</f>
        <v/>
      </c>
      <c r="B513" s="11"/>
      <c r="C513" s="11" t="str">
        <f>IF(COUNTIF(D$1:D513,D513)=1,MAX(C$1:C512)+1,"")</f>
        <v/>
      </c>
      <c r="D513" s="12"/>
    </row>
    <row r="514" spans="1:4" x14ac:dyDescent="0.25">
      <c r="A514" t="str">
        <f>IF(COUNTIF(B$1:B514,B514)=1,MAX(A$1:A513)+1,"")</f>
        <v/>
      </c>
      <c r="B514" s="11"/>
      <c r="C514" s="11" t="str">
        <f>IF(COUNTIF(D$1:D514,D514)=1,MAX(C$1:C513)+1,"")</f>
        <v/>
      </c>
      <c r="D514" s="12"/>
    </row>
    <row r="515" spans="1:4" x14ac:dyDescent="0.25">
      <c r="A515" t="str">
        <f>IF(COUNTIF(B$1:B515,B515)=1,MAX(A$1:A514)+1,"")</f>
        <v/>
      </c>
      <c r="B515" s="11"/>
      <c r="C515" s="11" t="str">
        <f>IF(COUNTIF(D$1:D515,D515)=1,MAX(C$1:C514)+1,"")</f>
        <v/>
      </c>
      <c r="D515" s="12"/>
    </row>
    <row r="516" spans="1:4" x14ac:dyDescent="0.25">
      <c r="A516" t="str">
        <f>IF(COUNTIF(B$1:B516,B516)=1,MAX(A$1:A515)+1,"")</f>
        <v/>
      </c>
      <c r="B516" s="11"/>
      <c r="C516" s="11" t="str">
        <f>IF(COUNTIF(D$1:D516,D516)=1,MAX(C$1:C515)+1,"")</f>
        <v/>
      </c>
      <c r="D516" s="12"/>
    </row>
    <row r="517" spans="1:4" x14ac:dyDescent="0.25">
      <c r="A517" t="str">
        <f>IF(COUNTIF(B$1:B517,B517)=1,MAX(A$1:A516)+1,"")</f>
        <v/>
      </c>
      <c r="B517" s="11"/>
      <c r="C517" s="11" t="str">
        <f>IF(COUNTIF(D$1:D517,D517)=1,MAX(C$1:C516)+1,"")</f>
        <v/>
      </c>
      <c r="D517" s="12"/>
    </row>
    <row r="518" spans="1:4" x14ac:dyDescent="0.25">
      <c r="A518" t="str">
        <f>IF(COUNTIF(B$1:B518,B518)=1,MAX(A$1:A517)+1,"")</f>
        <v/>
      </c>
      <c r="B518" s="11"/>
      <c r="C518" s="11" t="str">
        <f>IF(COUNTIF(D$1:D518,D518)=1,MAX(C$1:C517)+1,"")</f>
        <v/>
      </c>
      <c r="D518" s="12"/>
    </row>
    <row r="519" spans="1:4" x14ac:dyDescent="0.25">
      <c r="A519" t="str">
        <f>IF(COUNTIF(B$1:B519,B519)=1,MAX(A$1:A518)+1,"")</f>
        <v/>
      </c>
      <c r="B519" s="11"/>
      <c r="C519" s="11" t="str">
        <f>IF(COUNTIF(D$1:D519,D519)=1,MAX(C$1:C518)+1,"")</f>
        <v/>
      </c>
      <c r="D519" s="12"/>
    </row>
    <row r="520" spans="1:4" x14ac:dyDescent="0.25">
      <c r="A520" t="str">
        <f>IF(COUNTIF(B$1:B520,B520)=1,MAX(A$1:A519)+1,"")</f>
        <v/>
      </c>
      <c r="B520" s="11"/>
      <c r="C520" s="11" t="str">
        <f>IF(COUNTIF(D$1:D520,D520)=1,MAX(C$1:C519)+1,"")</f>
        <v/>
      </c>
      <c r="D520" s="12"/>
    </row>
    <row r="521" spans="1:4" x14ac:dyDescent="0.25">
      <c r="A521" t="str">
        <f>IF(COUNTIF(B$1:B521,B521)=1,MAX(A$1:A520)+1,"")</f>
        <v/>
      </c>
      <c r="B521" s="11"/>
      <c r="C521" s="11" t="str">
        <f>IF(COUNTIF(D$1:D521,D521)=1,MAX(C$1:C520)+1,"")</f>
        <v/>
      </c>
      <c r="D521" s="12"/>
    </row>
    <row r="522" spans="1:4" x14ac:dyDescent="0.25">
      <c r="A522" t="str">
        <f>IF(COUNTIF(B$1:B522,B522)=1,MAX(A$1:A521)+1,"")</f>
        <v/>
      </c>
      <c r="B522" s="11"/>
      <c r="C522" s="11" t="str">
        <f>IF(COUNTIF(D$1:D522,D522)=1,MAX(C$1:C521)+1,"")</f>
        <v/>
      </c>
      <c r="D522" s="12"/>
    </row>
    <row r="523" spans="1:4" x14ac:dyDescent="0.25">
      <c r="A523" t="str">
        <f>IF(COUNTIF(B$1:B523,B523)=1,MAX(A$1:A522)+1,"")</f>
        <v/>
      </c>
      <c r="B523" s="11"/>
      <c r="C523" s="11" t="str">
        <f>IF(COUNTIF(D$1:D523,D523)=1,MAX(C$1:C522)+1,"")</f>
        <v/>
      </c>
      <c r="D523" s="12"/>
    </row>
    <row r="524" spans="1:4" x14ac:dyDescent="0.25">
      <c r="A524" t="str">
        <f>IF(COUNTIF(B$1:B524,B524)=1,MAX(A$1:A523)+1,"")</f>
        <v/>
      </c>
      <c r="B524" s="11"/>
      <c r="C524" s="11" t="str">
        <f>IF(COUNTIF(D$1:D524,D524)=1,MAX(C$1:C523)+1,"")</f>
        <v/>
      </c>
      <c r="D524" s="12"/>
    </row>
    <row r="525" spans="1:4" x14ac:dyDescent="0.25">
      <c r="A525" t="str">
        <f>IF(COUNTIF(B$1:B525,B525)=1,MAX(A$1:A524)+1,"")</f>
        <v/>
      </c>
      <c r="B525" s="11"/>
      <c r="C525" s="11" t="str">
        <f>IF(COUNTIF(D$1:D525,D525)=1,MAX(C$1:C524)+1,"")</f>
        <v/>
      </c>
      <c r="D525" s="12"/>
    </row>
    <row r="526" spans="1:4" x14ac:dyDescent="0.25">
      <c r="A526" t="str">
        <f>IF(COUNTIF(B$1:B526,B526)=1,MAX(A$1:A525)+1,"")</f>
        <v/>
      </c>
      <c r="B526" s="11"/>
      <c r="C526" s="11" t="str">
        <f>IF(COUNTIF(D$1:D526,D526)=1,MAX(C$1:C525)+1,"")</f>
        <v/>
      </c>
      <c r="D526" s="12"/>
    </row>
    <row r="527" spans="1:4" x14ac:dyDescent="0.25">
      <c r="A527" t="str">
        <f>IF(COUNTIF(B$1:B527,B527)=1,MAX(A$1:A526)+1,"")</f>
        <v/>
      </c>
      <c r="B527" s="11"/>
      <c r="C527" s="11" t="str">
        <f>IF(COUNTIF(D$1:D527,D527)=1,MAX(C$1:C526)+1,"")</f>
        <v/>
      </c>
      <c r="D527" s="12"/>
    </row>
    <row r="528" spans="1:4" x14ac:dyDescent="0.25">
      <c r="A528" t="str">
        <f>IF(COUNTIF(B$1:B528,B528)=1,MAX(A$1:A527)+1,"")</f>
        <v/>
      </c>
      <c r="B528" s="11"/>
      <c r="C528" s="11" t="str">
        <f>IF(COUNTIF(D$1:D528,D528)=1,MAX(C$1:C527)+1,"")</f>
        <v/>
      </c>
      <c r="D528" s="12"/>
    </row>
    <row r="529" spans="1:4" x14ac:dyDescent="0.25">
      <c r="A529" t="str">
        <f>IF(COUNTIF(B$1:B529,B529)=1,MAX(A$1:A528)+1,"")</f>
        <v/>
      </c>
      <c r="B529" s="11"/>
      <c r="C529" s="11" t="str">
        <f>IF(COUNTIF(D$1:D529,D529)=1,MAX(C$1:C528)+1,"")</f>
        <v/>
      </c>
      <c r="D529" s="12"/>
    </row>
    <row r="530" spans="1:4" x14ac:dyDescent="0.25">
      <c r="A530" t="str">
        <f>IF(COUNTIF(B$1:B530,B530)=1,MAX(A$1:A529)+1,"")</f>
        <v/>
      </c>
      <c r="B530" s="11"/>
      <c r="C530" s="11" t="str">
        <f>IF(COUNTIF(D$1:D530,D530)=1,MAX(C$1:C529)+1,"")</f>
        <v/>
      </c>
      <c r="D530" s="12"/>
    </row>
    <row r="531" spans="1:4" x14ac:dyDescent="0.25">
      <c r="A531" t="str">
        <f>IF(COUNTIF(B$1:B531,B531)=1,MAX(A$1:A530)+1,"")</f>
        <v/>
      </c>
      <c r="B531" s="11"/>
      <c r="C531" s="11" t="str">
        <f>IF(COUNTIF(D$1:D531,D531)=1,MAX(C$1:C530)+1,"")</f>
        <v/>
      </c>
      <c r="D531" s="12"/>
    </row>
    <row r="532" spans="1:4" x14ac:dyDescent="0.25">
      <c r="A532" t="str">
        <f>IF(COUNTIF(B$1:B532,B532)=1,MAX(A$1:A531)+1,"")</f>
        <v/>
      </c>
      <c r="B532" s="11"/>
      <c r="C532" s="11" t="str">
        <f>IF(COUNTIF(D$1:D532,D532)=1,MAX(C$1:C531)+1,"")</f>
        <v/>
      </c>
      <c r="D532" s="12"/>
    </row>
    <row r="533" spans="1:4" x14ac:dyDescent="0.25">
      <c r="A533" t="str">
        <f>IF(COUNTIF(B$1:B533,B533)=1,MAX(A$1:A532)+1,"")</f>
        <v/>
      </c>
      <c r="B533" s="11"/>
      <c r="C533" s="11" t="str">
        <f>IF(COUNTIF(D$1:D533,D533)=1,MAX(C$1:C532)+1,"")</f>
        <v/>
      </c>
      <c r="D533" s="12"/>
    </row>
    <row r="534" spans="1:4" x14ac:dyDescent="0.25">
      <c r="A534" t="str">
        <f>IF(COUNTIF(B$1:B534,B534)=1,MAX(A$1:A533)+1,"")</f>
        <v/>
      </c>
      <c r="B534" s="11"/>
      <c r="C534" s="11" t="str">
        <f>IF(COUNTIF(D$1:D534,D534)=1,MAX(C$1:C533)+1,"")</f>
        <v/>
      </c>
      <c r="D534" s="12"/>
    </row>
    <row r="535" spans="1:4" x14ac:dyDescent="0.25">
      <c r="A535" t="str">
        <f>IF(COUNTIF(B$1:B535,B535)=1,MAX(A$1:A534)+1,"")</f>
        <v/>
      </c>
      <c r="B535" s="11"/>
      <c r="C535" s="11" t="str">
        <f>IF(COUNTIF(D$1:D535,D535)=1,MAX(C$1:C534)+1,"")</f>
        <v/>
      </c>
      <c r="D535" s="12"/>
    </row>
    <row r="536" spans="1:4" x14ac:dyDescent="0.25">
      <c r="A536" t="str">
        <f>IF(COUNTIF(B$1:B536,B536)=1,MAX(A$1:A535)+1,"")</f>
        <v/>
      </c>
      <c r="B536" s="11"/>
      <c r="C536" s="11" t="str">
        <f>IF(COUNTIF(D$1:D536,D536)=1,MAX(C$1:C535)+1,"")</f>
        <v/>
      </c>
      <c r="D536" s="12"/>
    </row>
    <row r="537" spans="1:4" x14ac:dyDescent="0.25">
      <c r="A537" t="str">
        <f>IF(COUNTIF(B$1:B537,B537)=1,MAX(A$1:A536)+1,"")</f>
        <v/>
      </c>
      <c r="B537" s="11"/>
      <c r="C537" s="11" t="str">
        <f>IF(COUNTIF(D$1:D537,D537)=1,MAX(C$1:C536)+1,"")</f>
        <v/>
      </c>
      <c r="D537" s="12"/>
    </row>
    <row r="538" spans="1:4" x14ac:dyDescent="0.25">
      <c r="A538" t="str">
        <f>IF(COUNTIF(B$1:B538,B538)=1,MAX(A$1:A537)+1,"")</f>
        <v/>
      </c>
      <c r="B538" s="11"/>
      <c r="C538" s="11" t="str">
        <f>IF(COUNTIF(D$1:D538,D538)=1,MAX(C$1:C537)+1,"")</f>
        <v/>
      </c>
      <c r="D538" s="12"/>
    </row>
    <row r="539" spans="1:4" x14ac:dyDescent="0.25">
      <c r="A539" t="str">
        <f>IF(COUNTIF(B$1:B539,B539)=1,MAX(A$1:A538)+1,"")</f>
        <v/>
      </c>
      <c r="B539" s="11"/>
      <c r="C539" s="11" t="str">
        <f>IF(COUNTIF(D$1:D539,D539)=1,MAX(C$1:C538)+1,"")</f>
        <v/>
      </c>
      <c r="D539" s="12"/>
    </row>
    <row r="540" spans="1:4" x14ac:dyDescent="0.25">
      <c r="A540" t="str">
        <f>IF(COUNTIF(B$1:B540,B540)=1,MAX(A$1:A539)+1,"")</f>
        <v/>
      </c>
      <c r="B540" s="11"/>
      <c r="C540" s="11" t="str">
        <f>IF(COUNTIF(D$1:D540,D540)=1,MAX(C$1:C539)+1,"")</f>
        <v/>
      </c>
      <c r="D540" s="12"/>
    </row>
    <row r="541" spans="1:4" x14ac:dyDescent="0.25">
      <c r="A541" t="str">
        <f>IF(COUNTIF(B$1:B541,B541)=1,MAX(A$1:A540)+1,"")</f>
        <v/>
      </c>
      <c r="B541" s="11"/>
      <c r="C541" s="11" t="str">
        <f>IF(COUNTIF(D$1:D541,D541)=1,MAX(C$1:C540)+1,"")</f>
        <v/>
      </c>
      <c r="D541" s="12"/>
    </row>
    <row r="542" spans="1:4" x14ac:dyDescent="0.25">
      <c r="A542" t="str">
        <f>IF(COUNTIF(B$1:B542,B542)=1,MAX(A$1:A541)+1,"")</f>
        <v/>
      </c>
      <c r="B542" s="11"/>
      <c r="C542" s="11" t="str">
        <f>IF(COUNTIF(D$1:D542,D542)=1,MAX(C$1:C541)+1,"")</f>
        <v/>
      </c>
      <c r="D542" s="12"/>
    </row>
    <row r="543" spans="1:4" x14ac:dyDescent="0.25">
      <c r="A543" t="str">
        <f>IF(COUNTIF(B$1:B543,B543)=1,MAX(A$1:A542)+1,"")</f>
        <v/>
      </c>
      <c r="B543" s="11"/>
      <c r="C543" s="11" t="str">
        <f>IF(COUNTIF(D$1:D543,D543)=1,MAX(C$1:C542)+1,"")</f>
        <v/>
      </c>
      <c r="D543" s="12"/>
    </row>
    <row r="544" spans="1:4" x14ac:dyDescent="0.25">
      <c r="A544" t="str">
        <f>IF(COUNTIF(B$1:B544,B544)=1,MAX(A$1:A543)+1,"")</f>
        <v/>
      </c>
      <c r="B544" s="11"/>
      <c r="C544" s="11" t="str">
        <f>IF(COUNTIF(D$1:D544,D544)=1,MAX(C$1:C543)+1,"")</f>
        <v/>
      </c>
      <c r="D544" s="12"/>
    </row>
    <row r="545" spans="1:4" x14ac:dyDescent="0.25">
      <c r="A545" t="str">
        <f>IF(COUNTIF(B$1:B545,B545)=1,MAX(A$1:A544)+1,"")</f>
        <v/>
      </c>
      <c r="B545" s="11"/>
      <c r="C545" s="11" t="str">
        <f>IF(COUNTIF(D$1:D545,D545)=1,MAX(C$1:C544)+1,"")</f>
        <v/>
      </c>
      <c r="D545" s="12"/>
    </row>
    <row r="546" spans="1:4" x14ac:dyDescent="0.25">
      <c r="A546" t="str">
        <f>IF(COUNTIF(B$1:B546,B546)=1,MAX(A$1:A545)+1,"")</f>
        <v/>
      </c>
      <c r="B546" s="11"/>
      <c r="C546" s="11" t="str">
        <f>IF(COUNTIF(D$1:D546,D546)=1,MAX(C$1:C545)+1,"")</f>
        <v/>
      </c>
      <c r="D546" s="12"/>
    </row>
    <row r="547" spans="1:4" x14ac:dyDescent="0.25">
      <c r="A547" t="str">
        <f>IF(COUNTIF(B$1:B547,B547)=1,MAX(A$1:A546)+1,"")</f>
        <v/>
      </c>
      <c r="B547" s="11"/>
      <c r="C547" s="11" t="str">
        <f>IF(COUNTIF(D$1:D547,D547)=1,MAX(C$1:C546)+1,"")</f>
        <v/>
      </c>
      <c r="D547" s="12"/>
    </row>
    <row r="548" spans="1:4" x14ac:dyDescent="0.25">
      <c r="A548" t="str">
        <f>IF(COUNTIF(B$1:B548,B548)=1,MAX(A$1:A547)+1,"")</f>
        <v/>
      </c>
      <c r="B548" s="11"/>
      <c r="C548" s="11" t="str">
        <f>IF(COUNTIF(D$1:D548,D548)=1,MAX(C$1:C547)+1,"")</f>
        <v/>
      </c>
      <c r="D548" s="12"/>
    </row>
    <row r="549" spans="1:4" x14ac:dyDescent="0.25">
      <c r="A549" t="str">
        <f>IF(COUNTIF(B$1:B549,B549)=1,MAX(A$1:A548)+1,"")</f>
        <v/>
      </c>
      <c r="B549" s="11"/>
      <c r="C549" s="11" t="str">
        <f>IF(COUNTIF(D$1:D549,D549)=1,MAX(C$1:C548)+1,"")</f>
        <v/>
      </c>
      <c r="D549" s="12"/>
    </row>
    <row r="550" spans="1:4" x14ac:dyDescent="0.25">
      <c r="A550" t="str">
        <f>IF(COUNTIF(B$1:B550,B550)=1,MAX(A$1:A549)+1,"")</f>
        <v/>
      </c>
      <c r="B550" s="11"/>
      <c r="C550" s="11" t="str">
        <f>IF(COUNTIF(D$1:D550,D550)=1,MAX(C$1:C549)+1,"")</f>
        <v/>
      </c>
      <c r="D550" s="12"/>
    </row>
    <row r="551" spans="1:4" x14ac:dyDescent="0.25">
      <c r="A551" t="str">
        <f>IF(COUNTIF(B$1:B551,B551)=1,MAX(A$1:A550)+1,"")</f>
        <v/>
      </c>
      <c r="B551" s="11"/>
      <c r="C551" s="11" t="str">
        <f>IF(COUNTIF(D$1:D551,D551)=1,MAX(C$1:C550)+1,"")</f>
        <v/>
      </c>
      <c r="D551" s="12"/>
    </row>
    <row r="552" spans="1:4" x14ac:dyDescent="0.25">
      <c r="A552" t="str">
        <f>IF(COUNTIF(B$1:B552,B552)=1,MAX(A$1:A551)+1,"")</f>
        <v/>
      </c>
      <c r="B552" s="11"/>
      <c r="C552" s="11" t="str">
        <f>IF(COUNTIF(D$1:D552,D552)=1,MAX(C$1:C551)+1,"")</f>
        <v/>
      </c>
      <c r="D552" s="12"/>
    </row>
    <row r="553" spans="1:4" x14ac:dyDescent="0.25">
      <c r="A553" t="str">
        <f>IF(COUNTIF(B$1:B553,B553)=1,MAX(A$1:A552)+1,"")</f>
        <v/>
      </c>
      <c r="B553" s="11"/>
      <c r="C553" s="11" t="str">
        <f>IF(COUNTIF(D$1:D553,D553)=1,MAX(C$1:C552)+1,"")</f>
        <v/>
      </c>
      <c r="D553" s="12"/>
    </row>
    <row r="554" spans="1:4" x14ac:dyDescent="0.25">
      <c r="A554" t="str">
        <f>IF(COUNTIF(B$1:B554,B554)=1,MAX(A$1:A553)+1,"")</f>
        <v/>
      </c>
      <c r="B554" s="11"/>
      <c r="C554" s="11" t="str">
        <f>IF(COUNTIF(D$1:D554,D554)=1,MAX(C$1:C553)+1,"")</f>
        <v/>
      </c>
      <c r="D554" s="12"/>
    </row>
    <row r="555" spans="1:4" x14ac:dyDescent="0.25">
      <c r="A555" t="str">
        <f>IF(COUNTIF(B$1:B555,B555)=1,MAX(A$1:A554)+1,"")</f>
        <v/>
      </c>
      <c r="B555" s="11"/>
      <c r="C555" s="11" t="str">
        <f>IF(COUNTIF(D$1:D555,D555)=1,MAX(C$1:C554)+1,"")</f>
        <v/>
      </c>
      <c r="D555" s="12"/>
    </row>
    <row r="556" spans="1:4" x14ac:dyDescent="0.25">
      <c r="A556" t="str">
        <f>IF(COUNTIF(B$1:B556,B556)=1,MAX(A$1:A555)+1,"")</f>
        <v/>
      </c>
      <c r="B556" s="11"/>
      <c r="C556" s="11" t="str">
        <f>IF(COUNTIF(D$1:D556,D556)=1,MAX(C$1:C555)+1,"")</f>
        <v/>
      </c>
      <c r="D556" s="12"/>
    </row>
    <row r="557" spans="1:4" x14ac:dyDescent="0.25">
      <c r="A557" t="str">
        <f>IF(COUNTIF(B$1:B557,B557)=1,MAX(A$1:A556)+1,"")</f>
        <v/>
      </c>
      <c r="B557" s="11"/>
      <c r="C557" s="11" t="str">
        <f>IF(COUNTIF(D$1:D557,D557)=1,MAX(C$1:C556)+1,"")</f>
        <v/>
      </c>
      <c r="D557" s="12"/>
    </row>
    <row r="558" spans="1:4" x14ac:dyDescent="0.25">
      <c r="A558" t="str">
        <f>IF(COUNTIF(B$1:B558,B558)=1,MAX(A$1:A557)+1,"")</f>
        <v/>
      </c>
      <c r="B558" s="11"/>
      <c r="C558" s="11" t="str">
        <f>IF(COUNTIF(D$1:D558,D558)=1,MAX(C$1:C557)+1,"")</f>
        <v/>
      </c>
      <c r="D558" s="12"/>
    </row>
    <row r="559" spans="1:4" x14ac:dyDescent="0.25">
      <c r="A559" t="str">
        <f>IF(COUNTIF(B$1:B559,B559)=1,MAX(A$1:A558)+1,"")</f>
        <v/>
      </c>
      <c r="B559" s="11"/>
      <c r="C559" s="11" t="str">
        <f>IF(COUNTIF(D$1:D559,D559)=1,MAX(C$1:C558)+1,"")</f>
        <v/>
      </c>
      <c r="D559" s="12"/>
    </row>
    <row r="560" spans="1:4" x14ac:dyDescent="0.25">
      <c r="A560" t="str">
        <f>IF(COUNTIF(B$1:B560,B560)=1,MAX(A$1:A559)+1,"")</f>
        <v/>
      </c>
      <c r="B560" s="11"/>
      <c r="C560" s="11" t="str">
        <f>IF(COUNTIF(D$1:D560,D560)=1,MAX(C$1:C559)+1,"")</f>
        <v/>
      </c>
      <c r="D560" s="12"/>
    </row>
    <row r="561" spans="1:4" x14ac:dyDescent="0.25">
      <c r="A561" t="str">
        <f>IF(COUNTIF(B$1:B561,B561)=1,MAX(A$1:A560)+1,"")</f>
        <v/>
      </c>
      <c r="B561" s="11"/>
      <c r="C561" s="11" t="str">
        <f>IF(COUNTIF(D$1:D561,D561)=1,MAX(C$1:C560)+1,"")</f>
        <v/>
      </c>
      <c r="D561" s="12"/>
    </row>
    <row r="562" spans="1:4" x14ac:dyDescent="0.25">
      <c r="A562" t="str">
        <f>IF(COUNTIF(B$1:B562,B562)=1,MAX(A$1:A561)+1,"")</f>
        <v/>
      </c>
      <c r="B562" s="11"/>
      <c r="C562" s="11" t="str">
        <f>IF(COUNTIF(D$1:D562,D562)=1,MAX(C$1:C561)+1,"")</f>
        <v/>
      </c>
      <c r="D562" s="12"/>
    </row>
    <row r="563" spans="1:4" x14ac:dyDescent="0.25">
      <c r="A563" t="str">
        <f>IF(COUNTIF(B$1:B563,B563)=1,MAX(A$1:A562)+1,"")</f>
        <v/>
      </c>
      <c r="B563" s="11"/>
      <c r="C563" s="11" t="str">
        <f>IF(COUNTIF(D$1:D563,D563)=1,MAX(C$1:C562)+1,"")</f>
        <v/>
      </c>
      <c r="D563" s="12"/>
    </row>
    <row r="564" spans="1:4" x14ac:dyDescent="0.25">
      <c r="A564" t="str">
        <f>IF(COUNTIF(B$1:B564,B564)=1,MAX(A$1:A563)+1,"")</f>
        <v/>
      </c>
      <c r="B564" s="11"/>
      <c r="C564" s="11" t="str">
        <f>IF(COUNTIF(D$1:D564,D564)=1,MAX(C$1:C563)+1,"")</f>
        <v/>
      </c>
      <c r="D564" s="12"/>
    </row>
    <row r="565" spans="1:4" x14ac:dyDescent="0.25">
      <c r="A565" t="str">
        <f>IF(COUNTIF(B$1:B565,B565)=1,MAX(A$1:A564)+1,"")</f>
        <v/>
      </c>
      <c r="B565" s="11"/>
      <c r="C565" s="11" t="str">
        <f>IF(COUNTIF(D$1:D565,D565)=1,MAX(C$1:C564)+1,"")</f>
        <v/>
      </c>
      <c r="D565" s="12"/>
    </row>
    <row r="566" spans="1:4" x14ac:dyDescent="0.25">
      <c r="A566" t="str">
        <f>IF(COUNTIF(B$1:B566,B566)=1,MAX(A$1:A565)+1,"")</f>
        <v/>
      </c>
      <c r="B566" s="11"/>
      <c r="C566" s="11" t="str">
        <f>IF(COUNTIF(D$1:D566,D566)=1,MAX(C$1:C565)+1,"")</f>
        <v/>
      </c>
      <c r="D566" s="12"/>
    </row>
    <row r="567" spans="1:4" x14ac:dyDescent="0.25">
      <c r="A567" t="str">
        <f>IF(COUNTIF(B$1:B567,B567)=1,MAX(A$1:A566)+1,"")</f>
        <v/>
      </c>
      <c r="B567" s="11"/>
      <c r="C567" s="11" t="str">
        <f>IF(COUNTIF(D$1:D567,D567)=1,MAX(C$1:C566)+1,"")</f>
        <v/>
      </c>
      <c r="D567" s="12"/>
    </row>
    <row r="568" spans="1:4" x14ac:dyDescent="0.25">
      <c r="A568" t="str">
        <f>IF(COUNTIF(B$1:B568,B568)=1,MAX(A$1:A567)+1,"")</f>
        <v/>
      </c>
      <c r="B568" s="11"/>
      <c r="C568" s="11" t="str">
        <f>IF(COUNTIF(D$1:D568,D568)=1,MAX(C$1:C567)+1,"")</f>
        <v/>
      </c>
      <c r="D568" s="12"/>
    </row>
    <row r="569" spans="1:4" x14ac:dyDescent="0.25">
      <c r="A569" t="str">
        <f>IF(COUNTIF(B$1:B569,B569)=1,MAX(A$1:A568)+1,"")</f>
        <v/>
      </c>
      <c r="B569" s="11"/>
      <c r="C569" s="11" t="str">
        <f>IF(COUNTIF(D$1:D569,D569)=1,MAX(C$1:C568)+1,"")</f>
        <v/>
      </c>
      <c r="D569" s="12"/>
    </row>
    <row r="570" spans="1:4" x14ac:dyDescent="0.25">
      <c r="A570" t="str">
        <f>IF(COUNTIF(B$1:B570,B570)=1,MAX(A$1:A569)+1,"")</f>
        <v/>
      </c>
      <c r="B570" s="11"/>
      <c r="C570" s="11" t="str">
        <f>IF(COUNTIF(D$1:D570,D570)=1,MAX(C$1:C569)+1,"")</f>
        <v/>
      </c>
      <c r="D570" s="12"/>
    </row>
    <row r="571" spans="1:4" x14ac:dyDescent="0.25">
      <c r="A571" t="str">
        <f>IF(COUNTIF(B$1:B571,B571)=1,MAX(A$1:A570)+1,"")</f>
        <v/>
      </c>
      <c r="B571" s="11"/>
      <c r="C571" s="11" t="str">
        <f>IF(COUNTIF(D$1:D571,D571)=1,MAX(C$1:C570)+1,"")</f>
        <v/>
      </c>
      <c r="D571" s="12"/>
    </row>
    <row r="572" spans="1:4" x14ac:dyDescent="0.25">
      <c r="A572" t="str">
        <f>IF(COUNTIF(B$1:B572,B572)=1,MAX(A$1:A571)+1,"")</f>
        <v/>
      </c>
      <c r="B572" s="11"/>
      <c r="C572" s="11" t="str">
        <f>IF(COUNTIF(D$1:D572,D572)=1,MAX(C$1:C571)+1,"")</f>
        <v/>
      </c>
      <c r="D572" s="12"/>
    </row>
    <row r="573" spans="1:4" x14ac:dyDescent="0.25">
      <c r="A573" t="str">
        <f>IF(COUNTIF(B$1:B573,B573)=1,MAX(A$1:A572)+1,"")</f>
        <v/>
      </c>
      <c r="B573" s="11"/>
      <c r="C573" s="11" t="str">
        <f>IF(COUNTIF(D$1:D573,D573)=1,MAX(C$1:C572)+1,"")</f>
        <v/>
      </c>
      <c r="D573" s="12"/>
    </row>
    <row r="574" spans="1:4" x14ac:dyDescent="0.25">
      <c r="A574" t="str">
        <f>IF(COUNTIF(B$1:B574,B574)=1,MAX(A$1:A573)+1,"")</f>
        <v/>
      </c>
      <c r="B574" s="11"/>
      <c r="C574" s="11" t="str">
        <f>IF(COUNTIF(D$1:D574,D574)=1,MAX(C$1:C573)+1,"")</f>
        <v/>
      </c>
      <c r="D574" s="12"/>
    </row>
    <row r="575" spans="1:4" x14ac:dyDescent="0.25">
      <c r="A575" t="str">
        <f>IF(COUNTIF(B$1:B575,B575)=1,MAX(A$1:A574)+1,"")</f>
        <v/>
      </c>
      <c r="B575" s="11"/>
      <c r="C575" s="11" t="str">
        <f>IF(COUNTIF(D$1:D575,D575)=1,MAX(C$1:C574)+1,"")</f>
        <v/>
      </c>
      <c r="D575" s="12"/>
    </row>
    <row r="576" spans="1:4" x14ac:dyDescent="0.25">
      <c r="A576" t="str">
        <f>IF(COUNTIF(B$1:B576,B576)=1,MAX(A$1:A575)+1,"")</f>
        <v/>
      </c>
      <c r="B576" s="11"/>
      <c r="C576" s="11" t="str">
        <f>IF(COUNTIF(D$1:D576,D576)=1,MAX(C$1:C575)+1,"")</f>
        <v/>
      </c>
      <c r="D576" s="12"/>
    </row>
    <row r="577" spans="1:4" x14ac:dyDescent="0.25">
      <c r="A577" t="str">
        <f>IF(COUNTIF(B$1:B577,B577)=1,MAX(A$1:A576)+1,"")</f>
        <v/>
      </c>
      <c r="B577" s="11"/>
      <c r="C577" s="11" t="str">
        <f>IF(COUNTIF(D$1:D577,D577)=1,MAX(C$1:C576)+1,"")</f>
        <v/>
      </c>
      <c r="D577" s="12"/>
    </row>
    <row r="578" spans="1:4" x14ac:dyDescent="0.25">
      <c r="A578" t="str">
        <f>IF(COUNTIF(B$1:B578,B578)=1,MAX(A$1:A577)+1,"")</f>
        <v/>
      </c>
      <c r="B578" s="11"/>
      <c r="C578" s="11" t="str">
        <f>IF(COUNTIF(D$1:D578,D578)=1,MAX(C$1:C577)+1,"")</f>
        <v/>
      </c>
      <c r="D578" s="12"/>
    </row>
    <row r="579" spans="1:4" x14ac:dyDescent="0.25">
      <c r="A579" t="str">
        <f>IF(COUNTIF(B$1:B579,B579)=1,MAX(A$1:A578)+1,"")</f>
        <v/>
      </c>
      <c r="B579" s="11"/>
      <c r="C579" s="11" t="str">
        <f>IF(COUNTIF(D$1:D579,D579)=1,MAX(C$1:C578)+1,"")</f>
        <v/>
      </c>
      <c r="D579" s="12"/>
    </row>
    <row r="580" spans="1:4" x14ac:dyDescent="0.25">
      <c r="A580" t="str">
        <f>IF(COUNTIF(B$1:B580,B580)=1,MAX(A$1:A579)+1,"")</f>
        <v/>
      </c>
      <c r="B580" s="11"/>
      <c r="C580" s="11" t="str">
        <f>IF(COUNTIF(D$1:D580,D580)=1,MAX(C$1:C579)+1,"")</f>
        <v/>
      </c>
      <c r="D580" s="12"/>
    </row>
    <row r="581" spans="1:4" x14ac:dyDescent="0.25">
      <c r="A581" t="str">
        <f>IF(COUNTIF(B$1:B581,B581)=1,MAX(A$1:A580)+1,"")</f>
        <v/>
      </c>
      <c r="B581" s="11"/>
      <c r="C581" s="11" t="str">
        <f>IF(COUNTIF(D$1:D581,D581)=1,MAX(C$1:C580)+1,"")</f>
        <v/>
      </c>
      <c r="D581" s="12"/>
    </row>
    <row r="582" spans="1:4" x14ac:dyDescent="0.25">
      <c r="A582" t="str">
        <f>IF(COUNTIF(B$1:B582,B582)=1,MAX(A$1:A581)+1,"")</f>
        <v/>
      </c>
      <c r="B582" s="11"/>
      <c r="C582" s="11" t="str">
        <f>IF(COUNTIF(D$1:D582,D582)=1,MAX(C$1:C581)+1,"")</f>
        <v/>
      </c>
      <c r="D582" s="12"/>
    </row>
    <row r="583" spans="1:4" x14ac:dyDescent="0.25">
      <c r="A583" t="str">
        <f>IF(COUNTIF(B$1:B583,B583)=1,MAX(A$1:A582)+1,"")</f>
        <v/>
      </c>
      <c r="B583" s="11"/>
      <c r="C583" s="11" t="str">
        <f>IF(COUNTIF(D$1:D583,D583)=1,MAX(C$1:C582)+1,"")</f>
        <v/>
      </c>
      <c r="D583" s="12"/>
    </row>
    <row r="584" spans="1:4" x14ac:dyDescent="0.25">
      <c r="A584" t="str">
        <f>IF(COUNTIF(B$1:B584,B584)=1,MAX(A$1:A583)+1,"")</f>
        <v/>
      </c>
      <c r="B584" s="11"/>
      <c r="C584" s="11" t="str">
        <f>IF(COUNTIF(D$1:D584,D584)=1,MAX(C$1:C583)+1,"")</f>
        <v/>
      </c>
      <c r="D584" s="12"/>
    </row>
    <row r="585" spans="1:4" x14ac:dyDescent="0.25">
      <c r="A585" t="str">
        <f>IF(COUNTIF(B$1:B585,B585)=1,MAX(A$1:A584)+1,"")</f>
        <v/>
      </c>
      <c r="B585" s="11"/>
      <c r="C585" s="11" t="str">
        <f>IF(COUNTIF(D$1:D585,D585)=1,MAX(C$1:C584)+1,"")</f>
        <v/>
      </c>
      <c r="D585" s="12"/>
    </row>
    <row r="586" spans="1:4" x14ac:dyDescent="0.25">
      <c r="A586" t="str">
        <f>IF(COUNTIF(B$1:B586,B586)=1,MAX(A$1:A585)+1,"")</f>
        <v/>
      </c>
      <c r="B586" s="11"/>
      <c r="C586" s="11" t="str">
        <f>IF(COUNTIF(D$1:D586,D586)=1,MAX(C$1:C585)+1,"")</f>
        <v/>
      </c>
      <c r="D586" s="12"/>
    </row>
    <row r="587" spans="1:4" x14ac:dyDescent="0.25">
      <c r="A587" t="str">
        <f>IF(COUNTIF(B$1:B587,B587)=1,MAX(A$1:A586)+1,"")</f>
        <v/>
      </c>
      <c r="B587" s="11"/>
      <c r="C587" s="11" t="str">
        <f>IF(COUNTIF(D$1:D587,D587)=1,MAX(C$1:C586)+1,"")</f>
        <v/>
      </c>
      <c r="D587" s="12"/>
    </row>
    <row r="588" spans="1:4" x14ac:dyDescent="0.25">
      <c r="A588" t="str">
        <f>IF(COUNTIF(B$1:B588,B588)=1,MAX(A$1:A587)+1,"")</f>
        <v/>
      </c>
      <c r="B588" s="11"/>
      <c r="C588" s="11" t="str">
        <f>IF(COUNTIF(D$1:D588,D588)=1,MAX(C$1:C587)+1,"")</f>
        <v/>
      </c>
      <c r="D588" s="12"/>
    </row>
    <row r="589" spans="1:4" x14ac:dyDescent="0.25">
      <c r="A589" t="str">
        <f>IF(COUNTIF(B$1:B589,B589)=1,MAX(A$1:A588)+1,"")</f>
        <v/>
      </c>
      <c r="B589" s="11"/>
      <c r="C589" s="11" t="str">
        <f>IF(COUNTIF(D$1:D589,D589)=1,MAX(C$1:C588)+1,"")</f>
        <v/>
      </c>
      <c r="D589" s="12"/>
    </row>
    <row r="590" spans="1:4" x14ac:dyDescent="0.25">
      <c r="A590" t="str">
        <f>IF(COUNTIF(B$1:B590,B590)=1,MAX(A$1:A589)+1,"")</f>
        <v/>
      </c>
      <c r="B590" s="11"/>
      <c r="C590" s="11" t="str">
        <f>IF(COUNTIF(D$1:D590,D590)=1,MAX(C$1:C589)+1,"")</f>
        <v/>
      </c>
      <c r="D590" s="12"/>
    </row>
    <row r="591" spans="1:4" x14ac:dyDescent="0.25">
      <c r="A591" t="str">
        <f>IF(COUNTIF(B$1:B591,B591)=1,MAX(A$1:A590)+1,"")</f>
        <v/>
      </c>
      <c r="B591" s="11"/>
      <c r="C591" s="11" t="str">
        <f>IF(COUNTIF(D$1:D591,D591)=1,MAX(C$1:C590)+1,"")</f>
        <v/>
      </c>
      <c r="D591" s="12"/>
    </row>
    <row r="592" spans="1:4" x14ac:dyDescent="0.25">
      <c r="A592" t="str">
        <f>IF(COUNTIF(B$1:B592,B592)=1,MAX(A$1:A591)+1,"")</f>
        <v/>
      </c>
      <c r="B592" s="11"/>
      <c r="C592" s="11" t="str">
        <f>IF(COUNTIF(D$1:D592,D592)=1,MAX(C$1:C591)+1,"")</f>
        <v/>
      </c>
      <c r="D592" s="12"/>
    </row>
    <row r="593" spans="1:4" x14ac:dyDescent="0.25">
      <c r="A593" t="str">
        <f>IF(COUNTIF(B$1:B593,B593)=1,MAX(A$1:A592)+1,"")</f>
        <v/>
      </c>
      <c r="B593" s="11"/>
      <c r="C593" s="11" t="str">
        <f>IF(COUNTIF(D$1:D593,D593)=1,MAX(C$1:C592)+1,"")</f>
        <v/>
      </c>
      <c r="D593" s="12"/>
    </row>
    <row r="594" spans="1:4" x14ac:dyDescent="0.25">
      <c r="A594" t="str">
        <f>IF(COUNTIF(B$1:B594,B594)=1,MAX(A$1:A593)+1,"")</f>
        <v/>
      </c>
      <c r="B594" s="11"/>
      <c r="C594" s="11" t="str">
        <f>IF(COUNTIF(D$1:D594,D594)=1,MAX(C$1:C593)+1,"")</f>
        <v/>
      </c>
      <c r="D594" s="12"/>
    </row>
    <row r="595" spans="1:4" x14ac:dyDescent="0.25">
      <c r="A595" t="str">
        <f>IF(COUNTIF(B$1:B595,B595)=1,MAX(A$1:A594)+1,"")</f>
        <v/>
      </c>
      <c r="B595" s="11"/>
      <c r="C595" s="11" t="str">
        <f>IF(COUNTIF(D$1:D595,D595)=1,MAX(C$1:C594)+1,"")</f>
        <v/>
      </c>
      <c r="D595" s="12"/>
    </row>
    <row r="596" spans="1:4" x14ac:dyDescent="0.25">
      <c r="A596" t="str">
        <f>IF(COUNTIF(B$1:B596,B596)=1,MAX(A$1:A595)+1,"")</f>
        <v/>
      </c>
      <c r="B596" s="11"/>
      <c r="C596" s="11" t="str">
        <f>IF(COUNTIF(D$1:D596,D596)=1,MAX(C$1:C595)+1,"")</f>
        <v/>
      </c>
      <c r="D596" s="12"/>
    </row>
    <row r="597" spans="1:4" x14ac:dyDescent="0.25">
      <c r="A597" t="str">
        <f>IF(COUNTIF(B$1:B597,B597)=1,MAX(A$1:A596)+1,"")</f>
        <v/>
      </c>
      <c r="B597" s="11"/>
      <c r="C597" s="11" t="str">
        <f>IF(COUNTIF(D$1:D597,D597)=1,MAX(C$1:C596)+1,"")</f>
        <v/>
      </c>
      <c r="D597" s="12"/>
    </row>
    <row r="598" spans="1:4" x14ac:dyDescent="0.25">
      <c r="A598" t="str">
        <f>IF(COUNTIF(B$1:B598,B598)=1,MAX(A$1:A597)+1,"")</f>
        <v/>
      </c>
      <c r="B598" s="11"/>
      <c r="C598" s="11" t="str">
        <f>IF(COUNTIF(D$1:D598,D598)=1,MAX(C$1:C597)+1,"")</f>
        <v/>
      </c>
      <c r="D598" s="12"/>
    </row>
    <row r="599" spans="1:4" x14ac:dyDescent="0.25">
      <c r="A599" t="str">
        <f>IF(COUNTIF(B$1:B599,B599)=1,MAX(A$1:A598)+1,"")</f>
        <v/>
      </c>
      <c r="B599" s="11"/>
      <c r="C599" s="11" t="str">
        <f>IF(COUNTIF(D$1:D599,D599)=1,MAX(C$1:C598)+1,"")</f>
        <v/>
      </c>
      <c r="D599" s="12"/>
    </row>
    <row r="600" spans="1:4" x14ac:dyDescent="0.25">
      <c r="A600" t="str">
        <f>IF(COUNTIF(B$1:B600,B600)=1,MAX(A$1:A599)+1,"")</f>
        <v/>
      </c>
      <c r="B600" s="11"/>
      <c r="C600" s="11" t="str">
        <f>IF(COUNTIF(D$1:D600,D600)=1,MAX(C$1:C599)+1,"")</f>
        <v/>
      </c>
      <c r="D600" s="12"/>
    </row>
    <row r="601" spans="1:4" x14ac:dyDescent="0.25">
      <c r="A601" t="str">
        <f>IF(COUNTIF(B$1:B601,B601)=1,MAX(A$1:A600)+1,"")</f>
        <v/>
      </c>
      <c r="B601" s="11"/>
      <c r="C601" s="11" t="str">
        <f>IF(COUNTIF(D$1:D601,D601)=1,MAX(C$1:C600)+1,"")</f>
        <v/>
      </c>
      <c r="D601" s="12"/>
    </row>
    <row r="602" spans="1:4" x14ac:dyDescent="0.25">
      <c r="A602" t="str">
        <f>IF(COUNTIF(B$1:B602,B602)=1,MAX(A$1:A601)+1,"")</f>
        <v/>
      </c>
      <c r="B602" s="11"/>
      <c r="C602" s="11" t="str">
        <f>IF(COUNTIF(D$1:D602,D602)=1,MAX(C$1:C601)+1,"")</f>
        <v/>
      </c>
      <c r="D602" s="12"/>
    </row>
    <row r="603" spans="1:4" x14ac:dyDescent="0.25">
      <c r="A603" t="str">
        <f>IF(COUNTIF(B$1:B603,B603)=1,MAX(A$1:A602)+1,"")</f>
        <v/>
      </c>
      <c r="B603" s="11"/>
      <c r="C603" s="11" t="str">
        <f>IF(COUNTIF(D$1:D603,D603)=1,MAX(C$1:C602)+1,"")</f>
        <v/>
      </c>
      <c r="D603" s="12"/>
    </row>
    <row r="604" spans="1:4" x14ac:dyDescent="0.25">
      <c r="A604" t="str">
        <f>IF(COUNTIF(B$1:B604,B604)=1,MAX(A$1:A603)+1,"")</f>
        <v/>
      </c>
      <c r="B604" s="11"/>
      <c r="C604" s="11" t="str">
        <f>IF(COUNTIF(D$1:D604,D604)=1,MAX(C$1:C603)+1,"")</f>
        <v/>
      </c>
      <c r="D604" s="12"/>
    </row>
    <row r="605" spans="1:4" x14ac:dyDescent="0.25">
      <c r="A605" t="str">
        <f>IF(COUNTIF(B$1:B605,B605)=1,MAX(A$1:A604)+1,"")</f>
        <v/>
      </c>
      <c r="B605" s="11"/>
      <c r="C605" s="11" t="str">
        <f>IF(COUNTIF(D$1:D605,D605)=1,MAX(C$1:C604)+1,"")</f>
        <v/>
      </c>
      <c r="D605" s="12"/>
    </row>
    <row r="606" spans="1:4" x14ac:dyDescent="0.25">
      <c r="A606" t="str">
        <f>IF(COUNTIF(B$1:B606,B606)=1,MAX(A$1:A605)+1,"")</f>
        <v/>
      </c>
      <c r="B606" s="11"/>
      <c r="C606" s="11" t="str">
        <f>IF(COUNTIF(D$1:D606,D606)=1,MAX(C$1:C605)+1,"")</f>
        <v/>
      </c>
      <c r="D606" s="12"/>
    </row>
    <row r="607" spans="1:4" x14ac:dyDescent="0.25">
      <c r="A607" t="str">
        <f>IF(COUNTIF(B$1:B607,B607)=1,MAX(A$1:A606)+1,"")</f>
        <v/>
      </c>
      <c r="B607" s="11"/>
      <c r="C607" s="11" t="str">
        <f>IF(COUNTIF(D$1:D607,D607)=1,MAX(C$1:C606)+1,"")</f>
        <v/>
      </c>
      <c r="D607" s="12"/>
    </row>
    <row r="608" spans="1:4" x14ac:dyDescent="0.25">
      <c r="A608" t="str">
        <f>IF(COUNTIF(B$1:B608,B608)=1,MAX(A$1:A607)+1,"")</f>
        <v/>
      </c>
      <c r="B608" s="11"/>
      <c r="C608" s="11" t="str">
        <f>IF(COUNTIF(D$1:D608,D608)=1,MAX(C$1:C607)+1,"")</f>
        <v/>
      </c>
      <c r="D608" s="12"/>
    </row>
    <row r="609" spans="1:4" x14ac:dyDescent="0.25">
      <c r="A609" t="str">
        <f>IF(COUNTIF(B$1:B609,B609)=1,MAX(A$1:A608)+1,"")</f>
        <v/>
      </c>
      <c r="B609" s="11"/>
      <c r="C609" s="11" t="str">
        <f>IF(COUNTIF(D$1:D609,D609)=1,MAX(C$1:C608)+1,"")</f>
        <v/>
      </c>
      <c r="D609" s="12"/>
    </row>
    <row r="610" spans="1:4" x14ac:dyDescent="0.25">
      <c r="A610" t="str">
        <f>IF(COUNTIF(B$1:B610,B610)=1,MAX(A$1:A609)+1,"")</f>
        <v/>
      </c>
      <c r="B610" s="11"/>
      <c r="C610" s="11" t="str">
        <f>IF(COUNTIF(D$1:D610,D610)=1,MAX(C$1:C609)+1,"")</f>
        <v/>
      </c>
      <c r="D610" s="12"/>
    </row>
    <row r="611" spans="1:4" x14ac:dyDescent="0.25">
      <c r="A611" t="str">
        <f>IF(COUNTIF(B$1:B611,B611)=1,MAX(A$1:A610)+1,"")</f>
        <v/>
      </c>
      <c r="B611" s="11"/>
      <c r="C611" s="11" t="str">
        <f>IF(COUNTIF(D$1:D611,D611)=1,MAX(C$1:C610)+1,"")</f>
        <v/>
      </c>
      <c r="D611" s="12"/>
    </row>
    <row r="612" spans="1:4" x14ac:dyDescent="0.25">
      <c r="A612" t="str">
        <f>IF(COUNTIF(B$1:B612,B612)=1,MAX(A$1:A611)+1,"")</f>
        <v/>
      </c>
      <c r="B612" s="11"/>
      <c r="C612" s="11" t="str">
        <f>IF(COUNTIF(D$1:D612,D612)=1,MAX(C$1:C611)+1,"")</f>
        <v/>
      </c>
      <c r="D612" s="12"/>
    </row>
    <row r="613" spans="1:4" x14ac:dyDescent="0.25">
      <c r="A613" t="str">
        <f>IF(COUNTIF(B$1:B613,B613)=1,MAX(A$1:A612)+1,"")</f>
        <v/>
      </c>
      <c r="B613" s="11"/>
      <c r="C613" s="11" t="str">
        <f>IF(COUNTIF(D$1:D613,D613)=1,MAX(C$1:C612)+1,"")</f>
        <v/>
      </c>
      <c r="D613" s="12"/>
    </row>
    <row r="614" spans="1:4" x14ac:dyDescent="0.25">
      <c r="A614" t="str">
        <f>IF(COUNTIF(B$1:B614,B614)=1,MAX(A$1:A613)+1,"")</f>
        <v/>
      </c>
      <c r="B614" s="11"/>
      <c r="C614" s="11" t="str">
        <f>IF(COUNTIF(D$1:D614,D614)=1,MAX(C$1:C613)+1,"")</f>
        <v/>
      </c>
      <c r="D614" s="12"/>
    </row>
    <row r="615" spans="1:4" x14ac:dyDescent="0.25">
      <c r="A615" t="str">
        <f>IF(COUNTIF(B$1:B615,B615)=1,MAX(A$1:A614)+1,"")</f>
        <v/>
      </c>
      <c r="B615" s="11"/>
      <c r="C615" s="11" t="str">
        <f>IF(COUNTIF(D$1:D615,D615)=1,MAX(C$1:C614)+1,"")</f>
        <v/>
      </c>
      <c r="D615" s="12"/>
    </row>
    <row r="616" spans="1:4" x14ac:dyDescent="0.25">
      <c r="A616" t="str">
        <f>IF(COUNTIF(B$1:B616,B616)=1,MAX(A$1:A615)+1,"")</f>
        <v/>
      </c>
      <c r="B616" s="11"/>
      <c r="C616" s="11" t="str">
        <f>IF(COUNTIF(D$1:D616,D616)=1,MAX(C$1:C615)+1,"")</f>
        <v/>
      </c>
      <c r="D616" s="12"/>
    </row>
    <row r="617" spans="1:4" x14ac:dyDescent="0.25">
      <c r="A617" t="str">
        <f>IF(COUNTIF(B$1:B617,B617)=1,MAX(A$1:A616)+1,"")</f>
        <v/>
      </c>
      <c r="B617" s="11"/>
      <c r="C617" s="11" t="str">
        <f>IF(COUNTIF(D$1:D617,D617)=1,MAX(C$1:C616)+1,"")</f>
        <v/>
      </c>
      <c r="D617" s="12"/>
    </row>
    <row r="618" spans="1:4" x14ac:dyDescent="0.25">
      <c r="A618" t="str">
        <f>IF(COUNTIF(B$1:B618,B618)=1,MAX(A$1:A617)+1,"")</f>
        <v/>
      </c>
      <c r="B618" s="11"/>
      <c r="C618" s="11" t="str">
        <f>IF(COUNTIF(D$1:D618,D618)=1,MAX(C$1:C617)+1,"")</f>
        <v/>
      </c>
      <c r="D618" s="12"/>
    </row>
    <row r="619" spans="1:4" x14ac:dyDescent="0.25">
      <c r="A619" t="str">
        <f>IF(COUNTIF(B$1:B619,B619)=1,MAX(A$1:A618)+1,"")</f>
        <v/>
      </c>
      <c r="B619" s="11"/>
      <c r="C619" s="11" t="str">
        <f>IF(COUNTIF(D$1:D619,D619)=1,MAX(C$1:C618)+1,"")</f>
        <v/>
      </c>
      <c r="D619" s="12"/>
    </row>
    <row r="620" spans="1:4" x14ac:dyDescent="0.25">
      <c r="A620" t="str">
        <f>IF(COUNTIF(B$1:B620,B620)=1,MAX(A$1:A619)+1,"")</f>
        <v/>
      </c>
      <c r="B620" s="11"/>
      <c r="C620" s="11" t="str">
        <f>IF(COUNTIF(D$1:D620,D620)=1,MAX(C$1:C619)+1,"")</f>
        <v/>
      </c>
      <c r="D620" s="12"/>
    </row>
    <row r="621" spans="1:4" x14ac:dyDescent="0.25">
      <c r="A621" t="str">
        <f>IF(COUNTIF(B$1:B621,B621)=1,MAX(A$1:A620)+1,"")</f>
        <v/>
      </c>
      <c r="B621" s="11"/>
      <c r="C621" s="11" t="str">
        <f>IF(COUNTIF(D$1:D621,D621)=1,MAX(C$1:C620)+1,"")</f>
        <v/>
      </c>
      <c r="D621" s="12"/>
    </row>
    <row r="622" spans="1:4" x14ac:dyDescent="0.25">
      <c r="A622" t="str">
        <f>IF(COUNTIF(B$1:B622,B622)=1,MAX(A$1:A621)+1,"")</f>
        <v/>
      </c>
      <c r="B622" s="11"/>
      <c r="C622" s="11" t="str">
        <f>IF(COUNTIF(D$1:D622,D622)=1,MAX(C$1:C621)+1,"")</f>
        <v/>
      </c>
      <c r="D622" s="12"/>
    </row>
    <row r="623" spans="1:4" x14ac:dyDescent="0.25">
      <c r="A623" t="str">
        <f>IF(COUNTIF(B$1:B623,B623)=1,MAX(A$1:A622)+1,"")</f>
        <v/>
      </c>
      <c r="B623" s="11"/>
      <c r="C623" s="11" t="str">
        <f>IF(COUNTIF(D$1:D623,D623)=1,MAX(C$1:C622)+1,"")</f>
        <v/>
      </c>
      <c r="D623" s="12"/>
    </row>
    <row r="624" spans="1:4" x14ac:dyDescent="0.25">
      <c r="A624" t="str">
        <f>IF(COUNTIF(B$1:B624,B624)=1,MAX(A$1:A623)+1,"")</f>
        <v/>
      </c>
      <c r="B624" s="11"/>
      <c r="C624" s="11" t="str">
        <f>IF(COUNTIF(D$1:D624,D624)=1,MAX(C$1:C623)+1,"")</f>
        <v/>
      </c>
      <c r="D624" s="12"/>
    </row>
    <row r="625" spans="1:4" x14ac:dyDescent="0.25">
      <c r="A625" t="str">
        <f>IF(COUNTIF(B$1:B625,B625)=1,MAX(A$1:A624)+1,"")</f>
        <v/>
      </c>
      <c r="B625" s="11"/>
      <c r="C625" s="11" t="str">
        <f>IF(COUNTIF(D$1:D625,D625)=1,MAX(C$1:C624)+1,"")</f>
        <v/>
      </c>
      <c r="D625" s="12"/>
    </row>
    <row r="626" spans="1:4" x14ac:dyDescent="0.25">
      <c r="A626" t="str">
        <f>IF(COUNTIF(B$1:B626,B626)=1,MAX(A$1:A625)+1,"")</f>
        <v/>
      </c>
      <c r="B626" s="11"/>
      <c r="C626" s="11" t="str">
        <f>IF(COUNTIF(D$1:D626,D626)=1,MAX(C$1:C625)+1,"")</f>
        <v/>
      </c>
      <c r="D626" s="12"/>
    </row>
    <row r="627" spans="1:4" x14ac:dyDescent="0.25">
      <c r="A627" t="str">
        <f>IF(COUNTIF(B$1:B627,B627)=1,MAX(A$1:A626)+1,"")</f>
        <v/>
      </c>
      <c r="B627" s="11"/>
      <c r="C627" s="11" t="str">
        <f>IF(COUNTIF(D$1:D627,D627)=1,MAX(C$1:C626)+1,"")</f>
        <v/>
      </c>
      <c r="D627" s="12"/>
    </row>
    <row r="628" spans="1:4" x14ac:dyDescent="0.25">
      <c r="A628" t="str">
        <f>IF(COUNTIF(B$1:B628,B628)=1,MAX(A$1:A627)+1,"")</f>
        <v/>
      </c>
      <c r="B628" s="11"/>
      <c r="C628" s="11" t="str">
        <f>IF(COUNTIF(D$1:D628,D628)=1,MAX(C$1:C627)+1,"")</f>
        <v/>
      </c>
      <c r="D628" s="12"/>
    </row>
    <row r="629" spans="1:4" x14ac:dyDescent="0.25">
      <c r="A629" t="str">
        <f>IF(COUNTIF(B$1:B629,B629)=1,MAX(A$1:A628)+1,"")</f>
        <v/>
      </c>
      <c r="B629" s="11"/>
      <c r="C629" s="11" t="str">
        <f>IF(COUNTIF(D$1:D629,D629)=1,MAX(C$1:C628)+1,"")</f>
        <v/>
      </c>
      <c r="D629" s="12"/>
    </row>
    <row r="630" spans="1:4" x14ac:dyDescent="0.25">
      <c r="A630" t="str">
        <f>IF(COUNTIF(B$1:B630,B630)=1,MAX(A$1:A629)+1,"")</f>
        <v/>
      </c>
      <c r="B630" s="11"/>
      <c r="C630" s="11" t="str">
        <f>IF(COUNTIF(D$1:D630,D630)=1,MAX(C$1:C629)+1,"")</f>
        <v/>
      </c>
      <c r="D630" s="12"/>
    </row>
    <row r="631" spans="1:4" x14ac:dyDescent="0.25">
      <c r="A631" t="str">
        <f>IF(COUNTIF(B$1:B631,B631)=1,MAX(A$1:A630)+1,"")</f>
        <v/>
      </c>
      <c r="B631" s="11"/>
      <c r="C631" s="11" t="str">
        <f>IF(COUNTIF(D$1:D631,D631)=1,MAX(C$1:C630)+1,"")</f>
        <v/>
      </c>
      <c r="D631" s="12"/>
    </row>
    <row r="632" spans="1:4" x14ac:dyDescent="0.25">
      <c r="A632" t="str">
        <f>IF(COUNTIF(B$1:B632,B632)=1,MAX(A$1:A631)+1,"")</f>
        <v/>
      </c>
      <c r="B632" s="11"/>
      <c r="C632" s="11" t="str">
        <f>IF(COUNTIF(D$1:D632,D632)=1,MAX(C$1:C631)+1,"")</f>
        <v/>
      </c>
      <c r="D632" s="12"/>
    </row>
    <row r="633" spans="1:4" x14ac:dyDescent="0.25">
      <c r="A633" t="str">
        <f>IF(COUNTIF(B$1:B633,B633)=1,MAX(A$1:A632)+1,"")</f>
        <v/>
      </c>
      <c r="B633" s="11"/>
      <c r="C633" s="11" t="str">
        <f>IF(COUNTIF(D$1:D633,D633)=1,MAX(C$1:C632)+1,"")</f>
        <v/>
      </c>
      <c r="D633" s="12"/>
    </row>
    <row r="634" spans="1:4" x14ac:dyDescent="0.25">
      <c r="A634" t="str">
        <f>IF(COUNTIF(B$1:B634,B634)=1,MAX(A$1:A633)+1,"")</f>
        <v/>
      </c>
      <c r="B634" s="11"/>
      <c r="C634" s="11" t="str">
        <f>IF(COUNTIF(D$1:D634,D634)=1,MAX(C$1:C633)+1,"")</f>
        <v/>
      </c>
      <c r="D634" s="12"/>
    </row>
    <row r="635" spans="1:4" x14ac:dyDescent="0.25">
      <c r="A635" t="str">
        <f>IF(COUNTIF(B$1:B635,B635)=1,MAX(A$1:A634)+1,"")</f>
        <v/>
      </c>
      <c r="B635" s="11"/>
      <c r="C635" s="11" t="str">
        <f>IF(COUNTIF(D$1:D635,D635)=1,MAX(C$1:C634)+1,"")</f>
        <v/>
      </c>
      <c r="D635" s="12"/>
    </row>
    <row r="636" spans="1:4" x14ac:dyDescent="0.25">
      <c r="A636" t="str">
        <f>IF(COUNTIF(B$1:B636,B636)=1,MAX(A$1:A635)+1,"")</f>
        <v/>
      </c>
      <c r="B636" s="11"/>
      <c r="C636" s="11" t="str">
        <f>IF(COUNTIF(D$1:D636,D636)=1,MAX(C$1:C635)+1,"")</f>
        <v/>
      </c>
      <c r="D636" s="12"/>
    </row>
    <row r="637" spans="1:4" x14ac:dyDescent="0.25">
      <c r="A637" t="str">
        <f>IF(COUNTIF(B$1:B637,B637)=1,MAX(A$1:A636)+1,"")</f>
        <v/>
      </c>
      <c r="B637" s="11"/>
      <c r="C637" s="11" t="str">
        <f>IF(COUNTIF(D$1:D637,D637)=1,MAX(C$1:C636)+1,"")</f>
        <v/>
      </c>
      <c r="D637" s="12"/>
    </row>
    <row r="638" spans="1:4" x14ac:dyDescent="0.25">
      <c r="A638" t="str">
        <f>IF(COUNTIF(B$1:B638,B638)=1,MAX(A$1:A637)+1,"")</f>
        <v/>
      </c>
      <c r="B638" s="11"/>
      <c r="C638" s="11" t="str">
        <f>IF(COUNTIF(D$1:D638,D638)=1,MAX(C$1:C637)+1,"")</f>
        <v/>
      </c>
      <c r="D638" s="12"/>
    </row>
    <row r="639" spans="1:4" x14ac:dyDescent="0.25">
      <c r="A639" t="str">
        <f>IF(COUNTIF(B$1:B639,B639)=1,MAX(A$1:A638)+1,"")</f>
        <v/>
      </c>
      <c r="B639" s="11"/>
      <c r="C639" s="11" t="str">
        <f>IF(COUNTIF(D$1:D639,D639)=1,MAX(C$1:C638)+1,"")</f>
        <v/>
      </c>
      <c r="D639" s="12"/>
    </row>
    <row r="640" spans="1:4" x14ac:dyDescent="0.25">
      <c r="A640" t="str">
        <f>IF(COUNTIF(B$1:B640,B640)=1,MAX(A$1:A639)+1,"")</f>
        <v/>
      </c>
      <c r="B640" s="11"/>
      <c r="C640" s="11" t="str">
        <f>IF(COUNTIF(D$1:D640,D640)=1,MAX(C$1:C639)+1,"")</f>
        <v/>
      </c>
      <c r="D640" s="12"/>
    </row>
    <row r="641" spans="1:4" x14ac:dyDescent="0.25">
      <c r="A641" t="str">
        <f>IF(COUNTIF(B$1:B641,B641)=1,MAX(A$1:A640)+1,"")</f>
        <v/>
      </c>
      <c r="B641" s="11"/>
      <c r="C641" s="11" t="str">
        <f>IF(COUNTIF(D$1:D641,D641)=1,MAX(C$1:C640)+1,"")</f>
        <v/>
      </c>
      <c r="D641" s="12"/>
    </row>
    <row r="642" spans="1:4" x14ac:dyDescent="0.25">
      <c r="A642" t="str">
        <f>IF(COUNTIF(B$1:B642,B642)=1,MAX(A$1:A641)+1,"")</f>
        <v/>
      </c>
      <c r="B642" s="11"/>
      <c r="C642" s="11" t="str">
        <f>IF(COUNTIF(D$1:D642,D642)=1,MAX(C$1:C641)+1,"")</f>
        <v/>
      </c>
      <c r="D642" s="12"/>
    </row>
    <row r="643" spans="1:4" x14ac:dyDescent="0.25">
      <c r="A643" t="str">
        <f>IF(COUNTIF(B$1:B643,B643)=1,MAX(A$1:A642)+1,"")</f>
        <v/>
      </c>
      <c r="B643" s="11"/>
      <c r="C643" s="11" t="str">
        <f>IF(COUNTIF(D$1:D643,D643)=1,MAX(C$1:C642)+1,"")</f>
        <v/>
      </c>
      <c r="D643" s="12"/>
    </row>
    <row r="644" spans="1:4" x14ac:dyDescent="0.25">
      <c r="A644" t="str">
        <f>IF(COUNTIF(B$1:B644,B644)=1,MAX(A$1:A643)+1,"")</f>
        <v/>
      </c>
      <c r="B644" s="11"/>
      <c r="C644" s="11" t="str">
        <f>IF(COUNTIF(D$1:D644,D644)=1,MAX(C$1:C643)+1,"")</f>
        <v/>
      </c>
      <c r="D644" s="12"/>
    </row>
    <row r="645" spans="1:4" x14ac:dyDescent="0.25">
      <c r="A645" t="str">
        <f>IF(COUNTIF(B$1:B645,B645)=1,MAX(A$1:A644)+1,"")</f>
        <v/>
      </c>
      <c r="B645" s="11"/>
      <c r="C645" s="11" t="str">
        <f>IF(COUNTIF(D$1:D645,D645)=1,MAX(C$1:C644)+1,"")</f>
        <v/>
      </c>
      <c r="D645" s="12"/>
    </row>
    <row r="646" spans="1:4" x14ac:dyDescent="0.25">
      <c r="A646" t="str">
        <f>IF(COUNTIF(B$1:B646,B646)=1,MAX(A$1:A645)+1,"")</f>
        <v/>
      </c>
      <c r="B646" s="11"/>
      <c r="C646" s="11" t="str">
        <f>IF(COUNTIF(D$1:D646,D646)=1,MAX(C$1:C645)+1,"")</f>
        <v/>
      </c>
      <c r="D646" s="12"/>
    </row>
    <row r="647" spans="1:4" x14ac:dyDescent="0.25">
      <c r="A647" t="str">
        <f>IF(COUNTIF(B$1:B647,B647)=1,MAX(A$1:A646)+1,"")</f>
        <v/>
      </c>
      <c r="B647" s="11"/>
      <c r="C647" s="11" t="str">
        <f>IF(COUNTIF(D$1:D647,D647)=1,MAX(C$1:C646)+1,"")</f>
        <v/>
      </c>
      <c r="D647" s="12"/>
    </row>
    <row r="648" spans="1:4" x14ac:dyDescent="0.25">
      <c r="A648" t="str">
        <f>IF(COUNTIF(B$1:B648,B648)=1,MAX(A$1:A647)+1,"")</f>
        <v/>
      </c>
      <c r="B648" s="11"/>
      <c r="C648" s="11" t="str">
        <f>IF(COUNTIF(D$1:D648,D648)=1,MAX(C$1:C647)+1,"")</f>
        <v/>
      </c>
      <c r="D648" s="12"/>
    </row>
    <row r="649" spans="1:4" x14ac:dyDescent="0.25">
      <c r="A649" t="str">
        <f>IF(COUNTIF(B$1:B649,B649)=1,MAX(A$1:A648)+1,"")</f>
        <v/>
      </c>
      <c r="B649" s="11"/>
      <c r="C649" s="11" t="str">
        <f>IF(COUNTIF(D$1:D649,D649)=1,MAX(C$1:C648)+1,"")</f>
        <v/>
      </c>
      <c r="D649" s="12"/>
    </row>
    <row r="650" spans="1:4" x14ac:dyDescent="0.25">
      <c r="A650" t="str">
        <f>IF(COUNTIF(B$1:B650,B650)=1,MAX(A$1:A649)+1,"")</f>
        <v/>
      </c>
      <c r="B650" s="11"/>
      <c r="C650" s="11" t="str">
        <f>IF(COUNTIF(D$1:D650,D650)=1,MAX(C$1:C649)+1,"")</f>
        <v/>
      </c>
      <c r="D650" s="12"/>
    </row>
    <row r="651" spans="1:4" x14ac:dyDescent="0.25">
      <c r="A651" t="str">
        <f>IF(COUNTIF(B$1:B651,B651)=1,MAX(A$1:A650)+1,"")</f>
        <v/>
      </c>
      <c r="B651" s="11"/>
      <c r="C651" s="11" t="str">
        <f>IF(COUNTIF(D$1:D651,D651)=1,MAX(C$1:C650)+1,"")</f>
        <v/>
      </c>
      <c r="D651" s="12"/>
    </row>
    <row r="652" spans="1:4" x14ac:dyDescent="0.25">
      <c r="A652" t="str">
        <f>IF(COUNTIF(B$1:B652,B652)=1,MAX(A$1:A651)+1,"")</f>
        <v/>
      </c>
      <c r="B652" s="11"/>
      <c r="C652" s="11" t="str">
        <f>IF(COUNTIF(D$1:D652,D652)=1,MAX(C$1:C651)+1,"")</f>
        <v/>
      </c>
      <c r="D652" s="12"/>
    </row>
    <row r="653" spans="1:4" x14ac:dyDescent="0.25">
      <c r="A653" t="str">
        <f>IF(COUNTIF(B$1:B653,B653)=1,MAX(A$1:A652)+1,"")</f>
        <v/>
      </c>
      <c r="B653" s="11"/>
      <c r="C653" s="11" t="str">
        <f>IF(COUNTIF(D$1:D653,D653)=1,MAX(C$1:C652)+1,"")</f>
        <v/>
      </c>
      <c r="D653" s="12"/>
    </row>
    <row r="654" spans="1:4" x14ac:dyDescent="0.25">
      <c r="A654" t="str">
        <f>IF(COUNTIF(B$1:B654,B654)=1,MAX(A$1:A653)+1,"")</f>
        <v/>
      </c>
      <c r="B654" s="11"/>
      <c r="C654" s="11" t="str">
        <f>IF(COUNTIF(D$1:D654,D654)=1,MAX(C$1:C653)+1,"")</f>
        <v/>
      </c>
      <c r="D654" s="12"/>
    </row>
    <row r="655" spans="1:4" x14ac:dyDescent="0.25">
      <c r="A655" t="str">
        <f>IF(COUNTIF(B$1:B655,B655)=1,MAX(A$1:A654)+1,"")</f>
        <v/>
      </c>
      <c r="B655" s="11"/>
      <c r="C655" s="11" t="str">
        <f>IF(COUNTIF(D$1:D655,D655)=1,MAX(C$1:C654)+1,"")</f>
        <v/>
      </c>
      <c r="D655" s="12"/>
    </row>
    <row r="656" spans="1:4" x14ac:dyDescent="0.25">
      <c r="A656" t="str">
        <f>IF(COUNTIF(B$1:B656,B656)=1,MAX(A$1:A655)+1,"")</f>
        <v/>
      </c>
      <c r="B656" s="11"/>
      <c r="C656" s="11" t="str">
        <f>IF(COUNTIF(D$1:D656,D656)=1,MAX(C$1:C655)+1,"")</f>
        <v/>
      </c>
      <c r="D656" s="12"/>
    </row>
    <row r="657" spans="1:4" x14ac:dyDescent="0.25">
      <c r="A657" t="str">
        <f>IF(COUNTIF(B$1:B657,B657)=1,MAX(A$1:A656)+1,"")</f>
        <v/>
      </c>
      <c r="B657" s="11"/>
      <c r="C657" s="11" t="str">
        <f>IF(COUNTIF(D$1:D657,D657)=1,MAX(C$1:C656)+1,"")</f>
        <v/>
      </c>
      <c r="D657" s="12"/>
    </row>
    <row r="658" spans="1:4" x14ac:dyDescent="0.25">
      <c r="A658" t="str">
        <f>IF(COUNTIF(B$1:B658,B658)=1,MAX(A$1:A657)+1,"")</f>
        <v/>
      </c>
      <c r="B658" s="11"/>
      <c r="C658" s="11" t="str">
        <f>IF(COUNTIF(D$1:D658,D658)=1,MAX(C$1:C657)+1,"")</f>
        <v/>
      </c>
      <c r="D658" s="12"/>
    </row>
    <row r="659" spans="1:4" x14ac:dyDescent="0.25">
      <c r="A659" t="str">
        <f>IF(COUNTIF(B$1:B659,B659)=1,MAX(A$1:A658)+1,"")</f>
        <v/>
      </c>
      <c r="B659" s="11"/>
      <c r="C659" s="11" t="str">
        <f>IF(COUNTIF(D$1:D659,D659)=1,MAX(C$1:C658)+1,"")</f>
        <v/>
      </c>
      <c r="D659" s="12"/>
    </row>
    <row r="660" spans="1:4" x14ac:dyDescent="0.25">
      <c r="A660" t="str">
        <f>IF(COUNTIF(B$1:B660,B660)=1,MAX(A$1:A659)+1,"")</f>
        <v/>
      </c>
      <c r="B660" s="11"/>
      <c r="C660" s="11" t="str">
        <f>IF(COUNTIF(D$1:D660,D660)=1,MAX(C$1:C659)+1,"")</f>
        <v/>
      </c>
      <c r="D660" s="12"/>
    </row>
    <row r="661" spans="1:4" x14ac:dyDescent="0.25">
      <c r="A661" t="str">
        <f>IF(COUNTIF(B$1:B661,B661)=1,MAX(A$1:A660)+1,"")</f>
        <v/>
      </c>
      <c r="B661" s="11"/>
      <c r="C661" s="11" t="str">
        <f>IF(COUNTIF(D$1:D661,D661)=1,MAX(C$1:C660)+1,"")</f>
        <v/>
      </c>
      <c r="D661" s="12"/>
    </row>
    <row r="662" spans="1:4" x14ac:dyDescent="0.25">
      <c r="A662" t="str">
        <f>IF(COUNTIF(B$1:B662,B662)=1,MAX(A$1:A661)+1,"")</f>
        <v/>
      </c>
      <c r="B662" s="11"/>
      <c r="C662" s="11" t="str">
        <f>IF(COUNTIF(D$1:D662,D662)=1,MAX(C$1:C661)+1,"")</f>
        <v/>
      </c>
      <c r="D662" s="12"/>
    </row>
    <row r="663" spans="1:4" x14ac:dyDescent="0.25">
      <c r="A663" t="str">
        <f>IF(COUNTIF(B$1:B663,B663)=1,MAX(A$1:A662)+1,"")</f>
        <v/>
      </c>
      <c r="B663" s="11"/>
      <c r="C663" s="11" t="str">
        <f>IF(COUNTIF(D$1:D663,D663)=1,MAX(C$1:C662)+1,"")</f>
        <v/>
      </c>
      <c r="D663" s="12"/>
    </row>
    <row r="664" spans="1:4" x14ac:dyDescent="0.25">
      <c r="A664" t="str">
        <f>IF(COUNTIF(B$1:B664,B664)=1,MAX(A$1:A663)+1,"")</f>
        <v/>
      </c>
      <c r="B664" s="11"/>
      <c r="C664" s="11" t="str">
        <f>IF(COUNTIF(D$1:D664,D664)=1,MAX(C$1:C663)+1,"")</f>
        <v/>
      </c>
      <c r="D664" s="12"/>
    </row>
    <row r="665" spans="1:4" x14ac:dyDescent="0.25">
      <c r="A665" t="str">
        <f>IF(COUNTIF(B$1:B665,B665)=1,MAX(A$1:A664)+1,"")</f>
        <v/>
      </c>
      <c r="B665" s="11"/>
      <c r="C665" s="11" t="str">
        <f>IF(COUNTIF(D$1:D665,D665)=1,MAX(C$1:C664)+1,"")</f>
        <v/>
      </c>
      <c r="D665" s="12"/>
    </row>
    <row r="666" spans="1:4" x14ac:dyDescent="0.25">
      <c r="A666" t="str">
        <f>IF(COUNTIF(B$1:B666,B666)=1,MAX(A$1:A665)+1,"")</f>
        <v/>
      </c>
      <c r="B666" s="11"/>
      <c r="C666" s="11" t="str">
        <f>IF(COUNTIF(D$1:D666,D666)=1,MAX(C$1:C665)+1,"")</f>
        <v/>
      </c>
      <c r="D666" s="12"/>
    </row>
    <row r="667" spans="1:4" x14ac:dyDescent="0.25">
      <c r="A667" t="str">
        <f>IF(COUNTIF(B$1:B667,B667)=1,MAX(A$1:A666)+1,"")</f>
        <v/>
      </c>
      <c r="B667" s="11"/>
      <c r="C667" s="11" t="str">
        <f>IF(COUNTIF(D$1:D667,D667)=1,MAX(C$1:C666)+1,"")</f>
        <v/>
      </c>
      <c r="D667" s="12"/>
    </row>
    <row r="668" spans="1:4" x14ac:dyDescent="0.25">
      <c r="A668" t="str">
        <f>IF(COUNTIF(B$1:B668,B668)=1,MAX(A$1:A667)+1,"")</f>
        <v/>
      </c>
      <c r="B668" s="11"/>
      <c r="C668" s="11" t="str">
        <f>IF(COUNTIF(D$1:D668,D668)=1,MAX(C$1:C667)+1,"")</f>
        <v/>
      </c>
      <c r="D668" s="12"/>
    </row>
    <row r="669" spans="1:4" x14ac:dyDescent="0.25">
      <c r="A669" t="str">
        <f>IF(COUNTIF(B$1:B669,B669)=1,MAX(A$1:A668)+1,"")</f>
        <v/>
      </c>
      <c r="B669" s="11"/>
      <c r="C669" s="11" t="str">
        <f>IF(COUNTIF(D$1:D669,D669)=1,MAX(C$1:C668)+1,"")</f>
        <v/>
      </c>
      <c r="D669" s="12"/>
    </row>
    <row r="670" spans="1:4" x14ac:dyDescent="0.25">
      <c r="A670" t="str">
        <f>IF(COUNTIF(B$1:B670,B670)=1,MAX(A$1:A669)+1,"")</f>
        <v/>
      </c>
      <c r="B670" s="11"/>
      <c r="C670" s="11" t="str">
        <f>IF(COUNTIF(D$1:D670,D670)=1,MAX(C$1:C669)+1,"")</f>
        <v/>
      </c>
      <c r="D670" s="12"/>
    </row>
    <row r="671" spans="1:4" x14ac:dyDescent="0.25">
      <c r="A671" t="str">
        <f>IF(COUNTIF(B$1:B671,B671)=1,MAX(A$1:A670)+1,"")</f>
        <v/>
      </c>
      <c r="B671" s="11"/>
      <c r="C671" s="11" t="str">
        <f>IF(COUNTIF(D$1:D671,D671)=1,MAX(C$1:C670)+1,"")</f>
        <v/>
      </c>
      <c r="D671" s="12"/>
    </row>
    <row r="672" spans="1:4" x14ac:dyDescent="0.25">
      <c r="A672" t="str">
        <f>IF(COUNTIF(B$1:B672,B672)=1,MAX(A$1:A671)+1,"")</f>
        <v/>
      </c>
      <c r="B672" s="11"/>
      <c r="C672" s="11" t="str">
        <f>IF(COUNTIF(D$1:D672,D672)=1,MAX(C$1:C671)+1,"")</f>
        <v/>
      </c>
      <c r="D672" s="12"/>
    </row>
    <row r="673" spans="1:4" x14ac:dyDescent="0.25">
      <c r="A673" t="str">
        <f>IF(COUNTIF(B$1:B673,B673)=1,MAX(A$1:A672)+1,"")</f>
        <v/>
      </c>
      <c r="B673" s="11"/>
      <c r="C673" s="11" t="str">
        <f>IF(COUNTIF(D$1:D673,D673)=1,MAX(C$1:C672)+1,"")</f>
        <v/>
      </c>
      <c r="D673" s="12"/>
    </row>
    <row r="674" spans="1:4" x14ac:dyDescent="0.25">
      <c r="A674" t="str">
        <f>IF(COUNTIF(B$1:B674,B674)=1,MAX(A$1:A673)+1,"")</f>
        <v/>
      </c>
      <c r="B674" s="11"/>
      <c r="C674" s="11" t="str">
        <f>IF(COUNTIF(D$1:D674,D674)=1,MAX(C$1:C673)+1,"")</f>
        <v/>
      </c>
      <c r="D674" s="12"/>
    </row>
    <row r="675" spans="1:4" x14ac:dyDescent="0.25">
      <c r="A675" t="str">
        <f>IF(COUNTIF(B$1:B675,B675)=1,MAX(A$1:A674)+1,"")</f>
        <v/>
      </c>
      <c r="B675" s="11"/>
      <c r="C675" s="11" t="str">
        <f>IF(COUNTIF(D$1:D675,D675)=1,MAX(C$1:C674)+1,"")</f>
        <v/>
      </c>
      <c r="D675" s="12"/>
    </row>
    <row r="676" spans="1:4" x14ac:dyDescent="0.25">
      <c r="A676" t="str">
        <f>IF(COUNTIF(B$1:B676,B676)=1,MAX(A$1:A675)+1,"")</f>
        <v/>
      </c>
      <c r="B676" s="11"/>
      <c r="C676" s="11" t="str">
        <f>IF(COUNTIF(D$1:D676,D676)=1,MAX(C$1:C675)+1,"")</f>
        <v/>
      </c>
      <c r="D676" s="12"/>
    </row>
    <row r="677" spans="1:4" x14ac:dyDescent="0.25">
      <c r="A677" t="str">
        <f>IF(COUNTIF(B$1:B677,B677)=1,MAX(A$1:A676)+1,"")</f>
        <v/>
      </c>
      <c r="B677" s="11"/>
      <c r="C677" s="11" t="str">
        <f>IF(COUNTIF(D$1:D677,D677)=1,MAX(C$1:C676)+1,"")</f>
        <v/>
      </c>
      <c r="D677" s="12"/>
    </row>
    <row r="678" spans="1:4" x14ac:dyDescent="0.25">
      <c r="A678" t="str">
        <f>IF(COUNTIF(B$1:B678,B678)=1,MAX(A$1:A677)+1,"")</f>
        <v/>
      </c>
      <c r="B678" s="11"/>
      <c r="C678" s="11" t="str">
        <f>IF(COUNTIF(D$1:D678,D678)=1,MAX(C$1:C677)+1,"")</f>
        <v/>
      </c>
      <c r="D678" s="12"/>
    </row>
    <row r="679" spans="1:4" x14ac:dyDescent="0.25">
      <c r="A679" t="str">
        <f>IF(COUNTIF(B$1:B679,B679)=1,MAX(A$1:A678)+1,"")</f>
        <v/>
      </c>
      <c r="B679" s="11"/>
      <c r="C679" s="11" t="str">
        <f>IF(COUNTIF(D$1:D679,D679)=1,MAX(C$1:C678)+1,"")</f>
        <v/>
      </c>
      <c r="D679" s="12"/>
    </row>
    <row r="680" spans="1:4" x14ac:dyDescent="0.25">
      <c r="A680" t="str">
        <f>IF(COUNTIF(B$1:B680,B680)=1,MAX(A$1:A679)+1,"")</f>
        <v/>
      </c>
      <c r="B680" s="11"/>
      <c r="C680" s="11" t="str">
        <f>IF(COUNTIF(D$1:D680,D680)=1,MAX(C$1:C679)+1,"")</f>
        <v/>
      </c>
      <c r="D680" s="12"/>
    </row>
    <row r="681" spans="1:4" x14ac:dyDescent="0.25">
      <c r="A681" t="str">
        <f>IF(COUNTIF(B$1:B681,B681)=1,MAX(A$1:A680)+1,"")</f>
        <v/>
      </c>
      <c r="B681" s="11"/>
      <c r="C681" s="11" t="str">
        <f>IF(COUNTIF(D$1:D681,D681)=1,MAX(C$1:C680)+1,"")</f>
        <v/>
      </c>
      <c r="D681" s="12"/>
    </row>
    <row r="682" spans="1:4" x14ac:dyDescent="0.25">
      <c r="A682" t="str">
        <f>IF(COUNTIF(B$1:B682,B682)=1,MAX(A$1:A681)+1,"")</f>
        <v/>
      </c>
      <c r="B682" s="11"/>
      <c r="C682" s="11" t="str">
        <f>IF(COUNTIF(D$1:D682,D682)=1,MAX(C$1:C681)+1,"")</f>
        <v/>
      </c>
      <c r="D682" s="12"/>
    </row>
    <row r="683" spans="1:4" x14ac:dyDescent="0.25">
      <c r="A683" t="str">
        <f>IF(COUNTIF(B$1:B683,B683)=1,MAX(A$1:A682)+1,"")</f>
        <v/>
      </c>
      <c r="B683" s="11"/>
      <c r="C683" s="11" t="str">
        <f>IF(COUNTIF(D$1:D683,D683)=1,MAX(C$1:C682)+1,"")</f>
        <v/>
      </c>
      <c r="D683" s="12"/>
    </row>
    <row r="684" spans="1:4" x14ac:dyDescent="0.25">
      <c r="A684" t="str">
        <f>IF(COUNTIF(B$1:B684,B684)=1,MAX(A$1:A683)+1,"")</f>
        <v/>
      </c>
      <c r="B684" s="11"/>
      <c r="C684" s="11" t="str">
        <f>IF(COUNTIF(D$1:D684,D684)=1,MAX(C$1:C683)+1,"")</f>
        <v/>
      </c>
      <c r="D684" s="12"/>
    </row>
    <row r="685" spans="1:4" x14ac:dyDescent="0.25">
      <c r="A685" t="str">
        <f>IF(COUNTIF(B$1:B685,B685)=1,MAX(A$1:A684)+1,"")</f>
        <v/>
      </c>
      <c r="B685" s="11"/>
      <c r="C685" s="11" t="str">
        <f>IF(COUNTIF(D$1:D685,D685)=1,MAX(C$1:C684)+1,"")</f>
        <v/>
      </c>
      <c r="D685" s="12"/>
    </row>
    <row r="686" spans="1:4" x14ac:dyDescent="0.25">
      <c r="A686" t="str">
        <f>IF(COUNTIF(B$1:B686,B686)=1,MAX(A$1:A685)+1,"")</f>
        <v/>
      </c>
      <c r="B686" s="11"/>
      <c r="C686" s="11" t="str">
        <f>IF(COUNTIF(D$1:D686,D686)=1,MAX(C$1:C685)+1,"")</f>
        <v/>
      </c>
      <c r="D686" s="12"/>
    </row>
    <row r="687" spans="1:4" x14ac:dyDescent="0.25">
      <c r="A687" t="str">
        <f>IF(COUNTIF(B$1:B687,B687)=1,MAX(A$1:A686)+1,"")</f>
        <v/>
      </c>
      <c r="B687" s="11"/>
      <c r="C687" s="11" t="str">
        <f>IF(COUNTIF(D$1:D687,D687)=1,MAX(C$1:C686)+1,"")</f>
        <v/>
      </c>
      <c r="D687" s="12"/>
    </row>
    <row r="688" spans="1:4" x14ac:dyDescent="0.25">
      <c r="A688" t="str">
        <f>IF(COUNTIF(B$1:B688,B688)=1,MAX(A$1:A687)+1,"")</f>
        <v/>
      </c>
      <c r="B688" s="11"/>
      <c r="C688" s="11" t="str">
        <f>IF(COUNTIF(D$1:D688,D688)=1,MAX(C$1:C687)+1,"")</f>
        <v/>
      </c>
      <c r="D688" s="12"/>
    </row>
    <row r="689" spans="1:4" x14ac:dyDescent="0.25">
      <c r="A689" t="str">
        <f>IF(COUNTIF(B$1:B689,B689)=1,MAX(A$1:A688)+1,"")</f>
        <v/>
      </c>
      <c r="B689" s="11"/>
      <c r="C689" s="11" t="str">
        <f>IF(COUNTIF(D$1:D689,D689)=1,MAX(C$1:C688)+1,"")</f>
        <v/>
      </c>
      <c r="D689" s="12"/>
    </row>
    <row r="690" spans="1:4" x14ac:dyDescent="0.25">
      <c r="A690" t="str">
        <f>IF(COUNTIF(B$1:B690,B690)=1,MAX(A$1:A689)+1,"")</f>
        <v/>
      </c>
      <c r="B690" s="11"/>
      <c r="C690" s="11" t="str">
        <f>IF(COUNTIF(D$1:D690,D690)=1,MAX(C$1:C689)+1,"")</f>
        <v/>
      </c>
      <c r="D690" s="12"/>
    </row>
    <row r="691" spans="1:4" x14ac:dyDescent="0.25">
      <c r="A691" t="str">
        <f>IF(COUNTIF(B$1:B691,B691)=1,MAX(A$1:A690)+1,"")</f>
        <v/>
      </c>
      <c r="B691" s="11"/>
      <c r="C691" s="11" t="str">
        <f>IF(COUNTIF(D$1:D691,D691)=1,MAX(C$1:C690)+1,"")</f>
        <v/>
      </c>
      <c r="D691" s="12"/>
    </row>
    <row r="692" spans="1:4" x14ac:dyDescent="0.25">
      <c r="A692" t="str">
        <f>IF(COUNTIF(B$1:B692,B692)=1,MAX(A$1:A691)+1,"")</f>
        <v/>
      </c>
      <c r="B692" s="11"/>
      <c r="C692" s="11" t="str">
        <f>IF(COUNTIF(D$1:D692,D692)=1,MAX(C$1:C691)+1,"")</f>
        <v/>
      </c>
      <c r="D692" s="12"/>
    </row>
    <row r="693" spans="1:4" x14ac:dyDescent="0.25">
      <c r="A693" t="str">
        <f>IF(COUNTIF(B$1:B693,B693)=1,MAX(A$1:A692)+1,"")</f>
        <v/>
      </c>
      <c r="B693" s="11"/>
      <c r="C693" s="11" t="str">
        <f>IF(COUNTIF(D$1:D693,D693)=1,MAX(C$1:C692)+1,"")</f>
        <v/>
      </c>
      <c r="D693" s="12"/>
    </row>
    <row r="694" spans="1:4" x14ac:dyDescent="0.25">
      <c r="A694" t="str">
        <f>IF(COUNTIF(B$1:B694,B694)=1,MAX(A$1:A693)+1,"")</f>
        <v/>
      </c>
      <c r="B694" s="11"/>
      <c r="C694" s="11" t="str">
        <f>IF(COUNTIF(D$1:D694,D694)=1,MAX(C$1:C693)+1,"")</f>
        <v/>
      </c>
      <c r="D694" s="12"/>
    </row>
    <row r="695" spans="1:4" x14ac:dyDescent="0.25">
      <c r="A695" t="str">
        <f>IF(COUNTIF(B$1:B695,B695)=1,MAX(A$1:A694)+1,"")</f>
        <v/>
      </c>
      <c r="B695" s="11"/>
      <c r="C695" s="11" t="str">
        <f>IF(COUNTIF(D$1:D695,D695)=1,MAX(C$1:C694)+1,"")</f>
        <v/>
      </c>
      <c r="D695" s="12"/>
    </row>
    <row r="696" spans="1:4" x14ac:dyDescent="0.25">
      <c r="A696" t="str">
        <f>IF(COUNTIF(B$1:B696,B696)=1,MAX(A$1:A695)+1,"")</f>
        <v/>
      </c>
      <c r="B696" s="11"/>
      <c r="C696" s="11" t="str">
        <f>IF(COUNTIF(D$1:D696,D696)=1,MAX(C$1:C695)+1,"")</f>
        <v/>
      </c>
      <c r="D696" s="12"/>
    </row>
    <row r="697" spans="1:4" x14ac:dyDescent="0.25">
      <c r="A697" t="str">
        <f>IF(COUNTIF(B$1:B697,B697)=1,MAX(A$1:A696)+1,"")</f>
        <v/>
      </c>
      <c r="B697" s="11"/>
      <c r="C697" s="11" t="str">
        <f>IF(COUNTIF(D$1:D697,D697)=1,MAX(C$1:C696)+1,"")</f>
        <v/>
      </c>
      <c r="D697" s="12"/>
    </row>
    <row r="698" spans="1:4" x14ac:dyDescent="0.25">
      <c r="A698" t="str">
        <f>IF(COUNTIF(B$1:B698,B698)=1,MAX(A$1:A697)+1,"")</f>
        <v/>
      </c>
      <c r="B698" s="11"/>
      <c r="C698" s="11" t="str">
        <f>IF(COUNTIF(D$1:D698,D698)=1,MAX(C$1:C697)+1,"")</f>
        <v/>
      </c>
      <c r="D698" s="12"/>
    </row>
    <row r="699" spans="1:4" x14ac:dyDescent="0.25">
      <c r="A699" t="str">
        <f>IF(COUNTIF(B$1:B699,B699)=1,MAX(A$1:A698)+1,"")</f>
        <v/>
      </c>
      <c r="B699" s="11"/>
      <c r="C699" s="11" t="str">
        <f>IF(COUNTIF(D$1:D699,D699)=1,MAX(C$1:C698)+1,"")</f>
        <v/>
      </c>
      <c r="D699" s="12"/>
    </row>
    <row r="700" spans="1:4" x14ac:dyDescent="0.25">
      <c r="A700" t="str">
        <f>IF(COUNTIF(B$1:B700,B700)=1,MAX(A$1:A699)+1,"")</f>
        <v/>
      </c>
      <c r="B700" s="11"/>
      <c r="C700" s="11" t="str">
        <f>IF(COUNTIF(D$1:D700,D700)=1,MAX(C$1:C699)+1,"")</f>
        <v/>
      </c>
      <c r="D700" s="12"/>
    </row>
    <row r="701" spans="1:4" x14ac:dyDescent="0.25">
      <c r="A701" t="str">
        <f>IF(COUNTIF(B$1:B701,B701)=1,MAX(A$1:A700)+1,"")</f>
        <v/>
      </c>
      <c r="B701" s="11"/>
      <c r="C701" s="11" t="str">
        <f>IF(COUNTIF(D$1:D701,D701)=1,MAX(C$1:C700)+1,"")</f>
        <v/>
      </c>
      <c r="D701" s="12"/>
    </row>
    <row r="702" spans="1:4" x14ac:dyDescent="0.25">
      <c r="A702" t="str">
        <f>IF(COUNTIF(B$1:B702,B702)=1,MAX(A$1:A701)+1,"")</f>
        <v/>
      </c>
      <c r="B702" s="11"/>
      <c r="C702" s="11" t="str">
        <f>IF(COUNTIF(D$1:D702,D702)=1,MAX(C$1:C701)+1,"")</f>
        <v/>
      </c>
      <c r="D702" s="12"/>
    </row>
    <row r="703" spans="1:4" x14ac:dyDescent="0.25">
      <c r="A703" t="str">
        <f>IF(COUNTIF(B$1:B703,B703)=1,MAX(A$1:A702)+1,"")</f>
        <v/>
      </c>
      <c r="B703" s="11"/>
      <c r="C703" s="11" t="str">
        <f>IF(COUNTIF(D$1:D703,D703)=1,MAX(C$1:C702)+1,"")</f>
        <v/>
      </c>
      <c r="D703" s="12"/>
    </row>
    <row r="704" spans="1:4" x14ac:dyDescent="0.25">
      <c r="A704" t="str">
        <f>IF(COUNTIF(B$1:B704,B704)=1,MAX(A$1:A703)+1,"")</f>
        <v/>
      </c>
      <c r="B704" s="11"/>
      <c r="C704" s="11" t="str">
        <f>IF(COUNTIF(D$1:D704,D704)=1,MAX(C$1:C703)+1,"")</f>
        <v/>
      </c>
      <c r="D704" s="12"/>
    </row>
    <row r="705" spans="1:4" x14ac:dyDescent="0.25">
      <c r="A705" t="str">
        <f>IF(COUNTIF(B$1:B705,B705)=1,MAX(A$1:A704)+1,"")</f>
        <v/>
      </c>
      <c r="B705" s="11"/>
      <c r="C705" s="11" t="str">
        <f>IF(COUNTIF(D$1:D705,D705)=1,MAX(C$1:C704)+1,"")</f>
        <v/>
      </c>
      <c r="D705" s="12"/>
    </row>
    <row r="706" spans="1:4" x14ac:dyDescent="0.25">
      <c r="A706" t="str">
        <f>IF(COUNTIF(B$1:B706,B706)=1,MAX(A$1:A705)+1,"")</f>
        <v/>
      </c>
      <c r="B706" s="11"/>
      <c r="C706" s="11" t="str">
        <f>IF(COUNTIF(D$1:D706,D706)=1,MAX(C$1:C705)+1,"")</f>
        <v/>
      </c>
      <c r="D706" s="12"/>
    </row>
    <row r="707" spans="1:4" x14ac:dyDescent="0.25">
      <c r="A707" t="str">
        <f>IF(COUNTIF(B$1:B707,B707)=1,MAX(A$1:A706)+1,"")</f>
        <v/>
      </c>
      <c r="B707" s="11"/>
      <c r="C707" s="11" t="str">
        <f>IF(COUNTIF(D$1:D707,D707)=1,MAX(C$1:C706)+1,"")</f>
        <v/>
      </c>
      <c r="D707" s="12"/>
    </row>
    <row r="708" spans="1:4" x14ac:dyDescent="0.25">
      <c r="A708" t="str">
        <f>IF(COUNTIF(B$1:B708,B708)=1,MAX(A$1:A707)+1,"")</f>
        <v/>
      </c>
      <c r="B708" s="11"/>
      <c r="C708" s="11" t="str">
        <f>IF(COUNTIF(D$1:D708,D708)=1,MAX(C$1:C707)+1,"")</f>
        <v/>
      </c>
      <c r="D708" s="12"/>
    </row>
    <row r="709" spans="1:4" x14ac:dyDescent="0.25">
      <c r="A709" t="str">
        <f>IF(COUNTIF(B$1:B709,B709)=1,MAX(A$1:A708)+1,"")</f>
        <v/>
      </c>
      <c r="B709" s="11"/>
      <c r="C709" s="11" t="str">
        <f>IF(COUNTIF(D$1:D709,D709)=1,MAX(C$1:C708)+1,"")</f>
        <v/>
      </c>
      <c r="D709" s="12"/>
    </row>
    <row r="710" spans="1:4" x14ac:dyDescent="0.25">
      <c r="A710" t="str">
        <f>IF(COUNTIF(B$1:B710,B710)=1,MAX(A$1:A709)+1,"")</f>
        <v/>
      </c>
      <c r="B710" s="11"/>
      <c r="C710" s="11" t="str">
        <f>IF(COUNTIF(D$1:D710,D710)=1,MAX(C$1:C709)+1,"")</f>
        <v/>
      </c>
      <c r="D710" s="12"/>
    </row>
    <row r="711" spans="1:4" x14ac:dyDescent="0.25">
      <c r="A711" t="str">
        <f>IF(COUNTIF(B$1:B711,B711)=1,MAX(A$1:A710)+1,"")</f>
        <v/>
      </c>
      <c r="B711" s="11"/>
      <c r="C711" s="11" t="str">
        <f>IF(COUNTIF(D$1:D711,D711)=1,MAX(C$1:C710)+1,"")</f>
        <v/>
      </c>
      <c r="D711" s="12"/>
    </row>
    <row r="712" spans="1:4" x14ac:dyDescent="0.25">
      <c r="A712" t="str">
        <f>IF(COUNTIF(B$1:B712,B712)=1,MAX(A$1:A711)+1,"")</f>
        <v/>
      </c>
      <c r="B712" s="11"/>
      <c r="C712" s="11" t="str">
        <f>IF(COUNTIF(D$1:D712,D712)=1,MAX(C$1:C711)+1,"")</f>
        <v/>
      </c>
      <c r="D712" s="12"/>
    </row>
    <row r="713" spans="1:4" x14ac:dyDescent="0.25">
      <c r="A713" t="str">
        <f>IF(COUNTIF(B$1:B713,B713)=1,MAX(A$1:A712)+1,"")</f>
        <v/>
      </c>
      <c r="B713" s="11"/>
      <c r="C713" s="11" t="str">
        <f>IF(COUNTIF(D$1:D713,D713)=1,MAX(C$1:C712)+1,"")</f>
        <v/>
      </c>
      <c r="D713" s="12"/>
    </row>
    <row r="714" spans="1:4" x14ac:dyDescent="0.25">
      <c r="A714" t="str">
        <f>IF(COUNTIF(B$1:B714,B714)=1,MAX(A$1:A713)+1,"")</f>
        <v/>
      </c>
      <c r="B714" s="11"/>
      <c r="C714" s="11" t="str">
        <f>IF(COUNTIF(D$1:D714,D714)=1,MAX(C$1:C713)+1,"")</f>
        <v/>
      </c>
      <c r="D714" s="12"/>
    </row>
    <row r="715" spans="1:4" x14ac:dyDescent="0.25">
      <c r="A715" t="str">
        <f>IF(COUNTIF(B$1:B715,B715)=1,MAX(A$1:A714)+1,"")</f>
        <v/>
      </c>
      <c r="B715" s="11"/>
      <c r="C715" s="11" t="str">
        <f>IF(COUNTIF(D$1:D715,D715)=1,MAX(C$1:C714)+1,"")</f>
        <v/>
      </c>
      <c r="D715" s="12"/>
    </row>
    <row r="716" spans="1:4" x14ac:dyDescent="0.25">
      <c r="A716" t="str">
        <f>IF(COUNTIF(B$1:B716,B716)=1,MAX(A$1:A715)+1,"")</f>
        <v/>
      </c>
      <c r="B716" s="11"/>
      <c r="C716" s="11" t="str">
        <f>IF(COUNTIF(D$1:D716,D716)=1,MAX(C$1:C715)+1,"")</f>
        <v/>
      </c>
      <c r="D716" s="12"/>
    </row>
    <row r="717" spans="1:4" x14ac:dyDescent="0.25">
      <c r="A717" t="str">
        <f>IF(COUNTIF(B$1:B717,B717)=1,MAX(A$1:A716)+1,"")</f>
        <v/>
      </c>
      <c r="B717" s="11"/>
      <c r="C717" s="11" t="str">
        <f>IF(COUNTIF(D$1:D717,D717)=1,MAX(C$1:C716)+1,"")</f>
        <v/>
      </c>
      <c r="D717" s="12"/>
    </row>
    <row r="718" spans="1:4" x14ac:dyDescent="0.25">
      <c r="A718" t="str">
        <f>IF(COUNTIF(B$1:B718,B718)=1,MAX(A$1:A717)+1,"")</f>
        <v/>
      </c>
      <c r="B718" s="11"/>
      <c r="C718" s="11" t="str">
        <f>IF(COUNTIF(D$1:D718,D718)=1,MAX(C$1:C717)+1,"")</f>
        <v/>
      </c>
      <c r="D718" s="12"/>
    </row>
    <row r="719" spans="1:4" x14ac:dyDescent="0.25">
      <c r="A719" t="str">
        <f>IF(COUNTIF(B$1:B719,B719)=1,MAX(A$1:A718)+1,"")</f>
        <v/>
      </c>
      <c r="B719" s="11"/>
      <c r="C719" s="11" t="str">
        <f>IF(COUNTIF(D$1:D719,D719)=1,MAX(C$1:C718)+1,"")</f>
        <v/>
      </c>
      <c r="D719" s="12"/>
    </row>
    <row r="720" spans="1:4" x14ac:dyDescent="0.25">
      <c r="A720" t="str">
        <f>IF(COUNTIF(B$1:B720,B720)=1,MAX(A$1:A719)+1,"")</f>
        <v/>
      </c>
      <c r="B720" s="11"/>
      <c r="C720" s="11" t="str">
        <f>IF(COUNTIF(D$1:D720,D720)=1,MAX(C$1:C719)+1,"")</f>
        <v/>
      </c>
      <c r="D720" s="12"/>
    </row>
    <row r="721" spans="1:4" x14ac:dyDescent="0.25">
      <c r="A721" t="str">
        <f>IF(COUNTIF(B$1:B721,B721)=1,MAX(A$1:A720)+1,"")</f>
        <v/>
      </c>
      <c r="B721" s="11"/>
      <c r="C721" s="11" t="str">
        <f>IF(COUNTIF(D$1:D721,D721)=1,MAX(C$1:C720)+1,"")</f>
        <v/>
      </c>
      <c r="D721" s="12"/>
    </row>
    <row r="722" spans="1:4" x14ac:dyDescent="0.25">
      <c r="A722" t="str">
        <f>IF(COUNTIF(B$1:B722,B722)=1,MAX(A$1:A721)+1,"")</f>
        <v/>
      </c>
      <c r="B722" s="11"/>
      <c r="C722" s="11" t="str">
        <f>IF(COUNTIF(D$1:D722,D722)=1,MAX(C$1:C721)+1,"")</f>
        <v/>
      </c>
      <c r="D722" s="12"/>
    </row>
    <row r="723" spans="1:4" x14ac:dyDescent="0.25">
      <c r="A723" t="str">
        <f>IF(COUNTIF(B$1:B723,B723)=1,MAX(A$1:A722)+1,"")</f>
        <v/>
      </c>
      <c r="B723" s="11"/>
      <c r="C723" s="11" t="str">
        <f>IF(COUNTIF(D$1:D723,D723)=1,MAX(C$1:C722)+1,"")</f>
        <v/>
      </c>
      <c r="D723" s="12"/>
    </row>
    <row r="724" spans="1:4" x14ac:dyDescent="0.25">
      <c r="A724" t="str">
        <f>IF(COUNTIF(B$1:B724,B724)=1,MAX(A$1:A723)+1,"")</f>
        <v/>
      </c>
      <c r="B724" s="11"/>
      <c r="C724" s="11" t="str">
        <f>IF(COUNTIF(D$1:D724,D724)=1,MAX(C$1:C723)+1,"")</f>
        <v/>
      </c>
      <c r="D724" s="12"/>
    </row>
    <row r="725" spans="1:4" x14ac:dyDescent="0.25">
      <c r="A725" t="str">
        <f>IF(COUNTIF(B$1:B725,B725)=1,MAX(A$1:A724)+1,"")</f>
        <v/>
      </c>
      <c r="B725" s="11"/>
      <c r="C725" s="11" t="str">
        <f>IF(COUNTIF(D$1:D725,D725)=1,MAX(C$1:C724)+1,"")</f>
        <v/>
      </c>
      <c r="D725" s="12"/>
    </row>
    <row r="726" spans="1:4" x14ac:dyDescent="0.25">
      <c r="A726" t="str">
        <f>IF(COUNTIF(B$1:B726,B726)=1,MAX(A$1:A725)+1,"")</f>
        <v/>
      </c>
      <c r="B726" s="11"/>
      <c r="C726" s="11" t="str">
        <f>IF(COUNTIF(D$1:D726,D726)=1,MAX(C$1:C725)+1,"")</f>
        <v/>
      </c>
      <c r="D726" s="12"/>
    </row>
    <row r="727" spans="1:4" x14ac:dyDescent="0.25">
      <c r="A727" t="str">
        <f>IF(COUNTIF(B$1:B727,B727)=1,MAX(A$1:A726)+1,"")</f>
        <v/>
      </c>
      <c r="B727" s="11"/>
      <c r="C727" s="11" t="str">
        <f>IF(COUNTIF(D$1:D727,D727)=1,MAX(C$1:C726)+1,"")</f>
        <v/>
      </c>
      <c r="D727" s="12"/>
    </row>
    <row r="728" spans="1:4" x14ac:dyDescent="0.25">
      <c r="A728" t="str">
        <f>IF(COUNTIF(B$1:B728,B728)=1,MAX(A$1:A727)+1,"")</f>
        <v/>
      </c>
      <c r="B728" s="11"/>
      <c r="C728" s="11" t="str">
        <f>IF(COUNTIF(D$1:D728,D728)=1,MAX(C$1:C727)+1,"")</f>
        <v/>
      </c>
      <c r="D728" s="12"/>
    </row>
    <row r="729" spans="1:4" x14ac:dyDescent="0.25">
      <c r="A729" t="str">
        <f>IF(COUNTIF(B$1:B729,B729)=1,MAX(A$1:A728)+1,"")</f>
        <v/>
      </c>
      <c r="B729" s="11"/>
      <c r="C729" s="11" t="str">
        <f>IF(COUNTIF(D$1:D729,D729)=1,MAX(C$1:C728)+1,"")</f>
        <v/>
      </c>
      <c r="D729" s="12"/>
    </row>
    <row r="730" spans="1:4" x14ac:dyDescent="0.25">
      <c r="A730" t="str">
        <f>IF(COUNTIF(B$1:B730,B730)=1,MAX(A$1:A729)+1,"")</f>
        <v/>
      </c>
      <c r="B730" s="11"/>
      <c r="C730" s="11" t="str">
        <f>IF(COUNTIF(D$1:D730,D730)=1,MAX(C$1:C729)+1,"")</f>
        <v/>
      </c>
      <c r="D730" s="12"/>
    </row>
    <row r="731" spans="1:4" x14ac:dyDescent="0.25">
      <c r="A731" t="str">
        <f>IF(COUNTIF(B$1:B731,B731)=1,MAX(A$1:A730)+1,"")</f>
        <v/>
      </c>
      <c r="B731" s="11"/>
      <c r="C731" s="11" t="str">
        <f>IF(COUNTIF(D$1:D731,D731)=1,MAX(C$1:C730)+1,"")</f>
        <v/>
      </c>
      <c r="D731" s="12"/>
    </row>
    <row r="732" spans="1:4" x14ac:dyDescent="0.25">
      <c r="A732" t="str">
        <f>IF(COUNTIF(B$1:B732,B732)=1,MAX(A$1:A731)+1,"")</f>
        <v/>
      </c>
      <c r="B732" s="11"/>
      <c r="C732" s="11" t="str">
        <f>IF(COUNTIF(D$1:D732,D732)=1,MAX(C$1:C731)+1,"")</f>
        <v/>
      </c>
      <c r="D732" s="12"/>
    </row>
    <row r="733" spans="1:4" x14ac:dyDescent="0.25">
      <c r="A733" t="str">
        <f>IF(COUNTIF(B$1:B733,B733)=1,MAX(A$1:A732)+1,"")</f>
        <v/>
      </c>
      <c r="B733" s="11"/>
      <c r="C733" s="11" t="str">
        <f>IF(COUNTIF(D$1:D733,D733)=1,MAX(C$1:C732)+1,"")</f>
        <v/>
      </c>
      <c r="D733" s="12"/>
    </row>
    <row r="734" spans="1:4" x14ac:dyDescent="0.25">
      <c r="A734" t="str">
        <f>IF(COUNTIF(B$1:B734,B734)=1,MAX(A$1:A733)+1,"")</f>
        <v/>
      </c>
      <c r="B734" s="11"/>
      <c r="C734" s="11" t="str">
        <f>IF(COUNTIF(D$1:D734,D734)=1,MAX(C$1:C733)+1,"")</f>
        <v/>
      </c>
      <c r="D734" s="12"/>
    </row>
    <row r="735" spans="1:4" x14ac:dyDescent="0.25">
      <c r="A735" t="str">
        <f>IF(COUNTIF(B$1:B735,B735)=1,MAX(A$1:A734)+1,"")</f>
        <v/>
      </c>
      <c r="B735" s="11"/>
      <c r="C735" s="11" t="str">
        <f>IF(COUNTIF(D$1:D735,D735)=1,MAX(C$1:C734)+1,"")</f>
        <v/>
      </c>
      <c r="D735" s="12"/>
    </row>
    <row r="736" spans="1:4" x14ac:dyDescent="0.25">
      <c r="A736" t="str">
        <f>IF(COUNTIF(B$1:B736,B736)=1,MAX(A$1:A735)+1,"")</f>
        <v/>
      </c>
      <c r="B736" s="11"/>
      <c r="C736" s="11" t="str">
        <f>IF(COUNTIF(D$1:D736,D736)=1,MAX(C$1:C735)+1,"")</f>
        <v/>
      </c>
      <c r="D736" s="12"/>
    </row>
    <row r="737" spans="1:4" x14ac:dyDescent="0.25">
      <c r="A737" t="str">
        <f>IF(COUNTIF(B$1:B737,B737)=1,MAX(A$1:A736)+1,"")</f>
        <v/>
      </c>
      <c r="B737" s="11"/>
      <c r="C737" s="11" t="str">
        <f>IF(COUNTIF(D$1:D737,D737)=1,MAX(C$1:C736)+1,"")</f>
        <v/>
      </c>
      <c r="D737" s="12"/>
    </row>
    <row r="738" spans="1:4" x14ac:dyDescent="0.25">
      <c r="A738" t="str">
        <f>IF(COUNTIF(B$1:B738,B738)=1,MAX(A$1:A737)+1,"")</f>
        <v/>
      </c>
      <c r="B738" s="11"/>
      <c r="C738" s="11" t="str">
        <f>IF(COUNTIF(D$1:D738,D738)=1,MAX(C$1:C737)+1,"")</f>
        <v/>
      </c>
      <c r="D738" s="12"/>
    </row>
    <row r="739" spans="1:4" x14ac:dyDescent="0.25">
      <c r="A739" t="str">
        <f>IF(COUNTIF(B$1:B739,B739)=1,MAX(A$1:A738)+1,"")</f>
        <v/>
      </c>
      <c r="B739" s="11"/>
      <c r="C739" s="11" t="str">
        <f>IF(COUNTIF(D$1:D739,D739)=1,MAX(C$1:C738)+1,"")</f>
        <v/>
      </c>
      <c r="D739" s="12"/>
    </row>
    <row r="740" spans="1:4" x14ac:dyDescent="0.25">
      <c r="A740" t="str">
        <f>IF(COUNTIF(B$1:B740,B740)=1,MAX(A$1:A739)+1,"")</f>
        <v/>
      </c>
      <c r="B740" s="11"/>
      <c r="C740" s="11" t="str">
        <f>IF(COUNTIF(D$1:D740,D740)=1,MAX(C$1:C739)+1,"")</f>
        <v/>
      </c>
      <c r="D740" s="12"/>
    </row>
    <row r="741" spans="1:4" x14ac:dyDescent="0.25">
      <c r="A741" t="str">
        <f>IF(COUNTIF(B$1:B741,B741)=1,MAX(A$1:A740)+1,"")</f>
        <v/>
      </c>
      <c r="B741" s="11"/>
      <c r="C741" s="11" t="str">
        <f>IF(COUNTIF(D$1:D741,D741)=1,MAX(C$1:C740)+1,"")</f>
        <v/>
      </c>
      <c r="D741" s="12"/>
    </row>
    <row r="742" spans="1:4" x14ac:dyDescent="0.25">
      <c r="A742" t="str">
        <f>IF(COUNTIF(B$1:B742,B742)=1,MAX(A$1:A741)+1,"")</f>
        <v/>
      </c>
      <c r="B742" s="11"/>
      <c r="C742" s="11" t="str">
        <f>IF(COUNTIF(D$1:D742,D742)=1,MAX(C$1:C741)+1,"")</f>
        <v/>
      </c>
      <c r="D742" s="12"/>
    </row>
    <row r="743" spans="1:4" x14ac:dyDescent="0.25">
      <c r="A743" t="str">
        <f>IF(COUNTIF(B$1:B743,B743)=1,MAX(A$1:A742)+1,"")</f>
        <v/>
      </c>
      <c r="B743" s="11"/>
      <c r="C743" s="11" t="str">
        <f>IF(COUNTIF(D$1:D743,D743)=1,MAX(C$1:C742)+1,"")</f>
        <v/>
      </c>
      <c r="D743" s="12"/>
    </row>
    <row r="744" spans="1:4" x14ac:dyDescent="0.25">
      <c r="A744" t="str">
        <f>IF(COUNTIF(B$1:B744,B744)=1,MAX(A$1:A743)+1,"")</f>
        <v/>
      </c>
      <c r="B744" s="11"/>
      <c r="C744" s="11" t="str">
        <f>IF(COUNTIF(D$1:D744,D744)=1,MAX(C$1:C743)+1,"")</f>
        <v/>
      </c>
      <c r="D744" s="12"/>
    </row>
    <row r="745" spans="1:4" x14ac:dyDescent="0.25">
      <c r="A745" t="str">
        <f>IF(COUNTIF(B$1:B745,B745)=1,MAX(A$1:A744)+1,"")</f>
        <v/>
      </c>
      <c r="B745" s="11"/>
      <c r="C745" s="11" t="str">
        <f>IF(COUNTIF(D$1:D745,D745)=1,MAX(C$1:C744)+1,"")</f>
        <v/>
      </c>
      <c r="D745" s="12"/>
    </row>
    <row r="746" spans="1:4" x14ac:dyDescent="0.25">
      <c r="A746" t="str">
        <f>IF(COUNTIF(B$1:B746,B746)=1,MAX(A$1:A745)+1,"")</f>
        <v/>
      </c>
      <c r="B746" s="11"/>
      <c r="C746" s="11" t="str">
        <f>IF(COUNTIF(D$1:D746,D746)=1,MAX(C$1:C745)+1,"")</f>
        <v/>
      </c>
      <c r="D746" s="12"/>
    </row>
    <row r="747" spans="1:4" x14ac:dyDescent="0.25">
      <c r="A747" t="str">
        <f>IF(COUNTIF(B$1:B747,B747)=1,MAX(A$1:A746)+1,"")</f>
        <v/>
      </c>
      <c r="B747" s="11"/>
      <c r="C747" s="11" t="str">
        <f>IF(COUNTIF(D$1:D747,D747)=1,MAX(C$1:C746)+1,"")</f>
        <v/>
      </c>
      <c r="D747" s="12"/>
    </row>
    <row r="748" spans="1:4" x14ac:dyDescent="0.25">
      <c r="A748" t="str">
        <f>IF(COUNTIF(B$1:B748,B748)=1,MAX(A$1:A747)+1,"")</f>
        <v/>
      </c>
      <c r="B748" s="11"/>
      <c r="C748" s="11" t="str">
        <f>IF(COUNTIF(D$1:D748,D748)=1,MAX(C$1:C747)+1,"")</f>
        <v/>
      </c>
      <c r="D748" s="12"/>
    </row>
    <row r="749" spans="1:4" x14ac:dyDescent="0.25">
      <c r="A749" t="str">
        <f>IF(COUNTIF(B$1:B749,B749)=1,MAX(A$1:A748)+1,"")</f>
        <v/>
      </c>
      <c r="B749" s="11"/>
      <c r="C749" s="11" t="str">
        <f>IF(COUNTIF(D$1:D749,D749)=1,MAX(C$1:C748)+1,"")</f>
        <v/>
      </c>
      <c r="D749" s="12"/>
    </row>
    <row r="750" spans="1:4" x14ac:dyDescent="0.25">
      <c r="A750" t="str">
        <f>IF(COUNTIF(B$1:B750,B750)=1,MAX(A$1:A749)+1,"")</f>
        <v/>
      </c>
      <c r="B750" s="11"/>
      <c r="C750" s="11" t="str">
        <f>IF(COUNTIF(D$1:D750,D750)=1,MAX(C$1:C749)+1,"")</f>
        <v/>
      </c>
      <c r="D750" s="12"/>
    </row>
    <row r="751" spans="1:4" x14ac:dyDescent="0.25">
      <c r="A751" t="str">
        <f>IF(COUNTIF(B$1:B751,B751)=1,MAX(A$1:A750)+1,"")</f>
        <v/>
      </c>
      <c r="B751" s="11"/>
      <c r="C751" s="11" t="str">
        <f>IF(COUNTIF(D$1:D751,D751)=1,MAX(C$1:C750)+1,"")</f>
        <v/>
      </c>
      <c r="D751" s="12"/>
    </row>
    <row r="752" spans="1:4" x14ac:dyDescent="0.25">
      <c r="A752" t="str">
        <f>IF(COUNTIF(B$1:B752,B752)=1,MAX(A$1:A751)+1,"")</f>
        <v/>
      </c>
      <c r="B752" s="11"/>
      <c r="C752" s="11" t="str">
        <f>IF(COUNTIF(D$1:D752,D752)=1,MAX(C$1:C751)+1,"")</f>
        <v/>
      </c>
      <c r="D752" s="12"/>
    </row>
    <row r="753" spans="1:4" x14ac:dyDescent="0.25">
      <c r="A753" t="str">
        <f>IF(COUNTIF(B$1:B753,B753)=1,MAX(A$1:A752)+1,"")</f>
        <v/>
      </c>
      <c r="B753" s="11"/>
      <c r="C753" s="11" t="str">
        <f>IF(COUNTIF(D$1:D753,D753)=1,MAX(C$1:C752)+1,"")</f>
        <v/>
      </c>
      <c r="D753" s="12"/>
    </row>
    <row r="754" spans="1:4" x14ac:dyDescent="0.25">
      <c r="A754" t="str">
        <f>IF(COUNTIF(B$1:B754,B754)=1,MAX(A$1:A753)+1,"")</f>
        <v/>
      </c>
      <c r="B754" s="11"/>
      <c r="C754" s="11" t="str">
        <f>IF(COUNTIF(D$1:D754,D754)=1,MAX(C$1:C753)+1,"")</f>
        <v/>
      </c>
      <c r="D754" s="12"/>
    </row>
    <row r="755" spans="1:4" x14ac:dyDescent="0.25">
      <c r="A755" t="str">
        <f>IF(COUNTIF(B$1:B755,B755)=1,MAX(A$1:A754)+1,"")</f>
        <v/>
      </c>
      <c r="B755" s="11"/>
      <c r="C755" s="11" t="str">
        <f>IF(COUNTIF(D$1:D755,D755)=1,MAX(C$1:C754)+1,"")</f>
        <v/>
      </c>
      <c r="D755" s="12"/>
    </row>
    <row r="756" spans="1:4" x14ac:dyDescent="0.25">
      <c r="A756" t="str">
        <f>IF(COUNTIF(B$1:B756,B756)=1,MAX(A$1:A755)+1,"")</f>
        <v/>
      </c>
      <c r="B756" s="11"/>
      <c r="C756" s="11" t="str">
        <f>IF(COUNTIF(D$1:D756,D756)=1,MAX(C$1:C755)+1,"")</f>
        <v/>
      </c>
      <c r="D756" s="12"/>
    </row>
    <row r="757" spans="1:4" x14ac:dyDescent="0.25">
      <c r="A757" t="str">
        <f>IF(COUNTIF(B$1:B757,B757)=1,MAX(A$1:A756)+1,"")</f>
        <v/>
      </c>
      <c r="B757" s="11"/>
      <c r="C757" s="11" t="str">
        <f>IF(COUNTIF(D$1:D757,D757)=1,MAX(C$1:C756)+1,"")</f>
        <v/>
      </c>
      <c r="D757" s="12"/>
    </row>
    <row r="758" spans="1:4" x14ac:dyDescent="0.25">
      <c r="A758" t="str">
        <f>IF(COUNTIF(B$1:B758,B758)=1,MAX(A$1:A757)+1,"")</f>
        <v/>
      </c>
      <c r="B758" s="11"/>
      <c r="C758" s="11" t="str">
        <f>IF(COUNTIF(D$1:D758,D758)=1,MAX(C$1:C757)+1,"")</f>
        <v/>
      </c>
      <c r="D758" s="12"/>
    </row>
    <row r="759" spans="1:4" x14ac:dyDescent="0.25">
      <c r="A759" t="str">
        <f>IF(COUNTIF(B$1:B759,B759)=1,MAX(A$1:A758)+1,"")</f>
        <v/>
      </c>
      <c r="B759" s="11"/>
      <c r="C759" s="11" t="str">
        <f>IF(COUNTIF(D$1:D759,D759)=1,MAX(C$1:C758)+1,"")</f>
        <v/>
      </c>
      <c r="D759" s="12"/>
    </row>
    <row r="760" spans="1:4" x14ac:dyDescent="0.25">
      <c r="A760" t="str">
        <f>IF(COUNTIF(B$1:B760,B760)=1,MAX(A$1:A759)+1,"")</f>
        <v/>
      </c>
      <c r="B760" s="11"/>
      <c r="C760" s="11" t="str">
        <f>IF(COUNTIF(D$1:D760,D760)=1,MAX(C$1:C759)+1,"")</f>
        <v/>
      </c>
      <c r="D760" s="12"/>
    </row>
    <row r="761" spans="1:4" x14ac:dyDescent="0.25">
      <c r="A761" t="str">
        <f>IF(COUNTIF(B$1:B761,B761)=1,MAX(A$1:A760)+1,"")</f>
        <v/>
      </c>
      <c r="B761" s="11"/>
      <c r="C761" s="11" t="str">
        <f>IF(COUNTIF(D$1:D761,D761)=1,MAX(C$1:C760)+1,"")</f>
        <v/>
      </c>
      <c r="D761" s="12"/>
    </row>
    <row r="762" spans="1:4" x14ac:dyDescent="0.25">
      <c r="A762" t="str">
        <f>IF(COUNTIF(B$1:B762,B762)=1,MAX(A$1:A761)+1,"")</f>
        <v/>
      </c>
      <c r="B762" s="11"/>
      <c r="C762" s="11" t="str">
        <f>IF(COUNTIF(D$1:D762,D762)=1,MAX(C$1:C761)+1,"")</f>
        <v/>
      </c>
      <c r="D762" s="12"/>
    </row>
    <row r="763" spans="1:4" x14ac:dyDescent="0.25">
      <c r="A763" t="str">
        <f>IF(COUNTIF(B$1:B763,B763)=1,MAX(A$1:A762)+1,"")</f>
        <v/>
      </c>
      <c r="B763" s="11"/>
      <c r="C763" s="11" t="str">
        <f>IF(COUNTIF(D$1:D763,D763)=1,MAX(C$1:C762)+1,"")</f>
        <v/>
      </c>
      <c r="D763" s="12"/>
    </row>
    <row r="764" spans="1:4" x14ac:dyDescent="0.25">
      <c r="A764" t="str">
        <f>IF(COUNTIF(B$1:B764,B764)=1,MAX(A$1:A763)+1,"")</f>
        <v/>
      </c>
      <c r="B764" s="11"/>
      <c r="C764" s="11" t="str">
        <f>IF(COUNTIF(D$1:D764,D764)=1,MAX(C$1:C763)+1,"")</f>
        <v/>
      </c>
      <c r="D764" s="12"/>
    </row>
    <row r="765" spans="1:4" x14ac:dyDescent="0.25">
      <c r="A765" t="str">
        <f>IF(COUNTIF(B$1:B765,B765)=1,MAX(A$1:A764)+1,"")</f>
        <v/>
      </c>
      <c r="B765" s="11"/>
      <c r="C765" s="11" t="str">
        <f>IF(COUNTIF(D$1:D765,D765)=1,MAX(C$1:C764)+1,"")</f>
        <v/>
      </c>
      <c r="D765" s="12"/>
    </row>
    <row r="766" spans="1:4" x14ac:dyDescent="0.25">
      <c r="A766" t="str">
        <f>IF(COUNTIF(B$1:B766,B766)=1,MAX(A$1:A765)+1,"")</f>
        <v/>
      </c>
      <c r="B766" s="11"/>
      <c r="C766" s="11" t="str">
        <f>IF(COUNTIF(D$1:D766,D766)=1,MAX(C$1:C765)+1,"")</f>
        <v/>
      </c>
      <c r="D766" s="12"/>
    </row>
    <row r="767" spans="1:4" x14ac:dyDescent="0.25">
      <c r="A767" t="str">
        <f>IF(COUNTIF(B$1:B767,B767)=1,MAX(A$1:A766)+1,"")</f>
        <v/>
      </c>
      <c r="B767" s="11"/>
      <c r="C767" s="11" t="str">
        <f>IF(COUNTIF(D$1:D767,D767)=1,MAX(C$1:C766)+1,"")</f>
        <v/>
      </c>
      <c r="D767" s="12"/>
    </row>
    <row r="768" spans="1:4" x14ac:dyDescent="0.25">
      <c r="A768" t="str">
        <f>IF(COUNTIF(B$1:B768,B768)=1,MAX(A$1:A767)+1,"")</f>
        <v/>
      </c>
      <c r="B768" s="11"/>
      <c r="C768" s="11" t="str">
        <f>IF(COUNTIF(D$1:D768,D768)=1,MAX(C$1:C767)+1,"")</f>
        <v/>
      </c>
      <c r="D768" s="12"/>
    </row>
    <row r="769" spans="1:4" x14ac:dyDescent="0.25">
      <c r="A769" t="str">
        <f>IF(COUNTIF(B$1:B769,B769)=1,MAX(A$1:A768)+1,"")</f>
        <v/>
      </c>
      <c r="B769" s="11"/>
      <c r="C769" s="11" t="str">
        <f>IF(COUNTIF(D$1:D769,D769)=1,MAX(C$1:C768)+1,"")</f>
        <v/>
      </c>
      <c r="D769" s="12"/>
    </row>
    <row r="770" spans="1:4" x14ac:dyDescent="0.25">
      <c r="A770" t="str">
        <f>IF(COUNTIF(B$1:B770,B770)=1,MAX(A$1:A769)+1,"")</f>
        <v/>
      </c>
      <c r="B770" s="11"/>
      <c r="C770" s="11" t="str">
        <f>IF(COUNTIF(D$1:D770,D770)=1,MAX(C$1:C769)+1,"")</f>
        <v/>
      </c>
      <c r="D770" s="12"/>
    </row>
    <row r="771" spans="1:4" x14ac:dyDescent="0.25">
      <c r="A771" t="str">
        <f>IF(COUNTIF(B$1:B771,B771)=1,MAX(A$1:A770)+1,"")</f>
        <v/>
      </c>
      <c r="B771" s="11"/>
      <c r="C771" s="11" t="str">
        <f>IF(COUNTIF(D$1:D771,D771)=1,MAX(C$1:C770)+1,"")</f>
        <v/>
      </c>
      <c r="D771" s="12"/>
    </row>
    <row r="772" spans="1:4" x14ac:dyDescent="0.25">
      <c r="A772" t="str">
        <f>IF(COUNTIF(B$1:B772,B772)=1,MAX(A$1:A771)+1,"")</f>
        <v/>
      </c>
      <c r="B772" s="11"/>
      <c r="C772" s="11" t="str">
        <f>IF(COUNTIF(D$1:D772,D772)=1,MAX(C$1:C771)+1,"")</f>
        <v/>
      </c>
      <c r="D772" s="12"/>
    </row>
    <row r="773" spans="1:4" x14ac:dyDescent="0.25">
      <c r="A773" t="str">
        <f>IF(COUNTIF(B$1:B773,B773)=1,MAX(A$1:A772)+1,"")</f>
        <v/>
      </c>
      <c r="B773" s="11"/>
      <c r="C773" s="11" t="str">
        <f>IF(COUNTIF(D$1:D773,D773)=1,MAX(C$1:C772)+1,"")</f>
        <v/>
      </c>
      <c r="D773" s="12"/>
    </row>
    <row r="774" spans="1:4" x14ac:dyDescent="0.25">
      <c r="A774" t="str">
        <f>IF(COUNTIF(B$1:B774,B774)=1,MAX(A$1:A773)+1,"")</f>
        <v/>
      </c>
      <c r="B774" s="11"/>
      <c r="C774" s="11" t="str">
        <f>IF(COUNTIF(D$1:D774,D774)=1,MAX(C$1:C773)+1,"")</f>
        <v/>
      </c>
      <c r="D774" s="12"/>
    </row>
    <row r="775" spans="1:4" x14ac:dyDescent="0.25">
      <c r="A775" t="str">
        <f>IF(COUNTIF(B$1:B775,B775)=1,MAX(A$1:A774)+1,"")</f>
        <v/>
      </c>
      <c r="B775" s="11"/>
      <c r="C775" s="11" t="str">
        <f>IF(COUNTIF(D$1:D775,D775)=1,MAX(C$1:C774)+1,"")</f>
        <v/>
      </c>
      <c r="D775" s="12"/>
    </row>
    <row r="776" spans="1:4" x14ac:dyDescent="0.25">
      <c r="A776" t="str">
        <f>IF(COUNTIF(B$1:B776,B776)=1,MAX(A$1:A775)+1,"")</f>
        <v/>
      </c>
      <c r="B776" s="11"/>
      <c r="C776" s="11" t="str">
        <f>IF(COUNTIF(D$1:D776,D776)=1,MAX(C$1:C775)+1,"")</f>
        <v/>
      </c>
      <c r="D776" s="12"/>
    </row>
    <row r="777" spans="1:4" x14ac:dyDescent="0.25">
      <c r="A777" t="str">
        <f>IF(COUNTIF(B$1:B777,B777)=1,MAX(A$1:A776)+1,"")</f>
        <v/>
      </c>
      <c r="B777" s="11"/>
      <c r="C777" s="11" t="str">
        <f>IF(COUNTIF(D$1:D777,D777)=1,MAX(C$1:C776)+1,"")</f>
        <v/>
      </c>
      <c r="D777" s="12"/>
    </row>
    <row r="778" spans="1:4" x14ac:dyDescent="0.25">
      <c r="A778" t="str">
        <f>IF(COUNTIF(B$1:B778,B778)=1,MAX(A$1:A777)+1,"")</f>
        <v/>
      </c>
      <c r="B778" s="11"/>
      <c r="C778" s="11" t="str">
        <f>IF(COUNTIF(D$1:D778,D778)=1,MAX(C$1:C777)+1,"")</f>
        <v/>
      </c>
      <c r="D778" s="12"/>
    </row>
    <row r="779" spans="1:4" x14ac:dyDescent="0.25">
      <c r="A779" t="str">
        <f>IF(COUNTIF(B$1:B779,B779)=1,MAX(A$1:A778)+1,"")</f>
        <v/>
      </c>
      <c r="B779" s="11"/>
      <c r="C779" s="11" t="str">
        <f>IF(COUNTIF(D$1:D779,D779)=1,MAX(C$1:C778)+1,"")</f>
        <v/>
      </c>
      <c r="D779" s="12"/>
    </row>
    <row r="780" spans="1:4" x14ac:dyDescent="0.25">
      <c r="A780" t="str">
        <f>IF(COUNTIF(B$1:B780,B780)=1,MAX(A$1:A779)+1,"")</f>
        <v/>
      </c>
      <c r="B780" s="11"/>
      <c r="C780" s="11" t="str">
        <f>IF(COUNTIF(D$1:D780,D780)=1,MAX(C$1:C779)+1,"")</f>
        <v/>
      </c>
      <c r="D780" s="12"/>
    </row>
    <row r="781" spans="1:4" x14ac:dyDescent="0.25">
      <c r="A781" t="str">
        <f>IF(COUNTIF(B$1:B781,B781)=1,MAX(A$1:A780)+1,"")</f>
        <v/>
      </c>
      <c r="B781" s="11"/>
      <c r="C781" s="11" t="str">
        <f>IF(COUNTIF(D$1:D781,D781)=1,MAX(C$1:C780)+1,"")</f>
        <v/>
      </c>
      <c r="D781" s="12"/>
    </row>
    <row r="782" spans="1:4" x14ac:dyDescent="0.25">
      <c r="A782" t="str">
        <f>IF(COUNTIF(B$1:B782,B782)=1,MAX(A$1:A781)+1,"")</f>
        <v/>
      </c>
      <c r="B782" s="11"/>
      <c r="C782" s="11" t="str">
        <f>IF(COUNTIF(D$1:D782,D782)=1,MAX(C$1:C781)+1,"")</f>
        <v/>
      </c>
      <c r="D782" s="12"/>
    </row>
    <row r="783" spans="1:4" x14ac:dyDescent="0.25">
      <c r="A783" t="str">
        <f>IF(COUNTIF(B$1:B783,B783)=1,MAX(A$1:A782)+1,"")</f>
        <v/>
      </c>
      <c r="B783" s="11"/>
      <c r="C783" s="11" t="str">
        <f>IF(COUNTIF(D$1:D783,D783)=1,MAX(C$1:C782)+1,"")</f>
        <v/>
      </c>
      <c r="D783" s="12"/>
    </row>
    <row r="784" spans="1:4" x14ac:dyDescent="0.25">
      <c r="A784" t="str">
        <f>IF(COUNTIF(B$1:B784,B784)=1,MAX(A$1:A783)+1,"")</f>
        <v/>
      </c>
      <c r="B784" s="11"/>
      <c r="C784" s="11" t="str">
        <f>IF(COUNTIF(D$1:D784,D784)=1,MAX(C$1:C783)+1,"")</f>
        <v/>
      </c>
      <c r="D784" s="12"/>
    </row>
    <row r="785" spans="1:4" x14ac:dyDescent="0.25">
      <c r="A785" t="str">
        <f>IF(COUNTIF(B$1:B785,B785)=1,MAX(A$1:A784)+1,"")</f>
        <v/>
      </c>
      <c r="B785" s="11"/>
      <c r="C785" s="11" t="str">
        <f>IF(COUNTIF(D$1:D785,D785)=1,MAX(C$1:C784)+1,"")</f>
        <v/>
      </c>
      <c r="D785" s="12"/>
    </row>
    <row r="786" spans="1:4" x14ac:dyDescent="0.25">
      <c r="A786" t="str">
        <f>IF(COUNTIF(B$1:B786,B786)=1,MAX(A$1:A785)+1,"")</f>
        <v/>
      </c>
      <c r="B786" s="11"/>
      <c r="C786" s="11" t="str">
        <f>IF(COUNTIF(D$1:D786,D786)=1,MAX(C$1:C785)+1,"")</f>
        <v/>
      </c>
      <c r="D786" s="12"/>
    </row>
    <row r="787" spans="1:4" x14ac:dyDescent="0.25">
      <c r="A787" t="str">
        <f>IF(COUNTIF(B$1:B787,B787)=1,MAX(A$1:A786)+1,"")</f>
        <v/>
      </c>
      <c r="B787" s="11"/>
      <c r="C787" s="11" t="str">
        <f>IF(COUNTIF(D$1:D787,D787)=1,MAX(C$1:C786)+1,"")</f>
        <v/>
      </c>
      <c r="D787" s="12"/>
    </row>
    <row r="788" spans="1:4" x14ac:dyDescent="0.25">
      <c r="A788" t="str">
        <f>IF(COUNTIF(B$1:B788,B788)=1,MAX(A$1:A787)+1,"")</f>
        <v/>
      </c>
      <c r="B788" s="11"/>
      <c r="C788" s="11" t="str">
        <f>IF(COUNTIF(D$1:D788,D788)=1,MAX(C$1:C787)+1,"")</f>
        <v/>
      </c>
      <c r="D788" s="12"/>
    </row>
    <row r="789" spans="1:4" x14ac:dyDescent="0.25">
      <c r="A789" t="str">
        <f>IF(COUNTIF(B$1:B789,B789)=1,MAX(A$1:A788)+1,"")</f>
        <v/>
      </c>
      <c r="B789" s="11"/>
      <c r="C789" s="11" t="str">
        <f>IF(COUNTIF(D$1:D789,D789)=1,MAX(C$1:C788)+1,"")</f>
        <v/>
      </c>
      <c r="D789" s="12"/>
    </row>
    <row r="790" spans="1:4" x14ac:dyDescent="0.25">
      <c r="A790" t="str">
        <f>IF(COUNTIF(B$1:B790,B790)=1,MAX(A$1:A789)+1,"")</f>
        <v/>
      </c>
      <c r="B790" s="11"/>
      <c r="C790" s="11" t="str">
        <f>IF(COUNTIF(D$1:D790,D790)=1,MAX(C$1:C789)+1,"")</f>
        <v/>
      </c>
      <c r="D790" s="12"/>
    </row>
    <row r="791" spans="1:4" x14ac:dyDescent="0.25">
      <c r="A791" t="str">
        <f>IF(COUNTIF(B$1:B791,B791)=1,MAX(A$1:A790)+1,"")</f>
        <v/>
      </c>
      <c r="B791" s="11"/>
      <c r="C791" s="11" t="str">
        <f>IF(COUNTIF(D$1:D791,D791)=1,MAX(C$1:C790)+1,"")</f>
        <v/>
      </c>
      <c r="D791" s="12"/>
    </row>
    <row r="792" spans="1:4" x14ac:dyDescent="0.25">
      <c r="A792" t="str">
        <f>IF(COUNTIF(B$1:B792,B792)=1,MAX(A$1:A791)+1,"")</f>
        <v/>
      </c>
      <c r="B792" s="11"/>
      <c r="C792" s="11" t="str">
        <f>IF(COUNTIF(D$1:D792,D792)=1,MAX(C$1:C791)+1,"")</f>
        <v/>
      </c>
      <c r="D792" s="12"/>
    </row>
    <row r="793" spans="1:4" x14ac:dyDescent="0.25">
      <c r="A793" t="str">
        <f>IF(COUNTIF(B$1:B793,B793)=1,MAX(A$1:A792)+1,"")</f>
        <v/>
      </c>
      <c r="B793" s="11"/>
      <c r="C793" s="11" t="str">
        <f>IF(COUNTIF(D$1:D793,D793)=1,MAX(C$1:C792)+1,"")</f>
        <v/>
      </c>
      <c r="D793" s="12"/>
    </row>
    <row r="794" spans="1:4" x14ac:dyDescent="0.25">
      <c r="A794" t="str">
        <f>IF(COUNTIF(B$1:B794,B794)=1,MAX(A$1:A793)+1,"")</f>
        <v/>
      </c>
      <c r="B794" s="11"/>
      <c r="C794" s="11" t="str">
        <f>IF(COUNTIF(D$1:D794,D794)=1,MAX(C$1:C793)+1,"")</f>
        <v/>
      </c>
      <c r="D794" s="12"/>
    </row>
    <row r="795" spans="1:4" x14ac:dyDescent="0.25">
      <c r="A795" t="str">
        <f>IF(COUNTIF(B$1:B795,B795)=1,MAX(A$1:A794)+1,"")</f>
        <v/>
      </c>
      <c r="B795" s="11"/>
      <c r="C795" s="11" t="str">
        <f>IF(COUNTIF(D$1:D795,D795)=1,MAX(C$1:C794)+1,"")</f>
        <v/>
      </c>
      <c r="D795" s="12"/>
    </row>
    <row r="796" spans="1:4" x14ac:dyDescent="0.25">
      <c r="A796" t="str">
        <f>IF(COUNTIF(B$1:B796,B796)=1,MAX(A$1:A795)+1,"")</f>
        <v/>
      </c>
      <c r="B796" s="11"/>
      <c r="C796" s="11" t="str">
        <f>IF(COUNTIF(D$1:D796,D796)=1,MAX(C$1:C795)+1,"")</f>
        <v/>
      </c>
      <c r="D796" s="12"/>
    </row>
    <row r="797" spans="1:4" x14ac:dyDescent="0.25">
      <c r="A797" t="str">
        <f>IF(COUNTIF(B$1:B797,B797)=1,MAX(A$1:A796)+1,"")</f>
        <v/>
      </c>
      <c r="B797" s="11"/>
      <c r="C797" s="11" t="str">
        <f>IF(COUNTIF(D$1:D797,D797)=1,MAX(C$1:C796)+1,"")</f>
        <v/>
      </c>
      <c r="D797" s="12"/>
    </row>
    <row r="798" spans="1:4" x14ac:dyDescent="0.25">
      <c r="A798" t="str">
        <f>IF(COUNTIF(B$1:B798,B798)=1,MAX(A$1:A797)+1,"")</f>
        <v/>
      </c>
      <c r="B798" s="11"/>
      <c r="C798" s="11" t="str">
        <f>IF(COUNTIF(D$1:D798,D798)=1,MAX(C$1:C797)+1,"")</f>
        <v/>
      </c>
      <c r="D798" s="12"/>
    </row>
    <row r="799" spans="1:4" x14ac:dyDescent="0.25">
      <c r="A799" t="str">
        <f>IF(COUNTIF(B$1:B799,B799)=1,MAX(A$1:A798)+1,"")</f>
        <v/>
      </c>
      <c r="B799" s="11"/>
      <c r="C799" s="11" t="str">
        <f>IF(COUNTIF(D$1:D799,D799)=1,MAX(C$1:C798)+1,"")</f>
        <v/>
      </c>
      <c r="D799" s="12"/>
    </row>
    <row r="800" spans="1:4" x14ac:dyDescent="0.25">
      <c r="A800" t="str">
        <f>IF(COUNTIF(B$1:B800,B800)=1,MAX(A$1:A799)+1,"")</f>
        <v/>
      </c>
      <c r="B800" s="11"/>
      <c r="C800" s="11" t="str">
        <f>IF(COUNTIF(D$1:D800,D800)=1,MAX(C$1:C799)+1,"")</f>
        <v/>
      </c>
      <c r="D800" s="12"/>
    </row>
    <row r="801" spans="1:4" x14ac:dyDescent="0.25">
      <c r="A801" t="str">
        <f>IF(COUNTIF(B$1:B801,B801)=1,MAX(A$1:A800)+1,"")</f>
        <v/>
      </c>
      <c r="B801" s="11"/>
      <c r="C801" s="11" t="str">
        <f>IF(COUNTIF(D$1:D801,D801)=1,MAX(C$1:C800)+1,"")</f>
        <v/>
      </c>
      <c r="D801" s="12"/>
    </row>
    <row r="802" spans="1:4" x14ac:dyDescent="0.25">
      <c r="A802" t="str">
        <f>IF(COUNTIF(B$1:B802,B802)=1,MAX(A$1:A801)+1,"")</f>
        <v/>
      </c>
      <c r="B802" s="11"/>
      <c r="C802" s="11" t="str">
        <f>IF(COUNTIF(D$1:D802,D802)=1,MAX(C$1:C801)+1,"")</f>
        <v/>
      </c>
      <c r="D802" s="12"/>
    </row>
    <row r="803" spans="1:4" x14ac:dyDescent="0.25">
      <c r="A803" t="str">
        <f>IF(COUNTIF(B$1:B803,B803)=1,MAX(A$1:A802)+1,"")</f>
        <v/>
      </c>
      <c r="B803" s="11"/>
      <c r="C803" s="11" t="str">
        <f>IF(COUNTIF(D$1:D803,D803)=1,MAX(C$1:C802)+1,"")</f>
        <v/>
      </c>
      <c r="D803" s="12"/>
    </row>
    <row r="804" spans="1:4" x14ac:dyDescent="0.25">
      <c r="A804" t="str">
        <f>IF(COUNTIF(B$1:B804,B804)=1,MAX(A$1:A803)+1,"")</f>
        <v/>
      </c>
      <c r="B804" s="11"/>
      <c r="C804" s="11" t="str">
        <f>IF(COUNTIF(D$1:D804,D804)=1,MAX(C$1:C803)+1,"")</f>
        <v/>
      </c>
      <c r="D804" s="12"/>
    </row>
    <row r="805" spans="1:4" x14ac:dyDescent="0.25">
      <c r="A805" t="str">
        <f>IF(COUNTIF(B$1:B805,B805)=1,MAX(A$1:A804)+1,"")</f>
        <v/>
      </c>
      <c r="B805" s="11"/>
      <c r="C805" s="11" t="str">
        <f>IF(COUNTIF(D$1:D805,D805)=1,MAX(C$1:C804)+1,"")</f>
        <v/>
      </c>
      <c r="D805" s="12"/>
    </row>
    <row r="806" spans="1:4" x14ac:dyDescent="0.25">
      <c r="A806" t="str">
        <f>IF(COUNTIF(B$1:B806,B806)=1,MAX(A$1:A805)+1,"")</f>
        <v/>
      </c>
      <c r="B806" s="11"/>
      <c r="C806" s="11" t="str">
        <f>IF(COUNTIF(D$1:D806,D806)=1,MAX(C$1:C805)+1,"")</f>
        <v/>
      </c>
      <c r="D806" s="12"/>
    </row>
    <row r="807" spans="1:4" x14ac:dyDescent="0.25">
      <c r="A807" t="str">
        <f>IF(COUNTIF(B$1:B807,B807)=1,MAX(A$1:A806)+1,"")</f>
        <v/>
      </c>
      <c r="B807" s="11"/>
      <c r="C807" s="11" t="str">
        <f>IF(COUNTIF(D$1:D807,D807)=1,MAX(C$1:C806)+1,"")</f>
        <v/>
      </c>
      <c r="D807" s="12"/>
    </row>
    <row r="808" spans="1:4" x14ac:dyDescent="0.25">
      <c r="A808" t="str">
        <f>IF(COUNTIF(B$1:B808,B808)=1,MAX(A$1:A807)+1,"")</f>
        <v/>
      </c>
      <c r="B808" s="11"/>
      <c r="C808" s="11" t="str">
        <f>IF(COUNTIF(D$1:D808,D808)=1,MAX(C$1:C807)+1,"")</f>
        <v/>
      </c>
      <c r="D808" s="12"/>
    </row>
    <row r="809" spans="1:4" x14ac:dyDescent="0.25">
      <c r="A809" t="str">
        <f>IF(COUNTIF(B$1:B809,B809)=1,MAX(A$1:A808)+1,"")</f>
        <v/>
      </c>
      <c r="B809" s="11"/>
      <c r="C809" s="11" t="str">
        <f>IF(COUNTIF(D$1:D809,D809)=1,MAX(C$1:C808)+1,"")</f>
        <v/>
      </c>
      <c r="D809" s="12"/>
    </row>
    <row r="810" spans="1:4" x14ac:dyDescent="0.25">
      <c r="A810" t="str">
        <f>IF(COUNTIF(B$1:B810,B810)=1,MAX(A$1:A809)+1,"")</f>
        <v/>
      </c>
      <c r="B810" s="11"/>
      <c r="C810" s="11" t="str">
        <f>IF(COUNTIF(D$1:D810,D810)=1,MAX(C$1:C809)+1,"")</f>
        <v/>
      </c>
      <c r="D810" s="12"/>
    </row>
    <row r="811" spans="1:4" x14ac:dyDescent="0.25">
      <c r="A811" t="str">
        <f>IF(COUNTIF(B$1:B811,B811)=1,MAX(A$1:A810)+1,"")</f>
        <v/>
      </c>
      <c r="B811" s="11"/>
      <c r="C811" s="11" t="str">
        <f>IF(COUNTIF(D$1:D811,D811)=1,MAX(C$1:C810)+1,"")</f>
        <v/>
      </c>
      <c r="D811" s="12"/>
    </row>
    <row r="812" spans="1:4" x14ac:dyDescent="0.25">
      <c r="A812" t="str">
        <f>IF(COUNTIF(B$1:B812,B812)=1,MAX(A$1:A811)+1,"")</f>
        <v/>
      </c>
      <c r="B812" s="11"/>
      <c r="C812" s="11" t="str">
        <f>IF(COUNTIF(D$1:D812,D812)=1,MAX(C$1:C811)+1,"")</f>
        <v/>
      </c>
      <c r="D812" s="12"/>
    </row>
    <row r="813" spans="1:4" x14ac:dyDescent="0.25">
      <c r="A813" t="str">
        <f>IF(COUNTIF(B$1:B813,B813)=1,MAX(A$1:A812)+1,"")</f>
        <v/>
      </c>
      <c r="B813" s="11"/>
      <c r="C813" s="11" t="str">
        <f>IF(COUNTIF(D$1:D813,D813)=1,MAX(C$1:C812)+1,"")</f>
        <v/>
      </c>
      <c r="D813" s="12"/>
    </row>
    <row r="814" spans="1:4" x14ac:dyDescent="0.25">
      <c r="A814" t="str">
        <f>IF(COUNTIF(B$1:B814,B814)=1,MAX(A$1:A813)+1,"")</f>
        <v/>
      </c>
      <c r="B814" s="11"/>
      <c r="C814" s="11" t="str">
        <f>IF(COUNTIF(D$1:D814,D814)=1,MAX(C$1:C813)+1,"")</f>
        <v/>
      </c>
      <c r="D814" s="12"/>
    </row>
    <row r="815" spans="1:4" x14ac:dyDescent="0.25">
      <c r="A815" t="str">
        <f>IF(COUNTIF(B$1:B815,B815)=1,MAX(A$1:A814)+1,"")</f>
        <v/>
      </c>
      <c r="B815" s="11"/>
      <c r="C815" s="11" t="str">
        <f>IF(COUNTIF(D$1:D815,D815)=1,MAX(C$1:C814)+1,"")</f>
        <v/>
      </c>
      <c r="D815" s="12"/>
    </row>
    <row r="816" spans="1:4" x14ac:dyDescent="0.25">
      <c r="A816" t="str">
        <f>IF(COUNTIF(B$1:B816,B816)=1,MAX(A$1:A815)+1,"")</f>
        <v/>
      </c>
      <c r="B816" s="11"/>
      <c r="C816" s="11" t="str">
        <f>IF(COUNTIF(D$1:D816,D816)=1,MAX(C$1:C815)+1,"")</f>
        <v/>
      </c>
      <c r="D816" s="12"/>
    </row>
    <row r="817" spans="1:4" x14ac:dyDescent="0.25">
      <c r="A817" t="str">
        <f>IF(COUNTIF(B$1:B817,B817)=1,MAX(A$1:A816)+1,"")</f>
        <v/>
      </c>
      <c r="B817" s="11"/>
      <c r="C817" s="11" t="str">
        <f>IF(COUNTIF(D$1:D817,D817)=1,MAX(C$1:C816)+1,"")</f>
        <v/>
      </c>
      <c r="D817" s="12"/>
    </row>
    <row r="818" spans="1:4" x14ac:dyDescent="0.25">
      <c r="A818" t="str">
        <f>IF(COUNTIF(B$1:B818,B818)=1,MAX(A$1:A817)+1,"")</f>
        <v/>
      </c>
      <c r="B818" s="11"/>
      <c r="C818" s="11" t="str">
        <f>IF(COUNTIF(D$1:D818,D818)=1,MAX(C$1:C817)+1,"")</f>
        <v/>
      </c>
      <c r="D818" s="12"/>
    </row>
    <row r="819" spans="1:4" x14ac:dyDescent="0.25">
      <c r="A819" t="str">
        <f>IF(COUNTIF(B$1:B819,B819)=1,MAX(A$1:A818)+1,"")</f>
        <v/>
      </c>
      <c r="B819" s="11"/>
      <c r="C819" s="11" t="str">
        <f>IF(COUNTIF(D$1:D819,D819)=1,MAX(C$1:C818)+1,"")</f>
        <v/>
      </c>
      <c r="D819" s="12"/>
    </row>
    <row r="820" spans="1:4" x14ac:dyDescent="0.25">
      <c r="A820" t="str">
        <f>IF(COUNTIF(B$1:B820,B820)=1,MAX(A$1:A819)+1,"")</f>
        <v/>
      </c>
      <c r="B820" s="11"/>
      <c r="C820" s="11" t="str">
        <f>IF(COUNTIF(D$1:D820,D820)=1,MAX(C$1:C819)+1,"")</f>
        <v/>
      </c>
      <c r="D820" s="12"/>
    </row>
    <row r="821" spans="1:4" x14ac:dyDescent="0.25">
      <c r="A821" t="str">
        <f>IF(COUNTIF(B$1:B821,B821)=1,MAX(A$1:A820)+1,"")</f>
        <v/>
      </c>
      <c r="B821" s="11"/>
      <c r="C821" s="11" t="str">
        <f>IF(COUNTIF(D$1:D821,D821)=1,MAX(C$1:C820)+1,"")</f>
        <v/>
      </c>
      <c r="D821" s="12"/>
    </row>
    <row r="822" spans="1:4" x14ac:dyDescent="0.25">
      <c r="A822" t="str">
        <f>IF(COUNTIF(B$1:B822,B822)=1,MAX(A$1:A821)+1,"")</f>
        <v/>
      </c>
      <c r="B822" s="11"/>
      <c r="C822" s="11" t="str">
        <f>IF(COUNTIF(D$1:D822,D822)=1,MAX(C$1:C821)+1,"")</f>
        <v/>
      </c>
      <c r="D822" s="12"/>
    </row>
    <row r="823" spans="1:4" x14ac:dyDescent="0.25">
      <c r="A823" t="str">
        <f>IF(COUNTIF(B$1:B823,B823)=1,MAX(A$1:A822)+1,"")</f>
        <v/>
      </c>
      <c r="B823" s="11"/>
      <c r="C823" s="11" t="str">
        <f>IF(COUNTIF(D$1:D823,D823)=1,MAX(C$1:C822)+1,"")</f>
        <v/>
      </c>
      <c r="D823" s="12"/>
    </row>
    <row r="824" spans="1:4" x14ac:dyDescent="0.25">
      <c r="A824" t="str">
        <f>IF(COUNTIF(B$1:B824,B824)=1,MAX(A$1:A823)+1,"")</f>
        <v/>
      </c>
      <c r="B824" s="11"/>
      <c r="C824" s="11" t="str">
        <f>IF(COUNTIF(D$1:D824,D824)=1,MAX(C$1:C823)+1,"")</f>
        <v/>
      </c>
      <c r="D824" s="12"/>
    </row>
    <row r="825" spans="1:4" x14ac:dyDescent="0.25">
      <c r="A825" t="str">
        <f>IF(COUNTIF(B$1:B825,B825)=1,MAX(A$1:A824)+1,"")</f>
        <v/>
      </c>
      <c r="B825" s="11"/>
      <c r="C825" s="11" t="str">
        <f>IF(COUNTIF(D$1:D825,D825)=1,MAX(C$1:C824)+1,"")</f>
        <v/>
      </c>
      <c r="D825" s="12"/>
    </row>
    <row r="826" spans="1:4" x14ac:dyDescent="0.25">
      <c r="A826" t="str">
        <f>IF(COUNTIF(B$1:B826,B826)=1,MAX(A$1:A825)+1,"")</f>
        <v/>
      </c>
      <c r="B826" s="11"/>
      <c r="C826" s="11" t="str">
        <f>IF(COUNTIF(D$1:D826,D826)=1,MAX(C$1:C825)+1,"")</f>
        <v/>
      </c>
      <c r="D826" s="12"/>
    </row>
    <row r="827" spans="1:4" x14ac:dyDescent="0.25">
      <c r="A827" t="str">
        <f>IF(COUNTIF(B$1:B827,B827)=1,MAX(A$1:A826)+1,"")</f>
        <v/>
      </c>
      <c r="B827" s="11"/>
      <c r="C827" s="11" t="str">
        <f>IF(COUNTIF(D$1:D827,D827)=1,MAX(C$1:C826)+1,"")</f>
        <v/>
      </c>
      <c r="D827" s="12"/>
    </row>
    <row r="828" spans="1:4" x14ac:dyDescent="0.25">
      <c r="A828" t="str">
        <f>IF(COUNTIF(B$1:B828,B828)=1,MAX(A$1:A827)+1,"")</f>
        <v/>
      </c>
      <c r="B828" s="11"/>
      <c r="C828" s="11" t="str">
        <f>IF(COUNTIF(D$1:D828,D828)=1,MAX(C$1:C827)+1,"")</f>
        <v/>
      </c>
      <c r="D828" s="12"/>
    </row>
    <row r="829" spans="1:4" x14ac:dyDescent="0.25">
      <c r="A829" t="str">
        <f>IF(COUNTIF(B$1:B829,B829)=1,MAX(A$1:A828)+1,"")</f>
        <v/>
      </c>
      <c r="B829" s="11"/>
      <c r="C829" s="11" t="str">
        <f>IF(COUNTIF(D$1:D829,D829)=1,MAX(C$1:C828)+1,"")</f>
        <v/>
      </c>
      <c r="D829" s="12"/>
    </row>
    <row r="830" spans="1:4" x14ac:dyDescent="0.25">
      <c r="A830" t="str">
        <f>IF(COUNTIF(B$1:B830,B830)=1,MAX(A$1:A829)+1,"")</f>
        <v/>
      </c>
      <c r="B830" s="11"/>
      <c r="C830" s="11" t="str">
        <f>IF(COUNTIF(D$1:D830,D830)=1,MAX(C$1:C829)+1,"")</f>
        <v/>
      </c>
      <c r="D830" s="12"/>
    </row>
    <row r="831" spans="1:4" x14ac:dyDescent="0.25">
      <c r="A831" t="str">
        <f>IF(COUNTIF(B$1:B831,B831)=1,MAX(A$1:A830)+1,"")</f>
        <v/>
      </c>
      <c r="B831" s="11"/>
      <c r="C831" s="11" t="str">
        <f>IF(COUNTIF(D$1:D831,D831)=1,MAX(C$1:C830)+1,"")</f>
        <v/>
      </c>
      <c r="D831" s="12"/>
    </row>
    <row r="832" spans="1:4" x14ac:dyDescent="0.25">
      <c r="A832" t="str">
        <f>IF(COUNTIF(B$1:B832,B832)=1,MAX(A$1:A831)+1,"")</f>
        <v/>
      </c>
      <c r="B832" s="11"/>
      <c r="C832" s="11" t="str">
        <f>IF(COUNTIF(D$1:D832,D832)=1,MAX(C$1:C831)+1,"")</f>
        <v/>
      </c>
      <c r="D832" s="12"/>
    </row>
    <row r="833" spans="1:4" x14ac:dyDescent="0.25">
      <c r="A833" t="str">
        <f>IF(COUNTIF(B$1:B833,B833)=1,MAX(A$1:A832)+1,"")</f>
        <v/>
      </c>
      <c r="B833" s="11"/>
      <c r="C833" s="11" t="str">
        <f>IF(COUNTIF(D$1:D833,D833)=1,MAX(C$1:C832)+1,"")</f>
        <v/>
      </c>
      <c r="D833" s="12"/>
    </row>
    <row r="834" spans="1:4" x14ac:dyDescent="0.25">
      <c r="A834" t="str">
        <f>IF(COUNTIF(B$1:B834,B834)=1,MAX(A$1:A833)+1,"")</f>
        <v/>
      </c>
      <c r="B834" s="11"/>
      <c r="C834" s="11" t="str">
        <f>IF(COUNTIF(D$1:D834,D834)=1,MAX(C$1:C833)+1,"")</f>
        <v/>
      </c>
      <c r="D834" s="12"/>
    </row>
    <row r="835" spans="1:4" x14ac:dyDescent="0.25">
      <c r="A835" t="str">
        <f>IF(COUNTIF(B$1:B835,B835)=1,MAX(A$1:A834)+1,"")</f>
        <v/>
      </c>
      <c r="B835" s="11"/>
      <c r="C835" s="11" t="str">
        <f>IF(COUNTIF(D$1:D835,D835)=1,MAX(C$1:C834)+1,"")</f>
        <v/>
      </c>
      <c r="D835" s="12"/>
    </row>
    <row r="836" spans="1:4" x14ac:dyDescent="0.25">
      <c r="A836" t="str">
        <f>IF(COUNTIF(B$1:B836,B836)=1,MAX(A$1:A835)+1,"")</f>
        <v/>
      </c>
      <c r="B836" s="11"/>
      <c r="C836" s="11" t="str">
        <f>IF(COUNTIF(D$1:D836,D836)=1,MAX(C$1:C835)+1,"")</f>
        <v/>
      </c>
      <c r="D836" s="12"/>
    </row>
    <row r="837" spans="1:4" x14ac:dyDescent="0.25">
      <c r="A837" t="str">
        <f>IF(COUNTIF(B$1:B837,B837)=1,MAX(A$1:A836)+1,"")</f>
        <v/>
      </c>
      <c r="B837" s="11"/>
      <c r="C837" s="11" t="str">
        <f>IF(COUNTIF(D$1:D837,D837)=1,MAX(C$1:C836)+1,"")</f>
        <v/>
      </c>
      <c r="D837" s="12"/>
    </row>
    <row r="838" spans="1:4" x14ac:dyDescent="0.25">
      <c r="A838" t="str">
        <f>IF(COUNTIF(B$1:B838,B838)=1,MAX(A$1:A837)+1,"")</f>
        <v/>
      </c>
      <c r="B838" s="11"/>
      <c r="C838" s="11" t="str">
        <f>IF(COUNTIF(D$1:D838,D838)=1,MAX(C$1:C837)+1,"")</f>
        <v/>
      </c>
      <c r="D838" s="12"/>
    </row>
    <row r="839" spans="1:4" x14ac:dyDescent="0.25">
      <c r="A839" t="str">
        <f>IF(COUNTIF(B$1:B839,B839)=1,MAX(A$1:A838)+1,"")</f>
        <v/>
      </c>
      <c r="B839" s="11"/>
      <c r="C839" s="11" t="str">
        <f>IF(COUNTIF(D$1:D839,D839)=1,MAX(C$1:C838)+1,"")</f>
        <v/>
      </c>
      <c r="D839" s="12"/>
    </row>
    <row r="840" spans="1:4" x14ac:dyDescent="0.25">
      <c r="A840" t="str">
        <f>IF(COUNTIF(B$1:B840,B840)=1,MAX(A$1:A839)+1,"")</f>
        <v/>
      </c>
      <c r="B840" s="11"/>
      <c r="C840" s="11" t="str">
        <f>IF(COUNTIF(D$1:D840,D840)=1,MAX(C$1:C839)+1,"")</f>
        <v/>
      </c>
      <c r="D840" s="12"/>
    </row>
    <row r="841" spans="1:4" x14ac:dyDescent="0.25">
      <c r="A841" t="str">
        <f>IF(COUNTIF(B$1:B841,B841)=1,MAX(A$1:A840)+1,"")</f>
        <v/>
      </c>
      <c r="B841" s="11"/>
      <c r="C841" s="11" t="str">
        <f>IF(COUNTIF(D$1:D841,D841)=1,MAX(C$1:C840)+1,"")</f>
        <v/>
      </c>
      <c r="D841" s="12"/>
    </row>
    <row r="842" spans="1:4" x14ac:dyDescent="0.25">
      <c r="A842" t="str">
        <f>IF(COUNTIF(B$1:B842,B842)=1,MAX(A$1:A841)+1,"")</f>
        <v/>
      </c>
      <c r="B842" s="11"/>
      <c r="C842" s="11" t="str">
        <f>IF(COUNTIF(D$1:D842,D842)=1,MAX(C$1:C841)+1,"")</f>
        <v/>
      </c>
      <c r="D842" s="12"/>
    </row>
    <row r="843" spans="1:4" x14ac:dyDescent="0.25">
      <c r="A843" t="str">
        <f>IF(COUNTIF(B$1:B843,B843)=1,MAX(A$1:A842)+1,"")</f>
        <v/>
      </c>
      <c r="B843" s="11"/>
      <c r="C843" s="11" t="str">
        <f>IF(COUNTIF(D$1:D843,D843)=1,MAX(C$1:C842)+1,"")</f>
        <v/>
      </c>
      <c r="D843" s="12"/>
    </row>
    <row r="844" spans="1:4" x14ac:dyDescent="0.25">
      <c r="A844" t="str">
        <f>IF(COUNTIF(B$1:B844,B844)=1,MAX(A$1:A843)+1,"")</f>
        <v/>
      </c>
      <c r="B844" s="11"/>
      <c r="C844" s="11" t="str">
        <f>IF(COUNTIF(D$1:D844,D844)=1,MAX(C$1:C843)+1,"")</f>
        <v/>
      </c>
      <c r="D844" s="12"/>
    </row>
    <row r="845" spans="1:4" x14ac:dyDescent="0.25">
      <c r="A845" t="str">
        <f>IF(COUNTIF(B$1:B845,B845)=1,MAX(A$1:A844)+1,"")</f>
        <v/>
      </c>
      <c r="B845" s="11"/>
      <c r="C845" s="11" t="str">
        <f>IF(COUNTIF(D$1:D845,D845)=1,MAX(C$1:C844)+1,"")</f>
        <v/>
      </c>
      <c r="D845" s="12"/>
    </row>
    <row r="846" spans="1:4" x14ac:dyDescent="0.25">
      <c r="A846" t="str">
        <f>IF(COUNTIF(B$1:B846,B846)=1,MAX(A$1:A845)+1,"")</f>
        <v/>
      </c>
      <c r="B846" s="11"/>
      <c r="C846" s="11" t="str">
        <f>IF(COUNTIF(D$1:D846,D846)=1,MAX(C$1:C845)+1,"")</f>
        <v/>
      </c>
      <c r="D846" s="12"/>
    </row>
    <row r="847" spans="1:4" x14ac:dyDescent="0.25">
      <c r="A847" t="str">
        <f>IF(COUNTIF(B$1:B847,B847)=1,MAX(A$1:A846)+1,"")</f>
        <v/>
      </c>
      <c r="B847" s="11"/>
      <c r="C847" s="11" t="str">
        <f>IF(COUNTIF(D$1:D847,D847)=1,MAX(C$1:C846)+1,"")</f>
        <v/>
      </c>
      <c r="D847" s="12"/>
    </row>
    <row r="848" spans="1:4" x14ac:dyDescent="0.25">
      <c r="A848" t="str">
        <f>IF(COUNTIF(B$1:B848,B848)=1,MAX(A$1:A847)+1,"")</f>
        <v/>
      </c>
      <c r="B848" s="11"/>
      <c r="C848" s="11" t="str">
        <f>IF(COUNTIF(D$1:D848,D848)=1,MAX(C$1:C847)+1,"")</f>
        <v/>
      </c>
      <c r="D848" s="12"/>
    </row>
    <row r="849" spans="1:4" x14ac:dyDescent="0.25">
      <c r="A849" t="str">
        <f>IF(COUNTIF(B$1:B849,B849)=1,MAX(A$1:A848)+1,"")</f>
        <v/>
      </c>
      <c r="B849" s="11"/>
      <c r="C849" s="11" t="str">
        <f>IF(COUNTIF(D$1:D849,D849)=1,MAX(C$1:C848)+1,"")</f>
        <v/>
      </c>
      <c r="D849" s="12"/>
    </row>
    <row r="850" spans="1:4" x14ac:dyDescent="0.25">
      <c r="A850" t="str">
        <f>IF(COUNTIF(B$1:B850,B850)=1,MAX(A$1:A849)+1,"")</f>
        <v/>
      </c>
      <c r="B850" s="11"/>
      <c r="C850" s="11" t="str">
        <f>IF(COUNTIF(D$1:D850,D850)=1,MAX(C$1:C849)+1,"")</f>
        <v/>
      </c>
      <c r="D850" s="12"/>
    </row>
    <row r="851" spans="1:4" x14ac:dyDescent="0.25">
      <c r="A851" t="str">
        <f>IF(COUNTIF(B$1:B851,B851)=1,MAX(A$1:A850)+1,"")</f>
        <v/>
      </c>
      <c r="B851" s="11"/>
      <c r="C851" s="11" t="str">
        <f>IF(COUNTIF(D$1:D851,D851)=1,MAX(C$1:C850)+1,"")</f>
        <v/>
      </c>
      <c r="D851" s="12"/>
    </row>
    <row r="852" spans="1:4" x14ac:dyDescent="0.25">
      <c r="A852" t="str">
        <f>IF(COUNTIF(B$1:B852,B852)=1,MAX(A$1:A851)+1,"")</f>
        <v/>
      </c>
      <c r="B852" s="11"/>
      <c r="C852" s="11" t="str">
        <f>IF(COUNTIF(D$1:D852,D852)=1,MAX(C$1:C851)+1,"")</f>
        <v/>
      </c>
      <c r="D852" s="12"/>
    </row>
    <row r="853" spans="1:4" x14ac:dyDescent="0.25">
      <c r="A853" t="str">
        <f>IF(COUNTIF(B$1:B853,B853)=1,MAX(A$1:A852)+1,"")</f>
        <v/>
      </c>
      <c r="B853" s="11"/>
      <c r="C853" s="11" t="str">
        <f>IF(COUNTIF(D$1:D853,D853)=1,MAX(C$1:C852)+1,"")</f>
        <v/>
      </c>
      <c r="D853" s="12"/>
    </row>
    <row r="854" spans="1:4" x14ac:dyDescent="0.25">
      <c r="A854" t="str">
        <f>IF(COUNTIF(B$1:B854,B854)=1,MAX(A$1:A853)+1,"")</f>
        <v/>
      </c>
      <c r="B854" s="11"/>
      <c r="C854" s="11" t="str">
        <f>IF(COUNTIF(D$1:D854,D854)=1,MAX(C$1:C853)+1,"")</f>
        <v/>
      </c>
      <c r="D854" s="12"/>
    </row>
    <row r="855" spans="1:4" x14ac:dyDescent="0.25">
      <c r="A855" t="str">
        <f>IF(COUNTIF(B$1:B855,B855)=1,MAX(A$1:A854)+1,"")</f>
        <v/>
      </c>
      <c r="B855" s="11"/>
      <c r="C855" s="11" t="str">
        <f>IF(COUNTIF(D$1:D855,D855)=1,MAX(C$1:C854)+1,"")</f>
        <v/>
      </c>
      <c r="D855" s="12"/>
    </row>
    <row r="856" spans="1:4" x14ac:dyDescent="0.25">
      <c r="A856" t="str">
        <f>IF(COUNTIF(B$1:B856,B856)=1,MAX(A$1:A855)+1,"")</f>
        <v/>
      </c>
      <c r="B856" s="11"/>
      <c r="C856" s="11" t="str">
        <f>IF(COUNTIF(D$1:D856,D856)=1,MAX(C$1:C855)+1,"")</f>
        <v/>
      </c>
      <c r="D856" s="12"/>
    </row>
    <row r="857" spans="1:4" x14ac:dyDescent="0.25">
      <c r="A857" t="str">
        <f>IF(COUNTIF(B$1:B857,B857)=1,MAX(A$1:A856)+1,"")</f>
        <v/>
      </c>
      <c r="B857" s="11"/>
      <c r="C857" s="11" t="str">
        <f>IF(COUNTIF(D$1:D857,D857)=1,MAX(C$1:C856)+1,"")</f>
        <v/>
      </c>
      <c r="D857" s="12"/>
    </row>
    <row r="858" spans="1:4" x14ac:dyDescent="0.25">
      <c r="A858" t="str">
        <f>IF(COUNTIF(B$1:B858,B858)=1,MAX(A$1:A857)+1,"")</f>
        <v/>
      </c>
      <c r="B858" s="11"/>
      <c r="C858" s="11" t="str">
        <f>IF(COUNTIF(D$1:D858,D858)=1,MAX(C$1:C857)+1,"")</f>
        <v/>
      </c>
      <c r="D858" s="12"/>
    </row>
    <row r="859" spans="1:4" x14ac:dyDescent="0.25">
      <c r="A859" t="str">
        <f>IF(COUNTIF(B$1:B859,B859)=1,MAX(A$1:A858)+1,"")</f>
        <v/>
      </c>
      <c r="B859" s="11"/>
      <c r="C859" s="11" t="str">
        <f>IF(COUNTIF(D$1:D859,D859)=1,MAX(C$1:C858)+1,"")</f>
        <v/>
      </c>
      <c r="D859" s="12"/>
    </row>
    <row r="860" spans="1:4" x14ac:dyDescent="0.25">
      <c r="A860" t="str">
        <f>IF(COUNTIF(B$1:B860,B860)=1,MAX(A$1:A859)+1,"")</f>
        <v/>
      </c>
      <c r="B860" s="11"/>
      <c r="C860" s="11" t="str">
        <f>IF(COUNTIF(D$1:D860,D860)=1,MAX(C$1:C859)+1,"")</f>
        <v/>
      </c>
      <c r="D860" s="12"/>
    </row>
    <row r="861" spans="1:4" x14ac:dyDescent="0.25">
      <c r="A861" t="str">
        <f>IF(COUNTIF(B$1:B861,B861)=1,MAX(A$1:A860)+1,"")</f>
        <v/>
      </c>
      <c r="B861" s="11"/>
      <c r="C861" s="11" t="str">
        <f>IF(COUNTIF(D$1:D861,D861)=1,MAX(C$1:C860)+1,"")</f>
        <v/>
      </c>
      <c r="D861" s="12"/>
    </row>
    <row r="862" spans="1:4" x14ac:dyDescent="0.25">
      <c r="A862" t="str">
        <f>IF(COUNTIF(B$1:B862,B862)=1,MAX(A$1:A861)+1,"")</f>
        <v/>
      </c>
      <c r="B862" s="11"/>
      <c r="C862" s="11" t="str">
        <f>IF(COUNTIF(D$1:D862,D862)=1,MAX(C$1:C861)+1,"")</f>
        <v/>
      </c>
      <c r="D862" s="12"/>
    </row>
    <row r="863" spans="1:4" x14ac:dyDescent="0.25">
      <c r="A863" t="str">
        <f>IF(COUNTIF(B$1:B863,B863)=1,MAX(A$1:A862)+1,"")</f>
        <v/>
      </c>
      <c r="B863" s="11"/>
      <c r="C863" s="11" t="str">
        <f>IF(COUNTIF(D$1:D863,D863)=1,MAX(C$1:C862)+1,"")</f>
        <v/>
      </c>
      <c r="D863" s="12"/>
    </row>
    <row r="864" spans="1:4" x14ac:dyDescent="0.25">
      <c r="A864" t="str">
        <f>IF(COUNTIF(B$1:B864,B864)=1,MAX(A$1:A863)+1,"")</f>
        <v/>
      </c>
      <c r="B864" s="11"/>
      <c r="C864" s="11" t="str">
        <f>IF(COUNTIF(D$1:D864,D864)=1,MAX(C$1:C863)+1,"")</f>
        <v/>
      </c>
      <c r="D864" s="12"/>
    </row>
    <row r="865" spans="1:4" x14ac:dyDescent="0.25">
      <c r="A865" t="str">
        <f>IF(COUNTIF(B$1:B865,B865)=1,MAX(A$1:A864)+1,"")</f>
        <v/>
      </c>
      <c r="B865" s="11"/>
      <c r="C865" s="11" t="str">
        <f>IF(COUNTIF(D$1:D865,D865)=1,MAX(C$1:C864)+1,"")</f>
        <v/>
      </c>
      <c r="D865" s="12"/>
    </row>
    <row r="866" spans="1:4" x14ac:dyDescent="0.25">
      <c r="A866" t="str">
        <f>IF(COUNTIF(B$1:B866,B866)=1,MAX(A$1:A865)+1,"")</f>
        <v/>
      </c>
      <c r="B866" s="11"/>
      <c r="C866" s="11" t="str">
        <f>IF(COUNTIF(D$1:D866,D866)=1,MAX(C$1:C865)+1,"")</f>
        <v/>
      </c>
      <c r="D866" s="12"/>
    </row>
    <row r="867" spans="1:4" x14ac:dyDescent="0.25">
      <c r="A867" t="str">
        <f>IF(COUNTIF(B$1:B867,B867)=1,MAX(A$1:A866)+1,"")</f>
        <v/>
      </c>
      <c r="B867" s="11"/>
      <c r="C867" s="11" t="str">
        <f>IF(COUNTIF(D$1:D867,D867)=1,MAX(C$1:C866)+1,"")</f>
        <v/>
      </c>
      <c r="D867" s="12"/>
    </row>
    <row r="868" spans="1:4" x14ac:dyDescent="0.25">
      <c r="A868" t="str">
        <f>IF(COUNTIF(B$1:B868,B868)=1,MAX(A$1:A867)+1,"")</f>
        <v/>
      </c>
      <c r="B868" s="11"/>
      <c r="C868" s="11" t="str">
        <f>IF(COUNTIF(D$1:D868,D868)=1,MAX(C$1:C867)+1,"")</f>
        <v/>
      </c>
      <c r="D868" s="12"/>
    </row>
    <row r="869" spans="1:4" x14ac:dyDescent="0.25">
      <c r="A869" t="str">
        <f>IF(COUNTIF(B$1:B869,B869)=1,MAX(A$1:A868)+1,"")</f>
        <v/>
      </c>
      <c r="B869" s="11"/>
      <c r="C869" s="11" t="str">
        <f>IF(COUNTIF(D$1:D869,D869)=1,MAX(C$1:C868)+1,"")</f>
        <v/>
      </c>
      <c r="D869" s="12"/>
    </row>
    <row r="870" spans="1:4" x14ac:dyDescent="0.25">
      <c r="A870" t="str">
        <f>IF(COUNTIF(B$1:B870,B870)=1,MAX(A$1:A869)+1,"")</f>
        <v/>
      </c>
      <c r="B870" s="11"/>
      <c r="C870" s="11" t="str">
        <f>IF(COUNTIF(D$1:D870,D870)=1,MAX(C$1:C869)+1,"")</f>
        <v/>
      </c>
      <c r="D870" s="12"/>
    </row>
    <row r="871" spans="1:4" x14ac:dyDescent="0.25">
      <c r="A871" t="str">
        <f>IF(COUNTIF(B$1:B871,B871)=1,MAX(A$1:A870)+1,"")</f>
        <v/>
      </c>
      <c r="B871" s="11"/>
      <c r="C871" s="11" t="str">
        <f>IF(COUNTIF(D$1:D871,D871)=1,MAX(C$1:C870)+1,"")</f>
        <v/>
      </c>
      <c r="D871" s="12"/>
    </row>
    <row r="872" spans="1:4" x14ac:dyDescent="0.25">
      <c r="A872" t="str">
        <f>IF(COUNTIF(B$1:B872,B872)=1,MAX(A$1:A871)+1,"")</f>
        <v/>
      </c>
      <c r="B872" s="11"/>
      <c r="C872" s="11" t="str">
        <f>IF(COUNTIF(D$1:D872,D872)=1,MAX(C$1:C871)+1,"")</f>
        <v/>
      </c>
      <c r="D872" s="12"/>
    </row>
    <row r="873" spans="1:4" x14ac:dyDescent="0.25">
      <c r="A873" t="str">
        <f>IF(COUNTIF(B$1:B873,B873)=1,MAX(A$1:A872)+1,"")</f>
        <v/>
      </c>
      <c r="B873" s="11"/>
      <c r="C873" s="11" t="str">
        <f>IF(COUNTIF(D$1:D873,D873)=1,MAX(C$1:C872)+1,"")</f>
        <v/>
      </c>
      <c r="D873" s="12"/>
    </row>
    <row r="874" spans="1:4" x14ac:dyDescent="0.25">
      <c r="A874" t="str">
        <f>IF(COUNTIF(B$1:B874,B874)=1,MAX(A$1:A873)+1,"")</f>
        <v/>
      </c>
      <c r="B874" s="11"/>
      <c r="C874" s="11" t="str">
        <f>IF(COUNTIF(D$1:D874,D874)=1,MAX(C$1:C873)+1,"")</f>
        <v/>
      </c>
      <c r="D874" s="12"/>
    </row>
    <row r="875" spans="1:4" x14ac:dyDescent="0.25">
      <c r="A875" t="str">
        <f>IF(COUNTIF(B$1:B875,B875)=1,MAX(A$1:A874)+1,"")</f>
        <v/>
      </c>
      <c r="B875" s="11"/>
      <c r="C875" s="11" t="str">
        <f>IF(COUNTIF(D$1:D875,D875)=1,MAX(C$1:C874)+1,"")</f>
        <v/>
      </c>
      <c r="D875" s="12"/>
    </row>
    <row r="876" spans="1:4" x14ac:dyDescent="0.25">
      <c r="A876" t="str">
        <f>IF(COUNTIF(B$1:B876,B876)=1,MAX(A$1:A875)+1,"")</f>
        <v/>
      </c>
      <c r="B876" s="11"/>
      <c r="C876" s="11" t="str">
        <f>IF(COUNTIF(D$1:D876,D876)=1,MAX(C$1:C875)+1,"")</f>
        <v/>
      </c>
      <c r="D876" s="12"/>
    </row>
    <row r="877" spans="1:4" x14ac:dyDescent="0.25">
      <c r="A877" t="str">
        <f>IF(COUNTIF(B$1:B877,B877)=1,MAX(A$1:A876)+1,"")</f>
        <v/>
      </c>
      <c r="B877" s="11"/>
      <c r="C877" s="11" t="str">
        <f>IF(COUNTIF(D$1:D877,D877)=1,MAX(C$1:C876)+1,"")</f>
        <v/>
      </c>
      <c r="D877" s="12"/>
    </row>
    <row r="878" spans="1:4" x14ac:dyDescent="0.25">
      <c r="A878" t="str">
        <f>IF(COUNTIF(B$1:B878,B878)=1,MAX(A$1:A877)+1,"")</f>
        <v/>
      </c>
      <c r="B878" s="11"/>
      <c r="C878" s="11" t="str">
        <f>IF(COUNTIF(D$1:D878,D878)=1,MAX(C$1:C877)+1,"")</f>
        <v/>
      </c>
      <c r="D878" s="12"/>
    </row>
    <row r="879" spans="1:4" x14ac:dyDescent="0.25">
      <c r="A879" t="str">
        <f>IF(COUNTIF(B$1:B879,B879)=1,MAX(A$1:A878)+1,"")</f>
        <v/>
      </c>
      <c r="B879" s="11"/>
      <c r="C879" s="11" t="str">
        <f>IF(COUNTIF(D$1:D879,D879)=1,MAX(C$1:C878)+1,"")</f>
        <v/>
      </c>
      <c r="D879" s="12"/>
    </row>
    <row r="880" spans="1:4" x14ac:dyDescent="0.25">
      <c r="A880" t="str">
        <f>IF(COUNTIF(B$1:B880,B880)=1,MAX(A$1:A879)+1,"")</f>
        <v/>
      </c>
      <c r="B880" s="11"/>
      <c r="C880" s="11" t="str">
        <f>IF(COUNTIF(D$1:D880,D880)=1,MAX(C$1:C879)+1,"")</f>
        <v/>
      </c>
      <c r="D880" s="12"/>
    </row>
    <row r="881" spans="1:4" x14ac:dyDescent="0.25">
      <c r="A881" t="str">
        <f>IF(COUNTIF(B$1:B881,B881)=1,MAX(A$1:A880)+1,"")</f>
        <v/>
      </c>
      <c r="B881" s="11"/>
      <c r="C881" s="11" t="str">
        <f>IF(COUNTIF(D$1:D881,D881)=1,MAX(C$1:C880)+1,"")</f>
        <v/>
      </c>
      <c r="D881" s="12"/>
    </row>
    <row r="882" spans="1:4" x14ac:dyDescent="0.25">
      <c r="A882" t="str">
        <f>IF(COUNTIF(B$1:B882,B882)=1,MAX(A$1:A881)+1,"")</f>
        <v/>
      </c>
      <c r="B882" s="11"/>
      <c r="C882" s="11" t="str">
        <f>IF(COUNTIF(D$1:D882,D882)=1,MAX(C$1:C881)+1,"")</f>
        <v/>
      </c>
      <c r="D882" s="12"/>
    </row>
    <row r="883" spans="1:4" x14ac:dyDescent="0.25">
      <c r="A883" t="str">
        <f>IF(COUNTIF(B$1:B883,B883)=1,MAX(A$1:A882)+1,"")</f>
        <v/>
      </c>
      <c r="B883" s="11"/>
      <c r="C883" s="11" t="str">
        <f>IF(COUNTIF(D$1:D883,D883)=1,MAX(C$1:C882)+1,"")</f>
        <v/>
      </c>
      <c r="D883" s="12"/>
    </row>
    <row r="884" spans="1:4" x14ac:dyDescent="0.25">
      <c r="A884" t="str">
        <f>IF(COUNTIF(B$1:B884,B884)=1,MAX(A$1:A883)+1,"")</f>
        <v/>
      </c>
      <c r="B884" s="11"/>
      <c r="C884" s="11" t="str">
        <f>IF(COUNTIF(D$1:D884,D884)=1,MAX(C$1:C883)+1,"")</f>
        <v/>
      </c>
      <c r="D884" s="12"/>
    </row>
    <row r="885" spans="1:4" x14ac:dyDescent="0.25">
      <c r="A885" t="str">
        <f>IF(COUNTIF(B$1:B885,B885)=1,MAX(A$1:A884)+1,"")</f>
        <v/>
      </c>
      <c r="B885" s="11"/>
      <c r="C885" s="11" t="str">
        <f>IF(COUNTIF(D$1:D885,D885)=1,MAX(C$1:C884)+1,"")</f>
        <v/>
      </c>
      <c r="D885" s="12"/>
    </row>
    <row r="886" spans="1:4" x14ac:dyDescent="0.25">
      <c r="A886" t="str">
        <f>IF(COUNTIF(B$1:B886,B886)=1,MAX(A$1:A885)+1,"")</f>
        <v/>
      </c>
      <c r="B886" s="11"/>
      <c r="C886" s="11" t="str">
        <f>IF(COUNTIF(D$1:D886,D886)=1,MAX(C$1:C885)+1,"")</f>
        <v/>
      </c>
      <c r="D886" s="12"/>
    </row>
    <row r="887" spans="1:4" x14ac:dyDescent="0.25">
      <c r="A887" t="str">
        <f>IF(COUNTIF(B$1:B887,B887)=1,MAX(A$1:A886)+1,"")</f>
        <v/>
      </c>
      <c r="B887" s="11"/>
      <c r="C887" s="11" t="str">
        <f>IF(COUNTIF(D$1:D887,D887)=1,MAX(C$1:C886)+1,"")</f>
        <v/>
      </c>
      <c r="D887" s="12"/>
    </row>
    <row r="888" spans="1:4" x14ac:dyDescent="0.25">
      <c r="A888" t="str">
        <f>IF(COUNTIF(B$1:B888,B888)=1,MAX(A$1:A887)+1,"")</f>
        <v/>
      </c>
      <c r="B888" s="11"/>
      <c r="C888" s="11" t="str">
        <f>IF(COUNTIF(D$1:D888,D888)=1,MAX(C$1:C887)+1,"")</f>
        <v/>
      </c>
      <c r="D888" s="12"/>
    </row>
    <row r="889" spans="1:4" x14ac:dyDescent="0.25">
      <c r="A889" t="str">
        <f>IF(COUNTIF(B$1:B889,B889)=1,MAX(A$1:A888)+1,"")</f>
        <v/>
      </c>
      <c r="B889" s="11"/>
      <c r="C889" s="11" t="str">
        <f>IF(COUNTIF(D$1:D889,D889)=1,MAX(C$1:C888)+1,"")</f>
        <v/>
      </c>
      <c r="D889" s="12"/>
    </row>
    <row r="890" spans="1:4" x14ac:dyDescent="0.25">
      <c r="A890" t="str">
        <f>IF(COUNTIF(B$1:B890,B890)=1,MAX(A$1:A889)+1,"")</f>
        <v/>
      </c>
      <c r="B890" s="11"/>
      <c r="C890" s="11" t="str">
        <f>IF(COUNTIF(D$1:D890,D890)=1,MAX(C$1:C889)+1,"")</f>
        <v/>
      </c>
      <c r="D890" s="12"/>
    </row>
    <row r="891" spans="1:4" x14ac:dyDescent="0.25">
      <c r="A891" t="str">
        <f>IF(COUNTIF(B$1:B891,B891)=1,MAX(A$1:A890)+1,"")</f>
        <v/>
      </c>
      <c r="B891" s="11"/>
      <c r="C891" s="11" t="str">
        <f>IF(COUNTIF(D$1:D891,D891)=1,MAX(C$1:C890)+1,"")</f>
        <v/>
      </c>
      <c r="D891" s="12"/>
    </row>
    <row r="892" spans="1:4" x14ac:dyDescent="0.25">
      <c r="A892" t="str">
        <f>IF(COUNTIF(B$1:B892,B892)=1,MAX(A$1:A891)+1,"")</f>
        <v/>
      </c>
      <c r="B892" s="11"/>
      <c r="C892" s="11" t="str">
        <f>IF(COUNTIF(D$1:D892,D892)=1,MAX(C$1:C891)+1,"")</f>
        <v/>
      </c>
      <c r="D892" s="12"/>
    </row>
    <row r="893" spans="1:4" x14ac:dyDescent="0.25">
      <c r="A893" t="str">
        <f>IF(COUNTIF(B$1:B893,B893)=1,MAX(A$1:A892)+1,"")</f>
        <v/>
      </c>
      <c r="B893" s="11"/>
      <c r="C893" s="11" t="str">
        <f>IF(COUNTIF(D$1:D893,D893)=1,MAX(C$1:C892)+1,"")</f>
        <v/>
      </c>
      <c r="D893" s="12"/>
    </row>
    <row r="894" spans="1:4" x14ac:dyDescent="0.25">
      <c r="A894" t="str">
        <f>IF(COUNTIF(B$1:B894,B894)=1,MAX(A$1:A893)+1,"")</f>
        <v/>
      </c>
      <c r="B894" s="11"/>
      <c r="C894" s="11" t="str">
        <f>IF(COUNTIF(D$1:D894,D894)=1,MAX(C$1:C893)+1,"")</f>
        <v/>
      </c>
      <c r="D894" s="12"/>
    </row>
    <row r="895" spans="1:4" x14ac:dyDescent="0.25">
      <c r="A895" t="str">
        <f>IF(COUNTIF(B$1:B895,B895)=1,MAX(A$1:A894)+1,"")</f>
        <v/>
      </c>
      <c r="B895" s="11"/>
      <c r="C895" s="11" t="str">
        <f>IF(COUNTIF(D$1:D895,D895)=1,MAX(C$1:C894)+1,"")</f>
        <v/>
      </c>
      <c r="D895" s="12"/>
    </row>
    <row r="896" spans="1:4" x14ac:dyDescent="0.25">
      <c r="A896" t="str">
        <f>IF(COUNTIF(B$1:B896,B896)=1,MAX(A$1:A895)+1,"")</f>
        <v/>
      </c>
      <c r="B896" s="11"/>
      <c r="C896" s="11" t="str">
        <f>IF(COUNTIF(D$1:D896,D896)=1,MAX(C$1:C895)+1,"")</f>
        <v/>
      </c>
      <c r="D896" s="12"/>
    </row>
    <row r="897" spans="1:4" x14ac:dyDescent="0.25">
      <c r="A897" t="str">
        <f>IF(COUNTIF(B$1:B897,B897)=1,MAX(A$1:A896)+1,"")</f>
        <v/>
      </c>
      <c r="B897" s="11"/>
      <c r="C897" s="11" t="str">
        <f>IF(COUNTIF(D$1:D897,D897)=1,MAX(C$1:C896)+1,"")</f>
        <v/>
      </c>
      <c r="D897" s="12"/>
    </row>
    <row r="898" spans="1:4" x14ac:dyDescent="0.25">
      <c r="A898" t="str">
        <f>IF(COUNTIF(B$1:B898,B898)=1,MAX(A$1:A897)+1,"")</f>
        <v/>
      </c>
      <c r="B898" s="11"/>
      <c r="C898" s="11" t="str">
        <f>IF(COUNTIF(D$1:D898,D898)=1,MAX(C$1:C897)+1,"")</f>
        <v/>
      </c>
      <c r="D898" s="12"/>
    </row>
    <row r="899" spans="1:4" x14ac:dyDescent="0.25">
      <c r="A899" t="str">
        <f>IF(COUNTIF(B$1:B899,B899)=1,MAX(A$1:A898)+1,"")</f>
        <v/>
      </c>
      <c r="B899" s="11"/>
      <c r="C899" s="11" t="str">
        <f>IF(COUNTIF(D$1:D899,D899)=1,MAX(C$1:C898)+1,"")</f>
        <v/>
      </c>
      <c r="D899" s="12"/>
    </row>
    <row r="900" spans="1:4" x14ac:dyDescent="0.25">
      <c r="A900" t="str">
        <f>IF(COUNTIF(B$1:B900,B900)=1,MAX(A$1:A899)+1,"")</f>
        <v/>
      </c>
      <c r="B900" s="11"/>
      <c r="C900" s="11" t="str">
        <f>IF(COUNTIF(D$1:D900,D900)=1,MAX(C$1:C899)+1,"")</f>
        <v/>
      </c>
      <c r="D900" s="12"/>
    </row>
    <row r="901" spans="1:4" x14ac:dyDescent="0.25">
      <c r="A901" t="str">
        <f>IF(COUNTIF(B$1:B901,B901)=1,MAX(A$1:A900)+1,"")</f>
        <v/>
      </c>
      <c r="B901" s="11"/>
      <c r="C901" s="11" t="str">
        <f>IF(COUNTIF(D$1:D901,D901)=1,MAX(C$1:C900)+1,"")</f>
        <v/>
      </c>
      <c r="D901" s="12"/>
    </row>
    <row r="902" spans="1:4" x14ac:dyDescent="0.25">
      <c r="A902" t="str">
        <f>IF(COUNTIF(B$1:B902,B902)=1,MAX(A$1:A901)+1,"")</f>
        <v/>
      </c>
      <c r="B902" s="11"/>
      <c r="C902" s="11" t="str">
        <f>IF(COUNTIF(D$1:D902,D902)=1,MAX(C$1:C901)+1,"")</f>
        <v/>
      </c>
      <c r="D902" s="12"/>
    </row>
    <row r="903" spans="1:4" x14ac:dyDescent="0.25">
      <c r="A903" t="str">
        <f>IF(COUNTIF(B$1:B903,B903)=1,MAX(A$1:A902)+1,"")</f>
        <v/>
      </c>
      <c r="B903" s="11"/>
      <c r="C903" s="11" t="str">
        <f>IF(COUNTIF(D$1:D903,D903)=1,MAX(C$1:C902)+1,"")</f>
        <v/>
      </c>
      <c r="D903" s="12"/>
    </row>
    <row r="904" spans="1:4" x14ac:dyDescent="0.25">
      <c r="A904" t="str">
        <f>IF(COUNTIF(B$1:B904,B904)=1,MAX(A$1:A903)+1,"")</f>
        <v/>
      </c>
      <c r="B904" s="11"/>
      <c r="C904" s="11" t="str">
        <f>IF(COUNTIF(D$1:D904,D904)=1,MAX(C$1:C903)+1,"")</f>
        <v/>
      </c>
      <c r="D904" s="12"/>
    </row>
    <row r="905" spans="1:4" x14ac:dyDescent="0.25">
      <c r="A905" t="str">
        <f>IF(COUNTIF(B$1:B905,B905)=1,MAX(A$1:A904)+1,"")</f>
        <v/>
      </c>
      <c r="B905" s="11"/>
      <c r="C905" s="11" t="str">
        <f>IF(COUNTIF(D$1:D905,D905)=1,MAX(C$1:C904)+1,"")</f>
        <v/>
      </c>
      <c r="D905" s="12"/>
    </row>
    <row r="906" spans="1:4" x14ac:dyDescent="0.25">
      <c r="A906" t="str">
        <f>IF(COUNTIF(B$1:B906,B906)=1,MAX(A$1:A905)+1,"")</f>
        <v/>
      </c>
      <c r="B906" s="11"/>
      <c r="C906" s="11" t="str">
        <f>IF(COUNTIF(D$1:D906,D906)=1,MAX(C$1:C905)+1,"")</f>
        <v/>
      </c>
      <c r="D906" s="12"/>
    </row>
    <row r="907" spans="1:4" x14ac:dyDescent="0.25">
      <c r="A907" t="str">
        <f>IF(COUNTIF(B$1:B907,B907)=1,MAX(A$1:A906)+1,"")</f>
        <v/>
      </c>
      <c r="B907" s="11"/>
      <c r="C907" s="11" t="str">
        <f>IF(COUNTIF(D$1:D907,D907)=1,MAX(C$1:C906)+1,"")</f>
        <v/>
      </c>
      <c r="D907" s="12"/>
    </row>
    <row r="908" spans="1:4" x14ac:dyDescent="0.25">
      <c r="A908" t="str">
        <f>IF(COUNTIF(B$1:B908,B908)=1,MAX(A$1:A907)+1,"")</f>
        <v/>
      </c>
      <c r="B908" s="11"/>
      <c r="C908" s="11" t="str">
        <f>IF(COUNTIF(D$1:D908,D908)=1,MAX(C$1:C907)+1,"")</f>
        <v/>
      </c>
      <c r="D908" s="12"/>
    </row>
    <row r="909" spans="1:4" x14ac:dyDescent="0.25">
      <c r="A909" t="str">
        <f>IF(COUNTIF(B$1:B909,B909)=1,MAX(A$1:A908)+1,"")</f>
        <v/>
      </c>
      <c r="B909" s="11"/>
      <c r="C909" s="11" t="str">
        <f>IF(COUNTIF(D$1:D909,D909)=1,MAX(C$1:C908)+1,"")</f>
        <v/>
      </c>
      <c r="D909" s="12"/>
    </row>
    <row r="910" spans="1:4" x14ac:dyDescent="0.25">
      <c r="A910" t="str">
        <f>IF(COUNTIF(B$1:B910,B910)=1,MAX(A$1:A909)+1,"")</f>
        <v/>
      </c>
      <c r="B910" s="11"/>
      <c r="C910" s="11" t="str">
        <f>IF(COUNTIF(D$1:D910,D910)=1,MAX(C$1:C909)+1,"")</f>
        <v/>
      </c>
      <c r="D910" s="12"/>
    </row>
    <row r="911" spans="1:4" x14ac:dyDescent="0.25">
      <c r="A911" t="str">
        <f>IF(COUNTIF(B$1:B911,B911)=1,MAX(A$1:A910)+1,"")</f>
        <v/>
      </c>
      <c r="B911" s="11"/>
      <c r="C911" s="11" t="str">
        <f>IF(COUNTIF(D$1:D911,D911)=1,MAX(C$1:C910)+1,"")</f>
        <v/>
      </c>
      <c r="D911" s="12"/>
    </row>
    <row r="912" spans="1:4" x14ac:dyDescent="0.25">
      <c r="A912" t="str">
        <f>IF(COUNTIF(B$1:B912,B912)=1,MAX(A$1:A911)+1,"")</f>
        <v/>
      </c>
      <c r="B912" s="11"/>
      <c r="C912" s="11" t="str">
        <f>IF(COUNTIF(D$1:D912,D912)=1,MAX(C$1:C911)+1,"")</f>
        <v/>
      </c>
      <c r="D912" s="12"/>
    </row>
    <row r="913" spans="1:4" x14ac:dyDescent="0.25">
      <c r="A913" t="str">
        <f>IF(COUNTIF(B$1:B913,B913)=1,MAX(A$1:A912)+1,"")</f>
        <v/>
      </c>
      <c r="B913" s="11"/>
      <c r="C913" s="11" t="str">
        <f>IF(COUNTIF(D$1:D913,D913)=1,MAX(C$1:C912)+1,"")</f>
        <v/>
      </c>
      <c r="D913" s="12"/>
    </row>
    <row r="914" spans="1:4" x14ac:dyDescent="0.25">
      <c r="A914" t="str">
        <f>IF(COUNTIF(B$1:B914,B914)=1,MAX(A$1:A913)+1,"")</f>
        <v/>
      </c>
      <c r="B914" s="11"/>
      <c r="C914" s="11" t="str">
        <f>IF(COUNTIF(D$1:D914,D914)=1,MAX(C$1:C913)+1,"")</f>
        <v/>
      </c>
      <c r="D914" s="12"/>
    </row>
    <row r="915" spans="1:4" x14ac:dyDescent="0.25">
      <c r="A915" t="str">
        <f>IF(COUNTIF(B$1:B915,B915)=1,MAX(A$1:A914)+1,"")</f>
        <v/>
      </c>
      <c r="B915" s="11"/>
      <c r="C915" s="11" t="str">
        <f>IF(COUNTIF(D$1:D915,D915)=1,MAX(C$1:C914)+1,"")</f>
        <v/>
      </c>
      <c r="D915" s="12"/>
    </row>
    <row r="916" spans="1:4" x14ac:dyDescent="0.25">
      <c r="A916" t="str">
        <f>IF(COUNTIF(B$1:B916,B916)=1,MAX(A$1:A915)+1,"")</f>
        <v/>
      </c>
      <c r="B916" s="11"/>
      <c r="C916" s="11" t="str">
        <f>IF(COUNTIF(D$1:D916,D916)=1,MAX(C$1:C915)+1,"")</f>
        <v/>
      </c>
      <c r="D916" s="12"/>
    </row>
    <row r="917" spans="1:4" x14ac:dyDescent="0.25">
      <c r="A917" t="str">
        <f>IF(COUNTIF(B$1:B917,B917)=1,MAX(A$1:A916)+1,"")</f>
        <v/>
      </c>
      <c r="B917" s="11"/>
      <c r="C917" s="11" t="str">
        <f>IF(COUNTIF(D$1:D917,D917)=1,MAX(C$1:C916)+1,"")</f>
        <v/>
      </c>
      <c r="D917" s="12"/>
    </row>
    <row r="918" spans="1:4" x14ac:dyDescent="0.25">
      <c r="A918" t="str">
        <f>IF(COUNTIF(B$1:B918,B918)=1,MAX(A$1:A917)+1,"")</f>
        <v/>
      </c>
      <c r="B918" s="11"/>
      <c r="C918" s="11" t="str">
        <f>IF(COUNTIF(D$1:D918,D918)=1,MAX(C$1:C917)+1,"")</f>
        <v/>
      </c>
      <c r="D918" s="12"/>
    </row>
    <row r="919" spans="1:4" x14ac:dyDescent="0.25">
      <c r="A919" t="str">
        <f>IF(COUNTIF(B$1:B919,B919)=1,MAX(A$1:A918)+1,"")</f>
        <v/>
      </c>
      <c r="B919" s="11"/>
      <c r="C919" s="11" t="str">
        <f>IF(COUNTIF(D$1:D919,D919)=1,MAX(C$1:C918)+1,"")</f>
        <v/>
      </c>
      <c r="D919" s="12"/>
    </row>
    <row r="920" spans="1:4" x14ac:dyDescent="0.25">
      <c r="A920" t="str">
        <f>IF(COUNTIF(B$1:B920,B920)=1,MAX(A$1:A919)+1,"")</f>
        <v/>
      </c>
      <c r="B920" s="11"/>
      <c r="C920" s="11" t="str">
        <f>IF(COUNTIF(D$1:D920,D920)=1,MAX(C$1:C919)+1,"")</f>
        <v/>
      </c>
      <c r="D920" s="12"/>
    </row>
    <row r="921" spans="1:4" x14ac:dyDescent="0.25">
      <c r="A921" t="str">
        <f>IF(COUNTIF(B$1:B921,B921)=1,MAX(A$1:A920)+1,"")</f>
        <v/>
      </c>
      <c r="B921" s="11"/>
      <c r="C921" s="11" t="str">
        <f>IF(COUNTIF(D$1:D921,D921)=1,MAX(C$1:C920)+1,"")</f>
        <v/>
      </c>
      <c r="D921" s="12"/>
    </row>
    <row r="922" spans="1:4" x14ac:dyDescent="0.25">
      <c r="A922" t="str">
        <f>IF(COUNTIF(B$1:B922,B922)=1,MAX(A$1:A921)+1,"")</f>
        <v/>
      </c>
      <c r="B922" s="11"/>
      <c r="C922" s="11" t="str">
        <f>IF(COUNTIF(D$1:D922,D922)=1,MAX(C$1:C921)+1,"")</f>
        <v/>
      </c>
      <c r="D922" s="12"/>
    </row>
    <row r="923" spans="1:4" x14ac:dyDescent="0.25">
      <c r="A923" t="str">
        <f>IF(COUNTIF(B$1:B923,B923)=1,MAX(A$1:A922)+1,"")</f>
        <v/>
      </c>
      <c r="B923" s="11"/>
      <c r="C923" s="11" t="str">
        <f>IF(COUNTIF(D$1:D923,D923)=1,MAX(C$1:C922)+1,"")</f>
        <v/>
      </c>
      <c r="D923" s="12"/>
    </row>
    <row r="924" spans="1:4" x14ac:dyDescent="0.25">
      <c r="A924" t="str">
        <f>IF(COUNTIF(B$1:B924,B924)=1,MAX(A$1:A923)+1,"")</f>
        <v/>
      </c>
      <c r="B924" s="11"/>
      <c r="C924" s="11" t="str">
        <f>IF(COUNTIF(D$1:D924,D924)=1,MAX(C$1:C923)+1,"")</f>
        <v/>
      </c>
      <c r="D924" s="12"/>
    </row>
    <row r="925" spans="1:4" x14ac:dyDescent="0.25">
      <c r="A925" t="str">
        <f>IF(COUNTIF(B$1:B925,B925)=1,MAX(A$1:A924)+1,"")</f>
        <v/>
      </c>
      <c r="B925" s="11"/>
      <c r="C925" s="11" t="str">
        <f>IF(COUNTIF(D$1:D925,D925)=1,MAX(C$1:C924)+1,"")</f>
        <v/>
      </c>
      <c r="D925" s="12"/>
    </row>
    <row r="926" spans="1:4" x14ac:dyDescent="0.25">
      <c r="A926" t="str">
        <f>IF(COUNTIF(B$1:B926,B926)=1,MAX(A$1:A925)+1,"")</f>
        <v/>
      </c>
      <c r="B926" s="11"/>
      <c r="C926" s="11" t="str">
        <f>IF(COUNTIF(D$1:D926,D926)=1,MAX(C$1:C925)+1,"")</f>
        <v/>
      </c>
      <c r="D926" s="12"/>
    </row>
    <row r="927" spans="1:4" x14ac:dyDescent="0.25">
      <c r="A927" t="str">
        <f>IF(COUNTIF(B$1:B927,B927)=1,MAX(A$1:A926)+1,"")</f>
        <v/>
      </c>
      <c r="B927" s="11"/>
      <c r="C927" s="11" t="str">
        <f>IF(COUNTIF(D$1:D927,D927)=1,MAX(C$1:C926)+1,"")</f>
        <v/>
      </c>
      <c r="D927" s="12"/>
    </row>
    <row r="928" spans="1:4" x14ac:dyDescent="0.25">
      <c r="A928" t="str">
        <f>IF(COUNTIF(B$1:B928,B928)=1,MAX(A$1:A927)+1,"")</f>
        <v/>
      </c>
      <c r="B928" s="11"/>
      <c r="C928" s="11" t="str">
        <f>IF(COUNTIF(D$1:D928,D928)=1,MAX(C$1:C927)+1,"")</f>
        <v/>
      </c>
      <c r="D928" s="12"/>
    </row>
    <row r="929" spans="1:4" x14ac:dyDescent="0.25">
      <c r="A929" t="str">
        <f>IF(COUNTIF(B$1:B929,B929)=1,MAX(A$1:A928)+1,"")</f>
        <v/>
      </c>
      <c r="B929" s="11"/>
      <c r="C929" s="11" t="str">
        <f>IF(COUNTIF(D$1:D929,D929)=1,MAX(C$1:C928)+1,"")</f>
        <v/>
      </c>
      <c r="D929" s="12"/>
    </row>
    <row r="930" spans="1:4" x14ac:dyDescent="0.25">
      <c r="A930" t="str">
        <f>IF(COUNTIF(B$1:B930,B930)=1,MAX(A$1:A929)+1,"")</f>
        <v/>
      </c>
      <c r="B930" s="11"/>
      <c r="C930" s="11" t="str">
        <f>IF(COUNTIF(D$1:D930,D930)=1,MAX(C$1:C929)+1,"")</f>
        <v/>
      </c>
      <c r="D930" s="12"/>
    </row>
    <row r="931" spans="1:4" x14ac:dyDescent="0.25">
      <c r="A931" t="str">
        <f>IF(COUNTIF(B$1:B931,B931)=1,MAX(A$1:A930)+1,"")</f>
        <v/>
      </c>
      <c r="B931" s="11"/>
      <c r="C931" s="11" t="str">
        <f>IF(COUNTIF(D$1:D931,D931)=1,MAX(C$1:C930)+1,"")</f>
        <v/>
      </c>
      <c r="D931" s="12"/>
    </row>
    <row r="932" spans="1:4" x14ac:dyDescent="0.25">
      <c r="A932" t="str">
        <f>IF(COUNTIF(B$1:B932,B932)=1,MAX(A$1:A931)+1,"")</f>
        <v/>
      </c>
      <c r="B932" s="11"/>
      <c r="C932" s="11" t="str">
        <f>IF(COUNTIF(D$1:D932,D932)=1,MAX(C$1:C931)+1,"")</f>
        <v/>
      </c>
      <c r="D932" s="12"/>
    </row>
    <row r="933" spans="1:4" x14ac:dyDescent="0.25">
      <c r="A933" t="str">
        <f>IF(COUNTIF(B$1:B933,B933)=1,MAX(A$1:A932)+1,"")</f>
        <v/>
      </c>
      <c r="B933" s="11"/>
      <c r="C933" s="11" t="str">
        <f>IF(COUNTIF(D$1:D933,D933)=1,MAX(C$1:C932)+1,"")</f>
        <v/>
      </c>
      <c r="D933" s="12"/>
    </row>
    <row r="934" spans="1:4" x14ac:dyDescent="0.25">
      <c r="A934" t="str">
        <f>IF(COUNTIF(B$1:B934,B934)=1,MAX(A$1:A933)+1,"")</f>
        <v/>
      </c>
      <c r="B934" s="11"/>
      <c r="C934" s="11" t="str">
        <f>IF(COUNTIF(D$1:D934,D934)=1,MAX(C$1:C933)+1,"")</f>
        <v/>
      </c>
      <c r="D934" s="12"/>
    </row>
    <row r="935" spans="1:4" x14ac:dyDescent="0.25">
      <c r="A935" t="str">
        <f>IF(COUNTIF(B$1:B935,B935)=1,MAX(A$1:A934)+1,"")</f>
        <v/>
      </c>
      <c r="B935" s="11"/>
      <c r="C935" s="11" t="str">
        <f>IF(COUNTIF(D$1:D935,D935)=1,MAX(C$1:C934)+1,"")</f>
        <v/>
      </c>
      <c r="D935" s="12"/>
    </row>
    <row r="936" spans="1:4" x14ac:dyDescent="0.25">
      <c r="A936" t="str">
        <f>IF(COUNTIF(B$1:B936,B936)=1,MAX(A$1:A935)+1,"")</f>
        <v/>
      </c>
      <c r="B936" s="11"/>
      <c r="C936" s="11" t="str">
        <f>IF(COUNTIF(D$1:D936,D936)=1,MAX(C$1:C935)+1,"")</f>
        <v/>
      </c>
      <c r="D936" s="12"/>
    </row>
    <row r="937" spans="1:4" x14ac:dyDescent="0.25">
      <c r="A937" t="str">
        <f>IF(COUNTIF(B$1:B937,B937)=1,MAX(A$1:A936)+1,"")</f>
        <v/>
      </c>
      <c r="B937" s="11"/>
      <c r="C937" s="11" t="str">
        <f>IF(COUNTIF(D$1:D937,D937)=1,MAX(C$1:C936)+1,"")</f>
        <v/>
      </c>
      <c r="D937" s="12"/>
    </row>
    <row r="938" spans="1:4" x14ac:dyDescent="0.25">
      <c r="A938" t="str">
        <f>IF(COUNTIF(B$1:B938,B938)=1,MAX(A$1:A937)+1,"")</f>
        <v/>
      </c>
      <c r="B938" s="11"/>
      <c r="C938" s="11" t="str">
        <f>IF(COUNTIF(D$1:D938,D938)=1,MAX(C$1:C937)+1,"")</f>
        <v/>
      </c>
      <c r="D938" s="12"/>
    </row>
    <row r="939" spans="1:4" x14ac:dyDescent="0.25">
      <c r="A939" t="str">
        <f>IF(COUNTIF(B$1:B939,B939)=1,MAX(A$1:A938)+1,"")</f>
        <v/>
      </c>
      <c r="B939" s="11"/>
      <c r="C939" s="11" t="str">
        <f>IF(COUNTIF(D$1:D939,D939)=1,MAX(C$1:C938)+1,"")</f>
        <v/>
      </c>
      <c r="D939" s="12"/>
    </row>
    <row r="940" spans="1:4" x14ac:dyDescent="0.25">
      <c r="A940" t="str">
        <f>IF(COUNTIF(B$1:B940,B940)=1,MAX(A$1:A939)+1,"")</f>
        <v/>
      </c>
      <c r="B940" s="11"/>
      <c r="C940" s="11" t="str">
        <f>IF(COUNTIF(D$1:D940,D940)=1,MAX(C$1:C939)+1,"")</f>
        <v/>
      </c>
      <c r="D940" s="12"/>
    </row>
    <row r="941" spans="1:4" x14ac:dyDescent="0.25">
      <c r="A941" t="str">
        <f>IF(COUNTIF(B$1:B941,B941)=1,MAX(A$1:A940)+1,"")</f>
        <v/>
      </c>
      <c r="B941" s="11"/>
      <c r="C941" s="11" t="str">
        <f>IF(COUNTIF(D$1:D941,D941)=1,MAX(C$1:C940)+1,"")</f>
        <v/>
      </c>
      <c r="D941" s="12"/>
    </row>
    <row r="942" spans="1:4" x14ac:dyDescent="0.25">
      <c r="A942" t="str">
        <f>IF(COUNTIF(B$1:B942,B942)=1,MAX(A$1:A941)+1,"")</f>
        <v/>
      </c>
      <c r="B942" s="11"/>
      <c r="C942" s="11" t="str">
        <f>IF(COUNTIF(D$1:D942,D942)=1,MAX(C$1:C941)+1,"")</f>
        <v/>
      </c>
      <c r="D942" s="12"/>
    </row>
    <row r="943" spans="1:4" x14ac:dyDescent="0.25">
      <c r="A943" t="str">
        <f>IF(COUNTIF(B$1:B943,B943)=1,MAX(A$1:A942)+1,"")</f>
        <v/>
      </c>
      <c r="B943" s="11"/>
      <c r="C943" s="11" t="str">
        <f>IF(COUNTIF(D$1:D943,D943)=1,MAX(C$1:C942)+1,"")</f>
        <v/>
      </c>
      <c r="D943" s="12"/>
    </row>
    <row r="944" spans="1:4" x14ac:dyDescent="0.25">
      <c r="A944" t="str">
        <f>IF(COUNTIF(B$1:B944,B944)=1,MAX(A$1:A943)+1,"")</f>
        <v/>
      </c>
      <c r="B944" s="11"/>
      <c r="C944" s="11" t="str">
        <f>IF(COUNTIF(D$1:D944,D944)=1,MAX(C$1:C943)+1,"")</f>
        <v/>
      </c>
      <c r="D944" s="12"/>
    </row>
    <row r="945" spans="1:4" x14ac:dyDescent="0.25">
      <c r="A945" t="str">
        <f>IF(COUNTIF(B$1:B945,B945)=1,MAX(A$1:A944)+1,"")</f>
        <v/>
      </c>
      <c r="B945" s="11"/>
      <c r="C945" s="11" t="str">
        <f>IF(COUNTIF(D$1:D945,D945)=1,MAX(C$1:C944)+1,"")</f>
        <v/>
      </c>
      <c r="D945" s="12"/>
    </row>
    <row r="946" spans="1:4" x14ac:dyDescent="0.25">
      <c r="A946" t="str">
        <f>IF(COUNTIF(B$1:B946,B946)=1,MAX(A$1:A945)+1,"")</f>
        <v/>
      </c>
      <c r="B946" s="11"/>
      <c r="C946" s="11" t="str">
        <f>IF(COUNTIF(D$1:D946,D946)=1,MAX(C$1:C945)+1,"")</f>
        <v/>
      </c>
      <c r="D946" s="12"/>
    </row>
    <row r="947" spans="1:4" x14ac:dyDescent="0.25">
      <c r="A947" t="str">
        <f>IF(COUNTIF(B$1:B947,B947)=1,MAX(A$1:A946)+1,"")</f>
        <v/>
      </c>
      <c r="B947" s="11"/>
      <c r="C947" s="11" t="str">
        <f>IF(COUNTIF(D$1:D947,D947)=1,MAX(C$1:C946)+1,"")</f>
        <v/>
      </c>
      <c r="D947" s="12"/>
    </row>
    <row r="948" spans="1:4" x14ac:dyDescent="0.25">
      <c r="A948" t="str">
        <f>IF(COUNTIF(B$1:B948,B948)=1,MAX(A$1:A947)+1,"")</f>
        <v/>
      </c>
      <c r="B948" s="11"/>
      <c r="C948" s="11" t="str">
        <f>IF(COUNTIF(D$1:D948,D948)=1,MAX(C$1:C947)+1,"")</f>
        <v/>
      </c>
      <c r="D948" s="12"/>
    </row>
    <row r="949" spans="1:4" x14ac:dyDescent="0.25">
      <c r="A949" t="str">
        <f>IF(COUNTIF(B$1:B949,B949)=1,MAX(A$1:A948)+1,"")</f>
        <v/>
      </c>
      <c r="B949" s="11"/>
      <c r="C949" s="11" t="str">
        <f>IF(COUNTIF(D$1:D949,D949)=1,MAX(C$1:C948)+1,"")</f>
        <v/>
      </c>
      <c r="D949" s="12"/>
    </row>
    <row r="950" spans="1:4" x14ac:dyDescent="0.25">
      <c r="A950" t="str">
        <f>IF(COUNTIF(B$1:B950,B950)=1,MAX(A$1:A949)+1,"")</f>
        <v/>
      </c>
      <c r="B950" s="11"/>
      <c r="C950" s="11" t="str">
        <f>IF(COUNTIF(D$1:D950,D950)=1,MAX(C$1:C949)+1,"")</f>
        <v/>
      </c>
      <c r="D950" s="12"/>
    </row>
    <row r="951" spans="1:4" x14ac:dyDescent="0.25">
      <c r="A951" t="str">
        <f>IF(COUNTIF(B$1:B951,B951)=1,MAX(A$1:A950)+1,"")</f>
        <v/>
      </c>
      <c r="B951" s="11"/>
      <c r="C951" s="11" t="str">
        <f>IF(COUNTIF(D$1:D951,D951)=1,MAX(C$1:C950)+1,"")</f>
        <v/>
      </c>
      <c r="D951" s="12"/>
    </row>
    <row r="952" spans="1:4" x14ac:dyDescent="0.25">
      <c r="A952" t="str">
        <f>IF(COUNTIF(B$1:B952,B952)=1,MAX(A$1:A951)+1,"")</f>
        <v/>
      </c>
      <c r="B952" s="11"/>
      <c r="C952" s="11" t="str">
        <f>IF(COUNTIF(D$1:D952,D952)=1,MAX(C$1:C951)+1,"")</f>
        <v/>
      </c>
      <c r="D952" s="12"/>
    </row>
    <row r="953" spans="1:4" x14ac:dyDescent="0.25">
      <c r="A953" t="str">
        <f>IF(COUNTIF(B$1:B953,B953)=1,MAX(A$1:A952)+1,"")</f>
        <v/>
      </c>
      <c r="B953" s="11"/>
      <c r="C953" s="11" t="str">
        <f>IF(COUNTIF(D$1:D953,D953)=1,MAX(C$1:C952)+1,"")</f>
        <v/>
      </c>
      <c r="D953" s="12"/>
    </row>
    <row r="954" spans="1:4" x14ac:dyDescent="0.25">
      <c r="A954" t="str">
        <f>IF(COUNTIF(B$1:B954,B954)=1,MAX(A$1:A953)+1,"")</f>
        <v/>
      </c>
      <c r="B954" s="11"/>
      <c r="C954" s="11" t="str">
        <f>IF(COUNTIF(D$1:D954,D954)=1,MAX(C$1:C953)+1,"")</f>
        <v/>
      </c>
      <c r="D954" s="12"/>
    </row>
    <row r="955" spans="1:4" x14ac:dyDescent="0.25">
      <c r="A955" t="str">
        <f>IF(COUNTIF(B$1:B955,B955)=1,MAX(A$1:A954)+1,"")</f>
        <v/>
      </c>
      <c r="B955" s="11"/>
      <c r="C955" s="11" t="str">
        <f>IF(COUNTIF(D$1:D955,D955)=1,MAX(C$1:C954)+1,"")</f>
        <v/>
      </c>
      <c r="D955" s="12"/>
    </row>
    <row r="956" spans="1:4" x14ac:dyDescent="0.25">
      <c r="A956" t="str">
        <f>IF(COUNTIF(B$1:B956,B956)=1,MAX(A$1:A955)+1,"")</f>
        <v/>
      </c>
      <c r="B956" s="11"/>
      <c r="C956" s="11" t="str">
        <f>IF(COUNTIF(D$1:D956,D956)=1,MAX(C$1:C955)+1,"")</f>
        <v/>
      </c>
      <c r="D956" s="12"/>
    </row>
    <row r="957" spans="1:4" x14ac:dyDescent="0.25">
      <c r="A957" t="str">
        <f>IF(COUNTIF(B$1:B957,B957)=1,MAX(A$1:A956)+1,"")</f>
        <v/>
      </c>
      <c r="B957" s="11"/>
      <c r="C957" s="11" t="str">
        <f>IF(COUNTIF(D$1:D957,D957)=1,MAX(C$1:C956)+1,"")</f>
        <v/>
      </c>
      <c r="D957" s="12"/>
    </row>
    <row r="958" spans="1:4" x14ac:dyDescent="0.25">
      <c r="A958" t="str">
        <f>IF(COUNTIF(B$1:B958,B958)=1,MAX(A$1:A957)+1,"")</f>
        <v/>
      </c>
      <c r="B958" s="11"/>
      <c r="C958" s="11" t="str">
        <f>IF(COUNTIF(D$1:D958,D958)=1,MAX(C$1:C957)+1,"")</f>
        <v/>
      </c>
      <c r="D958" s="12"/>
    </row>
    <row r="959" spans="1:4" x14ac:dyDescent="0.25">
      <c r="A959" t="str">
        <f>IF(COUNTIF(B$1:B959,B959)=1,MAX(A$1:A958)+1,"")</f>
        <v/>
      </c>
      <c r="B959" s="11"/>
      <c r="C959" s="11" t="str">
        <f>IF(COUNTIF(D$1:D959,D959)=1,MAX(C$1:C958)+1,"")</f>
        <v/>
      </c>
      <c r="D959" s="12"/>
    </row>
    <row r="960" spans="1:4" x14ac:dyDescent="0.25">
      <c r="A960" t="str">
        <f>IF(COUNTIF(B$1:B960,B960)=1,MAX(A$1:A959)+1,"")</f>
        <v/>
      </c>
      <c r="B960" s="11"/>
      <c r="C960" s="11" t="str">
        <f>IF(COUNTIF(D$1:D960,D960)=1,MAX(C$1:C959)+1,"")</f>
        <v/>
      </c>
      <c r="D960" s="12"/>
    </row>
    <row r="961" spans="1:4" x14ac:dyDescent="0.25">
      <c r="A961" t="str">
        <f>IF(COUNTIF(B$1:B961,B961)=1,MAX(A$1:A960)+1,"")</f>
        <v/>
      </c>
      <c r="B961" s="11"/>
      <c r="C961" s="11" t="str">
        <f>IF(COUNTIF(D$1:D961,D961)=1,MAX(C$1:C960)+1,"")</f>
        <v/>
      </c>
      <c r="D961" s="12"/>
    </row>
    <row r="962" spans="1:4" x14ac:dyDescent="0.25">
      <c r="A962" t="str">
        <f>IF(COUNTIF(B$1:B962,B962)=1,MAX(A$1:A961)+1,"")</f>
        <v/>
      </c>
      <c r="B962" s="11"/>
      <c r="C962" s="11" t="str">
        <f>IF(COUNTIF(D$1:D962,D962)=1,MAX(C$1:C961)+1,"")</f>
        <v/>
      </c>
      <c r="D962" s="12"/>
    </row>
    <row r="963" spans="1:4" x14ac:dyDescent="0.25">
      <c r="A963" t="str">
        <f>IF(COUNTIF(B$1:B963,B963)=1,MAX(A$1:A962)+1,"")</f>
        <v/>
      </c>
      <c r="B963" s="11"/>
      <c r="C963" s="11" t="str">
        <f>IF(COUNTIF(D$1:D963,D963)=1,MAX(C$1:C962)+1,"")</f>
        <v/>
      </c>
      <c r="D963" s="12"/>
    </row>
    <row r="964" spans="1:4" x14ac:dyDescent="0.25">
      <c r="A964" t="str">
        <f>IF(COUNTIF(B$1:B964,B964)=1,MAX(A$1:A963)+1,"")</f>
        <v/>
      </c>
      <c r="B964" s="11"/>
      <c r="C964" s="11" t="str">
        <f>IF(COUNTIF(D$1:D964,D964)=1,MAX(C$1:C963)+1,"")</f>
        <v/>
      </c>
      <c r="D964" s="12"/>
    </row>
    <row r="965" spans="1:4" x14ac:dyDescent="0.25">
      <c r="A965" t="str">
        <f>IF(COUNTIF(B$1:B965,B965)=1,MAX(A$1:A964)+1,"")</f>
        <v/>
      </c>
      <c r="B965" s="11"/>
      <c r="C965" s="11" t="str">
        <f>IF(COUNTIF(D$1:D965,D965)=1,MAX(C$1:C964)+1,"")</f>
        <v/>
      </c>
      <c r="D965" s="12"/>
    </row>
    <row r="966" spans="1:4" x14ac:dyDescent="0.25">
      <c r="A966" t="str">
        <f>IF(COUNTIF(B$1:B966,B966)=1,MAX(A$1:A965)+1,"")</f>
        <v/>
      </c>
      <c r="B966" s="11"/>
      <c r="C966" s="11" t="str">
        <f>IF(COUNTIF(D$1:D966,D966)=1,MAX(C$1:C965)+1,"")</f>
        <v/>
      </c>
      <c r="D966" s="12"/>
    </row>
    <row r="967" spans="1:4" x14ac:dyDescent="0.25">
      <c r="A967" t="str">
        <f>IF(COUNTIF(B$1:B967,B967)=1,MAX(A$1:A966)+1,"")</f>
        <v/>
      </c>
      <c r="B967" s="11"/>
      <c r="C967" s="11" t="str">
        <f>IF(COUNTIF(D$1:D967,D967)=1,MAX(C$1:C966)+1,"")</f>
        <v/>
      </c>
      <c r="D967" s="12"/>
    </row>
    <row r="968" spans="1:4" x14ac:dyDescent="0.25">
      <c r="A968" t="str">
        <f>IF(COUNTIF(B$1:B968,B968)=1,MAX(A$1:A967)+1,"")</f>
        <v/>
      </c>
      <c r="B968" s="11"/>
      <c r="C968" s="11" t="str">
        <f>IF(COUNTIF(D$1:D968,D968)=1,MAX(C$1:C967)+1,"")</f>
        <v/>
      </c>
      <c r="D968" s="12"/>
    </row>
    <row r="969" spans="1:4" x14ac:dyDescent="0.25">
      <c r="A969" t="str">
        <f>IF(COUNTIF(B$1:B969,B969)=1,MAX(A$1:A968)+1,"")</f>
        <v/>
      </c>
      <c r="B969" s="11"/>
      <c r="C969" s="11" t="str">
        <f>IF(COUNTIF(D$1:D969,D969)=1,MAX(C$1:C968)+1,"")</f>
        <v/>
      </c>
      <c r="D969" s="12"/>
    </row>
    <row r="970" spans="1:4" x14ac:dyDescent="0.25">
      <c r="A970" t="str">
        <f>IF(COUNTIF(B$1:B970,B970)=1,MAX(A$1:A969)+1,"")</f>
        <v/>
      </c>
      <c r="B970" s="11"/>
      <c r="C970" s="11" t="str">
        <f>IF(COUNTIF(D$1:D970,D970)=1,MAX(C$1:C969)+1,"")</f>
        <v/>
      </c>
      <c r="D970" s="12"/>
    </row>
    <row r="971" spans="1:4" x14ac:dyDescent="0.25">
      <c r="A971" t="str">
        <f>IF(COUNTIF(B$1:B971,B971)=1,MAX(A$1:A970)+1,"")</f>
        <v/>
      </c>
      <c r="B971" s="11"/>
      <c r="C971" s="11" t="str">
        <f>IF(COUNTIF(D$1:D971,D971)=1,MAX(C$1:C970)+1,"")</f>
        <v/>
      </c>
      <c r="D971" s="12"/>
    </row>
    <row r="972" spans="1:4" x14ac:dyDescent="0.25">
      <c r="A972" t="str">
        <f>IF(COUNTIF(B$1:B972,B972)=1,MAX(A$1:A971)+1,"")</f>
        <v/>
      </c>
      <c r="B972" s="11"/>
      <c r="C972" s="11" t="str">
        <f>IF(COUNTIF(D$1:D972,D972)=1,MAX(C$1:C971)+1,"")</f>
        <v/>
      </c>
      <c r="D972" s="12"/>
    </row>
    <row r="973" spans="1:4" x14ac:dyDescent="0.25">
      <c r="A973" t="str">
        <f>IF(COUNTIF(B$1:B973,B973)=1,MAX(A$1:A972)+1,"")</f>
        <v/>
      </c>
      <c r="B973" s="11"/>
      <c r="C973" s="11" t="str">
        <f>IF(COUNTIF(D$1:D973,D973)=1,MAX(C$1:C972)+1,"")</f>
        <v/>
      </c>
      <c r="D973" s="12"/>
    </row>
    <row r="974" spans="1:4" x14ac:dyDescent="0.25">
      <c r="A974" t="str">
        <f>IF(COUNTIF(B$1:B974,B974)=1,MAX(A$1:A973)+1,"")</f>
        <v/>
      </c>
      <c r="B974" s="11"/>
      <c r="C974" s="11" t="str">
        <f>IF(COUNTIF(D$1:D974,D974)=1,MAX(C$1:C973)+1,"")</f>
        <v/>
      </c>
      <c r="D974" s="12"/>
    </row>
    <row r="975" spans="1:4" x14ac:dyDescent="0.25">
      <c r="A975" t="str">
        <f>IF(COUNTIF(B$1:B975,B975)=1,MAX(A$1:A974)+1,"")</f>
        <v/>
      </c>
      <c r="B975" s="11"/>
      <c r="C975" s="11" t="str">
        <f>IF(COUNTIF(D$1:D975,D975)=1,MAX(C$1:C974)+1,"")</f>
        <v/>
      </c>
      <c r="D975" s="12"/>
    </row>
    <row r="976" spans="1:4" x14ac:dyDescent="0.25">
      <c r="A976" t="str">
        <f>IF(COUNTIF(B$1:B976,B976)=1,MAX(A$1:A975)+1,"")</f>
        <v/>
      </c>
      <c r="B976" s="11"/>
      <c r="C976" s="11" t="str">
        <f>IF(COUNTIF(D$1:D976,D976)=1,MAX(C$1:C975)+1,"")</f>
        <v/>
      </c>
      <c r="D976" s="12"/>
    </row>
    <row r="977" spans="1:4" x14ac:dyDescent="0.25">
      <c r="A977" t="str">
        <f>IF(COUNTIF(B$1:B977,B977)=1,MAX(A$1:A976)+1,"")</f>
        <v/>
      </c>
      <c r="B977" s="11"/>
      <c r="C977" s="11" t="str">
        <f>IF(COUNTIF(D$1:D977,D977)=1,MAX(C$1:C976)+1,"")</f>
        <v/>
      </c>
      <c r="D977" s="12"/>
    </row>
    <row r="978" spans="1:4" x14ac:dyDescent="0.25">
      <c r="A978" t="str">
        <f>IF(COUNTIF(B$1:B978,B978)=1,MAX(A$1:A977)+1,"")</f>
        <v/>
      </c>
      <c r="B978" s="11"/>
      <c r="C978" s="11" t="str">
        <f>IF(COUNTIF(D$1:D978,D978)=1,MAX(C$1:C977)+1,"")</f>
        <v/>
      </c>
      <c r="D978" s="12"/>
    </row>
    <row r="979" spans="1:4" x14ac:dyDescent="0.25">
      <c r="A979" t="str">
        <f>IF(COUNTIF(B$1:B979,B979)=1,MAX(A$1:A978)+1,"")</f>
        <v/>
      </c>
      <c r="B979" s="11"/>
      <c r="C979" s="11" t="str">
        <f>IF(COUNTIF(D$1:D979,D979)=1,MAX(C$1:C978)+1,"")</f>
        <v/>
      </c>
      <c r="D979" s="12"/>
    </row>
    <row r="980" spans="1:4" x14ac:dyDescent="0.25">
      <c r="A980" t="str">
        <f>IF(COUNTIF(B$1:B980,B980)=1,MAX(A$1:A979)+1,"")</f>
        <v/>
      </c>
      <c r="B980" s="11"/>
      <c r="C980" s="11" t="str">
        <f>IF(COUNTIF(D$1:D980,D980)=1,MAX(C$1:C979)+1,"")</f>
        <v/>
      </c>
      <c r="D980" s="12"/>
    </row>
    <row r="981" spans="1:4" x14ac:dyDescent="0.25">
      <c r="A981" t="str">
        <f>IF(COUNTIF(B$1:B981,B981)=1,MAX(A$1:A980)+1,"")</f>
        <v/>
      </c>
      <c r="B981" s="11"/>
      <c r="C981" s="11" t="str">
        <f>IF(COUNTIF(D$1:D981,D981)=1,MAX(C$1:C980)+1,"")</f>
        <v/>
      </c>
      <c r="D981" s="12"/>
    </row>
    <row r="982" spans="1:4" x14ac:dyDescent="0.25">
      <c r="A982" t="str">
        <f>IF(COUNTIF(B$1:B982,B982)=1,MAX(A$1:A981)+1,"")</f>
        <v/>
      </c>
      <c r="B982" s="11"/>
      <c r="C982" s="11" t="str">
        <f>IF(COUNTIF(D$1:D982,D982)=1,MAX(C$1:C981)+1,"")</f>
        <v/>
      </c>
      <c r="D982" s="12"/>
    </row>
    <row r="983" spans="1:4" x14ac:dyDescent="0.25">
      <c r="A983" t="str">
        <f>IF(COUNTIF(B$1:B983,B983)=1,MAX(A$1:A982)+1,"")</f>
        <v/>
      </c>
      <c r="B983" s="11"/>
      <c r="C983" s="11" t="str">
        <f>IF(COUNTIF(D$1:D983,D983)=1,MAX(C$1:C982)+1,"")</f>
        <v/>
      </c>
      <c r="D983" s="12"/>
    </row>
    <row r="984" spans="1:4" x14ac:dyDescent="0.25">
      <c r="A984" t="str">
        <f>IF(COUNTIF(B$1:B984,B984)=1,MAX(A$1:A983)+1,"")</f>
        <v/>
      </c>
      <c r="B984" s="11"/>
      <c r="C984" s="11" t="str">
        <f>IF(COUNTIF(D$1:D984,D984)=1,MAX(C$1:C983)+1,"")</f>
        <v/>
      </c>
      <c r="D984" s="12"/>
    </row>
    <row r="985" spans="1:4" x14ac:dyDescent="0.25">
      <c r="A985" t="str">
        <f>IF(COUNTIF(B$1:B985,B985)=1,MAX(A$1:A984)+1,"")</f>
        <v/>
      </c>
      <c r="B985" s="11"/>
      <c r="C985" s="11" t="str">
        <f>IF(COUNTIF(D$1:D985,D985)=1,MAX(C$1:C984)+1,"")</f>
        <v/>
      </c>
      <c r="D985" s="12"/>
    </row>
    <row r="986" spans="1:4" x14ac:dyDescent="0.25">
      <c r="A986" t="str">
        <f>IF(COUNTIF(B$1:B986,B986)=1,MAX(A$1:A985)+1,"")</f>
        <v/>
      </c>
      <c r="B986" s="11"/>
      <c r="C986" s="11" t="str">
        <f>IF(COUNTIF(D$1:D986,D986)=1,MAX(C$1:C985)+1,"")</f>
        <v/>
      </c>
      <c r="D986" s="12"/>
    </row>
    <row r="987" spans="1:4" x14ac:dyDescent="0.25">
      <c r="A987" t="str">
        <f>IF(COUNTIF(B$1:B987,B987)=1,MAX(A$1:A986)+1,"")</f>
        <v/>
      </c>
      <c r="B987" s="11"/>
      <c r="C987" s="11" t="str">
        <f>IF(COUNTIF(D$1:D987,D987)=1,MAX(C$1:C986)+1,"")</f>
        <v/>
      </c>
      <c r="D987" s="12"/>
    </row>
    <row r="988" spans="1:4" x14ac:dyDescent="0.25">
      <c r="A988" t="str">
        <f>IF(COUNTIF(B$1:B988,B988)=1,MAX(A$1:A987)+1,"")</f>
        <v/>
      </c>
      <c r="B988" s="11"/>
      <c r="C988" s="11" t="str">
        <f>IF(COUNTIF(D$1:D988,D988)=1,MAX(C$1:C987)+1,"")</f>
        <v/>
      </c>
      <c r="D988" s="12"/>
    </row>
    <row r="989" spans="1:4" x14ac:dyDescent="0.25">
      <c r="A989" t="str">
        <f>IF(COUNTIF(B$1:B989,B989)=1,MAX(A$1:A988)+1,"")</f>
        <v/>
      </c>
      <c r="B989" s="11"/>
      <c r="C989" s="11" t="str">
        <f>IF(COUNTIF(D$1:D989,D989)=1,MAX(C$1:C988)+1,"")</f>
        <v/>
      </c>
      <c r="D989" s="12"/>
    </row>
    <row r="990" spans="1:4" x14ac:dyDescent="0.25">
      <c r="A990" t="str">
        <f>IF(COUNTIF(B$1:B990,B990)=1,MAX(A$1:A989)+1,"")</f>
        <v/>
      </c>
      <c r="B990" s="11"/>
      <c r="C990" s="11" t="str">
        <f>IF(COUNTIF(D$1:D990,D990)=1,MAX(C$1:C989)+1,"")</f>
        <v/>
      </c>
      <c r="D990" s="12"/>
    </row>
    <row r="991" spans="1:4" x14ac:dyDescent="0.25">
      <c r="A991" t="str">
        <f>IF(COUNTIF(B$1:B991,B991)=1,MAX(A$1:A990)+1,"")</f>
        <v/>
      </c>
      <c r="B991" s="11"/>
      <c r="C991" s="11" t="str">
        <f>IF(COUNTIF(D$1:D991,D991)=1,MAX(C$1:C990)+1,"")</f>
        <v/>
      </c>
      <c r="D991" s="12"/>
    </row>
    <row r="992" spans="1:4" x14ac:dyDescent="0.25">
      <c r="A992" t="str">
        <f>IF(COUNTIF(B$1:B992,B992)=1,MAX(A$1:A991)+1,"")</f>
        <v/>
      </c>
      <c r="B992" s="11"/>
      <c r="C992" s="11" t="str">
        <f>IF(COUNTIF(D$1:D992,D992)=1,MAX(C$1:C991)+1,"")</f>
        <v/>
      </c>
      <c r="D992" s="12"/>
    </row>
    <row r="993" spans="1:4" x14ac:dyDescent="0.25">
      <c r="A993" t="str">
        <f>IF(COUNTIF(B$1:B993,B993)=1,MAX(A$1:A992)+1,"")</f>
        <v/>
      </c>
      <c r="B993" s="11"/>
      <c r="C993" s="11" t="str">
        <f>IF(COUNTIF(D$1:D993,D993)=1,MAX(C$1:C992)+1,"")</f>
        <v/>
      </c>
      <c r="D993" s="12"/>
    </row>
    <row r="994" spans="1:4" x14ac:dyDescent="0.25">
      <c r="A994" t="str">
        <f>IF(COUNTIF(B$1:B994,B994)=1,MAX(A$1:A993)+1,"")</f>
        <v/>
      </c>
      <c r="B994" s="11"/>
      <c r="C994" s="11" t="str">
        <f>IF(COUNTIF(D$1:D994,D994)=1,MAX(C$1:C993)+1,"")</f>
        <v/>
      </c>
      <c r="D994" s="12"/>
    </row>
    <row r="995" spans="1:4" x14ac:dyDescent="0.25">
      <c r="A995" t="str">
        <f>IF(COUNTIF(B$1:B995,B995)=1,MAX(A$1:A994)+1,"")</f>
        <v/>
      </c>
      <c r="B995" s="11"/>
      <c r="C995" s="11" t="str">
        <f>IF(COUNTIF(D$1:D995,D995)=1,MAX(C$1:C994)+1,"")</f>
        <v/>
      </c>
      <c r="D995" s="12"/>
    </row>
    <row r="996" spans="1:4" x14ac:dyDescent="0.25">
      <c r="A996" t="str">
        <f>IF(COUNTIF(B$1:B996,B996)=1,MAX(A$1:A995)+1,"")</f>
        <v/>
      </c>
      <c r="B996" s="11"/>
      <c r="C996" s="11" t="str">
        <f>IF(COUNTIF(D$1:D996,D996)=1,MAX(C$1:C995)+1,"")</f>
        <v/>
      </c>
      <c r="D996" s="12"/>
    </row>
    <row r="997" spans="1:4" x14ac:dyDescent="0.25">
      <c r="A997" t="str">
        <f>IF(COUNTIF(B$1:B997,B997)=1,MAX(A$1:A996)+1,"")</f>
        <v/>
      </c>
      <c r="B997" s="11"/>
      <c r="C997" s="11" t="str">
        <f>IF(COUNTIF(D$1:D997,D997)=1,MAX(C$1:C996)+1,"")</f>
        <v/>
      </c>
      <c r="D997" s="12"/>
    </row>
    <row r="998" spans="1:4" x14ac:dyDescent="0.25">
      <c r="A998" t="str">
        <f>IF(COUNTIF(B$1:B998,B998)=1,MAX(A$1:A997)+1,"")</f>
        <v/>
      </c>
      <c r="B998" s="11"/>
      <c r="C998" s="11" t="str">
        <f>IF(COUNTIF(D$1:D998,D998)=1,MAX(C$1:C997)+1,"")</f>
        <v/>
      </c>
      <c r="D998" s="12"/>
    </row>
    <row r="999" spans="1:4" x14ac:dyDescent="0.25">
      <c r="A999" t="str">
        <f>IF(COUNTIF(B$1:B999,B999)=1,MAX(A$1:A998)+1,"")</f>
        <v/>
      </c>
      <c r="B999" s="11"/>
      <c r="C999" s="11" t="str">
        <f>IF(COUNTIF(D$1:D999,D999)=1,MAX(C$1:C998)+1,"")</f>
        <v/>
      </c>
      <c r="D999" s="12"/>
    </row>
    <row r="1000" spans="1:4" x14ac:dyDescent="0.25">
      <c r="A1000" t="str">
        <f>IF(COUNTIF(B$1:B1000,B1000)=1,MAX(A$1:A999)+1,"")</f>
        <v/>
      </c>
      <c r="B1000" s="11"/>
      <c r="C1000" s="11" t="str">
        <f>IF(COUNTIF(D$1:D1000,D1000)=1,MAX(C$1:C999)+1,"")</f>
        <v/>
      </c>
      <c r="D1000" s="12"/>
    </row>
    <row r="1001" spans="1:4" x14ac:dyDescent="0.25">
      <c r="A1001" t="str">
        <f>IF(COUNTIF(B$1:B1001,B1001)=1,MAX(A$1:A1000)+1,"")</f>
        <v/>
      </c>
      <c r="B1001" s="11"/>
      <c r="C1001" s="11" t="str">
        <f>IF(COUNTIF(D$1:D1001,D1001)=1,MAX(C$1:C1000)+1,"")</f>
        <v/>
      </c>
      <c r="D1001" s="12"/>
    </row>
    <row r="1002" spans="1:4" x14ac:dyDescent="0.25">
      <c r="A1002" t="str">
        <f>IF(COUNTIF(B$1:B1002,B1002)=1,MAX(A$1:A1001)+1,"")</f>
        <v/>
      </c>
      <c r="B1002" s="11"/>
      <c r="C1002" s="11" t="str">
        <f>IF(COUNTIF(D$1:D1002,D1002)=1,MAX(C$1:C1001)+1,"")</f>
        <v/>
      </c>
      <c r="D1002" s="12"/>
    </row>
    <row r="1003" spans="1:4" x14ac:dyDescent="0.25">
      <c r="A1003" t="str">
        <f>IF(COUNTIF(B$1:B1003,B1003)=1,MAX(A$1:A1002)+1,"")</f>
        <v/>
      </c>
      <c r="B1003" s="11"/>
      <c r="C1003" s="11" t="str">
        <f>IF(COUNTIF(D$1:D1003,D1003)=1,MAX(C$1:C1002)+1,"")</f>
        <v/>
      </c>
      <c r="D1003" s="12"/>
    </row>
    <row r="1004" spans="1:4" x14ac:dyDescent="0.25">
      <c r="A1004" t="str">
        <f>IF(COUNTIF(B$1:B1004,B1004)=1,MAX(A$1:A1003)+1,"")</f>
        <v/>
      </c>
      <c r="B1004" s="11"/>
      <c r="C1004" s="11" t="str">
        <f>IF(COUNTIF(D$1:D1004,D1004)=1,MAX(C$1:C1003)+1,"")</f>
        <v/>
      </c>
      <c r="D1004" s="12"/>
    </row>
    <row r="1005" spans="1:4" x14ac:dyDescent="0.25">
      <c r="A1005" t="str">
        <f>IF(COUNTIF(B$1:B1005,B1005)=1,MAX(A$1:A1004)+1,"")</f>
        <v/>
      </c>
      <c r="B1005" s="11"/>
      <c r="C1005" s="11" t="str">
        <f>IF(COUNTIF(D$1:D1005,D1005)=1,MAX(C$1:C1004)+1,"")</f>
        <v/>
      </c>
      <c r="D1005" s="12"/>
    </row>
    <row r="1006" spans="1:4" x14ac:dyDescent="0.25">
      <c r="A1006" t="str">
        <f>IF(COUNTIF(B$1:B1006,B1006)=1,MAX(A$1:A1005)+1,"")</f>
        <v/>
      </c>
      <c r="B1006" s="11"/>
      <c r="C1006" s="11" t="str">
        <f>IF(COUNTIF(D$1:D1006,D1006)=1,MAX(C$1:C1005)+1,"")</f>
        <v/>
      </c>
      <c r="D1006" s="12"/>
    </row>
    <row r="1007" spans="1:4" x14ac:dyDescent="0.25">
      <c r="A1007" t="str">
        <f>IF(COUNTIF(B$1:B1007,B1007)=1,MAX(A$1:A1006)+1,"")</f>
        <v/>
      </c>
      <c r="B1007" s="11"/>
      <c r="C1007" s="11" t="str">
        <f>IF(COUNTIF(D$1:D1007,D1007)=1,MAX(C$1:C1006)+1,"")</f>
        <v/>
      </c>
      <c r="D1007" s="12"/>
    </row>
    <row r="1008" spans="1:4" x14ac:dyDescent="0.25">
      <c r="A1008" t="str">
        <f>IF(COUNTIF(B$1:B1008,B1008)=1,MAX(A$1:A1007)+1,"")</f>
        <v/>
      </c>
      <c r="B1008" s="11"/>
      <c r="C1008" s="11" t="str">
        <f>IF(COUNTIF(D$1:D1008,D1008)=1,MAX(C$1:C1007)+1,"")</f>
        <v/>
      </c>
      <c r="D1008" s="12"/>
    </row>
    <row r="1009" spans="1:4" x14ac:dyDescent="0.25">
      <c r="A1009" t="str">
        <f>IF(COUNTIF(B$1:B1009,B1009)=1,MAX(A$1:A1008)+1,"")</f>
        <v/>
      </c>
      <c r="B1009" s="11"/>
      <c r="C1009" s="11" t="str">
        <f>IF(COUNTIF(D$1:D1009,D1009)=1,MAX(C$1:C1008)+1,"")</f>
        <v/>
      </c>
      <c r="D1009" s="12"/>
    </row>
    <row r="1010" spans="1:4" x14ac:dyDescent="0.25">
      <c r="A1010" t="str">
        <f>IF(COUNTIF(B$1:B1010,B1010)=1,MAX(A$1:A1009)+1,"")</f>
        <v/>
      </c>
      <c r="B1010" s="11"/>
      <c r="C1010" s="11" t="str">
        <f>IF(COUNTIF(D$1:D1010,D1010)=1,MAX(C$1:C1009)+1,"")</f>
        <v/>
      </c>
      <c r="D1010" s="12"/>
    </row>
    <row r="1011" spans="1:4" x14ac:dyDescent="0.25">
      <c r="A1011" t="str">
        <f>IF(COUNTIF(B$1:B1011,B1011)=1,MAX(A$1:A1010)+1,"")</f>
        <v/>
      </c>
      <c r="B1011" s="11"/>
      <c r="C1011" s="11" t="str">
        <f>IF(COUNTIF(D$1:D1011,D1011)=1,MAX(C$1:C1010)+1,"")</f>
        <v/>
      </c>
      <c r="D1011" s="12"/>
    </row>
    <row r="1012" spans="1:4" x14ac:dyDescent="0.25">
      <c r="A1012" t="str">
        <f>IF(COUNTIF(B$1:B1012,B1012)=1,MAX(A$1:A1011)+1,"")</f>
        <v/>
      </c>
      <c r="B1012" s="11"/>
      <c r="C1012" s="11" t="str">
        <f>IF(COUNTIF(D$1:D1012,D1012)=1,MAX(C$1:C1011)+1,"")</f>
        <v/>
      </c>
      <c r="D1012" s="12"/>
    </row>
    <row r="1013" spans="1:4" x14ac:dyDescent="0.25">
      <c r="A1013" t="str">
        <f>IF(COUNTIF(B$1:B1013,B1013)=1,MAX(A$1:A1012)+1,"")</f>
        <v/>
      </c>
      <c r="B1013" s="11"/>
      <c r="C1013" s="11" t="str">
        <f>IF(COUNTIF(D$1:D1013,D1013)=1,MAX(C$1:C1012)+1,"")</f>
        <v/>
      </c>
      <c r="D1013" s="12"/>
    </row>
    <row r="1014" spans="1:4" x14ac:dyDescent="0.25">
      <c r="A1014" t="str">
        <f>IF(COUNTIF(B$1:B1014,B1014)=1,MAX(A$1:A1013)+1,"")</f>
        <v/>
      </c>
      <c r="B1014" s="11"/>
      <c r="C1014" s="11" t="str">
        <f>IF(COUNTIF(D$1:D1014,D1014)=1,MAX(C$1:C1013)+1,"")</f>
        <v/>
      </c>
      <c r="D1014" s="12"/>
    </row>
    <row r="1015" spans="1:4" x14ac:dyDescent="0.25">
      <c r="A1015" t="str">
        <f>IF(COUNTIF(B$1:B1015,B1015)=1,MAX(A$1:A1014)+1,"")</f>
        <v/>
      </c>
      <c r="B1015" s="11"/>
      <c r="C1015" s="11" t="str">
        <f>IF(COUNTIF(D$1:D1015,D1015)=1,MAX(C$1:C1014)+1,"")</f>
        <v/>
      </c>
      <c r="D1015" s="12"/>
    </row>
    <row r="1016" spans="1:4" x14ac:dyDescent="0.25">
      <c r="A1016" t="str">
        <f>IF(COUNTIF(B$1:B1016,B1016)=1,MAX(A$1:A1015)+1,"")</f>
        <v/>
      </c>
      <c r="B1016" s="11"/>
      <c r="C1016" s="11" t="str">
        <f>IF(COUNTIF(D$1:D1016,D1016)=1,MAX(C$1:C1015)+1,"")</f>
        <v/>
      </c>
      <c r="D1016" s="12"/>
    </row>
    <row r="1017" spans="1:4" x14ac:dyDescent="0.25">
      <c r="A1017" t="str">
        <f>IF(COUNTIF(B$1:B1017,B1017)=1,MAX(A$1:A1016)+1,"")</f>
        <v/>
      </c>
      <c r="B1017" s="11"/>
      <c r="C1017" s="11" t="str">
        <f>IF(COUNTIF(D$1:D1017,D1017)=1,MAX(C$1:C1016)+1,"")</f>
        <v/>
      </c>
      <c r="D1017" s="12"/>
    </row>
    <row r="1018" spans="1:4" x14ac:dyDescent="0.25">
      <c r="A1018" t="str">
        <f>IF(COUNTIF(B$1:B1018,B1018)=1,MAX(A$1:A1017)+1,"")</f>
        <v/>
      </c>
      <c r="B1018" s="11"/>
      <c r="C1018" s="11" t="str">
        <f>IF(COUNTIF(D$1:D1018,D1018)=1,MAX(C$1:C1017)+1,"")</f>
        <v/>
      </c>
      <c r="D1018" s="12"/>
    </row>
    <row r="1019" spans="1:4" x14ac:dyDescent="0.25">
      <c r="A1019" t="str">
        <f>IF(COUNTIF(B$1:B1019,B1019)=1,MAX(A$1:A1018)+1,"")</f>
        <v/>
      </c>
      <c r="B1019" s="11"/>
      <c r="C1019" s="11" t="str">
        <f>IF(COUNTIF(D$1:D1019,D1019)=1,MAX(C$1:C1018)+1,"")</f>
        <v/>
      </c>
      <c r="D1019" s="12"/>
    </row>
    <row r="1020" spans="1:4" x14ac:dyDescent="0.25">
      <c r="A1020" t="str">
        <f>IF(COUNTIF(B$1:B1020,B1020)=1,MAX(A$1:A1019)+1,"")</f>
        <v/>
      </c>
      <c r="B1020" s="11"/>
      <c r="C1020" s="11" t="str">
        <f>IF(COUNTIF(D$1:D1020,D1020)=1,MAX(C$1:C1019)+1,"")</f>
        <v/>
      </c>
      <c r="D1020" s="12"/>
    </row>
    <row r="1021" spans="1:4" x14ac:dyDescent="0.25">
      <c r="A1021" t="str">
        <f>IF(COUNTIF(B$1:B1021,B1021)=1,MAX(A$1:A1020)+1,"")</f>
        <v/>
      </c>
      <c r="B1021" s="11"/>
      <c r="C1021" s="11" t="str">
        <f>IF(COUNTIF(D$1:D1021,D1021)=1,MAX(C$1:C1020)+1,"")</f>
        <v/>
      </c>
      <c r="D1021" s="12"/>
    </row>
    <row r="1022" spans="1:4" x14ac:dyDescent="0.25">
      <c r="A1022" t="str">
        <f>IF(COUNTIF(B$1:B1022,B1022)=1,MAX(A$1:A1021)+1,"")</f>
        <v/>
      </c>
      <c r="B1022" s="11"/>
      <c r="C1022" s="11" t="str">
        <f>IF(COUNTIF(D$1:D1022,D1022)=1,MAX(C$1:C1021)+1,"")</f>
        <v/>
      </c>
      <c r="D1022" s="12"/>
    </row>
    <row r="1023" spans="1:4" x14ac:dyDescent="0.25">
      <c r="A1023" t="str">
        <f>IF(COUNTIF(B$1:B1023,B1023)=1,MAX(A$1:A1022)+1,"")</f>
        <v/>
      </c>
      <c r="B1023" s="11"/>
      <c r="C1023" s="11" t="str">
        <f>IF(COUNTIF(D$1:D1023,D1023)=1,MAX(C$1:C1022)+1,"")</f>
        <v/>
      </c>
      <c r="D1023" s="12"/>
    </row>
    <row r="1024" spans="1:4" x14ac:dyDescent="0.25">
      <c r="A1024" t="str">
        <f>IF(COUNTIF(B$1:B1024,B1024)=1,MAX(A$1:A1023)+1,"")</f>
        <v/>
      </c>
      <c r="B1024" s="11"/>
      <c r="C1024" s="11" t="str">
        <f>IF(COUNTIF(D$1:D1024,D1024)=1,MAX(C$1:C1023)+1,"")</f>
        <v/>
      </c>
      <c r="D1024" s="12"/>
    </row>
    <row r="1025" spans="1:4" x14ac:dyDescent="0.25">
      <c r="A1025" t="str">
        <f>IF(COUNTIF(B$1:B1025,B1025)=1,MAX(A$1:A1024)+1,"")</f>
        <v/>
      </c>
      <c r="B1025" s="11"/>
      <c r="C1025" s="11" t="str">
        <f>IF(COUNTIF(D$1:D1025,D1025)=1,MAX(C$1:C1024)+1,"")</f>
        <v/>
      </c>
      <c r="D1025" s="12"/>
    </row>
    <row r="1026" spans="1:4" x14ac:dyDescent="0.25">
      <c r="A1026" t="str">
        <f>IF(COUNTIF(B$1:B1026,B1026)=1,MAX(A$1:A1025)+1,"")</f>
        <v/>
      </c>
      <c r="B1026" s="11"/>
      <c r="C1026" s="11" t="str">
        <f>IF(COUNTIF(D$1:D1026,D1026)=1,MAX(C$1:C1025)+1,"")</f>
        <v/>
      </c>
      <c r="D1026" s="12"/>
    </row>
    <row r="1027" spans="1:4" x14ac:dyDescent="0.25">
      <c r="A1027" t="str">
        <f>IF(COUNTIF(B$1:B1027,B1027)=1,MAX(A$1:A1026)+1,"")</f>
        <v/>
      </c>
      <c r="B1027" s="11"/>
      <c r="C1027" s="11" t="str">
        <f>IF(COUNTIF(D$1:D1027,D1027)=1,MAX(C$1:C1026)+1,"")</f>
        <v/>
      </c>
      <c r="D1027" s="12"/>
    </row>
    <row r="1028" spans="1:4" x14ac:dyDescent="0.25">
      <c r="A1028" t="str">
        <f>IF(COUNTIF(B$1:B1028,B1028)=1,MAX(A$1:A1027)+1,"")</f>
        <v/>
      </c>
      <c r="B1028" s="11"/>
      <c r="C1028" s="11" t="str">
        <f>IF(COUNTIF(D$1:D1028,D1028)=1,MAX(C$1:C1027)+1,"")</f>
        <v/>
      </c>
      <c r="D1028" s="12"/>
    </row>
    <row r="1029" spans="1:4" x14ac:dyDescent="0.25">
      <c r="A1029" t="str">
        <f>IF(COUNTIF(B$1:B1029,B1029)=1,MAX(A$1:A1028)+1,"")</f>
        <v/>
      </c>
      <c r="B1029" s="11"/>
      <c r="C1029" s="11" t="str">
        <f>IF(COUNTIF(D$1:D1029,D1029)=1,MAX(C$1:C1028)+1,"")</f>
        <v/>
      </c>
      <c r="D1029" s="12"/>
    </row>
    <row r="1030" spans="1:4" x14ac:dyDescent="0.25">
      <c r="A1030" t="str">
        <f>IF(COUNTIF(B$1:B1030,B1030)=1,MAX(A$1:A1029)+1,"")</f>
        <v/>
      </c>
      <c r="B1030" s="11"/>
      <c r="C1030" s="11" t="str">
        <f>IF(COUNTIF(D$1:D1030,D1030)=1,MAX(C$1:C1029)+1,"")</f>
        <v/>
      </c>
      <c r="D1030" s="12"/>
    </row>
    <row r="1031" spans="1:4" x14ac:dyDescent="0.25">
      <c r="A1031" t="str">
        <f>IF(COUNTIF(B$1:B1031,B1031)=1,MAX(A$1:A1030)+1,"")</f>
        <v/>
      </c>
      <c r="B1031" s="11"/>
      <c r="C1031" s="11" t="str">
        <f>IF(COUNTIF(D$1:D1031,D1031)=1,MAX(C$1:C1030)+1,"")</f>
        <v/>
      </c>
      <c r="D1031" s="12"/>
    </row>
    <row r="1032" spans="1:4" x14ac:dyDescent="0.25">
      <c r="A1032" t="str">
        <f>IF(COUNTIF(B$1:B1032,B1032)=1,MAX(A$1:A1031)+1,"")</f>
        <v/>
      </c>
      <c r="B1032" s="11"/>
      <c r="C1032" s="11" t="str">
        <f>IF(COUNTIF(D$1:D1032,D1032)=1,MAX(C$1:C1031)+1,"")</f>
        <v/>
      </c>
      <c r="D1032" s="12"/>
    </row>
    <row r="1033" spans="1:4" x14ac:dyDescent="0.25">
      <c r="A1033" t="str">
        <f>IF(COUNTIF(B$1:B1033,B1033)=1,MAX(A$1:A1032)+1,"")</f>
        <v/>
      </c>
      <c r="B1033" s="11"/>
      <c r="C1033" s="11" t="str">
        <f>IF(COUNTIF(D$1:D1033,D1033)=1,MAX(C$1:C1032)+1,"")</f>
        <v/>
      </c>
      <c r="D1033" s="12"/>
    </row>
    <row r="1034" spans="1:4" x14ac:dyDescent="0.25">
      <c r="A1034" t="str">
        <f>IF(COUNTIF(B$1:B1034,B1034)=1,MAX(A$1:A1033)+1,"")</f>
        <v/>
      </c>
      <c r="B1034" s="11"/>
      <c r="C1034" s="11" t="str">
        <f>IF(COUNTIF(D$1:D1034,D1034)=1,MAX(C$1:C1033)+1,"")</f>
        <v/>
      </c>
      <c r="D1034" s="12"/>
    </row>
    <row r="1035" spans="1:4" x14ac:dyDescent="0.25">
      <c r="A1035" t="str">
        <f>IF(COUNTIF(B$1:B1035,B1035)=1,MAX(A$1:A1034)+1,"")</f>
        <v/>
      </c>
      <c r="B1035" s="11"/>
      <c r="C1035" s="11" t="str">
        <f>IF(COUNTIF(D$1:D1035,D1035)=1,MAX(C$1:C1034)+1,"")</f>
        <v/>
      </c>
      <c r="D1035" s="12"/>
    </row>
    <row r="1036" spans="1:4" x14ac:dyDescent="0.25">
      <c r="A1036" t="str">
        <f>IF(COUNTIF(B$1:B1036,B1036)=1,MAX(A$1:A1035)+1,"")</f>
        <v/>
      </c>
      <c r="B1036" s="11"/>
      <c r="C1036" s="11" t="str">
        <f>IF(COUNTIF(D$1:D1036,D1036)=1,MAX(C$1:C1035)+1,"")</f>
        <v/>
      </c>
      <c r="D1036" s="12"/>
    </row>
    <row r="1037" spans="1:4" x14ac:dyDescent="0.25">
      <c r="A1037" t="str">
        <f>IF(COUNTIF(B$1:B1037,B1037)=1,MAX(A$1:A1036)+1,"")</f>
        <v/>
      </c>
      <c r="B1037" s="11"/>
      <c r="C1037" s="11" t="str">
        <f>IF(COUNTIF(D$1:D1037,D1037)=1,MAX(C$1:C1036)+1,"")</f>
        <v/>
      </c>
      <c r="D1037" s="12"/>
    </row>
    <row r="1038" spans="1:4" x14ac:dyDescent="0.25">
      <c r="A1038" t="str">
        <f>IF(COUNTIF(B$1:B1038,B1038)=1,MAX(A$1:A1037)+1,"")</f>
        <v/>
      </c>
      <c r="B1038" s="11"/>
      <c r="C1038" s="11" t="str">
        <f>IF(COUNTIF(D$1:D1038,D1038)=1,MAX(C$1:C1037)+1,"")</f>
        <v/>
      </c>
      <c r="D1038" s="12"/>
    </row>
    <row r="1039" spans="1:4" x14ac:dyDescent="0.25">
      <c r="A1039" t="str">
        <f>IF(COUNTIF(B$1:B1039,B1039)=1,MAX(A$1:A1038)+1,"")</f>
        <v/>
      </c>
      <c r="B1039" s="11"/>
      <c r="C1039" s="11" t="str">
        <f>IF(COUNTIF(D$1:D1039,D1039)=1,MAX(C$1:C1038)+1,"")</f>
        <v/>
      </c>
      <c r="D1039" s="12"/>
    </row>
    <row r="1040" spans="1:4" x14ac:dyDescent="0.25">
      <c r="A1040" t="str">
        <f>IF(COUNTIF(B$1:B1040,B1040)=1,MAX(A$1:A1039)+1,"")</f>
        <v/>
      </c>
      <c r="B1040" s="11"/>
      <c r="C1040" s="11" t="str">
        <f>IF(COUNTIF(D$1:D1040,D1040)=1,MAX(C$1:C1039)+1,"")</f>
        <v/>
      </c>
      <c r="D1040" s="12"/>
    </row>
    <row r="1041" spans="1:4" x14ac:dyDescent="0.25">
      <c r="A1041" t="str">
        <f>IF(COUNTIF(B$1:B1041,B1041)=1,MAX(A$1:A1040)+1,"")</f>
        <v/>
      </c>
      <c r="B1041" s="11"/>
      <c r="C1041" s="11" t="str">
        <f>IF(COUNTIF(D$1:D1041,D1041)=1,MAX(C$1:C1040)+1,"")</f>
        <v/>
      </c>
      <c r="D1041" s="12"/>
    </row>
    <row r="1042" spans="1:4" x14ac:dyDescent="0.25">
      <c r="A1042" t="str">
        <f>IF(COUNTIF(B$1:B1042,B1042)=1,MAX(A$1:A1041)+1,"")</f>
        <v/>
      </c>
      <c r="B1042" s="11"/>
      <c r="C1042" s="11" t="str">
        <f>IF(COUNTIF(D$1:D1042,D1042)=1,MAX(C$1:C1041)+1,"")</f>
        <v/>
      </c>
      <c r="D1042" s="12"/>
    </row>
    <row r="1043" spans="1:4" x14ac:dyDescent="0.25">
      <c r="A1043" t="str">
        <f>IF(COUNTIF(B$1:B1043,B1043)=1,MAX(A$1:A1042)+1,"")</f>
        <v/>
      </c>
      <c r="B1043" s="11"/>
      <c r="C1043" s="11" t="str">
        <f>IF(COUNTIF(D$1:D1043,D1043)=1,MAX(C$1:C1042)+1,"")</f>
        <v/>
      </c>
      <c r="D1043" s="12"/>
    </row>
    <row r="1044" spans="1:4" x14ac:dyDescent="0.25">
      <c r="A1044" t="str">
        <f>IF(COUNTIF(B$1:B1044,B1044)=1,MAX(A$1:A1043)+1,"")</f>
        <v/>
      </c>
      <c r="B1044" s="11"/>
      <c r="C1044" s="11" t="str">
        <f>IF(COUNTIF(D$1:D1044,D1044)=1,MAX(C$1:C1043)+1,"")</f>
        <v/>
      </c>
      <c r="D1044" s="12"/>
    </row>
    <row r="1045" spans="1:4" x14ac:dyDescent="0.25">
      <c r="A1045" t="str">
        <f>IF(COUNTIF(B$1:B1045,B1045)=1,MAX(A$1:A1044)+1,"")</f>
        <v/>
      </c>
      <c r="B1045" s="11"/>
      <c r="C1045" s="11" t="str">
        <f>IF(COUNTIF(D$1:D1045,D1045)=1,MAX(C$1:C1044)+1,"")</f>
        <v/>
      </c>
      <c r="D1045" s="12"/>
    </row>
    <row r="1046" spans="1:4" x14ac:dyDescent="0.25">
      <c r="A1046" t="str">
        <f>IF(COUNTIF(B$1:B1046,B1046)=1,MAX(A$1:A1045)+1,"")</f>
        <v/>
      </c>
      <c r="B1046" s="11"/>
      <c r="C1046" s="11" t="str">
        <f>IF(COUNTIF(D$1:D1046,D1046)=1,MAX(C$1:C1045)+1,"")</f>
        <v/>
      </c>
      <c r="D1046" s="12"/>
    </row>
    <row r="1047" spans="1:4" x14ac:dyDescent="0.25">
      <c r="A1047" t="str">
        <f>IF(COUNTIF(B$1:B1047,B1047)=1,MAX(A$1:A1046)+1,"")</f>
        <v/>
      </c>
      <c r="B1047" s="11"/>
      <c r="C1047" s="11" t="str">
        <f>IF(COUNTIF(D$1:D1047,D1047)=1,MAX(C$1:C1046)+1,"")</f>
        <v/>
      </c>
      <c r="D1047" s="12"/>
    </row>
    <row r="1048" spans="1:4" x14ac:dyDescent="0.25">
      <c r="A1048" t="str">
        <f>IF(COUNTIF(B$1:B1048,B1048)=1,MAX(A$1:A1047)+1,"")</f>
        <v/>
      </c>
      <c r="B1048" s="11"/>
      <c r="C1048" s="11" t="str">
        <f>IF(COUNTIF(D$1:D1048,D1048)=1,MAX(C$1:C1047)+1,"")</f>
        <v/>
      </c>
      <c r="D1048" s="12"/>
    </row>
    <row r="1049" spans="1:4" x14ac:dyDescent="0.25">
      <c r="A1049" t="str">
        <f>IF(COUNTIF(B$1:B1049,B1049)=1,MAX(A$1:A1048)+1,"")</f>
        <v/>
      </c>
      <c r="B1049" s="11"/>
      <c r="C1049" s="11" t="str">
        <f>IF(COUNTIF(D$1:D1049,D1049)=1,MAX(C$1:C1048)+1,"")</f>
        <v/>
      </c>
      <c r="D1049" s="12"/>
    </row>
    <row r="1050" spans="1:4" x14ac:dyDescent="0.25">
      <c r="A1050" t="str">
        <f>IF(COUNTIF(B$1:B1050,B1050)=1,MAX(A$1:A1049)+1,"")</f>
        <v/>
      </c>
      <c r="B1050" s="11"/>
      <c r="C1050" s="11" t="str">
        <f>IF(COUNTIF(D$1:D1050,D1050)=1,MAX(C$1:C1049)+1,"")</f>
        <v/>
      </c>
      <c r="D1050" s="12"/>
    </row>
    <row r="1051" spans="1:4" x14ac:dyDescent="0.25">
      <c r="A1051" t="str">
        <f>IF(COUNTIF(B$1:B1051,B1051)=1,MAX(A$1:A1050)+1,"")</f>
        <v/>
      </c>
      <c r="B1051" s="11"/>
      <c r="C1051" s="11" t="str">
        <f>IF(COUNTIF(D$1:D1051,D1051)=1,MAX(C$1:C1050)+1,"")</f>
        <v/>
      </c>
      <c r="D1051" s="12"/>
    </row>
    <row r="1052" spans="1:4" x14ac:dyDescent="0.25">
      <c r="A1052" t="str">
        <f>IF(COUNTIF(B$1:B1052,B1052)=1,MAX(A$1:A1051)+1,"")</f>
        <v/>
      </c>
      <c r="B1052" s="11"/>
      <c r="C1052" s="11" t="str">
        <f>IF(COUNTIF(D$1:D1052,D1052)=1,MAX(C$1:C1051)+1,"")</f>
        <v/>
      </c>
      <c r="D1052" s="12"/>
    </row>
    <row r="1053" spans="1:4" x14ac:dyDescent="0.25">
      <c r="A1053" t="str">
        <f>IF(COUNTIF(B$1:B1053,B1053)=1,MAX(A$1:A1052)+1,"")</f>
        <v/>
      </c>
      <c r="B1053" s="11"/>
      <c r="C1053" s="11" t="str">
        <f>IF(COUNTIF(D$1:D1053,D1053)=1,MAX(C$1:C1052)+1,"")</f>
        <v/>
      </c>
      <c r="D1053" s="12"/>
    </row>
    <row r="1054" spans="1:4" x14ac:dyDescent="0.25">
      <c r="A1054" t="str">
        <f>IF(COUNTIF(B$1:B1054,B1054)=1,MAX(A$1:A1053)+1,"")</f>
        <v/>
      </c>
      <c r="B1054" s="11"/>
      <c r="C1054" s="11" t="str">
        <f>IF(COUNTIF(D$1:D1054,D1054)=1,MAX(C$1:C1053)+1,"")</f>
        <v/>
      </c>
      <c r="D1054" s="12"/>
    </row>
    <row r="1055" spans="1:4" x14ac:dyDescent="0.25">
      <c r="A1055" t="str">
        <f>IF(COUNTIF(B$1:B1055,B1055)=1,MAX(A$1:A1054)+1,"")</f>
        <v/>
      </c>
      <c r="B1055" s="11"/>
      <c r="C1055" s="11" t="str">
        <f>IF(COUNTIF(D$1:D1055,D1055)=1,MAX(C$1:C1054)+1,"")</f>
        <v/>
      </c>
      <c r="D1055" s="12"/>
    </row>
    <row r="1056" spans="1:4" x14ac:dyDescent="0.25">
      <c r="A1056" t="str">
        <f>IF(COUNTIF(B$1:B1056,B1056)=1,MAX(A$1:A1055)+1,"")</f>
        <v/>
      </c>
      <c r="B1056" s="11"/>
      <c r="C1056" s="11" t="str">
        <f>IF(COUNTIF(D$1:D1056,D1056)=1,MAX(C$1:C1055)+1,"")</f>
        <v/>
      </c>
      <c r="D1056" s="12"/>
    </row>
    <row r="1057" spans="1:4" x14ac:dyDescent="0.25">
      <c r="A1057" t="str">
        <f>IF(COUNTIF(B$1:B1057,B1057)=1,MAX(A$1:A1056)+1,"")</f>
        <v/>
      </c>
      <c r="B1057" s="11"/>
      <c r="C1057" s="11" t="str">
        <f>IF(COUNTIF(D$1:D1057,D1057)=1,MAX(C$1:C1056)+1,"")</f>
        <v/>
      </c>
      <c r="D1057" s="12"/>
    </row>
    <row r="1058" spans="1:4" x14ac:dyDescent="0.25">
      <c r="A1058" t="str">
        <f>IF(COUNTIF(B$1:B1058,B1058)=1,MAX(A$1:A1057)+1,"")</f>
        <v/>
      </c>
      <c r="B1058" s="11"/>
      <c r="C1058" s="11" t="str">
        <f>IF(COUNTIF(D$1:D1058,D1058)=1,MAX(C$1:C1057)+1,"")</f>
        <v/>
      </c>
      <c r="D1058" s="12"/>
    </row>
    <row r="1059" spans="1:4" x14ac:dyDescent="0.25">
      <c r="A1059" t="str">
        <f>IF(COUNTIF(B$1:B1059,B1059)=1,MAX(A$1:A1058)+1,"")</f>
        <v/>
      </c>
      <c r="B1059" s="11"/>
      <c r="C1059" s="11" t="str">
        <f>IF(COUNTIF(D$1:D1059,D1059)=1,MAX(C$1:C1058)+1,"")</f>
        <v/>
      </c>
      <c r="D1059" s="12"/>
    </row>
    <row r="1060" spans="1:4" x14ac:dyDescent="0.25">
      <c r="A1060" t="str">
        <f>IF(COUNTIF(B$1:B1060,B1060)=1,MAX(A$1:A1059)+1,"")</f>
        <v/>
      </c>
      <c r="B1060" s="11"/>
      <c r="C1060" s="11" t="str">
        <f>IF(COUNTIF(D$1:D1060,D1060)=1,MAX(C$1:C1059)+1,"")</f>
        <v/>
      </c>
      <c r="D1060" s="12"/>
    </row>
    <row r="1061" spans="1:4" x14ac:dyDescent="0.25">
      <c r="A1061" t="str">
        <f>IF(COUNTIF(B$1:B1061,B1061)=1,MAX(A$1:A1060)+1,"")</f>
        <v/>
      </c>
      <c r="B1061" s="11"/>
      <c r="C1061" s="11" t="str">
        <f>IF(COUNTIF(D$1:D1061,D1061)=1,MAX(C$1:C1060)+1,"")</f>
        <v/>
      </c>
      <c r="D1061" s="12"/>
    </row>
    <row r="1062" spans="1:4" x14ac:dyDescent="0.25">
      <c r="A1062" t="str">
        <f>IF(COUNTIF(B$1:B1062,B1062)=1,MAX(A$1:A1061)+1,"")</f>
        <v/>
      </c>
      <c r="B1062" s="11"/>
      <c r="C1062" s="11" t="str">
        <f>IF(COUNTIF(D$1:D1062,D1062)=1,MAX(C$1:C1061)+1,"")</f>
        <v/>
      </c>
      <c r="D1062" s="12"/>
    </row>
    <row r="1063" spans="1:4" x14ac:dyDescent="0.25">
      <c r="A1063" t="str">
        <f>IF(COUNTIF(B$1:B1063,B1063)=1,MAX(A$1:A1062)+1,"")</f>
        <v/>
      </c>
      <c r="B1063" s="11"/>
      <c r="C1063" s="11" t="str">
        <f>IF(COUNTIF(D$1:D1063,D1063)=1,MAX(C$1:C1062)+1,"")</f>
        <v/>
      </c>
      <c r="D1063" s="12"/>
    </row>
    <row r="1064" spans="1:4" x14ac:dyDescent="0.25">
      <c r="A1064" t="str">
        <f>IF(COUNTIF(B$1:B1064,B1064)=1,MAX(A$1:A1063)+1,"")</f>
        <v/>
      </c>
      <c r="B1064" s="11"/>
      <c r="C1064" s="11" t="str">
        <f>IF(COUNTIF(D$1:D1064,D1064)=1,MAX(C$1:C1063)+1,"")</f>
        <v/>
      </c>
      <c r="D1064" s="12"/>
    </row>
    <row r="1065" spans="1:4" x14ac:dyDescent="0.25">
      <c r="A1065" t="str">
        <f>IF(COUNTIF(B$1:B1065,B1065)=1,MAX(A$1:A1064)+1,"")</f>
        <v/>
      </c>
      <c r="B1065" s="11"/>
      <c r="C1065" s="11" t="str">
        <f>IF(COUNTIF(D$1:D1065,D1065)=1,MAX(C$1:C1064)+1,"")</f>
        <v/>
      </c>
      <c r="D1065" s="12"/>
    </row>
    <row r="1066" spans="1:4" x14ac:dyDescent="0.25">
      <c r="A1066" t="str">
        <f>IF(COUNTIF(B$1:B1066,B1066)=1,MAX(A$1:A1065)+1,"")</f>
        <v/>
      </c>
      <c r="B1066" s="11"/>
      <c r="C1066" s="11" t="str">
        <f>IF(COUNTIF(D$1:D1066,D1066)=1,MAX(C$1:C1065)+1,"")</f>
        <v/>
      </c>
      <c r="D1066" s="12"/>
    </row>
    <row r="1067" spans="1:4" x14ac:dyDescent="0.25">
      <c r="A1067" t="str">
        <f>IF(COUNTIF(B$1:B1067,B1067)=1,MAX(A$1:A1066)+1,"")</f>
        <v/>
      </c>
      <c r="B1067" s="11"/>
      <c r="C1067" s="11" t="str">
        <f>IF(COUNTIF(D$1:D1067,D1067)=1,MAX(C$1:C1066)+1,"")</f>
        <v/>
      </c>
      <c r="D1067" s="12"/>
    </row>
    <row r="1068" spans="1:4" x14ac:dyDescent="0.25">
      <c r="A1068" t="str">
        <f>IF(COUNTIF(B$1:B1068,B1068)=1,MAX(A$1:A1067)+1,"")</f>
        <v/>
      </c>
      <c r="B1068" s="11"/>
      <c r="C1068" s="11" t="str">
        <f>IF(COUNTIF(D$1:D1068,D1068)=1,MAX(C$1:C1067)+1,"")</f>
        <v/>
      </c>
      <c r="D1068" s="12"/>
    </row>
    <row r="1069" spans="1:4" x14ac:dyDescent="0.25">
      <c r="A1069" t="str">
        <f>IF(COUNTIF(B$1:B1069,B1069)=1,MAX(A$1:A1068)+1,"")</f>
        <v/>
      </c>
      <c r="B1069" s="11"/>
      <c r="C1069" s="11" t="str">
        <f>IF(COUNTIF(D$1:D1069,D1069)=1,MAX(C$1:C1068)+1,"")</f>
        <v/>
      </c>
      <c r="D1069" s="12"/>
    </row>
    <row r="1070" spans="1:4" x14ac:dyDescent="0.25">
      <c r="A1070" t="str">
        <f>IF(COUNTIF(B$1:B1070,B1070)=1,MAX(A$1:A1069)+1,"")</f>
        <v/>
      </c>
      <c r="B1070" s="11"/>
      <c r="C1070" s="11" t="str">
        <f>IF(COUNTIF(D$1:D1070,D1070)=1,MAX(C$1:C1069)+1,"")</f>
        <v/>
      </c>
      <c r="D1070" s="12"/>
    </row>
    <row r="1071" spans="1:4" x14ac:dyDescent="0.25">
      <c r="A1071" t="str">
        <f>IF(COUNTIF(B$1:B1071,B1071)=1,MAX(A$1:A1070)+1,"")</f>
        <v/>
      </c>
      <c r="B1071" s="11"/>
      <c r="C1071" s="11" t="str">
        <f>IF(COUNTIF(D$1:D1071,D1071)=1,MAX(C$1:C1070)+1,"")</f>
        <v/>
      </c>
      <c r="D1071" s="12"/>
    </row>
    <row r="1072" spans="1:4" x14ac:dyDescent="0.25">
      <c r="A1072" t="str">
        <f>IF(COUNTIF(B$1:B1072,B1072)=1,MAX(A$1:A1071)+1,"")</f>
        <v/>
      </c>
      <c r="B1072" s="11"/>
      <c r="C1072" s="11" t="str">
        <f>IF(COUNTIF(D$1:D1072,D1072)=1,MAX(C$1:C1071)+1,"")</f>
        <v/>
      </c>
      <c r="D1072" s="12"/>
    </row>
    <row r="1073" spans="1:4" x14ac:dyDescent="0.25">
      <c r="A1073" t="str">
        <f>IF(COUNTIF(B$1:B1073,B1073)=1,MAX(A$1:A1072)+1,"")</f>
        <v/>
      </c>
      <c r="B1073" s="11"/>
      <c r="C1073" s="11" t="str">
        <f>IF(COUNTIF(D$1:D1073,D1073)=1,MAX(C$1:C1072)+1,"")</f>
        <v/>
      </c>
      <c r="D1073" s="12"/>
    </row>
    <row r="1074" spans="1:4" x14ac:dyDescent="0.25">
      <c r="A1074" t="str">
        <f>IF(COUNTIF(B$1:B1074,B1074)=1,MAX(A$1:A1073)+1,"")</f>
        <v/>
      </c>
      <c r="B1074" s="11"/>
      <c r="C1074" s="11" t="str">
        <f>IF(COUNTIF(D$1:D1074,D1074)=1,MAX(C$1:C1073)+1,"")</f>
        <v/>
      </c>
      <c r="D1074" s="12"/>
    </row>
    <row r="1075" spans="1:4" x14ac:dyDescent="0.25">
      <c r="A1075" t="str">
        <f>IF(COUNTIF(B$1:B1075,B1075)=1,MAX(A$1:A1074)+1,"")</f>
        <v/>
      </c>
      <c r="B1075" s="11"/>
      <c r="C1075" s="11" t="str">
        <f>IF(COUNTIF(D$1:D1075,D1075)=1,MAX(C$1:C1074)+1,"")</f>
        <v/>
      </c>
      <c r="D1075" s="12"/>
    </row>
    <row r="1076" spans="1:4" x14ac:dyDescent="0.25">
      <c r="A1076" t="str">
        <f>IF(COUNTIF(B$1:B1076,B1076)=1,MAX(A$1:A1075)+1,"")</f>
        <v/>
      </c>
      <c r="B1076" s="11"/>
      <c r="C1076" s="11" t="str">
        <f>IF(COUNTIF(D$1:D1076,D1076)=1,MAX(C$1:C1075)+1,"")</f>
        <v/>
      </c>
      <c r="D1076" s="12"/>
    </row>
    <row r="1077" spans="1:4" x14ac:dyDescent="0.25">
      <c r="A1077" t="str">
        <f>IF(COUNTIF(B$1:B1077,B1077)=1,MAX(A$1:A1076)+1,"")</f>
        <v/>
      </c>
      <c r="B1077" s="11"/>
      <c r="C1077" s="11" t="str">
        <f>IF(COUNTIF(D$1:D1077,D1077)=1,MAX(C$1:C1076)+1,"")</f>
        <v/>
      </c>
      <c r="D1077" s="12"/>
    </row>
    <row r="1078" spans="1:4" x14ac:dyDescent="0.25">
      <c r="A1078" t="str">
        <f>IF(COUNTIF(B$1:B1078,B1078)=1,MAX(A$1:A1077)+1,"")</f>
        <v/>
      </c>
      <c r="B1078" s="11"/>
      <c r="C1078" s="11" t="str">
        <f>IF(COUNTIF(D$1:D1078,D1078)=1,MAX(C$1:C1077)+1,"")</f>
        <v/>
      </c>
      <c r="D1078" s="12"/>
    </row>
    <row r="1079" spans="1:4" x14ac:dyDescent="0.25">
      <c r="A1079" t="str">
        <f>IF(COUNTIF(B$1:B1079,B1079)=1,MAX(A$1:A1078)+1,"")</f>
        <v/>
      </c>
      <c r="B1079" s="11"/>
      <c r="C1079" s="11" t="str">
        <f>IF(COUNTIF(D$1:D1079,D1079)=1,MAX(C$1:C1078)+1,"")</f>
        <v/>
      </c>
      <c r="D1079" s="12"/>
    </row>
    <row r="1080" spans="1:4" x14ac:dyDescent="0.25">
      <c r="A1080" t="str">
        <f>IF(COUNTIF(B$1:B1080,B1080)=1,MAX(A$1:A1079)+1,"")</f>
        <v/>
      </c>
      <c r="B1080" s="11"/>
      <c r="C1080" s="11" t="str">
        <f>IF(COUNTIF(D$1:D1080,D1080)=1,MAX(C$1:C1079)+1,"")</f>
        <v/>
      </c>
      <c r="D1080" s="12"/>
    </row>
    <row r="1081" spans="1:4" x14ac:dyDescent="0.25">
      <c r="A1081" t="str">
        <f>IF(COUNTIF(B$1:B1081,B1081)=1,MAX(A$1:A1080)+1,"")</f>
        <v/>
      </c>
      <c r="B1081" s="11"/>
      <c r="C1081" s="11" t="str">
        <f>IF(COUNTIF(D$1:D1081,D1081)=1,MAX(C$1:C1080)+1,"")</f>
        <v/>
      </c>
      <c r="D1081" s="12"/>
    </row>
    <row r="1082" spans="1:4" x14ac:dyDescent="0.25">
      <c r="A1082" t="str">
        <f>IF(COUNTIF(B$1:B1082,B1082)=1,MAX(A$1:A1081)+1,"")</f>
        <v/>
      </c>
      <c r="B1082" s="11"/>
      <c r="C1082" s="11" t="str">
        <f>IF(COUNTIF(D$1:D1082,D1082)=1,MAX(C$1:C1081)+1,"")</f>
        <v/>
      </c>
      <c r="D1082" s="12"/>
    </row>
    <row r="1083" spans="1:4" x14ac:dyDescent="0.25">
      <c r="A1083" t="str">
        <f>IF(COUNTIF(B$1:B1083,B1083)=1,MAX(A$1:A1082)+1,"")</f>
        <v/>
      </c>
      <c r="B1083" s="11"/>
      <c r="C1083" s="11" t="str">
        <f>IF(COUNTIF(D$1:D1083,D1083)=1,MAX(C$1:C1082)+1,"")</f>
        <v/>
      </c>
      <c r="D1083" s="12"/>
    </row>
    <row r="1084" spans="1:4" x14ac:dyDescent="0.25">
      <c r="A1084" t="str">
        <f>IF(COUNTIF(B$1:B1084,B1084)=1,MAX(A$1:A1083)+1,"")</f>
        <v/>
      </c>
      <c r="B1084" s="11"/>
      <c r="C1084" s="11" t="str">
        <f>IF(COUNTIF(D$1:D1084,D1084)=1,MAX(C$1:C1083)+1,"")</f>
        <v/>
      </c>
      <c r="D1084" s="12"/>
    </row>
    <row r="1085" spans="1:4" x14ac:dyDescent="0.25">
      <c r="A1085" t="str">
        <f>IF(COUNTIF(B$1:B1085,B1085)=1,MAX(A$1:A1084)+1,"")</f>
        <v/>
      </c>
      <c r="B1085" s="11"/>
      <c r="C1085" s="11" t="str">
        <f>IF(COUNTIF(D$1:D1085,D1085)=1,MAX(C$1:C1084)+1,"")</f>
        <v/>
      </c>
      <c r="D1085" s="12"/>
    </row>
    <row r="1086" spans="1:4" x14ac:dyDescent="0.25">
      <c r="A1086" t="str">
        <f>IF(COUNTIF(B$1:B1086,B1086)=1,MAX(A$1:A1085)+1,"")</f>
        <v/>
      </c>
      <c r="B1086" s="11"/>
      <c r="C1086" s="11" t="str">
        <f>IF(COUNTIF(D$1:D1086,D1086)=1,MAX(C$1:C1085)+1,"")</f>
        <v/>
      </c>
      <c r="D1086" s="12"/>
    </row>
    <row r="1087" spans="1:4" x14ac:dyDescent="0.25">
      <c r="A1087" t="str">
        <f>IF(COUNTIF(B$1:B1087,B1087)=1,MAX(A$1:A1086)+1,"")</f>
        <v/>
      </c>
      <c r="B1087" s="11"/>
      <c r="C1087" s="11" t="str">
        <f>IF(COUNTIF(D$1:D1087,D1087)=1,MAX(C$1:C1086)+1,"")</f>
        <v/>
      </c>
      <c r="D1087" s="12"/>
    </row>
    <row r="1088" spans="1:4" x14ac:dyDescent="0.25">
      <c r="A1088" t="str">
        <f>IF(COUNTIF(B$1:B1088,B1088)=1,MAX(A$1:A1087)+1,"")</f>
        <v/>
      </c>
      <c r="B1088" s="11"/>
      <c r="C1088" s="11" t="str">
        <f>IF(COUNTIF(D$1:D1088,D1088)=1,MAX(C$1:C1087)+1,"")</f>
        <v/>
      </c>
      <c r="D1088" s="12"/>
    </row>
    <row r="1089" spans="1:4" x14ac:dyDescent="0.25">
      <c r="A1089" t="str">
        <f>IF(COUNTIF(B$1:B1089,B1089)=1,MAX(A$1:A1088)+1,"")</f>
        <v/>
      </c>
      <c r="B1089" s="11"/>
      <c r="C1089" s="11" t="str">
        <f>IF(COUNTIF(D$1:D1089,D1089)=1,MAX(C$1:C1088)+1,"")</f>
        <v/>
      </c>
      <c r="D1089" s="12"/>
    </row>
    <row r="1090" spans="1:4" x14ac:dyDescent="0.25">
      <c r="A1090" t="str">
        <f>IF(COUNTIF(B$1:B1090,B1090)=1,MAX(A$1:A1089)+1,"")</f>
        <v/>
      </c>
      <c r="B1090" s="11"/>
      <c r="C1090" s="11" t="str">
        <f>IF(COUNTIF(D$1:D1090,D1090)=1,MAX(C$1:C1089)+1,"")</f>
        <v/>
      </c>
      <c r="D1090" s="12"/>
    </row>
    <row r="1091" spans="1:4" x14ac:dyDescent="0.25">
      <c r="A1091" t="str">
        <f>IF(COUNTIF(B$1:B1091,B1091)=1,MAX(A$1:A1090)+1,"")</f>
        <v/>
      </c>
      <c r="B1091" s="11"/>
      <c r="C1091" s="11" t="str">
        <f>IF(COUNTIF(D$1:D1091,D1091)=1,MAX(C$1:C1090)+1,"")</f>
        <v/>
      </c>
      <c r="D1091" s="12"/>
    </row>
    <row r="1092" spans="1:4" x14ac:dyDescent="0.25">
      <c r="A1092" t="str">
        <f>IF(COUNTIF(B$1:B1092,B1092)=1,MAX(A$1:A1091)+1,"")</f>
        <v/>
      </c>
      <c r="B1092" s="11"/>
      <c r="C1092" s="11" t="str">
        <f>IF(COUNTIF(D$1:D1092,D1092)=1,MAX(C$1:C1091)+1,"")</f>
        <v/>
      </c>
      <c r="D1092" s="12"/>
    </row>
    <row r="1093" spans="1:4" x14ac:dyDescent="0.25">
      <c r="A1093" t="str">
        <f>IF(COUNTIF(B$1:B1093,B1093)=1,MAX(A$1:A1092)+1,"")</f>
        <v/>
      </c>
      <c r="B1093" s="11"/>
      <c r="C1093" s="11" t="str">
        <f>IF(COUNTIF(D$1:D1093,D1093)=1,MAX(C$1:C1092)+1,"")</f>
        <v/>
      </c>
      <c r="D1093" s="12"/>
    </row>
    <row r="1094" spans="1:4" x14ac:dyDescent="0.25">
      <c r="A1094" t="str">
        <f>IF(COUNTIF(B$1:B1094,B1094)=1,MAX(A$1:A1093)+1,"")</f>
        <v/>
      </c>
      <c r="B1094" s="11"/>
      <c r="C1094" s="11" t="str">
        <f>IF(COUNTIF(D$1:D1094,D1094)=1,MAX(C$1:C1093)+1,"")</f>
        <v/>
      </c>
      <c r="D1094" s="12"/>
    </row>
    <row r="1095" spans="1:4" x14ac:dyDescent="0.25">
      <c r="A1095" t="str">
        <f>IF(COUNTIF(B$1:B1095,B1095)=1,MAX(A$1:A1094)+1,"")</f>
        <v/>
      </c>
      <c r="B1095" s="11"/>
      <c r="C1095" s="11" t="str">
        <f>IF(COUNTIF(D$1:D1095,D1095)=1,MAX(C$1:C1094)+1,"")</f>
        <v/>
      </c>
      <c r="D1095" s="12"/>
    </row>
    <row r="1096" spans="1:4" x14ac:dyDescent="0.25">
      <c r="A1096" t="str">
        <f>IF(COUNTIF(B$1:B1096,B1096)=1,MAX(A$1:A1095)+1,"")</f>
        <v/>
      </c>
      <c r="B1096" s="11"/>
      <c r="C1096" s="11" t="str">
        <f>IF(COUNTIF(D$1:D1096,D1096)=1,MAX(C$1:C1095)+1,"")</f>
        <v/>
      </c>
      <c r="D1096" s="12"/>
    </row>
    <row r="1097" spans="1:4" x14ac:dyDescent="0.25">
      <c r="A1097" t="str">
        <f>IF(COUNTIF(B$1:B1097,B1097)=1,MAX(A$1:A1096)+1,"")</f>
        <v/>
      </c>
      <c r="B1097" s="11"/>
      <c r="C1097" s="11" t="str">
        <f>IF(COUNTIF(D$1:D1097,D1097)=1,MAX(C$1:C1096)+1,"")</f>
        <v/>
      </c>
      <c r="D1097" s="12"/>
    </row>
    <row r="1098" spans="1:4" x14ac:dyDescent="0.25">
      <c r="A1098" t="str">
        <f>IF(COUNTIF(B$1:B1098,B1098)=1,MAX(A$1:A1097)+1,"")</f>
        <v/>
      </c>
      <c r="B1098" s="11"/>
      <c r="C1098" s="11" t="str">
        <f>IF(COUNTIF(D$1:D1098,D1098)=1,MAX(C$1:C1097)+1,"")</f>
        <v/>
      </c>
      <c r="D1098" s="12"/>
    </row>
    <row r="1099" spans="1:4" x14ac:dyDescent="0.25">
      <c r="A1099" t="str">
        <f>IF(COUNTIF(B$1:B1099,B1099)=1,MAX(A$1:A1098)+1,"")</f>
        <v/>
      </c>
      <c r="B1099" s="11"/>
      <c r="C1099" s="11" t="str">
        <f>IF(COUNTIF(D$1:D1099,D1099)=1,MAX(C$1:C1098)+1,"")</f>
        <v/>
      </c>
      <c r="D1099" s="12"/>
    </row>
    <row r="1100" spans="1:4" x14ac:dyDescent="0.25">
      <c r="A1100" t="str">
        <f>IF(COUNTIF(B$1:B1100,B1100)=1,MAX(A$1:A1099)+1,"")</f>
        <v/>
      </c>
      <c r="B1100" s="11"/>
      <c r="C1100" s="11" t="str">
        <f>IF(COUNTIF(D$1:D1100,D1100)=1,MAX(C$1:C1099)+1,"")</f>
        <v/>
      </c>
      <c r="D1100" s="12"/>
    </row>
    <row r="1101" spans="1:4" x14ac:dyDescent="0.25">
      <c r="A1101" t="str">
        <f>IF(COUNTIF(B$1:B1101,B1101)=1,MAX(A$1:A1100)+1,"")</f>
        <v/>
      </c>
      <c r="B1101" s="11"/>
      <c r="C1101" s="11" t="str">
        <f>IF(COUNTIF(D$1:D1101,D1101)=1,MAX(C$1:C1100)+1,"")</f>
        <v/>
      </c>
      <c r="D1101" s="12"/>
    </row>
    <row r="1102" spans="1:4" x14ac:dyDescent="0.25">
      <c r="A1102" t="str">
        <f>IF(COUNTIF(B$1:B1102,B1102)=1,MAX(A$1:A1101)+1,"")</f>
        <v/>
      </c>
      <c r="B1102" s="11"/>
      <c r="C1102" s="11" t="str">
        <f>IF(COUNTIF(D$1:D1102,D1102)=1,MAX(C$1:C1101)+1,"")</f>
        <v/>
      </c>
      <c r="D1102" s="12"/>
    </row>
    <row r="1103" spans="1:4" x14ac:dyDescent="0.25">
      <c r="A1103" t="str">
        <f>IF(COUNTIF(B$1:B1103,B1103)=1,MAX(A$1:A1102)+1,"")</f>
        <v/>
      </c>
      <c r="B1103" s="11"/>
      <c r="C1103" s="11" t="str">
        <f>IF(COUNTIF(D$1:D1103,D1103)=1,MAX(C$1:C1102)+1,"")</f>
        <v/>
      </c>
      <c r="D1103" s="12"/>
    </row>
    <row r="1104" spans="1:4" x14ac:dyDescent="0.25">
      <c r="A1104" t="str">
        <f>IF(COUNTIF(B$1:B1104,B1104)=1,MAX(A$1:A1103)+1,"")</f>
        <v/>
      </c>
      <c r="B1104" s="11"/>
      <c r="C1104" s="11" t="str">
        <f>IF(COUNTIF(D$1:D1104,D1104)=1,MAX(C$1:C1103)+1,"")</f>
        <v/>
      </c>
      <c r="D1104" s="12"/>
    </row>
    <row r="1105" spans="1:4" x14ac:dyDescent="0.25">
      <c r="A1105" t="str">
        <f>IF(COUNTIF(B$1:B1105,B1105)=1,MAX(A$1:A1104)+1,"")</f>
        <v/>
      </c>
      <c r="B1105" s="11"/>
      <c r="C1105" s="11" t="str">
        <f>IF(COUNTIF(D$1:D1105,D1105)=1,MAX(C$1:C1104)+1,"")</f>
        <v/>
      </c>
      <c r="D1105" s="12"/>
    </row>
    <row r="1106" spans="1:4" x14ac:dyDescent="0.25">
      <c r="A1106" t="str">
        <f>IF(COUNTIF(B$1:B1106,B1106)=1,MAX(A$1:A1105)+1,"")</f>
        <v/>
      </c>
      <c r="B1106" s="11"/>
      <c r="C1106" s="11" t="str">
        <f>IF(COUNTIF(D$1:D1106,D1106)=1,MAX(C$1:C1105)+1,"")</f>
        <v/>
      </c>
      <c r="D1106" s="12"/>
    </row>
    <row r="1107" spans="1:4" x14ac:dyDescent="0.25">
      <c r="A1107" t="str">
        <f>IF(COUNTIF(B$1:B1107,B1107)=1,MAX(A$1:A1106)+1,"")</f>
        <v/>
      </c>
      <c r="B1107" s="11"/>
      <c r="C1107" s="11" t="str">
        <f>IF(COUNTIF(D$1:D1107,D1107)=1,MAX(C$1:C1106)+1,"")</f>
        <v/>
      </c>
      <c r="D1107" s="12"/>
    </row>
    <row r="1108" spans="1:4" x14ac:dyDescent="0.25">
      <c r="A1108" t="str">
        <f>IF(COUNTIF(B$1:B1108,B1108)=1,MAX(A$1:A1107)+1,"")</f>
        <v/>
      </c>
      <c r="B1108" s="11"/>
      <c r="C1108" s="11" t="str">
        <f>IF(COUNTIF(D$1:D1108,D1108)=1,MAX(C$1:C1107)+1,"")</f>
        <v/>
      </c>
      <c r="D1108" s="12"/>
    </row>
    <row r="1109" spans="1:4" x14ac:dyDescent="0.25">
      <c r="A1109" t="str">
        <f>IF(COUNTIF(B$1:B1109,B1109)=1,MAX(A$1:A1108)+1,"")</f>
        <v/>
      </c>
      <c r="B1109" s="11"/>
      <c r="C1109" s="11" t="str">
        <f>IF(COUNTIF(D$1:D1109,D1109)=1,MAX(C$1:C1108)+1,"")</f>
        <v/>
      </c>
      <c r="D1109" s="12"/>
    </row>
    <row r="1110" spans="1:4" x14ac:dyDescent="0.25">
      <c r="A1110" t="str">
        <f>IF(COUNTIF(B$1:B1110,B1110)=1,MAX(A$1:A1109)+1,"")</f>
        <v/>
      </c>
      <c r="B1110" s="11"/>
      <c r="C1110" s="11" t="str">
        <f>IF(COUNTIF(D$1:D1110,D1110)=1,MAX(C$1:C1109)+1,"")</f>
        <v/>
      </c>
      <c r="D1110" s="12"/>
    </row>
    <row r="1111" spans="1:4" x14ac:dyDescent="0.25">
      <c r="A1111" t="str">
        <f>IF(COUNTIF(B$1:B1111,B1111)=1,MAX(A$1:A1110)+1,"")</f>
        <v/>
      </c>
      <c r="B1111" s="11"/>
      <c r="C1111" s="11" t="str">
        <f>IF(COUNTIF(D$1:D1111,D1111)=1,MAX(C$1:C1110)+1,"")</f>
        <v/>
      </c>
      <c r="D1111" s="12"/>
    </row>
    <row r="1112" spans="1:4" x14ac:dyDescent="0.25">
      <c r="A1112" t="str">
        <f>IF(COUNTIF(B$1:B1112,B1112)=1,MAX(A$1:A1111)+1,"")</f>
        <v/>
      </c>
      <c r="B1112" s="11"/>
      <c r="C1112" s="11" t="str">
        <f>IF(COUNTIF(D$1:D1112,D1112)=1,MAX(C$1:C1111)+1,"")</f>
        <v/>
      </c>
      <c r="D1112" s="12"/>
    </row>
    <row r="1113" spans="1:4" x14ac:dyDescent="0.25">
      <c r="A1113" t="str">
        <f>IF(COUNTIF(B$1:B1113,B1113)=1,MAX(A$1:A1112)+1,"")</f>
        <v/>
      </c>
      <c r="B1113" s="11"/>
      <c r="C1113" s="11" t="str">
        <f>IF(COUNTIF(D$1:D1113,D1113)=1,MAX(C$1:C1112)+1,"")</f>
        <v/>
      </c>
      <c r="D1113" s="12"/>
    </row>
    <row r="1114" spans="1:4" x14ac:dyDescent="0.25">
      <c r="A1114" t="str">
        <f>IF(COUNTIF(B$1:B1114,B1114)=1,MAX(A$1:A1113)+1,"")</f>
        <v/>
      </c>
      <c r="B1114" s="11"/>
      <c r="C1114" s="11" t="str">
        <f>IF(COUNTIF(D$1:D1114,D1114)=1,MAX(C$1:C1113)+1,"")</f>
        <v/>
      </c>
      <c r="D1114" s="12"/>
    </row>
    <row r="1115" spans="1:4" x14ac:dyDescent="0.25">
      <c r="A1115" t="str">
        <f>IF(COUNTIF(B$1:B1115,B1115)=1,MAX(A$1:A1114)+1,"")</f>
        <v/>
      </c>
      <c r="B1115" s="11"/>
      <c r="C1115" s="11" t="str">
        <f>IF(COUNTIF(D$1:D1115,D1115)=1,MAX(C$1:C1114)+1,"")</f>
        <v/>
      </c>
      <c r="D1115" s="12"/>
    </row>
    <row r="1116" spans="1:4" x14ac:dyDescent="0.25">
      <c r="A1116" t="str">
        <f>IF(COUNTIF(B$1:B1116,B1116)=1,MAX(A$1:A1115)+1,"")</f>
        <v/>
      </c>
      <c r="B1116" s="11"/>
      <c r="C1116" s="11" t="str">
        <f>IF(COUNTIF(D$1:D1116,D1116)=1,MAX(C$1:C1115)+1,"")</f>
        <v/>
      </c>
      <c r="D1116" s="12"/>
    </row>
    <row r="1117" spans="1:4" x14ac:dyDescent="0.25">
      <c r="A1117" t="str">
        <f>IF(COUNTIF(B$1:B1117,B1117)=1,MAX(A$1:A1116)+1,"")</f>
        <v/>
      </c>
      <c r="B1117" s="11"/>
      <c r="C1117" s="11" t="str">
        <f>IF(COUNTIF(D$1:D1117,D1117)=1,MAX(C$1:C1116)+1,"")</f>
        <v/>
      </c>
      <c r="D1117" s="12"/>
    </row>
    <row r="1118" spans="1:4" x14ac:dyDescent="0.25">
      <c r="A1118" t="str">
        <f>IF(COUNTIF(B$1:B1118,B1118)=1,MAX(A$1:A1117)+1,"")</f>
        <v/>
      </c>
      <c r="B1118" s="11"/>
      <c r="C1118" s="11" t="str">
        <f>IF(COUNTIF(D$1:D1118,D1118)=1,MAX(C$1:C1117)+1,"")</f>
        <v/>
      </c>
      <c r="D1118" s="12"/>
    </row>
    <row r="1119" spans="1:4" x14ac:dyDescent="0.25">
      <c r="A1119" t="str">
        <f>IF(COUNTIF(B$1:B1119,B1119)=1,MAX(A$1:A1118)+1,"")</f>
        <v/>
      </c>
      <c r="B1119" s="11"/>
      <c r="C1119" s="11" t="str">
        <f>IF(COUNTIF(D$1:D1119,D1119)=1,MAX(C$1:C1118)+1,"")</f>
        <v/>
      </c>
      <c r="D1119" s="12"/>
    </row>
    <row r="1120" spans="1:4" x14ac:dyDescent="0.25">
      <c r="A1120" t="str">
        <f>IF(COUNTIF(B$1:B1120,B1120)=1,MAX(A$1:A1119)+1,"")</f>
        <v/>
      </c>
      <c r="B1120" s="11"/>
      <c r="C1120" s="11" t="str">
        <f>IF(COUNTIF(D$1:D1120,D1120)=1,MAX(C$1:C1119)+1,"")</f>
        <v/>
      </c>
      <c r="D1120" s="12"/>
    </row>
    <row r="1121" spans="1:4" x14ac:dyDescent="0.25">
      <c r="A1121" t="str">
        <f>IF(COUNTIF(B$1:B1121,B1121)=1,MAX(A$1:A1120)+1,"")</f>
        <v/>
      </c>
      <c r="B1121" s="11"/>
      <c r="C1121" s="11" t="str">
        <f>IF(COUNTIF(D$1:D1121,D1121)=1,MAX(C$1:C1120)+1,"")</f>
        <v/>
      </c>
      <c r="D1121" s="12"/>
    </row>
    <row r="1122" spans="1:4" x14ac:dyDescent="0.25">
      <c r="A1122" t="str">
        <f>IF(COUNTIF(B$1:B1122,B1122)=1,MAX(A$1:A1121)+1,"")</f>
        <v/>
      </c>
      <c r="B1122" s="11"/>
      <c r="C1122" s="11" t="str">
        <f>IF(COUNTIF(D$1:D1122,D1122)=1,MAX(C$1:C1121)+1,"")</f>
        <v/>
      </c>
      <c r="D1122" s="12"/>
    </row>
    <row r="1123" spans="1:4" x14ac:dyDescent="0.25">
      <c r="A1123" t="str">
        <f>IF(COUNTIF(B$1:B1123,B1123)=1,MAX(A$1:A1122)+1,"")</f>
        <v/>
      </c>
      <c r="B1123" s="11"/>
      <c r="C1123" s="11" t="str">
        <f>IF(COUNTIF(D$1:D1123,D1123)=1,MAX(C$1:C1122)+1,"")</f>
        <v/>
      </c>
      <c r="D1123" s="12"/>
    </row>
    <row r="1124" spans="1:4" x14ac:dyDescent="0.25">
      <c r="A1124" t="str">
        <f>IF(COUNTIF(B$1:B1124,B1124)=1,MAX(A$1:A1123)+1,"")</f>
        <v/>
      </c>
      <c r="B1124" s="11"/>
      <c r="C1124" s="11" t="str">
        <f>IF(COUNTIF(D$1:D1124,D1124)=1,MAX(C$1:C1123)+1,"")</f>
        <v/>
      </c>
      <c r="D1124" s="12"/>
    </row>
    <row r="1125" spans="1:4" x14ac:dyDescent="0.25">
      <c r="A1125" t="str">
        <f>IF(COUNTIF(B$1:B1125,B1125)=1,MAX(A$1:A1124)+1,"")</f>
        <v/>
      </c>
      <c r="B1125" s="11"/>
      <c r="C1125" s="11" t="str">
        <f>IF(COUNTIF(D$1:D1125,D1125)=1,MAX(C$1:C1124)+1,"")</f>
        <v/>
      </c>
      <c r="D1125" s="12"/>
    </row>
    <row r="1126" spans="1:4" x14ac:dyDescent="0.25">
      <c r="A1126" t="str">
        <f>IF(COUNTIF(B$1:B1126,B1126)=1,MAX(A$1:A1125)+1,"")</f>
        <v/>
      </c>
      <c r="B1126" s="11"/>
      <c r="C1126" s="11" t="str">
        <f>IF(COUNTIF(D$1:D1126,D1126)=1,MAX(C$1:C1125)+1,"")</f>
        <v/>
      </c>
      <c r="D1126" s="12"/>
    </row>
    <row r="1127" spans="1:4" x14ac:dyDescent="0.25">
      <c r="A1127" t="str">
        <f>IF(COUNTIF(B$1:B1127,B1127)=1,MAX(A$1:A1126)+1,"")</f>
        <v/>
      </c>
      <c r="B1127" s="11"/>
      <c r="C1127" s="11" t="str">
        <f>IF(COUNTIF(D$1:D1127,D1127)=1,MAX(C$1:C1126)+1,"")</f>
        <v/>
      </c>
      <c r="D1127" s="12"/>
    </row>
    <row r="1128" spans="1:4" x14ac:dyDescent="0.25">
      <c r="A1128" t="str">
        <f>IF(COUNTIF(B$1:B1128,B1128)=1,MAX(A$1:A1127)+1,"")</f>
        <v/>
      </c>
      <c r="B1128" s="11"/>
      <c r="C1128" s="11" t="str">
        <f>IF(COUNTIF(D$1:D1128,D1128)=1,MAX(C$1:C1127)+1,"")</f>
        <v/>
      </c>
      <c r="D1128" s="12"/>
    </row>
    <row r="1129" spans="1:4" x14ac:dyDescent="0.25">
      <c r="A1129" t="str">
        <f>IF(COUNTIF(B$1:B1129,B1129)=1,MAX(A$1:A1128)+1,"")</f>
        <v/>
      </c>
      <c r="B1129" s="11"/>
      <c r="C1129" s="11" t="str">
        <f>IF(COUNTIF(D$1:D1129,D1129)=1,MAX(C$1:C1128)+1,"")</f>
        <v/>
      </c>
      <c r="D1129" s="12"/>
    </row>
    <row r="1130" spans="1:4" x14ac:dyDescent="0.25">
      <c r="A1130" t="str">
        <f>IF(COUNTIF(B$1:B1130,B1130)=1,MAX(A$1:A1129)+1,"")</f>
        <v/>
      </c>
      <c r="B1130" s="11"/>
      <c r="C1130" s="11" t="str">
        <f>IF(COUNTIF(D$1:D1130,D1130)=1,MAX(C$1:C1129)+1,"")</f>
        <v/>
      </c>
      <c r="D1130" s="12"/>
    </row>
    <row r="1131" spans="1:4" x14ac:dyDescent="0.25">
      <c r="A1131" t="str">
        <f>IF(COUNTIF(B$1:B1131,B1131)=1,MAX(A$1:A1130)+1,"")</f>
        <v/>
      </c>
      <c r="B1131" s="11"/>
      <c r="C1131" s="11" t="str">
        <f>IF(COUNTIF(D$1:D1131,D1131)=1,MAX(C$1:C1130)+1,"")</f>
        <v/>
      </c>
      <c r="D1131" s="12"/>
    </row>
    <row r="1132" spans="1:4" x14ac:dyDescent="0.25">
      <c r="A1132" t="str">
        <f>IF(COUNTIF(B$1:B1132,B1132)=1,MAX(A$1:A1131)+1,"")</f>
        <v/>
      </c>
      <c r="B1132" s="11"/>
      <c r="C1132" s="11" t="str">
        <f>IF(COUNTIF(D$1:D1132,D1132)=1,MAX(C$1:C1131)+1,"")</f>
        <v/>
      </c>
      <c r="D1132" s="12"/>
    </row>
    <row r="1133" spans="1:4" x14ac:dyDescent="0.25">
      <c r="A1133" t="str">
        <f>IF(COUNTIF(B$1:B1133,B1133)=1,MAX(A$1:A1132)+1,"")</f>
        <v/>
      </c>
      <c r="B1133" s="11"/>
      <c r="C1133" s="11" t="str">
        <f>IF(COUNTIF(D$1:D1133,D1133)=1,MAX(C$1:C1132)+1,"")</f>
        <v/>
      </c>
      <c r="D1133" s="12"/>
    </row>
    <row r="1134" spans="1:4" x14ac:dyDescent="0.25">
      <c r="A1134" t="str">
        <f>IF(COUNTIF(B$1:B1134,B1134)=1,MAX(A$1:A1133)+1,"")</f>
        <v/>
      </c>
      <c r="B1134" s="11"/>
      <c r="C1134" s="11" t="str">
        <f>IF(COUNTIF(D$1:D1134,D1134)=1,MAX(C$1:C1133)+1,"")</f>
        <v/>
      </c>
      <c r="D1134" s="12"/>
    </row>
    <row r="1135" spans="1:4" x14ac:dyDescent="0.25">
      <c r="A1135" t="str">
        <f>IF(COUNTIF(B$1:B1135,B1135)=1,MAX(A$1:A1134)+1,"")</f>
        <v/>
      </c>
      <c r="B1135" s="11"/>
      <c r="C1135" s="11" t="str">
        <f>IF(COUNTIF(D$1:D1135,D1135)=1,MAX(C$1:C1134)+1,"")</f>
        <v/>
      </c>
      <c r="D1135" s="12"/>
    </row>
    <row r="1136" spans="1:4" x14ac:dyDescent="0.25">
      <c r="A1136" t="str">
        <f>IF(COUNTIF(B$1:B1136,B1136)=1,MAX(A$1:A1135)+1,"")</f>
        <v/>
      </c>
      <c r="B1136" s="11"/>
      <c r="C1136" s="11" t="str">
        <f>IF(COUNTIF(D$1:D1136,D1136)=1,MAX(C$1:C1135)+1,"")</f>
        <v/>
      </c>
      <c r="D1136" s="12"/>
    </row>
    <row r="1137" spans="1:4" x14ac:dyDescent="0.25">
      <c r="A1137" t="str">
        <f>IF(COUNTIF(B$1:B1137,B1137)=1,MAX(A$1:A1136)+1,"")</f>
        <v/>
      </c>
      <c r="B1137" s="11"/>
      <c r="C1137" s="11" t="str">
        <f>IF(COUNTIF(D$1:D1137,D1137)=1,MAX(C$1:C1136)+1,"")</f>
        <v/>
      </c>
      <c r="D1137" s="12"/>
    </row>
    <row r="1138" spans="1:4" x14ac:dyDescent="0.25">
      <c r="A1138" t="str">
        <f>IF(COUNTIF(B$1:B1138,B1138)=1,MAX(A$1:A1137)+1,"")</f>
        <v/>
      </c>
      <c r="B1138" s="11"/>
      <c r="C1138" s="11" t="str">
        <f>IF(COUNTIF(D$1:D1138,D1138)=1,MAX(C$1:C1137)+1,"")</f>
        <v/>
      </c>
      <c r="D1138" s="12"/>
    </row>
    <row r="1139" spans="1:4" x14ac:dyDescent="0.25">
      <c r="A1139" t="str">
        <f>IF(COUNTIF(B$1:B1139,B1139)=1,MAX(A$1:A1138)+1,"")</f>
        <v/>
      </c>
      <c r="B1139" s="11"/>
      <c r="C1139" s="11" t="str">
        <f>IF(COUNTIF(D$1:D1139,D1139)=1,MAX(C$1:C1138)+1,"")</f>
        <v/>
      </c>
      <c r="D1139" s="12"/>
    </row>
    <row r="1140" spans="1:4" x14ac:dyDescent="0.25">
      <c r="A1140" t="str">
        <f>IF(COUNTIF(B$1:B1140,B1140)=1,MAX(A$1:A1139)+1,"")</f>
        <v/>
      </c>
      <c r="B1140" s="11"/>
      <c r="C1140" s="11" t="str">
        <f>IF(COUNTIF(D$1:D1140,D1140)=1,MAX(C$1:C1139)+1,"")</f>
        <v/>
      </c>
      <c r="D1140" s="12"/>
    </row>
    <row r="1141" spans="1:4" x14ac:dyDescent="0.25">
      <c r="A1141" t="str">
        <f>IF(COUNTIF(B$1:B1141,B1141)=1,MAX(A$1:A1140)+1,"")</f>
        <v/>
      </c>
      <c r="B1141" s="11"/>
      <c r="C1141" s="11" t="str">
        <f>IF(COUNTIF(D$1:D1141,D1141)=1,MAX(C$1:C1140)+1,"")</f>
        <v/>
      </c>
      <c r="D1141" s="12"/>
    </row>
    <row r="1142" spans="1:4" x14ac:dyDescent="0.25">
      <c r="A1142" t="str">
        <f>IF(COUNTIF(B$1:B1142,B1142)=1,MAX(A$1:A1141)+1,"")</f>
        <v/>
      </c>
      <c r="B1142" s="11"/>
      <c r="C1142" s="11" t="str">
        <f>IF(COUNTIF(D$1:D1142,D1142)=1,MAX(C$1:C1141)+1,"")</f>
        <v/>
      </c>
      <c r="D1142" s="12"/>
    </row>
    <row r="1143" spans="1:4" x14ac:dyDescent="0.25">
      <c r="A1143" t="str">
        <f>IF(COUNTIF(B$1:B1143,B1143)=1,MAX(A$1:A1142)+1,"")</f>
        <v/>
      </c>
      <c r="B1143" s="11"/>
      <c r="C1143" s="11" t="str">
        <f>IF(COUNTIF(D$1:D1143,D1143)=1,MAX(C$1:C1142)+1,"")</f>
        <v/>
      </c>
      <c r="D1143" s="12"/>
    </row>
    <row r="1144" spans="1:4" x14ac:dyDescent="0.25">
      <c r="A1144" t="str">
        <f>IF(COUNTIF(B$1:B1144,B1144)=1,MAX(A$1:A1143)+1,"")</f>
        <v/>
      </c>
      <c r="B1144" s="11"/>
      <c r="C1144" s="11" t="str">
        <f>IF(COUNTIF(D$1:D1144,D1144)=1,MAX(C$1:C1143)+1,"")</f>
        <v/>
      </c>
      <c r="D1144" s="12"/>
    </row>
    <row r="1145" spans="1:4" x14ac:dyDescent="0.25">
      <c r="A1145" t="str">
        <f>IF(COUNTIF(B$1:B1145,B1145)=1,MAX(A$1:A1144)+1,"")</f>
        <v/>
      </c>
      <c r="B1145" s="11"/>
      <c r="C1145" s="11" t="str">
        <f>IF(COUNTIF(D$1:D1145,D1145)=1,MAX(C$1:C1144)+1,"")</f>
        <v/>
      </c>
      <c r="D1145" s="12"/>
    </row>
    <row r="1146" spans="1:4" x14ac:dyDescent="0.25">
      <c r="A1146" t="str">
        <f>IF(COUNTIF(B$1:B1146,B1146)=1,MAX(A$1:A1145)+1,"")</f>
        <v/>
      </c>
      <c r="B1146" s="11"/>
      <c r="C1146" s="11" t="str">
        <f>IF(COUNTIF(D$1:D1146,D1146)=1,MAX(C$1:C1145)+1,"")</f>
        <v/>
      </c>
      <c r="D1146" s="12"/>
    </row>
    <row r="1147" spans="1:4" x14ac:dyDescent="0.25">
      <c r="A1147" t="str">
        <f>IF(COUNTIF(B$1:B1147,B1147)=1,MAX(A$1:A1146)+1,"")</f>
        <v/>
      </c>
      <c r="B1147" s="11"/>
      <c r="C1147" s="11" t="str">
        <f>IF(COUNTIF(D$1:D1147,D1147)=1,MAX(C$1:C1146)+1,"")</f>
        <v/>
      </c>
      <c r="D1147" s="12"/>
    </row>
    <row r="1148" spans="1:4" x14ac:dyDescent="0.25">
      <c r="A1148" t="str">
        <f>IF(COUNTIF(B$1:B1148,B1148)=1,MAX(A$1:A1147)+1,"")</f>
        <v/>
      </c>
      <c r="B1148" s="11"/>
      <c r="C1148" s="11" t="str">
        <f>IF(COUNTIF(D$1:D1148,D1148)=1,MAX(C$1:C1147)+1,"")</f>
        <v/>
      </c>
      <c r="D1148" s="12"/>
    </row>
    <row r="1149" spans="1:4" x14ac:dyDescent="0.25">
      <c r="A1149" t="str">
        <f>IF(COUNTIF(B$1:B1149,B1149)=1,MAX(A$1:A1148)+1,"")</f>
        <v/>
      </c>
      <c r="B1149" s="11"/>
      <c r="C1149" s="11" t="str">
        <f>IF(COUNTIF(D$1:D1149,D1149)=1,MAX(C$1:C1148)+1,"")</f>
        <v/>
      </c>
      <c r="D1149" s="12"/>
    </row>
    <row r="1150" spans="1:4" x14ac:dyDescent="0.25">
      <c r="A1150" t="str">
        <f>IF(COUNTIF(B$1:B1150,B1150)=1,MAX(A$1:A1149)+1,"")</f>
        <v/>
      </c>
      <c r="B1150" s="11"/>
      <c r="C1150" s="11" t="str">
        <f>IF(COUNTIF(D$1:D1150,D1150)=1,MAX(C$1:C1149)+1,"")</f>
        <v/>
      </c>
      <c r="D1150" s="12"/>
    </row>
    <row r="1151" spans="1:4" x14ac:dyDescent="0.25">
      <c r="A1151" t="str">
        <f>IF(COUNTIF(B$1:B1151,B1151)=1,MAX(A$1:A1150)+1,"")</f>
        <v/>
      </c>
      <c r="B1151" s="11"/>
      <c r="C1151" s="11" t="str">
        <f>IF(COUNTIF(D$1:D1151,D1151)=1,MAX(C$1:C1150)+1,"")</f>
        <v/>
      </c>
      <c r="D1151" s="12"/>
    </row>
    <row r="1152" spans="1:4" x14ac:dyDescent="0.25">
      <c r="A1152" t="str">
        <f>IF(COUNTIF(B$1:B1152,B1152)=1,MAX(A$1:A1151)+1,"")</f>
        <v/>
      </c>
      <c r="B1152" s="11"/>
      <c r="C1152" s="11" t="str">
        <f>IF(COUNTIF(D$1:D1152,D1152)=1,MAX(C$1:C1151)+1,"")</f>
        <v/>
      </c>
      <c r="D1152" s="12"/>
    </row>
    <row r="1153" spans="1:4" x14ac:dyDescent="0.25">
      <c r="A1153" t="str">
        <f>IF(COUNTIF(B$1:B1153,B1153)=1,MAX(A$1:A1152)+1,"")</f>
        <v/>
      </c>
      <c r="B1153" s="11"/>
      <c r="C1153" s="11" t="str">
        <f>IF(COUNTIF(D$1:D1153,D1153)=1,MAX(C$1:C1152)+1,"")</f>
        <v/>
      </c>
      <c r="D1153" s="12"/>
    </row>
    <row r="1154" spans="1:4" x14ac:dyDescent="0.25">
      <c r="A1154" t="str">
        <f>IF(COUNTIF(B$1:B1154,B1154)=1,MAX(A$1:A1153)+1,"")</f>
        <v/>
      </c>
      <c r="B1154" s="11"/>
      <c r="C1154" s="11" t="str">
        <f>IF(COUNTIF(D$1:D1154,D1154)=1,MAX(C$1:C1153)+1,"")</f>
        <v/>
      </c>
      <c r="D1154" s="12"/>
    </row>
    <row r="1155" spans="1:4" x14ac:dyDescent="0.25">
      <c r="A1155" t="str">
        <f>IF(COUNTIF(B$1:B1155,B1155)=1,MAX(A$1:A1154)+1,"")</f>
        <v/>
      </c>
      <c r="B1155" s="11"/>
      <c r="C1155" s="11" t="str">
        <f>IF(COUNTIF(D$1:D1155,D1155)=1,MAX(C$1:C1154)+1,"")</f>
        <v/>
      </c>
      <c r="D1155" s="12"/>
    </row>
    <row r="1156" spans="1:4" x14ac:dyDescent="0.25">
      <c r="A1156" t="str">
        <f>IF(COUNTIF(B$1:B1156,B1156)=1,MAX(A$1:A1155)+1,"")</f>
        <v/>
      </c>
      <c r="B1156" s="11"/>
      <c r="C1156" s="11" t="str">
        <f>IF(COUNTIF(D$1:D1156,D1156)=1,MAX(C$1:C1155)+1,"")</f>
        <v/>
      </c>
      <c r="D1156" s="12"/>
    </row>
    <row r="1157" spans="1:4" x14ac:dyDescent="0.25">
      <c r="A1157" t="str">
        <f>IF(COUNTIF(B$1:B1157,B1157)=1,MAX(A$1:A1156)+1,"")</f>
        <v/>
      </c>
      <c r="B1157" s="11"/>
      <c r="C1157" s="11" t="str">
        <f>IF(COUNTIF(D$1:D1157,D1157)=1,MAX(C$1:C1156)+1,"")</f>
        <v/>
      </c>
      <c r="D1157" s="12"/>
    </row>
    <row r="1158" spans="1:4" x14ac:dyDescent="0.25">
      <c r="A1158" t="str">
        <f>IF(COUNTIF(B$1:B1158,B1158)=1,MAX(A$1:A1157)+1,"")</f>
        <v/>
      </c>
      <c r="B1158" s="11"/>
      <c r="C1158" s="11" t="str">
        <f>IF(COUNTIF(D$1:D1158,D1158)=1,MAX(C$1:C1157)+1,"")</f>
        <v/>
      </c>
      <c r="D1158" s="12"/>
    </row>
    <row r="1159" spans="1:4" x14ac:dyDescent="0.25">
      <c r="A1159" t="str">
        <f>IF(COUNTIF(B$1:B1159,B1159)=1,MAX(A$1:A1158)+1,"")</f>
        <v/>
      </c>
      <c r="B1159" s="11"/>
      <c r="C1159" s="11" t="str">
        <f>IF(COUNTIF(D$1:D1159,D1159)=1,MAX(C$1:C1158)+1,"")</f>
        <v/>
      </c>
      <c r="D1159" s="12"/>
    </row>
    <row r="1160" spans="1:4" x14ac:dyDescent="0.25">
      <c r="A1160" t="str">
        <f>IF(COUNTIF(B$1:B1160,B1160)=1,MAX(A$1:A1159)+1,"")</f>
        <v/>
      </c>
      <c r="B1160" s="11"/>
      <c r="C1160" s="11" t="str">
        <f>IF(COUNTIF(D$1:D1160,D1160)=1,MAX(C$1:C1159)+1,"")</f>
        <v/>
      </c>
      <c r="D1160" s="12"/>
    </row>
    <row r="1161" spans="1:4" x14ac:dyDescent="0.25">
      <c r="A1161" t="str">
        <f>IF(COUNTIF(B$1:B1161,B1161)=1,MAX(A$1:A1160)+1,"")</f>
        <v/>
      </c>
      <c r="B1161" s="11"/>
      <c r="C1161" s="11" t="str">
        <f>IF(COUNTIF(D$1:D1161,D1161)=1,MAX(C$1:C1160)+1,"")</f>
        <v/>
      </c>
      <c r="D1161" s="12"/>
    </row>
    <row r="1162" spans="1:4" x14ac:dyDescent="0.25">
      <c r="A1162" t="str">
        <f>IF(COUNTIF(B$1:B1162,B1162)=1,MAX(A$1:A1161)+1,"")</f>
        <v/>
      </c>
      <c r="B1162" s="11"/>
      <c r="C1162" s="11" t="str">
        <f>IF(COUNTIF(D$1:D1162,D1162)=1,MAX(C$1:C1161)+1,"")</f>
        <v/>
      </c>
      <c r="D1162" s="12"/>
    </row>
    <row r="1163" spans="1:4" x14ac:dyDescent="0.25">
      <c r="A1163" t="str">
        <f>IF(COUNTIF(B$1:B1163,B1163)=1,MAX(A$1:A1162)+1,"")</f>
        <v/>
      </c>
      <c r="B1163" s="11"/>
      <c r="C1163" s="11" t="str">
        <f>IF(COUNTIF(D$1:D1163,D1163)=1,MAX(C$1:C1162)+1,"")</f>
        <v/>
      </c>
      <c r="D1163" s="12"/>
    </row>
    <row r="1164" spans="1:4" x14ac:dyDescent="0.25">
      <c r="A1164" t="str">
        <f>IF(COUNTIF(B$1:B1164,B1164)=1,MAX(A$1:A1163)+1,"")</f>
        <v/>
      </c>
      <c r="B1164" s="11"/>
      <c r="C1164" s="11" t="str">
        <f>IF(COUNTIF(D$1:D1164,D1164)=1,MAX(C$1:C1163)+1,"")</f>
        <v/>
      </c>
      <c r="D1164" s="12"/>
    </row>
    <row r="1165" spans="1:4" x14ac:dyDescent="0.25">
      <c r="A1165" t="str">
        <f>IF(COUNTIF(B$1:B1165,B1165)=1,MAX(A$1:A1164)+1,"")</f>
        <v/>
      </c>
      <c r="B1165" s="11"/>
      <c r="C1165" s="11" t="str">
        <f>IF(COUNTIF(D$1:D1165,D1165)=1,MAX(C$1:C1164)+1,"")</f>
        <v/>
      </c>
      <c r="D1165" s="12"/>
    </row>
    <row r="1166" spans="1:4" x14ac:dyDescent="0.25">
      <c r="A1166" t="str">
        <f>IF(COUNTIF(B$1:B1166,B1166)=1,MAX(A$1:A1165)+1,"")</f>
        <v/>
      </c>
      <c r="B1166" s="11"/>
      <c r="C1166" s="11" t="str">
        <f>IF(COUNTIF(D$1:D1166,D1166)=1,MAX(C$1:C1165)+1,"")</f>
        <v/>
      </c>
      <c r="D1166" s="12"/>
    </row>
    <row r="1167" spans="1:4" x14ac:dyDescent="0.25">
      <c r="A1167" t="str">
        <f>IF(COUNTIF(B$1:B1167,B1167)=1,MAX(A$1:A1166)+1,"")</f>
        <v/>
      </c>
      <c r="B1167" s="11"/>
      <c r="C1167" s="11" t="str">
        <f>IF(COUNTIF(D$1:D1167,D1167)=1,MAX(C$1:C1166)+1,"")</f>
        <v/>
      </c>
      <c r="D1167" s="12"/>
    </row>
    <row r="1168" spans="1:4" x14ac:dyDescent="0.25">
      <c r="A1168" t="str">
        <f>IF(COUNTIF(B$1:B1168,B1168)=1,MAX(A$1:A1167)+1,"")</f>
        <v/>
      </c>
      <c r="B1168" s="11"/>
      <c r="C1168" s="11" t="str">
        <f>IF(COUNTIF(D$1:D1168,D1168)=1,MAX(C$1:C1167)+1,"")</f>
        <v/>
      </c>
      <c r="D1168" s="12"/>
    </row>
    <row r="1169" spans="1:4" x14ac:dyDescent="0.25">
      <c r="A1169" t="str">
        <f>IF(COUNTIF(B$1:B1169,B1169)=1,MAX(A$1:A1168)+1,"")</f>
        <v/>
      </c>
      <c r="B1169" s="11"/>
      <c r="C1169" s="11" t="str">
        <f>IF(COUNTIF(D$1:D1169,D1169)=1,MAX(C$1:C1168)+1,"")</f>
        <v/>
      </c>
      <c r="D1169" s="12"/>
    </row>
    <row r="1170" spans="1:4" x14ac:dyDescent="0.25">
      <c r="A1170" t="str">
        <f>IF(COUNTIF(B$1:B1170,B1170)=1,MAX(A$1:A1169)+1,"")</f>
        <v/>
      </c>
      <c r="B1170" s="11"/>
      <c r="C1170" s="11" t="str">
        <f>IF(COUNTIF(D$1:D1170,D1170)=1,MAX(C$1:C1169)+1,"")</f>
        <v/>
      </c>
      <c r="D1170" s="12"/>
    </row>
    <row r="1171" spans="1:4" x14ac:dyDescent="0.25">
      <c r="A1171" t="str">
        <f>IF(COUNTIF(B$1:B1171,B1171)=1,MAX(A$1:A1170)+1,"")</f>
        <v/>
      </c>
      <c r="B1171" s="11"/>
      <c r="C1171" s="11" t="str">
        <f>IF(COUNTIF(D$1:D1171,D1171)=1,MAX(C$1:C1170)+1,"")</f>
        <v/>
      </c>
      <c r="D1171" s="12"/>
    </row>
    <row r="1172" spans="1:4" x14ac:dyDescent="0.25">
      <c r="A1172" t="str">
        <f>IF(COUNTIF(B$1:B1172,B1172)=1,MAX(A$1:A1171)+1,"")</f>
        <v/>
      </c>
      <c r="B1172" s="11"/>
      <c r="C1172" s="11" t="str">
        <f>IF(COUNTIF(D$1:D1172,D1172)=1,MAX(C$1:C1171)+1,"")</f>
        <v/>
      </c>
      <c r="D1172" s="12"/>
    </row>
    <row r="1173" spans="1:4" x14ac:dyDescent="0.25">
      <c r="A1173" t="str">
        <f>IF(COUNTIF(B$1:B1173,B1173)=1,MAX(A$1:A1172)+1,"")</f>
        <v/>
      </c>
      <c r="B1173" s="11"/>
      <c r="C1173" s="11" t="str">
        <f>IF(COUNTIF(D$1:D1173,D1173)=1,MAX(C$1:C1172)+1,"")</f>
        <v/>
      </c>
      <c r="D1173" s="12"/>
    </row>
    <row r="1174" spans="1:4" x14ac:dyDescent="0.25">
      <c r="A1174" t="str">
        <f>IF(COUNTIF(B$1:B1174,B1174)=1,MAX(A$1:A1173)+1,"")</f>
        <v/>
      </c>
      <c r="B1174" s="11"/>
      <c r="C1174" s="11" t="str">
        <f>IF(COUNTIF(D$1:D1174,D1174)=1,MAX(C$1:C1173)+1,"")</f>
        <v/>
      </c>
      <c r="D1174" s="12"/>
    </row>
    <row r="1175" spans="1:4" x14ac:dyDescent="0.25">
      <c r="A1175" t="str">
        <f>IF(COUNTIF(B$1:B1175,B1175)=1,MAX(A$1:A1174)+1,"")</f>
        <v/>
      </c>
      <c r="B1175" s="11"/>
      <c r="C1175" s="11" t="str">
        <f>IF(COUNTIF(D$1:D1175,D1175)=1,MAX(C$1:C1174)+1,"")</f>
        <v/>
      </c>
      <c r="D1175" s="12"/>
    </row>
    <row r="1176" spans="1:4" x14ac:dyDescent="0.25">
      <c r="A1176" t="str">
        <f>IF(COUNTIF(B$1:B1176,B1176)=1,MAX(A$1:A1175)+1,"")</f>
        <v/>
      </c>
      <c r="B1176" s="11"/>
      <c r="C1176" s="11" t="str">
        <f>IF(COUNTIF(D$1:D1176,D1176)=1,MAX(C$1:C1175)+1,"")</f>
        <v/>
      </c>
      <c r="D1176" s="12"/>
    </row>
    <row r="1177" spans="1:4" x14ac:dyDescent="0.25">
      <c r="A1177" t="str">
        <f>IF(COUNTIF(B$1:B1177,B1177)=1,MAX(A$1:A1176)+1,"")</f>
        <v/>
      </c>
      <c r="B1177" s="11"/>
      <c r="C1177" s="11" t="str">
        <f>IF(COUNTIF(D$1:D1177,D1177)=1,MAX(C$1:C1176)+1,"")</f>
        <v/>
      </c>
      <c r="D1177" s="12"/>
    </row>
    <row r="1178" spans="1:4" x14ac:dyDescent="0.25">
      <c r="A1178" t="str">
        <f>IF(COUNTIF(B$1:B1178,B1178)=1,MAX(A$1:A1177)+1,"")</f>
        <v/>
      </c>
      <c r="B1178" s="11"/>
      <c r="C1178" s="11" t="str">
        <f>IF(COUNTIF(D$1:D1178,D1178)=1,MAX(C$1:C1177)+1,"")</f>
        <v/>
      </c>
      <c r="D1178" s="12"/>
    </row>
    <row r="1179" spans="1:4" x14ac:dyDescent="0.25">
      <c r="A1179" t="str">
        <f>IF(COUNTIF(B$1:B1179,B1179)=1,MAX(A$1:A1178)+1,"")</f>
        <v/>
      </c>
      <c r="B1179" s="11"/>
      <c r="C1179" s="11" t="str">
        <f>IF(COUNTIF(D$1:D1179,D1179)=1,MAX(C$1:C1178)+1,"")</f>
        <v/>
      </c>
      <c r="D1179" s="12"/>
    </row>
    <row r="1180" spans="1:4" x14ac:dyDescent="0.25">
      <c r="A1180" t="str">
        <f>IF(COUNTIF(B$1:B1180,B1180)=1,MAX(A$1:A1179)+1,"")</f>
        <v/>
      </c>
      <c r="B1180" s="11"/>
      <c r="C1180" s="11" t="str">
        <f>IF(COUNTIF(D$1:D1180,D1180)=1,MAX(C$1:C1179)+1,"")</f>
        <v/>
      </c>
      <c r="D1180" s="12"/>
    </row>
    <row r="1181" spans="1:4" x14ac:dyDescent="0.25">
      <c r="A1181" t="str">
        <f>IF(COUNTIF(B$1:B1181,B1181)=1,MAX(A$1:A1180)+1,"")</f>
        <v/>
      </c>
      <c r="B1181" s="11"/>
      <c r="C1181" s="11" t="str">
        <f>IF(COUNTIF(D$1:D1181,D1181)=1,MAX(C$1:C1180)+1,"")</f>
        <v/>
      </c>
      <c r="D1181" s="12"/>
    </row>
    <row r="1182" spans="1:4" x14ac:dyDescent="0.25">
      <c r="A1182" t="str">
        <f>IF(COUNTIF(B$1:B1182,B1182)=1,MAX(A$1:A1181)+1,"")</f>
        <v/>
      </c>
      <c r="B1182" s="11"/>
      <c r="C1182" s="11" t="str">
        <f>IF(COUNTIF(D$1:D1182,D1182)=1,MAX(C$1:C1181)+1,"")</f>
        <v/>
      </c>
      <c r="D1182" s="12"/>
    </row>
    <row r="1183" spans="1:4" x14ac:dyDescent="0.25">
      <c r="A1183" t="str">
        <f>IF(COUNTIF(B$1:B1183,B1183)=1,MAX(A$1:A1182)+1,"")</f>
        <v/>
      </c>
      <c r="B1183" s="11"/>
      <c r="C1183" s="11" t="str">
        <f>IF(COUNTIF(D$1:D1183,D1183)=1,MAX(C$1:C1182)+1,"")</f>
        <v/>
      </c>
      <c r="D1183" s="12"/>
    </row>
    <row r="1184" spans="1:4" x14ac:dyDescent="0.25">
      <c r="A1184" t="str">
        <f>IF(COUNTIF(B$1:B1184,B1184)=1,MAX(A$1:A1183)+1,"")</f>
        <v/>
      </c>
      <c r="B1184" s="11"/>
      <c r="C1184" s="11" t="str">
        <f>IF(COUNTIF(D$1:D1184,D1184)=1,MAX(C$1:C1183)+1,"")</f>
        <v/>
      </c>
      <c r="D1184" s="12"/>
    </row>
    <row r="1185" spans="1:4" x14ac:dyDescent="0.25">
      <c r="A1185" t="str">
        <f>IF(COUNTIF(B$1:B1185,B1185)=1,MAX(A$1:A1184)+1,"")</f>
        <v/>
      </c>
      <c r="B1185" s="11"/>
      <c r="C1185" s="11" t="str">
        <f>IF(COUNTIF(D$1:D1185,D1185)=1,MAX(C$1:C1184)+1,"")</f>
        <v/>
      </c>
      <c r="D1185" s="12"/>
    </row>
    <row r="1186" spans="1:4" x14ac:dyDescent="0.25">
      <c r="A1186" t="str">
        <f>IF(COUNTIF(B$1:B1186,B1186)=1,MAX(A$1:A1185)+1,"")</f>
        <v/>
      </c>
      <c r="B1186" s="11"/>
      <c r="C1186" s="11" t="str">
        <f>IF(COUNTIF(D$1:D1186,D1186)=1,MAX(C$1:C1185)+1,"")</f>
        <v/>
      </c>
      <c r="D1186" s="12"/>
    </row>
    <row r="1187" spans="1:4" x14ac:dyDescent="0.25">
      <c r="A1187" t="str">
        <f>IF(COUNTIF(B$1:B1187,B1187)=1,MAX(A$1:A1186)+1,"")</f>
        <v/>
      </c>
      <c r="B1187" s="11"/>
      <c r="C1187" s="11" t="str">
        <f>IF(COUNTIF(D$1:D1187,D1187)=1,MAX(C$1:C1186)+1,"")</f>
        <v/>
      </c>
      <c r="D1187" s="12"/>
    </row>
    <row r="1188" spans="1:4" x14ac:dyDescent="0.25">
      <c r="A1188" t="str">
        <f>IF(COUNTIF(B$1:B1188,B1188)=1,MAX(A$1:A1187)+1,"")</f>
        <v/>
      </c>
      <c r="B1188" s="11"/>
      <c r="C1188" s="11" t="str">
        <f>IF(COUNTIF(D$1:D1188,D1188)=1,MAX(C$1:C1187)+1,"")</f>
        <v/>
      </c>
      <c r="D1188" s="12"/>
    </row>
    <row r="1189" spans="1:4" x14ac:dyDescent="0.25">
      <c r="A1189" t="str">
        <f>IF(COUNTIF(B$1:B1189,B1189)=1,MAX(A$1:A1188)+1,"")</f>
        <v/>
      </c>
      <c r="B1189" s="11"/>
      <c r="C1189" s="11" t="str">
        <f>IF(COUNTIF(D$1:D1189,D1189)=1,MAX(C$1:C1188)+1,"")</f>
        <v/>
      </c>
      <c r="D1189" s="12"/>
    </row>
    <row r="1190" spans="1:4" x14ac:dyDescent="0.25">
      <c r="A1190" t="str">
        <f>IF(COUNTIF(B$1:B1190,B1190)=1,MAX(A$1:A1189)+1,"")</f>
        <v/>
      </c>
      <c r="B1190" s="11"/>
      <c r="C1190" s="11" t="str">
        <f>IF(COUNTIF(D$1:D1190,D1190)=1,MAX(C$1:C1189)+1,"")</f>
        <v/>
      </c>
      <c r="D1190" s="12"/>
    </row>
    <row r="1191" spans="1:4" x14ac:dyDescent="0.25">
      <c r="A1191" t="str">
        <f>IF(COUNTIF(B$1:B1191,B1191)=1,MAX(A$1:A1190)+1,"")</f>
        <v/>
      </c>
      <c r="B1191" s="11"/>
      <c r="C1191" s="11" t="str">
        <f>IF(COUNTIF(D$1:D1191,D1191)=1,MAX(C$1:C1190)+1,"")</f>
        <v/>
      </c>
      <c r="D1191" s="12"/>
    </row>
    <row r="1192" spans="1:4" x14ac:dyDescent="0.25">
      <c r="A1192" t="str">
        <f>IF(COUNTIF(B$1:B1192,B1192)=1,MAX(A$1:A1191)+1,"")</f>
        <v/>
      </c>
      <c r="B1192" s="11"/>
      <c r="C1192" s="11" t="str">
        <f>IF(COUNTIF(D$1:D1192,D1192)=1,MAX(C$1:C1191)+1,"")</f>
        <v/>
      </c>
      <c r="D1192" s="12"/>
    </row>
    <row r="1193" spans="1:4" x14ac:dyDescent="0.25">
      <c r="A1193" t="str">
        <f>IF(COUNTIF(B$1:B1193,B1193)=1,MAX(A$1:A1192)+1,"")</f>
        <v/>
      </c>
      <c r="B1193" s="11"/>
      <c r="C1193" s="11" t="str">
        <f>IF(COUNTIF(D$1:D1193,D1193)=1,MAX(C$1:C1192)+1,"")</f>
        <v/>
      </c>
      <c r="D1193" s="12"/>
    </row>
    <row r="1194" spans="1:4" x14ac:dyDescent="0.25">
      <c r="A1194" t="str">
        <f>IF(COUNTIF(B$1:B1194,B1194)=1,MAX(A$1:A1193)+1,"")</f>
        <v/>
      </c>
      <c r="B1194" s="11"/>
      <c r="C1194" s="11" t="str">
        <f>IF(COUNTIF(D$1:D1194,D1194)=1,MAX(C$1:C1193)+1,"")</f>
        <v/>
      </c>
      <c r="D1194" s="12"/>
    </row>
    <row r="1195" spans="1:4" x14ac:dyDescent="0.25">
      <c r="A1195" t="str">
        <f>IF(COUNTIF(B$1:B1195,B1195)=1,MAX(A$1:A1194)+1,"")</f>
        <v/>
      </c>
      <c r="B1195" s="11"/>
      <c r="C1195" s="11" t="str">
        <f>IF(COUNTIF(D$1:D1195,D1195)=1,MAX(C$1:C1194)+1,"")</f>
        <v/>
      </c>
      <c r="D1195" s="12"/>
    </row>
    <row r="1196" spans="1:4" x14ac:dyDescent="0.25">
      <c r="A1196" t="str">
        <f>IF(COUNTIF(B$1:B1196,B1196)=1,MAX(A$1:A1195)+1,"")</f>
        <v/>
      </c>
      <c r="B1196" s="11"/>
      <c r="C1196" s="11" t="str">
        <f>IF(COUNTIF(D$1:D1196,D1196)=1,MAX(C$1:C1195)+1,"")</f>
        <v/>
      </c>
      <c r="D1196" s="12"/>
    </row>
    <row r="1197" spans="1:4" x14ac:dyDescent="0.25">
      <c r="A1197" t="str">
        <f>IF(COUNTIF(B$1:B1197,B1197)=1,MAX(A$1:A1196)+1,"")</f>
        <v/>
      </c>
      <c r="B1197" s="11"/>
      <c r="C1197" s="11" t="str">
        <f>IF(COUNTIF(D$1:D1197,D1197)=1,MAX(C$1:C1196)+1,"")</f>
        <v/>
      </c>
      <c r="D1197" s="12"/>
    </row>
    <row r="1198" spans="1:4" x14ac:dyDescent="0.25">
      <c r="A1198" t="str">
        <f>IF(COUNTIF(B$1:B1198,B1198)=1,MAX(A$1:A1197)+1,"")</f>
        <v/>
      </c>
      <c r="B1198" s="11"/>
      <c r="C1198" s="11" t="str">
        <f>IF(COUNTIF(D$1:D1198,D1198)=1,MAX(C$1:C1197)+1,"")</f>
        <v/>
      </c>
      <c r="D1198" s="12"/>
    </row>
    <row r="1199" spans="1:4" x14ac:dyDescent="0.25">
      <c r="A1199" t="str">
        <f>IF(COUNTIF(B$1:B1199,B1199)=1,MAX(A$1:A1198)+1,"")</f>
        <v/>
      </c>
      <c r="B1199" s="11"/>
      <c r="C1199" s="11" t="str">
        <f>IF(COUNTIF(D$1:D1199,D1199)=1,MAX(C$1:C1198)+1,"")</f>
        <v/>
      </c>
      <c r="D1199" s="12"/>
    </row>
    <row r="1200" spans="1:4" x14ac:dyDescent="0.25">
      <c r="A1200" t="str">
        <f>IF(COUNTIF(B$1:B1200,B1200)=1,MAX(A$1:A1199)+1,"")</f>
        <v/>
      </c>
      <c r="B1200" s="11"/>
      <c r="C1200" s="11" t="str">
        <f>IF(COUNTIF(D$1:D1200,D1200)=1,MAX(C$1:C1199)+1,"")</f>
        <v/>
      </c>
      <c r="D1200" s="12"/>
    </row>
    <row r="1201" spans="1:4" x14ac:dyDescent="0.25">
      <c r="A1201" t="str">
        <f>IF(COUNTIF(B$1:B1201,B1201)=1,MAX(A$1:A1200)+1,"")</f>
        <v/>
      </c>
      <c r="B1201" s="11"/>
      <c r="C1201" s="11" t="str">
        <f>IF(COUNTIF(D$1:D1201,D1201)=1,MAX(C$1:C1200)+1,"")</f>
        <v/>
      </c>
      <c r="D1201" s="12"/>
    </row>
    <row r="1202" spans="1:4" x14ac:dyDescent="0.25">
      <c r="A1202" t="str">
        <f>IF(COUNTIF(B$1:B1202,B1202)=1,MAX(A$1:A1201)+1,"")</f>
        <v/>
      </c>
      <c r="B1202" s="11"/>
      <c r="C1202" s="11" t="str">
        <f>IF(COUNTIF(D$1:D1202,D1202)=1,MAX(C$1:C1201)+1,"")</f>
        <v/>
      </c>
      <c r="D1202" s="12"/>
    </row>
    <row r="1203" spans="1:4" x14ac:dyDescent="0.25">
      <c r="A1203" t="str">
        <f>IF(COUNTIF(B$1:B1203,B1203)=1,MAX(A$1:A1202)+1,"")</f>
        <v/>
      </c>
      <c r="B1203" s="11"/>
      <c r="C1203" s="11" t="str">
        <f>IF(COUNTIF(D$1:D1203,D1203)=1,MAX(C$1:C1202)+1,"")</f>
        <v/>
      </c>
      <c r="D1203" s="12"/>
    </row>
    <row r="1204" spans="1:4" x14ac:dyDescent="0.25">
      <c r="A1204" t="str">
        <f>IF(COUNTIF(B$1:B1204,B1204)=1,MAX(A$1:A1203)+1,"")</f>
        <v/>
      </c>
      <c r="B1204" s="11"/>
      <c r="C1204" s="11" t="str">
        <f>IF(COUNTIF(D$1:D1204,D1204)=1,MAX(C$1:C1203)+1,"")</f>
        <v/>
      </c>
      <c r="D1204" s="12"/>
    </row>
    <row r="1205" spans="1:4" x14ac:dyDescent="0.25">
      <c r="A1205" t="str">
        <f>IF(COUNTIF(B$1:B1205,B1205)=1,MAX(A$1:A1204)+1,"")</f>
        <v/>
      </c>
      <c r="B1205" s="11"/>
      <c r="C1205" s="11" t="str">
        <f>IF(COUNTIF(D$1:D1205,D1205)=1,MAX(C$1:C1204)+1,"")</f>
        <v/>
      </c>
      <c r="D1205" s="12"/>
    </row>
    <row r="1206" spans="1:4" x14ac:dyDescent="0.25">
      <c r="A1206" t="str">
        <f>IF(COUNTIF(B$1:B1206,B1206)=1,MAX(A$1:A1205)+1,"")</f>
        <v/>
      </c>
      <c r="B1206" s="11"/>
      <c r="C1206" s="11" t="str">
        <f>IF(COUNTIF(D$1:D1206,D1206)=1,MAX(C$1:C1205)+1,"")</f>
        <v/>
      </c>
      <c r="D1206" s="12"/>
    </row>
    <row r="1207" spans="1:4" x14ac:dyDescent="0.25">
      <c r="A1207" t="str">
        <f>IF(COUNTIF(B$1:B1207,B1207)=1,MAX(A$1:A1206)+1,"")</f>
        <v/>
      </c>
      <c r="B1207" s="11"/>
      <c r="C1207" s="11" t="str">
        <f>IF(COUNTIF(D$1:D1207,D1207)=1,MAX(C$1:C1206)+1,"")</f>
        <v/>
      </c>
      <c r="D1207" s="12"/>
    </row>
    <row r="1208" spans="1:4" x14ac:dyDescent="0.25">
      <c r="A1208" t="str">
        <f>IF(COUNTIF(B$1:B1208,B1208)=1,MAX(A$1:A1207)+1,"")</f>
        <v/>
      </c>
      <c r="B1208" s="11"/>
      <c r="C1208" s="11" t="str">
        <f>IF(COUNTIF(D$1:D1208,D1208)=1,MAX(C$1:C1207)+1,"")</f>
        <v/>
      </c>
      <c r="D1208" s="12"/>
    </row>
    <row r="1209" spans="1:4" x14ac:dyDescent="0.25">
      <c r="A1209" t="str">
        <f>IF(COUNTIF(B$1:B1209,B1209)=1,MAX(A$1:A1208)+1,"")</f>
        <v/>
      </c>
      <c r="B1209" s="11"/>
      <c r="C1209" s="11" t="str">
        <f>IF(COUNTIF(D$1:D1209,D1209)=1,MAX(C$1:C1208)+1,"")</f>
        <v/>
      </c>
      <c r="D1209" s="12"/>
    </row>
    <row r="1210" spans="1:4" x14ac:dyDescent="0.25">
      <c r="A1210" t="str">
        <f>IF(COUNTIF(B$1:B1210,B1210)=1,MAX(A$1:A1209)+1,"")</f>
        <v/>
      </c>
      <c r="B1210" s="11"/>
      <c r="C1210" s="11" t="str">
        <f>IF(COUNTIF(D$1:D1210,D1210)=1,MAX(C$1:C1209)+1,"")</f>
        <v/>
      </c>
      <c r="D1210" s="12"/>
    </row>
    <row r="1211" spans="1:4" x14ac:dyDescent="0.25">
      <c r="A1211" t="str">
        <f>IF(COUNTIF(B$1:B1211,B1211)=1,MAX(A$1:A1210)+1,"")</f>
        <v/>
      </c>
      <c r="B1211" s="11"/>
      <c r="C1211" s="11" t="str">
        <f>IF(COUNTIF(D$1:D1211,D1211)=1,MAX(C$1:C1210)+1,"")</f>
        <v/>
      </c>
      <c r="D1211" s="12"/>
    </row>
    <row r="1212" spans="1:4" x14ac:dyDescent="0.25">
      <c r="A1212" t="str">
        <f>IF(COUNTIF(B$1:B1212,B1212)=1,MAX(A$1:A1211)+1,"")</f>
        <v/>
      </c>
      <c r="B1212" s="11"/>
      <c r="C1212" s="11" t="str">
        <f>IF(COUNTIF(D$1:D1212,D1212)=1,MAX(C$1:C1211)+1,"")</f>
        <v/>
      </c>
      <c r="D1212" s="12"/>
    </row>
    <row r="1213" spans="1:4" x14ac:dyDescent="0.25">
      <c r="A1213" t="str">
        <f>IF(COUNTIF(B$1:B1213,B1213)=1,MAX(A$1:A1212)+1,"")</f>
        <v/>
      </c>
      <c r="B1213" s="11"/>
      <c r="C1213" s="11" t="str">
        <f>IF(COUNTIF(D$1:D1213,D1213)=1,MAX(C$1:C1212)+1,"")</f>
        <v/>
      </c>
      <c r="D1213" s="12"/>
    </row>
    <row r="1214" spans="1:4" x14ac:dyDescent="0.25">
      <c r="A1214" t="str">
        <f>IF(COUNTIF(B$1:B1214,B1214)=1,MAX(A$1:A1213)+1,"")</f>
        <v/>
      </c>
      <c r="B1214" s="11"/>
      <c r="C1214" s="11" t="str">
        <f>IF(COUNTIF(D$1:D1214,D1214)=1,MAX(C$1:C1213)+1,"")</f>
        <v/>
      </c>
      <c r="D1214" s="12"/>
    </row>
    <row r="1215" spans="1:4" x14ac:dyDescent="0.25">
      <c r="A1215" t="str">
        <f>IF(COUNTIF(B$1:B1215,B1215)=1,MAX(A$1:A1214)+1,"")</f>
        <v/>
      </c>
      <c r="B1215" s="11"/>
      <c r="C1215" s="11" t="str">
        <f>IF(COUNTIF(D$1:D1215,D1215)=1,MAX(C$1:C1214)+1,"")</f>
        <v/>
      </c>
      <c r="D1215" s="12"/>
    </row>
    <row r="1216" spans="1:4" x14ac:dyDescent="0.25">
      <c r="A1216" t="str">
        <f>IF(COUNTIF(B$1:B1216,B1216)=1,MAX(A$1:A1215)+1,"")</f>
        <v/>
      </c>
      <c r="B1216" s="11"/>
      <c r="C1216" s="11" t="str">
        <f>IF(COUNTIF(D$1:D1216,D1216)=1,MAX(C$1:C1215)+1,"")</f>
        <v/>
      </c>
      <c r="D1216" s="12"/>
    </row>
    <row r="1217" spans="1:4" x14ac:dyDescent="0.25">
      <c r="A1217" t="str">
        <f>IF(COUNTIF(B$1:B1217,B1217)=1,MAX(A$1:A1216)+1,"")</f>
        <v/>
      </c>
      <c r="B1217" s="11"/>
      <c r="C1217" s="11" t="str">
        <f>IF(COUNTIF(D$1:D1217,D1217)=1,MAX(C$1:C1216)+1,"")</f>
        <v/>
      </c>
      <c r="D1217" s="12"/>
    </row>
    <row r="1218" spans="1:4" x14ac:dyDescent="0.25">
      <c r="A1218" t="str">
        <f>IF(COUNTIF(B$1:B1218,B1218)=1,MAX(A$1:A1217)+1,"")</f>
        <v/>
      </c>
      <c r="B1218" s="11"/>
      <c r="C1218" s="11" t="str">
        <f>IF(COUNTIF(D$1:D1218,D1218)=1,MAX(C$1:C1217)+1,"")</f>
        <v/>
      </c>
      <c r="D1218" s="12"/>
    </row>
    <row r="1219" spans="1:4" x14ac:dyDescent="0.25">
      <c r="A1219" t="str">
        <f>IF(COUNTIF(B$1:B1219,B1219)=1,MAX(A$1:A1218)+1,"")</f>
        <v/>
      </c>
      <c r="B1219" s="11"/>
      <c r="C1219" s="11" t="str">
        <f>IF(COUNTIF(D$1:D1219,D1219)=1,MAX(C$1:C1218)+1,"")</f>
        <v/>
      </c>
      <c r="D1219" s="12"/>
    </row>
    <row r="1220" spans="1:4" x14ac:dyDescent="0.25">
      <c r="A1220" t="str">
        <f>IF(COUNTIF(B$1:B1220,B1220)=1,MAX(A$1:A1219)+1,"")</f>
        <v/>
      </c>
      <c r="B1220" s="11"/>
      <c r="C1220" s="11" t="str">
        <f>IF(COUNTIF(D$1:D1220,D1220)=1,MAX(C$1:C1219)+1,"")</f>
        <v/>
      </c>
      <c r="D1220" s="12"/>
    </row>
    <row r="1221" spans="1:4" x14ac:dyDescent="0.25">
      <c r="A1221" t="str">
        <f>IF(COUNTIF(B$1:B1221,B1221)=1,MAX(A$1:A1220)+1,"")</f>
        <v/>
      </c>
      <c r="B1221" s="11"/>
      <c r="C1221" s="11" t="str">
        <f>IF(COUNTIF(D$1:D1221,D1221)=1,MAX(C$1:C1220)+1,"")</f>
        <v/>
      </c>
      <c r="D1221" s="12"/>
    </row>
    <row r="1222" spans="1:4" x14ac:dyDescent="0.25">
      <c r="A1222" t="str">
        <f>IF(COUNTIF(B$1:B1222,B1222)=1,MAX(A$1:A1221)+1,"")</f>
        <v/>
      </c>
      <c r="B1222" s="11"/>
      <c r="C1222" s="11" t="str">
        <f>IF(COUNTIF(D$1:D1222,D1222)=1,MAX(C$1:C1221)+1,"")</f>
        <v/>
      </c>
      <c r="D1222" s="12"/>
    </row>
    <row r="1223" spans="1:4" x14ac:dyDescent="0.25">
      <c r="A1223" t="str">
        <f>IF(COUNTIF(B$1:B1223,B1223)=1,MAX(A$1:A1222)+1,"")</f>
        <v/>
      </c>
      <c r="B1223" s="11"/>
      <c r="C1223" s="11" t="str">
        <f>IF(COUNTIF(D$1:D1223,D1223)=1,MAX(C$1:C1222)+1,"")</f>
        <v/>
      </c>
      <c r="D1223" s="12"/>
    </row>
    <row r="1224" spans="1:4" x14ac:dyDescent="0.25">
      <c r="A1224" t="str">
        <f>IF(COUNTIF(B$1:B1224,B1224)=1,MAX(A$1:A1223)+1,"")</f>
        <v/>
      </c>
      <c r="B1224" s="11"/>
      <c r="C1224" s="11" t="str">
        <f>IF(COUNTIF(D$1:D1224,D1224)=1,MAX(C$1:C1223)+1,"")</f>
        <v/>
      </c>
      <c r="D1224" s="12"/>
    </row>
    <row r="1225" spans="1:4" x14ac:dyDescent="0.25">
      <c r="A1225" t="str">
        <f>IF(COUNTIF(B$1:B1225,B1225)=1,MAX(A$1:A1224)+1,"")</f>
        <v/>
      </c>
      <c r="B1225" s="11"/>
      <c r="C1225" s="11" t="str">
        <f>IF(COUNTIF(D$1:D1225,D1225)=1,MAX(C$1:C1224)+1,"")</f>
        <v/>
      </c>
      <c r="D1225" s="12"/>
    </row>
    <row r="1226" spans="1:4" x14ac:dyDescent="0.25">
      <c r="A1226" t="str">
        <f>IF(COUNTIF(B$1:B1226,B1226)=1,MAX(A$1:A1225)+1,"")</f>
        <v/>
      </c>
      <c r="B1226" s="11"/>
      <c r="C1226" s="11" t="str">
        <f>IF(COUNTIF(D$1:D1226,D1226)=1,MAX(C$1:C1225)+1,"")</f>
        <v/>
      </c>
      <c r="D1226" s="12"/>
    </row>
    <row r="1227" spans="1:4" x14ac:dyDescent="0.25">
      <c r="A1227" t="str">
        <f>IF(COUNTIF(B$1:B1227,B1227)=1,MAX(A$1:A1226)+1,"")</f>
        <v/>
      </c>
      <c r="B1227" s="11"/>
      <c r="C1227" s="11" t="str">
        <f>IF(COUNTIF(D$1:D1227,D1227)=1,MAX(C$1:C1226)+1,"")</f>
        <v/>
      </c>
      <c r="D1227" s="12"/>
    </row>
    <row r="1228" spans="1:4" x14ac:dyDescent="0.25">
      <c r="A1228" t="str">
        <f>IF(COUNTIF(B$1:B1228,B1228)=1,MAX(A$1:A1227)+1,"")</f>
        <v/>
      </c>
      <c r="B1228" s="11"/>
      <c r="C1228" s="11" t="str">
        <f>IF(COUNTIF(D$1:D1228,D1228)=1,MAX(C$1:C1227)+1,"")</f>
        <v/>
      </c>
      <c r="D1228" s="12"/>
    </row>
    <row r="1229" spans="1:4" x14ac:dyDescent="0.25">
      <c r="A1229" t="str">
        <f>IF(COUNTIF(B$1:B1229,B1229)=1,MAX(A$1:A1228)+1,"")</f>
        <v/>
      </c>
      <c r="B1229" s="11"/>
      <c r="C1229" s="11" t="str">
        <f>IF(COUNTIF(D$1:D1229,D1229)=1,MAX(C$1:C1228)+1,"")</f>
        <v/>
      </c>
      <c r="D1229" s="12"/>
    </row>
    <row r="1230" spans="1:4" x14ac:dyDescent="0.25">
      <c r="A1230" t="str">
        <f>IF(COUNTIF(B$1:B1230,B1230)=1,MAX(A$1:A1229)+1,"")</f>
        <v/>
      </c>
      <c r="B1230" s="11"/>
      <c r="C1230" s="11" t="str">
        <f>IF(COUNTIF(D$1:D1230,D1230)=1,MAX(C$1:C1229)+1,"")</f>
        <v/>
      </c>
      <c r="D1230" s="12"/>
    </row>
    <row r="1231" spans="1:4" x14ac:dyDescent="0.25">
      <c r="A1231" t="str">
        <f>IF(COUNTIF(B$1:B1231,B1231)=1,MAX(A$1:A1230)+1,"")</f>
        <v/>
      </c>
      <c r="B1231" s="11"/>
      <c r="C1231" s="11" t="str">
        <f>IF(COUNTIF(D$1:D1231,D1231)=1,MAX(C$1:C1230)+1,"")</f>
        <v/>
      </c>
      <c r="D1231" s="12"/>
    </row>
    <row r="1232" spans="1:4" x14ac:dyDescent="0.25">
      <c r="A1232" t="str">
        <f>IF(COUNTIF(B$1:B1232,B1232)=1,MAX(A$1:A1231)+1,"")</f>
        <v/>
      </c>
      <c r="B1232" s="11"/>
      <c r="C1232" s="11" t="str">
        <f>IF(COUNTIF(D$1:D1232,D1232)=1,MAX(C$1:C1231)+1,"")</f>
        <v/>
      </c>
      <c r="D1232" s="12"/>
    </row>
    <row r="1233" spans="1:4" x14ac:dyDescent="0.25">
      <c r="A1233" t="str">
        <f>IF(COUNTIF(B$1:B1233,B1233)=1,MAX(A$1:A1232)+1,"")</f>
        <v/>
      </c>
      <c r="B1233" s="11"/>
      <c r="C1233" s="11" t="str">
        <f>IF(COUNTIF(D$1:D1233,D1233)=1,MAX(C$1:C1232)+1,"")</f>
        <v/>
      </c>
      <c r="D1233" s="12"/>
    </row>
    <row r="1234" spans="1:4" x14ac:dyDescent="0.25">
      <c r="A1234" t="str">
        <f>IF(COUNTIF(B$1:B1234,B1234)=1,MAX(A$1:A1233)+1,"")</f>
        <v/>
      </c>
      <c r="B1234" s="11"/>
      <c r="C1234" s="11" t="str">
        <f>IF(COUNTIF(D$1:D1234,D1234)=1,MAX(C$1:C1233)+1,"")</f>
        <v/>
      </c>
      <c r="D1234" s="12"/>
    </row>
    <row r="1235" spans="1:4" x14ac:dyDescent="0.25">
      <c r="A1235" t="str">
        <f>IF(COUNTIF(B$1:B1235,B1235)=1,MAX(A$1:A1234)+1,"")</f>
        <v/>
      </c>
      <c r="B1235" s="11"/>
      <c r="C1235" s="11" t="str">
        <f>IF(COUNTIF(D$1:D1235,D1235)=1,MAX(C$1:C1234)+1,"")</f>
        <v/>
      </c>
      <c r="D1235" s="12"/>
    </row>
    <row r="1236" spans="1:4" x14ac:dyDescent="0.25">
      <c r="A1236" t="str">
        <f>IF(COUNTIF(B$1:B1236,B1236)=1,MAX(A$1:A1235)+1,"")</f>
        <v/>
      </c>
      <c r="B1236" s="11"/>
      <c r="C1236" s="11" t="str">
        <f>IF(COUNTIF(D$1:D1236,D1236)=1,MAX(C$1:C1235)+1,"")</f>
        <v/>
      </c>
      <c r="D1236" s="12"/>
    </row>
    <row r="1237" spans="1:4" x14ac:dyDescent="0.25">
      <c r="A1237" t="str">
        <f>IF(COUNTIF(B$1:B1237,B1237)=1,MAX(A$1:A1236)+1,"")</f>
        <v/>
      </c>
      <c r="B1237" s="11"/>
      <c r="C1237" s="11" t="str">
        <f>IF(COUNTIF(D$1:D1237,D1237)=1,MAX(C$1:C1236)+1,"")</f>
        <v/>
      </c>
      <c r="D1237" s="12"/>
    </row>
    <row r="1238" spans="1:4" x14ac:dyDescent="0.25">
      <c r="A1238" t="str">
        <f>IF(COUNTIF(B$1:B1238,B1238)=1,MAX(A$1:A1237)+1,"")</f>
        <v/>
      </c>
      <c r="B1238" s="11"/>
      <c r="C1238" s="11" t="str">
        <f>IF(COUNTIF(D$1:D1238,D1238)=1,MAX(C$1:C1237)+1,"")</f>
        <v/>
      </c>
      <c r="D1238" s="12"/>
    </row>
    <row r="1239" spans="1:4" x14ac:dyDescent="0.25">
      <c r="A1239" t="str">
        <f>IF(COUNTIF(B$1:B1239,B1239)=1,MAX(A$1:A1238)+1,"")</f>
        <v/>
      </c>
      <c r="B1239" s="11"/>
      <c r="C1239" s="11" t="str">
        <f>IF(COUNTIF(D$1:D1239,D1239)=1,MAX(C$1:C1238)+1,"")</f>
        <v/>
      </c>
      <c r="D1239" s="12"/>
    </row>
    <row r="1240" spans="1:4" x14ac:dyDescent="0.25">
      <c r="A1240" t="str">
        <f>IF(COUNTIF(B$1:B1240,B1240)=1,MAX(A$1:A1239)+1,"")</f>
        <v/>
      </c>
      <c r="B1240" s="11"/>
      <c r="C1240" s="11" t="str">
        <f>IF(COUNTIF(D$1:D1240,D1240)=1,MAX(C$1:C1239)+1,"")</f>
        <v/>
      </c>
      <c r="D1240" s="12"/>
    </row>
    <row r="1241" spans="1:4" x14ac:dyDescent="0.25">
      <c r="A1241" t="str">
        <f>IF(COUNTIF(B$1:B1241,B1241)=1,MAX(A$1:A1240)+1,"")</f>
        <v/>
      </c>
      <c r="B1241" s="11"/>
      <c r="C1241" s="11" t="str">
        <f>IF(COUNTIF(D$1:D1241,D1241)=1,MAX(C$1:C1240)+1,"")</f>
        <v/>
      </c>
      <c r="D1241" s="12"/>
    </row>
    <row r="1242" spans="1:4" x14ac:dyDescent="0.25">
      <c r="A1242" t="str">
        <f>IF(COUNTIF(B$1:B1242,B1242)=1,MAX(A$1:A1241)+1,"")</f>
        <v/>
      </c>
      <c r="B1242" s="11"/>
      <c r="C1242" s="11" t="str">
        <f>IF(COUNTIF(D$1:D1242,D1242)=1,MAX(C$1:C1241)+1,"")</f>
        <v/>
      </c>
      <c r="D1242" s="12"/>
    </row>
    <row r="1243" spans="1:4" x14ac:dyDescent="0.25">
      <c r="A1243" t="str">
        <f>IF(COUNTIF(B$1:B1243,B1243)=1,MAX(A$1:A1242)+1,"")</f>
        <v/>
      </c>
      <c r="B1243" s="11"/>
      <c r="C1243" s="11" t="str">
        <f>IF(COUNTIF(D$1:D1243,D1243)=1,MAX(C$1:C1242)+1,"")</f>
        <v/>
      </c>
      <c r="D1243" s="12"/>
    </row>
    <row r="1244" spans="1:4" x14ac:dyDescent="0.25">
      <c r="A1244" t="str">
        <f>IF(COUNTIF(B$1:B1244,B1244)=1,MAX(A$1:A1243)+1,"")</f>
        <v/>
      </c>
      <c r="B1244" s="11"/>
      <c r="C1244" s="11" t="str">
        <f>IF(COUNTIF(D$1:D1244,D1244)=1,MAX(C$1:C1243)+1,"")</f>
        <v/>
      </c>
      <c r="D1244" s="12"/>
    </row>
    <row r="1245" spans="1:4" x14ac:dyDescent="0.25">
      <c r="A1245" t="str">
        <f>IF(COUNTIF(B$1:B1245,B1245)=1,MAX(A$1:A1244)+1,"")</f>
        <v/>
      </c>
      <c r="B1245" s="11"/>
      <c r="C1245" s="11" t="str">
        <f>IF(COUNTIF(D$1:D1245,D1245)=1,MAX(C$1:C1244)+1,"")</f>
        <v/>
      </c>
      <c r="D1245" s="12"/>
    </row>
    <row r="1246" spans="1:4" x14ac:dyDescent="0.25">
      <c r="A1246" t="str">
        <f>IF(COUNTIF(B$1:B1246,B1246)=1,MAX(A$1:A1245)+1,"")</f>
        <v/>
      </c>
      <c r="B1246" s="11"/>
      <c r="C1246" s="11" t="str">
        <f>IF(COUNTIF(D$1:D1246,D1246)=1,MAX(C$1:C1245)+1,"")</f>
        <v/>
      </c>
      <c r="D1246" s="12"/>
    </row>
    <row r="1247" spans="1:4" x14ac:dyDescent="0.25">
      <c r="A1247" t="str">
        <f>IF(COUNTIF(B$1:B1247,B1247)=1,MAX(A$1:A1246)+1,"")</f>
        <v/>
      </c>
      <c r="B1247" s="11"/>
      <c r="C1247" s="11" t="str">
        <f>IF(COUNTIF(D$1:D1247,D1247)=1,MAX(C$1:C1246)+1,"")</f>
        <v/>
      </c>
      <c r="D1247" s="12"/>
    </row>
    <row r="1248" spans="1:4" x14ac:dyDescent="0.25">
      <c r="A1248" t="str">
        <f>IF(COUNTIF(B$1:B1248,B1248)=1,MAX(A$1:A1247)+1,"")</f>
        <v/>
      </c>
      <c r="B1248" s="11"/>
      <c r="C1248" s="11" t="str">
        <f>IF(COUNTIF(D$1:D1248,D1248)=1,MAX(C$1:C1247)+1,"")</f>
        <v/>
      </c>
      <c r="D1248" s="12"/>
    </row>
    <row r="1249" spans="1:4" x14ac:dyDescent="0.25">
      <c r="A1249" t="str">
        <f>IF(COUNTIF(B$1:B1249,B1249)=1,MAX(A$1:A1248)+1,"")</f>
        <v/>
      </c>
      <c r="B1249" s="11"/>
      <c r="C1249" s="11" t="str">
        <f>IF(COUNTIF(D$1:D1249,D1249)=1,MAX(C$1:C1248)+1,"")</f>
        <v/>
      </c>
      <c r="D1249" s="12"/>
    </row>
    <row r="1250" spans="1:4" x14ac:dyDescent="0.25">
      <c r="A1250" t="str">
        <f>IF(COUNTIF(B$1:B1250,B1250)=1,MAX(A$1:A1249)+1,"")</f>
        <v/>
      </c>
      <c r="B1250" s="11"/>
      <c r="C1250" s="11" t="str">
        <f>IF(COUNTIF(D$1:D1250,D1250)=1,MAX(C$1:C1249)+1,"")</f>
        <v/>
      </c>
      <c r="D1250" s="12"/>
    </row>
    <row r="1251" spans="1:4" x14ac:dyDescent="0.25">
      <c r="A1251" t="str">
        <f>IF(COUNTIF(B$1:B1251,B1251)=1,MAX(A$1:A1250)+1,"")</f>
        <v/>
      </c>
      <c r="B1251" s="11"/>
      <c r="C1251" s="11" t="str">
        <f>IF(COUNTIF(D$1:D1251,D1251)=1,MAX(C$1:C1250)+1,"")</f>
        <v/>
      </c>
      <c r="D1251" s="12"/>
    </row>
    <row r="1252" spans="1:4" x14ac:dyDescent="0.25">
      <c r="A1252" t="str">
        <f>IF(COUNTIF(B$1:B1252,B1252)=1,MAX(A$1:A1251)+1,"")</f>
        <v/>
      </c>
      <c r="B1252" s="11"/>
      <c r="C1252" s="11" t="str">
        <f>IF(COUNTIF(D$1:D1252,D1252)=1,MAX(C$1:C1251)+1,"")</f>
        <v/>
      </c>
      <c r="D1252" s="12"/>
    </row>
    <row r="1253" spans="1:4" x14ac:dyDescent="0.25">
      <c r="A1253" t="str">
        <f>IF(COUNTIF(B$1:B1253,B1253)=1,MAX(A$1:A1252)+1,"")</f>
        <v/>
      </c>
      <c r="B1253" s="11"/>
      <c r="C1253" s="11" t="str">
        <f>IF(COUNTIF(D$1:D1253,D1253)=1,MAX(C$1:C1252)+1,"")</f>
        <v/>
      </c>
      <c r="D1253" s="12"/>
    </row>
    <row r="1254" spans="1:4" x14ac:dyDescent="0.25">
      <c r="A1254" t="str">
        <f>IF(COUNTIF(B$1:B1254,B1254)=1,MAX(A$1:A1253)+1,"")</f>
        <v/>
      </c>
      <c r="B1254" s="11"/>
      <c r="C1254" s="11" t="str">
        <f>IF(COUNTIF(D$1:D1254,D1254)=1,MAX(C$1:C1253)+1,"")</f>
        <v/>
      </c>
      <c r="D1254" s="12"/>
    </row>
    <row r="1255" spans="1:4" x14ac:dyDescent="0.25">
      <c r="A1255" t="str">
        <f>IF(COUNTIF(B$1:B1255,B1255)=1,MAX(A$1:A1254)+1,"")</f>
        <v/>
      </c>
      <c r="B1255" s="11"/>
      <c r="C1255" s="11" t="str">
        <f>IF(COUNTIF(D$1:D1255,D1255)=1,MAX(C$1:C1254)+1,"")</f>
        <v/>
      </c>
      <c r="D1255" s="12"/>
    </row>
    <row r="1256" spans="1:4" x14ac:dyDescent="0.25">
      <c r="A1256" t="str">
        <f>IF(COUNTIF(B$1:B1256,B1256)=1,MAX(A$1:A1255)+1,"")</f>
        <v/>
      </c>
      <c r="B1256" s="11"/>
      <c r="C1256" s="11" t="str">
        <f>IF(COUNTIF(D$1:D1256,D1256)=1,MAX(C$1:C1255)+1,"")</f>
        <v/>
      </c>
      <c r="D1256" s="12"/>
    </row>
    <row r="1257" spans="1:4" x14ac:dyDescent="0.25">
      <c r="A1257" t="str">
        <f>IF(COUNTIF(B$1:B1257,B1257)=1,MAX(A$1:A1256)+1,"")</f>
        <v/>
      </c>
      <c r="B1257" s="11"/>
      <c r="C1257" s="11" t="str">
        <f>IF(COUNTIF(D$1:D1257,D1257)=1,MAX(C$1:C1256)+1,"")</f>
        <v/>
      </c>
      <c r="D1257" s="12"/>
    </row>
    <row r="1258" spans="1:4" x14ac:dyDescent="0.25">
      <c r="A1258" t="str">
        <f>IF(COUNTIF(B$1:B1258,B1258)=1,MAX(A$1:A1257)+1,"")</f>
        <v/>
      </c>
      <c r="B1258" s="11"/>
      <c r="C1258" s="11" t="str">
        <f>IF(COUNTIF(D$1:D1258,D1258)=1,MAX(C$1:C1257)+1,"")</f>
        <v/>
      </c>
      <c r="D1258" s="12"/>
    </row>
    <row r="1259" spans="1:4" x14ac:dyDescent="0.25">
      <c r="A1259" t="str">
        <f>IF(COUNTIF(B$1:B1259,B1259)=1,MAX(A$1:A1258)+1,"")</f>
        <v/>
      </c>
      <c r="B1259" s="11"/>
      <c r="C1259" s="11" t="str">
        <f>IF(COUNTIF(D$1:D1259,D1259)=1,MAX(C$1:C1258)+1,"")</f>
        <v/>
      </c>
      <c r="D1259" s="12"/>
    </row>
    <row r="1260" spans="1:4" x14ac:dyDescent="0.25">
      <c r="A1260" t="str">
        <f>IF(COUNTIF(B$1:B1260,B1260)=1,MAX(A$1:A1259)+1,"")</f>
        <v/>
      </c>
      <c r="B1260" s="11"/>
      <c r="C1260" s="11" t="str">
        <f>IF(COUNTIF(D$1:D1260,D1260)=1,MAX(C$1:C1259)+1,"")</f>
        <v/>
      </c>
      <c r="D1260" s="12"/>
    </row>
    <row r="1261" spans="1:4" x14ac:dyDescent="0.25">
      <c r="A1261" t="str">
        <f>IF(COUNTIF(B$1:B1261,B1261)=1,MAX(A$1:A1260)+1,"")</f>
        <v/>
      </c>
      <c r="B1261" s="11"/>
      <c r="C1261" s="11" t="str">
        <f>IF(COUNTIF(D$1:D1261,D1261)=1,MAX(C$1:C1260)+1,"")</f>
        <v/>
      </c>
      <c r="D1261" s="12"/>
    </row>
    <row r="1262" spans="1:4" x14ac:dyDescent="0.25">
      <c r="A1262" t="str">
        <f>IF(COUNTIF(B$1:B1262,B1262)=1,MAX(A$1:A1261)+1,"")</f>
        <v/>
      </c>
      <c r="B1262" s="11"/>
      <c r="C1262" s="11" t="str">
        <f>IF(COUNTIF(D$1:D1262,D1262)=1,MAX(C$1:C1261)+1,"")</f>
        <v/>
      </c>
      <c r="D1262" s="12"/>
    </row>
    <row r="1263" spans="1:4" x14ac:dyDescent="0.25">
      <c r="A1263" t="str">
        <f>IF(COUNTIF(B$1:B1263,B1263)=1,MAX(A$1:A1262)+1,"")</f>
        <v/>
      </c>
      <c r="B1263" s="11"/>
      <c r="C1263" s="11" t="str">
        <f>IF(COUNTIF(D$1:D1263,D1263)=1,MAX(C$1:C1262)+1,"")</f>
        <v/>
      </c>
      <c r="D1263" s="12"/>
    </row>
    <row r="1264" spans="1:4" x14ac:dyDescent="0.25">
      <c r="A1264" t="str">
        <f>IF(COUNTIF(B$1:B1264,B1264)=1,MAX(A$1:A1263)+1,"")</f>
        <v/>
      </c>
      <c r="B1264" s="11"/>
      <c r="C1264" s="11" t="str">
        <f>IF(COUNTIF(D$1:D1264,D1264)=1,MAX(C$1:C1263)+1,"")</f>
        <v/>
      </c>
      <c r="D1264" s="12"/>
    </row>
    <row r="1265" spans="1:4" x14ac:dyDescent="0.25">
      <c r="A1265" t="str">
        <f>IF(COUNTIF(B$1:B1265,B1265)=1,MAX(A$1:A1264)+1,"")</f>
        <v/>
      </c>
      <c r="B1265" s="11"/>
      <c r="C1265" s="11" t="str">
        <f>IF(COUNTIF(D$1:D1265,D1265)=1,MAX(C$1:C1264)+1,"")</f>
        <v/>
      </c>
      <c r="D1265" s="12"/>
    </row>
    <row r="1266" spans="1:4" x14ac:dyDescent="0.25">
      <c r="A1266" t="str">
        <f>IF(COUNTIF(B$1:B1266,B1266)=1,MAX(A$1:A1265)+1,"")</f>
        <v/>
      </c>
      <c r="B1266" s="11"/>
      <c r="C1266" s="11" t="str">
        <f>IF(COUNTIF(D$1:D1266,D1266)=1,MAX(C$1:C1265)+1,"")</f>
        <v/>
      </c>
      <c r="D1266" s="12"/>
    </row>
    <row r="1267" spans="1:4" x14ac:dyDescent="0.25">
      <c r="A1267" t="str">
        <f>IF(COUNTIF(B$1:B1267,B1267)=1,MAX(A$1:A1266)+1,"")</f>
        <v/>
      </c>
      <c r="B1267" s="11"/>
      <c r="C1267" s="11" t="str">
        <f>IF(COUNTIF(D$1:D1267,D1267)=1,MAX(C$1:C1266)+1,"")</f>
        <v/>
      </c>
      <c r="D1267" s="12"/>
    </row>
    <row r="1268" spans="1:4" x14ac:dyDescent="0.25">
      <c r="A1268" t="str">
        <f>IF(COUNTIF(B$1:B1268,B1268)=1,MAX(A$1:A1267)+1,"")</f>
        <v/>
      </c>
      <c r="B1268" s="11"/>
      <c r="C1268" s="11" t="str">
        <f>IF(COUNTIF(D$1:D1268,D1268)=1,MAX(C$1:C1267)+1,"")</f>
        <v/>
      </c>
      <c r="D1268" s="12"/>
    </row>
    <row r="1269" spans="1:4" x14ac:dyDescent="0.25">
      <c r="A1269" t="str">
        <f>IF(COUNTIF(B$1:B1269,B1269)=1,MAX(A$1:A1268)+1,"")</f>
        <v/>
      </c>
      <c r="B1269" s="11"/>
      <c r="C1269" s="11" t="str">
        <f>IF(COUNTIF(D$1:D1269,D1269)=1,MAX(C$1:C1268)+1,"")</f>
        <v/>
      </c>
      <c r="D1269" s="12"/>
    </row>
    <row r="1270" spans="1:4" x14ac:dyDescent="0.25">
      <c r="A1270" t="str">
        <f>IF(COUNTIF(B$1:B1270,B1270)=1,MAX(A$1:A1269)+1,"")</f>
        <v/>
      </c>
      <c r="B1270" s="11"/>
      <c r="C1270" s="11" t="str">
        <f>IF(COUNTIF(D$1:D1270,D1270)=1,MAX(C$1:C1269)+1,"")</f>
        <v/>
      </c>
      <c r="D1270" s="12"/>
    </row>
    <row r="1271" spans="1:4" x14ac:dyDescent="0.25">
      <c r="A1271" t="str">
        <f>IF(COUNTIF(B$1:B1271,B1271)=1,MAX(A$1:A1270)+1,"")</f>
        <v/>
      </c>
      <c r="B1271" s="11"/>
      <c r="C1271" s="11" t="str">
        <f>IF(COUNTIF(D$1:D1271,D1271)=1,MAX(C$1:C1270)+1,"")</f>
        <v/>
      </c>
      <c r="D1271" s="12"/>
    </row>
    <row r="1272" spans="1:4" x14ac:dyDescent="0.25">
      <c r="A1272" t="str">
        <f>IF(COUNTIF(B$1:B1272,B1272)=1,MAX(A$1:A1271)+1,"")</f>
        <v/>
      </c>
      <c r="B1272" s="11"/>
      <c r="C1272" s="11" t="str">
        <f>IF(COUNTIF(D$1:D1272,D1272)=1,MAX(C$1:C1271)+1,"")</f>
        <v/>
      </c>
      <c r="D1272" s="12"/>
    </row>
    <row r="1273" spans="1:4" x14ac:dyDescent="0.25">
      <c r="A1273" t="str">
        <f>IF(COUNTIF(B$1:B1273,B1273)=1,MAX(A$1:A1272)+1,"")</f>
        <v/>
      </c>
      <c r="B1273" s="11"/>
      <c r="C1273" s="11" t="str">
        <f>IF(COUNTIF(D$1:D1273,D1273)=1,MAX(C$1:C1272)+1,"")</f>
        <v/>
      </c>
      <c r="D1273" s="12"/>
    </row>
    <row r="1274" spans="1:4" x14ac:dyDescent="0.25">
      <c r="A1274" t="str">
        <f>IF(COUNTIF(B$1:B1274,B1274)=1,MAX(A$1:A1273)+1,"")</f>
        <v/>
      </c>
      <c r="B1274" s="11"/>
      <c r="C1274" s="11" t="str">
        <f>IF(COUNTIF(D$1:D1274,D1274)=1,MAX(C$1:C1273)+1,"")</f>
        <v/>
      </c>
      <c r="D1274" s="12"/>
    </row>
    <row r="1275" spans="1:4" x14ac:dyDescent="0.25">
      <c r="A1275" t="str">
        <f>IF(COUNTIF(B$1:B1275,B1275)=1,MAX(A$1:A1274)+1,"")</f>
        <v/>
      </c>
      <c r="B1275" s="11"/>
      <c r="C1275" s="11" t="str">
        <f>IF(COUNTIF(D$1:D1275,D1275)=1,MAX(C$1:C1274)+1,"")</f>
        <v/>
      </c>
      <c r="D1275" s="12"/>
    </row>
    <row r="1276" spans="1:4" x14ac:dyDescent="0.25">
      <c r="A1276" t="str">
        <f>IF(COUNTIF(B$1:B1276,B1276)=1,MAX(A$1:A1275)+1,"")</f>
        <v/>
      </c>
      <c r="B1276" s="11"/>
      <c r="C1276" s="11" t="str">
        <f>IF(COUNTIF(D$1:D1276,D1276)=1,MAX(C$1:C1275)+1,"")</f>
        <v/>
      </c>
      <c r="D1276" s="12"/>
    </row>
    <row r="1277" spans="1:4" x14ac:dyDescent="0.25">
      <c r="A1277" t="str">
        <f>IF(COUNTIF(B$1:B1277,B1277)=1,MAX(A$1:A1276)+1,"")</f>
        <v/>
      </c>
      <c r="B1277" s="11"/>
      <c r="C1277" s="11" t="str">
        <f>IF(COUNTIF(D$1:D1277,D1277)=1,MAX(C$1:C1276)+1,"")</f>
        <v/>
      </c>
      <c r="D1277" s="12"/>
    </row>
    <row r="1278" spans="1:4" x14ac:dyDescent="0.25">
      <c r="A1278" t="str">
        <f>IF(COUNTIF(B$1:B1278,B1278)=1,MAX(A$1:A1277)+1,"")</f>
        <v/>
      </c>
      <c r="B1278" s="11"/>
      <c r="C1278" s="11" t="str">
        <f>IF(COUNTIF(D$1:D1278,D1278)=1,MAX(C$1:C1277)+1,"")</f>
        <v/>
      </c>
      <c r="D1278" s="12"/>
    </row>
    <row r="1279" spans="1:4" x14ac:dyDescent="0.25">
      <c r="A1279" t="str">
        <f>IF(COUNTIF(B$1:B1279,B1279)=1,MAX(A$1:A1278)+1,"")</f>
        <v/>
      </c>
      <c r="B1279" s="11"/>
      <c r="C1279" s="11" t="str">
        <f>IF(COUNTIF(D$1:D1279,D1279)=1,MAX(C$1:C1278)+1,"")</f>
        <v/>
      </c>
      <c r="D1279" s="12"/>
    </row>
    <row r="1280" spans="1:4" x14ac:dyDescent="0.25">
      <c r="A1280" t="str">
        <f>IF(COUNTIF(B$1:B1280,B1280)=1,MAX(A$1:A1279)+1,"")</f>
        <v/>
      </c>
      <c r="B1280" s="11"/>
      <c r="C1280" s="11" t="str">
        <f>IF(COUNTIF(D$1:D1280,D1280)=1,MAX(C$1:C1279)+1,"")</f>
        <v/>
      </c>
      <c r="D1280" s="12"/>
    </row>
    <row r="1281" spans="1:4" x14ac:dyDescent="0.25">
      <c r="A1281" t="str">
        <f>IF(COUNTIF(B$1:B1281,B1281)=1,MAX(A$1:A1280)+1,"")</f>
        <v/>
      </c>
      <c r="B1281" s="11"/>
      <c r="C1281" s="11" t="str">
        <f>IF(COUNTIF(D$1:D1281,D1281)=1,MAX(C$1:C1280)+1,"")</f>
        <v/>
      </c>
      <c r="D1281" s="12"/>
    </row>
    <row r="1282" spans="1:4" x14ac:dyDescent="0.25">
      <c r="A1282" t="str">
        <f>IF(COUNTIF(B$1:B1282,B1282)=1,MAX(A$1:A1281)+1,"")</f>
        <v/>
      </c>
      <c r="B1282" s="11"/>
      <c r="C1282" s="11" t="str">
        <f>IF(COUNTIF(D$1:D1282,D1282)=1,MAX(C$1:C1281)+1,"")</f>
        <v/>
      </c>
      <c r="D1282" s="12"/>
    </row>
    <row r="1283" spans="1:4" x14ac:dyDescent="0.25">
      <c r="A1283" t="str">
        <f>IF(COUNTIF(B$1:B1283,B1283)=1,MAX(A$1:A1282)+1,"")</f>
        <v/>
      </c>
      <c r="B1283" s="11"/>
      <c r="C1283" s="11" t="str">
        <f>IF(COUNTIF(D$1:D1283,D1283)=1,MAX(C$1:C1282)+1,"")</f>
        <v/>
      </c>
      <c r="D1283" s="12"/>
    </row>
    <row r="1284" spans="1:4" x14ac:dyDescent="0.25">
      <c r="A1284" t="str">
        <f>IF(COUNTIF(B$1:B1284,B1284)=1,MAX(A$1:A1283)+1,"")</f>
        <v/>
      </c>
      <c r="B1284" s="11"/>
      <c r="C1284" s="11" t="str">
        <f>IF(COUNTIF(D$1:D1284,D1284)=1,MAX(C$1:C1283)+1,"")</f>
        <v/>
      </c>
      <c r="D1284" s="12"/>
    </row>
    <row r="1285" spans="1:4" x14ac:dyDescent="0.25">
      <c r="A1285" t="str">
        <f>IF(COUNTIF(B$1:B1285,B1285)=1,MAX(A$1:A1284)+1,"")</f>
        <v/>
      </c>
      <c r="B1285" s="11"/>
      <c r="C1285" s="11" t="str">
        <f>IF(COUNTIF(D$1:D1285,D1285)=1,MAX(C$1:C1284)+1,"")</f>
        <v/>
      </c>
      <c r="D1285" s="12"/>
    </row>
    <row r="1286" spans="1:4" x14ac:dyDescent="0.25">
      <c r="A1286" t="str">
        <f>IF(COUNTIF(B$1:B1286,B1286)=1,MAX(A$1:A1285)+1,"")</f>
        <v/>
      </c>
      <c r="B1286" s="11"/>
      <c r="C1286" s="11" t="str">
        <f>IF(COUNTIF(D$1:D1286,D1286)=1,MAX(C$1:C1285)+1,"")</f>
        <v/>
      </c>
      <c r="D1286" s="12"/>
    </row>
    <row r="1287" spans="1:4" x14ac:dyDescent="0.25">
      <c r="A1287" t="str">
        <f>IF(COUNTIF(B$1:B1287,B1287)=1,MAX(A$1:A1286)+1,"")</f>
        <v/>
      </c>
      <c r="B1287" s="11"/>
      <c r="C1287" s="11" t="str">
        <f>IF(COUNTIF(D$1:D1287,D1287)=1,MAX(C$1:C1286)+1,"")</f>
        <v/>
      </c>
      <c r="D1287" s="12"/>
    </row>
    <row r="1288" spans="1:4" x14ac:dyDescent="0.25">
      <c r="A1288" t="str">
        <f>IF(COUNTIF(B$1:B1288,B1288)=1,MAX(A$1:A1287)+1,"")</f>
        <v/>
      </c>
      <c r="B1288" s="11"/>
      <c r="C1288" s="11" t="str">
        <f>IF(COUNTIF(D$1:D1288,D1288)=1,MAX(C$1:C1287)+1,"")</f>
        <v/>
      </c>
      <c r="D1288" s="12"/>
    </row>
    <row r="1289" spans="1:4" x14ac:dyDescent="0.25">
      <c r="A1289" t="str">
        <f>IF(COUNTIF(B$1:B1289,B1289)=1,MAX(A$1:A1288)+1,"")</f>
        <v/>
      </c>
      <c r="B1289" s="11"/>
      <c r="C1289" s="11" t="str">
        <f>IF(COUNTIF(D$1:D1289,D1289)=1,MAX(C$1:C1288)+1,"")</f>
        <v/>
      </c>
      <c r="D1289" s="12"/>
    </row>
    <row r="1290" spans="1:4" x14ac:dyDescent="0.25">
      <c r="A1290" t="str">
        <f>IF(COUNTIF(B$1:B1290,B1290)=1,MAX(A$1:A1289)+1,"")</f>
        <v/>
      </c>
      <c r="B1290" s="11"/>
      <c r="C1290" s="11" t="str">
        <f>IF(COUNTIF(D$1:D1290,D1290)=1,MAX(C$1:C1289)+1,"")</f>
        <v/>
      </c>
      <c r="D1290" s="12"/>
    </row>
    <row r="1291" spans="1:4" x14ac:dyDescent="0.25">
      <c r="A1291" t="str">
        <f>IF(COUNTIF(B$1:B1291,B1291)=1,MAX(A$1:A1290)+1,"")</f>
        <v/>
      </c>
      <c r="B1291" s="11"/>
      <c r="C1291" s="11" t="str">
        <f>IF(COUNTIF(D$1:D1291,D1291)=1,MAX(C$1:C1290)+1,"")</f>
        <v/>
      </c>
      <c r="D1291" s="12"/>
    </row>
    <row r="1292" spans="1:4" x14ac:dyDescent="0.25">
      <c r="A1292" t="str">
        <f>IF(COUNTIF(B$1:B1292,B1292)=1,MAX(A$1:A1291)+1,"")</f>
        <v/>
      </c>
      <c r="B1292" s="11"/>
      <c r="C1292" s="11" t="str">
        <f>IF(COUNTIF(D$1:D1292,D1292)=1,MAX(C$1:C1291)+1,"")</f>
        <v/>
      </c>
      <c r="D1292" s="12"/>
    </row>
    <row r="1293" spans="1:4" x14ac:dyDescent="0.25">
      <c r="A1293" t="str">
        <f>IF(COUNTIF(B$1:B1293,B1293)=1,MAX(A$1:A1292)+1,"")</f>
        <v/>
      </c>
      <c r="B1293" s="11"/>
      <c r="C1293" s="11" t="str">
        <f>IF(COUNTIF(D$1:D1293,D1293)=1,MAX(C$1:C1292)+1,"")</f>
        <v/>
      </c>
      <c r="D1293" s="12"/>
    </row>
    <row r="1294" spans="1:4" x14ac:dyDescent="0.25">
      <c r="A1294" t="str">
        <f>IF(COUNTIF(B$1:B1294,B1294)=1,MAX(A$1:A1293)+1,"")</f>
        <v/>
      </c>
      <c r="B1294" s="11"/>
      <c r="C1294" s="11" t="str">
        <f>IF(COUNTIF(D$1:D1294,D1294)=1,MAX(C$1:C1293)+1,"")</f>
        <v/>
      </c>
      <c r="D1294" s="12"/>
    </row>
    <row r="1295" spans="1:4" x14ac:dyDescent="0.25">
      <c r="A1295" t="str">
        <f>IF(COUNTIF(B$1:B1295,B1295)=1,MAX(A$1:A1294)+1,"")</f>
        <v/>
      </c>
      <c r="B1295" s="11"/>
      <c r="C1295" s="11" t="str">
        <f>IF(COUNTIF(D$1:D1295,D1295)=1,MAX(C$1:C1294)+1,"")</f>
        <v/>
      </c>
      <c r="D1295" s="12"/>
    </row>
    <row r="1296" spans="1:4" x14ac:dyDescent="0.25">
      <c r="A1296" t="str">
        <f>IF(COUNTIF(B$1:B1296,B1296)=1,MAX(A$1:A1295)+1,"")</f>
        <v/>
      </c>
      <c r="B1296" s="11"/>
      <c r="C1296" s="11" t="str">
        <f>IF(COUNTIF(D$1:D1296,D1296)=1,MAX(C$1:C1295)+1,"")</f>
        <v/>
      </c>
      <c r="D1296" s="12"/>
    </row>
    <row r="1297" spans="1:4" x14ac:dyDescent="0.25">
      <c r="A1297" t="str">
        <f>IF(COUNTIF(B$1:B1297,B1297)=1,MAX(A$1:A1296)+1,"")</f>
        <v/>
      </c>
      <c r="B1297" s="11"/>
      <c r="C1297" s="11" t="str">
        <f>IF(COUNTIF(D$1:D1297,D1297)=1,MAX(C$1:C1296)+1,"")</f>
        <v/>
      </c>
      <c r="D1297" s="12"/>
    </row>
    <row r="1298" spans="1:4" x14ac:dyDescent="0.25">
      <c r="A1298" t="str">
        <f>IF(COUNTIF(B$1:B1298,B1298)=1,MAX(A$1:A1297)+1,"")</f>
        <v/>
      </c>
      <c r="B1298" s="11"/>
      <c r="C1298" s="11" t="str">
        <f>IF(COUNTIF(D$1:D1298,D1298)=1,MAX(C$1:C1297)+1,"")</f>
        <v/>
      </c>
      <c r="D1298" s="12"/>
    </row>
    <row r="1299" spans="1:4" x14ac:dyDescent="0.25">
      <c r="A1299" t="str">
        <f>IF(COUNTIF(B$1:B1299,B1299)=1,MAX(A$1:A1298)+1,"")</f>
        <v/>
      </c>
      <c r="B1299" s="11"/>
      <c r="C1299" s="11" t="str">
        <f>IF(COUNTIF(D$1:D1299,D1299)=1,MAX(C$1:C1298)+1,"")</f>
        <v/>
      </c>
      <c r="D1299" s="12"/>
    </row>
    <row r="1300" spans="1:4" x14ac:dyDescent="0.25">
      <c r="A1300" t="str">
        <f>IF(COUNTIF(B$1:B1300,B1300)=1,MAX(A$1:A1299)+1,"")</f>
        <v/>
      </c>
      <c r="B1300" s="11"/>
      <c r="C1300" s="11" t="str">
        <f>IF(COUNTIF(D$1:D1300,D1300)=1,MAX(C$1:C1299)+1,"")</f>
        <v/>
      </c>
      <c r="D1300" s="12"/>
    </row>
    <row r="1301" spans="1:4" x14ac:dyDescent="0.25">
      <c r="A1301" t="str">
        <f>IF(COUNTIF(B$1:B1301,B1301)=1,MAX(A$1:A1300)+1,"")</f>
        <v/>
      </c>
      <c r="B1301" s="11"/>
      <c r="C1301" s="11" t="str">
        <f>IF(COUNTIF(D$1:D1301,D1301)=1,MAX(C$1:C1300)+1,"")</f>
        <v/>
      </c>
      <c r="D1301" s="12"/>
    </row>
    <row r="1302" spans="1:4" x14ac:dyDescent="0.25">
      <c r="A1302" t="str">
        <f>IF(COUNTIF(B$1:B1302,B1302)=1,MAX(A$1:A1301)+1,"")</f>
        <v/>
      </c>
      <c r="B1302" s="11"/>
      <c r="C1302" s="11" t="str">
        <f>IF(COUNTIF(D$1:D1302,D1302)=1,MAX(C$1:C1301)+1,"")</f>
        <v/>
      </c>
      <c r="D1302" s="12"/>
    </row>
    <row r="1303" spans="1:4" x14ac:dyDescent="0.25">
      <c r="A1303" t="str">
        <f>IF(COUNTIF(B$1:B1303,B1303)=1,MAX(A$1:A1302)+1,"")</f>
        <v/>
      </c>
      <c r="B1303" s="11"/>
      <c r="C1303" s="11" t="str">
        <f>IF(COUNTIF(D$1:D1303,D1303)=1,MAX(C$1:C1302)+1,"")</f>
        <v/>
      </c>
      <c r="D1303" s="12"/>
    </row>
    <row r="1304" spans="1:4" x14ac:dyDescent="0.25">
      <c r="A1304" t="str">
        <f>IF(COUNTIF(B$1:B1304,B1304)=1,MAX(A$1:A1303)+1,"")</f>
        <v/>
      </c>
      <c r="B1304" s="11"/>
      <c r="C1304" s="11" t="str">
        <f>IF(COUNTIF(D$1:D1304,D1304)=1,MAX(C$1:C1303)+1,"")</f>
        <v/>
      </c>
      <c r="D1304" s="12"/>
    </row>
    <row r="1305" spans="1:4" x14ac:dyDescent="0.25">
      <c r="A1305" t="str">
        <f>IF(COUNTIF(B$1:B1305,B1305)=1,MAX(A$1:A1304)+1,"")</f>
        <v/>
      </c>
      <c r="B1305" s="11"/>
      <c r="C1305" s="11" t="str">
        <f>IF(COUNTIF(D$1:D1305,D1305)=1,MAX(C$1:C1304)+1,"")</f>
        <v/>
      </c>
      <c r="D1305" s="12"/>
    </row>
    <row r="1306" spans="1:4" x14ac:dyDescent="0.25">
      <c r="A1306" t="str">
        <f>IF(COUNTIF(B$1:B1306,B1306)=1,MAX(A$1:A1305)+1,"")</f>
        <v/>
      </c>
      <c r="B1306" s="11"/>
      <c r="C1306" s="11" t="str">
        <f>IF(COUNTIF(D$1:D1306,D1306)=1,MAX(C$1:C1305)+1,"")</f>
        <v/>
      </c>
      <c r="D1306" s="12"/>
    </row>
    <row r="1307" spans="1:4" x14ac:dyDescent="0.25">
      <c r="A1307" t="str">
        <f>IF(COUNTIF(B$1:B1307,B1307)=1,MAX(A$1:A1306)+1,"")</f>
        <v/>
      </c>
      <c r="B1307" s="11"/>
      <c r="C1307" s="11" t="str">
        <f>IF(COUNTIF(D$1:D1307,D1307)=1,MAX(C$1:C1306)+1,"")</f>
        <v/>
      </c>
      <c r="D1307" s="12"/>
    </row>
    <row r="1308" spans="1:4" x14ac:dyDescent="0.25">
      <c r="A1308" t="str">
        <f>IF(COUNTIF(B$1:B1308,B1308)=1,MAX(A$1:A1307)+1,"")</f>
        <v/>
      </c>
      <c r="B1308" s="11"/>
      <c r="C1308" s="11" t="str">
        <f>IF(COUNTIF(D$1:D1308,D1308)=1,MAX(C$1:C1307)+1,"")</f>
        <v/>
      </c>
      <c r="D1308" s="12"/>
    </row>
    <row r="1309" spans="1:4" x14ac:dyDescent="0.25">
      <c r="A1309" t="str">
        <f>IF(COUNTIF(B$1:B1309,B1309)=1,MAX(A$1:A1308)+1,"")</f>
        <v/>
      </c>
      <c r="B1309" s="11"/>
      <c r="C1309" s="11" t="str">
        <f>IF(COUNTIF(D$1:D1309,D1309)=1,MAX(C$1:C1308)+1,"")</f>
        <v/>
      </c>
      <c r="D1309" s="12"/>
    </row>
    <row r="1310" spans="1:4" x14ac:dyDescent="0.25">
      <c r="A1310" t="str">
        <f>IF(COUNTIF(B$1:B1310,B1310)=1,MAX(A$1:A1309)+1,"")</f>
        <v/>
      </c>
      <c r="B1310" s="11"/>
      <c r="C1310" s="11" t="str">
        <f>IF(COUNTIF(D$1:D1310,D1310)=1,MAX(C$1:C1309)+1,"")</f>
        <v/>
      </c>
      <c r="D1310" s="12"/>
    </row>
    <row r="1311" spans="1:4" x14ac:dyDescent="0.25">
      <c r="A1311" t="str">
        <f>IF(COUNTIF(B$1:B1311,B1311)=1,MAX(A$1:A1310)+1,"")</f>
        <v/>
      </c>
      <c r="B1311" s="11"/>
      <c r="C1311" s="11" t="str">
        <f>IF(COUNTIF(D$1:D1311,D1311)=1,MAX(C$1:C1310)+1,"")</f>
        <v/>
      </c>
      <c r="D1311" s="12"/>
    </row>
    <row r="1312" spans="1:4" x14ac:dyDescent="0.25">
      <c r="A1312" t="str">
        <f>IF(COUNTIF(B$1:B1312,B1312)=1,MAX(A$1:A1311)+1,"")</f>
        <v/>
      </c>
      <c r="B1312" s="11"/>
      <c r="C1312" s="11" t="str">
        <f>IF(COUNTIF(D$1:D1312,D1312)=1,MAX(C$1:C1311)+1,"")</f>
        <v/>
      </c>
      <c r="D1312" s="12"/>
    </row>
    <row r="1313" spans="1:4" x14ac:dyDescent="0.25">
      <c r="A1313" t="str">
        <f>IF(COUNTIF(B$1:B1313,B1313)=1,MAX(A$1:A1312)+1,"")</f>
        <v/>
      </c>
      <c r="B1313" s="11"/>
      <c r="C1313" s="11" t="str">
        <f>IF(COUNTIF(D$1:D1313,D1313)=1,MAX(C$1:C1312)+1,"")</f>
        <v/>
      </c>
      <c r="D1313" s="12"/>
    </row>
    <row r="1314" spans="1:4" x14ac:dyDescent="0.25">
      <c r="A1314" t="str">
        <f>IF(COUNTIF(B$1:B1314,B1314)=1,MAX(A$1:A1313)+1,"")</f>
        <v/>
      </c>
      <c r="B1314" s="11"/>
      <c r="C1314" s="11" t="str">
        <f>IF(COUNTIF(D$1:D1314,D1314)=1,MAX(C$1:C1313)+1,"")</f>
        <v/>
      </c>
      <c r="D1314" s="12"/>
    </row>
    <row r="1315" spans="1:4" x14ac:dyDescent="0.25">
      <c r="A1315" t="str">
        <f>IF(COUNTIF(B$1:B1315,B1315)=1,MAX(A$1:A1314)+1,"")</f>
        <v/>
      </c>
      <c r="B1315" s="11"/>
      <c r="C1315" s="11" t="str">
        <f>IF(COUNTIF(D$1:D1315,D1315)=1,MAX(C$1:C1314)+1,"")</f>
        <v/>
      </c>
      <c r="D1315" s="12"/>
    </row>
    <row r="1316" spans="1:4" x14ac:dyDescent="0.25">
      <c r="A1316" t="str">
        <f>IF(COUNTIF(B$1:B1316,B1316)=1,MAX(A$1:A1315)+1,"")</f>
        <v/>
      </c>
      <c r="B1316" s="11"/>
      <c r="C1316" s="11" t="str">
        <f>IF(COUNTIF(D$1:D1316,D1316)=1,MAX(C$1:C1315)+1,"")</f>
        <v/>
      </c>
      <c r="D1316" s="12"/>
    </row>
    <row r="1317" spans="1:4" x14ac:dyDescent="0.25">
      <c r="A1317" t="str">
        <f>IF(COUNTIF(B$1:B1317,B1317)=1,MAX(A$1:A1316)+1,"")</f>
        <v/>
      </c>
      <c r="B1317" s="11"/>
      <c r="C1317" s="11" t="str">
        <f>IF(COUNTIF(D$1:D1317,D1317)=1,MAX(C$1:C1316)+1,"")</f>
        <v/>
      </c>
      <c r="D1317" s="12"/>
    </row>
    <row r="1318" spans="1:4" x14ac:dyDescent="0.25">
      <c r="A1318" t="str">
        <f>IF(COUNTIF(B$1:B1318,B1318)=1,MAX(A$1:A1317)+1,"")</f>
        <v/>
      </c>
      <c r="B1318" s="11"/>
      <c r="C1318" s="11" t="str">
        <f>IF(COUNTIF(D$1:D1318,D1318)=1,MAX(C$1:C1317)+1,"")</f>
        <v/>
      </c>
      <c r="D1318" s="12"/>
    </row>
    <row r="1319" spans="1:4" x14ac:dyDescent="0.25">
      <c r="A1319" t="str">
        <f>IF(COUNTIF(B$1:B1319,B1319)=1,MAX(A$1:A1318)+1,"")</f>
        <v/>
      </c>
      <c r="B1319" s="11"/>
      <c r="C1319" s="11" t="str">
        <f>IF(COUNTIF(D$1:D1319,D1319)=1,MAX(C$1:C1318)+1,"")</f>
        <v/>
      </c>
      <c r="D1319" s="12"/>
    </row>
    <row r="1320" spans="1:4" x14ac:dyDescent="0.25">
      <c r="A1320" t="str">
        <f>IF(COUNTIF(B$1:B1320,B1320)=1,MAX(A$1:A1319)+1,"")</f>
        <v/>
      </c>
      <c r="B1320" s="11"/>
      <c r="C1320" s="11" t="str">
        <f>IF(COUNTIF(D$1:D1320,D1320)=1,MAX(C$1:C1319)+1,"")</f>
        <v/>
      </c>
      <c r="D1320" s="12"/>
    </row>
    <row r="1321" spans="1:4" x14ac:dyDescent="0.25">
      <c r="A1321" t="str">
        <f>IF(COUNTIF(B$1:B1321,B1321)=1,MAX(A$1:A1320)+1,"")</f>
        <v/>
      </c>
      <c r="B1321" s="11"/>
      <c r="C1321" s="11" t="str">
        <f>IF(COUNTIF(D$1:D1321,D1321)=1,MAX(C$1:C1320)+1,"")</f>
        <v/>
      </c>
      <c r="D1321" s="12"/>
    </row>
    <row r="1322" spans="1:4" x14ac:dyDescent="0.25">
      <c r="A1322" t="str">
        <f>IF(COUNTIF(B$1:B1322,B1322)=1,MAX(A$1:A1321)+1,"")</f>
        <v/>
      </c>
      <c r="B1322" s="11"/>
      <c r="C1322" s="11" t="str">
        <f>IF(COUNTIF(D$1:D1322,D1322)=1,MAX(C$1:C1321)+1,"")</f>
        <v/>
      </c>
      <c r="D1322" s="12"/>
    </row>
    <row r="1323" spans="1:4" x14ac:dyDescent="0.25">
      <c r="A1323" t="str">
        <f>IF(COUNTIF(B$1:B1323,B1323)=1,MAX(A$1:A1322)+1,"")</f>
        <v/>
      </c>
      <c r="B1323" s="11"/>
      <c r="C1323" s="11" t="str">
        <f>IF(COUNTIF(D$1:D1323,D1323)=1,MAX(C$1:C1322)+1,"")</f>
        <v/>
      </c>
      <c r="D1323" s="12"/>
    </row>
    <row r="1324" spans="1:4" x14ac:dyDescent="0.25">
      <c r="A1324" t="str">
        <f>IF(COUNTIF(B$1:B1324,B1324)=1,MAX(A$1:A1323)+1,"")</f>
        <v/>
      </c>
      <c r="B1324" s="11"/>
      <c r="C1324" s="11" t="str">
        <f>IF(COUNTIF(D$1:D1324,D1324)=1,MAX(C$1:C1323)+1,"")</f>
        <v/>
      </c>
      <c r="D1324" s="12"/>
    </row>
    <row r="1325" spans="1:4" x14ac:dyDescent="0.25">
      <c r="A1325" t="str">
        <f>IF(COUNTIF(B$1:B1325,B1325)=1,MAX(A$1:A1324)+1,"")</f>
        <v/>
      </c>
      <c r="B1325" s="11"/>
      <c r="C1325" s="11" t="str">
        <f>IF(COUNTIF(D$1:D1325,D1325)=1,MAX(C$1:C1324)+1,"")</f>
        <v/>
      </c>
      <c r="D1325" s="12"/>
    </row>
    <row r="1326" spans="1:4" x14ac:dyDescent="0.25">
      <c r="A1326" t="str">
        <f>IF(COUNTIF(B$1:B1326,B1326)=1,MAX(A$1:A1325)+1,"")</f>
        <v/>
      </c>
      <c r="B1326" s="11"/>
      <c r="C1326" s="11" t="str">
        <f>IF(COUNTIF(D$1:D1326,D1326)=1,MAX(C$1:C1325)+1,"")</f>
        <v/>
      </c>
      <c r="D1326" s="12"/>
    </row>
    <row r="1327" spans="1:4" x14ac:dyDescent="0.25">
      <c r="A1327" t="str">
        <f>IF(COUNTIF(B$1:B1327,B1327)=1,MAX(A$1:A1326)+1,"")</f>
        <v/>
      </c>
      <c r="B1327" s="11"/>
      <c r="C1327" s="11" t="str">
        <f>IF(COUNTIF(D$1:D1327,D1327)=1,MAX(C$1:C1326)+1,"")</f>
        <v/>
      </c>
      <c r="D1327" s="12"/>
    </row>
    <row r="1328" spans="1:4" x14ac:dyDescent="0.25">
      <c r="A1328" t="str">
        <f>IF(COUNTIF(B$1:B1328,B1328)=1,MAX(A$1:A1327)+1,"")</f>
        <v/>
      </c>
      <c r="B1328" s="11"/>
      <c r="C1328" s="11" t="str">
        <f>IF(COUNTIF(D$1:D1328,D1328)=1,MAX(C$1:C1327)+1,"")</f>
        <v/>
      </c>
      <c r="D1328" s="12"/>
    </row>
    <row r="1329" spans="1:4" x14ac:dyDescent="0.25">
      <c r="A1329" t="str">
        <f>IF(COUNTIF(B$1:B1329,B1329)=1,MAX(A$1:A1328)+1,"")</f>
        <v/>
      </c>
      <c r="B1329" s="11"/>
      <c r="C1329" s="11" t="str">
        <f>IF(COUNTIF(D$1:D1329,D1329)=1,MAX(C$1:C1328)+1,"")</f>
        <v/>
      </c>
      <c r="D1329" s="12"/>
    </row>
    <row r="1330" spans="1:4" x14ac:dyDescent="0.25">
      <c r="A1330" t="str">
        <f>IF(COUNTIF(B$1:B1330,B1330)=1,MAX(A$1:A1329)+1,"")</f>
        <v/>
      </c>
      <c r="B1330" s="11"/>
      <c r="C1330" s="11" t="str">
        <f>IF(COUNTIF(D$1:D1330,D1330)=1,MAX(C$1:C1329)+1,"")</f>
        <v/>
      </c>
      <c r="D1330" s="12"/>
    </row>
    <row r="1331" spans="1:4" x14ac:dyDescent="0.25">
      <c r="A1331" t="str">
        <f>IF(COUNTIF(B$1:B1331,B1331)=1,MAX(A$1:A1330)+1,"")</f>
        <v/>
      </c>
      <c r="B1331" s="11"/>
      <c r="C1331" s="11" t="str">
        <f>IF(COUNTIF(D$1:D1331,D1331)=1,MAX(C$1:C1330)+1,"")</f>
        <v/>
      </c>
      <c r="D1331" s="12"/>
    </row>
    <row r="1332" spans="1:4" x14ac:dyDescent="0.25">
      <c r="A1332" t="str">
        <f>IF(COUNTIF(B$1:B1332,B1332)=1,MAX(A$1:A1331)+1,"")</f>
        <v/>
      </c>
      <c r="B1332" s="11"/>
      <c r="C1332" s="11" t="str">
        <f>IF(COUNTIF(D$1:D1332,D1332)=1,MAX(C$1:C1331)+1,"")</f>
        <v/>
      </c>
      <c r="D1332" s="12"/>
    </row>
    <row r="1333" spans="1:4" x14ac:dyDescent="0.25">
      <c r="A1333" t="str">
        <f>IF(COUNTIF(B$1:B1333,B1333)=1,MAX(A$1:A1332)+1,"")</f>
        <v/>
      </c>
      <c r="B1333" s="11"/>
      <c r="C1333" s="11" t="str">
        <f>IF(COUNTIF(D$1:D1333,D1333)=1,MAX(C$1:C1332)+1,"")</f>
        <v/>
      </c>
      <c r="D1333" s="12"/>
    </row>
    <row r="1334" spans="1:4" x14ac:dyDescent="0.25">
      <c r="A1334" t="str">
        <f>IF(COUNTIF(B$1:B1334,B1334)=1,MAX(A$1:A1333)+1,"")</f>
        <v/>
      </c>
      <c r="B1334" s="11"/>
      <c r="C1334" s="11" t="str">
        <f>IF(COUNTIF(D$1:D1334,D1334)=1,MAX(C$1:C1333)+1,"")</f>
        <v/>
      </c>
      <c r="D1334" s="12"/>
    </row>
    <row r="1335" spans="1:4" x14ac:dyDescent="0.25">
      <c r="A1335" t="str">
        <f>IF(COUNTIF(B$1:B1335,B1335)=1,MAX(A$1:A1334)+1,"")</f>
        <v/>
      </c>
      <c r="B1335" s="11"/>
      <c r="C1335" s="11" t="str">
        <f>IF(COUNTIF(D$1:D1335,D1335)=1,MAX(C$1:C1334)+1,"")</f>
        <v/>
      </c>
      <c r="D1335" s="12"/>
    </row>
    <row r="1336" spans="1:4" x14ac:dyDescent="0.25">
      <c r="A1336" t="str">
        <f>IF(COUNTIF(B$1:B1336,B1336)=1,MAX(A$1:A1335)+1,"")</f>
        <v/>
      </c>
      <c r="B1336" s="11"/>
      <c r="C1336" s="11" t="str">
        <f>IF(COUNTIF(D$1:D1336,D1336)=1,MAX(C$1:C1335)+1,"")</f>
        <v/>
      </c>
      <c r="D1336" s="12"/>
    </row>
    <row r="1337" spans="1:4" x14ac:dyDescent="0.25">
      <c r="A1337" t="str">
        <f>IF(COUNTIF(B$1:B1337,B1337)=1,MAX(A$1:A1336)+1,"")</f>
        <v/>
      </c>
      <c r="B1337" s="11"/>
      <c r="C1337" s="11" t="str">
        <f>IF(COUNTIF(D$1:D1337,D1337)=1,MAX(C$1:C1336)+1,"")</f>
        <v/>
      </c>
      <c r="D1337" s="12"/>
    </row>
    <row r="1338" spans="1:4" x14ac:dyDescent="0.25">
      <c r="A1338" t="str">
        <f>IF(COUNTIF(B$1:B1338,B1338)=1,MAX(A$1:A1337)+1,"")</f>
        <v/>
      </c>
      <c r="B1338" s="11"/>
      <c r="C1338" s="11" t="str">
        <f>IF(COUNTIF(D$1:D1338,D1338)=1,MAX(C$1:C1337)+1,"")</f>
        <v/>
      </c>
      <c r="D1338" s="12"/>
    </row>
    <row r="1339" spans="1:4" x14ac:dyDescent="0.25">
      <c r="A1339" t="str">
        <f>IF(COUNTIF(B$1:B1339,B1339)=1,MAX(A$1:A1338)+1,"")</f>
        <v/>
      </c>
      <c r="B1339" s="11"/>
      <c r="C1339" s="11" t="str">
        <f>IF(COUNTIF(D$1:D1339,D1339)=1,MAX(C$1:C1338)+1,"")</f>
        <v/>
      </c>
      <c r="D1339" s="12"/>
    </row>
    <row r="1340" spans="1:4" x14ac:dyDescent="0.25">
      <c r="A1340" t="str">
        <f>IF(COUNTIF(B$1:B1340,B1340)=1,MAX(A$1:A1339)+1,"")</f>
        <v/>
      </c>
      <c r="B1340" s="11"/>
      <c r="C1340" s="11" t="str">
        <f>IF(COUNTIF(D$1:D1340,D1340)=1,MAX(C$1:C1339)+1,"")</f>
        <v/>
      </c>
      <c r="D1340" s="12"/>
    </row>
    <row r="1341" spans="1:4" x14ac:dyDescent="0.25">
      <c r="A1341" t="str">
        <f>IF(COUNTIF(B$1:B1341,B1341)=1,MAX(A$1:A1340)+1,"")</f>
        <v/>
      </c>
      <c r="B1341" s="11"/>
      <c r="C1341" s="11" t="str">
        <f>IF(COUNTIF(D$1:D1341,D1341)=1,MAX(C$1:C1340)+1,"")</f>
        <v/>
      </c>
      <c r="D1341" s="12"/>
    </row>
    <row r="1342" spans="1:4" x14ac:dyDescent="0.25">
      <c r="A1342" t="str">
        <f>IF(COUNTIF(B$1:B1342,B1342)=1,MAX(A$1:A1341)+1,"")</f>
        <v/>
      </c>
      <c r="B1342" s="11"/>
      <c r="C1342" s="11" t="str">
        <f>IF(COUNTIF(D$1:D1342,D1342)=1,MAX(C$1:C1341)+1,"")</f>
        <v/>
      </c>
      <c r="D1342" s="12"/>
    </row>
    <row r="1343" spans="1:4" x14ac:dyDescent="0.25">
      <c r="A1343" t="str">
        <f>IF(COUNTIF(B$1:B1343,B1343)=1,MAX(A$1:A1342)+1,"")</f>
        <v/>
      </c>
      <c r="B1343" s="11"/>
      <c r="C1343" s="11" t="str">
        <f>IF(COUNTIF(D$1:D1343,D1343)=1,MAX(C$1:C1342)+1,"")</f>
        <v/>
      </c>
      <c r="D1343" s="12"/>
    </row>
    <row r="1344" spans="1:4" x14ac:dyDescent="0.25">
      <c r="A1344" t="str">
        <f>IF(COUNTIF(B$1:B1344,B1344)=1,MAX(A$1:A1343)+1,"")</f>
        <v/>
      </c>
      <c r="B1344" s="11"/>
      <c r="C1344" s="11" t="str">
        <f>IF(COUNTIF(D$1:D1344,D1344)=1,MAX(C$1:C1343)+1,"")</f>
        <v/>
      </c>
      <c r="D1344" s="12"/>
    </row>
    <row r="1345" spans="1:4" x14ac:dyDescent="0.25">
      <c r="A1345" t="str">
        <f>IF(COUNTIF(B$1:B1345,B1345)=1,MAX(A$1:A1344)+1,"")</f>
        <v/>
      </c>
      <c r="B1345" s="11"/>
      <c r="C1345" s="11" t="str">
        <f>IF(COUNTIF(D$1:D1345,D1345)=1,MAX(C$1:C1344)+1,"")</f>
        <v/>
      </c>
      <c r="D1345" s="12"/>
    </row>
    <row r="1346" spans="1:4" x14ac:dyDescent="0.25">
      <c r="A1346" t="str">
        <f>IF(COUNTIF(B$1:B1346,B1346)=1,MAX(A$1:A1345)+1,"")</f>
        <v/>
      </c>
      <c r="B1346" s="11"/>
      <c r="C1346" s="11" t="str">
        <f>IF(COUNTIF(D$1:D1346,D1346)=1,MAX(C$1:C1345)+1,"")</f>
        <v/>
      </c>
      <c r="D1346" s="12"/>
    </row>
    <row r="1347" spans="1:4" x14ac:dyDescent="0.25">
      <c r="A1347" t="str">
        <f>IF(COUNTIF(B$1:B1347,B1347)=1,MAX(A$1:A1346)+1,"")</f>
        <v/>
      </c>
      <c r="B1347" s="11"/>
      <c r="C1347" s="11" t="str">
        <f>IF(COUNTIF(D$1:D1347,D1347)=1,MAX(C$1:C1346)+1,"")</f>
        <v/>
      </c>
      <c r="D1347" s="12"/>
    </row>
    <row r="1348" spans="1:4" x14ac:dyDescent="0.25">
      <c r="A1348" t="str">
        <f>IF(COUNTIF(B$1:B1348,B1348)=1,MAX(A$1:A1347)+1,"")</f>
        <v/>
      </c>
      <c r="B1348" s="11"/>
      <c r="C1348" s="11" t="str">
        <f>IF(COUNTIF(D$1:D1348,D1348)=1,MAX(C$1:C1347)+1,"")</f>
        <v/>
      </c>
      <c r="D1348" s="12"/>
    </row>
    <row r="1349" spans="1:4" x14ac:dyDescent="0.25">
      <c r="A1349" t="str">
        <f>IF(COUNTIF(B$1:B1349,B1349)=1,MAX(A$1:A1348)+1,"")</f>
        <v/>
      </c>
      <c r="B1349" s="11"/>
      <c r="C1349" s="11" t="str">
        <f>IF(COUNTIF(D$1:D1349,D1349)=1,MAX(C$1:C1348)+1,"")</f>
        <v/>
      </c>
      <c r="D1349" s="12"/>
    </row>
    <row r="1350" spans="1:4" x14ac:dyDescent="0.25">
      <c r="A1350" t="str">
        <f>IF(COUNTIF(B$1:B1350,B1350)=1,MAX(A$1:A1349)+1,"")</f>
        <v/>
      </c>
      <c r="B1350" s="11"/>
      <c r="C1350" s="11" t="str">
        <f>IF(COUNTIF(D$1:D1350,D1350)=1,MAX(C$1:C1349)+1,"")</f>
        <v/>
      </c>
      <c r="D1350" s="12"/>
    </row>
    <row r="1351" spans="1:4" x14ac:dyDescent="0.25">
      <c r="A1351" t="str">
        <f>IF(COUNTIF(B$1:B1351,B1351)=1,MAX(A$1:A1350)+1,"")</f>
        <v/>
      </c>
      <c r="B1351" s="11"/>
      <c r="C1351" s="11" t="str">
        <f>IF(COUNTIF(D$1:D1351,D1351)=1,MAX(C$1:C1350)+1,"")</f>
        <v/>
      </c>
      <c r="D1351" s="12"/>
    </row>
    <row r="1352" spans="1:4" x14ac:dyDescent="0.25">
      <c r="A1352" t="str">
        <f>IF(COUNTIF(B$1:B1352,B1352)=1,MAX(A$1:A1351)+1,"")</f>
        <v/>
      </c>
      <c r="B1352" s="11"/>
      <c r="C1352" s="11" t="str">
        <f>IF(COUNTIF(D$1:D1352,D1352)=1,MAX(C$1:C1351)+1,"")</f>
        <v/>
      </c>
      <c r="D1352" s="12"/>
    </row>
    <row r="1353" spans="1:4" x14ac:dyDescent="0.25">
      <c r="A1353" t="str">
        <f>IF(COUNTIF(B$1:B1353,B1353)=1,MAX(A$1:A1352)+1,"")</f>
        <v/>
      </c>
      <c r="B1353" s="11"/>
      <c r="C1353" s="11" t="str">
        <f>IF(COUNTIF(D$1:D1353,D1353)=1,MAX(C$1:C1352)+1,"")</f>
        <v/>
      </c>
      <c r="D1353" s="12"/>
    </row>
    <row r="1354" spans="1:4" x14ac:dyDescent="0.25">
      <c r="A1354" t="str">
        <f>IF(COUNTIF(B$1:B1354,B1354)=1,MAX(A$1:A1353)+1,"")</f>
        <v/>
      </c>
      <c r="B1354" s="11"/>
      <c r="C1354" s="11" t="str">
        <f>IF(COUNTIF(D$1:D1354,D1354)=1,MAX(C$1:C1353)+1,"")</f>
        <v/>
      </c>
      <c r="D1354" s="12"/>
    </row>
    <row r="1355" spans="1:4" x14ac:dyDescent="0.25">
      <c r="A1355" t="str">
        <f>IF(COUNTIF(B$1:B1355,B1355)=1,MAX(A$1:A1354)+1,"")</f>
        <v/>
      </c>
      <c r="B1355" s="11"/>
      <c r="C1355" s="11" t="str">
        <f>IF(COUNTIF(D$1:D1355,D1355)=1,MAX(C$1:C1354)+1,"")</f>
        <v/>
      </c>
      <c r="D1355" s="12"/>
    </row>
    <row r="1356" spans="1:4" x14ac:dyDescent="0.25">
      <c r="A1356" t="str">
        <f>IF(COUNTIF(B$1:B1356,B1356)=1,MAX(A$1:A1355)+1,"")</f>
        <v/>
      </c>
      <c r="B1356" s="11"/>
      <c r="C1356" s="11" t="str">
        <f>IF(COUNTIF(D$1:D1356,D1356)=1,MAX(C$1:C1355)+1,"")</f>
        <v/>
      </c>
      <c r="D1356" s="12"/>
    </row>
    <row r="1357" spans="1:4" x14ac:dyDescent="0.25">
      <c r="A1357" t="str">
        <f>IF(COUNTIF(B$1:B1357,B1357)=1,MAX(A$1:A1356)+1,"")</f>
        <v/>
      </c>
      <c r="B1357" s="11"/>
      <c r="C1357" s="11" t="str">
        <f>IF(COUNTIF(D$1:D1357,D1357)=1,MAX(C$1:C1356)+1,"")</f>
        <v/>
      </c>
      <c r="D1357" s="12"/>
    </row>
    <row r="1358" spans="1:4" x14ac:dyDescent="0.25">
      <c r="A1358" t="str">
        <f>IF(COUNTIF(B$1:B1358,B1358)=1,MAX(A$1:A1357)+1,"")</f>
        <v/>
      </c>
      <c r="B1358" s="11"/>
      <c r="C1358" s="11" t="str">
        <f>IF(COUNTIF(D$1:D1358,D1358)=1,MAX(C$1:C1357)+1,"")</f>
        <v/>
      </c>
      <c r="D1358" s="12"/>
    </row>
    <row r="1359" spans="1:4" x14ac:dyDescent="0.25">
      <c r="A1359" t="str">
        <f>IF(COUNTIF(B$1:B1359,B1359)=1,MAX(A$1:A1358)+1,"")</f>
        <v/>
      </c>
      <c r="B1359" s="11"/>
      <c r="C1359" s="11" t="str">
        <f>IF(COUNTIF(D$1:D1359,D1359)=1,MAX(C$1:C1358)+1,"")</f>
        <v/>
      </c>
      <c r="D1359" s="12"/>
    </row>
    <row r="1360" spans="1:4" x14ac:dyDescent="0.25">
      <c r="A1360" t="str">
        <f>IF(COUNTIF(B$1:B1360,B1360)=1,MAX(A$1:A1359)+1,"")</f>
        <v/>
      </c>
      <c r="B1360" s="11"/>
      <c r="C1360" s="11" t="str">
        <f>IF(COUNTIF(D$1:D1360,D1360)=1,MAX(C$1:C1359)+1,"")</f>
        <v/>
      </c>
      <c r="D1360" s="12"/>
    </row>
    <row r="1361" spans="1:4" x14ac:dyDescent="0.25">
      <c r="A1361" t="str">
        <f>IF(COUNTIF(B$1:B1361,B1361)=1,MAX(A$1:A1360)+1,"")</f>
        <v/>
      </c>
      <c r="B1361" s="11"/>
      <c r="C1361" s="11" t="str">
        <f>IF(COUNTIF(D$1:D1361,D1361)=1,MAX(C$1:C1360)+1,"")</f>
        <v/>
      </c>
      <c r="D1361" s="12"/>
    </row>
    <row r="1362" spans="1:4" x14ac:dyDescent="0.25">
      <c r="A1362" t="str">
        <f>IF(COUNTIF(B$1:B1362,B1362)=1,MAX(A$1:A1361)+1,"")</f>
        <v/>
      </c>
      <c r="B1362" s="11"/>
      <c r="C1362" s="11" t="str">
        <f>IF(COUNTIF(D$1:D1362,D1362)=1,MAX(C$1:C1361)+1,"")</f>
        <v/>
      </c>
      <c r="D1362" s="12"/>
    </row>
    <row r="1363" spans="1:4" x14ac:dyDescent="0.25">
      <c r="A1363" t="str">
        <f>IF(COUNTIF(B$1:B1363,B1363)=1,MAX(A$1:A1362)+1,"")</f>
        <v/>
      </c>
      <c r="B1363" s="11"/>
      <c r="C1363" s="11" t="str">
        <f>IF(COUNTIF(D$1:D1363,D1363)=1,MAX(C$1:C1362)+1,"")</f>
        <v/>
      </c>
      <c r="D1363" s="12"/>
    </row>
    <row r="1364" spans="1:4" x14ac:dyDescent="0.25">
      <c r="A1364" t="str">
        <f>IF(COUNTIF(B$1:B1364,B1364)=1,MAX(A$1:A1363)+1,"")</f>
        <v/>
      </c>
      <c r="B1364" s="11"/>
      <c r="C1364" s="11" t="str">
        <f>IF(COUNTIF(D$1:D1364,D1364)=1,MAX(C$1:C1363)+1,"")</f>
        <v/>
      </c>
      <c r="D1364" s="12"/>
    </row>
    <row r="1365" spans="1:4" x14ac:dyDescent="0.25">
      <c r="A1365" t="str">
        <f>IF(COUNTIF(B$1:B1365,B1365)=1,MAX(A$1:A1364)+1,"")</f>
        <v/>
      </c>
      <c r="B1365" s="11"/>
      <c r="C1365" s="11" t="str">
        <f>IF(COUNTIF(D$1:D1365,D1365)=1,MAX(C$1:C1364)+1,"")</f>
        <v/>
      </c>
      <c r="D1365" s="12"/>
    </row>
    <row r="1366" spans="1:4" x14ac:dyDescent="0.25">
      <c r="A1366" t="str">
        <f>IF(COUNTIF(B$1:B1366,B1366)=1,MAX(A$1:A1365)+1,"")</f>
        <v/>
      </c>
      <c r="B1366" s="11"/>
      <c r="C1366" s="11" t="str">
        <f>IF(COUNTIF(D$1:D1366,D1366)=1,MAX(C$1:C1365)+1,"")</f>
        <v/>
      </c>
      <c r="D1366" s="12"/>
    </row>
    <row r="1367" spans="1:4" x14ac:dyDescent="0.25">
      <c r="A1367" t="str">
        <f>IF(COUNTIF(B$1:B1367,B1367)=1,MAX(A$1:A1366)+1,"")</f>
        <v/>
      </c>
      <c r="B1367" s="11"/>
      <c r="C1367" s="11" t="str">
        <f>IF(COUNTIF(D$1:D1367,D1367)=1,MAX(C$1:C1366)+1,"")</f>
        <v/>
      </c>
      <c r="D1367" s="12"/>
    </row>
    <row r="1368" spans="1:4" x14ac:dyDescent="0.25">
      <c r="A1368" t="str">
        <f>IF(COUNTIF(B$1:B1368,B1368)=1,MAX(A$1:A1367)+1,"")</f>
        <v/>
      </c>
      <c r="B1368" s="11"/>
      <c r="C1368" s="11" t="str">
        <f>IF(COUNTIF(D$1:D1368,D1368)=1,MAX(C$1:C1367)+1,"")</f>
        <v/>
      </c>
      <c r="D1368" s="12"/>
    </row>
    <row r="1369" spans="1:4" x14ac:dyDescent="0.25">
      <c r="A1369" t="str">
        <f>IF(COUNTIF(B$1:B1369,B1369)=1,MAX(A$1:A1368)+1,"")</f>
        <v/>
      </c>
      <c r="B1369" s="11"/>
      <c r="C1369" s="11" t="str">
        <f>IF(COUNTIF(D$1:D1369,D1369)=1,MAX(C$1:C1368)+1,"")</f>
        <v/>
      </c>
      <c r="D1369" s="12"/>
    </row>
    <row r="1370" spans="1:4" x14ac:dyDescent="0.25">
      <c r="A1370" t="str">
        <f>IF(COUNTIF(B$1:B1370,B1370)=1,MAX(A$1:A1369)+1,"")</f>
        <v/>
      </c>
      <c r="B1370" s="11"/>
      <c r="C1370" s="11" t="str">
        <f>IF(COUNTIF(D$1:D1370,D1370)=1,MAX(C$1:C1369)+1,"")</f>
        <v/>
      </c>
      <c r="D1370" s="12"/>
    </row>
    <row r="1371" spans="1:4" x14ac:dyDescent="0.25">
      <c r="A1371" t="str">
        <f>IF(COUNTIF(B$1:B1371,B1371)=1,MAX(A$1:A1370)+1,"")</f>
        <v/>
      </c>
      <c r="B1371" s="11"/>
      <c r="C1371" s="11" t="str">
        <f>IF(COUNTIF(D$1:D1371,D1371)=1,MAX(C$1:C1370)+1,"")</f>
        <v/>
      </c>
      <c r="D1371" s="12"/>
    </row>
    <row r="1372" spans="1:4" x14ac:dyDescent="0.25">
      <c r="A1372" t="str">
        <f>IF(COUNTIF(B$1:B1372,B1372)=1,MAX(A$1:A1371)+1,"")</f>
        <v/>
      </c>
      <c r="B1372" s="11"/>
      <c r="C1372" s="11" t="str">
        <f>IF(COUNTIF(D$1:D1372,D1372)=1,MAX(C$1:C1371)+1,"")</f>
        <v/>
      </c>
      <c r="D1372" s="12"/>
    </row>
    <row r="1373" spans="1:4" x14ac:dyDescent="0.25">
      <c r="A1373" t="str">
        <f>IF(COUNTIF(B$1:B1373,B1373)=1,MAX(A$1:A1372)+1,"")</f>
        <v/>
      </c>
      <c r="B1373" s="11"/>
      <c r="C1373" s="11" t="str">
        <f>IF(COUNTIF(D$1:D1373,D1373)=1,MAX(C$1:C1372)+1,"")</f>
        <v/>
      </c>
      <c r="D1373" s="12"/>
    </row>
    <row r="1374" spans="1:4" x14ac:dyDescent="0.25">
      <c r="A1374" t="str">
        <f>IF(COUNTIF(B$1:B1374,B1374)=1,MAX(A$1:A1373)+1,"")</f>
        <v/>
      </c>
      <c r="B1374" s="11"/>
      <c r="C1374" s="11" t="str">
        <f>IF(COUNTIF(D$1:D1374,D1374)=1,MAX(C$1:C1373)+1,"")</f>
        <v/>
      </c>
      <c r="D1374" s="12"/>
    </row>
    <row r="1375" spans="1:4" x14ac:dyDescent="0.25">
      <c r="A1375" t="str">
        <f>IF(COUNTIF(B$1:B1375,B1375)=1,MAX(A$1:A1374)+1,"")</f>
        <v/>
      </c>
      <c r="B1375" s="11"/>
      <c r="C1375" s="11" t="str">
        <f>IF(COUNTIF(D$1:D1375,D1375)=1,MAX(C$1:C1374)+1,"")</f>
        <v/>
      </c>
      <c r="D1375" s="12"/>
    </row>
    <row r="1376" spans="1:4" x14ac:dyDescent="0.25">
      <c r="A1376" t="str">
        <f>IF(COUNTIF(B$1:B1376,B1376)=1,MAX(A$1:A1375)+1,"")</f>
        <v/>
      </c>
      <c r="B1376" s="11"/>
      <c r="C1376" s="11" t="str">
        <f>IF(COUNTIF(D$1:D1376,D1376)=1,MAX(C$1:C1375)+1,"")</f>
        <v/>
      </c>
      <c r="D1376" s="12"/>
    </row>
    <row r="1377" spans="1:4" x14ac:dyDescent="0.25">
      <c r="A1377" t="str">
        <f>IF(COUNTIF(B$1:B1377,B1377)=1,MAX(A$1:A1376)+1,"")</f>
        <v/>
      </c>
      <c r="B1377" s="11"/>
      <c r="C1377" s="11" t="str">
        <f>IF(COUNTIF(D$1:D1377,D1377)=1,MAX(C$1:C1376)+1,"")</f>
        <v/>
      </c>
      <c r="D1377" s="12"/>
    </row>
    <row r="1378" spans="1:4" x14ac:dyDescent="0.25">
      <c r="A1378" t="str">
        <f>IF(COUNTIF(B$1:B1378,B1378)=1,MAX(A$1:A1377)+1,"")</f>
        <v/>
      </c>
      <c r="B1378" s="11"/>
      <c r="C1378" s="11" t="str">
        <f>IF(COUNTIF(D$1:D1378,D1378)=1,MAX(C$1:C1377)+1,"")</f>
        <v/>
      </c>
      <c r="D1378" s="12"/>
    </row>
    <row r="1379" spans="1:4" x14ac:dyDescent="0.25">
      <c r="A1379" t="str">
        <f>IF(COUNTIF(B$1:B1379,B1379)=1,MAX(A$1:A1378)+1,"")</f>
        <v/>
      </c>
      <c r="B1379" s="11"/>
      <c r="C1379" s="11" t="str">
        <f>IF(COUNTIF(D$1:D1379,D1379)=1,MAX(C$1:C1378)+1,"")</f>
        <v/>
      </c>
      <c r="D1379" s="12"/>
    </row>
    <row r="1380" spans="1:4" x14ac:dyDescent="0.25">
      <c r="A1380" t="str">
        <f>IF(COUNTIF(B$1:B1380,B1380)=1,MAX(A$1:A1379)+1,"")</f>
        <v/>
      </c>
      <c r="B1380" s="11"/>
      <c r="C1380" s="11" t="str">
        <f>IF(COUNTIF(D$1:D1380,D1380)=1,MAX(C$1:C1379)+1,"")</f>
        <v/>
      </c>
      <c r="D1380" s="12"/>
    </row>
    <row r="1381" spans="1:4" x14ac:dyDescent="0.25">
      <c r="A1381" t="str">
        <f>IF(COUNTIF(B$1:B1381,B1381)=1,MAX(A$1:A1380)+1,"")</f>
        <v/>
      </c>
      <c r="B1381" s="11"/>
      <c r="C1381" s="11" t="str">
        <f>IF(COUNTIF(D$1:D1381,D1381)=1,MAX(C$1:C1380)+1,"")</f>
        <v/>
      </c>
      <c r="D1381" s="12"/>
    </row>
    <row r="1382" spans="1:4" x14ac:dyDescent="0.25">
      <c r="A1382" t="str">
        <f>IF(COUNTIF(B$1:B1382,B1382)=1,MAX(A$1:A1381)+1,"")</f>
        <v/>
      </c>
      <c r="B1382" s="11"/>
      <c r="C1382" s="11" t="str">
        <f>IF(COUNTIF(D$1:D1382,D1382)=1,MAX(C$1:C1381)+1,"")</f>
        <v/>
      </c>
      <c r="D1382" s="12"/>
    </row>
    <row r="1383" spans="1:4" x14ac:dyDescent="0.25">
      <c r="A1383" t="str">
        <f>IF(COUNTIF(B$1:B1383,B1383)=1,MAX(A$1:A1382)+1,"")</f>
        <v/>
      </c>
      <c r="B1383" s="11"/>
      <c r="C1383" s="11" t="str">
        <f>IF(COUNTIF(D$1:D1383,D1383)=1,MAX(C$1:C1382)+1,"")</f>
        <v/>
      </c>
      <c r="D1383" s="12"/>
    </row>
    <row r="1384" spans="1:4" x14ac:dyDescent="0.25">
      <c r="A1384" t="str">
        <f>IF(COUNTIF(B$1:B1384,B1384)=1,MAX(A$1:A1383)+1,"")</f>
        <v/>
      </c>
      <c r="B1384" s="11"/>
      <c r="C1384" s="11" t="str">
        <f>IF(COUNTIF(D$1:D1384,D1384)=1,MAX(C$1:C1383)+1,"")</f>
        <v/>
      </c>
      <c r="D1384" s="12"/>
    </row>
    <row r="1385" spans="1:4" x14ac:dyDescent="0.25">
      <c r="A1385" t="str">
        <f>IF(COUNTIF(B$1:B1385,B1385)=1,MAX(A$1:A1384)+1,"")</f>
        <v/>
      </c>
      <c r="B1385" s="11"/>
      <c r="C1385" s="11" t="str">
        <f>IF(COUNTIF(D$1:D1385,D1385)=1,MAX(C$1:C1384)+1,"")</f>
        <v/>
      </c>
      <c r="D1385" s="12"/>
    </row>
    <row r="1386" spans="1:4" x14ac:dyDescent="0.25">
      <c r="A1386" t="str">
        <f>IF(COUNTIF(B$1:B1386,B1386)=1,MAX(A$1:A1385)+1,"")</f>
        <v/>
      </c>
      <c r="B1386" s="11"/>
      <c r="C1386" s="11" t="str">
        <f>IF(COUNTIF(D$1:D1386,D1386)=1,MAX(C$1:C1385)+1,"")</f>
        <v/>
      </c>
      <c r="D1386" s="12"/>
    </row>
    <row r="1387" spans="1:4" x14ac:dyDescent="0.25">
      <c r="A1387" t="str">
        <f>IF(COUNTIF(B$1:B1387,B1387)=1,MAX(A$1:A1386)+1,"")</f>
        <v/>
      </c>
      <c r="B1387" s="11"/>
      <c r="C1387" s="11" t="str">
        <f>IF(COUNTIF(D$1:D1387,D1387)=1,MAX(C$1:C1386)+1,"")</f>
        <v/>
      </c>
      <c r="D1387" s="12"/>
    </row>
    <row r="1388" spans="1:4" x14ac:dyDescent="0.25">
      <c r="A1388" t="str">
        <f>IF(COUNTIF(B$1:B1388,B1388)=1,MAX(A$1:A1387)+1,"")</f>
        <v/>
      </c>
      <c r="B1388" s="11"/>
      <c r="C1388" s="11" t="str">
        <f>IF(COUNTIF(D$1:D1388,D1388)=1,MAX(C$1:C1387)+1,"")</f>
        <v/>
      </c>
      <c r="D1388" s="12"/>
    </row>
    <row r="1389" spans="1:4" x14ac:dyDescent="0.25">
      <c r="A1389" t="str">
        <f>IF(COUNTIF(B$1:B1389,B1389)=1,MAX(A$1:A1388)+1,"")</f>
        <v/>
      </c>
      <c r="B1389" s="11"/>
      <c r="C1389" s="11" t="str">
        <f>IF(COUNTIF(D$1:D1389,D1389)=1,MAX(C$1:C1388)+1,"")</f>
        <v/>
      </c>
      <c r="D1389" s="12"/>
    </row>
    <row r="1390" spans="1:4" x14ac:dyDescent="0.25">
      <c r="A1390" t="str">
        <f>IF(COUNTIF(B$1:B1390,B1390)=1,MAX(A$1:A1389)+1,"")</f>
        <v/>
      </c>
      <c r="B1390" s="11"/>
      <c r="C1390" s="11" t="str">
        <f>IF(COUNTIF(D$1:D1390,D1390)=1,MAX(C$1:C1389)+1,"")</f>
        <v/>
      </c>
      <c r="D1390" s="12"/>
    </row>
    <row r="1391" spans="1:4" x14ac:dyDescent="0.25">
      <c r="A1391" t="str">
        <f>IF(COUNTIF(B$1:B1391,B1391)=1,MAX(A$1:A1390)+1,"")</f>
        <v/>
      </c>
      <c r="B1391" s="11"/>
      <c r="C1391" s="11" t="str">
        <f>IF(COUNTIF(D$1:D1391,D1391)=1,MAX(C$1:C1390)+1,"")</f>
        <v/>
      </c>
      <c r="D1391" s="12"/>
    </row>
    <row r="1392" spans="1:4" x14ac:dyDescent="0.25">
      <c r="A1392" t="str">
        <f>IF(COUNTIF(B$1:B1392,B1392)=1,MAX(A$1:A1391)+1,"")</f>
        <v/>
      </c>
      <c r="B1392" s="11"/>
      <c r="C1392" s="11" t="str">
        <f>IF(COUNTIF(D$1:D1392,D1392)=1,MAX(C$1:C1391)+1,"")</f>
        <v/>
      </c>
      <c r="D1392" s="12"/>
    </row>
    <row r="1393" spans="1:4" x14ac:dyDescent="0.25">
      <c r="A1393" t="str">
        <f>IF(COUNTIF(B$1:B1393,B1393)=1,MAX(A$1:A1392)+1,"")</f>
        <v/>
      </c>
      <c r="B1393" s="11"/>
      <c r="C1393" s="11" t="str">
        <f>IF(COUNTIF(D$1:D1393,D1393)=1,MAX(C$1:C1392)+1,"")</f>
        <v/>
      </c>
      <c r="D1393" s="12"/>
    </row>
    <row r="1394" spans="1:4" x14ac:dyDescent="0.25">
      <c r="A1394" t="str">
        <f>IF(COUNTIF(B$1:B1394,B1394)=1,MAX(A$1:A1393)+1,"")</f>
        <v/>
      </c>
      <c r="B1394" s="11"/>
      <c r="C1394" s="11" t="str">
        <f>IF(COUNTIF(D$1:D1394,D1394)=1,MAX(C$1:C1393)+1,"")</f>
        <v/>
      </c>
      <c r="D1394" s="12"/>
    </row>
    <row r="1395" spans="1:4" x14ac:dyDescent="0.25">
      <c r="A1395" t="str">
        <f>IF(COUNTIF(B$1:B1395,B1395)=1,MAX(A$1:A1394)+1,"")</f>
        <v/>
      </c>
      <c r="B1395" s="11"/>
      <c r="C1395" s="11" t="str">
        <f>IF(COUNTIF(D$1:D1395,D1395)=1,MAX(C$1:C1394)+1,"")</f>
        <v/>
      </c>
      <c r="D1395" s="12"/>
    </row>
    <row r="1396" spans="1:4" x14ac:dyDescent="0.25">
      <c r="A1396" t="str">
        <f>IF(COUNTIF(B$1:B1396,B1396)=1,MAX(A$1:A1395)+1,"")</f>
        <v/>
      </c>
      <c r="B1396" s="11"/>
      <c r="C1396" s="11" t="str">
        <f>IF(COUNTIF(D$1:D1396,D1396)=1,MAX(C$1:C1395)+1,"")</f>
        <v/>
      </c>
      <c r="D1396" s="12"/>
    </row>
    <row r="1397" spans="1:4" x14ac:dyDescent="0.25">
      <c r="A1397" t="str">
        <f>IF(COUNTIF(B$1:B1397,B1397)=1,MAX(A$1:A1396)+1,"")</f>
        <v/>
      </c>
      <c r="B1397" s="11"/>
      <c r="C1397" s="11" t="str">
        <f>IF(COUNTIF(D$1:D1397,D1397)=1,MAX(C$1:C1396)+1,"")</f>
        <v/>
      </c>
      <c r="D1397" s="12"/>
    </row>
    <row r="1398" spans="1:4" x14ac:dyDescent="0.25">
      <c r="A1398" t="str">
        <f>IF(COUNTIF(B$1:B1398,B1398)=1,MAX(A$1:A1397)+1,"")</f>
        <v/>
      </c>
      <c r="B1398" s="11"/>
      <c r="C1398" s="11" t="str">
        <f>IF(COUNTIF(D$1:D1398,D1398)=1,MAX(C$1:C1397)+1,"")</f>
        <v/>
      </c>
      <c r="D1398" s="12"/>
    </row>
    <row r="1399" spans="1:4" x14ac:dyDescent="0.25">
      <c r="A1399" t="str">
        <f>IF(COUNTIF(B$1:B1399,B1399)=1,MAX(A$1:A1398)+1,"")</f>
        <v/>
      </c>
      <c r="B1399" s="11"/>
      <c r="C1399" s="11" t="str">
        <f>IF(COUNTIF(D$1:D1399,D1399)=1,MAX(C$1:C1398)+1,"")</f>
        <v/>
      </c>
      <c r="D1399" s="12"/>
    </row>
    <row r="1400" spans="1:4" x14ac:dyDescent="0.25">
      <c r="A1400" t="str">
        <f>IF(COUNTIF(B$1:B1400,B1400)=1,MAX(A$1:A1399)+1,"")</f>
        <v/>
      </c>
      <c r="B1400" s="11"/>
      <c r="C1400" s="11" t="str">
        <f>IF(COUNTIF(D$1:D1400,D1400)=1,MAX(C$1:C1399)+1,"")</f>
        <v/>
      </c>
      <c r="D1400" s="12"/>
    </row>
    <row r="1401" spans="1:4" x14ac:dyDescent="0.25">
      <c r="A1401" t="str">
        <f>IF(COUNTIF(B$1:B1401,B1401)=1,MAX(A$1:A1400)+1,"")</f>
        <v/>
      </c>
      <c r="B1401" s="11"/>
      <c r="C1401" s="11" t="str">
        <f>IF(COUNTIF(D$1:D1401,D1401)=1,MAX(C$1:C1400)+1,"")</f>
        <v/>
      </c>
      <c r="D1401" s="12"/>
    </row>
    <row r="1402" spans="1:4" x14ac:dyDescent="0.25">
      <c r="A1402" t="str">
        <f>IF(COUNTIF(B$1:B1402,B1402)=1,MAX(A$1:A1401)+1,"")</f>
        <v/>
      </c>
      <c r="B1402" s="11"/>
      <c r="C1402" s="11" t="str">
        <f>IF(COUNTIF(D$1:D1402,D1402)=1,MAX(C$1:C1401)+1,"")</f>
        <v/>
      </c>
      <c r="D1402" s="12"/>
    </row>
    <row r="1403" spans="1:4" x14ac:dyDescent="0.25">
      <c r="A1403" t="str">
        <f>IF(COUNTIF(B$1:B1403,B1403)=1,MAX(A$1:A1402)+1,"")</f>
        <v/>
      </c>
      <c r="B1403" s="11"/>
      <c r="C1403" s="11" t="str">
        <f>IF(COUNTIF(D$1:D1403,D1403)=1,MAX(C$1:C1402)+1,"")</f>
        <v/>
      </c>
      <c r="D1403" s="12"/>
    </row>
    <row r="1404" spans="1:4" x14ac:dyDescent="0.25">
      <c r="A1404" t="str">
        <f>IF(COUNTIF(B$1:B1404,B1404)=1,MAX(A$1:A1403)+1,"")</f>
        <v/>
      </c>
      <c r="B1404" s="11"/>
      <c r="C1404" s="11" t="str">
        <f>IF(COUNTIF(D$1:D1404,D1404)=1,MAX(C$1:C1403)+1,"")</f>
        <v/>
      </c>
      <c r="D1404" s="12"/>
    </row>
    <row r="1405" spans="1:4" x14ac:dyDescent="0.25">
      <c r="A1405" t="str">
        <f>IF(COUNTIF(B$1:B1405,B1405)=1,MAX(A$1:A1404)+1,"")</f>
        <v/>
      </c>
      <c r="B1405" s="11"/>
      <c r="C1405" s="11" t="str">
        <f>IF(COUNTIF(D$1:D1405,D1405)=1,MAX(C$1:C1404)+1,"")</f>
        <v/>
      </c>
      <c r="D1405" s="12"/>
    </row>
    <row r="1406" spans="1:4" x14ac:dyDescent="0.25">
      <c r="A1406" t="str">
        <f>IF(COUNTIF(B$1:B1406,B1406)=1,MAX(A$1:A1405)+1,"")</f>
        <v/>
      </c>
      <c r="B1406" s="11"/>
      <c r="C1406" s="11" t="str">
        <f>IF(COUNTIF(D$1:D1406,D1406)=1,MAX(C$1:C1405)+1,"")</f>
        <v/>
      </c>
      <c r="D1406" s="12"/>
    </row>
    <row r="1407" spans="1:4" x14ac:dyDescent="0.25">
      <c r="A1407" t="str">
        <f>IF(COUNTIF(B$1:B1407,B1407)=1,MAX(A$1:A1406)+1,"")</f>
        <v/>
      </c>
      <c r="B1407" s="11"/>
      <c r="C1407" s="11" t="str">
        <f>IF(COUNTIF(D$1:D1407,D1407)=1,MAX(C$1:C1406)+1,"")</f>
        <v/>
      </c>
      <c r="D1407" s="12"/>
    </row>
    <row r="1408" spans="1:4" x14ac:dyDescent="0.25">
      <c r="A1408" t="str">
        <f>IF(COUNTIF(B$1:B1408,B1408)=1,MAX(A$1:A1407)+1,"")</f>
        <v/>
      </c>
      <c r="B1408" s="11"/>
      <c r="C1408" s="11" t="str">
        <f>IF(COUNTIF(D$1:D1408,D1408)=1,MAX(C$1:C1407)+1,"")</f>
        <v/>
      </c>
      <c r="D1408" s="12"/>
    </row>
    <row r="1409" spans="1:4" x14ac:dyDescent="0.25">
      <c r="A1409" t="str">
        <f>IF(COUNTIF(B$1:B1409,B1409)=1,MAX(A$1:A1408)+1,"")</f>
        <v/>
      </c>
      <c r="B1409" s="11"/>
      <c r="C1409" s="11" t="str">
        <f>IF(COUNTIF(D$1:D1409,D1409)=1,MAX(C$1:C1408)+1,"")</f>
        <v/>
      </c>
      <c r="D1409" s="12"/>
    </row>
    <row r="1410" spans="1:4" x14ac:dyDescent="0.25">
      <c r="A1410" t="str">
        <f>IF(COUNTIF(B$1:B1410,B1410)=1,MAX(A$1:A1409)+1,"")</f>
        <v/>
      </c>
      <c r="B1410" s="11"/>
      <c r="C1410" s="11" t="str">
        <f>IF(COUNTIF(D$1:D1410,D1410)=1,MAX(C$1:C1409)+1,"")</f>
        <v/>
      </c>
      <c r="D1410" s="12"/>
    </row>
    <row r="1411" spans="1:4" x14ac:dyDescent="0.25">
      <c r="A1411" t="str">
        <f>IF(COUNTIF(B$1:B1411,B1411)=1,MAX(A$1:A1410)+1,"")</f>
        <v/>
      </c>
      <c r="B1411" s="11"/>
      <c r="C1411" s="11" t="str">
        <f>IF(COUNTIF(D$1:D1411,D1411)=1,MAX(C$1:C1410)+1,"")</f>
        <v/>
      </c>
      <c r="D1411" s="12"/>
    </row>
    <row r="1412" spans="1:4" x14ac:dyDescent="0.25">
      <c r="A1412" t="str">
        <f>IF(COUNTIF(B$1:B1412,B1412)=1,MAX(A$1:A1411)+1,"")</f>
        <v/>
      </c>
      <c r="B1412" s="11"/>
      <c r="C1412" s="11" t="str">
        <f>IF(COUNTIF(D$1:D1412,D1412)=1,MAX(C$1:C1411)+1,"")</f>
        <v/>
      </c>
      <c r="D1412" s="12"/>
    </row>
    <row r="1413" spans="1:4" x14ac:dyDescent="0.25">
      <c r="A1413" t="str">
        <f>IF(COUNTIF(B$1:B1413,B1413)=1,MAX(A$1:A1412)+1,"")</f>
        <v/>
      </c>
      <c r="B1413" s="11"/>
      <c r="C1413" s="11" t="str">
        <f>IF(COUNTIF(D$1:D1413,D1413)=1,MAX(C$1:C1412)+1,"")</f>
        <v/>
      </c>
      <c r="D1413" s="12"/>
    </row>
    <row r="1414" spans="1:4" x14ac:dyDescent="0.25">
      <c r="A1414" t="str">
        <f>IF(COUNTIF(B$1:B1414,B1414)=1,MAX(A$1:A1413)+1,"")</f>
        <v/>
      </c>
      <c r="B1414" s="11"/>
      <c r="C1414" s="11" t="str">
        <f>IF(COUNTIF(D$1:D1414,D1414)=1,MAX(C$1:C1413)+1,"")</f>
        <v/>
      </c>
      <c r="D1414" s="12"/>
    </row>
    <row r="1415" spans="1:4" x14ac:dyDescent="0.25">
      <c r="A1415" t="str">
        <f>IF(COUNTIF(B$1:B1415,B1415)=1,MAX(A$1:A1414)+1,"")</f>
        <v/>
      </c>
      <c r="B1415" s="11"/>
      <c r="C1415" s="11" t="str">
        <f>IF(COUNTIF(D$1:D1415,D1415)=1,MAX(C$1:C1414)+1,"")</f>
        <v/>
      </c>
      <c r="D1415" s="12"/>
    </row>
    <row r="1416" spans="1:4" x14ac:dyDescent="0.25">
      <c r="A1416" t="str">
        <f>IF(COUNTIF(B$1:B1416,B1416)=1,MAX(A$1:A1415)+1,"")</f>
        <v/>
      </c>
      <c r="B1416" s="11"/>
      <c r="C1416" s="11" t="str">
        <f>IF(COUNTIF(D$1:D1416,D1416)=1,MAX(C$1:C1415)+1,"")</f>
        <v/>
      </c>
      <c r="D1416" s="12"/>
    </row>
    <row r="1417" spans="1:4" x14ac:dyDescent="0.25">
      <c r="A1417" t="str">
        <f>IF(COUNTIF(B$1:B1417,B1417)=1,MAX(A$1:A1416)+1,"")</f>
        <v/>
      </c>
      <c r="B1417" s="11"/>
      <c r="C1417" s="11" t="str">
        <f>IF(COUNTIF(D$1:D1417,D1417)=1,MAX(C$1:C1416)+1,"")</f>
        <v/>
      </c>
      <c r="D1417" s="12"/>
    </row>
    <row r="1418" spans="1:4" x14ac:dyDescent="0.25">
      <c r="A1418" t="str">
        <f>IF(COUNTIF(B$1:B1418,B1418)=1,MAX(A$1:A1417)+1,"")</f>
        <v/>
      </c>
      <c r="B1418" s="11"/>
      <c r="C1418" s="11" t="str">
        <f>IF(COUNTIF(D$1:D1418,D1418)=1,MAX(C$1:C1417)+1,"")</f>
        <v/>
      </c>
      <c r="D1418" s="12"/>
    </row>
    <row r="1419" spans="1:4" x14ac:dyDescent="0.25">
      <c r="A1419" t="str">
        <f>IF(COUNTIF(B$1:B1419,B1419)=1,MAX(A$1:A1418)+1,"")</f>
        <v/>
      </c>
      <c r="B1419" s="11"/>
      <c r="C1419" s="11" t="str">
        <f>IF(COUNTIF(D$1:D1419,D1419)=1,MAX(C$1:C1418)+1,"")</f>
        <v/>
      </c>
      <c r="D1419" s="12"/>
    </row>
    <row r="1420" spans="1:4" x14ac:dyDescent="0.25">
      <c r="A1420" t="str">
        <f>IF(COUNTIF(B$1:B1420,B1420)=1,MAX(A$1:A1419)+1,"")</f>
        <v/>
      </c>
      <c r="B1420" s="11"/>
      <c r="C1420" s="11" t="str">
        <f>IF(COUNTIF(D$1:D1420,D1420)=1,MAX(C$1:C1419)+1,"")</f>
        <v/>
      </c>
      <c r="D1420" s="12"/>
    </row>
    <row r="1421" spans="1:4" x14ac:dyDescent="0.25">
      <c r="A1421" t="str">
        <f>IF(COUNTIF(B$1:B1421,B1421)=1,MAX(A$1:A1420)+1,"")</f>
        <v/>
      </c>
      <c r="B1421" s="11"/>
      <c r="C1421" s="11" t="str">
        <f>IF(COUNTIF(D$1:D1421,D1421)=1,MAX(C$1:C1420)+1,"")</f>
        <v/>
      </c>
      <c r="D1421" s="12"/>
    </row>
    <row r="1422" spans="1:4" x14ac:dyDescent="0.25">
      <c r="A1422" t="str">
        <f>IF(COUNTIF(B$1:B1422,B1422)=1,MAX(A$1:A1421)+1,"")</f>
        <v/>
      </c>
      <c r="B1422" s="11"/>
      <c r="C1422" s="11" t="str">
        <f>IF(COUNTIF(D$1:D1422,D1422)=1,MAX(C$1:C1421)+1,"")</f>
        <v/>
      </c>
      <c r="D1422" s="12"/>
    </row>
    <row r="1423" spans="1:4" x14ac:dyDescent="0.25">
      <c r="A1423" t="str">
        <f>IF(COUNTIF(B$1:B1423,B1423)=1,MAX(A$1:A1422)+1,"")</f>
        <v/>
      </c>
      <c r="B1423" s="11"/>
      <c r="C1423" s="11" t="str">
        <f>IF(COUNTIF(D$1:D1423,D1423)=1,MAX(C$1:C1422)+1,"")</f>
        <v/>
      </c>
      <c r="D1423" s="12"/>
    </row>
    <row r="1424" spans="1:4" x14ac:dyDescent="0.25">
      <c r="A1424" t="str">
        <f>IF(COUNTIF(B$1:B1424,B1424)=1,MAX(A$1:A1423)+1,"")</f>
        <v/>
      </c>
      <c r="B1424" s="11"/>
      <c r="C1424" s="11" t="str">
        <f>IF(COUNTIF(D$1:D1424,D1424)=1,MAX(C$1:C1423)+1,"")</f>
        <v/>
      </c>
      <c r="D1424" s="12"/>
    </row>
    <row r="1425" spans="1:4" x14ac:dyDescent="0.25">
      <c r="A1425" t="str">
        <f>IF(COUNTIF(B$1:B1425,B1425)=1,MAX(A$1:A1424)+1,"")</f>
        <v/>
      </c>
      <c r="B1425" s="11"/>
      <c r="C1425" s="11" t="str">
        <f>IF(COUNTIF(D$1:D1425,D1425)=1,MAX(C$1:C1424)+1,"")</f>
        <v/>
      </c>
      <c r="D1425" s="12"/>
    </row>
    <row r="1426" spans="1:4" x14ac:dyDescent="0.25">
      <c r="A1426" t="str">
        <f>IF(COUNTIF(B$1:B1426,B1426)=1,MAX(A$1:A1425)+1,"")</f>
        <v/>
      </c>
      <c r="B1426" s="11"/>
      <c r="C1426" s="11" t="str">
        <f>IF(COUNTIF(D$1:D1426,D1426)=1,MAX(C$1:C1425)+1,"")</f>
        <v/>
      </c>
      <c r="D1426" s="12"/>
    </row>
    <row r="1427" spans="1:4" x14ac:dyDescent="0.25">
      <c r="A1427" t="str">
        <f>IF(COUNTIF(B$1:B1427,B1427)=1,MAX(A$1:A1426)+1,"")</f>
        <v/>
      </c>
      <c r="B1427" s="11"/>
      <c r="C1427" s="11" t="str">
        <f>IF(COUNTIF(D$1:D1427,D1427)=1,MAX(C$1:C1426)+1,"")</f>
        <v/>
      </c>
      <c r="D1427" s="12"/>
    </row>
    <row r="1428" spans="1:4" x14ac:dyDescent="0.25">
      <c r="A1428" t="str">
        <f>IF(COUNTIF(B$1:B1428,B1428)=1,MAX(A$1:A1427)+1,"")</f>
        <v/>
      </c>
      <c r="B1428" s="11"/>
      <c r="C1428" s="11" t="str">
        <f>IF(COUNTIF(D$1:D1428,D1428)=1,MAX(C$1:C1427)+1,"")</f>
        <v/>
      </c>
      <c r="D1428" s="12"/>
    </row>
    <row r="1429" spans="1:4" x14ac:dyDescent="0.25">
      <c r="A1429" t="str">
        <f>IF(COUNTIF(B$1:B1429,B1429)=1,MAX(A$1:A1428)+1,"")</f>
        <v/>
      </c>
      <c r="B1429" s="11"/>
      <c r="C1429" s="11" t="str">
        <f>IF(COUNTIF(D$1:D1429,D1429)=1,MAX(C$1:C1428)+1,"")</f>
        <v/>
      </c>
      <c r="D1429" s="12"/>
    </row>
    <row r="1430" spans="1:4" x14ac:dyDescent="0.25">
      <c r="A1430" t="str">
        <f>IF(COUNTIF(B$1:B1430,B1430)=1,MAX(A$1:A1429)+1,"")</f>
        <v/>
      </c>
      <c r="B1430" s="11"/>
      <c r="C1430" s="11" t="str">
        <f>IF(COUNTIF(D$1:D1430,D1430)=1,MAX(C$1:C1429)+1,"")</f>
        <v/>
      </c>
      <c r="D1430" s="12"/>
    </row>
    <row r="1431" spans="1:4" x14ac:dyDescent="0.25">
      <c r="A1431" t="str">
        <f>IF(COUNTIF(B$1:B1431,B1431)=1,MAX(A$1:A1430)+1,"")</f>
        <v/>
      </c>
      <c r="B1431" s="11"/>
      <c r="C1431" s="11" t="str">
        <f>IF(COUNTIF(D$1:D1431,D1431)=1,MAX(C$1:C1430)+1,"")</f>
        <v/>
      </c>
      <c r="D1431" s="12"/>
    </row>
    <row r="1432" spans="1:4" x14ac:dyDescent="0.25">
      <c r="A1432" t="str">
        <f>IF(COUNTIF(B$1:B1432,B1432)=1,MAX(A$1:A1431)+1,"")</f>
        <v/>
      </c>
      <c r="B1432" s="11"/>
      <c r="C1432" s="11" t="str">
        <f>IF(COUNTIF(D$1:D1432,D1432)=1,MAX(C$1:C1431)+1,"")</f>
        <v/>
      </c>
      <c r="D1432" s="12"/>
    </row>
    <row r="1433" spans="1:4" x14ac:dyDescent="0.25">
      <c r="A1433" t="str">
        <f>IF(COUNTIF(B$1:B1433,B1433)=1,MAX(A$1:A1432)+1,"")</f>
        <v/>
      </c>
      <c r="B1433" s="11"/>
      <c r="C1433" s="11" t="str">
        <f>IF(COUNTIF(D$1:D1433,D1433)=1,MAX(C$1:C1432)+1,"")</f>
        <v/>
      </c>
      <c r="D1433" s="12"/>
    </row>
    <row r="1434" spans="1:4" x14ac:dyDescent="0.25">
      <c r="A1434" t="str">
        <f>IF(COUNTIF(B$1:B1434,B1434)=1,MAX(A$1:A1433)+1,"")</f>
        <v/>
      </c>
      <c r="B1434" s="11"/>
      <c r="C1434" s="11" t="str">
        <f>IF(COUNTIF(D$1:D1434,D1434)=1,MAX(C$1:C1433)+1,"")</f>
        <v/>
      </c>
      <c r="D1434" s="12"/>
    </row>
    <row r="1435" spans="1:4" x14ac:dyDescent="0.25">
      <c r="A1435" t="str">
        <f>IF(COUNTIF(B$1:B1435,B1435)=1,MAX(A$1:A1434)+1,"")</f>
        <v/>
      </c>
      <c r="B1435" s="11"/>
      <c r="C1435" s="11" t="str">
        <f>IF(COUNTIF(D$1:D1435,D1435)=1,MAX(C$1:C1434)+1,"")</f>
        <v/>
      </c>
      <c r="D1435" s="12"/>
    </row>
    <row r="1436" spans="1:4" x14ac:dyDescent="0.25">
      <c r="A1436" t="str">
        <f>IF(COUNTIF(B$1:B1436,B1436)=1,MAX(A$1:A1435)+1,"")</f>
        <v/>
      </c>
      <c r="B1436" s="11"/>
      <c r="C1436" s="11" t="str">
        <f>IF(COUNTIF(D$1:D1436,D1436)=1,MAX(C$1:C1435)+1,"")</f>
        <v/>
      </c>
      <c r="D1436" s="12"/>
    </row>
    <row r="1437" spans="1:4" x14ac:dyDescent="0.25">
      <c r="A1437" t="str">
        <f>IF(COUNTIF(B$1:B1437,B1437)=1,MAX(A$1:A1436)+1,"")</f>
        <v/>
      </c>
      <c r="B1437" s="11"/>
      <c r="C1437" s="11" t="str">
        <f>IF(COUNTIF(D$1:D1437,D1437)=1,MAX(C$1:C1436)+1,"")</f>
        <v/>
      </c>
      <c r="D1437" s="12"/>
    </row>
    <row r="1438" spans="1:4" x14ac:dyDescent="0.25">
      <c r="A1438" t="str">
        <f>IF(COUNTIF(B$1:B1438,B1438)=1,MAX(A$1:A1437)+1,"")</f>
        <v/>
      </c>
      <c r="B1438" s="11"/>
      <c r="C1438" s="11" t="str">
        <f>IF(COUNTIF(D$1:D1438,D1438)=1,MAX(C$1:C1437)+1,"")</f>
        <v/>
      </c>
      <c r="D1438" s="12"/>
    </row>
    <row r="1439" spans="1:4" x14ac:dyDescent="0.25">
      <c r="A1439" t="str">
        <f>IF(COUNTIF(B$1:B1439,B1439)=1,MAX(A$1:A1438)+1,"")</f>
        <v/>
      </c>
      <c r="B1439" s="11"/>
      <c r="C1439" s="11" t="str">
        <f>IF(COUNTIF(D$1:D1439,D1439)=1,MAX(C$1:C1438)+1,"")</f>
        <v/>
      </c>
      <c r="D1439" s="12"/>
    </row>
    <row r="1440" spans="1:4" x14ac:dyDescent="0.25">
      <c r="A1440" t="str">
        <f>IF(COUNTIF(B$1:B1440,B1440)=1,MAX(A$1:A1439)+1,"")</f>
        <v/>
      </c>
      <c r="B1440" s="11"/>
      <c r="C1440" s="11" t="str">
        <f>IF(COUNTIF(D$1:D1440,D1440)=1,MAX(C$1:C1439)+1,"")</f>
        <v/>
      </c>
      <c r="D1440" s="12"/>
    </row>
    <row r="1441" spans="1:4" x14ac:dyDescent="0.25">
      <c r="A1441" t="str">
        <f>IF(COUNTIF(B$1:B1441,B1441)=1,MAX(A$1:A1440)+1,"")</f>
        <v/>
      </c>
      <c r="B1441" s="11"/>
      <c r="C1441" s="11" t="str">
        <f>IF(COUNTIF(D$1:D1441,D1441)=1,MAX(C$1:C1440)+1,"")</f>
        <v/>
      </c>
      <c r="D1441" s="12"/>
    </row>
    <row r="1442" spans="1:4" x14ac:dyDescent="0.25">
      <c r="A1442" t="str">
        <f>IF(COUNTIF(B$1:B1442,B1442)=1,MAX(A$1:A1441)+1,"")</f>
        <v/>
      </c>
      <c r="B1442" s="11"/>
      <c r="C1442" s="11" t="str">
        <f>IF(COUNTIF(D$1:D1442,D1442)=1,MAX(C$1:C1441)+1,"")</f>
        <v/>
      </c>
      <c r="D1442" s="12"/>
    </row>
    <row r="1443" spans="1:4" x14ac:dyDescent="0.25">
      <c r="A1443" t="str">
        <f>IF(COUNTIF(B$1:B1443,B1443)=1,MAX(A$1:A1442)+1,"")</f>
        <v/>
      </c>
      <c r="B1443" s="11"/>
      <c r="C1443" s="11" t="str">
        <f>IF(COUNTIF(D$1:D1443,D1443)=1,MAX(C$1:C1442)+1,"")</f>
        <v/>
      </c>
      <c r="D1443" s="12"/>
    </row>
    <row r="1444" spans="1:4" x14ac:dyDescent="0.25">
      <c r="A1444" t="str">
        <f>IF(COUNTIF(B$1:B1444,B1444)=1,MAX(A$1:A1443)+1,"")</f>
        <v/>
      </c>
      <c r="B1444" s="11"/>
      <c r="C1444" s="11" t="str">
        <f>IF(COUNTIF(D$1:D1444,D1444)=1,MAX(C$1:C1443)+1,"")</f>
        <v/>
      </c>
      <c r="D1444" s="12"/>
    </row>
    <row r="1445" spans="1:4" x14ac:dyDescent="0.25">
      <c r="A1445" t="str">
        <f>IF(COUNTIF(B$1:B1445,B1445)=1,MAX(A$1:A1444)+1,"")</f>
        <v/>
      </c>
      <c r="B1445" s="11"/>
      <c r="C1445" s="11" t="str">
        <f>IF(COUNTIF(D$1:D1445,D1445)=1,MAX(C$1:C1444)+1,"")</f>
        <v/>
      </c>
      <c r="D1445" s="12"/>
    </row>
    <row r="1446" spans="1:4" x14ac:dyDescent="0.25">
      <c r="A1446" t="str">
        <f>IF(COUNTIF(B$1:B1446,B1446)=1,MAX(A$1:A1445)+1,"")</f>
        <v/>
      </c>
      <c r="B1446" s="11"/>
      <c r="C1446" s="11" t="str">
        <f>IF(COUNTIF(D$1:D1446,D1446)=1,MAX(C$1:C1445)+1,"")</f>
        <v/>
      </c>
      <c r="D1446" s="12"/>
    </row>
    <row r="1447" spans="1:4" x14ac:dyDescent="0.25">
      <c r="A1447" t="str">
        <f>IF(COUNTIF(B$1:B1447,B1447)=1,MAX(A$1:A1446)+1,"")</f>
        <v/>
      </c>
      <c r="B1447" s="11"/>
      <c r="C1447" s="11" t="str">
        <f>IF(COUNTIF(D$1:D1447,D1447)=1,MAX(C$1:C1446)+1,"")</f>
        <v/>
      </c>
      <c r="D1447" s="12"/>
    </row>
    <row r="1448" spans="1:4" x14ac:dyDescent="0.25">
      <c r="A1448" t="str">
        <f>IF(COUNTIF(B$1:B1448,B1448)=1,MAX(A$1:A1447)+1,"")</f>
        <v/>
      </c>
      <c r="B1448" s="11"/>
      <c r="C1448" s="11" t="str">
        <f>IF(COUNTIF(D$1:D1448,D1448)=1,MAX(C$1:C1447)+1,"")</f>
        <v/>
      </c>
      <c r="D1448" s="12"/>
    </row>
    <row r="1449" spans="1:4" x14ac:dyDescent="0.25">
      <c r="A1449" t="str">
        <f>IF(COUNTIF(B$1:B1449,B1449)=1,MAX(A$1:A1448)+1,"")</f>
        <v/>
      </c>
      <c r="B1449" s="11"/>
      <c r="C1449" s="11" t="str">
        <f>IF(COUNTIF(D$1:D1449,D1449)=1,MAX(C$1:C1448)+1,"")</f>
        <v/>
      </c>
      <c r="D1449" s="12"/>
    </row>
    <row r="1450" spans="1:4" x14ac:dyDescent="0.25">
      <c r="A1450" t="str">
        <f>IF(COUNTIF(B$1:B1450,B1450)=1,MAX(A$1:A1449)+1,"")</f>
        <v/>
      </c>
      <c r="B1450" s="11"/>
      <c r="C1450" s="11" t="str">
        <f>IF(COUNTIF(D$1:D1450,D1450)=1,MAX(C$1:C1449)+1,"")</f>
        <v/>
      </c>
      <c r="D1450" s="12"/>
    </row>
    <row r="1451" spans="1:4" x14ac:dyDescent="0.25">
      <c r="A1451" t="str">
        <f>IF(COUNTIF(B$1:B1451,B1451)=1,MAX(A$1:A1450)+1,"")</f>
        <v/>
      </c>
      <c r="B1451" s="11"/>
      <c r="C1451" s="11" t="str">
        <f>IF(COUNTIF(D$1:D1451,D1451)=1,MAX(C$1:C1450)+1,"")</f>
        <v/>
      </c>
      <c r="D1451" s="12"/>
    </row>
    <row r="1452" spans="1:4" x14ac:dyDescent="0.25">
      <c r="A1452" t="str">
        <f>IF(COUNTIF(B$1:B1452,B1452)=1,MAX(A$1:A1451)+1,"")</f>
        <v/>
      </c>
      <c r="B1452" s="11"/>
      <c r="C1452" s="11" t="str">
        <f>IF(COUNTIF(D$1:D1452,D1452)=1,MAX(C$1:C1451)+1,"")</f>
        <v/>
      </c>
      <c r="D1452" s="12"/>
    </row>
    <row r="1453" spans="1:4" x14ac:dyDescent="0.25">
      <c r="A1453" t="str">
        <f>IF(COUNTIF(B$1:B1453,B1453)=1,MAX(A$1:A1452)+1,"")</f>
        <v/>
      </c>
      <c r="B1453" s="11"/>
      <c r="C1453" s="11" t="str">
        <f>IF(COUNTIF(D$1:D1453,D1453)=1,MAX(C$1:C1452)+1,"")</f>
        <v/>
      </c>
      <c r="D1453" s="12"/>
    </row>
    <row r="1454" spans="1:4" x14ac:dyDescent="0.25">
      <c r="A1454" t="str">
        <f>IF(COUNTIF(B$1:B1454,B1454)=1,MAX(A$1:A1453)+1,"")</f>
        <v/>
      </c>
      <c r="B1454" s="11"/>
      <c r="C1454" s="11" t="str">
        <f>IF(COUNTIF(D$1:D1454,D1454)=1,MAX(C$1:C1453)+1,"")</f>
        <v/>
      </c>
      <c r="D1454" s="12"/>
    </row>
    <row r="1455" spans="1:4" x14ac:dyDescent="0.25">
      <c r="A1455" t="str">
        <f>IF(COUNTIF(B$1:B1455,B1455)=1,MAX(A$1:A1454)+1,"")</f>
        <v/>
      </c>
      <c r="B1455" s="11"/>
      <c r="C1455" s="11" t="str">
        <f>IF(COUNTIF(D$1:D1455,D1455)=1,MAX(C$1:C1454)+1,"")</f>
        <v/>
      </c>
      <c r="D1455" s="12"/>
    </row>
    <row r="1456" spans="1:4" x14ac:dyDescent="0.25">
      <c r="A1456" t="str">
        <f>IF(COUNTIF(B$1:B1456,B1456)=1,MAX(A$1:A1455)+1,"")</f>
        <v/>
      </c>
      <c r="B1456" s="11"/>
      <c r="C1456" s="11" t="str">
        <f>IF(COUNTIF(D$1:D1456,D1456)=1,MAX(C$1:C1455)+1,"")</f>
        <v/>
      </c>
      <c r="D1456" s="12"/>
    </row>
    <row r="1457" spans="1:4" x14ac:dyDescent="0.25">
      <c r="A1457" t="str">
        <f>IF(COUNTIF(B$1:B1457,B1457)=1,MAX(A$1:A1456)+1,"")</f>
        <v/>
      </c>
      <c r="B1457" s="11"/>
      <c r="C1457" s="11" t="str">
        <f>IF(COUNTIF(D$1:D1457,D1457)=1,MAX(C$1:C1456)+1,"")</f>
        <v/>
      </c>
      <c r="D1457" s="12"/>
    </row>
    <row r="1458" spans="1:4" x14ac:dyDescent="0.25">
      <c r="A1458" t="str">
        <f>IF(COUNTIF(B$1:B1458,B1458)=1,MAX(A$1:A1457)+1,"")</f>
        <v/>
      </c>
      <c r="B1458" s="11"/>
      <c r="C1458" s="11" t="str">
        <f>IF(COUNTIF(D$1:D1458,D1458)=1,MAX(C$1:C1457)+1,"")</f>
        <v/>
      </c>
      <c r="D1458" s="12"/>
    </row>
    <row r="1459" spans="1:4" x14ac:dyDescent="0.25">
      <c r="A1459" t="str">
        <f>IF(COUNTIF(B$1:B1459,B1459)=1,MAX(A$1:A1458)+1,"")</f>
        <v/>
      </c>
      <c r="B1459" s="11"/>
      <c r="C1459" s="11" t="str">
        <f>IF(COUNTIF(D$1:D1459,D1459)=1,MAX(C$1:C1458)+1,"")</f>
        <v/>
      </c>
      <c r="D1459" s="12"/>
    </row>
    <row r="1460" spans="1:4" x14ac:dyDescent="0.25">
      <c r="A1460" t="str">
        <f>IF(COUNTIF(B$1:B1460,B1460)=1,MAX(A$1:A1459)+1,"")</f>
        <v/>
      </c>
      <c r="B1460" s="11"/>
      <c r="C1460" s="11" t="str">
        <f>IF(COUNTIF(D$1:D1460,D1460)=1,MAX(C$1:C1459)+1,"")</f>
        <v/>
      </c>
      <c r="D1460" s="12"/>
    </row>
    <row r="1461" spans="1:4" x14ac:dyDescent="0.25">
      <c r="A1461" t="str">
        <f>IF(COUNTIF(B$1:B1461,B1461)=1,MAX(A$1:A1460)+1,"")</f>
        <v/>
      </c>
      <c r="B1461" s="11"/>
      <c r="C1461" s="11" t="str">
        <f>IF(COUNTIF(D$1:D1461,D1461)=1,MAX(C$1:C1460)+1,"")</f>
        <v/>
      </c>
      <c r="D1461" s="12"/>
    </row>
    <row r="1462" spans="1:4" x14ac:dyDescent="0.25">
      <c r="A1462" t="str">
        <f>IF(COUNTIF(B$1:B1462,B1462)=1,MAX(A$1:A1461)+1,"")</f>
        <v/>
      </c>
      <c r="B1462" s="11"/>
      <c r="C1462" s="11" t="str">
        <f>IF(COUNTIF(D$1:D1462,D1462)=1,MAX(C$1:C1461)+1,"")</f>
        <v/>
      </c>
      <c r="D1462" s="12"/>
    </row>
    <row r="1463" spans="1:4" x14ac:dyDescent="0.25">
      <c r="A1463" t="str">
        <f>IF(COUNTIF(B$1:B1463,B1463)=1,MAX(A$1:A1462)+1,"")</f>
        <v/>
      </c>
      <c r="B1463" s="11"/>
      <c r="C1463" s="11" t="str">
        <f>IF(COUNTIF(D$1:D1463,D1463)=1,MAX(C$1:C1462)+1,"")</f>
        <v/>
      </c>
      <c r="D1463" s="12"/>
    </row>
    <row r="1464" spans="1:4" x14ac:dyDescent="0.25">
      <c r="A1464" t="str">
        <f>IF(COUNTIF(B$1:B1464,B1464)=1,MAX(A$1:A1463)+1,"")</f>
        <v/>
      </c>
      <c r="B1464" s="11"/>
      <c r="C1464" s="11" t="str">
        <f>IF(COUNTIF(D$1:D1464,D1464)=1,MAX(C$1:C1463)+1,"")</f>
        <v/>
      </c>
      <c r="D1464" s="12"/>
    </row>
    <row r="1465" spans="1:4" x14ac:dyDescent="0.25">
      <c r="A1465" t="str">
        <f>IF(COUNTIF(B$1:B1465,B1465)=1,MAX(A$1:A1464)+1,"")</f>
        <v/>
      </c>
      <c r="B1465" s="11"/>
      <c r="C1465" s="11" t="str">
        <f>IF(COUNTIF(D$1:D1465,D1465)=1,MAX(C$1:C1464)+1,"")</f>
        <v/>
      </c>
      <c r="D1465" s="12"/>
    </row>
    <row r="1466" spans="1:4" x14ac:dyDescent="0.25">
      <c r="A1466" t="str">
        <f>IF(COUNTIF(B$1:B1466,B1466)=1,MAX(A$1:A1465)+1,"")</f>
        <v/>
      </c>
      <c r="B1466" s="11"/>
      <c r="C1466" s="11" t="str">
        <f>IF(COUNTIF(D$1:D1466,D1466)=1,MAX(C$1:C1465)+1,"")</f>
        <v/>
      </c>
      <c r="D1466" s="12"/>
    </row>
    <row r="1467" spans="1:4" x14ac:dyDescent="0.25">
      <c r="A1467" t="str">
        <f>IF(COUNTIF(B$1:B1467,B1467)=1,MAX(A$1:A1466)+1,"")</f>
        <v/>
      </c>
      <c r="B1467" s="11"/>
      <c r="C1467" s="11" t="str">
        <f>IF(COUNTIF(D$1:D1467,D1467)=1,MAX(C$1:C1466)+1,"")</f>
        <v/>
      </c>
      <c r="D1467" s="12"/>
    </row>
    <row r="1468" spans="1:4" x14ac:dyDescent="0.25">
      <c r="A1468" t="str">
        <f>IF(COUNTIF(B$1:B1468,B1468)=1,MAX(A$1:A1467)+1,"")</f>
        <v/>
      </c>
      <c r="B1468" s="11"/>
      <c r="C1468" s="11" t="str">
        <f>IF(COUNTIF(D$1:D1468,D1468)=1,MAX(C$1:C1467)+1,"")</f>
        <v/>
      </c>
      <c r="D1468" s="12"/>
    </row>
    <row r="1469" spans="1:4" x14ac:dyDescent="0.25">
      <c r="A1469" t="str">
        <f>IF(COUNTIF(B$1:B1469,B1469)=1,MAX(A$1:A1468)+1,"")</f>
        <v/>
      </c>
      <c r="B1469" s="11"/>
      <c r="C1469" s="11" t="str">
        <f>IF(COUNTIF(D$1:D1469,D1469)=1,MAX(C$1:C1468)+1,"")</f>
        <v/>
      </c>
      <c r="D1469" s="12"/>
    </row>
    <row r="1470" spans="1:4" x14ac:dyDescent="0.25">
      <c r="A1470" t="str">
        <f>IF(COUNTIF(B$1:B1470,B1470)=1,MAX(A$1:A1469)+1,"")</f>
        <v/>
      </c>
      <c r="B1470" s="11"/>
      <c r="C1470" s="11" t="str">
        <f>IF(COUNTIF(D$1:D1470,D1470)=1,MAX(C$1:C1469)+1,"")</f>
        <v/>
      </c>
      <c r="D1470" s="12"/>
    </row>
    <row r="1471" spans="1:4" x14ac:dyDescent="0.25">
      <c r="A1471" t="str">
        <f>IF(COUNTIF(B$1:B1471,B1471)=1,MAX(A$1:A1470)+1,"")</f>
        <v/>
      </c>
      <c r="B1471" s="11"/>
      <c r="C1471" s="11" t="str">
        <f>IF(COUNTIF(D$1:D1471,D1471)=1,MAX(C$1:C1470)+1,"")</f>
        <v/>
      </c>
      <c r="D1471" s="12"/>
    </row>
    <row r="1472" spans="1:4" x14ac:dyDescent="0.25">
      <c r="A1472" t="str">
        <f>IF(COUNTIF(B$1:B1472,B1472)=1,MAX(A$1:A1471)+1,"")</f>
        <v/>
      </c>
      <c r="B1472" s="11"/>
      <c r="C1472" s="11" t="str">
        <f>IF(COUNTIF(D$1:D1472,D1472)=1,MAX(C$1:C1471)+1,"")</f>
        <v/>
      </c>
      <c r="D1472" s="12"/>
    </row>
    <row r="1473" spans="1:4" x14ac:dyDescent="0.25">
      <c r="A1473" t="str">
        <f>IF(COUNTIF(B$1:B1473,B1473)=1,MAX(A$1:A1472)+1,"")</f>
        <v/>
      </c>
      <c r="B1473" s="11"/>
      <c r="C1473" s="11" t="str">
        <f>IF(COUNTIF(D$1:D1473,D1473)=1,MAX(C$1:C1472)+1,"")</f>
        <v/>
      </c>
      <c r="D1473" s="12"/>
    </row>
    <row r="1474" spans="1:4" x14ac:dyDescent="0.25">
      <c r="A1474" t="str">
        <f>IF(COUNTIF(B$1:B1474,B1474)=1,MAX(A$1:A1473)+1,"")</f>
        <v/>
      </c>
      <c r="B1474" s="11"/>
      <c r="C1474" s="11" t="str">
        <f>IF(COUNTIF(D$1:D1474,D1474)=1,MAX(C$1:C1473)+1,"")</f>
        <v/>
      </c>
      <c r="D1474" s="12"/>
    </row>
    <row r="1475" spans="1:4" x14ac:dyDescent="0.25">
      <c r="A1475" t="str">
        <f>IF(COUNTIF(B$1:B1475,B1475)=1,MAX(A$1:A1474)+1,"")</f>
        <v/>
      </c>
      <c r="B1475" s="11"/>
      <c r="C1475" s="11" t="str">
        <f>IF(COUNTIF(D$1:D1475,D1475)=1,MAX(C$1:C1474)+1,"")</f>
        <v/>
      </c>
      <c r="D1475" s="12"/>
    </row>
    <row r="1476" spans="1:4" x14ac:dyDescent="0.25">
      <c r="A1476" t="str">
        <f>IF(COUNTIF(B$1:B1476,B1476)=1,MAX(A$1:A1475)+1,"")</f>
        <v/>
      </c>
      <c r="B1476" s="11"/>
      <c r="C1476" s="11" t="str">
        <f>IF(COUNTIF(D$1:D1476,D1476)=1,MAX(C$1:C1475)+1,"")</f>
        <v/>
      </c>
      <c r="D1476" s="12"/>
    </row>
    <row r="1477" spans="1:4" x14ac:dyDescent="0.25">
      <c r="A1477" t="str">
        <f>IF(COUNTIF(B$1:B1477,B1477)=1,MAX(A$1:A1476)+1,"")</f>
        <v/>
      </c>
      <c r="B1477" s="11"/>
      <c r="C1477" s="11" t="str">
        <f>IF(COUNTIF(D$1:D1477,D1477)=1,MAX(C$1:C1476)+1,"")</f>
        <v/>
      </c>
      <c r="D1477" s="12"/>
    </row>
    <row r="1478" spans="1:4" x14ac:dyDescent="0.25">
      <c r="A1478" t="str">
        <f>IF(COUNTIF(B$1:B1478,B1478)=1,MAX(A$1:A1477)+1,"")</f>
        <v/>
      </c>
      <c r="B1478" s="11"/>
      <c r="C1478" s="11" t="str">
        <f>IF(COUNTIF(D$1:D1478,D1478)=1,MAX(C$1:C1477)+1,"")</f>
        <v/>
      </c>
      <c r="D1478" s="12"/>
    </row>
    <row r="1479" spans="1:4" x14ac:dyDescent="0.25">
      <c r="A1479" t="str">
        <f>IF(COUNTIF(B$1:B1479,B1479)=1,MAX(A$1:A1478)+1,"")</f>
        <v/>
      </c>
      <c r="B1479" s="11"/>
      <c r="C1479" s="11" t="str">
        <f>IF(COUNTIF(D$1:D1479,D1479)=1,MAX(C$1:C1478)+1,"")</f>
        <v/>
      </c>
      <c r="D1479" s="12"/>
    </row>
    <row r="1480" spans="1:4" x14ac:dyDescent="0.25">
      <c r="A1480" t="str">
        <f>IF(COUNTIF(B$1:B1480,B1480)=1,MAX(A$1:A1479)+1,"")</f>
        <v/>
      </c>
      <c r="B1480" s="11"/>
      <c r="C1480" s="11" t="str">
        <f>IF(COUNTIF(D$1:D1480,D1480)=1,MAX(C$1:C1479)+1,"")</f>
        <v/>
      </c>
      <c r="D1480" s="12"/>
    </row>
    <row r="1481" spans="1:4" x14ac:dyDescent="0.25">
      <c r="A1481" t="str">
        <f>IF(COUNTIF(B$1:B1481,B1481)=1,MAX(A$1:A1480)+1,"")</f>
        <v/>
      </c>
      <c r="B1481" s="11"/>
      <c r="C1481" s="11" t="str">
        <f>IF(COUNTIF(D$1:D1481,D1481)=1,MAX(C$1:C1480)+1,"")</f>
        <v/>
      </c>
      <c r="D1481" s="12"/>
    </row>
    <row r="1482" spans="1:4" x14ac:dyDescent="0.25">
      <c r="A1482" t="str">
        <f>IF(COUNTIF(B$1:B1482,B1482)=1,MAX(A$1:A1481)+1,"")</f>
        <v/>
      </c>
      <c r="B1482" s="11"/>
      <c r="C1482" s="11" t="str">
        <f>IF(COUNTIF(D$1:D1482,D1482)=1,MAX(C$1:C1481)+1,"")</f>
        <v/>
      </c>
      <c r="D1482" s="12"/>
    </row>
    <row r="1483" spans="1:4" x14ac:dyDescent="0.25">
      <c r="A1483" t="str">
        <f>IF(COUNTIF(B$1:B1483,B1483)=1,MAX(A$1:A1482)+1,"")</f>
        <v/>
      </c>
      <c r="B1483" s="11"/>
      <c r="C1483" s="11" t="str">
        <f>IF(COUNTIF(D$1:D1483,D1483)=1,MAX(C$1:C1482)+1,"")</f>
        <v/>
      </c>
      <c r="D1483" s="12"/>
    </row>
    <row r="1484" spans="1:4" x14ac:dyDescent="0.25">
      <c r="A1484" t="str">
        <f>IF(COUNTIF(B$1:B1484,B1484)=1,MAX(A$1:A1483)+1,"")</f>
        <v/>
      </c>
      <c r="B1484" s="11"/>
      <c r="C1484" s="11" t="str">
        <f>IF(COUNTIF(D$1:D1484,D1484)=1,MAX(C$1:C1483)+1,"")</f>
        <v/>
      </c>
      <c r="D1484" s="12"/>
    </row>
    <row r="1485" spans="1:4" x14ac:dyDescent="0.25">
      <c r="A1485" t="str">
        <f>IF(COUNTIF(B$1:B1485,B1485)=1,MAX(A$1:A1484)+1,"")</f>
        <v/>
      </c>
      <c r="B1485" s="11"/>
      <c r="C1485" s="11" t="str">
        <f>IF(COUNTIF(D$1:D1485,D1485)=1,MAX(C$1:C1484)+1,"")</f>
        <v/>
      </c>
      <c r="D1485" s="12"/>
    </row>
    <row r="1486" spans="1:4" x14ac:dyDescent="0.25">
      <c r="A1486" t="str">
        <f>IF(COUNTIF(B$1:B1486,B1486)=1,MAX(A$1:A1485)+1,"")</f>
        <v/>
      </c>
      <c r="B1486" s="11"/>
      <c r="C1486" s="11" t="str">
        <f>IF(COUNTIF(D$1:D1486,D1486)=1,MAX(C$1:C1485)+1,"")</f>
        <v/>
      </c>
      <c r="D1486" s="12"/>
    </row>
    <row r="1487" spans="1:4" x14ac:dyDescent="0.25">
      <c r="A1487" t="str">
        <f>IF(COUNTIF(B$1:B1487,B1487)=1,MAX(A$1:A1486)+1,"")</f>
        <v/>
      </c>
      <c r="B1487" s="11"/>
      <c r="C1487" s="11" t="str">
        <f>IF(COUNTIF(D$1:D1487,D1487)=1,MAX(C$1:C1486)+1,"")</f>
        <v/>
      </c>
      <c r="D1487" s="12"/>
    </row>
    <row r="1488" spans="1:4" x14ac:dyDescent="0.25">
      <c r="A1488" t="str">
        <f>IF(COUNTIF(B$1:B1488,B1488)=1,MAX(A$1:A1487)+1,"")</f>
        <v/>
      </c>
      <c r="B1488" s="11"/>
      <c r="C1488" s="11" t="str">
        <f>IF(COUNTIF(D$1:D1488,D1488)=1,MAX(C$1:C1487)+1,"")</f>
        <v/>
      </c>
      <c r="D1488" s="12"/>
    </row>
    <row r="1489" spans="1:4" x14ac:dyDescent="0.25">
      <c r="A1489" t="str">
        <f>IF(COUNTIF(B$1:B1489,B1489)=1,MAX(A$1:A1488)+1,"")</f>
        <v/>
      </c>
      <c r="B1489" s="11"/>
      <c r="C1489" s="11" t="str">
        <f>IF(COUNTIF(D$1:D1489,D1489)=1,MAX(C$1:C1488)+1,"")</f>
        <v/>
      </c>
      <c r="D1489" s="12"/>
    </row>
    <row r="1490" spans="1:4" x14ac:dyDescent="0.25">
      <c r="A1490" t="str">
        <f>IF(COUNTIF(B$1:B1490,B1490)=1,MAX(A$1:A1489)+1,"")</f>
        <v/>
      </c>
      <c r="B1490" s="11"/>
      <c r="C1490" s="11" t="str">
        <f>IF(COUNTIF(D$1:D1490,D1490)=1,MAX(C$1:C1489)+1,"")</f>
        <v/>
      </c>
      <c r="D1490" s="12"/>
    </row>
    <row r="1491" spans="1:4" x14ac:dyDescent="0.25">
      <c r="A1491" t="str">
        <f>IF(COUNTIF(B$1:B1491,B1491)=1,MAX(A$1:A1490)+1,"")</f>
        <v/>
      </c>
      <c r="B1491" s="11"/>
      <c r="C1491" s="11" t="str">
        <f>IF(COUNTIF(D$1:D1491,D1491)=1,MAX(C$1:C1490)+1,"")</f>
        <v/>
      </c>
      <c r="D1491" s="12"/>
    </row>
    <row r="1492" spans="1:4" x14ac:dyDescent="0.25">
      <c r="A1492" t="str">
        <f>IF(COUNTIF(B$1:B1492,B1492)=1,MAX(A$1:A1491)+1,"")</f>
        <v/>
      </c>
      <c r="B1492" s="11"/>
      <c r="C1492" s="11" t="str">
        <f>IF(COUNTIF(D$1:D1492,D1492)=1,MAX(C$1:C1491)+1,"")</f>
        <v/>
      </c>
      <c r="D1492" s="12"/>
    </row>
    <row r="1493" spans="1:4" x14ac:dyDescent="0.25">
      <c r="A1493" t="str">
        <f>IF(COUNTIF(B$1:B1493,B1493)=1,MAX(A$1:A1492)+1,"")</f>
        <v/>
      </c>
      <c r="B1493" s="11"/>
      <c r="C1493" s="11" t="str">
        <f>IF(COUNTIF(D$1:D1493,D1493)=1,MAX(C$1:C1492)+1,"")</f>
        <v/>
      </c>
      <c r="D1493" s="12"/>
    </row>
    <row r="1494" spans="1:4" x14ac:dyDescent="0.25">
      <c r="A1494" t="str">
        <f>IF(COUNTIF(B$1:B1494,B1494)=1,MAX(A$1:A1493)+1,"")</f>
        <v/>
      </c>
      <c r="B1494" s="11"/>
      <c r="C1494" s="11" t="str">
        <f>IF(COUNTIF(D$1:D1494,D1494)=1,MAX(C$1:C1493)+1,"")</f>
        <v/>
      </c>
      <c r="D1494" s="12"/>
    </row>
    <row r="1495" spans="1:4" x14ac:dyDescent="0.25">
      <c r="A1495" t="str">
        <f>IF(COUNTIF(B$1:B1495,B1495)=1,MAX(A$1:A1494)+1,"")</f>
        <v/>
      </c>
      <c r="B1495" s="11"/>
      <c r="C1495" s="11" t="str">
        <f>IF(COUNTIF(D$1:D1495,D1495)=1,MAX(C$1:C1494)+1,"")</f>
        <v/>
      </c>
      <c r="D1495" s="12"/>
    </row>
    <row r="1496" spans="1:4" x14ac:dyDescent="0.25">
      <c r="A1496" t="str">
        <f>IF(COUNTIF(B$1:B1496,B1496)=1,MAX(A$1:A1495)+1,"")</f>
        <v/>
      </c>
      <c r="B1496" s="11"/>
      <c r="C1496" s="11" t="str">
        <f>IF(COUNTIF(D$1:D1496,D1496)=1,MAX(C$1:C1495)+1,"")</f>
        <v/>
      </c>
      <c r="D1496" s="12"/>
    </row>
    <row r="1497" spans="1:4" x14ac:dyDescent="0.25">
      <c r="A1497" t="str">
        <f>IF(COUNTIF(B$1:B1497,B1497)=1,MAX(A$1:A1496)+1,"")</f>
        <v/>
      </c>
      <c r="B1497" s="11"/>
      <c r="C1497" s="11" t="str">
        <f>IF(COUNTIF(D$1:D1497,D1497)=1,MAX(C$1:C1496)+1,"")</f>
        <v/>
      </c>
      <c r="D1497" s="12"/>
    </row>
    <row r="1498" spans="1:4" x14ac:dyDescent="0.25">
      <c r="A1498" t="str">
        <f>IF(COUNTIF(B$1:B1498,B1498)=1,MAX(A$1:A1497)+1,"")</f>
        <v/>
      </c>
      <c r="B1498" s="11"/>
      <c r="C1498" s="11" t="str">
        <f>IF(COUNTIF(D$1:D1498,D1498)=1,MAX(C$1:C1497)+1,"")</f>
        <v/>
      </c>
      <c r="D1498" s="12"/>
    </row>
    <row r="1499" spans="1:4" x14ac:dyDescent="0.25">
      <c r="A1499" t="str">
        <f>IF(COUNTIF(B$1:B1499,B1499)=1,MAX(A$1:A1498)+1,"")</f>
        <v/>
      </c>
      <c r="B1499" s="11"/>
      <c r="C1499" s="11" t="str">
        <f>IF(COUNTIF(D$1:D1499,D1499)=1,MAX(C$1:C1498)+1,"")</f>
        <v/>
      </c>
      <c r="D1499" s="12"/>
    </row>
    <row r="1500" spans="1:4" x14ac:dyDescent="0.25">
      <c r="A1500" t="str">
        <f>IF(COUNTIF(B$1:B1500,B1500)=1,MAX(A$1:A1499)+1,"")</f>
        <v/>
      </c>
      <c r="B1500" s="11"/>
      <c r="C1500" s="11" t="str">
        <f>IF(COUNTIF(D$1:D1500,D1500)=1,MAX(C$1:C1499)+1,"")</f>
        <v/>
      </c>
      <c r="D1500" s="12"/>
    </row>
    <row r="1501" spans="1:4" x14ac:dyDescent="0.25">
      <c r="A1501" t="str">
        <f>IF(COUNTIF(B$1:B1501,B1501)=1,MAX(A$1:A1500)+1,"")</f>
        <v/>
      </c>
      <c r="B1501" s="11"/>
      <c r="C1501" s="11" t="str">
        <f>IF(COUNTIF(D$1:D1501,D1501)=1,MAX(C$1:C1500)+1,"")</f>
        <v/>
      </c>
      <c r="D1501" s="12"/>
    </row>
    <row r="1502" spans="1:4" x14ac:dyDescent="0.25">
      <c r="A1502" t="str">
        <f>IF(COUNTIF(B$1:B1502,B1502)=1,MAX(A$1:A1501)+1,"")</f>
        <v/>
      </c>
      <c r="B1502" s="11"/>
      <c r="C1502" s="11" t="str">
        <f>IF(COUNTIF(D$1:D1502,D1502)=1,MAX(C$1:C1501)+1,"")</f>
        <v/>
      </c>
      <c r="D1502" s="12"/>
    </row>
    <row r="1503" spans="1:4" x14ac:dyDescent="0.25">
      <c r="A1503" t="str">
        <f>IF(COUNTIF(B$1:B1503,B1503)=1,MAX(A$1:A1502)+1,"")</f>
        <v/>
      </c>
      <c r="B1503" s="11"/>
      <c r="C1503" s="11" t="str">
        <f>IF(COUNTIF(D$1:D1503,D1503)=1,MAX(C$1:C1502)+1,"")</f>
        <v/>
      </c>
      <c r="D1503" s="12"/>
    </row>
    <row r="1504" spans="1:4" x14ac:dyDescent="0.25">
      <c r="A1504" t="str">
        <f>IF(COUNTIF(B$1:B1504,B1504)=1,MAX(A$1:A1503)+1,"")</f>
        <v/>
      </c>
      <c r="B1504" s="11"/>
      <c r="C1504" s="11" t="str">
        <f>IF(COUNTIF(D$1:D1504,D1504)=1,MAX(C$1:C1503)+1,"")</f>
        <v/>
      </c>
      <c r="D1504" s="12"/>
    </row>
    <row r="1505" spans="1:4" x14ac:dyDescent="0.25">
      <c r="A1505" t="str">
        <f>IF(COUNTIF(B$1:B1505,B1505)=1,MAX(A$1:A1504)+1,"")</f>
        <v/>
      </c>
      <c r="B1505" s="11"/>
      <c r="C1505" s="11" t="str">
        <f>IF(COUNTIF(D$1:D1505,D1505)=1,MAX(C$1:C1504)+1,"")</f>
        <v/>
      </c>
      <c r="D1505" s="12"/>
    </row>
    <row r="1506" spans="1:4" x14ac:dyDescent="0.25">
      <c r="A1506" t="str">
        <f>IF(COUNTIF(B$1:B1506,B1506)=1,MAX(A$1:A1505)+1,"")</f>
        <v/>
      </c>
      <c r="B1506" s="11"/>
      <c r="C1506" s="11" t="str">
        <f>IF(COUNTIF(D$1:D1506,D1506)=1,MAX(C$1:C1505)+1,"")</f>
        <v/>
      </c>
      <c r="D1506" s="12"/>
    </row>
    <row r="1507" spans="1:4" x14ac:dyDescent="0.25">
      <c r="A1507" t="str">
        <f>IF(COUNTIF(B$1:B1507,B1507)=1,MAX(A$1:A1506)+1,"")</f>
        <v/>
      </c>
      <c r="B1507" s="11"/>
      <c r="C1507" s="11" t="str">
        <f>IF(COUNTIF(D$1:D1507,D1507)=1,MAX(C$1:C1506)+1,"")</f>
        <v/>
      </c>
      <c r="D1507" s="12"/>
    </row>
    <row r="1508" spans="1:4" x14ac:dyDescent="0.25">
      <c r="A1508" t="str">
        <f>IF(COUNTIF(B$1:B1508,B1508)=1,MAX(A$1:A1507)+1,"")</f>
        <v/>
      </c>
      <c r="B1508" s="11"/>
      <c r="C1508" s="11" t="str">
        <f>IF(COUNTIF(D$1:D1508,D1508)=1,MAX(C$1:C1507)+1,"")</f>
        <v/>
      </c>
      <c r="D1508" s="12"/>
    </row>
    <row r="1509" spans="1:4" x14ac:dyDescent="0.25">
      <c r="A1509" t="str">
        <f>IF(COUNTIF(B$1:B1509,B1509)=1,MAX(A$1:A1508)+1,"")</f>
        <v/>
      </c>
      <c r="B1509" s="11"/>
      <c r="C1509" s="11" t="str">
        <f>IF(COUNTIF(D$1:D1509,D1509)=1,MAX(C$1:C1508)+1,"")</f>
        <v/>
      </c>
      <c r="D1509" s="12"/>
    </row>
    <row r="1510" spans="1:4" x14ac:dyDescent="0.25">
      <c r="A1510" t="str">
        <f>IF(COUNTIF(B$1:B1510,B1510)=1,MAX(A$1:A1509)+1,"")</f>
        <v/>
      </c>
      <c r="B1510" s="11"/>
      <c r="C1510" s="11" t="str">
        <f>IF(COUNTIF(D$1:D1510,D1510)=1,MAX(C$1:C1509)+1,"")</f>
        <v/>
      </c>
      <c r="D1510" s="12"/>
    </row>
    <row r="1511" spans="1:4" x14ac:dyDescent="0.25">
      <c r="A1511" t="str">
        <f>IF(COUNTIF(B$1:B1511,B1511)=1,MAX(A$1:A1510)+1,"")</f>
        <v/>
      </c>
      <c r="B1511" s="11"/>
      <c r="C1511" s="11" t="str">
        <f>IF(COUNTIF(D$1:D1511,D1511)=1,MAX(C$1:C1510)+1,"")</f>
        <v/>
      </c>
      <c r="D1511" s="12"/>
    </row>
    <row r="1512" spans="1:4" x14ac:dyDescent="0.25">
      <c r="A1512" t="str">
        <f>IF(COUNTIF(B$1:B1512,B1512)=1,MAX(A$1:A1511)+1,"")</f>
        <v/>
      </c>
      <c r="B1512" s="11"/>
      <c r="C1512" s="11" t="str">
        <f>IF(COUNTIF(D$1:D1512,D1512)=1,MAX(C$1:C1511)+1,"")</f>
        <v/>
      </c>
      <c r="D1512" s="12"/>
    </row>
    <row r="1513" spans="1:4" x14ac:dyDescent="0.25">
      <c r="A1513" t="str">
        <f>IF(COUNTIF(B$1:B1513,B1513)=1,MAX(A$1:A1512)+1,"")</f>
        <v/>
      </c>
      <c r="B1513" s="11"/>
      <c r="C1513" s="11" t="str">
        <f>IF(COUNTIF(D$1:D1513,D1513)=1,MAX(C$1:C1512)+1,"")</f>
        <v/>
      </c>
      <c r="D1513" s="12"/>
    </row>
    <row r="1514" spans="1:4" x14ac:dyDescent="0.25">
      <c r="A1514" t="str">
        <f>IF(COUNTIF(B$1:B1514,B1514)=1,MAX(A$1:A1513)+1,"")</f>
        <v/>
      </c>
      <c r="B1514" s="11"/>
      <c r="C1514" s="11" t="str">
        <f>IF(COUNTIF(D$1:D1514,D1514)=1,MAX(C$1:C1513)+1,"")</f>
        <v/>
      </c>
      <c r="D1514" s="12"/>
    </row>
    <row r="1515" spans="1:4" x14ac:dyDescent="0.25">
      <c r="A1515" t="str">
        <f>IF(COUNTIF(B$1:B1515,B1515)=1,MAX(A$1:A1514)+1,"")</f>
        <v/>
      </c>
      <c r="B1515" s="11"/>
      <c r="C1515" s="11" t="str">
        <f>IF(COUNTIF(D$1:D1515,D1515)=1,MAX(C$1:C1514)+1,"")</f>
        <v/>
      </c>
      <c r="D1515" s="12"/>
    </row>
    <row r="1516" spans="1:4" x14ac:dyDescent="0.25">
      <c r="A1516" t="str">
        <f>IF(COUNTIF(B$1:B1516,B1516)=1,MAX(A$1:A1515)+1,"")</f>
        <v/>
      </c>
      <c r="B1516" s="11"/>
      <c r="C1516" s="11" t="str">
        <f>IF(COUNTIF(D$1:D1516,D1516)=1,MAX(C$1:C1515)+1,"")</f>
        <v/>
      </c>
      <c r="D1516" s="12"/>
    </row>
    <row r="1517" spans="1:4" x14ac:dyDescent="0.25">
      <c r="A1517" t="str">
        <f>IF(COUNTIF(B$1:B1517,B1517)=1,MAX(A$1:A1516)+1,"")</f>
        <v/>
      </c>
      <c r="B1517" s="11"/>
      <c r="C1517" s="11" t="str">
        <f>IF(COUNTIF(D$1:D1517,D1517)=1,MAX(C$1:C1516)+1,"")</f>
        <v/>
      </c>
      <c r="D1517" s="12"/>
    </row>
    <row r="1518" spans="1:4" x14ac:dyDescent="0.25">
      <c r="A1518" t="str">
        <f>IF(COUNTIF(B$1:B1518,B1518)=1,MAX(A$1:A1517)+1,"")</f>
        <v/>
      </c>
      <c r="B1518" s="11"/>
      <c r="C1518" s="11" t="str">
        <f>IF(COUNTIF(D$1:D1518,D1518)=1,MAX(C$1:C1517)+1,"")</f>
        <v/>
      </c>
      <c r="D1518" s="12"/>
    </row>
    <row r="1519" spans="1:4" x14ac:dyDescent="0.25">
      <c r="A1519" t="str">
        <f>IF(COUNTIF(B$1:B1519,B1519)=1,MAX(A$1:A1518)+1,"")</f>
        <v/>
      </c>
      <c r="B1519" s="11"/>
      <c r="C1519" s="11" t="str">
        <f>IF(COUNTIF(D$1:D1519,D1519)=1,MAX(C$1:C1518)+1,"")</f>
        <v/>
      </c>
      <c r="D1519" s="12"/>
    </row>
    <row r="1520" spans="1:4" x14ac:dyDescent="0.25">
      <c r="A1520" t="str">
        <f>IF(COUNTIF(B$1:B1520,B1520)=1,MAX(A$1:A1519)+1,"")</f>
        <v/>
      </c>
      <c r="B1520" s="11"/>
      <c r="C1520" s="11" t="str">
        <f>IF(COUNTIF(D$1:D1520,D1520)=1,MAX(C$1:C1519)+1,"")</f>
        <v/>
      </c>
      <c r="D1520" s="12"/>
    </row>
    <row r="1521" spans="1:4" x14ac:dyDescent="0.25">
      <c r="A1521" t="str">
        <f>IF(COUNTIF(B$1:B1521,B1521)=1,MAX(A$1:A1520)+1,"")</f>
        <v/>
      </c>
      <c r="B1521" s="11"/>
      <c r="C1521" s="11" t="str">
        <f>IF(COUNTIF(D$1:D1521,D1521)=1,MAX(C$1:C1520)+1,"")</f>
        <v/>
      </c>
      <c r="D1521" s="12"/>
    </row>
    <row r="1522" spans="1:4" x14ac:dyDescent="0.25">
      <c r="A1522" t="str">
        <f>IF(COUNTIF(B$1:B1522,B1522)=1,MAX(A$1:A1521)+1,"")</f>
        <v/>
      </c>
      <c r="B1522" s="11"/>
      <c r="C1522" s="11" t="str">
        <f>IF(COUNTIF(D$1:D1522,D1522)=1,MAX(C$1:C1521)+1,"")</f>
        <v/>
      </c>
      <c r="D1522" s="12"/>
    </row>
    <row r="1523" spans="1:4" x14ac:dyDescent="0.25">
      <c r="A1523" t="str">
        <f>IF(COUNTIF(B$1:B1523,B1523)=1,MAX(A$1:A1522)+1,"")</f>
        <v/>
      </c>
      <c r="B1523" s="11"/>
      <c r="C1523" s="11" t="str">
        <f>IF(COUNTIF(D$1:D1523,D1523)=1,MAX(C$1:C1522)+1,"")</f>
        <v/>
      </c>
      <c r="D1523" s="12"/>
    </row>
    <row r="1524" spans="1:4" x14ac:dyDescent="0.25">
      <c r="A1524" t="str">
        <f>IF(COUNTIF(B$1:B1524,B1524)=1,MAX(A$1:A1523)+1,"")</f>
        <v/>
      </c>
      <c r="B1524" s="11"/>
      <c r="C1524" s="11" t="str">
        <f>IF(COUNTIF(D$1:D1524,D1524)=1,MAX(C$1:C1523)+1,"")</f>
        <v/>
      </c>
      <c r="D1524" s="12"/>
    </row>
    <row r="1525" spans="1:4" x14ac:dyDescent="0.25">
      <c r="A1525" t="str">
        <f>IF(COUNTIF(B$1:B1525,B1525)=1,MAX(A$1:A1524)+1,"")</f>
        <v/>
      </c>
      <c r="B1525" s="11"/>
      <c r="C1525" s="11" t="str">
        <f>IF(COUNTIF(D$1:D1525,D1525)=1,MAX(C$1:C1524)+1,"")</f>
        <v/>
      </c>
      <c r="D1525" s="12"/>
    </row>
    <row r="1526" spans="1:4" x14ac:dyDescent="0.25">
      <c r="A1526" t="str">
        <f>IF(COUNTIF(B$1:B1526,B1526)=1,MAX(A$1:A1525)+1,"")</f>
        <v/>
      </c>
      <c r="B1526" s="11"/>
      <c r="C1526" s="11" t="str">
        <f>IF(COUNTIF(D$1:D1526,D1526)=1,MAX(C$1:C1525)+1,"")</f>
        <v/>
      </c>
      <c r="D1526" s="12"/>
    </row>
    <row r="1527" spans="1:4" x14ac:dyDescent="0.25">
      <c r="A1527" t="str">
        <f>IF(COUNTIF(B$1:B1527,B1527)=1,MAX(A$1:A1526)+1,"")</f>
        <v/>
      </c>
      <c r="B1527" s="11"/>
      <c r="C1527" s="11" t="str">
        <f>IF(COUNTIF(D$1:D1527,D1527)=1,MAX(C$1:C1526)+1,"")</f>
        <v/>
      </c>
      <c r="D1527" s="12"/>
    </row>
    <row r="1528" spans="1:4" x14ac:dyDescent="0.25">
      <c r="A1528" t="str">
        <f>IF(COUNTIF(B$1:B1528,B1528)=1,MAX(A$1:A1527)+1,"")</f>
        <v/>
      </c>
      <c r="B1528" s="11"/>
      <c r="C1528" s="11" t="str">
        <f>IF(COUNTIF(D$1:D1528,D1528)=1,MAX(C$1:C1527)+1,"")</f>
        <v/>
      </c>
      <c r="D1528" s="12"/>
    </row>
    <row r="1529" spans="1:4" x14ac:dyDescent="0.25">
      <c r="A1529" t="str">
        <f>IF(COUNTIF(B$1:B1529,B1529)=1,MAX(A$1:A1528)+1,"")</f>
        <v/>
      </c>
      <c r="B1529" s="11"/>
      <c r="C1529" s="11" t="str">
        <f>IF(COUNTIF(D$1:D1529,D1529)=1,MAX(C$1:C1528)+1,"")</f>
        <v/>
      </c>
      <c r="D1529" s="12"/>
    </row>
    <row r="1530" spans="1:4" x14ac:dyDescent="0.25">
      <c r="A1530" t="str">
        <f>IF(COUNTIF(B$1:B1530,B1530)=1,MAX(A$1:A1529)+1,"")</f>
        <v/>
      </c>
      <c r="B1530" s="11"/>
      <c r="C1530" s="11" t="str">
        <f>IF(COUNTIF(D$1:D1530,D1530)=1,MAX(C$1:C1529)+1,"")</f>
        <v/>
      </c>
      <c r="D1530" s="12"/>
    </row>
    <row r="1531" spans="1:4" x14ac:dyDescent="0.25">
      <c r="A1531" t="str">
        <f>IF(COUNTIF(B$1:B1531,B1531)=1,MAX(A$1:A1530)+1,"")</f>
        <v/>
      </c>
      <c r="B1531" s="11"/>
      <c r="C1531" s="11" t="str">
        <f>IF(COUNTIF(D$1:D1531,D1531)=1,MAX(C$1:C1530)+1,"")</f>
        <v/>
      </c>
      <c r="D1531" s="12"/>
    </row>
    <row r="1532" spans="1:4" x14ac:dyDescent="0.25">
      <c r="A1532" t="str">
        <f>IF(COUNTIF(B$1:B1532,B1532)=1,MAX(A$1:A1531)+1,"")</f>
        <v/>
      </c>
      <c r="B1532" s="11"/>
      <c r="C1532" s="11" t="str">
        <f>IF(COUNTIF(D$1:D1532,D1532)=1,MAX(C$1:C1531)+1,"")</f>
        <v/>
      </c>
      <c r="D1532" s="12"/>
    </row>
    <row r="1533" spans="1:4" x14ac:dyDescent="0.25">
      <c r="A1533" t="str">
        <f>IF(COUNTIF(B$1:B1533,B1533)=1,MAX(A$1:A1532)+1,"")</f>
        <v/>
      </c>
      <c r="B1533" s="11"/>
      <c r="C1533" s="11" t="str">
        <f>IF(COUNTIF(D$1:D1533,D1533)=1,MAX(C$1:C1532)+1,"")</f>
        <v/>
      </c>
      <c r="D1533" s="12"/>
    </row>
    <row r="1534" spans="1:4" x14ac:dyDescent="0.25">
      <c r="A1534" t="str">
        <f>IF(COUNTIF(B$1:B1534,B1534)=1,MAX(A$1:A1533)+1,"")</f>
        <v/>
      </c>
      <c r="B1534" s="11"/>
      <c r="C1534" s="11" t="str">
        <f>IF(COUNTIF(D$1:D1534,D1534)=1,MAX(C$1:C1533)+1,"")</f>
        <v/>
      </c>
      <c r="D1534" s="12"/>
    </row>
    <row r="1535" spans="1:4" x14ac:dyDescent="0.25">
      <c r="A1535" t="str">
        <f>IF(COUNTIF(B$1:B1535,B1535)=1,MAX(A$1:A1534)+1,"")</f>
        <v/>
      </c>
      <c r="B1535" s="11"/>
      <c r="C1535" s="11" t="str">
        <f>IF(COUNTIF(D$1:D1535,D1535)=1,MAX(C$1:C1534)+1,"")</f>
        <v/>
      </c>
      <c r="D1535" s="12"/>
    </row>
    <row r="1536" spans="1:4" x14ac:dyDescent="0.25">
      <c r="A1536" t="str">
        <f>IF(COUNTIF(B$1:B1536,B1536)=1,MAX(A$1:A1535)+1,"")</f>
        <v/>
      </c>
      <c r="B1536" s="11"/>
      <c r="C1536" s="11" t="str">
        <f>IF(COUNTIF(D$1:D1536,D1536)=1,MAX(C$1:C1535)+1,"")</f>
        <v/>
      </c>
      <c r="D1536" s="12"/>
    </row>
    <row r="1537" spans="1:4" x14ac:dyDescent="0.25">
      <c r="A1537" t="str">
        <f>IF(COUNTIF(B$1:B1537,B1537)=1,MAX(A$1:A1536)+1,"")</f>
        <v/>
      </c>
      <c r="B1537" s="11"/>
      <c r="C1537" s="11" t="str">
        <f>IF(COUNTIF(D$1:D1537,D1537)=1,MAX(C$1:C1536)+1,"")</f>
        <v/>
      </c>
      <c r="D1537" s="12"/>
    </row>
    <row r="1538" spans="1:4" x14ac:dyDescent="0.25">
      <c r="A1538" t="str">
        <f>IF(COUNTIF(B$1:B1538,B1538)=1,MAX(A$1:A1537)+1,"")</f>
        <v/>
      </c>
      <c r="B1538" s="11"/>
      <c r="C1538" s="11" t="str">
        <f>IF(COUNTIF(D$1:D1538,D1538)=1,MAX(C$1:C1537)+1,"")</f>
        <v/>
      </c>
      <c r="D1538" s="12"/>
    </row>
    <row r="1539" spans="1:4" x14ac:dyDescent="0.25">
      <c r="A1539" t="str">
        <f>IF(COUNTIF(B$1:B1539,B1539)=1,MAX(A$1:A1538)+1,"")</f>
        <v/>
      </c>
      <c r="B1539" s="11"/>
      <c r="C1539" s="11" t="str">
        <f>IF(COUNTIF(D$1:D1539,D1539)=1,MAX(C$1:C1538)+1,"")</f>
        <v/>
      </c>
      <c r="D1539" s="12"/>
    </row>
    <row r="1540" spans="1:4" x14ac:dyDescent="0.25">
      <c r="A1540" t="str">
        <f>IF(COUNTIF(B$1:B1540,B1540)=1,MAX(A$1:A1539)+1,"")</f>
        <v/>
      </c>
      <c r="B1540" s="11"/>
      <c r="C1540" s="11" t="str">
        <f>IF(COUNTIF(D$1:D1540,D1540)=1,MAX(C$1:C1539)+1,"")</f>
        <v/>
      </c>
      <c r="D1540" s="12"/>
    </row>
    <row r="1541" spans="1:4" x14ac:dyDescent="0.25">
      <c r="A1541" t="str">
        <f>IF(COUNTIF(B$1:B1541,B1541)=1,MAX(A$1:A1540)+1,"")</f>
        <v/>
      </c>
      <c r="B1541" s="11"/>
      <c r="C1541" s="11" t="str">
        <f>IF(COUNTIF(D$1:D1541,D1541)=1,MAX(C$1:C1540)+1,"")</f>
        <v/>
      </c>
      <c r="D1541" s="12"/>
    </row>
    <row r="1542" spans="1:4" x14ac:dyDescent="0.25">
      <c r="A1542" t="str">
        <f>IF(COUNTIF(B$1:B1542,B1542)=1,MAX(A$1:A1541)+1,"")</f>
        <v/>
      </c>
      <c r="B1542" s="11"/>
      <c r="C1542" s="11" t="str">
        <f>IF(COUNTIF(D$1:D1542,D1542)=1,MAX(C$1:C1541)+1,"")</f>
        <v/>
      </c>
      <c r="D1542" s="12"/>
    </row>
    <row r="1543" spans="1:4" x14ac:dyDescent="0.25">
      <c r="A1543" t="str">
        <f>IF(COUNTIF(B$1:B1543,B1543)=1,MAX(A$1:A1542)+1,"")</f>
        <v/>
      </c>
      <c r="B1543" s="11"/>
      <c r="C1543" s="11" t="str">
        <f>IF(COUNTIF(D$1:D1543,D1543)=1,MAX(C$1:C1542)+1,"")</f>
        <v/>
      </c>
      <c r="D1543" s="12"/>
    </row>
    <row r="1544" spans="1:4" x14ac:dyDescent="0.25">
      <c r="A1544" t="str">
        <f>IF(COUNTIF(B$1:B1544,B1544)=1,MAX(A$1:A1543)+1,"")</f>
        <v/>
      </c>
      <c r="B1544" s="11"/>
      <c r="C1544" s="11" t="str">
        <f>IF(COUNTIF(D$1:D1544,D1544)=1,MAX(C$1:C1543)+1,"")</f>
        <v/>
      </c>
      <c r="D1544" s="12"/>
    </row>
    <row r="1545" spans="1:4" x14ac:dyDescent="0.25">
      <c r="A1545" t="str">
        <f>IF(COUNTIF(B$1:B1545,B1545)=1,MAX(A$1:A1544)+1,"")</f>
        <v/>
      </c>
      <c r="B1545" s="11"/>
      <c r="C1545" s="11" t="str">
        <f>IF(COUNTIF(D$1:D1545,D1545)=1,MAX(C$1:C1544)+1,"")</f>
        <v/>
      </c>
      <c r="D1545" s="12"/>
    </row>
    <row r="1546" spans="1:4" x14ac:dyDescent="0.25">
      <c r="A1546" t="str">
        <f>IF(COUNTIF(B$1:B1546,B1546)=1,MAX(A$1:A1545)+1,"")</f>
        <v/>
      </c>
      <c r="B1546" s="11"/>
      <c r="C1546" s="11" t="str">
        <f>IF(COUNTIF(D$1:D1546,D1546)=1,MAX(C$1:C1545)+1,"")</f>
        <v/>
      </c>
      <c r="D1546" s="12"/>
    </row>
    <row r="1547" spans="1:4" x14ac:dyDescent="0.25">
      <c r="A1547" t="str">
        <f>IF(COUNTIF(B$1:B1547,B1547)=1,MAX(A$1:A1546)+1,"")</f>
        <v/>
      </c>
      <c r="B1547" s="11"/>
      <c r="C1547" s="11" t="str">
        <f>IF(COUNTIF(D$1:D1547,D1547)=1,MAX(C$1:C1546)+1,"")</f>
        <v/>
      </c>
      <c r="D1547" s="12"/>
    </row>
    <row r="1548" spans="1:4" x14ac:dyDescent="0.25">
      <c r="A1548" t="str">
        <f>IF(COUNTIF(B$1:B1548,B1548)=1,MAX(A$1:A1547)+1,"")</f>
        <v/>
      </c>
      <c r="B1548" s="11"/>
      <c r="C1548" s="11" t="str">
        <f>IF(COUNTIF(D$1:D1548,D1548)=1,MAX(C$1:C1547)+1,"")</f>
        <v/>
      </c>
      <c r="D1548" s="12"/>
    </row>
    <row r="1549" spans="1:4" x14ac:dyDescent="0.25">
      <c r="A1549" t="str">
        <f>IF(COUNTIF(B$1:B1549,B1549)=1,MAX(A$1:A1548)+1,"")</f>
        <v/>
      </c>
      <c r="B1549" s="11"/>
      <c r="C1549" s="11" t="str">
        <f>IF(COUNTIF(D$1:D1549,D1549)=1,MAX(C$1:C1548)+1,"")</f>
        <v/>
      </c>
      <c r="D1549" s="12"/>
    </row>
    <row r="1550" spans="1:4" x14ac:dyDescent="0.25">
      <c r="A1550" t="str">
        <f>IF(COUNTIF(B$1:B1550,B1550)=1,MAX(A$1:A1549)+1,"")</f>
        <v/>
      </c>
      <c r="B1550" s="11"/>
      <c r="C1550" s="11" t="str">
        <f>IF(COUNTIF(D$1:D1550,D1550)=1,MAX(C$1:C1549)+1,"")</f>
        <v/>
      </c>
      <c r="D1550" s="12"/>
    </row>
    <row r="1551" spans="1:4" x14ac:dyDescent="0.25">
      <c r="A1551" t="str">
        <f>IF(COUNTIF(B$1:B1551,B1551)=1,MAX(A$1:A1550)+1,"")</f>
        <v/>
      </c>
      <c r="B1551" s="11"/>
      <c r="C1551" s="11" t="str">
        <f>IF(COUNTIF(D$1:D1551,D1551)=1,MAX(C$1:C1550)+1,"")</f>
        <v/>
      </c>
      <c r="D1551" s="12"/>
    </row>
    <row r="1552" spans="1:4" x14ac:dyDescent="0.25">
      <c r="A1552" t="str">
        <f>IF(COUNTIF(B$1:B1552,B1552)=1,MAX(A$1:A1551)+1,"")</f>
        <v/>
      </c>
      <c r="B1552" s="11"/>
      <c r="C1552" s="11" t="str">
        <f>IF(COUNTIF(D$1:D1552,D1552)=1,MAX(C$1:C1551)+1,"")</f>
        <v/>
      </c>
      <c r="D1552" s="12"/>
    </row>
    <row r="1553" spans="1:4" x14ac:dyDescent="0.25">
      <c r="A1553" t="str">
        <f>IF(COUNTIF(B$1:B1553,B1553)=1,MAX(A$1:A1552)+1,"")</f>
        <v/>
      </c>
      <c r="B1553" s="11"/>
      <c r="C1553" s="11" t="str">
        <f>IF(COUNTIF(D$1:D1553,D1553)=1,MAX(C$1:C1552)+1,"")</f>
        <v/>
      </c>
      <c r="D1553" s="12"/>
    </row>
    <row r="1554" spans="1:4" x14ac:dyDescent="0.25">
      <c r="A1554" t="str">
        <f>IF(COUNTIF(B$1:B1554,B1554)=1,MAX(A$1:A1553)+1,"")</f>
        <v/>
      </c>
      <c r="B1554" s="11"/>
      <c r="C1554" s="11" t="str">
        <f>IF(COUNTIF(D$1:D1554,D1554)=1,MAX(C$1:C1553)+1,"")</f>
        <v/>
      </c>
      <c r="D1554" s="12"/>
    </row>
    <row r="1555" spans="1:4" x14ac:dyDescent="0.25">
      <c r="A1555" t="str">
        <f>IF(COUNTIF(B$1:B1555,B1555)=1,MAX(A$1:A1554)+1,"")</f>
        <v/>
      </c>
      <c r="B1555" s="11"/>
      <c r="C1555" s="11" t="str">
        <f>IF(COUNTIF(D$1:D1555,D1555)=1,MAX(C$1:C1554)+1,"")</f>
        <v/>
      </c>
      <c r="D1555" s="12"/>
    </row>
    <row r="1556" spans="1:4" x14ac:dyDescent="0.25">
      <c r="A1556" t="str">
        <f>IF(COUNTIF(B$1:B1556,B1556)=1,MAX(A$1:A1555)+1,"")</f>
        <v/>
      </c>
      <c r="B1556" s="11"/>
      <c r="C1556" s="11" t="str">
        <f>IF(COUNTIF(D$1:D1556,D1556)=1,MAX(C$1:C1555)+1,"")</f>
        <v/>
      </c>
      <c r="D1556" s="12"/>
    </row>
    <row r="1557" spans="1:4" x14ac:dyDescent="0.25">
      <c r="A1557" t="str">
        <f>IF(COUNTIF(B$1:B1557,B1557)=1,MAX(A$1:A1556)+1,"")</f>
        <v/>
      </c>
      <c r="B1557" s="11"/>
      <c r="C1557" s="11" t="str">
        <f>IF(COUNTIF(D$1:D1557,D1557)=1,MAX(C$1:C1556)+1,"")</f>
        <v/>
      </c>
      <c r="D1557" s="12"/>
    </row>
    <row r="1558" spans="1:4" x14ac:dyDescent="0.25">
      <c r="A1558" t="str">
        <f>IF(COUNTIF(B$1:B1558,B1558)=1,MAX(A$1:A1557)+1,"")</f>
        <v/>
      </c>
      <c r="B1558" s="11"/>
      <c r="C1558" s="11" t="str">
        <f>IF(COUNTIF(D$1:D1558,D1558)=1,MAX(C$1:C1557)+1,"")</f>
        <v/>
      </c>
      <c r="D1558" s="12"/>
    </row>
    <row r="1559" spans="1:4" x14ac:dyDescent="0.25">
      <c r="A1559" t="str">
        <f>IF(COUNTIF(B$1:B1559,B1559)=1,MAX(A$1:A1558)+1,"")</f>
        <v/>
      </c>
      <c r="B1559" s="11"/>
      <c r="C1559" s="11" t="str">
        <f>IF(COUNTIF(D$1:D1559,D1559)=1,MAX(C$1:C1558)+1,"")</f>
        <v/>
      </c>
      <c r="D1559" s="12"/>
    </row>
    <row r="1560" spans="1:4" x14ac:dyDescent="0.25">
      <c r="A1560" t="str">
        <f>IF(COUNTIF(B$1:B1560,B1560)=1,MAX(A$1:A1559)+1,"")</f>
        <v/>
      </c>
      <c r="B1560" s="11"/>
      <c r="C1560" s="11" t="str">
        <f>IF(COUNTIF(D$1:D1560,D1560)=1,MAX(C$1:C1559)+1,"")</f>
        <v/>
      </c>
      <c r="D1560" s="12"/>
    </row>
    <row r="1561" spans="1:4" x14ac:dyDescent="0.25">
      <c r="A1561" t="str">
        <f>IF(COUNTIF(B$1:B1561,B1561)=1,MAX(A$1:A1560)+1,"")</f>
        <v/>
      </c>
      <c r="B1561" s="11"/>
      <c r="C1561" s="11" t="str">
        <f>IF(COUNTIF(D$1:D1561,D1561)=1,MAX(C$1:C1560)+1,"")</f>
        <v/>
      </c>
      <c r="D1561" s="12"/>
    </row>
    <row r="1562" spans="1:4" x14ac:dyDescent="0.25">
      <c r="A1562" t="str">
        <f>IF(COUNTIF(B$1:B1562,B1562)=1,MAX(A$1:A1561)+1,"")</f>
        <v/>
      </c>
      <c r="B1562" s="11"/>
      <c r="C1562" s="11" t="str">
        <f>IF(COUNTIF(D$1:D1562,D1562)=1,MAX(C$1:C1561)+1,"")</f>
        <v/>
      </c>
      <c r="D1562" s="12"/>
    </row>
    <row r="1563" spans="1:4" x14ac:dyDescent="0.25">
      <c r="A1563" t="str">
        <f>IF(COUNTIF(B$1:B1563,B1563)=1,MAX(A$1:A1562)+1,"")</f>
        <v/>
      </c>
      <c r="B1563" s="11"/>
      <c r="C1563" s="11" t="str">
        <f>IF(COUNTIF(D$1:D1563,D1563)=1,MAX(C$1:C1562)+1,"")</f>
        <v/>
      </c>
      <c r="D1563" s="12"/>
    </row>
    <row r="1564" spans="1:4" x14ac:dyDescent="0.25">
      <c r="A1564" t="str">
        <f>IF(COUNTIF(B$1:B1564,B1564)=1,MAX(A$1:A1563)+1,"")</f>
        <v/>
      </c>
      <c r="B1564" s="11"/>
      <c r="C1564" s="11" t="str">
        <f>IF(COUNTIF(D$1:D1564,D1564)=1,MAX(C$1:C1563)+1,"")</f>
        <v/>
      </c>
      <c r="D1564" s="12"/>
    </row>
    <row r="1565" spans="1:4" x14ac:dyDescent="0.25">
      <c r="A1565" t="str">
        <f>IF(COUNTIF(B$1:B1565,B1565)=1,MAX(A$1:A1564)+1,"")</f>
        <v/>
      </c>
      <c r="B1565" s="11"/>
      <c r="C1565" s="11" t="str">
        <f>IF(COUNTIF(D$1:D1565,D1565)=1,MAX(C$1:C1564)+1,"")</f>
        <v/>
      </c>
      <c r="D1565" s="12"/>
    </row>
    <row r="1566" spans="1:4" x14ac:dyDescent="0.25">
      <c r="A1566" t="str">
        <f>IF(COUNTIF(B$1:B1566,B1566)=1,MAX(A$1:A1565)+1,"")</f>
        <v/>
      </c>
      <c r="B1566" s="11"/>
      <c r="C1566" s="11" t="str">
        <f>IF(COUNTIF(D$1:D1566,D1566)=1,MAX(C$1:C1565)+1,"")</f>
        <v/>
      </c>
      <c r="D1566" s="12"/>
    </row>
    <row r="1567" spans="1:4" x14ac:dyDescent="0.25">
      <c r="A1567" t="str">
        <f>IF(COUNTIF(B$1:B1567,B1567)=1,MAX(A$1:A1566)+1,"")</f>
        <v/>
      </c>
      <c r="B1567" s="11"/>
      <c r="C1567" s="11" t="str">
        <f>IF(COUNTIF(D$1:D1567,D1567)=1,MAX(C$1:C1566)+1,"")</f>
        <v/>
      </c>
      <c r="D1567" s="12"/>
    </row>
    <row r="1568" spans="1:4" x14ac:dyDescent="0.25">
      <c r="A1568" t="str">
        <f>IF(COUNTIF(B$1:B1568,B1568)=1,MAX(A$1:A1567)+1,"")</f>
        <v/>
      </c>
      <c r="B1568" s="11"/>
      <c r="C1568" s="11" t="str">
        <f>IF(COUNTIF(D$1:D1568,D1568)=1,MAX(C$1:C1567)+1,"")</f>
        <v/>
      </c>
      <c r="D1568" s="12"/>
    </row>
    <row r="1569" spans="1:4" x14ac:dyDescent="0.25">
      <c r="A1569" t="str">
        <f>IF(COUNTIF(B$1:B1569,B1569)=1,MAX(A$1:A1568)+1,"")</f>
        <v/>
      </c>
      <c r="B1569" s="11"/>
      <c r="C1569" s="11" t="str">
        <f>IF(COUNTIF(D$1:D1569,D1569)=1,MAX(C$1:C1568)+1,"")</f>
        <v/>
      </c>
      <c r="D1569" s="12"/>
    </row>
    <row r="1570" spans="1:4" x14ac:dyDescent="0.25">
      <c r="A1570" t="str">
        <f>IF(COUNTIF(B$1:B1570,B1570)=1,MAX(A$1:A1569)+1,"")</f>
        <v/>
      </c>
      <c r="B1570" s="11"/>
      <c r="C1570" s="11" t="str">
        <f>IF(COUNTIF(D$1:D1570,D1570)=1,MAX(C$1:C1569)+1,"")</f>
        <v/>
      </c>
      <c r="D1570" s="12"/>
    </row>
    <row r="1571" spans="1:4" x14ac:dyDescent="0.25">
      <c r="A1571" t="str">
        <f>IF(COUNTIF(B$1:B1571,B1571)=1,MAX(A$1:A1570)+1,"")</f>
        <v/>
      </c>
      <c r="B1571" s="11"/>
      <c r="C1571" s="11" t="str">
        <f>IF(COUNTIF(D$1:D1571,D1571)=1,MAX(C$1:C1570)+1,"")</f>
        <v/>
      </c>
      <c r="D1571" s="12"/>
    </row>
    <row r="1572" spans="1:4" x14ac:dyDescent="0.25">
      <c r="A1572" t="str">
        <f>IF(COUNTIF(B$1:B1572,B1572)=1,MAX(A$1:A1571)+1,"")</f>
        <v/>
      </c>
      <c r="B1572" s="11"/>
      <c r="C1572" s="11" t="str">
        <f>IF(COUNTIF(D$1:D1572,D1572)=1,MAX(C$1:C1571)+1,"")</f>
        <v/>
      </c>
      <c r="D1572" s="12"/>
    </row>
    <row r="1573" spans="1:4" x14ac:dyDescent="0.25">
      <c r="A1573" t="str">
        <f>IF(COUNTIF(B$1:B1573,B1573)=1,MAX(A$1:A1572)+1,"")</f>
        <v/>
      </c>
      <c r="B1573" s="11"/>
      <c r="C1573" s="11" t="str">
        <f>IF(COUNTIF(D$1:D1573,D1573)=1,MAX(C$1:C1572)+1,"")</f>
        <v/>
      </c>
      <c r="D1573" s="12"/>
    </row>
    <row r="1574" spans="1:4" x14ac:dyDescent="0.25">
      <c r="A1574" t="str">
        <f>IF(COUNTIF(B$1:B1574,B1574)=1,MAX(A$1:A1573)+1,"")</f>
        <v/>
      </c>
      <c r="B1574" s="11"/>
      <c r="C1574" s="11" t="str">
        <f>IF(COUNTIF(D$1:D1574,D1574)=1,MAX(C$1:C1573)+1,"")</f>
        <v/>
      </c>
      <c r="D1574" s="12"/>
    </row>
    <row r="1575" spans="1:4" x14ac:dyDescent="0.25">
      <c r="A1575" t="str">
        <f>IF(COUNTIF(B$1:B1575,B1575)=1,MAX(A$1:A1574)+1,"")</f>
        <v/>
      </c>
      <c r="B1575" s="11"/>
      <c r="C1575" s="11" t="str">
        <f>IF(COUNTIF(D$1:D1575,D1575)=1,MAX(C$1:C1574)+1,"")</f>
        <v/>
      </c>
      <c r="D1575" s="12"/>
    </row>
    <row r="1576" spans="1:4" x14ac:dyDescent="0.25">
      <c r="A1576" t="str">
        <f>IF(COUNTIF(B$1:B1576,B1576)=1,MAX(A$1:A1575)+1,"")</f>
        <v/>
      </c>
      <c r="B1576" s="11"/>
      <c r="C1576" s="11" t="str">
        <f>IF(COUNTIF(D$1:D1576,D1576)=1,MAX(C$1:C1575)+1,"")</f>
        <v/>
      </c>
      <c r="D1576" s="12"/>
    </row>
    <row r="1577" spans="1:4" x14ac:dyDescent="0.25">
      <c r="A1577" t="str">
        <f>IF(COUNTIF(B$1:B1577,B1577)=1,MAX(A$1:A1576)+1,"")</f>
        <v/>
      </c>
      <c r="B1577" s="11"/>
      <c r="C1577" s="11" t="str">
        <f>IF(COUNTIF(D$1:D1577,D1577)=1,MAX(C$1:C1576)+1,"")</f>
        <v/>
      </c>
      <c r="D1577" s="12"/>
    </row>
    <row r="1578" spans="1:4" x14ac:dyDescent="0.25">
      <c r="A1578" t="str">
        <f>IF(COUNTIF(B$1:B1578,B1578)=1,MAX(A$1:A1577)+1,"")</f>
        <v/>
      </c>
      <c r="B1578" s="11"/>
      <c r="C1578" s="11" t="str">
        <f>IF(COUNTIF(D$1:D1578,D1578)=1,MAX(C$1:C1577)+1,"")</f>
        <v/>
      </c>
      <c r="D1578" s="12"/>
    </row>
    <row r="1579" spans="1:4" x14ac:dyDescent="0.25">
      <c r="A1579" t="str">
        <f>IF(COUNTIF(B$1:B1579,B1579)=1,MAX(A$1:A1578)+1,"")</f>
        <v/>
      </c>
      <c r="B1579" s="11"/>
      <c r="C1579" s="11" t="str">
        <f>IF(COUNTIF(D$1:D1579,D1579)=1,MAX(C$1:C1578)+1,"")</f>
        <v/>
      </c>
      <c r="D1579" s="12"/>
    </row>
    <row r="1580" spans="1:4" x14ac:dyDescent="0.25">
      <c r="A1580" t="str">
        <f>IF(COUNTIF(B$1:B1580,B1580)=1,MAX(A$1:A1579)+1,"")</f>
        <v/>
      </c>
      <c r="B1580" s="11"/>
      <c r="C1580" s="11" t="str">
        <f>IF(COUNTIF(D$1:D1580,D1580)=1,MAX(C$1:C1579)+1,"")</f>
        <v/>
      </c>
      <c r="D1580" s="12"/>
    </row>
    <row r="1581" spans="1:4" x14ac:dyDescent="0.25">
      <c r="A1581" t="str">
        <f>IF(COUNTIF(B$1:B1581,B1581)=1,MAX(A$1:A1580)+1,"")</f>
        <v/>
      </c>
      <c r="B1581" s="11"/>
      <c r="C1581" s="11" t="str">
        <f>IF(COUNTIF(D$1:D1581,D1581)=1,MAX(C$1:C1580)+1,"")</f>
        <v/>
      </c>
      <c r="D1581" s="12"/>
    </row>
    <row r="1582" spans="1:4" x14ac:dyDescent="0.25">
      <c r="A1582" t="str">
        <f>IF(COUNTIF(B$1:B1582,B1582)=1,MAX(A$1:A1581)+1,"")</f>
        <v/>
      </c>
      <c r="B1582" s="11"/>
      <c r="C1582" s="11" t="str">
        <f>IF(COUNTIF(D$1:D1582,D1582)=1,MAX(C$1:C1581)+1,"")</f>
        <v/>
      </c>
      <c r="D1582" s="12"/>
    </row>
    <row r="1583" spans="1:4" x14ac:dyDescent="0.25">
      <c r="A1583" t="str">
        <f>IF(COUNTIF(B$1:B1583,B1583)=1,MAX(A$1:A1582)+1,"")</f>
        <v/>
      </c>
      <c r="B1583" s="11"/>
      <c r="C1583" s="11" t="str">
        <f>IF(COUNTIF(D$1:D1583,D1583)=1,MAX(C$1:C1582)+1,"")</f>
        <v/>
      </c>
      <c r="D1583" s="12"/>
    </row>
    <row r="1584" spans="1:4" x14ac:dyDescent="0.25">
      <c r="A1584" t="str">
        <f>IF(COUNTIF(B$1:B1584,B1584)=1,MAX(A$1:A1583)+1,"")</f>
        <v/>
      </c>
      <c r="B1584" s="11"/>
      <c r="C1584" s="11" t="str">
        <f>IF(COUNTIF(D$1:D1584,D1584)=1,MAX(C$1:C1583)+1,"")</f>
        <v/>
      </c>
      <c r="D1584" s="12"/>
    </row>
    <row r="1585" spans="1:4" x14ac:dyDescent="0.25">
      <c r="A1585" t="str">
        <f>IF(COUNTIF(B$1:B1585,B1585)=1,MAX(A$1:A1584)+1,"")</f>
        <v/>
      </c>
      <c r="B1585" s="11"/>
      <c r="C1585" s="11" t="str">
        <f>IF(COUNTIF(D$1:D1585,D1585)=1,MAX(C$1:C1584)+1,"")</f>
        <v/>
      </c>
      <c r="D1585" s="12"/>
    </row>
    <row r="1586" spans="1:4" x14ac:dyDescent="0.25">
      <c r="A1586" t="str">
        <f>IF(COUNTIF(B$1:B1586,B1586)=1,MAX(A$1:A1585)+1,"")</f>
        <v/>
      </c>
      <c r="B1586" s="11"/>
      <c r="C1586" s="11" t="str">
        <f>IF(COUNTIF(D$1:D1586,D1586)=1,MAX(C$1:C1585)+1,"")</f>
        <v/>
      </c>
      <c r="D1586" s="12"/>
    </row>
    <row r="1587" spans="1:4" x14ac:dyDescent="0.25">
      <c r="A1587" t="str">
        <f>IF(COUNTIF(B$1:B1587,B1587)=1,MAX(A$1:A1586)+1,"")</f>
        <v/>
      </c>
      <c r="B1587" s="11"/>
      <c r="C1587" s="11" t="str">
        <f>IF(COUNTIF(D$1:D1587,D1587)=1,MAX(C$1:C1586)+1,"")</f>
        <v/>
      </c>
      <c r="D1587" s="12"/>
    </row>
    <row r="1588" spans="1:4" x14ac:dyDescent="0.25">
      <c r="A1588" t="str">
        <f>IF(COUNTIF(B$1:B1588,B1588)=1,MAX(A$1:A1587)+1,"")</f>
        <v/>
      </c>
      <c r="B1588" s="11"/>
      <c r="C1588" s="11" t="str">
        <f>IF(COUNTIF(D$1:D1588,D1588)=1,MAX(C$1:C1587)+1,"")</f>
        <v/>
      </c>
      <c r="D1588" s="12"/>
    </row>
    <row r="1589" spans="1:4" x14ac:dyDescent="0.25">
      <c r="A1589" t="str">
        <f>IF(COUNTIF(B$1:B1589,B1589)=1,MAX(A$1:A1588)+1,"")</f>
        <v/>
      </c>
      <c r="B1589" s="11"/>
      <c r="C1589" s="11" t="str">
        <f>IF(COUNTIF(D$1:D1589,D1589)=1,MAX(C$1:C1588)+1,"")</f>
        <v/>
      </c>
      <c r="D1589" s="12"/>
    </row>
    <row r="1590" spans="1:4" x14ac:dyDescent="0.25">
      <c r="A1590" t="str">
        <f>IF(COUNTIF(B$1:B1590,B1590)=1,MAX(A$1:A1589)+1,"")</f>
        <v/>
      </c>
      <c r="B1590" s="11"/>
      <c r="C1590" s="11" t="str">
        <f>IF(COUNTIF(D$1:D1590,D1590)=1,MAX(C$1:C1589)+1,"")</f>
        <v/>
      </c>
      <c r="D1590" s="12"/>
    </row>
    <row r="1591" spans="1:4" x14ac:dyDescent="0.25">
      <c r="A1591" t="str">
        <f>IF(COUNTIF(B$1:B1591,B1591)=1,MAX(A$1:A1590)+1,"")</f>
        <v/>
      </c>
      <c r="B1591" s="11"/>
      <c r="C1591" s="11" t="str">
        <f>IF(COUNTIF(D$1:D1591,D1591)=1,MAX(C$1:C1590)+1,"")</f>
        <v/>
      </c>
      <c r="D1591" s="12"/>
    </row>
    <row r="1592" spans="1:4" x14ac:dyDescent="0.25">
      <c r="A1592" t="str">
        <f>IF(COUNTIF(B$1:B1592,B1592)=1,MAX(A$1:A1591)+1,"")</f>
        <v/>
      </c>
      <c r="B1592" s="11"/>
      <c r="C1592" s="11" t="str">
        <f>IF(COUNTIF(D$1:D1592,D1592)=1,MAX(C$1:C1591)+1,"")</f>
        <v/>
      </c>
      <c r="D1592" s="12"/>
    </row>
    <row r="1593" spans="1:4" x14ac:dyDescent="0.25">
      <c r="A1593" t="str">
        <f>IF(COUNTIF(B$1:B1593,B1593)=1,MAX(A$1:A1592)+1,"")</f>
        <v/>
      </c>
      <c r="B1593" s="11"/>
      <c r="C1593" s="11" t="str">
        <f>IF(COUNTIF(D$1:D1593,D1593)=1,MAX(C$1:C1592)+1,"")</f>
        <v/>
      </c>
      <c r="D1593" s="12"/>
    </row>
    <row r="1594" spans="1:4" x14ac:dyDescent="0.25">
      <c r="A1594" t="str">
        <f>IF(COUNTIF(B$1:B1594,B1594)=1,MAX(A$1:A1593)+1,"")</f>
        <v/>
      </c>
      <c r="B1594" s="11"/>
      <c r="C1594" s="11" t="str">
        <f>IF(COUNTIF(D$1:D1594,D1594)=1,MAX(C$1:C1593)+1,"")</f>
        <v/>
      </c>
      <c r="D1594" s="12"/>
    </row>
    <row r="1595" spans="1:4" x14ac:dyDescent="0.25">
      <c r="A1595" t="str">
        <f>IF(COUNTIF(B$1:B1595,B1595)=1,MAX(A$1:A1594)+1,"")</f>
        <v/>
      </c>
      <c r="B1595" s="11"/>
      <c r="C1595" s="11" t="str">
        <f>IF(COUNTIF(D$1:D1595,D1595)=1,MAX(C$1:C1594)+1,"")</f>
        <v/>
      </c>
      <c r="D1595" s="12"/>
    </row>
    <row r="1596" spans="1:4" x14ac:dyDescent="0.25">
      <c r="A1596" t="str">
        <f>IF(COUNTIF(B$1:B1596,B1596)=1,MAX(A$1:A1595)+1,"")</f>
        <v/>
      </c>
      <c r="B1596" s="11"/>
      <c r="C1596" s="11" t="str">
        <f>IF(COUNTIF(D$1:D1596,D1596)=1,MAX(C$1:C1595)+1,"")</f>
        <v/>
      </c>
      <c r="D1596" s="12"/>
    </row>
    <row r="1597" spans="1:4" x14ac:dyDescent="0.25">
      <c r="A1597" t="str">
        <f>IF(COUNTIF(B$1:B1597,B1597)=1,MAX(A$1:A1596)+1,"")</f>
        <v/>
      </c>
      <c r="B1597" s="11"/>
      <c r="C1597" s="11" t="str">
        <f>IF(COUNTIF(D$1:D1597,D1597)=1,MAX(C$1:C1596)+1,"")</f>
        <v/>
      </c>
      <c r="D1597" s="12"/>
    </row>
    <row r="1598" spans="1:4" x14ac:dyDescent="0.25">
      <c r="A1598" t="str">
        <f>IF(COUNTIF(B$1:B1598,B1598)=1,MAX(A$1:A1597)+1,"")</f>
        <v/>
      </c>
      <c r="B1598" s="11"/>
      <c r="C1598" s="11" t="str">
        <f>IF(COUNTIF(D$1:D1598,D1598)=1,MAX(C$1:C1597)+1,"")</f>
        <v/>
      </c>
      <c r="D1598" s="12"/>
    </row>
    <row r="1599" spans="1:4" x14ac:dyDescent="0.25">
      <c r="A1599" t="str">
        <f>IF(COUNTIF(B$1:B1599,B1599)=1,MAX(A$1:A1598)+1,"")</f>
        <v/>
      </c>
      <c r="B1599" s="11"/>
      <c r="C1599" s="11" t="str">
        <f>IF(COUNTIF(D$1:D1599,D1599)=1,MAX(C$1:C1598)+1,"")</f>
        <v/>
      </c>
      <c r="D1599" s="12"/>
    </row>
    <row r="1600" spans="1:4" x14ac:dyDescent="0.25">
      <c r="A1600" t="str">
        <f>IF(COUNTIF(B$1:B1600,B1600)=1,MAX(A$1:A1599)+1,"")</f>
        <v/>
      </c>
      <c r="B1600" s="11"/>
      <c r="C1600" s="11" t="str">
        <f>IF(COUNTIF(D$1:D1600,D1600)=1,MAX(C$1:C1599)+1,"")</f>
        <v/>
      </c>
      <c r="D1600" s="12"/>
    </row>
    <row r="1601" spans="1:4" x14ac:dyDescent="0.25">
      <c r="A1601" t="str">
        <f>IF(COUNTIF(B$1:B1601,B1601)=1,MAX(A$1:A1600)+1,"")</f>
        <v/>
      </c>
      <c r="B1601" s="11"/>
      <c r="C1601" s="11" t="str">
        <f>IF(COUNTIF(D$1:D1601,D1601)=1,MAX(C$1:C1600)+1,"")</f>
        <v/>
      </c>
      <c r="D1601" s="12"/>
    </row>
    <row r="1602" spans="1:4" x14ac:dyDescent="0.25">
      <c r="A1602" t="str">
        <f>IF(COUNTIF(B$1:B1602,B1602)=1,MAX(A$1:A1601)+1,"")</f>
        <v/>
      </c>
      <c r="B1602" s="11"/>
      <c r="C1602" s="11" t="str">
        <f>IF(COUNTIF(D$1:D1602,D1602)=1,MAX(C$1:C1601)+1,"")</f>
        <v/>
      </c>
      <c r="D1602" s="12"/>
    </row>
    <row r="1603" spans="1:4" x14ac:dyDescent="0.25">
      <c r="A1603" t="str">
        <f>IF(COUNTIF(B$1:B1603,B1603)=1,MAX(A$1:A1602)+1,"")</f>
        <v/>
      </c>
      <c r="B1603" s="11"/>
      <c r="C1603" s="11" t="str">
        <f>IF(COUNTIF(D$1:D1603,D1603)=1,MAX(C$1:C1602)+1,"")</f>
        <v/>
      </c>
      <c r="D1603" s="12"/>
    </row>
    <row r="1604" spans="1:4" x14ac:dyDescent="0.25">
      <c r="A1604" t="str">
        <f>IF(COUNTIF(B$1:B1604,B1604)=1,MAX(A$1:A1603)+1,"")</f>
        <v/>
      </c>
      <c r="B1604" s="11"/>
      <c r="C1604" s="11" t="str">
        <f>IF(COUNTIF(D$1:D1604,D1604)=1,MAX(C$1:C1603)+1,"")</f>
        <v/>
      </c>
      <c r="D1604" s="12"/>
    </row>
    <row r="1605" spans="1:4" x14ac:dyDescent="0.25">
      <c r="A1605" t="str">
        <f>IF(COUNTIF(B$1:B1605,B1605)=1,MAX(A$1:A1604)+1,"")</f>
        <v/>
      </c>
      <c r="B1605" s="11"/>
      <c r="C1605" s="11" t="str">
        <f>IF(COUNTIF(D$1:D1605,D1605)=1,MAX(C$1:C1604)+1,"")</f>
        <v/>
      </c>
      <c r="D1605" s="12"/>
    </row>
    <row r="1606" spans="1:4" x14ac:dyDescent="0.25">
      <c r="A1606" t="str">
        <f>IF(COUNTIF(B$1:B1606,B1606)=1,MAX(A$1:A1605)+1,"")</f>
        <v/>
      </c>
      <c r="B1606" s="11"/>
      <c r="C1606" s="11" t="str">
        <f>IF(COUNTIF(D$1:D1606,D1606)=1,MAX(C$1:C1605)+1,"")</f>
        <v/>
      </c>
      <c r="D1606" s="12"/>
    </row>
    <row r="1607" spans="1:4" x14ac:dyDescent="0.25">
      <c r="A1607" t="str">
        <f>IF(COUNTIF(B$1:B1607,B1607)=1,MAX(A$1:A1606)+1,"")</f>
        <v/>
      </c>
      <c r="B1607" s="11"/>
      <c r="C1607" s="11" t="str">
        <f>IF(COUNTIF(D$1:D1607,D1607)=1,MAX(C$1:C1606)+1,"")</f>
        <v/>
      </c>
      <c r="D1607" s="12"/>
    </row>
    <row r="1608" spans="1:4" x14ac:dyDescent="0.25">
      <c r="A1608" t="str">
        <f>IF(COUNTIF(B$1:B1608,B1608)=1,MAX(A$1:A1607)+1,"")</f>
        <v/>
      </c>
      <c r="B1608" s="11"/>
      <c r="C1608" s="11" t="str">
        <f>IF(COUNTIF(D$1:D1608,D1608)=1,MAX(C$1:C1607)+1,"")</f>
        <v/>
      </c>
      <c r="D1608" s="12"/>
    </row>
    <row r="1609" spans="1:4" x14ac:dyDescent="0.25">
      <c r="A1609" t="str">
        <f>IF(COUNTIF(B$1:B1609,B1609)=1,MAX(A$1:A1608)+1,"")</f>
        <v/>
      </c>
      <c r="B1609" s="11"/>
      <c r="C1609" s="11" t="str">
        <f>IF(COUNTIF(D$1:D1609,D1609)=1,MAX(C$1:C1608)+1,"")</f>
        <v/>
      </c>
      <c r="D1609" s="12"/>
    </row>
    <row r="1610" spans="1:4" x14ac:dyDescent="0.25">
      <c r="A1610" t="str">
        <f>IF(COUNTIF(B$1:B1610,B1610)=1,MAX(A$1:A1609)+1,"")</f>
        <v/>
      </c>
      <c r="B1610" s="11"/>
      <c r="C1610" s="11" t="str">
        <f>IF(COUNTIF(D$1:D1610,D1610)=1,MAX(C$1:C1609)+1,"")</f>
        <v/>
      </c>
      <c r="D1610" s="12"/>
    </row>
    <row r="1611" spans="1:4" x14ac:dyDescent="0.25">
      <c r="A1611" t="str">
        <f>IF(COUNTIF(B$1:B1611,B1611)=1,MAX(A$1:A1610)+1,"")</f>
        <v/>
      </c>
      <c r="B1611" s="11"/>
      <c r="C1611" s="11" t="str">
        <f>IF(COUNTIF(D$1:D1611,D1611)=1,MAX(C$1:C1610)+1,"")</f>
        <v/>
      </c>
      <c r="D1611" s="12"/>
    </row>
    <row r="1612" spans="1:4" x14ac:dyDescent="0.25">
      <c r="A1612" t="str">
        <f>IF(COUNTIF(B$1:B1612,B1612)=1,MAX(A$1:A1611)+1,"")</f>
        <v/>
      </c>
      <c r="B1612" s="11"/>
      <c r="C1612" s="11" t="str">
        <f>IF(COUNTIF(D$1:D1612,D1612)=1,MAX(C$1:C1611)+1,"")</f>
        <v/>
      </c>
      <c r="D1612" s="12"/>
    </row>
    <row r="1613" spans="1:4" x14ac:dyDescent="0.25">
      <c r="A1613" t="str">
        <f>IF(COUNTIF(B$1:B1613,B1613)=1,MAX(A$1:A1612)+1,"")</f>
        <v/>
      </c>
      <c r="B1613" s="11"/>
      <c r="C1613" s="11" t="str">
        <f>IF(COUNTIF(D$1:D1613,D1613)=1,MAX(C$1:C1612)+1,"")</f>
        <v/>
      </c>
      <c r="D1613" s="12"/>
    </row>
    <row r="1614" spans="1:4" x14ac:dyDescent="0.25">
      <c r="A1614" t="str">
        <f>IF(COUNTIF(B$1:B1614,B1614)=1,MAX(A$1:A1613)+1,"")</f>
        <v/>
      </c>
      <c r="B1614" s="11"/>
      <c r="C1614" s="11" t="str">
        <f>IF(COUNTIF(D$1:D1614,D1614)=1,MAX(C$1:C1613)+1,"")</f>
        <v/>
      </c>
      <c r="D1614" s="12"/>
    </row>
    <row r="1615" spans="1:4" x14ac:dyDescent="0.25">
      <c r="A1615" t="str">
        <f>IF(COUNTIF(B$1:B1615,B1615)=1,MAX(A$1:A1614)+1,"")</f>
        <v/>
      </c>
      <c r="B1615" s="11"/>
      <c r="C1615" s="11" t="str">
        <f>IF(COUNTIF(D$1:D1615,D1615)=1,MAX(C$1:C1614)+1,"")</f>
        <v/>
      </c>
      <c r="D1615" s="12"/>
    </row>
    <row r="1616" spans="1:4" x14ac:dyDescent="0.25">
      <c r="A1616" t="str">
        <f>IF(COUNTIF(B$1:B1616,B1616)=1,MAX(A$1:A1615)+1,"")</f>
        <v/>
      </c>
      <c r="B1616" s="11"/>
      <c r="C1616" s="11" t="str">
        <f>IF(COUNTIF(D$1:D1616,D1616)=1,MAX(C$1:C1615)+1,"")</f>
        <v/>
      </c>
      <c r="D1616" s="12"/>
    </row>
    <row r="1617" spans="1:4" x14ac:dyDescent="0.25">
      <c r="A1617" t="str">
        <f>IF(COUNTIF(B$1:B1617,B1617)=1,MAX(A$1:A1616)+1,"")</f>
        <v/>
      </c>
      <c r="B1617" s="11"/>
      <c r="C1617" s="11" t="str">
        <f>IF(COUNTIF(D$1:D1617,D1617)=1,MAX(C$1:C1616)+1,"")</f>
        <v/>
      </c>
      <c r="D1617" s="12"/>
    </row>
    <row r="1618" spans="1:4" x14ac:dyDescent="0.25">
      <c r="A1618" t="str">
        <f>IF(COUNTIF(B$1:B1618,B1618)=1,MAX(A$1:A1617)+1,"")</f>
        <v/>
      </c>
      <c r="B1618" s="11"/>
      <c r="C1618" s="11" t="str">
        <f>IF(COUNTIF(D$1:D1618,D1618)=1,MAX(C$1:C1617)+1,"")</f>
        <v/>
      </c>
      <c r="D1618" s="12"/>
    </row>
    <row r="1619" spans="1:4" x14ac:dyDescent="0.25">
      <c r="A1619" t="str">
        <f>IF(COUNTIF(B$1:B1619,B1619)=1,MAX(A$1:A1618)+1,"")</f>
        <v/>
      </c>
      <c r="B1619" s="11"/>
      <c r="C1619" s="11" t="str">
        <f>IF(COUNTIF(D$1:D1619,D1619)=1,MAX(C$1:C1618)+1,"")</f>
        <v/>
      </c>
      <c r="D1619" s="12"/>
    </row>
    <row r="1620" spans="1:4" x14ac:dyDescent="0.25">
      <c r="A1620" t="str">
        <f>IF(COUNTIF(B$1:B1620,B1620)=1,MAX(A$1:A1619)+1,"")</f>
        <v/>
      </c>
      <c r="B1620" s="11"/>
      <c r="C1620" s="11" t="str">
        <f>IF(COUNTIF(D$1:D1620,D1620)=1,MAX(C$1:C1619)+1,"")</f>
        <v/>
      </c>
      <c r="D1620" s="12"/>
    </row>
    <row r="1621" spans="1:4" x14ac:dyDescent="0.25">
      <c r="A1621" t="str">
        <f>IF(COUNTIF(B$1:B1621,B1621)=1,MAX(A$1:A1620)+1,"")</f>
        <v/>
      </c>
      <c r="B1621" s="11"/>
      <c r="C1621" s="11" t="str">
        <f>IF(COUNTIF(D$1:D1621,D1621)=1,MAX(C$1:C1620)+1,"")</f>
        <v/>
      </c>
      <c r="D1621" s="12"/>
    </row>
    <row r="1622" spans="1:4" x14ac:dyDescent="0.25">
      <c r="A1622" t="str">
        <f>IF(COUNTIF(B$1:B1622,B1622)=1,MAX(A$1:A1621)+1,"")</f>
        <v/>
      </c>
      <c r="B1622" s="11"/>
      <c r="C1622" s="11" t="str">
        <f>IF(COUNTIF(D$1:D1622,D1622)=1,MAX(C$1:C1621)+1,"")</f>
        <v/>
      </c>
      <c r="D1622" s="12"/>
    </row>
    <row r="1623" spans="1:4" x14ac:dyDescent="0.25">
      <c r="A1623" t="str">
        <f>IF(COUNTIF(B$1:B1623,B1623)=1,MAX(A$1:A1622)+1,"")</f>
        <v/>
      </c>
      <c r="B1623" s="11"/>
      <c r="C1623" s="11" t="str">
        <f>IF(COUNTIF(D$1:D1623,D1623)=1,MAX(C$1:C1622)+1,"")</f>
        <v/>
      </c>
      <c r="D1623" s="12"/>
    </row>
    <row r="1624" spans="1:4" x14ac:dyDescent="0.25">
      <c r="A1624" t="str">
        <f>IF(COUNTIF(B$1:B1624,B1624)=1,MAX(A$1:A1623)+1,"")</f>
        <v/>
      </c>
      <c r="B1624" s="11"/>
      <c r="C1624" s="11" t="str">
        <f>IF(COUNTIF(D$1:D1624,D1624)=1,MAX(C$1:C1623)+1,"")</f>
        <v/>
      </c>
      <c r="D1624" s="12"/>
    </row>
    <row r="1625" spans="1:4" x14ac:dyDescent="0.25">
      <c r="A1625" t="str">
        <f>IF(COUNTIF(B$1:B1625,B1625)=1,MAX(A$1:A1624)+1,"")</f>
        <v/>
      </c>
      <c r="B1625" s="11"/>
      <c r="C1625" s="11" t="str">
        <f>IF(COUNTIF(D$1:D1625,D1625)=1,MAX(C$1:C1624)+1,"")</f>
        <v/>
      </c>
      <c r="D1625" s="12"/>
    </row>
    <row r="1626" spans="1:4" x14ac:dyDescent="0.25">
      <c r="A1626" t="str">
        <f>IF(COUNTIF(B$1:B1626,B1626)=1,MAX(A$1:A1625)+1,"")</f>
        <v/>
      </c>
      <c r="B1626" s="11"/>
      <c r="C1626" s="11" t="str">
        <f>IF(COUNTIF(D$1:D1626,D1626)=1,MAX(C$1:C1625)+1,"")</f>
        <v/>
      </c>
      <c r="D1626" s="12"/>
    </row>
    <row r="1627" spans="1:4" x14ac:dyDescent="0.25">
      <c r="A1627" t="str">
        <f>IF(COUNTIF(B$1:B1627,B1627)=1,MAX(A$1:A1626)+1,"")</f>
        <v/>
      </c>
      <c r="B1627" s="11"/>
      <c r="C1627" s="11" t="str">
        <f>IF(COUNTIF(D$1:D1627,D1627)=1,MAX(C$1:C1626)+1,"")</f>
        <v/>
      </c>
      <c r="D1627" s="12"/>
    </row>
    <row r="1628" spans="1:4" x14ac:dyDescent="0.25">
      <c r="A1628" t="str">
        <f>IF(COUNTIF(B$1:B1628,B1628)=1,MAX(A$1:A1627)+1,"")</f>
        <v/>
      </c>
      <c r="B1628" s="11"/>
      <c r="C1628" s="11" t="str">
        <f>IF(COUNTIF(D$1:D1628,D1628)=1,MAX(C$1:C1627)+1,"")</f>
        <v/>
      </c>
      <c r="D1628" s="12"/>
    </row>
    <row r="1629" spans="1:4" x14ac:dyDescent="0.25">
      <c r="A1629" t="str">
        <f>IF(COUNTIF(B$1:B1629,B1629)=1,MAX(A$1:A1628)+1,"")</f>
        <v/>
      </c>
      <c r="B1629" s="11"/>
      <c r="C1629" s="11" t="str">
        <f>IF(COUNTIF(D$1:D1629,D1629)=1,MAX(C$1:C1628)+1,"")</f>
        <v/>
      </c>
      <c r="D1629" s="12"/>
    </row>
    <row r="1630" spans="1:4" x14ac:dyDescent="0.25">
      <c r="A1630" t="str">
        <f>IF(COUNTIF(B$1:B1630,B1630)=1,MAX(A$1:A1629)+1,"")</f>
        <v/>
      </c>
      <c r="B1630" s="11"/>
      <c r="C1630" s="11" t="str">
        <f>IF(COUNTIF(D$1:D1630,D1630)=1,MAX(C$1:C1629)+1,"")</f>
        <v/>
      </c>
      <c r="D1630" s="12"/>
    </row>
    <row r="1631" spans="1:4" x14ac:dyDescent="0.25">
      <c r="A1631" t="str">
        <f>IF(COUNTIF(B$1:B1631,B1631)=1,MAX(A$1:A1630)+1,"")</f>
        <v/>
      </c>
      <c r="B1631" s="11"/>
      <c r="C1631" s="11" t="str">
        <f>IF(COUNTIF(D$1:D1631,D1631)=1,MAX(C$1:C1630)+1,"")</f>
        <v/>
      </c>
      <c r="D1631" s="12"/>
    </row>
    <row r="1632" spans="1:4" x14ac:dyDescent="0.25">
      <c r="A1632" t="str">
        <f>IF(COUNTIF(B$1:B1632,B1632)=1,MAX(A$1:A1631)+1,"")</f>
        <v/>
      </c>
      <c r="B1632" s="11"/>
      <c r="C1632" s="11" t="str">
        <f>IF(COUNTIF(D$1:D1632,D1632)=1,MAX(C$1:C1631)+1,"")</f>
        <v/>
      </c>
      <c r="D1632" s="12"/>
    </row>
    <row r="1633" spans="1:4" x14ac:dyDescent="0.25">
      <c r="A1633" t="str">
        <f>IF(COUNTIF(B$1:B1633,B1633)=1,MAX(A$1:A1632)+1,"")</f>
        <v/>
      </c>
      <c r="B1633" s="11"/>
      <c r="C1633" s="11" t="str">
        <f>IF(COUNTIF(D$1:D1633,D1633)=1,MAX(C$1:C1632)+1,"")</f>
        <v/>
      </c>
      <c r="D1633" s="12"/>
    </row>
    <row r="1634" spans="1:4" x14ac:dyDescent="0.25">
      <c r="A1634" t="str">
        <f>IF(COUNTIF(B$1:B1634,B1634)=1,MAX(A$1:A1633)+1,"")</f>
        <v/>
      </c>
      <c r="B1634" s="11"/>
      <c r="C1634" s="11" t="str">
        <f>IF(COUNTIF(D$1:D1634,D1634)=1,MAX(C$1:C1633)+1,"")</f>
        <v/>
      </c>
      <c r="D1634" s="12"/>
    </row>
    <row r="1635" spans="1:4" x14ac:dyDescent="0.25">
      <c r="A1635" t="str">
        <f>IF(COUNTIF(B$1:B1635,B1635)=1,MAX(A$1:A1634)+1,"")</f>
        <v/>
      </c>
      <c r="B1635" s="11"/>
      <c r="C1635" s="11" t="str">
        <f>IF(COUNTIF(D$1:D1635,D1635)=1,MAX(C$1:C1634)+1,"")</f>
        <v/>
      </c>
      <c r="D1635" s="12"/>
    </row>
    <row r="1636" spans="1:4" x14ac:dyDescent="0.25">
      <c r="A1636" t="str">
        <f>IF(COUNTIF(B$1:B1636,B1636)=1,MAX(A$1:A1635)+1,"")</f>
        <v/>
      </c>
      <c r="B1636" s="11"/>
      <c r="C1636" s="11" t="str">
        <f>IF(COUNTIF(D$1:D1636,D1636)=1,MAX(C$1:C1635)+1,"")</f>
        <v/>
      </c>
      <c r="D1636" s="12"/>
    </row>
    <row r="1637" spans="1:4" x14ac:dyDescent="0.25">
      <c r="A1637" t="str">
        <f>IF(COUNTIF(B$1:B1637,B1637)=1,MAX(A$1:A1636)+1,"")</f>
        <v/>
      </c>
      <c r="B1637" s="11"/>
      <c r="C1637" s="11" t="str">
        <f>IF(COUNTIF(D$1:D1637,D1637)=1,MAX(C$1:C1636)+1,"")</f>
        <v/>
      </c>
      <c r="D1637" s="12"/>
    </row>
    <row r="1638" spans="1:4" x14ac:dyDescent="0.25">
      <c r="A1638" t="str">
        <f>IF(COUNTIF(B$1:B1638,B1638)=1,MAX(A$1:A1637)+1,"")</f>
        <v/>
      </c>
      <c r="B1638" s="11"/>
      <c r="C1638" s="11" t="str">
        <f>IF(COUNTIF(D$1:D1638,D1638)=1,MAX(C$1:C1637)+1,"")</f>
        <v/>
      </c>
      <c r="D1638" s="12"/>
    </row>
    <row r="1639" spans="1:4" x14ac:dyDescent="0.25">
      <c r="A1639" t="str">
        <f>IF(COUNTIF(B$1:B1639,B1639)=1,MAX(A$1:A1638)+1,"")</f>
        <v/>
      </c>
      <c r="B1639" s="11"/>
      <c r="C1639" s="11" t="str">
        <f>IF(COUNTIF(D$1:D1639,D1639)=1,MAX(C$1:C1638)+1,"")</f>
        <v/>
      </c>
      <c r="D1639" s="12"/>
    </row>
    <row r="1640" spans="1:4" x14ac:dyDescent="0.25">
      <c r="A1640" t="str">
        <f>IF(COUNTIF(B$1:B1640,B1640)=1,MAX(A$1:A1639)+1,"")</f>
        <v/>
      </c>
      <c r="B1640" s="11"/>
      <c r="C1640" s="11" t="str">
        <f>IF(COUNTIF(D$1:D1640,D1640)=1,MAX(C$1:C1639)+1,"")</f>
        <v/>
      </c>
      <c r="D1640" s="12"/>
    </row>
    <row r="1641" spans="1:4" x14ac:dyDescent="0.25">
      <c r="A1641" t="str">
        <f>IF(COUNTIF(B$1:B1641,B1641)=1,MAX(A$1:A1640)+1,"")</f>
        <v/>
      </c>
      <c r="B1641" s="11"/>
      <c r="C1641" s="11" t="str">
        <f>IF(COUNTIF(D$1:D1641,D1641)=1,MAX(C$1:C1640)+1,"")</f>
        <v/>
      </c>
      <c r="D1641" s="12"/>
    </row>
    <row r="1642" spans="1:4" x14ac:dyDescent="0.25">
      <c r="A1642" t="str">
        <f>IF(COUNTIF(B$1:B1642,B1642)=1,MAX(A$1:A1641)+1,"")</f>
        <v/>
      </c>
      <c r="B1642" s="11"/>
      <c r="C1642" s="11" t="str">
        <f>IF(COUNTIF(D$1:D1642,D1642)=1,MAX(C$1:C1641)+1,"")</f>
        <v/>
      </c>
      <c r="D1642" s="12"/>
    </row>
    <row r="1643" spans="1:4" x14ac:dyDescent="0.25">
      <c r="A1643" t="str">
        <f>IF(COUNTIF(B$1:B1643,B1643)=1,MAX(A$1:A1642)+1,"")</f>
        <v/>
      </c>
      <c r="B1643" s="11"/>
      <c r="C1643" s="11" t="str">
        <f>IF(COUNTIF(D$1:D1643,D1643)=1,MAX(C$1:C1642)+1,"")</f>
        <v/>
      </c>
      <c r="D1643" s="12"/>
    </row>
    <row r="1644" spans="1:4" x14ac:dyDescent="0.25">
      <c r="A1644" t="str">
        <f>IF(COUNTIF(B$1:B1644,B1644)=1,MAX(A$1:A1643)+1,"")</f>
        <v/>
      </c>
      <c r="B1644" s="11"/>
      <c r="C1644" s="11" t="str">
        <f>IF(COUNTIF(D$1:D1644,D1644)=1,MAX(C$1:C1643)+1,"")</f>
        <v/>
      </c>
      <c r="D1644" s="12"/>
    </row>
    <row r="1645" spans="1:4" x14ac:dyDescent="0.25">
      <c r="A1645" t="str">
        <f>IF(COUNTIF(B$1:B1645,B1645)=1,MAX(A$1:A1644)+1,"")</f>
        <v/>
      </c>
      <c r="B1645" s="11"/>
      <c r="C1645" s="11" t="str">
        <f>IF(COUNTIF(D$1:D1645,D1645)=1,MAX(C$1:C1644)+1,"")</f>
        <v/>
      </c>
      <c r="D1645" s="12"/>
    </row>
    <row r="1646" spans="1:4" x14ac:dyDescent="0.25">
      <c r="A1646" t="str">
        <f>IF(COUNTIF(B$1:B1646,B1646)=1,MAX(A$1:A1645)+1,"")</f>
        <v/>
      </c>
      <c r="B1646" s="11"/>
      <c r="C1646" s="11" t="str">
        <f>IF(COUNTIF(D$1:D1646,D1646)=1,MAX(C$1:C1645)+1,"")</f>
        <v/>
      </c>
      <c r="D1646" s="12"/>
    </row>
    <row r="1647" spans="1:4" x14ac:dyDescent="0.25">
      <c r="A1647" t="str">
        <f>IF(COUNTIF(B$1:B1647,B1647)=1,MAX(A$1:A1646)+1,"")</f>
        <v/>
      </c>
      <c r="B1647" s="11"/>
      <c r="C1647" s="11" t="str">
        <f>IF(COUNTIF(D$1:D1647,D1647)=1,MAX(C$1:C1646)+1,"")</f>
        <v/>
      </c>
      <c r="D1647" s="12"/>
    </row>
    <row r="1648" spans="1:4" x14ac:dyDescent="0.25">
      <c r="A1648" t="str">
        <f>IF(COUNTIF(B$1:B1648,B1648)=1,MAX(A$1:A1647)+1,"")</f>
        <v/>
      </c>
      <c r="B1648" s="11"/>
      <c r="C1648" s="11" t="str">
        <f>IF(COUNTIF(D$1:D1648,D1648)=1,MAX(C$1:C1647)+1,"")</f>
        <v/>
      </c>
      <c r="D1648" s="12"/>
    </row>
    <row r="1649" spans="1:4" x14ac:dyDescent="0.25">
      <c r="A1649" t="str">
        <f>IF(COUNTIF(B$1:B1649,B1649)=1,MAX(A$1:A1648)+1,"")</f>
        <v/>
      </c>
      <c r="B1649" s="11"/>
      <c r="C1649" s="11" t="str">
        <f>IF(COUNTIF(D$1:D1649,D1649)=1,MAX(C$1:C1648)+1,"")</f>
        <v/>
      </c>
      <c r="D1649" s="12"/>
    </row>
    <row r="1650" spans="1:4" x14ac:dyDescent="0.25">
      <c r="A1650" t="str">
        <f>IF(COUNTIF(B$1:B1650,B1650)=1,MAX(A$1:A1649)+1,"")</f>
        <v/>
      </c>
      <c r="B1650" s="11"/>
      <c r="C1650" s="11" t="str">
        <f>IF(COUNTIF(D$1:D1650,D1650)=1,MAX(C$1:C1649)+1,"")</f>
        <v/>
      </c>
      <c r="D1650" s="12"/>
    </row>
    <row r="1651" spans="1:4" x14ac:dyDescent="0.25">
      <c r="A1651" t="str">
        <f>IF(COUNTIF(B$1:B1651,B1651)=1,MAX(A$1:A1650)+1,"")</f>
        <v/>
      </c>
      <c r="B1651" s="11"/>
      <c r="C1651" s="11" t="str">
        <f>IF(COUNTIF(D$1:D1651,D1651)=1,MAX(C$1:C1650)+1,"")</f>
        <v/>
      </c>
      <c r="D1651" s="12"/>
    </row>
    <row r="1652" spans="1:4" x14ac:dyDescent="0.25">
      <c r="A1652" t="str">
        <f>IF(COUNTIF(B$1:B1652,B1652)=1,MAX(A$1:A1651)+1,"")</f>
        <v/>
      </c>
      <c r="B1652" s="11"/>
      <c r="C1652" s="11" t="str">
        <f>IF(COUNTIF(D$1:D1652,D1652)=1,MAX(C$1:C1651)+1,"")</f>
        <v/>
      </c>
      <c r="D1652" s="12"/>
    </row>
    <row r="1653" spans="1:4" x14ac:dyDescent="0.25">
      <c r="A1653" t="str">
        <f>IF(COUNTIF(B$1:B1653,B1653)=1,MAX(A$1:A1652)+1,"")</f>
        <v/>
      </c>
      <c r="B1653" s="11"/>
      <c r="C1653" s="11" t="str">
        <f>IF(COUNTIF(D$1:D1653,D1653)=1,MAX(C$1:C1652)+1,"")</f>
        <v/>
      </c>
      <c r="D1653" s="12"/>
    </row>
    <row r="1654" spans="1:4" x14ac:dyDescent="0.25">
      <c r="A1654" t="str">
        <f>IF(COUNTIF(B$1:B1654,B1654)=1,MAX(A$1:A1653)+1,"")</f>
        <v/>
      </c>
      <c r="B1654" s="11"/>
      <c r="C1654" s="11" t="str">
        <f>IF(COUNTIF(D$1:D1654,D1654)=1,MAX(C$1:C1653)+1,"")</f>
        <v/>
      </c>
      <c r="D1654" s="12"/>
    </row>
    <row r="1655" spans="1:4" x14ac:dyDescent="0.25">
      <c r="A1655" t="str">
        <f>IF(COUNTIF(B$1:B1655,B1655)=1,MAX(A$1:A1654)+1,"")</f>
        <v/>
      </c>
      <c r="B1655" s="11"/>
      <c r="C1655" s="11" t="str">
        <f>IF(COUNTIF(D$1:D1655,D1655)=1,MAX(C$1:C1654)+1,"")</f>
        <v/>
      </c>
      <c r="D1655" s="12"/>
    </row>
    <row r="1656" spans="1:4" x14ac:dyDescent="0.25">
      <c r="A1656" t="str">
        <f>IF(COUNTIF(B$1:B1656,B1656)=1,MAX(A$1:A1655)+1,"")</f>
        <v/>
      </c>
      <c r="B1656" s="11"/>
      <c r="C1656" s="11" t="str">
        <f>IF(COUNTIF(D$1:D1656,D1656)=1,MAX(C$1:C1655)+1,"")</f>
        <v/>
      </c>
      <c r="D1656" s="12"/>
    </row>
    <row r="1657" spans="1:4" x14ac:dyDescent="0.25">
      <c r="A1657" t="str">
        <f>IF(COUNTIF(B$1:B1657,B1657)=1,MAX(A$1:A1656)+1,"")</f>
        <v/>
      </c>
      <c r="B1657" s="11"/>
      <c r="C1657" s="11" t="str">
        <f>IF(COUNTIF(D$1:D1657,D1657)=1,MAX(C$1:C1656)+1,"")</f>
        <v/>
      </c>
      <c r="D1657" s="12"/>
    </row>
    <row r="1658" spans="1:4" x14ac:dyDescent="0.25">
      <c r="A1658" t="str">
        <f>IF(COUNTIF(B$1:B1658,B1658)=1,MAX(A$1:A1657)+1,"")</f>
        <v/>
      </c>
      <c r="B1658" s="11"/>
      <c r="C1658" s="11" t="str">
        <f>IF(COUNTIF(D$1:D1658,D1658)=1,MAX(C$1:C1657)+1,"")</f>
        <v/>
      </c>
      <c r="D1658" s="12"/>
    </row>
    <row r="1659" spans="1:4" x14ac:dyDescent="0.25">
      <c r="A1659" t="str">
        <f>IF(COUNTIF(B$1:B1659,B1659)=1,MAX(A$1:A1658)+1,"")</f>
        <v/>
      </c>
      <c r="B1659" s="11"/>
      <c r="C1659" s="11" t="str">
        <f>IF(COUNTIF(D$1:D1659,D1659)=1,MAX(C$1:C1658)+1,"")</f>
        <v/>
      </c>
      <c r="D1659" s="12"/>
    </row>
    <row r="1660" spans="1:4" x14ac:dyDescent="0.25">
      <c r="A1660" t="str">
        <f>IF(COUNTIF(B$1:B1660,B1660)=1,MAX(A$1:A1659)+1,"")</f>
        <v/>
      </c>
      <c r="B1660" s="11"/>
      <c r="C1660" s="11" t="str">
        <f>IF(COUNTIF(D$1:D1660,D1660)=1,MAX(C$1:C1659)+1,"")</f>
        <v/>
      </c>
      <c r="D1660" s="12"/>
    </row>
    <row r="1661" spans="1:4" x14ac:dyDescent="0.25">
      <c r="A1661" t="str">
        <f>IF(COUNTIF(B$1:B1661,B1661)=1,MAX(A$1:A1660)+1,"")</f>
        <v/>
      </c>
      <c r="B1661" s="11"/>
      <c r="C1661" s="11" t="str">
        <f>IF(COUNTIF(D$1:D1661,D1661)=1,MAX(C$1:C1660)+1,"")</f>
        <v/>
      </c>
      <c r="D1661" s="12"/>
    </row>
    <row r="1662" spans="1:4" x14ac:dyDescent="0.25">
      <c r="A1662" t="str">
        <f>IF(COUNTIF(B$1:B1662,B1662)=1,MAX(A$1:A1661)+1,"")</f>
        <v/>
      </c>
      <c r="B1662" s="11"/>
      <c r="C1662" s="11" t="str">
        <f>IF(COUNTIF(D$1:D1662,D1662)=1,MAX(C$1:C1661)+1,"")</f>
        <v/>
      </c>
      <c r="D1662" s="12"/>
    </row>
    <row r="1663" spans="1:4" x14ac:dyDescent="0.25">
      <c r="A1663" t="str">
        <f>IF(COUNTIF(B$1:B1663,B1663)=1,MAX(A$1:A1662)+1,"")</f>
        <v/>
      </c>
      <c r="B1663" s="11"/>
      <c r="C1663" s="11" t="str">
        <f>IF(COUNTIF(D$1:D1663,D1663)=1,MAX(C$1:C1662)+1,"")</f>
        <v/>
      </c>
      <c r="D1663" s="12"/>
    </row>
    <row r="1664" spans="1:4" x14ac:dyDescent="0.25">
      <c r="A1664" t="str">
        <f>IF(COUNTIF(B$1:B1664,B1664)=1,MAX(A$1:A1663)+1,"")</f>
        <v/>
      </c>
      <c r="B1664" s="11"/>
      <c r="C1664" s="11" t="str">
        <f>IF(COUNTIF(D$1:D1664,D1664)=1,MAX(C$1:C1663)+1,"")</f>
        <v/>
      </c>
      <c r="D1664" s="12"/>
    </row>
    <row r="1665" spans="1:4" x14ac:dyDescent="0.25">
      <c r="A1665" t="str">
        <f>IF(COUNTIF(B$1:B1665,B1665)=1,MAX(A$1:A1664)+1,"")</f>
        <v/>
      </c>
      <c r="B1665" s="11"/>
      <c r="C1665" s="11" t="str">
        <f>IF(COUNTIF(D$1:D1665,D1665)=1,MAX(C$1:C1664)+1,"")</f>
        <v/>
      </c>
      <c r="D1665" s="12"/>
    </row>
    <row r="1666" spans="1:4" x14ac:dyDescent="0.25">
      <c r="A1666" t="str">
        <f>IF(COUNTIF(B$1:B1666,B1666)=1,MAX(A$1:A1665)+1,"")</f>
        <v/>
      </c>
      <c r="B1666" s="11"/>
      <c r="C1666" s="11" t="str">
        <f>IF(COUNTIF(D$1:D1666,D1666)=1,MAX(C$1:C1665)+1,"")</f>
        <v/>
      </c>
      <c r="D1666" s="12"/>
    </row>
    <row r="1667" spans="1:4" x14ac:dyDescent="0.25">
      <c r="A1667" t="str">
        <f>IF(COUNTIF(B$1:B1667,B1667)=1,MAX(A$1:A1666)+1,"")</f>
        <v/>
      </c>
      <c r="B1667" s="11"/>
      <c r="C1667" s="11" t="str">
        <f>IF(COUNTIF(D$1:D1667,D1667)=1,MAX(C$1:C1666)+1,"")</f>
        <v/>
      </c>
      <c r="D1667" s="12"/>
    </row>
    <row r="1668" spans="1:4" x14ac:dyDescent="0.25">
      <c r="A1668" t="str">
        <f>IF(COUNTIF(B$1:B1668,B1668)=1,MAX(A$1:A1667)+1,"")</f>
        <v/>
      </c>
      <c r="B1668" s="11"/>
      <c r="C1668" s="11" t="str">
        <f>IF(COUNTIF(D$1:D1668,D1668)=1,MAX(C$1:C1667)+1,"")</f>
        <v/>
      </c>
      <c r="D1668" s="12"/>
    </row>
    <row r="1669" spans="1:4" x14ac:dyDescent="0.25">
      <c r="A1669" t="str">
        <f>IF(COUNTIF(B$1:B1669,B1669)=1,MAX(A$1:A1668)+1,"")</f>
        <v/>
      </c>
      <c r="B1669" s="11"/>
      <c r="C1669" s="11" t="str">
        <f>IF(COUNTIF(D$1:D1669,D1669)=1,MAX(C$1:C1668)+1,"")</f>
        <v/>
      </c>
      <c r="D1669" s="12"/>
    </row>
    <row r="1670" spans="1:4" x14ac:dyDescent="0.25">
      <c r="A1670" t="str">
        <f>IF(COUNTIF(B$1:B1670,B1670)=1,MAX(A$1:A1669)+1,"")</f>
        <v/>
      </c>
      <c r="B1670" s="11"/>
      <c r="C1670" s="11" t="str">
        <f>IF(COUNTIF(D$1:D1670,D1670)=1,MAX(C$1:C1669)+1,"")</f>
        <v/>
      </c>
      <c r="D1670" s="12"/>
    </row>
    <row r="1671" spans="1:4" x14ac:dyDescent="0.25">
      <c r="A1671" t="str">
        <f>IF(COUNTIF(B$1:B1671,B1671)=1,MAX(A$1:A1670)+1,"")</f>
        <v/>
      </c>
      <c r="B1671" s="11"/>
      <c r="C1671" s="11" t="str">
        <f>IF(COUNTIF(D$1:D1671,D1671)=1,MAX(C$1:C1670)+1,"")</f>
        <v/>
      </c>
      <c r="D1671" s="12"/>
    </row>
    <row r="1672" spans="1:4" x14ac:dyDescent="0.25">
      <c r="A1672" t="str">
        <f>IF(COUNTIF(B$1:B1672,B1672)=1,MAX(A$1:A1671)+1,"")</f>
        <v/>
      </c>
      <c r="B1672" s="11"/>
      <c r="C1672" s="11" t="str">
        <f>IF(COUNTIF(D$1:D1672,D1672)=1,MAX(C$1:C1671)+1,"")</f>
        <v/>
      </c>
      <c r="D1672" s="12"/>
    </row>
    <row r="1673" spans="1:4" x14ac:dyDescent="0.25">
      <c r="A1673" t="str">
        <f>IF(COUNTIF(B$1:B1673,B1673)=1,MAX(A$1:A1672)+1,"")</f>
        <v/>
      </c>
      <c r="B1673" s="11"/>
      <c r="C1673" s="11" t="str">
        <f>IF(COUNTIF(D$1:D1673,D1673)=1,MAX(C$1:C1672)+1,"")</f>
        <v/>
      </c>
      <c r="D1673" s="12"/>
    </row>
    <row r="1674" spans="1:4" x14ac:dyDescent="0.25">
      <c r="A1674" t="str">
        <f>IF(COUNTIF(B$1:B1674,B1674)=1,MAX(A$1:A1673)+1,"")</f>
        <v/>
      </c>
      <c r="B1674" s="11"/>
      <c r="C1674" s="11" t="str">
        <f>IF(COUNTIF(D$1:D1674,D1674)=1,MAX(C$1:C1673)+1,"")</f>
        <v/>
      </c>
      <c r="D1674" s="12"/>
    </row>
    <row r="1675" spans="1:4" x14ac:dyDescent="0.25">
      <c r="A1675" t="str">
        <f>IF(COUNTIF(B$1:B1675,B1675)=1,MAX(A$1:A1674)+1,"")</f>
        <v/>
      </c>
      <c r="B1675" s="11"/>
      <c r="C1675" s="11" t="str">
        <f>IF(COUNTIF(D$1:D1675,D1675)=1,MAX(C$1:C1674)+1,"")</f>
        <v/>
      </c>
      <c r="D1675" s="12"/>
    </row>
    <row r="1676" spans="1:4" x14ac:dyDescent="0.25">
      <c r="A1676" t="str">
        <f>IF(COUNTIF(B$1:B1676,B1676)=1,MAX(A$1:A1675)+1,"")</f>
        <v/>
      </c>
      <c r="B1676" s="11"/>
      <c r="C1676" s="11" t="str">
        <f>IF(COUNTIF(D$1:D1676,D1676)=1,MAX(C$1:C1675)+1,"")</f>
        <v/>
      </c>
      <c r="D1676" s="12"/>
    </row>
    <row r="1677" spans="1:4" x14ac:dyDescent="0.25">
      <c r="A1677" t="str">
        <f>IF(COUNTIF(B$1:B1677,B1677)=1,MAX(A$1:A1676)+1,"")</f>
        <v/>
      </c>
      <c r="B1677" s="11"/>
      <c r="C1677" s="11" t="str">
        <f>IF(COUNTIF(D$1:D1677,D1677)=1,MAX(C$1:C1676)+1,"")</f>
        <v/>
      </c>
      <c r="D1677" s="12"/>
    </row>
    <row r="1678" spans="1:4" x14ac:dyDescent="0.25">
      <c r="A1678" t="str">
        <f>IF(COUNTIF(B$1:B1678,B1678)=1,MAX(A$1:A1677)+1,"")</f>
        <v/>
      </c>
      <c r="B1678" s="11"/>
      <c r="C1678" s="11" t="str">
        <f>IF(COUNTIF(D$1:D1678,D1678)=1,MAX(C$1:C1677)+1,"")</f>
        <v/>
      </c>
      <c r="D1678" s="12"/>
    </row>
    <row r="1679" spans="1:4" x14ac:dyDescent="0.25">
      <c r="A1679" t="str">
        <f>IF(COUNTIF(B$1:B1679,B1679)=1,MAX(A$1:A1678)+1,"")</f>
        <v/>
      </c>
      <c r="B1679" s="11"/>
      <c r="C1679" s="11" t="str">
        <f>IF(COUNTIF(D$1:D1679,D1679)=1,MAX(C$1:C1678)+1,"")</f>
        <v/>
      </c>
      <c r="D1679" s="12"/>
    </row>
    <row r="1680" spans="1:4" x14ac:dyDescent="0.25">
      <c r="A1680" t="str">
        <f>IF(COUNTIF(B$1:B1680,B1680)=1,MAX(A$1:A1679)+1,"")</f>
        <v/>
      </c>
      <c r="B1680" s="11"/>
      <c r="C1680" s="11" t="str">
        <f>IF(COUNTIF(D$1:D1680,D1680)=1,MAX(C$1:C1679)+1,"")</f>
        <v/>
      </c>
      <c r="D1680" s="12"/>
    </row>
    <row r="1681" spans="1:4" x14ac:dyDescent="0.25">
      <c r="A1681" t="str">
        <f>IF(COUNTIF(B$1:B1681,B1681)=1,MAX(A$1:A1680)+1,"")</f>
        <v/>
      </c>
      <c r="B1681" s="11"/>
      <c r="C1681" s="11" t="str">
        <f>IF(COUNTIF(D$1:D1681,D1681)=1,MAX(C$1:C1680)+1,"")</f>
        <v/>
      </c>
      <c r="D1681" s="12"/>
    </row>
    <row r="1682" spans="1:4" x14ac:dyDescent="0.25">
      <c r="A1682" t="str">
        <f>IF(COUNTIF(B$1:B1682,B1682)=1,MAX(A$1:A1681)+1,"")</f>
        <v/>
      </c>
      <c r="B1682" s="11"/>
      <c r="C1682" s="11" t="str">
        <f>IF(COUNTIF(D$1:D1682,D1682)=1,MAX(C$1:C1681)+1,"")</f>
        <v/>
      </c>
      <c r="D1682" s="12"/>
    </row>
    <row r="1683" spans="1:4" x14ac:dyDescent="0.25">
      <c r="A1683" t="str">
        <f>IF(COUNTIF(B$1:B1683,B1683)=1,MAX(A$1:A1682)+1,"")</f>
        <v/>
      </c>
      <c r="B1683" s="11"/>
      <c r="C1683" s="11" t="str">
        <f>IF(COUNTIF(D$1:D1683,D1683)=1,MAX(C$1:C1682)+1,"")</f>
        <v/>
      </c>
      <c r="D1683" s="12"/>
    </row>
    <row r="1684" spans="1:4" x14ac:dyDescent="0.25">
      <c r="A1684" t="str">
        <f>IF(COUNTIF(B$1:B1684,B1684)=1,MAX(A$1:A1683)+1,"")</f>
        <v/>
      </c>
      <c r="B1684" s="11"/>
      <c r="C1684" s="11" t="str">
        <f>IF(COUNTIF(D$1:D1684,D1684)=1,MAX(C$1:C1683)+1,"")</f>
        <v/>
      </c>
      <c r="D1684" s="12"/>
    </row>
    <row r="1685" spans="1:4" x14ac:dyDescent="0.25">
      <c r="A1685" t="str">
        <f>IF(COUNTIF(B$1:B1685,B1685)=1,MAX(A$1:A1684)+1,"")</f>
        <v/>
      </c>
      <c r="B1685" s="11"/>
      <c r="C1685" s="11" t="str">
        <f>IF(COUNTIF(D$1:D1685,D1685)=1,MAX(C$1:C1684)+1,"")</f>
        <v/>
      </c>
      <c r="D1685" s="12"/>
    </row>
    <row r="1686" spans="1:4" x14ac:dyDescent="0.25">
      <c r="A1686" t="str">
        <f>IF(COUNTIF(B$1:B1686,B1686)=1,MAX(A$1:A1685)+1,"")</f>
        <v/>
      </c>
      <c r="B1686" s="11"/>
      <c r="C1686" s="11" t="str">
        <f>IF(COUNTIF(D$1:D1686,D1686)=1,MAX(C$1:C1685)+1,"")</f>
        <v/>
      </c>
      <c r="D1686" s="12"/>
    </row>
    <row r="1687" spans="1:4" x14ac:dyDescent="0.25">
      <c r="A1687" t="str">
        <f>IF(COUNTIF(B$1:B1687,B1687)=1,MAX(A$1:A1686)+1,"")</f>
        <v/>
      </c>
      <c r="B1687" s="11"/>
      <c r="C1687" s="11" t="str">
        <f>IF(COUNTIF(D$1:D1687,D1687)=1,MAX(C$1:C1686)+1,"")</f>
        <v/>
      </c>
      <c r="D1687" s="12"/>
    </row>
    <row r="1688" spans="1:4" x14ac:dyDescent="0.25">
      <c r="A1688" t="str">
        <f>IF(COUNTIF(B$1:B1688,B1688)=1,MAX(A$1:A1687)+1,"")</f>
        <v/>
      </c>
      <c r="B1688" s="11"/>
      <c r="C1688" s="11" t="str">
        <f>IF(COUNTIF(D$1:D1688,D1688)=1,MAX(C$1:C1687)+1,"")</f>
        <v/>
      </c>
      <c r="D1688" s="12"/>
    </row>
    <row r="1689" spans="1:4" x14ac:dyDescent="0.25">
      <c r="A1689" t="str">
        <f>IF(COUNTIF(B$1:B1689,B1689)=1,MAX(A$1:A1688)+1,"")</f>
        <v/>
      </c>
      <c r="B1689" s="11"/>
      <c r="C1689" s="11" t="str">
        <f>IF(COUNTIF(D$1:D1689,D1689)=1,MAX(C$1:C1688)+1,"")</f>
        <v/>
      </c>
      <c r="D1689" s="12"/>
    </row>
    <row r="1690" spans="1:4" x14ac:dyDescent="0.25">
      <c r="A1690" t="str">
        <f>IF(COUNTIF(B$1:B1690,B1690)=1,MAX(A$1:A1689)+1,"")</f>
        <v/>
      </c>
      <c r="B1690" s="11"/>
      <c r="C1690" s="11" t="str">
        <f>IF(COUNTIF(D$1:D1690,D1690)=1,MAX(C$1:C1689)+1,"")</f>
        <v/>
      </c>
      <c r="D1690" s="12"/>
    </row>
    <row r="1691" spans="1:4" x14ac:dyDescent="0.25">
      <c r="A1691" t="str">
        <f>IF(COUNTIF(B$1:B1691,B1691)=1,MAX(A$1:A1690)+1,"")</f>
        <v/>
      </c>
      <c r="B1691" s="11"/>
      <c r="C1691" s="11" t="str">
        <f>IF(COUNTIF(D$1:D1691,D1691)=1,MAX(C$1:C1690)+1,"")</f>
        <v/>
      </c>
      <c r="D1691" s="12"/>
    </row>
    <row r="1692" spans="1:4" x14ac:dyDescent="0.25">
      <c r="A1692" t="str">
        <f>IF(COUNTIF(B$1:B1692,B1692)=1,MAX(A$1:A1691)+1,"")</f>
        <v/>
      </c>
      <c r="B1692" s="11"/>
      <c r="C1692" s="11" t="str">
        <f>IF(COUNTIF(D$1:D1692,D1692)=1,MAX(C$1:C1691)+1,"")</f>
        <v/>
      </c>
      <c r="D1692" s="12"/>
    </row>
    <row r="1693" spans="1:4" x14ac:dyDescent="0.25">
      <c r="A1693" t="str">
        <f>IF(COUNTIF(B$1:B1693,B1693)=1,MAX(A$1:A1692)+1,"")</f>
        <v/>
      </c>
      <c r="B1693" s="11"/>
      <c r="C1693" s="11" t="str">
        <f>IF(COUNTIF(D$1:D1693,D1693)=1,MAX(C$1:C1692)+1,"")</f>
        <v/>
      </c>
      <c r="D1693" s="12"/>
    </row>
    <row r="1694" spans="1:4" x14ac:dyDescent="0.25">
      <c r="A1694" t="str">
        <f>IF(COUNTIF(B$1:B1694,B1694)=1,MAX(A$1:A1693)+1,"")</f>
        <v/>
      </c>
      <c r="B1694" s="11"/>
      <c r="C1694" s="11" t="str">
        <f>IF(COUNTIF(D$1:D1694,D1694)=1,MAX(C$1:C1693)+1,"")</f>
        <v/>
      </c>
      <c r="D1694" s="12"/>
    </row>
    <row r="1695" spans="1:4" x14ac:dyDescent="0.25">
      <c r="A1695" t="str">
        <f>IF(COUNTIF(B$1:B1695,B1695)=1,MAX(A$1:A1694)+1,"")</f>
        <v/>
      </c>
      <c r="B1695" s="11"/>
      <c r="C1695" s="11" t="str">
        <f>IF(COUNTIF(D$1:D1695,D1695)=1,MAX(C$1:C1694)+1,"")</f>
        <v/>
      </c>
      <c r="D1695" s="12"/>
    </row>
    <row r="1696" spans="1:4" x14ac:dyDescent="0.25">
      <c r="A1696" t="str">
        <f>IF(COUNTIF(B$1:B1696,B1696)=1,MAX(A$1:A1695)+1,"")</f>
        <v/>
      </c>
      <c r="B1696" s="11"/>
      <c r="C1696" s="11" t="str">
        <f>IF(COUNTIF(D$1:D1696,D1696)=1,MAX(C$1:C1695)+1,"")</f>
        <v/>
      </c>
      <c r="D1696" s="12"/>
    </row>
    <row r="1697" spans="1:4" x14ac:dyDescent="0.25">
      <c r="A1697" t="str">
        <f>IF(COUNTIF(B$1:B1697,B1697)=1,MAX(A$1:A1696)+1,"")</f>
        <v/>
      </c>
      <c r="B1697" s="11"/>
      <c r="C1697" s="11" t="str">
        <f>IF(COUNTIF(D$1:D1697,D1697)=1,MAX(C$1:C1696)+1,"")</f>
        <v/>
      </c>
      <c r="D1697" s="12"/>
    </row>
    <row r="1698" spans="1:4" x14ac:dyDescent="0.25">
      <c r="A1698" t="str">
        <f>IF(COUNTIF(B$1:B1698,B1698)=1,MAX(A$1:A1697)+1,"")</f>
        <v/>
      </c>
      <c r="B1698" s="11"/>
      <c r="C1698" s="11" t="str">
        <f>IF(COUNTIF(D$1:D1698,D1698)=1,MAX(C$1:C1697)+1,"")</f>
        <v/>
      </c>
      <c r="D1698" s="12"/>
    </row>
    <row r="1699" spans="1:4" x14ac:dyDescent="0.25">
      <c r="A1699" t="str">
        <f>IF(COUNTIF(B$1:B1699,B1699)=1,MAX(A$1:A1698)+1,"")</f>
        <v/>
      </c>
      <c r="B1699" s="11"/>
      <c r="C1699" s="11" t="str">
        <f>IF(COUNTIF(D$1:D1699,D1699)=1,MAX(C$1:C1698)+1,"")</f>
        <v/>
      </c>
      <c r="D1699" s="12"/>
    </row>
    <row r="1700" spans="1:4" x14ac:dyDescent="0.25">
      <c r="A1700" t="str">
        <f>IF(COUNTIF(B$1:B1700,B1700)=1,MAX(A$1:A1699)+1,"")</f>
        <v/>
      </c>
      <c r="B1700" s="11"/>
      <c r="C1700" s="11" t="str">
        <f>IF(COUNTIF(D$1:D1700,D1700)=1,MAX(C$1:C1699)+1,"")</f>
        <v/>
      </c>
      <c r="D1700" s="12"/>
    </row>
    <row r="1701" spans="1:4" x14ac:dyDescent="0.25">
      <c r="A1701" t="str">
        <f>IF(COUNTIF(B$1:B1701,B1701)=1,MAX(A$1:A1700)+1,"")</f>
        <v/>
      </c>
      <c r="B1701" s="11"/>
      <c r="C1701" s="11" t="str">
        <f>IF(COUNTIF(D$1:D1701,D1701)=1,MAX(C$1:C1700)+1,"")</f>
        <v/>
      </c>
      <c r="D1701" s="12"/>
    </row>
    <row r="1702" spans="1:4" x14ac:dyDescent="0.25">
      <c r="A1702" t="str">
        <f>IF(COUNTIF(B$1:B1702,B1702)=1,MAX(A$1:A1701)+1,"")</f>
        <v/>
      </c>
      <c r="B1702" s="11"/>
      <c r="C1702" s="11" t="str">
        <f>IF(COUNTIF(D$1:D1702,D1702)=1,MAX(C$1:C1701)+1,"")</f>
        <v/>
      </c>
      <c r="D1702" s="12"/>
    </row>
    <row r="1703" spans="1:4" x14ac:dyDescent="0.25">
      <c r="A1703" t="str">
        <f>IF(COUNTIF(B$1:B1703,B1703)=1,MAX(A$1:A1702)+1,"")</f>
        <v/>
      </c>
      <c r="B1703" s="11"/>
      <c r="C1703" s="11" t="str">
        <f>IF(COUNTIF(D$1:D1703,D1703)=1,MAX(C$1:C1702)+1,"")</f>
        <v/>
      </c>
      <c r="D1703" s="12"/>
    </row>
    <row r="1704" spans="1:4" x14ac:dyDescent="0.25">
      <c r="A1704" t="str">
        <f>IF(COUNTIF(B$1:B1704,B1704)=1,MAX(A$1:A1703)+1,"")</f>
        <v/>
      </c>
      <c r="B1704" s="11"/>
      <c r="C1704" s="11" t="str">
        <f>IF(COUNTIF(D$1:D1704,D1704)=1,MAX(C$1:C1703)+1,"")</f>
        <v/>
      </c>
      <c r="D1704" s="12"/>
    </row>
    <row r="1705" spans="1:4" x14ac:dyDescent="0.25">
      <c r="A1705" t="str">
        <f>IF(COUNTIF(B$1:B1705,B1705)=1,MAX(A$1:A1704)+1,"")</f>
        <v/>
      </c>
      <c r="B1705" s="11"/>
      <c r="C1705" s="11" t="str">
        <f>IF(COUNTIF(D$1:D1705,D1705)=1,MAX(C$1:C1704)+1,"")</f>
        <v/>
      </c>
      <c r="D1705" s="12"/>
    </row>
    <row r="1706" spans="1:4" x14ac:dyDescent="0.25">
      <c r="A1706" t="str">
        <f>IF(COUNTIF(B$1:B1706,B1706)=1,MAX(A$1:A1705)+1,"")</f>
        <v/>
      </c>
      <c r="B1706" s="11"/>
      <c r="C1706" s="11" t="str">
        <f>IF(COUNTIF(D$1:D1706,D1706)=1,MAX(C$1:C1705)+1,"")</f>
        <v/>
      </c>
      <c r="D1706" s="12"/>
    </row>
    <row r="1707" spans="1:4" x14ac:dyDescent="0.25">
      <c r="A1707" t="str">
        <f>IF(COUNTIF(B$1:B1707,B1707)=1,MAX(A$1:A1706)+1,"")</f>
        <v/>
      </c>
      <c r="B1707" s="11"/>
      <c r="C1707" s="11" t="str">
        <f>IF(COUNTIF(D$1:D1707,D1707)=1,MAX(C$1:C1706)+1,"")</f>
        <v/>
      </c>
      <c r="D1707" s="12"/>
    </row>
    <row r="1708" spans="1:4" x14ac:dyDescent="0.25">
      <c r="A1708" t="str">
        <f>IF(COUNTIF(B$1:B1708,B1708)=1,MAX(A$1:A1707)+1,"")</f>
        <v/>
      </c>
      <c r="B1708" s="11"/>
      <c r="C1708" s="11" t="str">
        <f>IF(COUNTIF(D$1:D1708,D1708)=1,MAX(C$1:C1707)+1,"")</f>
        <v/>
      </c>
      <c r="D1708" s="12"/>
    </row>
    <row r="1709" spans="1:4" x14ac:dyDescent="0.25">
      <c r="A1709" t="str">
        <f>IF(COUNTIF(B$1:B1709,B1709)=1,MAX(A$1:A1708)+1,"")</f>
        <v/>
      </c>
      <c r="B1709" s="11"/>
      <c r="C1709" s="11" t="str">
        <f>IF(COUNTIF(D$1:D1709,D1709)=1,MAX(C$1:C1708)+1,"")</f>
        <v/>
      </c>
      <c r="D1709" s="12"/>
    </row>
    <row r="1710" spans="1:4" x14ac:dyDescent="0.25">
      <c r="A1710" t="str">
        <f>IF(COUNTIF(B$1:B1710,B1710)=1,MAX(A$1:A1709)+1,"")</f>
        <v/>
      </c>
      <c r="B1710" s="11"/>
      <c r="C1710" s="11" t="str">
        <f>IF(COUNTIF(D$1:D1710,D1710)=1,MAX(C$1:C1709)+1,"")</f>
        <v/>
      </c>
      <c r="D1710" s="12"/>
    </row>
    <row r="1711" spans="1:4" x14ac:dyDescent="0.25">
      <c r="A1711" t="str">
        <f>IF(COUNTIF(B$1:B1711,B1711)=1,MAX(A$1:A1710)+1,"")</f>
        <v/>
      </c>
      <c r="B1711" s="11"/>
      <c r="C1711" s="11" t="str">
        <f>IF(COUNTIF(D$1:D1711,D1711)=1,MAX(C$1:C1710)+1,"")</f>
        <v/>
      </c>
      <c r="D1711" s="12"/>
    </row>
    <row r="1712" spans="1:4" x14ac:dyDescent="0.25">
      <c r="A1712" t="str">
        <f>IF(COUNTIF(B$1:B1712,B1712)=1,MAX(A$1:A1711)+1,"")</f>
        <v/>
      </c>
      <c r="B1712" s="11"/>
      <c r="C1712" s="11" t="str">
        <f>IF(COUNTIF(D$1:D1712,D1712)=1,MAX(C$1:C1711)+1,"")</f>
        <v/>
      </c>
      <c r="D1712" s="12"/>
    </row>
    <row r="1713" spans="1:4" x14ac:dyDescent="0.25">
      <c r="A1713" t="str">
        <f>IF(COUNTIF(B$1:B1713,B1713)=1,MAX(A$1:A1712)+1,"")</f>
        <v/>
      </c>
      <c r="B1713" s="11"/>
      <c r="C1713" s="11" t="str">
        <f>IF(COUNTIF(D$1:D1713,D1713)=1,MAX(C$1:C1712)+1,"")</f>
        <v/>
      </c>
      <c r="D1713" s="12"/>
    </row>
    <row r="1714" spans="1:4" x14ac:dyDescent="0.25">
      <c r="A1714" t="str">
        <f>IF(COUNTIF(B$1:B1714,B1714)=1,MAX(A$1:A1713)+1,"")</f>
        <v/>
      </c>
      <c r="B1714" s="11"/>
      <c r="C1714" s="11" t="str">
        <f>IF(COUNTIF(D$1:D1714,D1714)=1,MAX(C$1:C1713)+1,"")</f>
        <v/>
      </c>
      <c r="D1714" s="12"/>
    </row>
    <row r="1715" spans="1:4" x14ac:dyDescent="0.25">
      <c r="A1715" t="str">
        <f>IF(COUNTIF(B$1:B1715,B1715)=1,MAX(A$1:A1714)+1,"")</f>
        <v/>
      </c>
      <c r="B1715" s="11"/>
      <c r="C1715" s="11" t="str">
        <f>IF(COUNTIF(D$1:D1715,D1715)=1,MAX(C$1:C1714)+1,"")</f>
        <v/>
      </c>
      <c r="D1715" s="12"/>
    </row>
    <row r="1716" spans="1:4" x14ac:dyDescent="0.25">
      <c r="A1716" t="str">
        <f>IF(COUNTIF(B$1:B1716,B1716)=1,MAX(A$1:A1715)+1,"")</f>
        <v/>
      </c>
      <c r="B1716" s="11"/>
      <c r="C1716" s="11" t="str">
        <f>IF(COUNTIF(D$1:D1716,D1716)=1,MAX(C$1:C1715)+1,"")</f>
        <v/>
      </c>
      <c r="D1716" s="12"/>
    </row>
    <row r="1717" spans="1:4" x14ac:dyDescent="0.25">
      <c r="A1717" t="str">
        <f>IF(COUNTIF(B$1:B1717,B1717)=1,MAX(A$1:A1716)+1,"")</f>
        <v/>
      </c>
      <c r="B1717" s="11"/>
      <c r="C1717" s="11" t="str">
        <f>IF(COUNTIF(D$1:D1717,D1717)=1,MAX(C$1:C1716)+1,"")</f>
        <v/>
      </c>
      <c r="D1717" s="12"/>
    </row>
    <row r="1718" spans="1:4" x14ac:dyDescent="0.25">
      <c r="A1718" t="str">
        <f>IF(COUNTIF(B$1:B1718,B1718)=1,MAX(A$1:A1717)+1,"")</f>
        <v/>
      </c>
      <c r="B1718" s="11"/>
      <c r="C1718" s="11" t="str">
        <f>IF(COUNTIF(D$1:D1718,D1718)=1,MAX(C$1:C1717)+1,"")</f>
        <v/>
      </c>
      <c r="D1718" s="12"/>
    </row>
    <row r="1719" spans="1:4" x14ac:dyDescent="0.25">
      <c r="A1719" t="str">
        <f>IF(COUNTIF(B$1:B1719,B1719)=1,MAX(A$1:A1718)+1,"")</f>
        <v/>
      </c>
      <c r="B1719" s="11"/>
      <c r="C1719" s="11" t="str">
        <f>IF(COUNTIF(D$1:D1719,D1719)=1,MAX(C$1:C1718)+1,"")</f>
        <v/>
      </c>
      <c r="D1719" s="12"/>
    </row>
    <row r="1720" spans="1:4" x14ac:dyDescent="0.25">
      <c r="A1720" t="str">
        <f>IF(COUNTIF(B$1:B1720,B1720)=1,MAX(A$1:A1719)+1,"")</f>
        <v/>
      </c>
      <c r="B1720" s="11"/>
      <c r="C1720" s="11" t="str">
        <f>IF(COUNTIF(D$1:D1720,D1720)=1,MAX(C$1:C1719)+1,"")</f>
        <v/>
      </c>
      <c r="D1720" s="12"/>
    </row>
    <row r="1721" spans="1:4" x14ac:dyDescent="0.25">
      <c r="A1721" t="str">
        <f>IF(COUNTIF(B$1:B1721,B1721)=1,MAX(A$1:A1720)+1,"")</f>
        <v/>
      </c>
      <c r="B1721" s="11"/>
      <c r="C1721" s="11" t="str">
        <f>IF(COUNTIF(D$1:D1721,D1721)=1,MAX(C$1:C1720)+1,"")</f>
        <v/>
      </c>
      <c r="D1721" s="12"/>
    </row>
    <row r="1722" spans="1:4" x14ac:dyDescent="0.25">
      <c r="A1722" t="str">
        <f>IF(COUNTIF(B$1:B1722,B1722)=1,MAX(A$1:A1721)+1,"")</f>
        <v/>
      </c>
      <c r="B1722" s="11"/>
      <c r="C1722" s="11" t="str">
        <f>IF(COUNTIF(D$1:D1722,D1722)=1,MAX(C$1:C1721)+1,"")</f>
        <v/>
      </c>
      <c r="D1722" s="12"/>
    </row>
    <row r="1723" spans="1:4" x14ac:dyDescent="0.25">
      <c r="A1723" t="str">
        <f>IF(COUNTIF(B$1:B1723,B1723)=1,MAX(A$1:A1722)+1,"")</f>
        <v/>
      </c>
      <c r="B1723" s="11"/>
      <c r="C1723" s="11" t="str">
        <f>IF(COUNTIF(D$1:D1723,D1723)=1,MAX(C$1:C1722)+1,"")</f>
        <v/>
      </c>
      <c r="D1723" s="12"/>
    </row>
    <row r="1724" spans="1:4" x14ac:dyDescent="0.25">
      <c r="A1724" t="str">
        <f>IF(COUNTIF(B$1:B1724,B1724)=1,MAX(A$1:A1723)+1,"")</f>
        <v/>
      </c>
      <c r="B1724" s="11"/>
      <c r="C1724" s="11" t="str">
        <f>IF(COUNTIF(D$1:D1724,D1724)=1,MAX(C$1:C1723)+1,"")</f>
        <v/>
      </c>
      <c r="D1724" s="12"/>
    </row>
    <row r="1725" spans="1:4" x14ac:dyDescent="0.25">
      <c r="A1725" t="str">
        <f>IF(COUNTIF(B$1:B1725,B1725)=1,MAX(A$1:A1724)+1,"")</f>
        <v/>
      </c>
      <c r="B1725" s="11"/>
      <c r="C1725" s="11" t="str">
        <f>IF(COUNTIF(D$1:D1725,D1725)=1,MAX(C$1:C1724)+1,"")</f>
        <v/>
      </c>
      <c r="D1725" s="12"/>
    </row>
    <row r="1726" spans="1:4" x14ac:dyDescent="0.25">
      <c r="A1726" t="str">
        <f>IF(COUNTIF(B$1:B1726,B1726)=1,MAX(A$1:A1725)+1,"")</f>
        <v/>
      </c>
      <c r="B1726" s="11"/>
      <c r="C1726" s="11" t="str">
        <f>IF(COUNTIF(D$1:D1726,D1726)=1,MAX(C$1:C1725)+1,"")</f>
        <v/>
      </c>
      <c r="D1726" s="12"/>
    </row>
    <row r="1727" spans="1:4" x14ac:dyDescent="0.25">
      <c r="A1727" t="str">
        <f>IF(COUNTIF(B$1:B1727,B1727)=1,MAX(A$1:A1726)+1,"")</f>
        <v/>
      </c>
      <c r="B1727" s="11"/>
      <c r="C1727" s="11" t="str">
        <f>IF(COUNTIF(D$1:D1727,D1727)=1,MAX(C$1:C1726)+1,"")</f>
        <v/>
      </c>
      <c r="D1727" s="12"/>
    </row>
    <row r="1728" spans="1:4" x14ac:dyDescent="0.25">
      <c r="A1728" t="str">
        <f>IF(COUNTIF(B$1:B1728,B1728)=1,MAX(A$1:A1727)+1,"")</f>
        <v/>
      </c>
      <c r="B1728" s="11"/>
      <c r="C1728" s="11" t="str">
        <f>IF(COUNTIF(D$1:D1728,D1728)=1,MAX(C$1:C1727)+1,"")</f>
        <v/>
      </c>
      <c r="D1728" s="12"/>
    </row>
    <row r="1729" spans="1:4" x14ac:dyDescent="0.25">
      <c r="A1729" t="str">
        <f>IF(COUNTIF(B$1:B1729,B1729)=1,MAX(A$1:A1728)+1,"")</f>
        <v/>
      </c>
      <c r="B1729" s="11"/>
      <c r="C1729" s="11" t="str">
        <f>IF(COUNTIF(D$1:D1729,D1729)=1,MAX(C$1:C1728)+1,"")</f>
        <v/>
      </c>
      <c r="D1729" s="12"/>
    </row>
    <row r="1730" spans="1:4" x14ac:dyDescent="0.25">
      <c r="A1730" t="str">
        <f>IF(COUNTIF(B$1:B1730,B1730)=1,MAX(A$1:A1729)+1,"")</f>
        <v/>
      </c>
      <c r="B1730" s="11"/>
      <c r="C1730" s="11" t="str">
        <f>IF(COUNTIF(D$1:D1730,D1730)=1,MAX(C$1:C1729)+1,"")</f>
        <v/>
      </c>
      <c r="D1730" s="12"/>
    </row>
    <row r="1731" spans="1:4" x14ac:dyDescent="0.25">
      <c r="A1731" t="str">
        <f>IF(COUNTIF(B$1:B1731,B1731)=1,MAX(A$1:A1730)+1,"")</f>
        <v/>
      </c>
      <c r="B1731" s="11"/>
      <c r="C1731" s="11" t="str">
        <f>IF(COUNTIF(D$1:D1731,D1731)=1,MAX(C$1:C1730)+1,"")</f>
        <v/>
      </c>
      <c r="D1731" s="12"/>
    </row>
    <row r="1732" spans="1:4" x14ac:dyDescent="0.25">
      <c r="A1732" t="str">
        <f>IF(COUNTIF(B$1:B1732,B1732)=1,MAX(A$1:A1731)+1,"")</f>
        <v/>
      </c>
      <c r="B1732" s="11"/>
      <c r="C1732" s="11" t="str">
        <f>IF(COUNTIF(D$1:D1732,D1732)=1,MAX(C$1:C1731)+1,"")</f>
        <v/>
      </c>
      <c r="D1732" s="12"/>
    </row>
    <row r="1733" spans="1:4" x14ac:dyDescent="0.25">
      <c r="A1733" t="str">
        <f>IF(COUNTIF(B$1:B1733,B1733)=1,MAX(A$1:A1732)+1,"")</f>
        <v/>
      </c>
      <c r="B1733" s="11"/>
      <c r="C1733" s="11" t="str">
        <f>IF(COUNTIF(D$1:D1733,D1733)=1,MAX(C$1:C1732)+1,"")</f>
        <v/>
      </c>
      <c r="D1733" s="12"/>
    </row>
    <row r="1734" spans="1:4" x14ac:dyDescent="0.25">
      <c r="A1734" t="str">
        <f>IF(COUNTIF(B$1:B1734,B1734)=1,MAX(A$1:A1733)+1,"")</f>
        <v/>
      </c>
      <c r="B1734" s="11"/>
      <c r="C1734" s="11" t="str">
        <f>IF(COUNTIF(D$1:D1734,D1734)=1,MAX(C$1:C1733)+1,"")</f>
        <v/>
      </c>
      <c r="D1734" s="12"/>
    </row>
    <row r="1735" spans="1:4" x14ac:dyDescent="0.25">
      <c r="A1735" t="str">
        <f>IF(COUNTIF(B$1:B1735,B1735)=1,MAX(A$1:A1734)+1,"")</f>
        <v/>
      </c>
      <c r="B1735" s="11"/>
      <c r="C1735" s="11" t="str">
        <f>IF(COUNTIF(D$1:D1735,D1735)=1,MAX(C$1:C1734)+1,"")</f>
        <v/>
      </c>
      <c r="D1735" s="12"/>
    </row>
    <row r="1736" spans="1:4" x14ac:dyDescent="0.25">
      <c r="A1736" t="str">
        <f>IF(COUNTIF(B$1:B1736,B1736)=1,MAX(A$1:A1735)+1,"")</f>
        <v/>
      </c>
      <c r="B1736" s="11"/>
      <c r="C1736" s="11" t="str">
        <f>IF(COUNTIF(D$1:D1736,D1736)=1,MAX(C$1:C1735)+1,"")</f>
        <v/>
      </c>
      <c r="D1736" s="12"/>
    </row>
    <row r="1737" spans="1:4" x14ac:dyDescent="0.25">
      <c r="A1737" t="str">
        <f>IF(COUNTIF(B$1:B1737,B1737)=1,MAX(A$1:A1736)+1,"")</f>
        <v/>
      </c>
      <c r="B1737" s="11"/>
      <c r="C1737" s="11" t="str">
        <f>IF(COUNTIF(D$1:D1737,D1737)=1,MAX(C$1:C1736)+1,"")</f>
        <v/>
      </c>
      <c r="D1737" s="12"/>
    </row>
    <row r="1738" spans="1:4" x14ac:dyDescent="0.25">
      <c r="A1738" t="str">
        <f>IF(COUNTIF(B$1:B1738,B1738)=1,MAX(A$1:A1737)+1,"")</f>
        <v/>
      </c>
      <c r="B1738" s="11"/>
      <c r="C1738" s="11" t="str">
        <f>IF(COUNTIF(D$1:D1738,D1738)=1,MAX(C$1:C1737)+1,"")</f>
        <v/>
      </c>
      <c r="D1738" s="12"/>
    </row>
    <row r="1739" spans="1:4" x14ac:dyDescent="0.25">
      <c r="A1739" t="str">
        <f>IF(COUNTIF(B$1:B1739,B1739)=1,MAX(A$1:A1738)+1,"")</f>
        <v/>
      </c>
      <c r="B1739" s="11"/>
      <c r="C1739" s="11" t="str">
        <f>IF(COUNTIF(D$1:D1739,D1739)=1,MAX(C$1:C1738)+1,"")</f>
        <v/>
      </c>
      <c r="D1739" s="12"/>
    </row>
    <row r="1740" spans="1:4" x14ac:dyDescent="0.25">
      <c r="A1740" t="str">
        <f>IF(COUNTIF(B$1:B1740,B1740)=1,MAX(A$1:A1739)+1,"")</f>
        <v/>
      </c>
      <c r="B1740" s="11"/>
      <c r="C1740" s="11" t="str">
        <f>IF(COUNTIF(D$1:D1740,D1740)=1,MAX(C$1:C1739)+1,"")</f>
        <v/>
      </c>
      <c r="D1740" s="12"/>
    </row>
    <row r="1741" spans="1:4" x14ac:dyDescent="0.25">
      <c r="A1741" t="str">
        <f>IF(COUNTIF(B$1:B1741,B1741)=1,MAX(A$1:A1740)+1,"")</f>
        <v/>
      </c>
      <c r="B1741" s="11"/>
      <c r="C1741" s="11" t="str">
        <f>IF(COUNTIF(D$1:D1741,D1741)=1,MAX(C$1:C1740)+1,"")</f>
        <v/>
      </c>
      <c r="D1741" s="12"/>
    </row>
    <row r="1742" spans="1:4" x14ac:dyDescent="0.25">
      <c r="A1742" t="str">
        <f>IF(COUNTIF(B$1:B1742,B1742)=1,MAX(A$1:A1741)+1,"")</f>
        <v/>
      </c>
      <c r="B1742" s="11"/>
      <c r="C1742" s="11" t="str">
        <f>IF(COUNTIF(D$1:D1742,D1742)=1,MAX(C$1:C1741)+1,"")</f>
        <v/>
      </c>
      <c r="D1742" s="12"/>
    </row>
    <row r="1743" spans="1:4" x14ac:dyDescent="0.25">
      <c r="A1743" t="str">
        <f>IF(COUNTIF(B$1:B1743,B1743)=1,MAX(A$1:A1742)+1,"")</f>
        <v/>
      </c>
      <c r="B1743" s="11"/>
      <c r="C1743" s="11" t="str">
        <f>IF(COUNTIF(D$1:D1743,D1743)=1,MAX(C$1:C1742)+1,"")</f>
        <v/>
      </c>
      <c r="D1743" s="12"/>
    </row>
    <row r="1744" spans="1:4" x14ac:dyDescent="0.25">
      <c r="A1744" t="str">
        <f>IF(COUNTIF(B$1:B1744,B1744)=1,MAX(A$1:A1743)+1,"")</f>
        <v/>
      </c>
      <c r="B1744" s="11"/>
      <c r="C1744" s="11" t="str">
        <f>IF(COUNTIF(D$1:D1744,D1744)=1,MAX(C$1:C1743)+1,"")</f>
        <v/>
      </c>
      <c r="D1744" s="12"/>
    </row>
    <row r="1745" spans="1:4" x14ac:dyDescent="0.25">
      <c r="A1745" t="str">
        <f>IF(COUNTIF(B$1:B1745,B1745)=1,MAX(A$1:A1744)+1,"")</f>
        <v/>
      </c>
      <c r="B1745" s="11"/>
      <c r="C1745" s="11" t="str">
        <f>IF(COUNTIF(D$1:D1745,D1745)=1,MAX(C$1:C1744)+1,"")</f>
        <v/>
      </c>
      <c r="D1745" s="12"/>
    </row>
    <row r="1746" spans="1:4" x14ac:dyDescent="0.25">
      <c r="A1746" t="str">
        <f>IF(COUNTIF(B$1:B1746,B1746)=1,MAX(A$1:A1745)+1,"")</f>
        <v/>
      </c>
      <c r="B1746" s="11"/>
      <c r="C1746" s="11" t="str">
        <f>IF(COUNTIF(D$1:D1746,D1746)=1,MAX(C$1:C1745)+1,"")</f>
        <v/>
      </c>
      <c r="D1746" s="12"/>
    </row>
    <row r="1747" spans="1:4" x14ac:dyDescent="0.25">
      <c r="A1747" t="str">
        <f>IF(COUNTIF(B$1:B1747,B1747)=1,MAX(A$1:A1746)+1,"")</f>
        <v/>
      </c>
      <c r="B1747" s="11"/>
      <c r="C1747" s="11" t="str">
        <f>IF(COUNTIF(D$1:D1747,D1747)=1,MAX(C$1:C1746)+1,"")</f>
        <v/>
      </c>
      <c r="D1747" s="12"/>
    </row>
    <row r="1748" spans="1:4" x14ac:dyDescent="0.25">
      <c r="A1748" t="str">
        <f>IF(COUNTIF(B$1:B1748,B1748)=1,MAX(A$1:A1747)+1,"")</f>
        <v/>
      </c>
      <c r="B1748" s="11"/>
      <c r="C1748" s="11" t="str">
        <f>IF(COUNTIF(D$1:D1748,D1748)=1,MAX(C$1:C1747)+1,"")</f>
        <v/>
      </c>
      <c r="D1748" s="12"/>
    </row>
    <row r="1749" spans="1:4" x14ac:dyDescent="0.25">
      <c r="A1749" t="str">
        <f>IF(COUNTIF(B$1:B1749,B1749)=1,MAX(A$1:A1748)+1,"")</f>
        <v/>
      </c>
      <c r="B1749" s="11"/>
      <c r="C1749" s="11" t="str">
        <f>IF(COUNTIF(D$1:D1749,D1749)=1,MAX(C$1:C1748)+1,"")</f>
        <v/>
      </c>
      <c r="D1749" s="12"/>
    </row>
    <row r="1750" spans="1:4" x14ac:dyDescent="0.25">
      <c r="A1750" t="str">
        <f>IF(COUNTIF(B$1:B1750,B1750)=1,MAX(A$1:A1749)+1,"")</f>
        <v/>
      </c>
      <c r="B1750" s="11"/>
      <c r="C1750" s="11" t="str">
        <f>IF(COUNTIF(D$1:D1750,D1750)=1,MAX(C$1:C1749)+1,"")</f>
        <v/>
      </c>
      <c r="D1750" s="12"/>
    </row>
    <row r="1751" spans="1:4" x14ac:dyDescent="0.25">
      <c r="A1751" t="str">
        <f>IF(COUNTIF(B$1:B1751,B1751)=1,MAX(A$1:A1750)+1,"")</f>
        <v/>
      </c>
      <c r="B1751" s="11"/>
      <c r="C1751" s="11" t="str">
        <f>IF(COUNTIF(D$1:D1751,D1751)=1,MAX(C$1:C1750)+1,"")</f>
        <v/>
      </c>
      <c r="D1751" s="12"/>
    </row>
    <row r="1752" spans="1:4" x14ac:dyDescent="0.25">
      <c r="A1752" t="str">
        <f>IF(COUNTIF(B$1:B1752,B1752)=1,MAX(A$1:A1751)+1,"")</f>
        <v/>
      </c>
      <c r="B1752" s="11"/>
      <c r="C1752" s="11" t="str">
        <f>IF(COUNTIF(D$1:D1752,D1752)=1,MAX(C$1:C1751)+1,"")</f>
        <v/>
      </c>
      <c r="D1752" s="12"/>
    </row>
    <row r="1753" spans="1:4" x14ac:dyDescent="0.25">
      <c r="A1753" t="str">
        <f>IF(COUNTIF(B$1:B1753,B1753)=1,MAX(A$1:A1752)+1,"")</f>
        <v/>
      </c>
      <c r="B1753" s="11"/>
      <c r="C1753" s="11" t="str">
        <f>IF(COUNTIF(D$1:D1753,D1753)=1,MAX(C$1:C1752)+1,"")</f>
        <v/>
      </c>
      <c r="D1753" s="12"/>
    </row>
    <row r="1754" spans="1:4" x14ac:dyDescent="0.25">
      <c r="A1754" t="str">
        <f>IF(COUNTIF(B$1:B1754,B1754)=1,MAX(A$1:A1753)+1,"")</f>
        <v/>
      </c>
      <c r="B1754" s="11"/>
      <c r="C1754" s="11" t="str">
        <f>IF(COUNTIF(D$1:D1754,D1754)=1,MAX(C$1:C1753)+1,"")</f>
        <v/>
      </c>
      <c r="D1754" s="12"/>
    </row>
    <row r="1755" spans="1:4" x14ac:dyDescent="0.25">
      <c r="A1755" t="str">
        <f>IF(COUNTIF(B$1:B1755,B1755)=1,MAX(A$1:A1754)+1,"")</f>
        <v/>
      </c>
      <c r="B1755" s="11"/>
      <c r="C1755" s="11" t="str">
        <f>IF(COUNTIF(D$1:D1755,D1755)=1,MAX(C$1:C1754)+1,"")</f>
        <v/>
      </c>
      <c r="D1755" s="12"/>
    </row>
    <row r="1756" spans="1:4" x14ac:dyDescent="0.25">
      <c r="A1756" t="str">
        <f>IF(COUNTIF(B$1:B1756,B1756)=1,MAX(A$1:A1755)+1,"")</f>
        <v/>
      </c>
      <c r="B1756" s="11"/>
      <c r="C1756" s="11" t="str">
        <f>IF(COUNTIF(D$1:D1756,D1756)=1,MAX(C$1:C1755)+1,"")</f>
        <v/>
      </c>
      <c r="D1756" s="12"/>
    </row>
    <row r="1757" spans="1:4" x14ac:dyDescent="0.25">
      <c r="A1757" t="str">
        <f>IF(COUNTIF(B$1:B1757,B1757)=1,MAX(A$1:A1756)+1,"")</f>
        <v/>
      </c>
      <c r="B1757" s="11"/>
      <c r="C1757" s="11" t="str">
        <f>IF(COUNTIF(D$1:D1757,D1757)=1,MAX(C$1:C1756)+1,"")</f>
        <v/>
      </c>
      <c r="D1757" s="12"/>
    </row>
    <row r="1758" spans="1:4" x14ac:dyDescent="0.25">
      <c r="A1758" t="str">
        <f>IF(COUNTIF(B$1:B1758,B1758)=1,MAX(A$1:A1757)+1,"")</f>
        <v/>
      </c>
      <c r="B1758" s="11"/>
      <c r="C1758" s="11" t="str">
        <f>IF(COUNTIF(D$1:D1758,D1758)=1,MAX(C$1:C1757)+1,"")</f>
        <v/>
      </c>
      <c r="D1758" s="12"/>
    </row>
    <row r="1759" spans="1:4" x14ac:dyDescent="0.25">
      <c r="A1759" t="str">
        <f>IF(COUNTIF(B$1:B1759,B1759)=1,MAX(A$1:A1758)+1,"")</f>
        <v/>
      </c>
      <c r="B1759" s="11"/>
      <c r="C1759" s="11" t="str">
        <f>IF(COUNTIF(D$1:D1759,D1759)=1,MAX(C$1:C1758)+1,"")</f>
        <v/>
      </c>
      <c r="D1759" s="12"/>
    </row>
    <row r="1760" spans="1:4" x14ac:dyDescent="0.25">
      <c r="A1760" t="str">
        <f>IF(COUNTIF(B$1:B1760,B1760)=1,MAX(A$1:A1759)+1,"")</f>
        <v/>
      </c>
      <c r="B1760" s="11"/>
      <c r="C1760" s="11" t="str">
        <f>IF(COUNTIF(D$1:D1760,D1760)=1,MAX(C$1:C1759)+1,"")</f>
        <v/>
      </c>
      <c r="D1760" s="12"/>
    </row>
    <row r="1761" spans="1:4" x14ac:dyDescent="0.25">
      <c r="A1761" t="str">
        <f>IF(COUNTIF(B$1:B1761,B1761)=1,MAX(A$1:A1760)+1,"")</f>
        <v/>
      </c>
      <c r="B1761" s="11"/>
      <c r="C1761" s="11" t="str">
        <f>IF(COUNTIF(D$1:D1761,D1761)=1,MAX(C$1:C1760)+1,"")</f>
        <v/>
      </c>
      <c r="D1761" s="12"/>
    </row>
    <row r="1762" spans="1:4" x14ac:dyDescent="0.25">
      <c r="A1762" t="str">
        <f>IF(COUNTIF(B$1:B1762,B1762)=1,MAX(A$1:A1761)+1,"")</f>
        <v/>
      </c>
      <c r="B1762" s="11"/>
      <c r="C1762" s="11" t="str">
        <f>IF(COUNTIF(D$1:D1762,D1762)=1,MAX(C$1:C1761)+1,"")</f>
        <v/>
      </c>
      <c r="D1762" s="12"/>
    </row>
    <row r="1763" spans="1:4" x14ac:dyDescent="0.25">
      <c r="A1763" t="str">
        <f>IF(COUNTIF(B$1:B1763,B1763)=1,MAX(A$1:A1762)+1,"")</f>
        <v/>
      </c>
      <c r="B1763" s="11"/>
      <c r="C1763" s="11" t="str">
        <f>IF(COUNTIF(D$1:D1763,D1763)=1,MAX(C$1:C1762)+1,"")</f>
        <v/>
      </c>
      <c r="D1763" s="12"/>
    </row>
    <row r="1764" spans="1:4" x14ac:dyDescent="0.25">
      <c r="A1764" t="str">
        <f>IF(COUNTIF(B$1:B1764,B1764)=1,MAX(A$1:A1763)+1,"")</f>
        <v/>
      </c>
      <c r="B1764" s="11"/>
      <c r="C1764" s="11" t="str">
        <f>IF(COUNTIF(D$1:D1764,D1764)=1,MAX(C$1:C1763)+1,"")</f>
        <v/>
      </c>
      <c r="D1764" s="12"/>
    </row>
    <row r="1765" spans="1:4" x14ac:dyDescent="0.25">
      <c r="A1765" t="str">
        <f>IF(COUNTIF(B$1:B1765,B1765)=1,MAX(A$1:A1764)+1,"")</f>
        <v/>
      </c>
      <c r="B1765" s="11"/>
      <c r="C1765" s="11" t="str">
        <f>IF(COUNTIF(D$1:D1765,D1765)=1,MAX(C$1:C1764)+1,"")</f>
        <v/>
      </c>
      <c r="D1765" s="12"/>
    </row>
    <row r="1766" spans="1:4" x14ac:dyDescent="0.25">
      <c r="A1766" t="str">
        <f>IF(COUNTIF(B$1:B1766,B1766)=1,MAX(A$1:A1765)+1,"")</f>
        <v/>
      </c>
      <c r="B1766" s="11"/>
      <c r="C1766" s="11" t="str">
        <f>IF(COUNTIF(D$1:D1766,D1766)=1,MAX(C$1:C1765)+1,"")</f>
        <v/>
      </c>
      <c r="D1766" s="12"/>
    </row>
    <row r="1767" spans="1:4" x14ac:dyDescent="0.25">
      <c r="A1767" t="str">
        <f>IF(COUNTIF(B$1:B1767,B1767)=1,MAX(A$1:A1766)+1,"")</f>
        <v/>
      </c>
      <c r="B1767" s="11"/>
      <c r="C1767" s="11" t="str">
        <f>IF(COUNTIF(D$1:D1767,D1767)=1,MAX(C$1:C1766)+1,"")</f>
        <v/>
      </c>
      <c r="D1767" s="12"/>
    </row>
    <row r="1768" spans="1:4" x14ac:dyDescent="0.25">
      <c r="A1768" t="str">
        <f>IF(COUNTIF(B$1:B1768,B1768)=1,MAX(A$1:A1767)+1,"")</f>
        <v/>
      </c>
      <c r="B1768" s="11"/>
      <c r="C1768" s="11" t="str">
        <f>IF(COUNTIF(D$1:D1768,D1768)=1,MAX(C$1:C1767)+1,"")</f>
        <v/>
      </c>
      <c r="D1768" s="12"/>
    </row>
    <row r="1769" spans="1:4" x14ac:dyDescent="0.25">
      <c r="A1769" t="str">
        <f>IF(COUNTIF(B$1:B1769,B1769)=1,MAX(A$1:A1768)+1,"")</f>
        <v/>
      </c>
      <c r="B1769" s="11"/>
      <c r="C1769" s="11" t="str">
        <f>IF(COUNTIF(D$1:D1769,D1769)=1,MAX(C$1:C1768)+1,"")</f>
        <v/>
      </c>
      <c r="D1769" s="12"/>
    </row>
    <row r="1770" spans="1:4" x14ac:dyDescent="0.25">
      <c r="A1770" t="str">
        <f>IF(COUNTIF(B$1:B1770,B1770)=1,MAX(A$1:A1769)+1,"")</f>
        <v/>
      </c>
      <c r="B1770" s="11"/>
      <c r="C1770" s="11" t="str">
        <f>IF(COUNTIF(D$1:D1770,D1770)=1,MAX(C$1:C1769)+1,"")</f>
        <v/>
      </c>
      <c r="D1770" s="12"/>
    </row>
    <row r="1771" spans="1:4" x14ac:dyDescent="0.25">
      <c r="A1771" t="str">
        <f>IF(COUNTIF(B$1:B1771,B1771)=1,MAX(A$1:A1770)+1,"")</f>
        <v/>
      </c>
      <c r="B1771" s="11"/>
      <c r="C1771" s="11" t="str">
        <f>IF(COUNTIF(D$1:D1771,D1771)=1,MAX(C$1:C1770)+1,"")</f>
        <v/>
      </c>
      <c r="D1771" s="12"/>
    </row>
    <row r="1772" spans="1:4" x14ac:dyDescent="0.25">
      <c r="A1772" t="str">
        <f>IF(COUNTIF(B$1:B1772,B1772)=1,MAX(A$1:A1771)+1,"")</f>
        <v/>
      </c>
      <c r="B1772" s="11"/>
      <c r="C1772" s="11" t="str">
        <f>IF(COUNTIF(D$1:D1772,D1772)=1,MAX(C$1:C1771)+1,"")</f>
        <v/>
      </c>
      <c r="D1772" s="12"/>
    </row>
    <row r="1773" spans="1:4" x14ac:dyDescent="0.25">
      <c r="A1773" t="str">
        <f>IF(COUNTIF(B$1:B1773,B1773)=1,MAX(A$1:A1772)+1,"")</f>
        <v/>
      </c>
      <c r="B1773" s="11"/>
      <c r="C1773" s="11" t="str">
        <f>IF(COUNTIF(D$1:D1773,D1773)=1,MAX(C$1:C1772)+1,"")</f>
        <v/>
      </c>
      <c r="D1773" s="12"/>
    </row>
    <row r="1774" spans="1:4" x14ac:dyDescent="0.25">
      <c r="A1774" t="str">
        <f>IF(COUNTIF(B$1:B1774,B1774)=1,MAX(A$1:A1773)+1,"")</f>
        <v/>
      </c>
      <c r="B1774" s="11"/>
      <c r="C1774" s="11" t="str">
        <f>IF(COUNTIF(D$1:D1774,D1774)=1,MAX(C$1:C1773)+1,"")</f>
        <v/>
      </c>
      <c r="D1774" s="12"/>
    </row>
    <row r="1775" spans="1:4" x14ac:dyDescent="0.25">
      <c r="A1775" t="str">
        <f>IF(COUNTIF(B$1:B1775,B1775)=1,MAX(A$1:A1774)+1,"")</f>
        <v/>
      </c>
      <c r="B1775" s="11"/>
      <c r="C1775" s="11" t="str">
        <f>IF(COUNTIF(D$1:D1775,D1775)=1,MAX(C$1:C1774)+1,"")</f>
        <v/>
      </c>
      <c r="D1775" s="12"/>
    </row>
    <row r="1776" spans="1:4" x14ac:dyDescent="0.25">
      <c r="A1776" t="str">
        <f>IF(COUNTIF(B$1:B1776,B1776)=1,MAX(A$1:A1775)+1,"")</f>
        <v/>
      </c>
      <c r="B1776" s="11"/>
      <c r="C1776" s="11" t="str">
        <f>IF(COUNTIF(D$1:D1776,D1776)=1,MAX(C$1:C1775)+1,"")</f>
        <v/>
      </c>
      <c r="D1776" s="12"/>
    </row>
    <row r="1777" spans="1:4" x14ac:dyDescent="0.25">
      <c r="A1777" t="str">
        <f>IF(COUNTIF(B$1:B1777,B1777)=1,MAX(A$1:A1776)+1,"")</f>
        <v/>
      </c>
      <c r="B1777" s="11"/>
      <c r="C1777" s="11" t="str">
        <f>IF(COUNTIF(D$1:D1777,D1777)=1,MAX(C$1:C1776)+1,"")</f>
        <v/>
      </c>
      <c r="D1777" s="12"/>
    </row>
    <row r="1778" spans="1:4" x14ac:dyDescent="0.25">
      <c r="A1778" t="str">
        <f>IF(COUNTIF(B$1:B1778,B1778)=1,MAX(A$1:A1777)+1,"")</f>
        <v/>
      </c>
      <c r="B1778" s="11"/>
      <c r="C1778" s="11" t="str">
        <f>IF(COUNTIF(D$1:D1778,D1778)=1,MAX(C$1:C1777)+1,"")</f>
        <v/>
      </c>
      <c r="D1778" s="12"/>
    </row>
    <row r="1779" spans="1:4" x14ac:dyDescent="0.25">
      <c r="A1779" t="str">
        <f>IF(COUNTIF(B$1:B1779,B1779)=1,MAX(A$1:A1778)+1,"")</f>
        <v/>
      </c>
      <c r="B1779" s="11"/>
      <c r="C1779" s="11" t="str">
        <f>IF(COUNTIF(D$1:D1779,D1779)=1,MAX(C$1:C1778)+1,"")</f>
        <v/>
      </c>
      <c r="D1779" s="12"/>
    </row>
    <row r="1780" spans="1:4" x14ac:dyDescent="0.25">
      <c r="A1780" t="str">
        <f>IF(COUNTIF(B$1:B1780,B1780)=1,MAX(A$1:A1779)+1,"")</f>
        <v/>
      </c>
      <c r="B1780" s="11"/>
      <c r="C1780" s="11" t="str">
        <f>IF(COUNTIF(D$1:D1780,D1780)=1,MAX(C$1:C1779)+1,"")</f>
        <v/>
      </c>
      <c r="D1780" s="12"/>
    </row>
    <row r="1781" spans="1:4" x14ac:dyDescent="0.25">
      <c r="A1781" t="str">
        <f>IF(COUNTIF(B$1:B1781,B1781)=1,MAX(A$1:A1780)+1,"")</f>
        <v/>
      </c>
      <c r="B1781" s="11"/>
      <c r="C1781" s="11" t="str">
        <f>IF(COUNTIF(D$1:D1781,D1781)=1,MAX(C$1:C1780)+1,"")</f>
        <v/>
      </c>
      <c r="D1781" s="12"/>
    </row>
    <row r="1782" spans="1:4" x14ac:dyDescent="0.25">
      <c r="A1782" t="str">
        <f>IF(COUNTIF(B$1:B1782,B1782)=1,MAX(A$1:A1781)+1,"")</f>
        <v/>
      </c>
      <c r="B1782" s="11"/>
      <c r="C1782" s="11" t="str">
        <f>IF(COUNTIF(D$1:D1782,D1782)=1,MAX(C$1:C1781)+1,"")</f>
        <v/>
      </c>
      <c r="D1782" s="12"/>
    </row>
    <row r="1783" spans="1:4" x14ac:dyDescent="0.25">
      <c r="A1783" t="str">
        <f>IF(COUNTIF(B$1:B1783,B1783)=1,MAX(A$1:A1782)+1,"")</f>
        <v/>
      </c>
      <c r="B1783" s="11"/>
      <c r="C1783" s="11" t="str">
        <f>IF(COUNTIF(D$1:D1783,D1783)=1,MAX(C$1:C1782)+1,"")</f>
        <v/>
      </c>
      <c r="D1783" s="12"/>
    </row>
    <row r="1784" spans="1:4" x14ac:dyDescent="0.25">
      <c r="A1784" t="str">
        <f>IF(COUNTIF(B$1:B1784,B1784)=1,MAX(A$1:A1783)+1,"")</f>
        <v/>
      </c>
      <c r="B1784" s="11"/>
      <c r="C1784" s="11" t="str">
        <f>IF(COUNTIF(D$1:D1784,D1784)=1,MAX(C$1:C1783)+1,"")</f>
        <v/>
      </c>
      <c r="D1784" s="12"/>
    </row>
    <row r="1785" spans="1:4" x14ac:dyDescent="0.25">
      <c r="A1785" t="str">
        <f>IF(COUNTIF(B$1:B1785,B1785)=1,MAX(A$1:A1784)+1,"")</f>
        <v/>
      </c>
      <c r="B1785" s="11"/>
      <c r="C1785" s="11" t="str">
        <f>IF(COUNTIF(D$1:D1785,D1785)=1,MAX(C$1:C1784)+1,"")</f>
        <v/>
      </c>
      <c r="D1785" s="12"/>
    </row>
    <row r="1786" spans="1:4" x14ac:dyDescent="0.25">
      <c r="A1786" t="str">
        <f>IF(COUNTIF(B$1:B1786,B1786)=1,MAX(A$1:A1785)+1,"")</f>
        <v/>
      </c>
      <c r="B1786" s="11"/>
      <c r="C1786" s="11" t="str">
        <f>IF(COUNTIF(D$1:D1786,D1786)=1,MAX(C$1:C1785)+1,"")</f>
        <v/>
      </c>
      <c r="D1786" s="12"/>
    </row>
    <row r="1787" spans="1:4" x14ac:dyDescent="0.25">
      <c r="A1787" t="str">
        <f>IF(COUNTIF(B$1:B1787,B1787)=1,MAX(A$1:A1786)+1,"")</f>
        <v/>
      </c>
      <c r="B1787" s="11"/>
      <c r="C1787" s="11" t="str">
        <f>IF(COUNTIF(D$1:D1787,D1787)=1,MAX(C$1:C1786)+1,"")</f>
        <v/>
      </c>
      <c r="D1787" s="12"/>
    </row>
    <row r="1788" spans="1:4" x14ac:dyDescent="0.25">
      <c r="A1788" t="str">
        <f>IF(COUNTIF(B$1:B1788,B1788)=1,MAX(A$1:A1787)+1,"")</f>
        <v/>
      </c>
      <c r="B1788" s="11"/>
      <c r="C1788" s="11" t="str">
        <f>IF(COUNTIF(D$1:D1788,D1788)=1,MAX(C$1:C1787)+1,"")</f>
        <v/>
      </c>
      <c r="D1788" s="12"/>
    </row>
    <row r="1789" spans="1:4" x14ac:dyDescent="0.25">
      <c r="A1789" t="str">
        <f>IF(COUNTIF(B$1:B1789,B1789)=1,MAX(A$1:A1788)+1,"")</f>
        <v/>
      </c>
      <c r="B1789" s="11"/>
      <c r="C1789" s="11" t="str">
        <f>IF(COUNTIF(D$1:D1789,D1789)=1,MAX(C$1:C1788)+1,"")</f>
        <v/>
      </c>
      <c r="D1789" s="12"/>
    </row>
    <row r="1790" spans="1:4" x14ac:dyDescent="0.25">
      <c r="A1790" t="str">
        <f>IF(COUNTIF(B$1:B1790,B1790)=1,MAX(A$1:A1789)+1,"")</f>
        <v/>
      </c>
      <c r="B1790" s="11"/>
      <c r="C1790" s="11" t="str">
        <f>IF(COUNTIF(D$1:D1790,D1790)=1,MAX(C$1:C1789)+1,"")</f>
        <v/>
      </c>
      <c r="D1790" s="12"/>
    </row>
    <row r="1791" spans="1:4" x14ac:dyDescent="0.25">
      <c r="A1791" t="str">
        <f>IF(COUNTIF(B$1:B1791,B1791)=1,MAX(A$1:A1790)+1,"")</f>
        <v/>
      </c>
      <c r="B1791" s="11"/>
      <c r="C1791" s="11" t="str">
        <f>IF(COUNTIF(D$1:D1791,D1791)=1,MAX(C$1:C1790)+1,"")</f>
        <v/>
      </c>
      <c r="D1791" s="12"/>
    </row>
    <row r="1792" spans="1:4" x14ac:dyDescent="0.25">
      <c r="A1792" t="str">
        <f>IF(COUNTIF(B$1:B1792,B1792)=1,MAX(A$1:A1791)+1,"")</f>
        <v/>
      </c>
      <c r="B1792" s="11"/>
      <c r="C1792" s="11" t="str">
        <f>IF(COUNTIF(D$1:D1792,D1792)=1,MAX(C$1:C1791)+1,"")</f>
        <v/>
      </c>
      <c r="D1792" s="12"/>
    </row>
    <row r="1793" spans="1:4" x14ac:dyDescent="0.25">
      <c r="A1793" t="str">
        <f>IF(COUNTIF(B$1:B1793,B1793)=1,MAX(A$1:A1792)+1,"")</f>
        <v/>
      </c>
      <c r="B1793" s="11"/>
      <c r="C1793" s="11" t="str">
        <f>IF(COUNTIF(D$1:D1793,D1793)=1,MAX(C$1:C1792)+1,"")</f>
        <v/>
      </c>
      <c r="D1793" s="12"/>
    </row>
    <row r="1794" spans="1:4" x14ac:dyDescent="0.25">
      <c r="A1794" t="str">
        <f>IF(COUNTIF(B$1:B1794,B1794)=1,MAX(A$1:A1793)+1,"")</f>
        <v/>
      </c>
      <c r="B1794" s="11"/>
      <c r="C1794" s="11" t="str">
        <f>IF(COUNTIF(D$1:D1794,D1794)=1,MAX(C$1:C1793)+1,"")</f>
        <v/>
      </c>
      <c r="D1794" s="12"/>
    </row>
    <row r="1795" spans="1:4" x14ac:dyDescent="0.25">
      <c r="A1795" t="str">
        <f>IF(COUNTIF(B$1:B1795,B1795)=1,MAX(A$1:A1794)+1,"")</f>
        <v/>
      </c>
      <c r="B1795" s="11"/>
      <c r="C1795" s="11" t="str">
        <f>IF(COUNTIF(D$1:D1795,D1795)=1,MAX(C$1:C1794)+1,"")</f>
        <v/>
      </c>
      <c r="D1795" s="12"/>
    </row>
    <row r="1796" spans="1:4" x14ac:dyDescent="0.25">
      <c r="A1796" t="str">
        <f>IF(COUNTIF(B$1:B1796,B1796)=1,MAX(A$1:A1795)+1,"")</f>
        <v/>
      </c>
      <c r="B1796" s="11"/>
      <c r="C1796" s="11" t="str">
        <f>IF(COUNTIF(D$1:D1796,D1796)=1,MAX(C$1:C1795)+1,"")</f>
        <v/>
      </c>
      <c r="D1796" s="12"/>
    </row>
    <row r="1797" spans="1:4" x14ac:dyDescent="0.25">
      <c r="A1797" t="str">
        <f>IF(COUNTIF(B$1:B1797,B1797)=1,MAX(A$1:A1796)+1,"")</f>
        <v/>
      </c>
      <c r="B1797" s="11"/>
      <c r="C1797" s="11" t="str">
        <f>IF(COUNTIF(D$1:D1797,D1797)=1,MAX(C$1:C1796)+1,"")</f>
        <v/>
      </c>
      <c r="D1797" s="12"/>
    </row>
    <row r="1798" spans="1:4" x14ac:dyDescent="0.25">
      <c r="A1798" t="str">
        <f>IF(COUNTIF(B$1:B1798,B1798)=1,MAX(A$1:A1797)+1,"")</f>
        <v/>
      </c>
      <c r="B1798" s="11"/>
      <c r="C1798" s="11" t="str">
        <f>IF(COUNTIF(D$1:D1798,D1798)=1,MAX(C$1:C1797)+1,"")</f>
        <v/>
      </c>
      <c r="D1798" s="12"/>
    </row>
    <row r="1799" spans="1:4" x14ac:dyDescent="0.25">
      <c r="A1799" t="str">
        <f>IF(COUNTIF(B$1:B1799,B1799)=1,MAX(A$1:A1798)+1,"")</f>
        <v/>
      </c>
      <c r="B1799" s="11"/>
      <c r="C1799" s="11" t="str">
        <f>IF(COUNTIF(D$1:D1799,D1799)=1,MAX(C$1:C1798)+1,"")</f>
        <v/>
      </c>
      <c r="D1799" s="12"/>
    </row>
    <row r="1800" spans="1:4" x14ac:dyDescent="0.25">
      <c r="A1800" t="str">
        <f>IF(COUNTIF(B$1:B1800,B1800)=1,MAX(A$1:A1799)+1,"")</f>
        <v/>
      </c>
      <c r="B1800" s="11"/>
      <c r="C1800" s="11" t="str">
        <f>IF(COUNTIF(D$1:D1800,D1800)=1,MAX(C$1:C1799)+1,"")</f>
        <v/>
      </c>
      <c r="D1800" s="12"/>
    </row>
    <row r="1801" spans="1:4" x14ac:dyDescent="0.25">
      <c r="A1801" t="str">
        <f>IF(COUNTIF(B$1:B1801,B1801)=1,MAX(A$1:A1800)+1,"")</f>
        <v/>
      </c>
      <c r="B1801" s="11"/>
      <c r="C1801" s="11" t="str">
        <f>IF(COUNTIF(D$1:D1801,D1801)=1,MAX(C$1:C1800)+1,"")</f>
        <v/>
      </c>
      <c r="D1801" s="12"/>
    </row>
    <row r="1802" spans="1:4" x14ac:dyDescent="0.25">
      <c r="A1802" t="str">
        <f>IF(COUNTIF(B$1:B1802,B1802)=1,MAX(A$1:A1801)+1,"")</f>
        <v/>
      </c>
      <c r="B1802" s="11"/>
      <c r="C1802" s="11" t="str">
        <f>IF(COUNTIF(D$1:D1802,D1802)=1,MAX(C$1:C1801)+1,"")</f>
        <v/>
      </c>
      <c r="D1802" s="12"/>
    </row>
    <row r="1803" spans="1:4" x14ac:dyDescent="0.25">
      <c r="A1803" t="str">
        <f>IF(COUNTIF(B$1:B1803,B1803)=1,MAX(A$1:A1802)+1,"")</f>
        <v/>
      </c>
      <c r="B1803" s="11"/>
      <c r="C1803" s="11" t="str">
        <f>IF(COUNTIF(D$1:D1803,D1803)=1,MAX(C$1:C1802)+1,"")</f>
        <v/>
      </c>
      <c r="D1803" s="12"/>
    </row>
    <row r="1804" spans="1:4" x14ac:dyDescent="0.25">
      <c r="A1804" t="str">
        <f>IF(COUNTIF(B$1:B1804,B1804)=1,MAX(A$1:A1803)+1,"")</f>
        <v/>
      </c>
      <c r="B1804" s="11"/>
      <c r="C1804" s="11" t="str">
        <f>IF(COUNTIF(D$1:D1804,D1804)=1,MAX(C$1:C1803)+1,"")</f>
        <v/>
      </c>
      <c r="D1804" s="12"/>
    </row>
    <row r="1805" spans="1:4" x14ac:dyDescent="0.25">
      <c r="A1805" t="str">
        <f>IF(COUNTIF(B$1:B1805,B1805)=1,MAX(A$1:A1804)+1,"")</f>
        <v/>
      </c>
      <c r="B1805" s="11"/>
      <c r="C1805" s="11" t="str">
        <f>IF(COUNTIF(D$1:D1805,D1805)=1,MAX(C$1:C1804)+1,"")</f>
        <v/>
      </c>
      <c r="D1805" s="12"/>
    </row>
    <row r="1806" spans="1:4" x14ac:dyDescent="0.25">
      <c r="A1806" t="str">
        <f>IF(COUNTIF(B$1:B1806,B1806)=1,MAX(A$1:A1805)+1,"")</f>
        <v/>
      </c>
      <c r="B1806" s="11"/>
      <c r="C1806" s="11" t="str">
        <f>IF(COUNTIF(D$1:D1806,D1806)=1,MAX(C$1:C1805)+1,"")</f>
        <v/>
      </c>
      <c r="D1806" s="12"/>
    </row>
    <row r="1807" spans="1:4" x14ac:dyDescent="0.25">
      <c r="A1807" t="str">
        <f>IF(COUNTIF(B$1:B1807,B1807)=1,MAX(A$1:A1806)+1,"")</f>
        <v/>
      </c>
      <c r="B1807" s="11"/>
      <c r="C1807" s="11" t="str">
        <f>IF(COUNTIF(D$1:D1807,D1807)=1,MAX(C$1:C1806)+1,"")</f>
        <v/>
      </c>
      <c r="D1807" s="12"/>
    </row>
    <row r="1808" spans="1:4" x14ac:dyDescent="0.25">
      <c r="A1808" t="str">
        <f>IF(COUNTIF(B$1:B1808,B1808)=1,MAX(A$1:A1807)+1,"")</f>
        <v/>
      </c>
      <c r="B1808" s="11"/>
      <c r="C1808" s="11" t="str">
        <f>IF(COUNTIF(D$1:D1808,D1808)=1,MAX(C$1:C1807)+1,"")</f>
        <v/>
      </c>
      <c r="D1808" s="12"/>
    </row>
    <row r="1809" spans="1:4" x14ac:dyDescent="0.25">
      <c r="A1809" t="str">
        <f>IF(COUNTIF(B$1:B1809,B1809)=1,MAX(A$1:A1808)+1,"")</f>
        <v/>
      </c>
      <c r="B1809" s="11"/>
      <c r="C1809" s="11" t="str">
        <f>IF(COUNTIF(D$1:D1809,D1809)=1,MAX(C$1:C1808)+1,"")</f>
        <v/>
      </c>
      <c r="D1809" s="12"/>
    </row>
    <row r="1810" spans="1:4" x14ac:dyDescent="0.25">
      <c r="A1810" t="str">
        <f>IF(COUNTIF(B$1:B1810,B1810)=1,MAX(A$1:A1809)+1,"")</f>
        <v/>
      </c>
      <c r="B1810" s="11"/>
      <c r="C1810" s="11" t="str">
        <f>IF(COUNTIF(D$1:D1810,D1810)=1,MAX(C$1:C1809)+1,"")</f>
        <v/>
      </c>
      <c r="D1810" s="12"/>
    </row>
    <row r="1811" spans="1:4" x14ac:dyDescent="0.25">
      <c r="A1811" t="str">
        <f>IF(COUNTIF(B$1:B1811,B1811)=1,MAX(A$1:A1810)+1,"")</f>
        <v/>
      </c>
      <c r="B1811" s="11"/>
      <c r="C1811" s="11" t="str">
        <f>IF(COUNTIF(D$1:D1811,D1811)=1,MAX(C$1:C1810)+1,"")</f>
        <v/>
      </c>
      <c r="D1811" s="12"/>
    </row>
    <row r="1812" spans="1:4" x14ac:dyDescent="0.25">
      <c r="A1812" t="str">
        <f>IF(COUNTIF(B$1:B1812,B1812)=1,MAX(A$1:A1811)+1,"")</f>
        <v/>
      </c>
      <c r="B1812" s="11"/>
      <c r="C1812" s="11" t="str">
        <f>IF(COUNTIF(D$1:D1812,D1812)=1,MAX(C$1:C1811)+1,"")</f>
        <v/>
      </c>
      <c r="D1812" s="12"/>
    </row>
    <row r="1813" spans="1:4" x14ac:dyDescent="0.25">
      <c r="A1813" t="str">
        <f>IF(COUNTIF(B$1:B1813,B1813)=1,MAX(A$1:A1812)+1,"")</f>
        <v/>
      </c>
      <c r="B1813" s="11"/>
      <c r="C1813" s="11" t="str">
        <f>IF(COUNTIF(D$1:D1813,D1813)=1,MAX(C$1:C1812)+1,"")</f>
        <v/>
      </c>
      <c r="D1813" s="12"/>
    </row>
    <row r="1814" spans="1:4" x14ac:dyDescent="0.25">
      <c r="A1814" t="str">
        <f>IF(COUNTIF(B$1:B1814,B1814)=1,MAX(A$1:A1813)+1,"")</f>
        <v/>
      </c>
      <c r="B1814" s="11"/>
      <c r="C1814" s="11" t="str">
        <f>IF(COUNTIF(D$1:D1814,D1814)=1,MAX(C$1:C1813)+1,"")</f>
        <v/>
      </c>
      <c r="D1814" s="12"/>
    </row>
    <row r="1815" spans="1:4" x14ac:dyDescent="0.25">
      <c r="A1815" t="str">
        <f>IF(COUNTIF(B$1:B1815,B1815)=1,MAX(A$1:A1814)+1,"")</f>
        <v/>
      </c>
      <c r="B1815" s="11"/>
      <c r="C1815" s="11" t="str">
        <f>IF(COUNTIF(D$1:D1815,D1815)=1,MAX(C$1:C1814)+1,"")</f>
        <v/>
      </c>
      <c r="D1815" s="12"/>
    </row>
    <row r="1816" spans="1:4" x14ac:dyDescent="0.25">
      <c r="A1816" t="str">
        <f>IF(COUNTIF(B$1:B1816,B1816)=1,MAX(A$1:A1815)+1,"")</f>
        <v/>
      </c>
      <c r="B1816" s="11"/>
      <c r="C1816" s="11" t="str">
        <f>IF(COUNTIF(D$1:D1816,D1816)=1,MAX(C$1:C1815)+1,"")</f>
        <v/>
      </c>
      <c r="D1816" s="12"/>
    </row>
    <row r="1817" spans="1:4" x14ac:dyDescent="0.25">
      <c r="A1817" t="str">
        <f>IF(COUNTIF(B$1:B1817,B1817)=1,MAX(A$1:A1816)+1,"")</f>
        <v/>
      </c>
      <c r="B1817" s="11"/>
      <c r="C1817" s="11" t="str">
        <f>IF(COUNTIF(D$1:D1817,D1817)=1,MAX(C$1:C1816)+1,"")</f>
        <v/>
      </c>
      <c r="D1817" s="12"/>
    </row>
    <row r="1818" spans="1:4" x14ac:dyDescent="0.25">
      <c r="A1818" t="str">
        <f>IF(COUNTIF(B$1:B1818,B1818)=1,MAX(A$1:A1817)+1,"")</f>
        <v/>
      </c>
      <c r="B1818" s="11"/>
      <c r="C1818" s="11" t="str">
        <f>IF(COUNTIF(D$1:D1818,D1818)=1,MAX(C$1:C1817)+1,"")</f>
        <v/>
      </c>
      <c r="D1818" s="12"/>
    </row>
    <row r="1819" spans="1:4" x14ac:dyDescent="0.25">
      <c r="A1819" t="str">
        <f>IF(COUNTIF(B$1:B1819,B1819)=1,MAX(A$1:A1818)+1,"")</f>
        <v/>
      </c>
      <c r="B1819" s="11"/>
      <c r="C1819" s="11" t="str">
        <f>IF(COUNTIF(D$1:D1819,D1819)=1,MAX(C$1:C1818)+1,"")</f>
        <v/>
      </c>
      <c r="D1819" s="12"/>
    </row>
    <row r="1820" spans="1:4" x14ac:dyDescent="0.25">
      <c r="A1820" t="str">
        <f>IF(COUNTIF(B$1:B1820,B1820)=1,MAX(A$1:A1819)+1,"")</f>
        <v/>
      </c>
      <c r="B1820" s="11"/>
      <c r="C1820" s="11" t="str">
        <f>IF(COUNTIF(D$1:D1820,D1820)=1,MAX(C$1:C1819)+1,"")</f>
        <v/>
      </c>
      <c r="D1820" s="12"/>
    </row>
    <row r="1821" spans="1:4" x14ac:dyDescent="0.25">
      <c r="A1821" t="str">
        <f>IF(COUNTIF(B$1:B1821,B1821)=1,MAX(A$1:A1820)+1,"")</f>
        <v/>
      </c>
      <c r="B1821" s="11"/>
      <c r="C1821" s="11" t="str">
        <f>IF(COUNTIF(D$1:D1821,D1821)=1,MAX(C$1:C1820)+1,"")</f>
        <v/>
      </c>
      <c r="D1821" s="12"/>
    </row>
    <row r="1822" spans="1:4" x14ac:dyDescent="0.25">
      <c r="A1822" t="str">
        <f>IF(COUNTIF(B$1:B1822,B1822)=1,MAX(A$1:A1821)+1,"")</f>
        <v/>
      </c>
      <c r="B1822" s="11"/>
      <c r="C1822" s="11" t="str">
        <f>IF(COUNTIF(D$1:D1822,D1822)=1,MAX(C$1:C1821)+1,"")</f>
        <v/>
      </c>
      <c r="D1822" s="12"/>
    </row>
    <row r="1823" spans="1:4" x14ac:dyDescent="0.25">
      <c r="A1823" t="str">
        <f>IF(COUNTIF(B$1:B1823,B1823)=1,MAX(A$1:A1822)+1,"")</f>
        <v/>
      </c>
      <c r="B1823" s="11"/>
      <c r="C1823" s="11" t="str">
        <f>IF(COUNTIF(D$1:D1823,D1823)=1,MAX(C$1:C1822)+1,"")</f>
        <v/>
      </c>
      <c r="D1823" s="12"/>
    </row>
    <row r="1824" spans="1:4" x14ac:dyDescent="0.25">
      <c r="A1824" t="str">
        <f>IF(COUNTIF(B$1:B1824,B1824)=1,MAX(A$1:A1823)+1,"")</f>
        <v/>
      </c>
      <c r="B1824" s="11"/>
      <c r="C1824" s="11" t="str">
        <f>IF(COUNTIF(D$1:D1824,D1824)=1,MAX(C$1:C1823)+1,"")</f>
        <v/>
      </c>
      <c r="D1824" s="12"/>
    </row>
    <row r="1825" spans="1:4" x14ac:dyDescent="0.25">
      <c r="A1825" t="str">
        <f>IF(COUNTIF(B$1:B1825,B1825)=1,MAX(A$1:A1824)+1,"")</f>
        <v/>
      </c>
      <c r="B1825" s="11"/>
      <c r="C1825" s="11" t="str">
        <f>IF(COUNTIF(D$1:D1825,D1825)=1,MAX(C$1:C1824)+1,"")</f>
        <v/>
      </c>
      <c r="D1825" s="12"/>
    </row>
    <row r="1826" spans="1:4" x14ac:dyDescent="0.25">
      <c r="A1826" t="str">
        <f>IF(COUNTIF(B$1:B1826,B1826)=1,MAX(A$1:A1825)+1,"")</f>
        <v/>
      </c>
      <c r="B1826" s="11"/>
      <c r="C1826" s="11" t="str">
        <f>IF(COUNTIF(D$1:D1826,D1826)=1,MAX(C$1:C1825)+1,"")</f>
        <v/>
      </c>
      <c r="D1826" s="12"/>
    </row>
    <row r="1827" spans="1:4" x14ac:dyDescent="0.25">
      <c r="A1827" t="str">
        <f>IF(COUNTIF(B$1:B1827,B1827)=1,MAX(A$1:A1826)+1,"")</f>
        <v/>
      </c>
      <c r="B1827" s="11"/>
      <c r="C1827" s="11" t="str">
        <f>IF(COUNTIF(D$1:D1827,D1827)=1,MAX(C$1:C1826)+1,"")</f>
        <v/>
      </c>
      <c r="D1827" s="12"/>
    </row>
    <row r="1828" spans="1:4" x14ac:dyDescent="0.25">
      <c r="A1828" t="str">
        <f>IF(COUNTIF(B$1:B1828,B1828)=1,MAX(A$1:A1827)+1,"")</f>
        <v/>
      </c>
      <c r="B1828" s="11"/>
      <c r="C1828" s="11" t="str">
        <f>IF(COUNTIF(D$1:D1828,D1828)=1,MAX(C$1:C1827)+1,"")</f>
        <v/>
      </c>
      <c r="D1828" s="12"/>
    </row>
    <row r="1829" spans="1:4" x14ac:dyDescent="0.25">
      <c r="A1829" t="str">
        <f>IF(COUNTIF(B$1:B1829,B1829)=1,MAX(A$1:A1828)+1,"")</f>
        <v/>
      </c>
      <c r="B1829" s="11"/>
      <c r="C1829" s="11" t="str">
        <f>IF(COUNTIF(D$1:D1829,D1829)=1,MAX(C$1:C1828)+1,"")</f>
        <v/>
      </c>
      <c r="D1829" s="12"/>
    </row>
    <row r="1830" spans="1:4" x14ac:dyDescent="0.25">
      <c r="A1830" t="str">
        <f>IF(COUNTIF(B$1:B1830,B1830)=1,MAX(A$1:A1829)+1,"")</f>
        <v/>
      </c>
      <c r="B1830" s="11"/>
      <c r="C1830" s="11" t="str">
        <f>IF(COUNTIF(D$1:D1830,D1830)=1,MAX(C$1:C1829)+1,"")</f>
        <v/>
      </c>
      <c r="D1830" s="12"/>
    </row>
    <row r="1831" spans="1:4" x14ac:dyDescent="0.25">
      <c r="A1831" t="str">
        <f>IF(COUNTIF(B$1:B1831,B1831)=1,MAX(A$1:A1830)+1,"")</f>
        <v/>
      </c>
      <c r="B1831" s="11"/>
      <c r="C1831" s="11" t="str">
        <f>IF(COUNTIF(D$1:D1831,D1831)=1,MAX(C$1:C1830)+1,"")</f>
        <v/>
      </c>
      <c r="D1831" s="12"/>
    </row>
    <row r="1832" spans="1:4" x14ac:dyDescent="0.25">
      <c r="A1832" t="str">
        <f>IF(COUNTIF(B$1:B1832,B1832)=1,MAX(A$1:A1831)+1,"")</f>
        <v/>
      </c>
      <c r="B1832" s="11"/>
      <c r="C1832" s="11" t="str">
        <f>IF(COUNTIF(D$1:D1832,D1832)=1,MAX(C$1:C1831)+1,"")</f>
        <v/>
      </c>
      <c r="D1832" s="12"/>
    </row>
    <row r="1833" spans="1:4" x14ac:dyDescent="0.25">
      <c r="A1833" t="str">
        <f>IF(COUNTIF(B$1:B1833,B1833)=1,MAX(A$1:A1832)+1,"")</f>
        <v/>
      </c>
      <c r="B1833" s="11"/>
      <c r="C1833" s="11" t="str">
        <f>IF(COUNTIF(D$1:D1833,D1833)=1,MAX(C$1:C1832)+1,"")</f>
        <v/>
      </c>
      <c r="D1833" s="12"/>
    </row>
    <row r="1834" spans="1:4" x14ac:dyDescent="0.25">
      <c r="A1834" t="str">
        <f>IF(COUNTIF(B$1:B1834,B1834)=1,MAX(A$1:A1833)+1,"")</f>
        <v/>
      </c>
      <c r="B1834" s="11"/>
      <c r="C1834" s="11" t="str">
        <f>IF(COUNTIF(D$1:D1834,D1834)=1,MAX(C$1:C1833)+1,"")</f>
        <v/>
      </c>
      <c r="D1834" s="12"/>
    </row>
    <row r="1835" spans="1:4" x14ac:dyDescent="0.25">
      <c r="A1835" t="str">
        <f>IF(COUNTIF(B$1:B1835,B1835)=1,MAX(A$1:A1834)+1,"")</f>
        <v/>
      </c>
      <c r="B1835" s="11"/>
      <c r="C1835" s="11" t="str">
        <f>IF(COUNTIF(D$1:D1835,D1835)=1,MAX(C$1:C1834)+1,"")</f>
        <v/>
      </c>
      <c r="D1835" s="12"/>
    </row>
    <row r="1836" spans="1:4" x14ac:dyDescent="0.25">
      <c r="A1836" t="str">
        <f>IF(COUNTIF(B$1:B1836,B1836)=1,MAX(A$1:A1835)+1,"")</f>
        <v/>
      </c>
      <c r="B1836" s="11"/>
      <c r="C1836" s="11" t="str">
        <f>IF(COUNTIF(D$1:D1836,D1836)=1,MAX(C$1:C1835)+1,"")</f>
        <v/>
      </c>
      <c r="D1836" s="12"/>
    </row>
    <row r="1837" spans="1:4" x14ac:dyDescent="0.25">
      <c r="A1837" t="str">
        <f>IF(COUNTIF(B$1:B1837,B1837)=1,MAX(A$1:A1836)+1,"")</f>
        <v/>
      </c>
      <c r="B1837" s="11"/>
      <c r="C1837" s="11" t="str">
        <f>IF(COUNTIF(D$1:D1837,D1837)=1,MAX(C$1:C1836)+1,"")</f>
        <v/>
      </c>
      <c r="D1837" s="12"/>
    </row>
    <row r="1838" spans="1:4" x14ac:dyDescent="0.25">
      <c r="A1838" t="str">
        <f>IF(COUNTIF(B$1:B1838,B1838)=1,MAX(A$1:A1837)+1,"")</f>
        <v/>
      </c>
      <c r="B1838" s="11"/>
      <c r="C1838" s="11" t="str">
        <f>IF(COUNTIF(D$1:D1838,D1838)=1,MAX(C$1:C1837)+1,"")</f>
        <v/>
      </c>
      <c r="D1838" s="12"/>
    </row>
    <row r="1839" spans="1:4" x14ac:dyDescent="0.25">
      <c r="A1839" t="str">
        <f>IF(COUNTIF(B$1:B1839,B1839)=1,MAX(A$1:A1838)+1,"")</f>
        <v/>
      </c>
      <c r="B1839" s="11"/>
      <c r="C1839" s="11" t="str">
        <f>IF(COUNTIF(D$1:D1839,D1839)=1,MAX(C$1:C1838)+1,"")</f>
        <v/>
      </c>
      <c r="D1839" s="12"/>
    </row>
    <row r="1840" spans="1:4" x14ac:dyDescent="0.25">
      <c r="A1840" t="str">
        <f>IF(COUNTIF(B$1:B1840,B1840)=1,MAX(A$1:A1839)+1,"")</f>
        <v/>
      </c>
      <c r="B1840" s="11"/>
      <c r="C1840" s="11" t="str">
        <f>IF(COUNTIF(D$1:D1840,D1840)=1,MAX(C$1:C1839)+1,"")</f>
        <v/>
      </c>
      <c r="D1840" s="12"/>
    </row>
    <row r="1841" spans="1:4" x14ac:dyDescent="0.25">
      <c r="A1841" t="str">
        <f>IF(COUNTIF(B$1:B1841,B1841)=1,MAX(A$1:A1840)+1,"")</f>
        <v/>
      </c>
      <c r="B1841" s="11"/>
      <c r="C1841" s="11" t="str">
        <f>IF(COUNTIF(D$1:D1841,D1841)=1,MAX(C$1:C1840)+1,"")</f>
        <v/>
      </c>
      <c r="D1841" s="12"/>
    </row>
    <row r="1842" spans="1:4" x14ac:dyDescent="0.25">
      <c r="A1842" t="str">
        <f>IF(COUNTIF(B$1:B1842,B1842)=1,MAX(A$1:A1841)+1,"")</f>
        <v/>
      </c>
      <c r="B1842" s="11"/>
      <c r="C1842" s="11" t="str">
        <f>IF(COUNTIF(D$1:D1842,D1842)=1,MAX(C$1:C1841)+1,"")</f>
        <v/>
      </c>
      <c r="D1842" s="12"/>
    </row>
    <row r="1843" spans="1:4" x14ac:dyDescent="0.25">
      <c r="A1843" t="str">
        <f>IF(COUNTIF(B$1:B1843,B1843)=1,MAX(A$1:A1842)+1,"")</f>
        <v/>
      </c>
      <c r="B1843" s="11"/>
      <c r="C1843" s="11" t="str">
        <f>IF(COUNTIF(D$1:D1843,D1843)=1,MAX(C$1:C1842)+1,"")</f>
        <v/>
      </c>
      <c r="D1843" s="12"/>
    </row>
    <row r="1844" spans="1:4" x14ac:dyDescent="0.25">
      <c r="A1844" t="str">
        <f>IF(COUNTIF(B$1:B1844,B1844)=1,MAX(A$1:A1843)+1,"")</f>
        <v/>
      </c>
      <c r="B1844" s="11"/>
      <c r="C1844" s="11" t="str">
        <f>IF(COUNTIF(D$1:D1844,D1844)=1,MAX(C$1:C1843)+1,"")</f>
        <v/>
      </c>
      <c r="D1844" s="12"/>
    </row>
    <row r="1845" spans="1:4" x14ac:dyDescent="0.25">
      <c r="A1845" t="str">
        <f>IF(COUNTIF(B$1:B1845,B1845)=1,MAX(A$1:A1844)+1,"")</f>
        <v/>
      </c>
      <c r="B1845" s="11"/>
      <c r="C1845" s="11" t="str">
        <f>IF(COUNTIF(D$1:D1845,D1845)=1,MAX(C$1:C1844)+1,"")</f>
        <v/>
      </c>
      <c r="D1845" s="12"/>
    </row>
    <row r="1846" spans="1:4" x14ac:dyDescent="0.25">
      <c r="A1846" t="str">
        <f>IF(COUNTIF(B$1:B1846,B1846)=1,MAX(A$1:A1845)+1,"")</f>
        <v/>
      </c>
      <c r="B1846" s="11"/>
      <c r="C1846" s="11" t="str">
        <f>IF(COUNTIF(D$1:D1846,D1846)=1,MAX(C$1:C1845)+1,"")</f>
        <v/>
      </c>
      <c r="D1846" s="12"/>
    </row>
    <row r="1847" spans="1:4" x14ac:dyDescent="0.25">
      <c r="A1847" t="str">
        <f>IF(COUNTIF(B$1:B1847,B1847)=1,MAX(A$1:A1846)+1,"")</f>
        <v/>
      </c>
      <c r="B1847" s="11"/>
      <c r="C1847" s="11" t="str">
        <f>IF(COUNTIF(D$1:D1847,D1847)=1,MAX(C$1:C1846)+1,"")</f>
        <v/>
      </c>
      <c r="D1847" s="12"/>
    </row>
    <row r="1848" spans="1:4" x14ac:dyDescent="0.25">
      <c r="A1848" t="str">
        <f>IF(COUNTIF(B$1:B1848,B1848)=1,MAX(A$1:A1847)+1,"")</f>
        <v/>
      </c>
      <c r="B1848" s="11"/>
      <c r="C1848" s="11" t="str">
        <f>IF(COUNTIF(D$1:D1848,D1848)=1,MAX(C$1:C1847)+1,"")</f>
        <v/>
      </c>
      <c r="D1848" s="12"/>
    </row>
    <row r="1849" spans="1:4" x14ac:dyDescent="0.25">
      <c r="A1849" t="str">
        <f>IF(COUNTIF(B$1:B1849,B1849)=1,MAX(A$1:A1848)+1,"")</f>
        <v/>
      </c>
      <c r="B1849" s="11"/>
      <c r="C1849" s="11" t="str">
        <f>IF(COUNTIF(D$1:D1849,D1849)=1,MAX(C$1:C1848)+1,"")</f>
        <v/>
      </c>
      <c r="D1849" s="12"/>
    </row>
    <row r="1850" spans="1:4" x14ac:dyDescent="0.25">
      <c r="A1850" t="str">
        <f>IF(COUNTIF(B$1:B1850,B1850)=1,MAX(A$1:A1849)+1,"")</f>
        <v/>
      </c>
      <c r="B1850" s="11"/>
      <c r="C1850" s="11" t="str">
        <f>IF(COUNTIF(D$1:D1850,D1850)=1,MAX(C$1:C1849)+1,"")</f>
        <v/>
      </c>
      <c r="D1850" s="12"/>
    </row>
    <row r="1851" spans="1:4" x14ac:dyDescent="0.25">
      <c r="A1851" t="str">
        <f>IF(COUNTIF(B$1:B1851,B1851)=1,MAX(A$1:A1850)+1,"")</f>
        <v/>
      </c>
      <c r="B1851" s="11"/>
      <c r="C1851" s="11" t="str">
        <f>IF(COUNTIF(D$1:D1851,D1851)=1,MAX(C$1:C1850)+1,"")</f>
        <v/>
      </c>
      <c r="D1851" s="12"/>
    </row>
    <row r="1852" spans="1:4" x14ac:dyDescent="0.25">
      <c r="A1852" t="str">
        <f>IF(COUNTIF(B$1:B1852,B1852)=1,MAX(A$1:A1851)+1,"")</f>
        <v/>
      </c>
      <c r="B1852" s="11"/>
      <c r="C1852" s="11" t="str">
        <f>IF(COUNTIF(D$1:D1852,D1852)=1,MAX(C$1:C1851)+1,"")</f>
        <v/>
      </c>
      <c r="D1852" s="12"/>
    </row>
    <row r="1853" spans="1:4" x14ac:dyDescent="0.25">
      <c r="A1853" t="str">
        <f>IF(COUNTIF(B$1:B1853,B1853)=1,MAX(A$1:A1852)+1,"")</f>
        <v/>
      </c>
      <c r="B1853" s="11"/>
      <c r="C1853" s="11" t="str">
        <f>IF(COUNTIF(D$1:D1853,D1853)=1,MAX(C$1:C1852)+1,"")</f>
        <v/>
      </c>
      <c r="D1853" s="12"/>
    </row>
    <row r="1854" spans="1:4" x14ac:dyDescent="0.25">
      <c r="A1854" t="str">
        <f>IF(COUNTIF(B$1:B1854,B1854)=1,MAX(A$1:A1853)+1,"")</f>
        <v/>
      </c>
      <c r="B1854" s="11"/>
      <c r="C1854" s="11" t="str">
        <f>IF(COUNTIF(D$1:D1854,D1854)=1,MAX(C$1:C1853)+1,"")</f>
        <v/>
      </c>
      <c r="D1854" s="12"/>
    </row>
    <row r="1855" spans="1:4" x14ac:dyDescent="0.25">
      <c r="A1855" t="str">
        <f>IF(COUNTIF(B$1:B1855,B1855)=1,MAX(A$1:A1854)+1,"")</f>
        <v/>
      </c>
      <c r="B1855" s="11"/>
      <c r="C1855" s="11" t="str">
        <f>IF(COUNTIF(D$1:D1855,D1855)=1,MAX(C$1:C1854)+1,"")</f>
        <v/>
      </c>
      <c r="D1855" s="12"/>
    </row>
    <row r="1856" spans="1:4" x14ac:dyDescent="0.25">
      <c r="A1856" t="str">
        <f>IF(COUNTIF(B$1:B1856,B1856)=1,MAX(A$1:A1855)+1,"")</f>
        <v/>
      </c>
      <c r="B1856" s="11"/>
      <c r="C1856" s="11" t="str">
        <f>IF(COUNTIF(D$1:D1856,D1856)=1,MAX(C$1:C1855)+1,"")</f>
        <v/>
      </c>
      <c r="D1856" s="12"/>
    </row>
    <row r="1857" spans="1:4" x14ac:dyDescent="0.25">
      <c r="A1857" t="str">
        <f>IF(COUNTIF(B$1:B1857,B1857)=1,MAX(A$1:A1856)+1,"")</f>
        <v/>
      </c>
      <c r="B1857" s="11"/>
      <c r="C1857" s="11" t="str">
        <f>IF(COUNTIF(D$1:D1857,D1857)=1,MAX(C$1:C1856)+1,"")</f>
        <v/>
      </c>
      <c r="D1857" s="12"/>
    </row>
    <row r="1858" spans="1:4" x14ac:dyDescent="0.25">
      <c r="A1858" t="str">
        <f>IF(COUNTIF(B$1:B1858,B1858)=1,MAX(A$1:A1857)+1,"")</f>
        <v/>
      </c>
      <c r="B1858" s="11"/>
      <c r="C1858" s="11" t="str">
        <f>IF(COUNTIF(D$1:D1858,D1858)=1,MAX(C$1:C1857)+1,"")</f>
        <v/>
      </c>
      <c r="D1858" s="12"/>
    </row>
    <row r="1859" spans="1:4" x14ac:dyDescent="0.25">
      <c r="A1859" t="str">
        <f>IF(COUNTIF(B$1:B1859,B1859)=1,MAX(A$1:A1858)+1,"")</f>
        <v/>
      </c>
      <c r="B1859" s="11"/>
      <c r="C1859" s="11" t="str">
        <f>IF(COUNTIF(D$1:D1859,D1859)=1,MAX(C$1:C1858)+1,"")</f>
        <v/>
      </c>
      <c r="D1859" s="12"/>
    </row>
    <row r="1860" spans="1:4" x14ac:dyDescent="0.25">
      <c r="A1860" t="str">
        <f>IF(COUNTIF(B$1:B1860,B1860)=1,MAX(A$1:A1859)+1,"")</f>
        <v/>
      </c>
      <c r="B1860" s="11"/>
      <c r="C1860" s="11" t="str">
        <f>IF(COUNTIF(D$1:D1860,D1860)=1,MAX(C$1:C1859)+1,"")</f>
        <v/>
      </c>
      <c r="D1860" s="12"/>
    </row>
    <row r="1861" spans="1:4" x14ac:dyDescent="0.25">
      <c r="A1861" t="str">
        <f>IF(COUNTIF(B$1:B1861,B1861)=1,MAX(A$1:A1860)+1,"")</f>
        <v/>
      </c>
      <c r="B1861" s="11"/>
      <c r="C1861" s="11" t="str">
        <f>IF(COUNTIF(D$1:D1861,D1861)=1,MAX(C$1:C1860)+1,"")</f>
        <v/>
      </c>
      <c r="D1861" s="12"/>
    </row>
    <row r="1862" spans="1:4" x14ac:dyDescent="0.25">
      <c r="A1862" t="str">
        <f>IF(COUNTIF(B$1:B1862,B1862)=1,MAX(A$1:A1861)+1,"")</f>
        <v/>
      </c>
      <c r="B1862" s="11"/>
      <c r="C1862" s="11" t="str">
        <f>IF(COUNTIF(D$1:D1862,D1862)=1,MAX(C$1:C1861)+1,"")</f>
        <v/>
      </c>
      <c r="D1862" s="12"/>
    </row>
    <row r="1863" spans="1:4" x14ac:dyDescent="0.25">
      <c r="A1863" t="str">
        <f>IF(COUNTIF(B$1:B1863,B1863)=1,MAX(A$1:A1862)+1,"")</f>
        <v/>
      </c>
      <c r="B1863" s="11"/>
      <c r="C1863" s="11" t="str">
        <f>IF(COUNTIF(D$1:D1863,D1863)=1,MAX(C$1:C1862)+1,"")</f>
        <v/>
      </c>
      <c r="D1863" s="12"/>
    </row>
    <row r="1864" spans="1:4" x14ac:dyDescent="0.25">
      <c r="A1864" t="str">
        <f>IF(COUNTIF(B$1:B1864,B1864)=1,MAX(A$1:A1863)+1,"")</f>
        <v/>
      </c>
      <c r="B1864" s="11"/>
      <c r="C1864" s="11" t="str">
        <f>IF(COUNTIF(D$1:D1864,D1864)=1,MAX(C$1:C1863)+1,"")</f>
        <v/>
      </c>
      <c r="D1864" s="12"/>
    </row>
    <row r="1865" spans="1:4" x14ac:dyDescent="0.25">
      <c r="A1865" t="str">
        <f>IF(COUNTIF(B$1:B1865,B1865)=1,MAX(A$1:A1864)+1,"")</f>
        <v/>
      </c>
      <c r="B1865" s="11"/>
      <c r="C1865" s="11" t="str">
        <f>IF(COUNTIF(D$1:D1865,D1865)=1,MAX(C$1:C1864)+1,"")</f>
        <v/>
      </c>
      <c r="D1865" s="12"/>
    </row>
    <row r="1866" spans="1:4" x14ac:dyDescent="0.25">
      <c r="A1866" t="str">
        <f>IF(COUNTIF(B$1:B1866,B1866)=1,MAX(A$1:A1865)+1,"")</f>
        <v/>
      </c>
      <c r="B1866" s="11"/>
      <c r="C1866" s="11" t="str">
        <f>IF(COUNTIF(D$1:D1866,D1866)=1,MAX(C$1:C1865)+1,"")</f>
        <v/>
      </c>
      <c r="D1866" s="12"/>
    </row>
    <row r="1867" spans="1:4" x14ac:dyDescent="0.25">
      <c r="A1867" t="str">
        <f>IF(COUNTIF(B$1:B1867,B1867)=1,MAX(A$1:A1866)+1,"")</f>
        <v/>
      </c>
      <c r="B1867" s="11"/>
      <c r="C1867" s="11" t="str">
        <f>IF(COUNTIF(D$1:D1867,D1867)=1,MAX(C$1:C1866)+1,"")</f>
        <v/>
      </c>
      <c r="D1867" s="12"/>
    </row>
    <row r="1868" spans="1:4" x14ac:dyDescent="0.25">
      <c r="A1868" t="str">
        <f>IF(COUNTIF(B$1:B1868,B1868)=1,MAX(A$1:A1867)+1,"")</f>
        <v/>
      </c>
      <c r="B1868" s="11"/>
      <c r="C1868" s="11" t="str">
        <f>IF(COUNTIF(D$1:D1868,D1868)=1,MAX(C$1:C1867)+1,"")</f>
        <v/>
      </c>
      <c r="D1868" s="12"/>
    </row>
    <row r="1869" spans="1:4" x14ac:dyDescent="0.25">
      <c r="A1869" t="str">
        <f>IF(COUNTIF(B$1:B1869,B1869)=1,MAX(A$1:A1868)+1,"")</f>
        <v/>
      </c>
      <c r="B1869" s="11"/>
      <c r="C1869" s="11" t="str">
        <f>IF(COUNTIF(D$1:D1869,D1869)=1,MAX(C$1:C1868)+1,"")</f>
        <v/>
      </c>
      <c r="D1869" s="12"/>
    </row>
    <row r="1870" spans="1:4" x14ac:dyDescent="0.25">
      <c r="A1870" t="str">
        <f>IF(COUNTIF(B$1:B1870,B1870)=1,MAX(A$1:A1869)+1,"")</f>
        <v/>
      </c>
      <c r="B1870" s="11"/>
      <c r="C1870" s="11" t="str">
        <f>IF(COUNTIF(D$1:D1870,D1870)=1,MAX(C$1:C1869)+1,"")</f>
        <v/>
      </c>
      <c r="D1870" s="12"/>
    </row>
    <row r="1871" spans="1:4" x14ac:dyDescent="0.25">
      <c r="A1871" t="str">
        <f>IF(COUNTIF(B$1:B1871,B1871)=1,MAX(A$1:A1870)+1,"")</f>
        <v/>
      </c>
      <c r="B1871" s="11"/>
      <c r="C1871" s="11" t="str">
        <f>IF(COUNTIF(D$1:D1871,D1871)=1,MAX(C$1:C1870)+1,"")</f>
        <v/>
      </c>
      <c r="D1871" s="12"/>
    </row>
    <row r="1872" spans="1:4" x14ac:dyDescent="0.25">
      <c r="A1872" t="str">
        <f>IF(COUNTIF(B$1:B1872,B1872)=1,MAX(A$1:A1871)+1,"")</f>
        <v/>
      </c>
      <c r="B1872" s="11"/>
      <c r="C1872" s="11" t="str">
        <f>IF(COUNTIF(D$1:D1872,D1872)=1,MAX(C$1:C1871)+1,"")</f>
        <v/>
      </c>
      <c r="D1872" s="12"/>
    </row>
    <row r="1873" spans="1:4" x14ac:dyDescent="0.25">
      <c r="A1873" t="str">
        <f>IF(COUNTIF(B$1:B1873,B1873)=1,MAX(A$1:A1872)+1,"")</f>
        <v/>
      </c>
      <c r="B1873" s="11"/>
      <c r="C1873" s="11" t="str">
        <f>IF(COUNTIF(D$1:D1873,D1873)=1,MAX(C$1:C1872)+1,"")</f>
        <v/>
      </c>
      <c r="D1873" s="12"/>
    </row>
    <row r="1874" spans="1:4" x14ac:dyDescent="0.25">
      <c r="A1874" t="str">
        <f>IF(COUNTIF(B$1:B1874,B1874)=1,MAX(A$1:A1873)+1,"")</f>
        <v/>
      </c>
      <c r="B1874" s="11"/>
      <c r="C1874" s="11" t="str">
        <f>IF(COUNTIF(D$1:D1874,D1874)=1,MAX(C$1:C1873)+1,"")</f>
        <v/>
      </c>
      <c r="D1874" s="12"/>
    </row>
    <row r="1875" spans="1:4" x14ac:dyDescent="0.25">
      <c r="A1875" t="str">
        <f>IF(COUNTIF(B$1:B1875,B1875)=1,MAX(A$1:A1874)+1,"")</f>
        <v/>
      </c>
      <c r="B1875" s="11"/>
      <c r="C1875" s="11" t="str">
        <f>IF(COUNTIF(D$1:D1875,D1875)=1,MAX(C$1:C1874)+1,"")</f>
        <v/>
      </c>
      <c r="D1875" s="12"/>
    </row>
    <row r="1876" spans="1:4" x14ac:dyDescent="0.25">
      <c r="A1876" t="str">
        <f>IF(COUNTIF(B$1:B1876,B1876)=1,MAX(A$1:A1875)+1,"")</f>
        <v/>
      </c>
      <c r="B1876" s="11"/>
      <c r="C1876" s="11" t="str">
        <f>IF(COUNTIF(D$1:D1876,D1876)=1,MAX(C$1:C1875)+1,"")</f>
        <v/>
      </c>
      <c r="D1876" s="12"/>
    </row>
    <row r="1877" spans="1:4" x14ac:dyDescent="0.25">
      <c r="A1877" t="str">
        <f>IF(COUNTIF(B$1:B1877,B1877)=1,MAX(A$1:A1876)+1,"")</f>
        <v/>
      </c>
      <c r="B1877" s="11"/>
      <c r="C1877" s="11" t="str">
        <f>IF(COUNTIF(D$1:D1877,D1877)=1,MAX(C$1:C1876)+1,"")</f>
        <v/>
      </c>
      <c r="D1877" s="12"/>
    </row>
    <row r="1878" spans="1:4" x14ac:dyDescent="0.25">
      <c r="A1878" t="str">
        <f>IF(COUNTIF(B$1:B1878,B1878)=1,MAX(A$1:A1877)+1,"")</f>
        <v/>
      </c>
      <c r="B1878" s="11"/>
      <c r="C1878" s="11" t="str">
        <f>IF(COUNTIF(D$1:D1878,D1878)=1,MAX(C$1:C1877)+1,"")</f>
        <v/>
      </c>
      <c r="D1878" s="12"/>
    </row>
    <row r="1879" spans="1:4" x14ac:dyDescent="0.25">
      <c r="A1879" t="str">
        <f>IF(COUNTIF(B$1:B1879,B1879)=1,MAX(A$1:A1878)+1,"")</f>
        <v/>
      </c>
      <c r="B1879" s="11"/>
      <c r="C1879" s="11" t="str">
        <f>IF(COUNTIF(D$1:D1879,D1879)=1,MAX(C$1:C1878)+1,"")</f>
        <v/>
      </c>
      <c r="D1879" s="12"/>
    </row>
    <row r="1880" spans="1:4" x14ac:dyDescent="0.25">
      <c r="A1880" t="str">
        <f>IF(COUNTIF(B$1:B1880,B1880)=1,MAX(A$1:A1879)+1,"")</f>
        <v/>
      </c>
      <c r="B1880" s="11"/>
      <c r="C1880" s="11" t="str">
        <f>IF(COUNTIF(D$1:D1880,D1880)=1,MAX(C$1:C1879)+1,"")</f>
        <v/>
      </c>
      <c r="D1880" s="12"/>
    </row>
    <row r="1881" spans="1:4" x14ac:dyDescent="0.25">
      <c r="A1881" t="str">
        <f>IF(COUNTIF(B$1:B1881,B1881)=1,MAX(A$1:A1880)+1,"")</f>
        <v/>
      </c>
      <c r="B1881" s="11"/>
      <c r="C1881" s="11" t="str">
        <f>IF(COUNTIF(D$1:D1881,D1881)=1,MAX(C$1:C1880)+1,"")</f>
        <v/>
      </c>
      <c r="D1881" s="12"/>
    </row>
    <row r="1882" spans="1:4" x14ac:dyDescent="0.25">
      <c r="A1882" t="str">
        <f>IF(COUNTIF(B$1:B1882,B1882)=1,MAX(A$1:A1881)+1,"")</f>
        <v/>
      </c>
      <c r="B1882" s="11"/>
      <c r="C1882" s="11" t="str">
        <f>IF(COUNTIF(D$1:D1882,D1882)=1,MAX(C$1:C1881)+1,"")</f>
        <v/>
      </c>
      <c r="D1882" s="12"/>
    </row>
    <row r="1883" spans="1:4" x14ac:dyDescent="0.25">
      <c r="A1883" t="str">
        <f>IF(COUNTIF(B$1:B1883,B1883)=1,MAX(A$1:A1882)+1,"")</f>
        <v/>
      </c>
      <c r="B1883" s="11"/>
      <c r="C1883" s="11" t="str">
        <f>IF(COUNTIF(D$1:D1883,D1883)=1,MAX(C$1:C1882)+1,"")</f>
        <v/>
      </c>
      <c r="D1883" s="12"/>
    </row>
    <row r="1884" spans="1:4" x14ac:dyDescent="0.25">
      <c r="A1884" t="str">
        <f>IF(COUNTIF(B$1:B1884,B1884)=1,MAX(A$1:A1883)+1,"")</f>
        <v/>
      </c>
      <c r="B1884" s="11"/>
      <c r="C1884" s="11" t="str">
        <f>IF(COUNTIF(D$1:D1884,D1884)=1,MAX(C$1:C1883)+1,"")</f>
        <v/>
      </c>
      <c r="D1884" s="12"/>
    </row>
    <row r="1885" spans="1:4" x14ac:dyDescent="0.25">
      <c r="A1885" t="str">
        <f>IF(COUNTIF(B$1:B1885,B1885)=1,MAX(A$1:A1884)+1,"")</f>
        <v/>
      </c>
      <c r="B1885" s="11"/>
      <c r="C1885" s="11" t="str">
        <f>IF(COUNTIF(D$1:D1885,D1885)=1,MAX(C$1:C1884)+1,"")</f>
        <v/>
      </c>
      <c r="D1885" s="12"/>
    </row>
    <row r="1886" spans="1:4" x14ac:dyDescent="0.25">
      <c r="A1886" t="str">
        <f>IF(COUNTIF(B$1:B1886,B1886)=1,MAX(A$1:A1885)+1,"")</f>
        <v/>
      </c>
      <c r="B1886" s="11"/>
      <c r="C1886" s="11" t="str">
        <f>IF(COUNTIF(D$1:D1886,D1886)=1,MAX(C$1:C1885)+1,"")</f>
        <v/>
      </c>
      <c r="D1886" s="12"/>
    </row>
    <row r="1887" spans="1:4" x14ac:dyDescent="0.25">
      <c r="A1887" t="str">
        <f>IF(COUNTIF(B$1:B1887,B1887)=1,MAX(A$1:A1886)+1,"")</f>
        <v/>
      </c>
      <c r="B1887" s="11"/>
      <c r="C1887" s="11" t="str">
        <f>IF(COUNTIF(D$1:D1887,D1887)=1,MAX(C$1:C1886)+1,"")</f>
        <v/>
      </c>
      <c r="D1887" s="12"/>
    </row>
    <row r="1888" spans="1:4" x14ac:dyDescent="0.25">
      <c r="A1888" t="str">
        <f>IF(COUNTIF(B$1:B1888,B1888)=1,MAX(A$1:A1887)+1,"")</f>
        <v/>
      </c>
      <c r="B1888" s="11"/>
      <c r="C1888" s="11" t="str">
        <f>IF(COUNTIF(D$1:D1888,D1888)=1,MAX(C$1:C1887)+1,"")</f>
        <v/>
      </c>
      <c r="D1888" s="12"/>
    </row>
    <row r="1889" spans="1:4" x14ac:dyDescent="0.25">
      <c r="A1889" t="str">
        <f>IF(COUNTIF(B$1:B1889,B1889)=1,MAX(A$1:A1888)+1,"")</f>
        <v/>
      </c>
      <c r="B1889" s="11"/>
      <c r="C1889" s="11" t="str">
        <f>IF(COUNTIF(D$1:D1889,D1889)=1,MAX(C$1:C1888)+1,"")</f>
        <v/>
      </c>
      <c r="D1889" s="12"/>
    </row>
    <row r="1890" spans="1:4" x14ac:dyDescent="0.25">
      <c r="A1890" t="str">
        <f>IF(COUNTIF(B$1:B1890,B1890)=1,MAX(A$1:A1889)+1,"")</f>
        <v/>
      </c>
      <c r="B1890" s="11"/>
      <c r="C1890" s="11" t="str">
        <f>IF(COUNTIF(D$1:D1890,D1890)=1,MAX(C$1:C1889)+1,"")</f>
        <v/>
      </c>
      <c r="D1890" s="12"/>
    </row>
    <row r="1891" spans="1:4" x14ac:dyDescent="0.25">
      <c r="A1891" t="str">
        <f>IF(COUNTIF(B$1:B1891,B1891)=1,MAX(A$1:A1890)+1,"")</f>
        <v/>
      </c>
      <c r="B1891" s="11"/>
      <c r="C1891" s="11" t="str">
        <f>IF(COUNTIF(D$1:D1891,D1891)=1,MAX(C$1:C1890)+1,"")</f>
        <v/>
      </c>
      <c r="D1891" s="12"/>
    </row>
    <row r="1892" spans="1:4" x14ac:dyDescent="0.25">
      <c r="A1892" t="str">
        <f>IF(COUNTIF(B$1:B1892,B1892)=1,MAX(A$1:A1891)+1,"")</f>
        <v/>
      </c>
      <c r="B1892" s="11"/>
      <c r="C1892" s="11" t="str">
        <f>IF(COUNTIF(D$1:D1892,D1892)=1,MAX(C$1:C1891)+1,"")</f>
        <v/>
      </c>
      <c r="D1892" s="12"/>
    </row>
    <row r="1893" spans="1:4" x14ac:dyDescent="0.25">
      <c r="A1893" t="str">
        <f>IF(COUNTIF(B$1:B1893,B1893)=1,MAX(A$1:A1892)+1,"")</f>
        <v/>
      </c>
      <c r="B1893" s="11"/>
      <c r="C1893" s="11" t="str">
        <f>IF(COUNTIF(D$1:D1893,D1893)=1,MAX(C$1:C1892)+1,"")</f>
        <v/>
      </c>
      <c r="D1893" s="12"/>
    </row>
    <row r="1894" spans="1:4" x14ac:dyDescent="0.25">
      <c r="A1894" t="str">
        <f>IF(COUNTIF(B$1:B1894,B1894)=1,MAX(A$1:A1893)+1,"")</f>
        <v/>
      </c>
      <c r="B1894" s="11"/>
      <c r="C1894" s="11" t="str">
        <f>IF(COUNTIF(D$1:D1894,D1894)=1,MAX(C$1:C1893)+1,"")</f>
        <v/>
      </c>
      <c r="D1894" s="12"/>
    </row>
    <row r="1895" spans="1:4" x14ac:dyDescent="0.25">
      <c r="A1895" t="str">
        <f>IF(COUNTIF(B$1:B1895,B1895)=1,MAX(A$1:A1894)+1,"")</f>
        <v/>
      </c>
      <c r="B1895" s="11"/>
      <c r="C1895" s="11" t="str">
        <f>IF(COUNTIF(D$1:D1895,D1895)=1,MAX(C$1:C1894)+1,"")</f>
        <v/>
      </c>
      <c r="D1895" s="12"/>
    </row>
    <row r="1896" spans="1:4" x14ac:dyDescent="0.25">
      <c r="A1896" t="str">
        <f>IF(COUNTIF(B$1:B1896,B1896)=1,MAX(A$1:A1895)+1,"")</f>
        <v/>
      </c>
      <c r="B1896" s="11"/>
      <c r="C1896" s="11" t="str">
        <f>IF(COUNTIF(D$1:D1896,D1896)=1,MAX(C$1:C1895)+1,"")</f>
        <v/>
      </c>
      <c r="D1896" s="12"/>
    </row>
    <row r="1897" spans="1:4" x14ac:dyDescent="0.25">
      <c r="A1897" t="str">
        <f>IF(COUNTIF(B$1:B1897,B1897)=1,MAX(A$1:A1896)+1,"")</f>
        <v/>
      </c>
      <c r="B1897" s="11"/>
      <c r="C1897" s="11" t="str">
        <f>IF(COUNTIF(D$1:D1897,D1897)=1,MAX(C$1:C1896)+1,"")</f>
        <v/>
      </c>
      <c r="D1897" s="12"/>
    </row>
    <row r="1898" spans="1:4" x14ac:dyDescent="0.25">
      <c r="A1898" t="str">
        <f>IF(COUNTIF(B$1:B1898,B1898)=1,MAX(A$1:A1897)+1,"")</f>
        <v/>
      </c>
      <c r="B1898" s="11"/>
      <c r="C1898" s="11" t="str">
        <f>IF(COUNTIF(D$1:D1898,D1898)=1,MAX(C$1:C1897)+1,"")</f>
        <v/>
      </c>
      <c r="D1898" s="12"/>
    </row>
    <row r="1899" spans="1:4" x14ac:dyDescent="0.25">
      <c r="A1899" t="str">
        <f>IF(COUNTIF(B$1:B1899,B1899)=1,MAX(A$1:A1898)+1,"")</f>
        <v/>
      </c>
      <c r="B1899" s="11"/>
      <c r="C1899" s="11" t="str">
        <f>IF(COUNTIF(D$1:D1899,D1899)=1,MAX(C$1:C1898)+1,"")</f>
        <v/>
      </c>
      <c r="D1899" s="12"/>
    </row>
    <row r="1900" spans="1:4" x14ac:dyDescent="0.25">
      <c r="A1900" t="str">
        <f>IF(COUNTIF(B$1:B1900,B1900)=1,MAX(A$1:A1899)+1,"")</f>
        <v/>
      </c>
      <c r="B1900" s="11"/>
      <c r="C1900" s="11" t="str">
        <f>IF(COUNTIF(D$1:D1900,D1900)=1,MAX(C$1:C1899)+1,"")</f>
        <v/>
      </c>
      <c r="D1900" s="12"/>
    </row>
    <row r="1901" spans="1:4" x14ac:dyDescent="0.25">
      <c r="A1901" t="str">
        <f>IF(COUNTIF(B$1:B1901,B1901)=1,MAX(A$1:A1900)+1,"")</f>
        <v/>
      </c>
      <c r="B1901" s="11"/>
      <c r="C1901" s="11" t="str">
        <f>IF(COUNTIF(D$1:D1901,D1901)=1,MAX(C$1:C1900)+1,"")</f>
        <v/>
      </c>
      <c r="D1901" s="12"/>
    </row>
    <row r="1902" spans="1:4" x14ac:dyDescent="0.25">
      <c r="A1902" t="str">
        <f>IF(COUNTIF(B$1:B1902,B1902)=1,MAX(A$1:A1901)+1,"")</f>
        <v/>
      </c>
      <c r="B1902" s="11"/>
      <c r="C1902" s="11" t="str">
        <f>IF(COUNTIF(D$1:D1902,D1902)=1,MAX(C$1:C1901)+1,"")</f>
        <v/>
      </c>
      <c r="D1902" s="12"/>
    </row>
    <row r="1903" spans="1:4" x14ac:dyDescent="0.25">
      <c r="A1903" t="str">
        <f>IF(COUNTIF(B$1:B1903,B1903)=1,MAX(A$1:A1902)+1,"")</f>
        <v/>
      </c>
      <c r="B1903" s="11"/>
      <c r="C1903" s="11" t="str">
        <f>IF(COUNTIF(D$1:D1903,D1903)=1,MAX(C$1:C1902)+1,"")</f>
        <v/>
      </c>
      <c r="D1903" s="12"/>
    </row>
    <row r="1904" spans="1:4" x14ac:dyDescent="0.25">
      <c r="A1904" t="str">
        <f>IF(COUNTIF(B$1:B1904,B1904)=1,MAX(A$1:A1903)+1,"")</f>
        <v/>
      </c>
      <c r="B1904" s="11"/>
      <c r="C1904" s="11" t="str">
        <f>IF(COUNTIF(D$1:D1904,D1904)=1,MAX(C$1:C1903)+1,"")</f>
        <v/>
      </c>
      <c r="D1904" s="12"/>
    </row>
    <row r="1905" spans="1:4" x14ac:dyDescent="0.25">
      <c r="A1905" t="str">
        <f>IF(COUNTIF(B$1:B1905,B1905)=1,MAX(A$1:A1904)+1,"")</f>
        <v/>
      </c>
      <c r="B1905" s="11"/>
      <c r="C1905" s="11" t="str">
        <f>IF(COUNTIF(D$1:D1905,D1905)=1,MAX(C$1:C1904)+1,"")</f>
        <v/>
      </c>
      <c r="D1905" s="12"/>
    </row>
    <row r="1906" spans="1:4" x14ac:dyDescent="0.25">
      <c r="A1906" t="str">
        <f>IF(COUNTIF(B$1:B1906,B1906)=1,MAX(A$1:A1905)+1,"")</f>
        <v/>
      </c>
      <c r="B1906" s="11"/>
      <c r="C1906" s="11" t="str">
        <f>IF(COUNTIF(D$1:D1906,D1906)=1,MAX(C$1:C1905)+1,"")</f>
        <v/>
      </c>
      <c r="D1906" s="12"/>
    </row>
    <row r="1907" spans="1:4" x14ac:dyDescent="0.25">
      <c r="A1907" t="str">
        <f>IF(COUNTIF(B$1:B1907,B1907)=1,MAX(A$1:A1906)+1,"")</f>
        <v/>
      </c>
      <c r="B1907" s="11"/>
      <c r="C1907" s="11" t="str">
        <f>IF(COUNTIF(D$1:D1907,D1907)=1,MAX(C$1:C1906)+1,"")</f>
        <v/>
      </c>
      <c r="D1907" s="12"/>
    </row>
    <row r="1908" spans="1:4" x14ac:dyDescent="0.25">
      <c r="A1908" t="str">
        <f>IF(COUNTIF(B$1:B1908,B1908)=1,MAX(A$1:A1907)+1,"")</f>
        <v/>
      </c>
      <c r="B1908" s="11"/>
      <c r="C1908" s="11" t="str">
        <f>IF(COUNTIF(D$1:D1908,D1908)=1,MAX(C$1:C1907)+1,"")</f>
        <v/>
      </c>
      <c r="D1908" s="12"/>
    </row>
    <row r="1909" spans="1:4" x14ac:dyDescent="0.25">
      <c r="A1909" t="str">
        <f>IF(COUNTIF(B$1:B1909,B1909)=1,MAX(A$1:A1908)+1,"")</f>
        <v/>
      </c>
      <c r="B1909" s="11"/>
      <c r="C1909" s="11" t="str">
        <f>IF(COUNTIF(D$1:D1909,D1909)=1,MAX(C$1:C1908)+1,"")</f>
        <v/>
      </c>
      <c r="D1909" s="12"/>
    </row>
    <row r="1910" spans="1:4" x14ac:dyDescent="0.25">
      <c r="A1910" t="str">
        <f>IF(COUNTIF(B$1:B1910,B1910)=1,MAX(A$1:A1909)+1,"")</f>
        <v/>
      </c>
      <c r="B1910" s="11"/>
      <c r="C1910" s="11" t="str">
        <f>IF(COUNTIF(D$1:D1910,D1910)=1,MAX(C$1:C1909)+1,"")</f>
        <v/>
      </c>
      <c r="D1910" s="12"/>
    </row>
    <row r="1911" spans="1:4" x14ac:dyDescent="0.25">
      <c r="A1911" t="str">
        <f>IF(COUNTIF(B$1:B1911,B1911)=1,MAX(A$1:A1910)+1,"")</f>
        <v/>
      </c>
      <c r="B1911" s="11"/>
      <c r="C1911" s="11" t="str">
        <f>IF(COUNTIF(D$1:D1911,D1911)=1,MAX(C$1:C1910)+1,"")</f>
        <v/>
      </c>
      <c r="D1911" s="12"/>
    </row>
    <row r="1912" spans="1:4" x14ac:dyDescent="0.25">
      <c r="A1912" t="str">
        <f>IF(COUNTIF(B$1:B1912,B1912)=1,MAX(A$1:A1911)+1,"")</f>
        <v/>
      </c>
      <c r="B1912" s="11"/>
      <c r="C1912" s="11" t="str">
        <f>IF(COUNTIF(D$1:D1912,D1912)=1,MAX(C$1:C1911)+1,"")</f>
        <v/>
      </c>
      <c r="D1912" s="12"/>
    </row>
    <row r="1913" spans="1:4" x14ac:dyDescent="0.25">
      <c r="A1913" t="str">
        <f>IF(COUNTIF(B$1:B1913,B1913)=1,MAX(A$1:A1912)+1,"")</f>
        <v/>
      </c>
      <c r="B1913" s="11"/>
      <c r="C1913" s="11" t="str">
        <f>IF(COUNTIF(D$1:D1913,D1913)=1,MAX(C$1:C1912)+1,"")</f>
        <v/>
      </c>
      <c r="D1913" s="12"/>
    </row>
    <row r="1914" spans="1:4" x14ac:dyDescent="0.25">
      <c r="A1914" t="str">
        <f>IF(COUNTIF(B$1:B1914,B1914)=1,MAX(A$1:A1913)+1,"")</f>
        <v/>
      </c>
      <c r="B1914" s="11"/>
      <c r="C1914" s="11" t="str">
        <f>IF(COUNTIF(D$1:D1914,D1914)=1,MAX(C$1:C1913)+1,"")</f>
        <v/>
      </c>
      <c r="D1914" s="12"/>
    </row>
    <row r="1915" spans="1:4" x14ac:dyDescent="0.25">
      <c r="A1915" t="str">
        <f>IF(COUNTIF(B$1:B1915,B1915)=1,MAX(A$1:A1914)+1,"")</f>
        <v/>
      </c>
      <c r="B1915" s="11"/>
      <c r="C1915" s="11" t="str">
        <f>IF(COUNTIF(D$1:D1915,D1915)=1,MAX(C$1:C1914)+1,"")</f>
        <v/>
      </c>
      <c r="D1915" s="12"/>
    </row>
    <row r="1916" spans="1:4" x14ac:dyDescent="0.25">
      <c r="A1916" t="str">
        <f>IF(COUNTIF(B$1:B1916,B1916)=1,MAX(A$1:A1915)+1,"")</f>
        <v/>
      </c>
      <c r="B1916" s="11"/>
      <c r="C1916" s="11" t="str">
        <f>IF(COUNTIF(D$1:D1916,D1916)=1,MAX(C$1:C1915)+1,"")</f>
        <v/>
      </c>
      <c r="D1916" s="12"/>
    </row>
    <row r="1917" spans="1:4" x14ac:dyDescent="0.25">
      <c r="A1917" t="str">
        <f>IF(COUNTIF(B$1:B1917,B1917)=1,MAX(A$1:A1916)+1,"")</f>
        <v/>
      </c>
      <c r="B1917" s="11"/>
      <c r="C1917" s="11" t="str">
        <f>IF(COUNTIF(D$1:D1917,D1917)=1,MAX(C$1:C1916)+1,"")</f>
        <v/>
      </c>
      <c r="D1917" s="12"/>
    </row>
    <row r="1918" spans="1:4" x14ac:dyDescent="0.25">
      <c r="A1918" t="str">
        <f>IF(COUNTIF(B$1:B1918,B1918)=1,MAX(A$1:A1917)+1,"")</f>
        <v/>
      </c>
      <c r="B1918" s="11"/>
      <c r="C1918" s="11" t="str">
        <f>IF(COUNTIF(D$1:D1918,D1918)=1,MAX(C$1:C1917)+1,"")</f>
        <v/>
      </c>
      <c r="D1918" s="12"/>
    </row>
    <row r="1919" spans="1:4" x14ac:dyDescent="0.25">
      <c r="A1919" t="str">
        <f>IF(COUNTIF(B$1:B1919,B1919)=1,MAX(A$1:A1918)+1,"")</f>
        <v/>
      </c>
      <c r="B1919" s="11"/>
      <c r="C1919" s="11" t="str">
        <f>IF(COUNTIF(D$1:D1919,D1919)=1,MAX(C$1:C1918)+1,"")</f>
        <v/>
      </c>
      <c r="D1919" s="12"/>
    </row>
    <row r="1920" spans="1:4" x14ac:dyDescent="0.25">
      <c r="A1920" t="str">
        <f>IF(COUNTIF(B$1:B1920,B1920)=1,MAX(A$1:A1919)+1,"")</f>
        <v/>
      </c>
      <c r="B1920" s="11"/>
      <c r="C1920" s="11" t="str">
        <f>IF(COUNTIF(D$1:D1920,D1920)=1,MAX(C$1:C1919)+1,"")</f>
        <v/>
      </c>
      <c r="D1920" s="12"/>
    </row>
    <row r="1921" spans="1:4" x14ac:dyDescent="0.25">
      <c r="A1921" t="str">
        <f>IF(COUNTIF(B$1:B1921,B1921)=1,MAX(A$1:A1920)+1,"")</f>
        <v/>
      </c>
      <c r="B1921" s="11"/>
      <c r="C1921" s="11" t="str">
        <f>IF(COUNTIF(D$1:D1921,D1921)=1,MAX(C$1:C1920)+1,"")</f>
        <v/>
      </c>
      <c r="D1921" s="12"/>
    </row>
    <row r="1922" spans="1:4" x14ac:dyDescent="0.25">
      <c r="A1922" t="str">
        <f>IF(COUNTIF(B$1:B1922,B1922)=1,MAX(A$1:A1921)+1,"")</f>
        <v/>
      </c>
      <c r="B1922" s="11"/>
      <c r="C1922" s="11" t="str">
        <f>IF(COUNTIF(D$1:D1922,D1922)=1,MAX(C$1:C1921)+1,"")</f>
        <v/>
      </c>
      <c r="D1922" s="12"/>
    </row>
    <row r="1923" spans="1:4" x14ac:dyDescent="0.25">
      <c r="A1923" t="str">
        <f>IF(COUNTIF(B$1:B1923,B1923)=1,MAX(A$1:A1922)+1,"")</f>
        <v/>
      </c>
      <c r="B1923" s="11"/>
      <c r="C1923" s="11" t="str">
        <f>IF(COUNTIF(D$1:D1923,D1923)=1,MAX(C$1:C1922)+1,"")</f>
        <v/>
      </c>
      <c r="D1923" s="12"/>
    </row>
    <row r="1924" spans="1:4" x14ac:dyDescent="0.25">
      <c r="A1924" t="str">
        <f>IF(COUNTIF(B$1:B1924,B1924)=1,MAX(A$1:A1923)+1,"")</f>
        <v/>
      </c>
      <c r="B1924" s="11"/>
      <c r="C1924" s="11" t="str">
        <f>IF(COUNTIF(D$1:D1924,D1924)=1,MAX(C$1:C1923)+1,"")</f>
        <v/>
      </c>
      <c r="D1924" s="12"/>
    </row>
    <row r="1925" spans="1:4" x14ac:dyDescent="0.25">
      <c r="A1925" t="str">
        <f>IF(COUNTIF(B$1:B1925,B1925)=1,MAX(A$1:A1924)+1,"")</f>
        <v/>
      </c>
      <c r="B1925" s="11"/>
      <c r="C1925" s="11" t="str">
        <f>IF(COUNTIF(D$1:D1925,D1925)=1,MAX(C$1:C1924)+1,"")</f>
        <v/>
      </c>
      <c r="D1925" s="12"/>
    </row>
    <row r="1926" spans="1:4" x14ac:dyDescent="0.25">
      <c r="A1926" t="str">
        <f>IF(COUNTIF(B$1:B1926,B1926)=1,MAX(A$1:A1925)+1,"")</f>
        <v/>
      </c>
      <c r="B1926" s="11"/>
      <c r="C1926" s="11" t="str">
        <f>IF(COUNTIF(D$1:D1926,D1926)=1,MAX(C$1:C1925)+1,"")</f>
        <v/>
      </c>
      <c r="D1926" s="12"/>
    </row>
    <row r="1927" spans="1:4" x14ac:dyDescent="0.25">
      <c r="A1927" t="str">
        <f>IF(COUNTIF(B$1:B1927,B1927)=1,MAX(A$1:A1926)+1,"")</f>
        <v/>
      </c>
      <c r="B1927" s="11"/>
      <c r="C1927" s="11" t="str">
        <f>IF(COUNTIF(D$1:D1927,D1927)=1,MAX(C$1:C1926)+1,"")</f>
        <v/>
      </c>
      <c r="D1927" s="12"/>
    </row>
    <row r="1928" spans="1:4" x14ac:dyDescent="0.25">
      <c r="A1928" t="str">
        <f>IF(COUNTIF(B$1:B1928,B1928)=1,MAX(A$1:A1927)+1,"")</f>
        <v/>
      </c>
      <c r="B1928" s="11"/>
      <c r="C1928" s="11" t="str">
        <f>IF(COUNTIF(D$1:D1928,D1928)=1,MAX(C$1:C1927)+1,"")</f>
        <v/>
      </c>
      <c r="D1928" s="12"/>
    </row>
    <row r="1929" spans="1:4" x14ac:dyDescent="0.25">
      <c r="A1929" t="str">
        <f>IF(COUNTIF(B$1:B1929,B1929)=1,MAX(A$1:A1928)+1,"")</f>
        <v/>
      </c>
      <c r="B1929" s="11"/>
      <c r="C1929" s="11" t="str">
        <f>IF(COUNTIF(D$1:D1929,D1929)=1,MAX(C$1:C1928)+1,"")</f>
        <v/>
      </c>
      <c r="D1929" s="12"/>
    </row>
    <row r="1930" spans="1:4" x14ac:dyDescent="0.25">
      <c r="A1930" t="str">
        <f>IF(COUNTIF(B$1:B1930,B1930)=1,MAX(A$1:A1929)+1,"")</f>
        <v/>
      </c>
      <c r="B1930" s="11"/>
      <c r="C1930" s="11" t="str">
        <f>IF(COUNTIF(D$1:D1930,D1930)=1,MAX(C$1:C1929)+1,"")</f>
        <v/>
      </c>
      <c r="D1930" s="12"/>
    </row>
    <row r="1931" spans="1:4" x14ac:dyDescent="0.25">
      <c r="A1931" t="str">
        <f>IF(COUNTIF(B$1:B1931,B1931)=1,MAX(A$1:A1930)+1,"")</f>
        <v/>
      </c>
      <c r="B1931" s="11"/>
      <c r="C1931" s="11" t="str">
        <f>IF(COUNTIF(D$1:D1931,D1931)=1,MAX(C$1:C1930)+1,"")</f>
        <v/>
      </c>
      <c r="D1931" s="12"/>
    </row>
    <row r="1932" spans="1:4" x14ac:dyDescent="0.25">
      <c r="A1932" t="str">
        <f>IF(COUNTIF(B$1:B1932,B1932)=1,MAX(A$1:A1931)+1,"")</f>
        <v/>
      </c>
      <c r="B1932" s="11"/>
      <c r="C1932" s="11" t="str">
        <f>IF(COUNTIF(D$1:D1932,D1932)=1,MAX(C$1:C1931)+1,"")</f>
        <v/>
      </c>
      <c r="D1932" s="12"/>
    </row>
    <row r="1933" spans="1:4" x14ac:dyDescent="0.25">
      <c r="A1933" t="str">
        <f>IF(COUNTIF(B$1:B1933,B1933)=1,MAX(A$1:A1932)+1,"")</f>
        <v/>
      </c>
      <c r="B1933" s="11"/>
      <c r="C1933" s="11" t="str">
        <f>IF(COUNTIF(D$1:D1933,D1933)=1,MAX(C$1:C1932)+1,"")</f>
        <v/>
      </c>
      <c r="D1933" s="12"/>
    </row>
    <row r="1934" spans="1:4" x14ac:dyDescent="0.25">
      <c r="A1934" t="str">
        <f>IF(COUNTIF(B$1:B1934,B1934)=1,MAX(A$1:A1933)+1,"")</f>
        <v/>
      </c>
      <c r="B1934" s="11"/>
      <c r="C1934" s="11" t="str">
        <f>IF(COUNTIF(D$1:D1934,D1934)=1,MAX(C$1:C1933)+1,"")</f>
        <v/>
      </c>
      <c r="D1934" s="12"/>
    </row>
    <row r="1935" spans="1:4" x14ac:dyDescent="0.25">
      <c r="A1935" t="str">
        <f>IF(COUNTIF(B$1:B1935,B1935)=1,MAX(A$1:A1934)+1,"")</f>
        <v/>
      </c>
      <c r="B1935" s="11"/>
      <c r="C1935" s="11" t="str">
        <f>IF(COUNTIF(D$1:D1935,D1935)=1,MAX(C$1:C1934)+1,"")</f>
        <v/>
      </c>
      <c r="D1935" s="12"/>
    </row>
    <row r="1936" spans="1:4" x14ac:dyDescent="0.25">
      <c r="A1936" t="str">
        <f>IF(COUNTIF(B$1:B1936,B1936)=1,MAX(A$1:A1935)+1,"")</f>
        <v/>
      </c>
      <c r="B1936" s="11"/>
      <c r="C1936" s="11" t="str">
        <f>IF(COUNTIF(D$1:D1936,D1936)=1,MAX(C$1:C1935)+1,"")</f>
        <v/>
      </c>
      <c r="D1936" s="12"/>
    </row>
    <row r="1937" spans="1:4" x14ac:dyDescent="0.25">
      <c r="A1937" t="str">
        <f>IF(COUNTIF(B$1:B1937,B1937)=1,MAX(A$1:A1936)+1,"")</f>
        <v/>
      </c>
      <c r="B1937" s="11"/>
      <c r="C1937" s="11" t="str">
        <f>IF(COUNTIF(D$1:D1937,D1937)=1,MAX(C$1:C1936)+1,"")</f>
        <v/>
      </c>
      <c r="D1937" s="12"/>
    </row>
    <row r="1938" spans="1:4" x14ac:dyDescent="0.25">
      <c r="A1938" t="str">
        <f>IF(COUNTIF(B$1:B1938,B1938)=1,MAX(A$1:A1937)+1,"")</f>
        <v/>
      </c>
      <c r="B1938" s="11"/>
      <c r="C1938" s="11" t="str">
        <f>IF(COUNTIF(D$1:D1938,D1938)=1,MAX(C$1:C1937)+1,"")</f>
        <v/>
      </c>
      <c r="D1938" s="12"/>
    </row>
    <row r="1939" spans="1:4" x14ac:dyDescent="0.25">
      <c r="A1939" t="str">
        <f>IF(COUNTIF(B$1:B1939,B1939)=1,MAX(A$1:A1938)+1,"")</f>
        <v/>
      </c>
      <c r="B1939" s="11"/>
      <c r="C1939" s="11" t="str">
        <f>IF(COUNTIF(D$1:D1939,D1939)=1,MAX(C$1:C1938)+1,"")</f>
        <v/>
      </c>
      <c r="D1939" s="12"/>
    </row>
    <row r="1940" spans="1:4" x14ac:dyDescent="0.25">
      <c r="A1940" t="str">
        <f>IF(COUNTIF(B$1:B1940,B1940)=1,MAX(A$1:A1939)+1,"")</f>
        <v/>
      </c>
      <c r="B1940" s="11"/>
      <c r="C1940" s="11" t="str">
        <f>IF(COUNTIF(D$1:D1940,D1940)=1,MAX(C$1:C1939)+1,"")</f>
        <v/>
      </c>
      <c r="D1940" s="12"/>
    </row>
    <row r="1941" spans="1:4" x14ac:dyDescent="0.25">
      <c r="A1941" t="str">
        <f>IF(COUNTIF(B$1:B1941,B1941)=1,MAX(A$1:A1940)+1,"")</f>
        <v/>
      </c>
      <c r="B1941" s="11"/>
      <c r="C1941" s="11" t="str">
        <f>IF(COUNTIF(D$1:D1941,D1941)=1,MAX(C$1:C1940)+1,"")</f>
        <v/>
      </c>
      <c r="D1941" s="12"/>
    </row>
    <row r="1942" spans="1:4" x14ac:dyDescent="0.25">
      <c r="A1942" t="str">
        <f>IF(COUNTIF(B$1:B1942,B1942)=1,MAX(A$1:A1941)+1,"")</f>
        <v/>
      </c>
      <c r="B1942" s="11"/>
      <c r="C1942" s="11" t="str">
        <f>IF(COUNTIF(D$1:D1942,D1942)=1,MAX(C$1:C1941)+1,"")</f>
        <v/>
      </c>
      <c r="D1942" s="12"/>
    </row>
    <row r="1943" spans="1:4" x14ac:dyDescent="0.25">
      <c r="A1943" t="str">
        <f>IF(COUNTIF(B$1:B1943,B1943)=1,MAX(A$1:A1942)+1,"")</f>
        <v/>
      </c>
      <c r="B1943" s="11"/>
      <c r="C1943" s="11" t="str">
        <f>IF(COUNTIF(D$1:D1943,D1943)=1,MAX(C$1:C1942)+1,"")</f>
        <v/>
      </c>
      <c r="D1943" s="12"/>
    </row>
    <row r="1944" spans="1:4" x14ac:dyDescent="0.25">
      <c r="A1944" t="str">
        <f>IF(COUNTIF(B$1:B1944,B1944)=1,MAX(A$1:A1943)+1,"")</f>
        <v/>
      </c>
      <c r="B1944" s="11"/>
      <c r="C1944" s="11" t="str">
        <f>IF(COUNTIF(D$1:D1944,D1944)=1,MAX(C$1:C1943)+1,"")</f>
        <v/>
      </c>
      <c r="D1944" s="12"/>
    </row>
    <row r="1945" spans="1:4" x14ac:dyDescent="0.25">
      <c r="A1945" t="str">
        <f>IF(COUNTIF(B$1:B1945,B1945)=1,MAX(A$1:A1944)+1,"")</f>
        <v/>
      </c>
      <c r="B1945" s="11"/>
      <c r="C1945" s="11" t="str">
        <f>IF(COUNTIF(D$1:D1945,D1945)=1,MAX(C$1:C1944)+1,"")</f>
        <v/>
      </c>
      <c r="D1945" s="12"/>
    </row>
    <row r="1946" spans="1:4" x14ac:dyDescent="0.25">
      <c r="A1946" t="str">
        <f>IF(COUNTIF(B$1:B1946,B1946)=1,MAX(A$1:A1945)+1,"")</f>
        <v/>
      </c>
      <c r="B1946" s="11"/>
      <c r="C1946" s="11" t="str">
        <f>IF(COUNTIF(D$1:D1946,D1946)=1,MAX(C$1:C1945)+1,"")</f>
        <v/>
      </c>
      <c r="D1946" s="12"/>
    </row>
    <row r="1947" spans="1:4" x14ac:dyDescent="0.25">
      <c r="A1947" t="str">
        <f>IF(COUNTIF(B$1:B1947,B1947)=1,MAX(A$1:A1946)+1,"")</f>
        <v/>
      </c>
      <c r="B1947" s="11"/>
      <c r="C1947" s="11" t="str">
        <f>IF(COUNTIF(D$1:D1947,D1947)=1,MAX(C$1:C1946)+1,"")</f>
        <v/>
      </c>
      <c r="D1947" s="12"/>
    </row>
    <row r="1948" spans="1:4" x14ac:dyDescent="0.25">
      <c r="A1948" t="str">
        <f>IF(COUNTIF(B$1:B1948,B1948)=1,MAX(A$1:A1947)+1,"")</f>
        <v/>
      </c>
      <c r="B1948" s="11"/>
      <c r="C1948" s="11" t="str">
        <f>IF(COUNTIF(D$1:D1948,D1948)=1,MAX(C$1:C1947)+1,"")</f>
        <v/>
      </c>
      <c r="D1948" s="12"/>
    </row>
    <row r="1949" spans="1:4" x14ac:dyDescent="0.25">
      <c r="A1949" t="str">
        <f>IF(COUNTIF(B$1:B1949,B1949)=1,MAX(A$1:A1948)+1,"")</f>
        <v/>
      </c>
      <c r="B1949" s="11"/>
      <c r="C1949" s="11" t="str">
        <f>IF(COUNTIF(D$1:D1949,D1949)=1,MAX(C$1:C1948)+1,"")</f>
        <v/>
      </c>
      <c r="D1949" s="12"/>
    </row>
    <row r="1950" spans="1:4" x14ac:dyDescent="0.25">
      <c r="A1950" t="str">
        <f>IF(COUNTIF(B$1:B1950,B1950)=1,MAX(A$1:A1949)+1,"")</f>
        <v/>
      </c>
      <c r="B1950" s="11"/>
      <c r="C1950" s="11" t="str">
        <f>IF(COUNTIF(D$1:D1950,D1950)=1,MAX(C$1:C1949)+1,"")</f>
        <v/>
      </c>
      <c r="D1950" s="12"/>
    </row>
    <row r="1951" spans="1:4" x14ac:dyDescent="0.25">
      <c r="A1951" t="str">
        <f>IF(COUNTIF(B$1:B1951,B1951)=1,MAX(A$1:A1950)+1,"")</f>
        <v/>
      </c>
      <c r="B1951" s="11"/>
      <c r="C1951" s="11" t="str">
        <f>IF(COUNTIF(D$1:D1951,D1951)=1,MAX(C$1:C1950)+1,"")</f>
        <v/>
      </c>
      <c r="D1951" s="12"/>
    </row>
    <row r="1952" spans="1:4" x14ac:dyDescent="0.25">
      <c r="A1952" t="str">
        <f>IF(COUNTIF(B$1:B1952,B1952)=1,MAX(A$1:A1951)+1,"")</f>
        <v/>
      </c>
      <c r="B1952" s="11"/>
      <c r="C1952" s="11" t="str">
        <f>IF(COUNTIF(D$1:D1952,D1952)=1,MAX(C$1:C1951)+1,"")</f>
        <v/>
      </c>
      <c r="D1952" s="12"/>
    </row>
    <row r="1953" spans="1:4" x14ac:dyDescent="0.25">
      <c r="A1953" t="str">
        <f>IF(COUNTIF(B$1:B1953,B1953)=1,MAX(A$1:A1952)+1,"")</f>
        <v/>
      </c>
      <c r="B1953" s="11"/>
      <c r="C1953" s="11" t="str">
        <f>IF(COUNTIF(D$1:D1953,D1953)=1,MAX(C$1:C1952)+1,"")</f>
        <v/>
      </c>
      <c r="D1953" s="12"/>
    </row>
    <row r="1954" spans="1:4" x14ac:dyDescent="0.25">
      <c r="A1954" t="str">
        <f>IF(COUNTIF(B$1:B1954,B1954)=1,MAX(A$1:A1953)+1,"")</f>
        <v/>
      </c>
      <c r="B1954" s="11"/>
      <c r="C1954" s="11" t="str">
        <f>IF(COUNTIF(D$1:D1954,D1954)=1,MAX(C$1:C1953)+1,"")</f>
        <v/>
      </c>
      <c r="D1954" s="12"/>
    </row>
    <row r="1955" spans="1:4" x14ac:dyDescent="0.25">
      <c r="A1955" t="str">
        <f>IF(COUNTIF(B$1:B1955,B1955)=1,MAX(A$1:A1954)+1,"")</f>
        <v/>
      </c>
      <c r="B1955" s="11"/>
      <c r="C1955" s="11" t="str">
        <f>IF(COUNTIF(D$1:D1955,D1955)=1,MAX(C$1:C1954)+1,"")</f>
        <v/>
      </c>
      <c r="D1955" s="12"/>
    </row>
    <row r="1956" spans="1:4" x14ac:dyDescent="0.25">
      <c r="A1956" t="str">
        <f>IF(COUNTIF(B$1:B1956,B1956)=1,MAX(A$1:A1955)+1,"")</f>
        <v/>
      </c>
      <c r="B1956" s="11"/>
      <c r="C1956" s="11" t="str">
        <f>IF(COUNTIF(D$1:D1956,D1956)=1,MAX(C$1:C1955)+1,"")</f>
        <v/>
      </c>
      <c r="D1956" s="12"/>
    </row>
    <row r="1957" spans="1:4" x14ac:dyDescent="0.25">
      <c r="A1957" t="str">
        <f>IF(COUNTIF(B$1:B1957,B1957)=1,MAX(A$1:A1956)+1,"")</f>
        <v/>
      </c>
      <c r="B1957" s="11"/>
      <c r="C1957" s="11" t="str">
        <f>IF(COUNTIF(D$1:D1957,D1957)=1,MAX(C$1:C1956)+1,"")</f>
        <v/>
      </c>
      <c r="D1957" s="12"/>
    </row>
    <row r="1958" spans="1:4" x14ac:dyDescent="0.25">
      <c r="A1958" t="str">
        <f>IF(COUNTIF(B$1:B1958,B1958)=1,MAX(A$1:A1957)+1,"")</f>
        <v/>
      </c>
      <c r="B1958" s="11"/>
      <c r="C1958" s="11" t="str">
        <f>IF(COUNTIF(D$1:D1958,D1958)=1,MAX(C$1:C1957)+1,"")</f>
        <v/>
      </c>
      <c r="D1958" s="12"/>
    </row>
    <row r="1959" spans="1:4" x14ac:dyDescent="0.25">
      <c r="A1959" t="str">
        <f>IF(COUNTIF(B$1:B1959,B1959)=1,MAX(A$1:A1958)+1,"")</f>
        <v/>
      </c>
      <c r="B1959" s="11"/>
      <c r="C1959" s="11" t="str">
        <f>IF(COUNTIF(D$1:D1959,D1959)=1,MAX(C$1:C1958)+1,"")</f>
        <v/>
      </c>
      <c r="D1959" s="12"/>
    </row>
    <row r="1960" spans="1:4" x14ac:dyDescent="0.25">
      <c r="A1960" t="str">
        <f>IF(COUNTIF(B$1:B1960,B1960)=1,MAX(A$1:A1959)+1,"")</f>
        <v/>
      </c>
      <c r="B1960" s="11"/>
      <c r="C1960" s="11" t="str">
        <f>IF(COUNTIF(D$1:D1960,D1960)=1,MAX(C$1:C1959)+1,"")</f>
        <v/>
      </c>
      <c r="D1960" s="12"/>
    </row>
    <row r="1961" spans="1:4" x14ac:dyDescent="0.25">
      <c r="A1961" t="str">
        <f>IF(COUNTIF(B$1:B1961,B1961)=1,MAX(A$1:A1960)+1,"")</f>
        <v/>
      </c>
      <c r="B1961" s="11"/>
      <c r="C1961" s="11" t="str">
        <f>IF(COUNTIF(D$1:D1961,D1961)=1,MAX(C$1:C1960)+1,"")</f>
        <v/>
      </c>
      <c r="D1961" s="12"/>
    </row>
    <row r="1962" spans="1:4" x14ac:dyDescent="0.25">
      <c r="A1962" t="str">
        <f>IF(COUNTIF(B$1:B1962,B1962)=1,MAX(A$1:A1961)+1,"")</f>
        <v/>
      </c>
      <c r="B1962" s="11"/>
      <c r="C1962" s="11" t="str">
        <f>IF(COUNTIF(D$1:D1962,D1962)=1,MAX(C$1:C1961)+1,"")</f>
        <v/>
      </c>
      <c r="D1962" s="12"/>
    </row>
    <row r="1963" spans="1:4" x14ac:dyDescent="0.25">
      <c r="A1963" t="str">
        <f>IF(COUNTIF(B$1:B1963,B1963)=1,MAX(A$1:A1962)+1,"")</f>
        <v/>
      </c>
      <c r="B1963" s="11"/>
      <c r="C1963" s="11" t="str">
        <f>IF(COUNTIF(D$1:D1963,D1963)=1,MAX(C$1:C1962)+1,"")</f>
        <v/>
      </c>
      <c r="D1963" s="12"/>
    </row>
    <row r="1964" spans="1:4" x14ac:dyDescent="0.25">
      <c r="A1964" t="str">
        <f>IF(COUNTIF(B$1:B1964,B1964)=1,MAX(A$1:A1963)+1,"")</f>
        <v/>
      </c>
      <c r="B1964" s="11"/>
      <c r="C1964" s="11" t="str">
        <f>IF(COUNTIF(D$1:D1964,D1964)=1,MAX(C$1:C1963)+1,"")</f>
        <v/>
      </c>
      <c r="D1964" s="12"/>
    </row>
    <row r="1965" spans="1:4" x14ac:dyDescent="0.25">
      <c r="A1965" t="str">
        <f>IF(COUNTIF(B$1:B1965,B1965)=1,MAX(A$1:A1964)+1,"")</f>
        <v/>
      </c>
      <c r="B1965" s="11"/>
      <c r="C1965" s="11" t="str">
        <f>IF(COUNTIF(D$1:D1965,D1965)=1,MAX(C$1:C1964)+1,"")</f>
        <v/>
      </c>
      <c r="D1965" s="12"/>
    </row>
    <row r="1966" spans="1:4" x14ac:dyDescent="0.25">
      <c r="A1966" t="str">
        <f>IF(COUNTIF(B$1:B1966,B1966)=1,MAX(A$1:A1965)+1,"")</f>
        <v/>
      </c>
      <c r="B1966" s="11"/>
      <c r="C1966" s="11" t="str">
        <f>IF(COUNTIF(D$1:D1966,D1966)=1,MAX(C$1:C1965)+1,"")</f>
        <v/>
      </c>
      <c r="D1966" s="12"/>
    </row>
    <row r="1967" spans="1:4" x14ac:dyDescent="0.25">
      <c r="A1967" t="str">
        <f>IF(COUNTIF(B$1:B1967,B1967)=1,MAX(A$1:A1966)+1,"")</f>
        <v/>
      </c>
      <c r="B1967" s="11"/>
      <c r="C1967" s="11" t="str">
        <f>IF(COUNTIF(D$1:D1967,D1967)=1,MAX(C$1:C1966)+1,"")</f>
        <v/>
      </c>
      <c r="D1967" s="12"/>
    </row>
    <row r="1968" spans="1:4" x14ac:dyDescent="0.25">
      <c r="A1968" t="str">
        <f>IF(COUNTIF(B$1:B1968,B1968)=1,MAX(A$1:A1967)+1,"")</f>
        <v/>
      </c>
      <c r="B1968" s="11"/>
      <c r="C1968" s="11" t="str">
        <f>IF(COUNTIF(D$1:D1968,D1968)=1,MAX(C$1:C1967)+1,"")</f>
        <v/>
      </c>
      <c r="D1968" s="12"/>
    </row>
    <row r="1969" spans="1:4" x14ac:dyDescent="0.25">
      <c r="A1969" t="str">
        <f>IF(COUNTIF(B$1:B1969,B1969)=1,MAX(A$1:A1968)+1,"")</f>
        <v/>
      </c>
      <c r="B1969" s="11"/>
      <c r="C1969" s="11" t="str">
        <f>IF(COUNTIF(D$1:D1969,D1969)=1,MAX(C$1:C1968)+1,"")</f>
        <v/>
      </c>
      <c r="D1969" s="12"/>
    </row>
    <row r="1970" spans="1:4" x14ac:dyDescent="0.25">
      <c r="A1970" t="str">
        <f>IF(COUNTIF(B$1:B1970,B1970)=1,MAX(A$1:A1969)+1,"")</f>
        <v/>
      </c>
      <c r="B1970" s="11"/>
      <c r="C1970" s="11" t="str">
        <f>IF(COUNTIF(D$1:D1970,D1970)=1,MAX(C$1:C1969)+1,"")</f>
        <v/>
      </c>
      <c r="D1970" s="12"/>
    </row>
    <row r="1971" spans="1:4" x14ac:dyDescent="0.25">
      <c r="A1971" t="str">
        <f>IF(COUNTIF(B$1:B1971,B1971)=1,MAX(A$1:A1970)+1,"")</f>
        <v/>
      </c>
      <c r="B1971" s="11"/>
      <c r="C1971" s="11" t="str">
        <f>IF(COUNTIF(D$1:D1971,D1971)=1,MAX(C$1:C1970)+1,"")</f>
        <v/>
      </c>
      <c r="D1971" s="12"/>
    </row>
    <row r="1972" spans="1:4" x14ac:dyDescent="0.25">
      <c r="A1972" t="str">
        <f>IF(COUNTIF(B$1:B1972,B1972)=1,MAX(A$1:A1971)+1,"")</f>
        <v/>
      </c>
      <c r="B1972" s="11"/>
      <c r="C1972" s="11" t="str">
        <f>IF(COUNTIF(D$1:D1972,D1972)=1,MAX(C$1:C1971)+1,"")</f>
        <v/>
      </c>
      <c r="D1972" s="12"/>
    </row>
    <row r="1973" spans="1:4" x14ac:dyDescent="0.25">
      <c r="A1973" t="str">
        <f>IF(COUNTIF(B$1:B1973,B1973)=1,MAX(A$1:A1972)+1,"")</f>
        <v/>
      </c>
      <c r="B1973" s="11"/>
      <c r="C1973" s="11" t="str">
        <f>IF(COUNTIF(D$1:D1973,D1973)=1,MAX(C$1:C1972)+1,"")</f>
        <v/>
      </c>
      <c r="D1973" s="12"/>
    </row>
    <row r="1974" spans="1:4" x14ac:dyDescent="0.25">
      <c r="A1974" t="str">
        <f>IF(COUNTIF(B$1:B1974,B1974)=1,MAX(A$1:A1973)+1,"")</f>
        <v/>
      </c>
      <c r="B1974" s="11"/>
      <c r="C1974" s="11" t="str">
        <f>IF(COUNTIF(D$1:D1974,D1974)=1,MAX(C$1:C1973)+1,"")</f>
        <v/>
      </c>
      <c r="D1974" s="12"/>
    </row>
    <row r="1975" spans="1:4" x14ac:dyDescent="0.25">
      <c r="A1975" t="str">
        <f>IF(COUNTIF(B$1:B1975,B1975)=1,MAX(A$1:A1974)+1,"")</f>
        <v/>
      </c>
      <c r="B1975" s="11"/>
      <c r="C1975" s="11" t="str">
        <f>IF(COUNTIF(D$1:D1975,D1975)=1,MAX(C$1:C1974)+1,"")</f>
        <v/>
      </c>
      <c r="D1975" s="12"/>
    </row>
    <row r="1976" spans="1:4" x14ac:dyDescent="0.25">
      <c r="A1976" t="str">
        <f>IF(COUNTIF(B$1:B1976,B1976)=1,MAX(A$1:A1975)+1,"")</f>
        <v/>
      </c>
      <c r="B1976" s="11"/>
      <c r="C1976" s="11" t="str">
        <f>IF(COUNTIF(D$1:D1976,D1976)=1,MAX(C$1:C1975)+1,"")</f>
        <v/>
      </c>
      <c r="D1976" s="12"/>
    </row>
    <row r="1977" spans="1:4" x14ac:dyDescent="0.25">
      <c r="A1977" t="str">
        <f>IF(COUNTIF(B$1:B1977,B1977)=1,MAX(A$1:A1976)+1,"")</f>
        <v/>
      </c>
      <c r="B1977" s="11"/>
      <c r="C1977" s="11" t="str">
        <f>IF(COUNTIF(D$1:D1977,D1977)=1,MAX(C$1:C1976)+1,"")</f>
        <v/>
      </c>
      <c r="D1977" s="12"/>
    </row>
    <row r="1978" spans="1:4" x14ac:dyDescent="0.25">
      <c r="A1978" t="str">
        <f>IF(COUNTIF(B$1:B1978,B1978)=1,MAX(A$1:A1977)+1,"")</f>
        <v/>
      </c>
      <c r="B1978" s="11"/>
      <c r="C1978" s="11" t="str">
        <f>IF(COUNTIF(D$1:D1978,D1978)=1,MAX(C$1:C1977)+1,"")</f>
        <v/>
      </c>
      <c r="D1978" s="12"/>
    </row>
    <row r="1979" spans="1:4" x14ac:dyDescent="0.25">
      <c r="A1979" t="str">
        <f>IF(COUNTIF(B$1:B1979,B1979)=1,MAX(A$1:A1978)+1,"")</f>
        <v/>
      </c>
      <c r="B1979" s="11"/>
      <c r="C1979" s="11" t="str">
        <f>IF(COUNTIF(D$1:D1979,D1979)=1,MAX(C$1:C1978)+1,"")</f>
        <v/>
      </c>
      <c r="D1979" s="12"/>
    </row>
    <row r="1980" spans="1:4" x14ac:dyDescent="0.25">
      <c r="A1980" t="str">
        <f>IF(COUNTIF(B$1:B1980,B1980)=1,MAX(A$1:A1979)+1,"")</f>
        <v/>
      </c>
      <c r="B1980" s="11"/>
      <c r="C1980" s="11" t="str">
        <f>IF(COUNTIF(D$1:D1980,D1980)=1,MAX(C$1:C1979)+1,"")</f>
        <v/>
      </c>
      <c r="D1980" s="12"/>
    </row>
    <row r="1981" spans="1:4" x14ac:dyDescent="0.25">
      <c r="A1981" t="str">
        <f>IF(COUNTIF(B$1:B1981,B1981)=1,MAX(A$1:A1980)+1,"")</f>
        <v/>
      </c>
      <c r="B1981" s="11"/>
      <c r="C1981" s="11" t="str">
        <f>IF(COUNTIF(D$1:D1981,D1981)=1,MAX(C$1:C1980)+1,"")</f>
        <v/>
      </c>
      <c r="D1981" s="12"/>
    </row>
    <row r="1982" spans="1:4" x14ac:dyDescent="0.25">
      <c r="A1982" t="str">
        <f>IF(COUNTIF(B$1:B1982,B1982)=1,MAX(A$1:A1981)+1,"")</f>
        <v/>
      </c>
      <c r="B1982" s="11"/>
      <c r="C1982" s="11" t="str">
        <f>IF(COUNTIF(D$1:D1982,D1982)=1,MAX(C$1:C1981)+1,"")</f>
        <v/>
      </c>
      <c r="D1982" s="12"/>
    </row>
    <row r="1983" spans="1:4" x14ac:dyDescent="0.25">
      <c r="A1983" t="str">
        <f>IF(COUNTIF(B$1:B1983,B1983)=1,MAX(A$1:A1982)+1,"")</f>
        <v/>
      </c>
      <c r="B1983" s="11"/>
      <c r="C1983" s="11" t="str">
        <f>IF(COUNTIF(D$1:D1983,D1983)=1,MAX(C$1:C1982)+1,"")</f>
        <v/>
      </c>
      <c r="D1983" s="12"/>
    </row>
    <row r="1984" spans="1:4" x14ac:dyDescent="0.25">
      <c r="A1984" t="str">
        <f>IF(COUNTIF(B$1:B1984,B1984)=1,MAX(A$1:A1983)+1,"")</f>
        <v/>
      </c>
      <c r="B1984" s="11"/>
      <c r="C1984" s="11" t="str">
        <f>IF(COUNTIF(D$1:D1984,D1984)=1,MAX(C$1:C1983)+1,"")</f>
        <v/>
      </c>
      <c r="D1984" s="12"/>
    </row>
    <row r="1985" spans="1:4" x14ac:dyDescent="0.25">
      <c r="A1985" t="str">
        <f>IF(COUNTIF(B$1:B1985,B1985)=1,MAX(A$1:A1984)+1,"")</f>
        <v/>
      </c>
      <c r="B1985" s="11"/>
      <c r="C1985" s="11" t="str">
        <f>IF(COUNTIF(D$1:D1985,D1985)=1,MAX(C$1:C1984)+1,"")</f>
        <v/>
      </c>
      <c r="D1985" s="12"/>
    </row>
    <row r="1986" spans="1:4" x14ac:dyDescent="0.25">
      <c r="A1986" t="str">
        <f>IF(COUNTIF(B$1:B1986,B1986)=1,MAX(A$1:A1985)+1,"")</f>
        <v/>
      </c>
      <c r="B1986" s="11"/>
      <c r="C1986" s="11" t="str">
        <f>IF(COUNTIF(D$1:D1986,D1986)=1,MAX(C$1:C1985)+1,"")</f>
        <v/>
      </c>
      <c r="D1986" s="12"/>
    </row>
    <row r="1987" spans="1:4" x14ac:dyDescent="0.25">
      <c r="A1987" t="str">
        <f>IF(COUNTIF(B$1:B1987,B1987)=1,MAX(A$1:A1986)+1,"")</f>
        <v/>
      </c>
      <c r="B1987" s="11"/>
      <c r="C1987" s="11" t="str">
        <f>IF(COUNTIF(D$1:D1987,D1987)=1,MAX(C$1:C1986)+1,"")</f>
        <v/>
      </c>
      <c r="D1987" s="12"/>
    </row>
    <row r="1988" spans="1:4" x14ac:dyDescent="0.25">
      <c r="A1988" t="str">
        <f>IF(COUNTIF(B$1:B1988,B1988)=1,MAX(A$1:A1987)+1,"")</f>
        <v/>
      </c>
      <c r="B1988" s="11"/>
      <c r="C1988" s="11" t="str">
        <f>IF(COUNTIF(D$1:D1988,D1988)=1,MAX(C$1:C1987)+1,"")</f>
        <v/>
      </c>
      <c r="D1988" s="12"/>
    </row>
    <row r="1989" spans="1:4" x14ac:dyDescent="0.25">
      <c r="A1989" t="str">
        <f>IF(COUNTIF(B$1:B1989,B1989)=1,MAX(A$1:A1988)+1,"")</f>
        <v/>
      </c>
      <c r="B1989" s="11"/>
      <c r="C1989" s="11" t="str">
        <f>IF(COUNTIF(D$1:D1989,D1989)=1,MAX(C$1:C1988)+1,"")</f>
        <v/>
      </c>
      <c r="D1989" s="12"/>
    </row>
    <row r="1990" spans="1:4" x14ac:dyDescent="0.25">
      <c r="A1990" t="str">
        <f>IF(COUNTIF(B$1:B1990,B1990)=1,MAX(A$1:A1989)+1,"")</f>
        <v/>
      </c>
      <c r="B1990" s="11"/>
      <c r="C1990" s="11" t="str">
        <f>IF(COUNTIF(D$1:D1990,D1990)=1,MAX(C$1:C1989)+1,"")</f>
        <v/>
      </c>
      <c r="D1990" s="12"/>
    </row>
    <row r="1991" spans="1:4" x14ac:dyDescent="0.25">
      <c r="A1991" t="str">
        <f>IF(COUNTIF(B$1:B1991,B1991)=1,MAX(A$1:A1990)+1,"")</f>
        <v/>
      </c>
      <c r="B1991" s="11"/>
      <c r="C1991" s="11" t="str">
        <f>IF(COUNTIF(D$1:D1991,D1991)=1,MAX(C$1:C1990)+1,"")</f>
        <v/>
      </c>
      <c r="D1991" s="12"/>
    </row>
    <row r="1992" spans="1:4" x14ac:dyDescent="0.25">
      <c r="A1992" t="str">
        <f>IF(COUNTIF(B$1:B1992,B1992)=1,MAX(A$1:A1991)+1,"")</f>
        <v/>
      </c>
      <c r="B1992" s="11"/>
      <c r="C1992" s="11" t="str">
        <f>IF(COUNTIF(D$1:D1992,D1992)=1,MAX(C$1:C1991)+1,"")</f>
        <v/>
      </c>
      <c r="D1992" s="12"/>
    </row>
    <row r="1993" spans="1:4" x14ac:dyDescent="0.25">
      <c r="A1993" t="str">
        <f>IF(COUNTIF(B$1:B1993,B1993)=1,MAX(A$1:A1992)+1,"")</f>
        <v/>
      </c>
      <c r="B1993" s="11"/>
      <c r="C1993" s="11" t="str">
        <f>IF(COUNTIF(D$1:D1993,D1993)=1,MAX(C$1:C1992)+1,"")</f>
        <v/>
      </c>
      <c r="D1993" s="12"/>
    </row>
    <row r="1994" spans="1:4" x14ac:dyDescent="0.25">
      <c r="A1994" t="str">
        <f>IF(COUNTIF(B$1:B1994,B1994)=1,MAX(A$1:A1993)+1,"")</f>
        <v/>
      </c>
      <c r="B1994" s="11"/>
      <c r="C1994" s="11" t="str">
        <f>IF(COUNTIF(D$1:D1994,D1994)=1,MAX(C$1:C1993)+1,"")</f>
        <v/>
      </c>
      <c r="D1994" s="12"/>
    </row>
    <row r="1995" spans="1:4" x14ac:dyDescent="0.25">
      <c r="A1995" t="str">
        <f>IF(COUNTIF(B$1:B1995,B1995)=1,MAX(A$1:A1994)+1,"")</f>
        <v/>
      </c>
      <c r="B1995" s="11"/>
      <c r="C1995" s="11" t="str">
        <f>IF(COUNTIF(D$1:D1995,D1995)=1,MAX(C$1:C1994)+1,"")</f>
        <v/>
      </c>
      <c r="D1995" s="12"/>
    </row>
    <row r="1996" spans="1:4" x14ac:dyDescent="0.25">
      <c r="A1996" t="str">
        <f>IF(COUNTIF(B$1:B1996,B1996)=1,MAX(A$1:A1995)+1,"")</f>
        <v/>
      </c>
      <c r="B1996" s="11"/>
      <c r="C1996" s="11" t="str">
        <f>IF(COUNTIF(D$1:D1996,D1996)=1,MAX(C$1:C1995)+1,"")</f>
        <v/>
      </c>
      <c r="D1996" s="12"/>
    </row>
    <row r="1997" spans="1:4" x14ac:dyDescent="0.25">
      <c r="A1997" t="str">
        <f>IF(COUNTIF(B$1:B1997,B1997)=1,MAX(A$1:A1996)+1,"")</f>
        <v/>
      </c>
      <c r="B1997" s="11"/>
      <c r="C1997" s="11" t="str">
        <f>IF(COUNTIF(D$1:D1997,D1997)=1,MAX(C$1:C1996)+1,"")</f>
        <v/>
      </c>
      <c r="D1997" s="12"/>
    </row>
    <row r="1998" spans="1:4" x14ac:dyDescent="0.25">
      <c r="A1998" t="str">
        <f>IF(COUNTIF(B$1:B1998,B1998)=1,MAX(A$1:A1997)+1,"")</f>
        <v/>
      </c>
      <c r="B1998" s="11"/>
      <c r="C1998" s="11" t="str">
        <f>IF(COUNTIF(D$1:D1998,D1998)=1,MAX(C$1:C1997)+1,"")</f>
        <v/>
      </c>
      <c r="D1998" s="12"/>
    </row>
    <row r="1999" spans="1:4" x14ac:dyDescent="0.25">
      <c r="A1999" t="str">
        <f>IF(COUNTIF(B$1:B1999,B1999)=1,MAX(A$1:A1998)+1,"")</f>
        <v/>
      </c>
      <c r="B1999" s="11"/>
      <c r="C1999" s="11" t="str">
        <f>IF(COUNTIF(D$1:D1999,D1999)=1,MAX(C$1:C1998)+1,"")</f>
        <v/>
      </c>
      <c r="D1999" s="12"/>
    </row>
    <row r="2000" spans="1:4" x14ac:dyDescent="0.25">
      <c r="A2000" t="str">
        <f>IF(COUNTIF(B$1:B2000,B2000)=1,MAX(A$1:A1999)+1,"")</f>
        <v/>
      </c>
      <c r="B2000" s="11"/>
      <c r="C2000" s="11" t="str">
        <f>IF(COUNTIF(D$1:D2000,D2000)=1,MAX(C$1:C1999)+1,"")</f>
        <v/>
      </c>
      <c r="D2000" s="12"/>
    </row>
    <row r="2001" spans="1:4" x14ac:dyDescent="0.25">
      <c r="A2001" t="str">
        <f>IF(COUNTIF(B$1:B2001,B2001)=1,MAX(A$1:A2000)+1,"")</f>
        <v/>
      </c>
      <c r="B2001" s="11"/>
      <c r="C2001" s="11" t="str">
        <f>IF(COUNTIF(D$1:D2001,D2001)=1,MAX(C$1:C2000)+1,"")</f>
        <v/>
      </c>
      <c r="D2001" s="12"/>
    </row>
    <row r="2002" spans="1:4" x14ac:dyDescent="0.25">
      <c r="A2002" t="str">
        <f>IF(COUNTIF(B$1:B2002,B2002)=1,MAX(A$1:A2001)+1,"")</f>
        <v/>
      </c>
      <c r="B2002" s="11"/>
      <c r="C2002" s="11" t="str">
        <f>IF(COUNTIF(D$1:D2002,D2002)=1,MAX(C$1:C2001)+1,"")</f>
        <v/>
      </c>
      <c r="D2002" s="12"/>
    </row>
    <row r="2003" spans="1:4" x14ac:dyDescent="0.25">
      <c r="A2003" t="str">
        <f>IF(COUNTIF(B$1:B2003,B2003)=1,MAX(A$1:A2002)+1,"")</f>
        <v/>
      </c>
      <c r="B2003" s="11"/>
      <c r="C2003" s="11" t="str">
        <f>IF(COUNTIF(D$1:D2003,D2003)=1,MAX(C$1:C2002)+1,"")</f>
        <v/>
      </c>
      <c r="D2003" s="12"/>
    </row>
    <row r="2004" spans="1:4" x14ac:dyDescent="0.25">
      <c r="A2004" t="str">
        <f>IF(COUNTIF(B$1:B2004,B2004)=1,MAX(A$1:A2003)+1,"")</f>
        <v/>
      </c>
      <c r="B2004" s="11"/>
      <c r="C2004" s="11" t="str">
        <f>IF(COUNTIF(D$1:D2004,D2004)=1,MAX(C$1:C2003)+1,"")</f>
        <v/>
      </c>
      <c r="D2004" s="12"/>
    </row>
    <row r="2005" spans="1:4" x14ac:dyDescent="0.25">
      <c r="A2005" t="str">
        <f>IF(COUNTIF(B$1:B2005,B2005)=1,MAX(A$1:A2004)+1,"")</f>
        <v/>
      </c>
      <c r="B2005" s="11"/>
      <c r="C2005" s="11" t="str">
        <f>IF(COUNTIF(D$1:D2005,D2005)=1,MAX(C$1:C2004)+1,"")</f>
        <v/>
      </c>
      <c r="D2005" s="12"/>
    </row>
    <row r="2006" spans="1:4" x14ac:dyDescent="0.25">
      <c r="A2006" t="str">
        <f>IF(COUNTIF(B$1:B2006,B2006)=1,MAX(A$1:A2005)+1,"")</f>
        <v/>
      </c>
      <c r="B2006" s="11"/>
      <c r="C2006" s="11" t="str">
        <f>IF(COUNTIF(D$1:D2006,D2006)=1,MAX(C$1:C2005)+1,"")</f>
        <v/>
      </c>
      <c r="D2006" s="12"/>
    </row>
    <row r="2007" spans="1:4" x14ac:dyDescent="0.25">
      <c r="A2007" t="str">
        <f>IF(COUNTIF(B$1:B2007,B2007)=1,MAX(A$1:A2006)+1,"")</f>
        <v/>
      </c>
      <c r="B2007" s="11"/>
      <c r="C2007" s="11" t="str">
        <f>IF(COUNTIF(D$1:D2007,D2007)=1,MAX(C$1:C2006)+1,"")</f>
        <v/>
      </c>
      <c r="D2007" s="12"/>
    </row>
    <row r="2008" spans="1:4" x14ac:dyDescent="0.25">
      <c r="A2008" t="str">
        <f>IF(COUNTIF(B$1:B2008,B2008)=1,MAX(A$1:A2007)+1,"")</f>
        <v/>
      </c>
      <c r="B2008" s="11"/>
      <c r="C2008" s="11" t="str">
        <f>IF(COUNTIF(D$1:D2008,D2008)=1,MAX(C$1:C2007)+1,"")</f>
        <v/>
      </c>
      <c r="D2008" s="12"/>
    </row>
    <row r="2009" spans="1:4" x14ac:dyDescent="0.25">
      <c r="A2009" t="str">
        <f>IF(COUNTIF(B$1:B2009,B2009)=1,MAX(A$1:A2008)+1,"")</f>
        <v/>
      </c>
      <c r="B2009" s="11"/>
      <c r="C2009" s="11" t="str">
        <f>IF(COUNTIF(D$1:D2009,D2009)=1,MAX(C$1:C2008)+1,"")</f>
        <v/>
      </c>
      <c r="D2009" s="12"/>
    </row>
    <row r="2010" spans="1:4" x14ac:dyDescent="0.25">
      <c r="A2010" t="str">
        <f>IF(COUNTIF(B$1:B2010,B2010)=1,MAX(A$1:A2009)+1,"")</f>
        <v/>
      </c>
      <c r="B2010" s="11"/>
      <c r="C2010" s="11" t="str">
        <f>IF(COUNTIF(D$1:D2010,D2010)=1,MAX(C$1:C2009)+1,"")</f>
        <v/>
      </c>
      <c r="D2010" s="12"/>
    </row>
    <row r="2011" spans="1:4" x14ac:dyDescent="0.25">
      <c r="A2011" t="str">
        <f>IF(COUNTIF(B$1:B2011,B2011)=1,MAX(A$1:A2010)+1,"")</f>
        <v/>
      </c>
      <c r="B2011" s="11"/>
      <c r="C2011" s="11" t="str">
        <f>IF(COUNTIF(D$1:D2011,D2011)=1,MAX(C$1:C2010)+1,"")</f>
        <v/>
      </c>
      <c r="D2011" s="12"/>
    </row>
    <row r="2012" spans="1:4" x14ac:dyDescent="0.25">
      <c r="A2012" t="str">
        <f>IF(COUNTIF(B$1:B2012,B2012)=1,MAX(A$1:A2011)+1,"")</f>
        <v/>
      </c>
      <c r="B2012" s="11"/>
      <c r="C2012" s="11" t="str">
        <f>IF(COUNTIF(D$1:D2012,D2012)=1,MAX(C$1:C2011)+1,"")</f>
        <v/>
      </c>
      <c r="D2012" s="12"/>
    </row>
    <row r="2013" spans="1:4" x14ac:dyDescent="0.25">
      <c r="A2013" t="str">
        <f>IF(COUNTIF(B$1:B2013,B2013)=1,MAX(A$1:A2012)+1,"")</f>
        <v/>
      </c>
      <c r="B2013" s="11"/>
      <c r="C2013" s="11" t="str">
        <f>IF(COUNTIF(D$1:D2013,D2013)=1,MAX(C$1:C2012)+1,"")</f>
        <v/>
      </c>
      <c r="D2013" s="12"/>
    </row>
    <row r="2014" spans="1:4" x14ac:dyDescent="0.25">
      <c r="A2014" t="str">
        <f>IF(COUNTIF(B$1:B2014,B2014)=1,MAX(A$1:A2013)+1,"")</f>
        <v/>
      </c>
      <c r="B2014" s="11"/>
      <c r="C2014" s="11" t="str">
        <f>IF(COUNTIF(D$1:D2014,D2014)=1,MAX(C$1:C2013)+1,"")</f>
        <v/>
      </c>
      <c r="D2014" s="12"/>
    </row>
    <row r="2015" spans="1:4" x14ac:dyDescent="0.25">
      <c r="A2015" t="str">
        <f>IF(COUNTIF(B$1:B2015,B2015)=1,MAX(A$1:A2014)+1,"")</f>
        <v/>
      </c>
      <c r="B2015" s="11"/>
      <c r="C2015" s="11" t="str">
        <f>IF(COUNTIF(D$1:D2015,D2015)=1,MAX(C$1:C2014)+1,"")</f>
        <v/>
      </c>
      <c r="D2015" s="12"/>
    </row>
    <row r="2016" spans="1:4" x14ac:dyDescent="0.25">
      <c r="A2016" t="str">
        <f>IF(COUNTIF(B$1:B2016,B2016)=1,MAX(A$1:A2015)+1,"")</f>
        <v/>
      </c>
      <c r="B2016" s="11"/>
      <c r="C2016" s="11" t="str">
        <f>IF(COUNTIF(D$1:D2016,D2016)=1,MAX(C$1:C2015)+1,"")</f>
        <v/>
      </c>
      <c r="D2016" s="12"/>
    </row>
    <row r="2017" spans="1:4" x14ac:dyDescent="0.25">
      <c r="A2017" t="str">
        <f>IF(COUNTIF(B$1:B2017,B2017)=1,MAX(A$1:A2016)+1,"")</f>
        <v/>
      </c>
      <c r="B2017" s="11"/>
      <c r="C2017" s="11" t="str">
        <f>IF(COUNTIF(D$1:D2017,D2017)=1,MAX(C$1:C2016)+1,"")</f>
        <v/>
      </c>
      <c r="D2017" s="12"/>
    </row>
    <row r="2018" spans="1:4" x14ac:dyDescent="0.25">
      <c r="A2018" t="str">
        <f>IF(COUNTIF(B$1:B2018,B2018)=1,MAX(A$1:A2017)+1,"")</f>
        <v/>
      </c>
      <c r="B2018" s="11"/>
      <c r="C2018" s="11" t="str">
        <f>IF(COUNTIF(D$1:D2018,D2018)=1,MAX(C$1:C2017)+1,"")</f>
        <v/>
      </c>
      <c r="D2018" s="12"/>
    </row>
    <row r="2019" spans="1:4" x14ac:dyDescent="0.25">
      <c r="A2019" t="str">
        <f>IF(COUNTIF(B$1:B2019,B2019)=1,MAX(A$1:A2018)+1,"")</f>
        <v/>
      </c>
      <c r="B2019" s="11"/>
      <c r="C2019" s="11" t="str">
        <f>IF(COUNTIF(D$1:D2019,D2019)=1,MAX(C$1:C2018)+1,"")</f>
        <v/>
      </c>
      <c r="D2019" s="12"/>
    </row>
    <row r="2020" spans="1:4" x14ac:dyDescent="0.25">
      <c r="A2020" t="str">
        <f>IF(COUNTIF(B$1:B2020,B2020)=1,MAX(A$1:A2019)+1,"")</f>
        <v/>
      </c>
      <c r="B2020" s="11"/>
      <c r="C2020" s="11" t="str">
        <f>IF(COUNTIF(D$1:D2020,D2020)=1,MAX(C$1:C2019)+1,"")</f>
        <v/>
      </c>
      <c r="D2020" s="12"/>
    </row>
    <row r="2021" spans="1:4" x14ac:dyDescent="0.25">
      <c r="A2021" t="str">
        <f>IF(COUNTIF(B$1:B2021,B2021)=1,MAX(A$1:A2020)+1,"")</f>
        <v/>
      </c>
      <c r="B2021" s="11"/>
      <c r="C2021" s="11" t="str">
        <f>IF(COUNTIF(D$1:D2021,D2021)=1,MAX(C$1:C2020)+1,"")</f>
        <v/>
      </c>
      <c r="D2021" s="12"/>
    </row>
    <row r="2022" spans="1:4" x14ac:dyDescent="0.25">
      <c r="A2022" t="str">
        <f>IF(COUNTIF(B$1:B2022,B2022)=1,MAX(A$1:A2021)+1,"")</f>
        <v/>
      </c>
      <c r="B2022" s="11"/>
      <c r="C2022" s="11" t="str">
        <f>IF(COUNTIF(D$1:D2022,D2022)=1,MAX(C$1:C2021)+1,"")</f>
        <v/>
      </c>
      <c r="D2022" s="12"/>
    </row>
    <row r="2023" spans="1:4" x14ac:dyDescent="0.25">
      <c r="A2023" t="str">
        <f>IF(COUNTIF(B$1:B2023,B2023)=1,MAX(A$1:A2022)+1,"")</f>
        <v/>
      </c>
      <c r="B2023" s="11"/>
      <c r="C2023" s="11" t="str">
        <f>IF(COUNTIF(D$1:D2023,D2023)=1,MAX(C$1:C2022)+1,"")</f>
        <v/>
      </c>
      <c r="D2023" s="12"/>
    </row>
    <row r="2024" spans="1:4" x14ac:dyDescent="0.25">
      <c r="A2024" t="str">
        <f>IF(COUNTIF(B$1:B2024,B2024)=1,MAX(A$1:A2023)+1,"")</f>
        <v/>
      </c>
      <c r="B2024" s="11"/>
      <c r="C2024" s="11" t="str">
        <f>IF(COUNTIF(D$1:D2024,D2024)=1,MAX(C$1:C2023)+1,"")</f>
        <v/>
      </c>
      <c r="D2024" s="12"/>
    </row>
    <row r="2025" spans="1:4" x14ac:dyDescent="0.25">
      <c r="A2025" t="str">
        <f>IF(COUNTIF(B$1:B2025,B2025)=1,MAX(A$1:A2024)+1,"")</f>
        <v/>
      </c>
      <c r="B2025" s="11"/>
      <c r="C2025" s="11" t="str">
        <f>IF(COUNTIF(D$1:D2025,D2025)=1,MAX(C$1:C2024)+1,"")</f>
        <v/>
      </c>
      <c r="D2025" s="12"/>
    </row>
    <row r="2026" spans="1:4" x14ac:dyDescent="0.25">
      <c r="A2026" t="str">
        <f>IF(COUNTIF(B$1:B2026,B2026)=1,MAX(A$1:A2025)+1,"")</f>
        <v/>
      </c>
      <c r="B2026" s="11"/>
      <c r="C2026" s="11" t="str">
        <f>IF(COUNTIF(D$1:D2026,D2026)=1,MAX(C$1:C2025)+1,"")</f>
        <v/>
      </c>
      <c r="D2026" s="12"/>
    </row>
    <row r="2027" spans="1:4" x14ac:dyDescent="0.25">
      <c r="A2027" t="str">
        <f>IF(COUNTIF(B$1:B2027,B2027)=1,MAX(A$1:A2026)+1,"")</f>
        <v/>
      </c>
      <c r="B2027" s="11"/>
      <c r="C2027" s="11" t="str">
        <f>IF(COUNTIF(D$1:D2027,D2027)=1,MAX(C$1:C2026)+1,"")</f>
        <v/>
      </c>
      <c r="D2027" s="12"/>
    </row>
    <row r="2028" spans="1:4" x14ac:dyDescent="0.25">
      <c r="A2028" t="str">
        <f>IF(COUNTIF(B$1:B2028,B2028)=1,MAX(A$1:A2027)+1,"")</f>
        <v/>
      </c>
      <c r="B2028" s="11"/>
      <c r="C2028" s="11" t="str">
        <f>IF(COUNTIF(D$1:D2028,D2028)=1,MAX(C$1:C2027)+1,"")</f>
        <v/>
      </c>
      <c r="D2028" s="12"/>
    </row>
    <row r="2029" spans="1:4" x14ac:dyDescent="0.25">
      <c r="A2029" t="str">
        <f>IF(COUNTIF(B$1:B2029,B2029)=1,MAX(A$1:A2028)+1,"")</f>
        <v/>
      </c>
      <c r="B2029" s="11"/>
      <c r="C2029" s="11" t="str">
        <f>IF(COUNTIF(D$1:D2029,D2029)=1,MAX(C$1:C2028)+1,"")</f>
        <v/>
      </c>
      <c r="D2029" s="12"/>
    </row>
    <row r="2030" spans="1:4" x14ac:dyDescent="0.25">
      <c r="A2030" t="str">
        <f>IF(COUNTIF(B$1:B2030,B2030)=1,MAX(A$1:A2029)+1,"")</f>
        <v/>
      </c>
      <c r="B2030" s="11"/>
      <c r="C2030" s="11" t="str">
        <f>IF(COUNTIF(D$1:D2030,D2030)=1,MAX(C$1:C2029)+1,"")</f>
        <v/>
      </c>
      <c r="D2030" s="12"/>
    </row>
    <row r="2031" spans="1:4" x14ac:dyDescent="0.25">
      <c r="A2031" t="str">
        <f>IF(COUNTIF(B$1:B2031,B2031)=1,MAX(A$1:A2030)+1,"")</f>
        <v/>
      </c>
      <c r="B2031" s="11"/>
      <c r="C2031" s="11" t="str">
        <f>IF(COUNTIF(D$1:D2031,D2031)=1,MAX(C$1:C2030)+1,"")</f>
        <v/>
      </c>
      <c r="D2031" s="12"/>
    </row>
    <row r="2032" spans="1:4" x14ac:dyDescent="0.25">
      <c r="A2032" t="str">
        <f>IF(COUNTIF(B$1:B2032,B2032)=1,MAX(A$1:A2031)+1,"")</f>
        <v/>
      </c>
      <c r="B2032" s="11"/>
      <c r="C2032" s="11" t="str">
        <f>IF(COUNTIF(D$1:D2032,D2032)=1,MAX(C$1:C2031)+1,"")</f>
        <v/>
      </c>
      <c r="D2032" s="12"/>
    </row>
    <row r="2033" spans="1:4" x14ac:dyDescent="0.25">
      <c r="A2033" t="str">
        <f>IF(COUNTIF(B$1:B2033,B2033)=1,MAX(A$1:A2032)+1,"")</f>
        <v/>
      </c>
      <c r="B2033" s="11"/>
      <c r="C2033" s="11" t="str">
        <f>IF(COUNTIF(D$1:D2033,D2033)=1,MAX(C$1:C2032)+1,"")</f>
        <v/>
      </c>
      <c r="D2033" s="12"/>
    </row>
    <row r="2034" spans="1:4" x14ac:dyDescent="0.25">
      <c r="A2034" t="str">
        <f>IF(COUNTIF(B$1:B2034,B2034)=1,MAX(A$1:A2033)+1,"")</f>
        <v/>
      </c>
      <c r="B2034" s="11"/>
      <c r="C2034" s="11" t="str">
        <f>IF(COUNTIF(D$1:D2034,D2034)=1,MAX(C$1:C2033)+1,"")</f>
        <v/>
      </c>
      <c r="D2034" s="12"/>
    </row>
    <row r="2035" spans="1:4" x14ac:dyDescent="0.25">
      <c r="A2035" t="str">
        <f>IF(COUNTIF(B$1:B2035,B2035)=1,MAX(A$1:A2034)+1,"")</f>
        <v/>
      </c>
      <c r="B2035" s="11"/>
      <c r="C2035" s="11" t="str">
        <f>IF(COUNTIF(D$1:D2035,D2035)=1,MAX(C$1:C2034)+1,"")</f>
        <v/>
      </c>
      <c r="D2035" s="12"/>
    </row>
    <row r="2036" spans="1:4" x14ac:dyDescent="0.25">
      <c r="A2036" t="str">
        <f>IF(COUNTIF(B$1:B2036,B2036)=1,MAX(A$1:A2035)+1,"")</f>
        <v/>
      </c>
      <c r="B2036" s="11"/>
      <c r="C2036" s="11" t="str">
        <f>IF(COUNTIF(D$1:D2036,D2036)=1,MAX(C$1:C2035)+1,"")</f>
        <v/>
      </c>
      <c r="D2036" s="12"/>
    </row>
    <row r="2037" spans="1:4" x14ac:dyDescent="0.25">
      <c r="A2037" t="str">
        <f>IF(COUNTIF(B$1:B2037,B2037)=1,MAX(A$1:A2036)+1,"")</f>
        <v/>
      </c>
      <c r="B2037" s="11"/>
      <c r="C2037" s="11" t="str">
        <f>IF(COUNTIF(D$1:D2037,D2037)=1,MAX(C$1:C2036)+1,"")</f>
        <v/>
      </c>
      <c r="D2037" s="12"/>
    </row>
    <row r="2038" spans="1:4" x14ac:dyDescent="0.25">
      <c r="A2038" t="str">
        <f>IF(COUNTIF(B$1:B2038,B2038)=1,MAX(A$1:A2037)+1,"")</f>
        <v/>
      </c>
      <c r="B2038" s="11"/>
      <c r="C2038" s="11" t="str">
        <f>IF(COUNTIF(D$1:D2038,D2038)=1,MAX(C$1:C2037)+1,"")</f>
        <v/>
      </c>
      <c r="D2038" s="12"/>
    </row>
    <row r="2039" spans="1:4" x14ac:dyDescent="0.25">
      <c r="A2039" t="str">
        <f>IF(COUNTIF(B$1:B2039,B2039)=1,MAX(A$1:A2038)+1,"")</f>
        <v/>
      </c>
      <c r="B2039" s="11"/>
      <c r="C2039" s="11" t="str">
        <f>IF(COUNTIF(D$1:D2039,D2039)=1,MAX(C$1:C2038)+1,"")</f>
        <v/>
      </c>
      <c r="D2039" s="12"/>
    </row>
    <row r="2040" spans="1:4" x14ac:dyDescent="0.25">
      <c r="A2040" t="str">
        <f>IF(COUNTIF(B$1:B2040,B2040)=1,MAX(A$1:A2039)+1,"")</f>
        <v/>
      </c>
      <c r="B2040" s="11"/>
      <c r="C2040" s="11" t="str">
        <f>IF(COUNTIF(D$1:D2040,D2040)=1,MAX(C$1:C2039)+1,"")</f>
        <v/>
      </c>
      <c r="D2040" s="12"/>
    </row>
    <row r="2041" spans="1:4" x14ac:dyDescent="0.25">
      <c r="A2041" t="str">
        <f>IF(COUNTIF(B$1:B2041,B2041)=1,MAX(A$1:A2040)+1,"")</f>
        <v/>
      </c>
      <c r="B2041" s="11"/>
      <c r="C2041" s="11" t="str">
        <f>IF(COUNTIF(D$1:D2041,D2041)=1,MAX(C$1:C2040)+1,"")</f>
        <v/>
      </c>
      <c r="D2041" s="12"/>
    </row>
    <row r="2042" spans="1:4" x14ac:dyDescent="0.25">
      <c r="A2042" t="str">
        <f>IF(COUNTIF(B$1:B2042,B2042)=1,MAX(A$1:A2041)+1,"")</f>
        <v/>
      </c>
      <c r="B2042" s="11"/>
      <c r="C2042" s="11" t="str">
        <f>IF(COUNTIF(D$1:D2042,D2042)=1,MAX(C$1:C2041)+1,"")</f>
        <v/>
      </c>
      <c r="D2042" s="12"/>
    </row>
    <row r="2043" spans="1:4" x14ac:dyDescent="0.25">
      <c r="A2043" t="str">
        <f>IF(COUNTIF(B$1:B2043,B2043)=1,MAX(A$1:A2042)+1,"")</f>
        <v/>
      </c>
      <c r="B2043" s="11"/>
      <c r="C2043" s="11" t="str">
        <f>IF(COUNTIF(D$1:D2043,D2043)=1,MAX(C$1:C2042)+1,"")</f>
        <v/>
      </c>
      <c r="D2043" s="12"/>
    </row>
    <row r="2044" spans="1:4" x14ac:dyDescent="0.25">
      <c r="A2044" t="str">
        <f>IF(COUNTIF(B$1:B2044,B2044)=1,MAX(A$1:A2043)+1,"")</f>
        <v/>
      </c>
      <c r="B2044" s="11"/>
      <c r="C2044" s="11" t="str">
        <f>IF(COUNTIF(D$1:D2044,D2044)=1,MAX(C$1:C2043)+1,"")</f>
        <v/>
      </c>
      <c r="D2044" s="12"/>
    </row>
    <row r="2045" spans="1:4" x14ac:dyDescent="0.25">
      <c r="A2045" t="str">
        <f>IF(COUNTIF(B$1:B2045,B2045)=1,MAX(A$1:A2044)+1,"")</f>
        <v/>
      </c>
      <c r="B2045" s="11"/>
      <c r="C2045" s="11" t="str">
        <f>IF(COUNTIF(D$1:D2045,D2045)=1,MAX(C$1:C2044)+1,"")</f>
        <v/>
      </c>
      <c r="D2045" s="12"/>
    </row>
    <row r="2046" spans="1:4" x14ac:dyDescent="0.25">
      <c r="A2046" t="str">
        <f>IF(COUNTIF(B$1:B2046,B2046)=1,MAX(A$1:A2045)+1,"")</f>
        <v/>
      </c>
      <c r="B2046" s="11"/>
      <c r="C2046" s="11" t="str">
        <f>IF(COUNTIF(D$1:D2046,D2046)=1,MAX(C$1:C2045)+1,"")</f>
        <v/>
      </c>
      <c r="D2046" s="12"/>
    </row>
    <row r="2047" spans="1:4" x14ac:dyDescent="0.25">
      <c r="A2047" t="str">
        <f>IF(COUNTIF(B$1:B2047,B2047)=1,MAX(A$1:A2046)+1,"")</f>
        <v/>
      </c>
      <c r="B2047" s="11"/>
      <c r="C2047" s="11" t="str">
        <f>IF(COUNTIF(D$1:D2047,D2047)=1,MAX(C$1:C2046)+1,"")</f>
        <v/>
      </c>
      <c r="D2047" s="12"/>
    </row>
    <row r="2048" spans="1:4" x14ac:dyDescent="0.25">
      <c r="A2048" t="str">
        <f>IF(COUNTIF(B$1:B2048,B2048)=1,MAX(A$1:A2047)+1,"")</f>
        <v/>
      </c>
      <c r="B2048" s="11"/>
      <c r="C2048" s="11" t="str">
        <f>IF(COUNTIF(D$1:D2048,D2048)=1,MAX(C$1:C2047)+1,"")</f>
        <v/>
      </c>
      <c r="D2048" s="12"/>
    </row>
    <row r="2049" spans="1:4" x14ac:dyDescent="0.25">
      <c r="A2049" t="str">
        <f>IF(COUNTIF(B$1:B2049,B2049)=1,MAX(A$1:A2048)+1,"")</f>
        <v/>
      </c>
      <c r="B2049" s="11"/>
      <c r="C2049" s="11" t="str">
        <f>IF(COUNTIF(D$1:D2049,D2049)=1,MAX(C$1:C2048)+1,"")</f>
        <v/>
      </c>
      <c r="D2049" s="12"/>
    </row>
    <row r="2050" spans="1:4" x14ac:dyDescent="0.25">
      <c r="A2050" t="str">
        <f>IF(COUNTIF(B$1:B2050,B2050)=1,MAX(A$1:A2049)+1,"")</f>
        <v/>
      </c>
      <c r="B2050" s="11"/>
      <c r="C2050" s="11" t="str">
        <f>IF(COUNTIF(D$1:D2050,D2050)=1,MAX(C$1:C2049)+1,"")</f>
        <v/>
      </c>
      <c r="D2050" s="12"/>
    </row>
    <row r="2051" spans="1:4" x14ac:dyDescent="0.25">
      <c r="A2051" t="str">
        <f>IF(COUNTIF(B$1:B2051,B2051)=1,MAX(A$1:A2050)+1,"")</f>
        <v/>
      </c>
      <c r="B2051" s="11"/>
      <c r="C2051" s="11" t="str">
        <f>IF(COUNTIF(D$1:D2051,D2051)=1,MAX(C$1:C2050)+1,"")</f>
        <v/>
      </c>
      <c r="D2051" s="12"/>
    </row>
    <row r="2052" spans="1:4" x14ac:dyDescent="0.25">
      <c r="A2052" t="str">
        <f>IF(COUNTIF(B$1:B2052,B2052)=1,MAX(A$1:A2051)+1,"")</f>
        <v/>
      </c>
      <c r="B2052" s="11"/>
      <c r="C2052" s="11" t="str">
        <f>IF(COUNTIF(D$1:D2052,D2052)=1,MAX(C$1:C2051)+1,"")</f>
        <v/>
      </c>
      <c r="D2052" s="12"/>
    </row>
    <row r="2053" spans="1:4" x14ac:dyDescent="0.25">
      <c r="A2053" t="str">
        <f>IF(COUNTIF(B$1:B2053,B2053)=1,MAX(A$1:A2052)+1,"")</f>
        <v/>
      </c>
      <c r="B2053" s="11"/>
      <c r="C2053" s="11" t="str">
        <f>IF(COUNTIF(D$1:D2053,D2053)=1,MAX(C$1:C2052)+1,"")</f>
        <v/>
      </c>
      <c r="D2053" s="12"/>
    </row>
    <row r="2054" spans="1:4" x14ac:dyDescent="0.25">
      <c r="A2054" t="str">
        <f>IF(COUNTIF(B$1:B2054,B2054)=1,MAX(A$1:A2053)+1,"")</f>
        <v/>
      </c>
      <c r="B2054" s="11"/>
      <c r="C2054" s="11" t="str">
        <f>IF(COUNTIF(D$1:D2054,D2054)=1,MAX(C$1:C2053)+1,"")</f>
        <v/>
      </c>
      <c r="D2054" s="12"/>
    </row>
    <row r="2055" spans="1:4" x14ac:dyDescent="0.25">
      <c r="A2055" t="str">
        <f>IF(COUNTIF(B$1:B2055,B2055)=1,MAX(A$1:A2054)+1,"")</f>
        <v/>
      </c>
      <c r="B2055" s="11"/>
      <c r="C2055" s="11" t="str">
        <f>IF(COUNTIF(D$1:D2055,D2055)=1,MAX(C$1:C2054)+1,"")</f>
        <v/>
      </c>
      <c r="D2055" s="12"/>
    </row>
    <row r="2056" spans="1:4" x14ac:dyDescent="0.25">
      <c r="A2056" t="str">
        <f>IF(COUNTIF(B$1:B2056,B2056)=1,MAX(A$1:A2055)+1,"")</f>
        <v/>
      </c>
      <c r="B2056" s="11"/>
      <c r="C2056" s="11" t="str">
        <f>IF(COUNTIF(D$1:D2056,D2056)=1,MAX(C$1:C2055)+1,"")</f>
        <v/>
      </c>
      <c r="D2056" s="12"/>
    </row>
    <row r="2057" spans="1:4" x14ac:dyDescent="0.25">
      <c r="A2057" t="str">
        <f>IF(COUNTIF(B$1:B2057,B2057)=1,MAX(A$1:A2056)+1,"")</f>
        <v/>
      </c>
      <c r="B2057" s="11"/>
      <c r="C2057" s="11" t="str">
        <f>IF(COUNTIF(D$1:D2057,D2057)=1,MAX(C$1:C2056)+1,"")</f>
        <v/>
      </c>
      <c r="D2057" s="12"/>
    </row>
    <row r="2058" spans="1:4" x14ac:dyDescent="0.25">
      <c r="A2058" t="str">
        <f>IF(COUNTIF(B$1:B2058,B2058)=1,MAX(A$1:A2057)+1,"")</f>
        <v/>
      </c>
      <c r="B2058" s="11"/>
      <c r="C2058" s="11" t="str">
        <f>IF(COUNTIF(D$1:D2058,D2058)=1,MAX(C$1:C2057)+1,"")</f>
        <v/>
      </c>
      <c r="D2058" s="12"/>
    </row>
    <row r="2059" spans="1:4" x14ac:dyDescent="0.25">
      <c r="A2059" t="str">
        <f>IF(COUNTIF(B$1:B2059,B2059)=1,MAX(A$1:A2058)+1,"")</f>
        <v/>
      </c>
      <c r="B2059" s="11"/>
      <c r="C2059" s="11" t="str">
        <f>IF(COUNTIF(D$1:D2059,D2059)=1,MAX(C$1:C2058)+1,"")</f>
        <v/>
      </c>
      <c r="D2059" s="12"/>
    </row>
    <row r="2060" spans="1:4" x14ac:dyDescent="0.25">
      <c r="A2060" t="str">
        <f>IF(COUNTIF(B$1:B2060,B2060)=1,MAX(A$1:A2059)+1,"")</f>
        <v/>
      </c>
      <c r="B2060" s="11"/>
      <c r="C2060" s="11" t="str">
        <f>IF(COUNTIF(D$1:D2060,D2060)=1,MAX(C$1:C2059)+1,"")</f>
        <v/>
      </c>
      <c r="D2060" s="12"/>
    </row>
    <row r="2061" spans="1:4" x14ac:dyDescent="0.25">
      <c r="A2061" t="str">
        <f>IF(COUNTIF(B$1:B2061,B2061)=1,MAX(A$1:A2060)+1,"")</f>
        <v/>
      </c>
      <c r="B2061" s="11"/>
      <c r="C2061" s="11" t="str">
        <f>IF(COUNTIF(D$1:D2061,D2061)=1,MAX(C$1:C2060)+1,"")</f>
        <v/>
      </c>
      <c r="D2061" s="12"/>
    </row>
    <row r="2062" spans="1:4" x14ac:dyDescent="0.25">
      <c r="A2062" t="str">
        <f>IF(COUNTIF(B$1:B2062,B2062)=1,MAX(A$1:A2061)+1,"")</f>
        <v/>
      </c>
      <c r="B2062" s="11"/>
      <c r="C2062" s="11" t="str">
        <f>IF(COUNTIF(D$1:D2062,D2062)=1,MAX(C$1:C2061)+1,"")</f>
        <v/>
      </c>
      <c r="D2062" s="12"/>
    </row>
    <row r="2063" spans="1:4" x14ac:dyDescent="0.25">
      <c r="A2063" t="str">
        <f>IF(COUNTIF(B$1:B2063,B2063)=1,MAX(A$1:A2062)+1,"")</f>
        <v/>
      </c>
      <c r="B2063" s="11"/>
      <c r="C2063" s="11" t="str">
        <f>IF(COUNTIF(D$1:D2063,D2063)=1,MAX(C$1:C2062)+1,"")</f>
        <v/>
      </c>
      <c r="D2063" s="12"/>
    </row>
    <row r="2064" spans="1:4" x14ac:dyDescent="0.25">
      <c r="A2064" t="str">
        <f>IF(COUNTIF(B$1:B2064,B2064)=1,MAX(A$1:A2063)+1,"")</f>
        <v/>
      </c>
      <c r="B2064" s="11"/>
      <c r="C2064" s="11" t="str">
        <f>IF(COUNTIF(D$1:D2064,D2064)=1,MAX(C$1:C2063)+1,"")</f>
        <v/>
      </c>
      <c r="D2064" s="12"/>
    </row>
    <row r="2065" spans="1:4" x14ac:dyDescent="0.25">
      <c r="A2065" t="str">
        <f>IF(COUNTIF(B$1:B2065,B2065)=1,MAX(A$1:A2064)+1,"")</f>
        <v/>
      </c>
      <c r="B2065" s="11"/>
      <c r="C2065" s="11" t="str">
        <f>IF(COUNTIF(D$1:D2065,D2065)=1,MAX(C$1:C2064)+1,"")</f>
        <v/>
      </c>
      <c r="D2065" s="12"/>
    </row>
    <row r="2066" spans="1:4" x14ac:dyDescent="0.25">
      <c r="A2066" t="str">
        <f>IF(COUNTIF(B$1:B2066,B2066)=1,MAX(A$1:A2065)+1,"")</f>
        <v/>
      </c>
      <c r="B2066" s="11"/>
      <c r="C2066" s="11" t="str">
        <f>IF(COUNTIF(D$1:D2066,D2066)=1,MAX(C$1:C2065)+1,"")</f>
        <v/>
      </c>
      <c r="D2066" s="12"/>
    </row>
    <row r="2067" spans="1:4" x14ac:dyDescent="0.25">
      <c r="A2067" t="str">
        <f>IF(COUNTIF(B$1:B2067,B2067)=1,MAX(A$1:A2066)+1,"")</f>
        <v/>
      </c>
      <c r="B2067" s="11"/>
      <c r="C2067" s="11" t="str">
        <f>IF(COUNTIF(D$1:D2067,D2067)=1,MAX(C$1:C2066)+1,"")</f>
        <v/>
      </c>
      <c r="D2067" s="12"/>
    </row>
    <row r="2068" spans="1:4" x14ac:dyDescent="0.25">
      <c r="A2068" t="str">
        <f>IF(COUNTIF(B$1:B2068,B2068)=1,MAX(A$1:A2067)+1,"")</f>
        <v/>
      </c>
      <c r="B2068" s="11"/>
      <c r="C2068" s="11" t="str">
        <f>IF(COUNTIF(D$1:D2068,D2068)=1,MAX(C$1:C2067)+1,"")</f>
        <v/>
      </c>
      <c r="D2068" s="12"/>
    </row>
    <row r="2069" spans="1:4" x14ac:dyDescent="0.25">
      <c r="A2069" t="str">
        <f>IF(COUNTIF(B$1:B2069,B2069)=1,MAX(A$1:A2068)+1,"")</f>
        <v/>
      </c>
      <c r="B2069" s="11"/>
      <c r="C2069" s="11" t="str">
        <f>IF(COUNTIF(D$1:D2069,D2069)=1,MAX(C$1:C2068)+1,"")</f>
        <v/>
      </c>
      <c r="D2069" s="12"/>
    </row>
    <row r="2070" spans="1:4" x14ac:dyDescent="0.25">
      <c r="A2070" t="str">
        <f>IF(COUNTIF(B$1:B2070,B2070)=1,MAX(A$1:A2069)+1,"")</f>
        <v/>
      </c>
      <c r="B2070" s="11"/>
      <c r="C2070" s="11" t="str">
        <f>IF(COUNTIF(D$1:D2070,D2070)=1,MAX(C$1:C2069)+1,"")</f>
        <v/>
      </c>
      <c r="D2070" s="12"/>
    </row>
    <row r="2071" spans="1:4" x14ac:dyDescent="0.25">
      <c r="A2071" t="str">
        <f>IF(COUNTIF(B$1:B2071,B2071)=1,MAX(A$1:A2070)+1,"")</f>
        <v/>
      </c>
      <c r="B2071" s="11"/>
      <c r="C2071" s="11" t="str">
        <f>IF(COUNTIF(D$1:D2071,D2071)=1,MAX(C$1:C2070)+1,"")</f>
        <v/>
      </c>
      <c r="D2071" s="12"/>
    </row>
    <row r="2072" spans="1:4" x14ac:dyDescent="0.25">
      <c r="A2072" t="str">
        <f>IF(COUNTIF(B$1:B2072,B2072)=1,MAX(A$1:A2071)+1,"")</f>
        <v/>
      </c>
      <c r="B2072" s="11"/>
      <c r="C2072" s="11" t="str">
        <f>IF(COUNTIF(D$1:D2072,D2072)=1,MAX(C$1:C2071)+1,"")</f>
        <v/>
      </c>
      <c r="D2072" s="12"/>
    </row>
    <row r="2073" spans="1:4" x14ac:dyDescent="0.25">
      <c r="A2073" t="str">
        <f>IF(COUNTIF(B$1:B2073,B2073)=1,MAX(A$1:A2072)+1,"")</f>
        <v/>
      </c>
      <c r="B2073" s="11"/>
      <c r="C2073" s="11" t="str">
        <f>IF(COUNTIF(D$1:D2073,D2073)=1,MAX(C$1:C2072)+1,"")</f>
        <v/>
      </c>
      <c r="D2073" s="12"/>
    </row>
    <row r="2074" spans="1:4" x14ac:dyDescent="0.25">
      <c r="A2074" t="str">
        <f>IF(COUNTIF(B$1:B2074,B2074)=1,MAX(A$1:A2073)+1,"")</f>
        <v/>
      </c>
      <c r="B2074" s="11"/>
      <c r="C2074" s="11" t="str">
        <f>IF(COUNTIF(D$1:D2074,D2074)=1,MAX(C$1:C2073)+1,"")</f>
        <v/>
      </c>
      <c r="D2074" s="12"/>
    </row>
    <row r="2075" spans="1:4" x14ac:dyDescent="0.25">
      <c r="A2075" t="str">
        <f>IF(COUNTIF(B$1:B2075,B2075)=1,MAX(A$1:A2074)+1,"")</f>
        <v/>
      </c>
      <c r="B2075" s="11"/>
      <c r="C2075" s="11" t="str">
        <f>IF(COUNTIF(D$1:D2075,D2075)=1,MAX(C$1:C2074)+1,"")</f>
        <v/>
      </c>
      <c r="D2075" s="12"/>
    </row>
    <row r="2076" spans="1:4" x14ac:dyDescent="0.25">
      <c r="A2076" t="str">
        <f>IF(COUNTIF(B$1:B2076,B2076)=1,MAX(A$1:A2075)+1,"")</f>
        <v/>
      </c>
      <c r="B2076" s="11"/>
      <c r="C2076" s="11" t="str">
        <f>IF(COUNTIF(D$1:D2076,D2076)=1,MAX(C$1:C2075)+1,"")</f>
        <v/>
      </c>
      <c r="D2076" s="12"/>
    </row>
    <row r="2077" spans="1:4" x14ac:dyDescent="0.25">
      <c r="A2077" t="str">
        <f>IF(COUNTIF(B$1:B2077,B2077)=1,MAX(A$1:A2076)+1,"")</f>
        <v/>
      </c>
      <c r="B2077" s="11"/>
      <c r="C2077" s="11" t="str">
        <f>IF(COUNTIF(D$1:D2077,D2077)=1,MAX(C$1:C2076)+1,"")</f>
        <v/>
      </c>
      <c r="D2077" s="12"/>
    </row>
    <row r="2078" spans="1:4" x14ac:dyDescent="0.25">
      <c r="A2078" t="str">
        <f>IF(COUNTIF(B$1:B2078,B2078)=1,MAX(A$1:A2077)+1,"")</f>
        <v/>
      </c>
      <c r="B2078" s="11"/>
      <c r="C2078" s="11" t="str">
        <f>IF(COUNTIF(D$1:D2078,D2078)=1,MAX(C$1:C2077)+1,"")</f>
        <v/>
      </c>
      <c r="D2078" s="12"/>
    </row>
    <row r="2079" spans="1:4" x14ac:dyDescent="0.25">
      <c r="A2079" t="str">
        <f>IF(COUNTIF(B$1:B2079,B2079)=1,MAX(A$1:A2078)+1,"")</f>
        <v/>
      </c>
      <c r="B2079" s="11"/>
      <c r="C2079" s="11" t="str">
        <f>IF(COUNTIF(D$1:D2079,D2079)=1,MAX(C$1:C2078)+1,"")</f>
        <v/>
      </c>
      <c r="D2079" s="12"/>
    </row>
    <row r="2080" spans="1:4" x14ac:dyDescent="0.25">
      <c r="A2080" t="str">
        <f>IF(COUNTIF(B$1:B2080,B2080)=1,MAX(A$1:A2079)+1,"")</f>
        <v/>
      </c>
      <c r="B2080" s="11"/>
      <c r="C2080" s="11" t="str">
        <f>IF(COUNTIF(D$1:D2080,D2080)=1,MAX(C$1:C2079)+1,"")</f>
        <v/>
      </c>
      <c r="D2080" s="12"/>
    </row>
    <row r="2081" spans="1:4" x14ac:dyDescent="0.25">
      <c r="A2081" t="str">
        <f>IF(COUNTIF(B$1:B2081,B2081)=1,MAX(A$1:A2080)+1,"")</f>
        <v/>
      </c>
      <c r="B2081" s="11"/>
      <c r="C2081" s="11" t="str">
        <f>IF(COUNTIF(D$1:D2081,D2081)=1,MAX(C$1:C2080)+1,"")</f>
        <v/>
      </c>
      <c r="D2081" s="12"/>
    </row>
    <row r="2082" spans="1:4" x14ac:dyDescent="0.25">
      <c r="A2082" t="str">
        <f>IF(COUNTIF(B$1:B2082,B2082)=1,MAX(A$1:A2081)+1,"")</f>
        <v/>
      </c>
      <c r="B2082" s="11"/>
      <c r="C2082" s="11" t="str">
        <f>IF(COUNTIF(D$1:D2082,D2082)=1,MAX(C$1:C2081)+1,"")</f>
        <v/>
      </c>
      <c r="D2082" s="12"/>
    </row>
    <row r="2083" spans="1:4" x14ac:dyDescent="0.25">
      <c r="A2083" t="str">
        <f>IF(COUNTIF(B$1:B2083,B2083)=1,MAX(A$1:A2082)+1,"")</f>
        <v/>
      </c>
      <c r="B2083" s="11"/>
      <c r="C2083" s="11" t="str">
        <f>IF(COUNTIF(D$1:D2083,D2083)=1,MAX(C$1:C2082)+1,"")</f>
        <v/>
      </c>
      <c r="D2083" s="12"/>
    </row>
    <row r="2084" spans="1:4" x14ac:dyDescent="0.25">
      <c r="A2084" t="str">
        <f>IF(COUNTIF(B$1:B2084,B2084)=1,MAX(A$1:A2083)+1,"")</f>
        <v/>
      </c>
      <c r="B2084" s="11"/>
      <c r="C2084" s="11" t="str">
        <f>IF(COUNTIF(D$1:D2084,D2084)=1,MAX(C$1:C2083)+1,"")</f>
        <v/>
      </c>
      <c r="D2084" s="12"/>
    </row>
    <row r="2085" spans="1:4" x14ac:dyDescent="0.25">
      <c r="A2085" t="str">
        <f>IF(COUNTIF(B$1:B2085,B2085)=1,MAX(A$1:A2084)+1,"")</f>
        <v/>
      </c>
      <c r="B2085" s="11"/>
      <c r="C2085" s="11" t="str">
        <f>IF(COUNTIF(D$1:D2085,D2085)=1,MAX(C$1:C2084)+1,"")</f>
        <v/>
      </c>
      <c r="D2085" s="12"/>
    </row>
    <row r="2086" spans="1:4" x14ac:dyDescent="0.25">
      <c r="A2086" t="str">
        <f>IF(COUNTIF(B$1:B2086,B2086)=1,MAX(A$1:A2085)+1,"")</f>
        <v/>
      </c>
      <c r="B2086" s="11"/>
      <c r="C2086" s="11" t="str">
        <f>IF(COUNTIF(D$1:D2086,D2086)=1,MAX(C$1:C2085)+1,"")</f>
        <v/>
      </c>
      <c r="D2086" s="12"/>
    </row>
    <row r="2087" spans="1:4" x14ac:dyDescent="0.25">
      <c r="A2087" t="str">
        <f>IF(COUNTIF(B$1:B2087,B2087)=1,MAX(A$1:A2086)+1,"")</f>
        <v/>
      </c>
      <c r="B2087" s="11"/>
      <c r="C2087" s="11" t="str">
        <f>IF(COUNTIF(D$1:D2087,D2087)=1,MAX(C$1:C2086)+1,"")</f>
        <v/>
      </c>
      <c r="D2087" s="12"/>
    </row>
    <row r="2088" spans="1:4" x14ac:dyDescent="0.25">
      <c r="A2088" t="str">
        <f>IF(COUNTIF(B$1:B2088,B2088)=1,MAX(A$1:A2087)+1,"")</f>
        <v/>
      </c>
      <c r="B2088" s="11"/>
      <c r="C2088" s="11" t="str">
        <f>IF(COUNTIF(D$1:D2088,D2088)=1,MAX(C$1:C2087)+1,"")</f>
        <v/>
      </c>
      <c r="D2088" s="12"/>
    </row>
    <row r="2089" spans="1:4" x14ac:dyDescent="0.25">
      <c r="A2089" t="str">
        <f>IF(COUNTIF(B$1:B2089,B2089)=1,MAX(A$1:A2088)+1,"")</f>
        <v/>
      </c>
      <c r="B2089" s="11"/>
      <c r="C2089" s="11" t="str">
        <f>IF(COUNTIF(D$1:D2089,D2089)=1,MAX(C$1:C2088)+1,"")</f>
        <v/>
      </c>
      <c r="D2089" s="12"/>
    </row>
    <row r="2090" spans="1:4" x14ac:dyDescent="0.25">
      <c r="A2090" t="str">
        <f>IF(COUNTIF(B$1:B2090,B2090)=1,MAX(A$1:A2089)+1,"")</f>
        <v/>
      </c>
      <c r="B2090" s="11"/>
      <c r="C2090" s="11" t="str">
        <f>IF(COUNTIF(D$1:D2090,D2090)=1,MAX(C$1:C2089)+1,"")</f>
        <v/>
      </c>
      <c r="D2090" s="12"/>
    </row>
    <row r="2091" spans="1:4" x14ac:dyDescent="0.25">
      <c r="A2091" t="str">
        <f>IF(COUNTIF(B$1:B2091,B2091)=1,MAX(A$1:A2090)+1,"")</f>
        <v/>
      </c>
      <c r="B2091" s="11"/>
      <c r="C2091" s="11" t="str">
        <f>IF(COUNTIF(D$1:D2091,D2091)=1,MAX(C$1:C2090)+1,"")</f>
        <v/>
      </c>
      <c r="D2091" s="12"/>
    </row>
    <row r="2092" spans="1:4" x14ac:dyDescent="0.25">
      <c r="A2092" t="str">
        <f>IF(COUNTIF(B$1:B2092,B2092)=1,MAX(A$1:A2091)+1,"")</f>
        <v/>
      </c>
      <c r="B2092" s="11"/>
      <c r="C2092" s="11" t="str">
        <f>IF(COUNTIF(D$1:D2092,D2092)=1,MAX(C$1:C2091)+1,"")</f>
        <v/>
      </c>
      <c r="D2092" s="12"/>
    </row>
    <row r="2093" spans="1:4" x14ac:dyDescent="0.25">
      <c r="A2093" t="str">
        <f>IF(COUNTIF(B$1:B2093,B2093)=1,MAX(A$1:A2092)+1,"")</f>
        <v/>
      </c>
      <c r="B2093" s="11"/>
      <c r="C2093" s="11" t="str">
        <f>IF(COUNTIF(D$1:D2093,D2093)=1,MAX(C$1:C2092)+1,"")</f>
        <v/>
      </c>
      <c r="D2093" s="12"/>
    </row>
    <row r="2094" spans="1:4" x14ac:dyDescent="0.25">
      <c r="A2094" t="str">
        <f>IF(COUNTIF(B$1:B2094,B2094)=1,MAX(A$1:A2093)+1,"")</f>
        <v/>
      </c>
      <c r="B2094" s="11"/>
      <c r="C2094" s="11" t="str">
        <f>IF(COUNTIF(D$1:D2094,D2094)=1,MAX(C$1:C2093)+1,"")</f>
        <v/>
      </c>
      <c r="D2094" s="12"/>
    </row>
    <row r="2095" spans="1:4" x14ac:dyDescent="0.25">
      <c r="A2095" t="str">
        <f>IF(COUNTIF(B$1:B2095,B2095)=1,MAX(A$1:A2094)+1,"")</f>
        <v/>
      </c>
      <c r="B2095" s="11"/>
      <c r="C2095" s="11" t="str">
        <f>IF(COUNTIF(D$1:D2095,D2095)=1,MAX(C$1:C2094)+1,"")</f>
        <v/>
      </c>
      <c r="D2095" s="12"/>
    </row>
    <row r="2096" spans="1:4" x14ac:dyDescent="0.25">
      <c r="A2096" t="str">
        <f>IF(COUNTIF(B$1:B2096,B2096)=1,MAX(A$1:A2095)+1,"")</f>
        <v/>
      </c>
      <c r="B2096" s="11"/>
      <c r="C2096" s="11" t="str">
        <f>IF(COUNTIF(D$1:D2096,D2096)=1,MAX(C$1:C2095)+1,"")</f>
        <v/>
      </c>
      <c r="D2096" s="12"/>
    </row>
    <row r="2097" spans="1:4" x14ac:dyDescent="0.25">
      <c r="A2097" t="str">
        <f>IF(COUNTIF(B$1:B2097,B2097)=1,MAX(A$1:A2096)+1,"")</f>
        <v/>
      </c>
      <c r="B2097" s="11"/>
      <c r="C2097" s="11" t="str">
        <f>IF(COUNTIF(D$1:D2097,D2097)=1,MAX(C$1:C2096)+1,"")</f>
        <v/>
      </c>
      <c r="D2097" s="12"/>
    </row>
    <row r="2098" spans="1:4" x14ac:dyDescent="0.25">
      <c r="A2098" t="str">
        <f>IF(COUNTIF(B$1:B2098,B2098)=1,MAX(A$1:A2097)+1,"")</f>
        <v/>
      </c>
      <c r="B2098" s="11"/>
      <c r="C2098" s="11" t="str">
        <f>IF(COUNTIF(D$1:D2098,D2098)=1,MAX(C$1:C2097)+1,"")</f>
        <v/>
      </c>
      <c r="D2098" s="12"/>
    </row>
    <row r="2099" spans="1:4" x14ac:dyDescent="0.25">
      <c r="A2099" t="str">
        <f>IF(COUNTIF(B$1:B2099,B2099)=1,MAX(A$1:A2098)+1,"")</f>
        <v/>
      </c>
      <c r="B2099" s="11"/>
      <c r="C2099" s="11" t="str">
        <f>IF(COUNTIF(D$1:D2099,D2099)=1,MAX(C$1:C2098)+1,"")</f>
        <v/>
      </c>
      <c r="D2099" s="12"/>
    </row>
    <row r="2100" spans="1:4" x14ac:dyDescent="0.25">
      <c r="A2100" t="str">
        <f>IF(COUNTIF(B$1:B2100,B2100)=1,MAX(A$1:A2099)+1,"")</f>
        <v/>
      </c>
      <c r="B2100" s="11"/>
      <c r="C2100" s="11" t="str">
        <f>IF(COUNTIF(D$1:D2100,D2100)=1,MAX(C$1:C2099)+1,"")</f>
        <v/>
      </c>
      <c r="D2100" s="12"/>
    </row>
    <row r="2101" spans="1:4" x14ac:dyDescent="0.25">
      <c r="A2101" t="str">
        <f>IF(COUNTIF(B$1:B2101,B2101)=1,MAX(A$1:A2100)+1,"")</f>
        <v/>
      </c>
      <c r="B2101" s="11"/>
      <c r="C2101" s="11" t="str">
        <f>IF(COUNTIF(D$1:D2101,D2101)=1,MAX(C$1:C2100)+1,"")</f>
        <v/>
      </c>
      <c r="D2101" s="12"/>
    </row>
    <row r="2102" spans="1:4" x14ac:dyDescent="0.25">
      <c r="A2102" t="str">
        <f>IF(COUNTIF(B$1:B2102,B2102)=1,MAX(A$1:A2101)+1,"")</f>
        <v/>
      </c>
      <c r="B2102" s="11"/>
      <c r="C2102" s="11" t="str">
        <f>IF(COUNTIF(D$1:D2102,D2102)=1,MAX(C$1:C2101)+1,"")</f>
        <v/>
      </c>
      <c r="D2102" s="12"/>
    </row>
    <row r="2103" spans="1:4" x14ac:dyDescent="0.25">
      <c r="A2103" t="str">
        <f>IF(COUNTIF(B$1:B2103,B2103)=1,MAX(A$1:A2102)+1,"")</f>
        <v/>
      </c>
      <c r="B2103" s="11"/>
      <c r="C2103" s="11" t="str">
        <f>IF(COUNTIF(D$1:D2103,D2103)=1,MAX(C$1:C2102)+1,"")</f>
        <v/>
      </c>
      <c r="D2103" s="12"/>
    </row>
    <row r="2104" spans="1:4" x14ac:dyDescent="0.25">
      <c r="A2104" t="str">
        <f>IF(COUNTIF(B$1:B2104,B2104)=1,MAX(A$1:A2103)+1,"")</f>
        <v/>
      </c>
      <c r="B2104" s="11"/>
      <c r="C2104" s="11" t="str">
        <f>IF(COUNTIF(D$1:D2104,D2104)=1,MAX(C$1:C2103)+1,"")</f>
        <v/>
      </c>
      <c r="D2104" s="12"/>
    </row>
    <row r="2105" spans="1:4" x14ac:dyDescent="0.25">
      <c r="A2105" t="str">
        <f>IF(COUNTIF(B$1:B2105,B2105)=1,MAX(A$1:A2104)+1,"")</f>
        <v/>
      </c>
      <c r="B2105" s="11"/>
      <c r="C2105" s="11" t="str">
        <f>IF(COUNTIF(D$1:D2105,D2105)=1,MAX(C$1:C2104)+1,"")</f>
        <v/>
      </c>
      <c r="D2105" s="12"/>
    </row>
    <row r="2106" spans="1:4" x14ac:dyDescent="0.25">
      <c r="A2106" t="str">
        <f>IF(COUNTIF(B$1:B2106,B2106)=1,MAX(A$1:A2105)+1,"")</f>
        <v/>
      </c>
      <c r="B2106" s="11"/>
      <c r="C2106" s="11" t="str">
        <f>IF(COUNTIF(D$1:D2106,D2106)=1,MAX(C$1:C2105)+1,"")</f>
        <v/>
      </c>
      <c r="D2106" s="12"/>
    </row>
    <row r="2107" spans="1:4" x14ac:dyDescent="0.25">
      <c r="A2107" t="str">
        <f>IF(COUNTIF(B$1:B2107,B2107)=1,MAX(A$1:A2106)+1,"")</f>
        <v/>
      </c>
      <c r="B2107" s="11"/>
      <c r="C2107" s="11" t="str">
        <f>IF(COUNTIF(D$1:D2107,D2107)=1,MAX(C$1:C2106)+1,"")</f>
        <v/>
      </c>
      <c r="D2107" s="12"/>
    </row>
    <row r="2108" spans="1:4" x14ac:dyDescent="0.25">
      <c r="A2108" t="str">
        <f>IF(COUNTIF(B$1:B2108,B2108)=1,MAX(A$1:A2107)+1,"")</f>
        <v/>
      </c>
      <c r="B2108" s="11"/>
      <c r="C2108" s="11" t="str">
        <f>IF(COUNTIF(D$1:D2108,D2108)=1,MAX(C$1:C2107)+1,"")</f>
        <v/>
      </c>
      <c r="D2108" s="12"/>
    </row>
    <row r="2109" spans="1:4" x14ac:dyDescent="0.25">
      <c r="A2109" t="str">
        <f>IF(COUNTIF(B$1:B2109,B2109)=1,MAX(A$1:A2108)+1,"")</f>
        <v/>
      </c>
      <c r="B2109" s="11"/>
      <c r="C2109" s="11" t="str">
        <f>IF(COUNTIF(D$1:D2109,D2109)=1,MAX(C$1:C2108)+1,"")</f>
        <v/>
      </c>
      <c r="D2109" s="12"/>
    </row>
    <row r="2110" spans="1:4" x14ac:dyDescent="0.25">
      <c r="A2110" t="str">
        <f>IF(COUNTIF(B$1:B2110,B2110)=1,MAX(A$1:A2109)+1,"")</f>
        <v/>
      </c>
      <c r="B2110" s="11"/>
      <c r="C2110" s="11" t="str">
        <f>IF(COUNTIF(D$1:D2110,D2110)=1,MAX(C$1:C2109)+1,"")</f>
        <v/>
      </c>
      <c r="D2110" s="12"/>
    </row>
    <row r="2111" spans="1:4" x14ac:dyDescent="0.25">
      <c r="A2111" t="str">
        <f>IF(COUNTIF(B$1:B2111,B2111)=1,MAX(A$1:A2110)+1,"")</f>
        <v/>
      </c>
      <c r="B2111" s="11"/>
      <c r="C2111" s="11" t="str">
        <f>IF(COUNTIF(D$1:D2111,D2111)=1,MAX(C$1:C2110)+1,"")</f>
        <v/>
      </c>
      <c r="D2111" s="12"/>
    </row>
    <row r="2112" spans="1:4" x14ac:dyDescent="0.25">
      <c r="A2112" t="str">
        <f>IF(COUNTIF(B$1:B2112,B2112)=1,MAX(A$1:A2111)+1,"")</f>
        <v/>
      </c>
      <c r="B2112" s="11"/>
      <c r="C2112" s="11" t="str">
        <f>IF(COUNTIF(D$1:D2112,D2112)=1,MAX(C$1:C2111)+1,"")</f>
        <v/>
      </c>
      <c r="D2112" s="12"/>
    </row>
    <row r="2113" spans="1:4" x14ac:dyDescent="0.25">
      <c r="A2113" t="str">
        <f>IF(COUNTIF(B$1:B2113,B2113)=1,MAX(A$1:A2112)+1,"")</f>
        <v/>
      </c>
      <c r="B2113" s="11"/>
      <c r="C2113" s="11" t="str">
        <f>IF(COUNTIF(D$1:D2113,D2113)=1,MAX(C$1:C2112)+1,"")</f>
        <v/>
      </c>
      <c r="D2113" s="12"/>
    </row>
    <row r="2114" spans="1:4" x14ac:dyDescent="0.25">
      <c r="A2114" t="str">
        <f>IF(COUNTIF(B$1:B2114,B2114)=1,MAX(A$1:A2113)+1,"")</f>
        <v/>
      </c>
      <c r="B2114" s="11"/>
      <c r="C2114" s="11" t="str">
        <f>IF(COUNTIF(D$1:D2114,D2114)=1,MAX(C$1:C2113)+1,"")</f>
        <v/>
      </c>
      <c r="D2114" s="12"/>
    </row>
    <row r="2115" spans="1:4" x14ac:dyDescent="0.25">
      <c r="A2115" t="str">
        <f>IF(COUNTIF(B$1:B2115,B2115)=1,MAX(A$1:A2114)+1,"")</f>
        <v/>
      </c>
      <c r="B2115" s="11"/>
      <c r="C2115" s="11" t="str">
        <f>IF(COUNTIF(D$1:D2115,D2115)=1,MAX(C$1:C2114)+1,"")</f>
        <v/>
      </c>
      <c r="D2115" s="12"/>
    </row>
    <row r="2116" spans="1:4" x14ac:dyDescent="0.25">
      <c r="A2116" t="str">
        <f>IF(COUNTIF(B$1:B2116,B2116)=1,MAX(A$1:A2115)+1,"")</f>
        <v/>
      </c>
      <c r="B2116" s="11"/>
      <c r="C2116" s="11" t="str">
        <f>IF(COUNTIF(D$1:D2116,D2116)=1,MAX(C$1:C2115)+1,"")</f>
        <v/>
      </c>
      <c r="D2116" s="12"/>
    </row>
    <row r="2117" spans="1:4" x14ac:dyDescent="0.25">
      <c r="A2117" t="str">
        <f>IF(COUNTIF(B$1:B2117,B2117)=1,MAX(A$1:A2116)+1,"")</f>
        <v/>
      </c>
      <c r="B2117" s="11"/>
      <c r="C2117" s="11" t="str">
        <f>IF(COUNTIF(D$1:D2117,D2117)=1,MAX(C$1:C2116)+1,"")</f>
        <v/>
      </c>
      <c r="D2117" s="12"/>
    </row>
    <row r="2118" spans="1:4" x14ac:dyDescent="0.25">
      <c r="A2118" t="str">
        <f>IF(COUNTIF(B$1:B2118,B2118)=1,MAX(A$1:A2117)+1,"")</f>
        <v/>
      </c>
      <c r="B2118" s="11"/>
      <c r="C2118" s="11" t="str">
        <f>IF(COUNTIF(D$1:D2118,D2118)=1,MAX(C$1:C2117)+1,"")</f>
        <v/>
      </c>
      <c r="D2118" s="12"/>
    </row>
    <row r="2119" spans="1:4" x14ac:dyDescent="0.25">
      <c r="A2119" t="str">
        <f>IF(COUNTIF(B$1:B2119,B2119)=1,MAX(A$1:A2118)+1,"")</f>
        <v/>
      </c>
      <c r="B2119" s="11"/>
      <c r="C2119" s="11" t="str">
        <f>IF(COUNTIF(D$1:D2119,D2119)=1,MAX(C$1:C2118)+1,"")</f>
        <v/>
      </c>
      <c r="D2119" s="12"/>
    </row>
    <row r="2120" spans="1:4" x14ac:dyDescent="0.25">
      <c r="A2120" t="str">
        <f>IF(COUNTIF(B$1:B2120,B2120)=1,MAX(A$1:A2119)+1,"")</f>
        <v/>
      </c>
      <c r="B2120" s="11"/>
      <c r="C2120" s="11" t="str">
        <f>IF(COUNTIF(D$1:D2120,D2120)=1,MAX(C$1:C2119)+1,"")</f>
        <v/>
      </c>
      <c r="D2120" s="12"/>
    </row>
    <row r="2121" spans="1:4" x14ac:dyDescent="0.25">
      <c r="A2121" t="str">
        <f>IF(COUNTIF(B$1:B2121,B2121)=1,MAX(A$1:A2120)+1,"")</f>
        <v/>
      </c>
      <c r="B2121" s="11"/>
      <c r="C2121" s="11" t="str">
        <f>IF(COUNTIF(D$1:D2121,D2121)=1,MAX(C$1:C2120)+1,"")</f>
        <v/>
      </c>
      <c r="D2121" s="12"/>
    </row>
    <row r="2122" spans="1:4" x14ac:dyDescent="0.25">
      <c r="A2122" t="str">
        <f>IF(COUNTIF(B$1:B2122,B2122)=1,MAX(A$1:A2121)+1,"")</f>
        <v/>
      </c>
      <c r="B2122" s="11"/>
      <c r="C2122" s="11" t="str">
        <f>IF(COUNTIF(D$1:D2122,D2122)=1,MAX(C$1:C2121)+1,"")</f>
        <v/>
      </c>
      <c r="D2122" s="12"/>
    </row>
    <row r="2123" spans="1:4" x14ac:dyDescent="0.25">
      <c r="A2123" t="str">
        <f>IF(COUNTIF(B$1:B2123,B2123)=1,MAX(A$1:A2122)+1,"")</f>
        <v/>
      </c>
      <c r="B2123" s="11"/>
      <c r="C2123" s="11" t="str">
        <f>IF(COUNTIF(D$1:D2123,D2123)=1,MAX(C$1:C2122)+1,"")</f>
        <v/>
      </c>
      <c r="D2123" s="12"/>
    </row>
    <row r="2124" spans="1:4" x14ac:dyDescent="0.25">
      <c r="A2124" t="str">
        <f>IF(COUNTIF(B$1:B2124,B2124)=1,MAX(A$1:A2123)+1,"")</f>
        <v/>
      </c>
      <c r="B2124" s="11"/>
      <c r="C2124" s="11" t="str">
        <f>IF(COUNTIF(D$1:D2124,D2124)=1,MAX(C$1:C2123)+1,"")</f>
        <v/>
      </c>
      <c r="D2124" s="12"/>
    </row>
    <row r="2125" spans="1:4" x14ac:dyDescent="0.25">
      <c r="A2125" t="str">
        <f>IF(COUNTIF(B$1:B2125,B2125)=1,MAX(A$1:A2124)+1,"")</f>
        <v/>
      </c>
      <c r="B2125" s="11"/>
      <c r="C2125" s="11" t="str">
        <f>IF(COUNTIF(D$1:D2125,D2125)=1,MAX(C$1:C2124)+1,"")</f>
        <v/>
      </c>
      <c r="D2125" s="12"/>
    </row>
    <row r="2126" spans="1:4" x14ac:dyDescent="0.25">
      <c r="A2126" t="str">
        <f>IF(COUNTIF(B$1:B2126,B2126)=1,MAX(A$1:A2125)+1,"")</f>
        <v/>
      </c>
      <c r="B2126" s="11"/>
      <c r="C2126" s="11" t="str">
        <f>IF(COUNTIF(D$1:D2126,D2126)=1,MAX(C$1:C2125)+1,"")</f>
        <v/>
      </c>
      <c r="D2126" s="12"/>
    </row>
    <row r="2127" spans="1:4" x14ac:dyDescent="0.25">
      <c r="A2127" t="str">
        <f>IF(COUNTIF(B$1:B2127,B2127)=1,MAX(A$1:A2126)+1,"")</f>
        <v/>
      </c>
      <c r="B2127" s="11"/>
      <c r="C2127" s="11" t="str">
        <f>IF(COUNTIF(D$1:D2127,D2127)=1,MAX(C$1:C2126)+1,"")</f>
        <v/>
      </c>
      <c r="D2127" s="12"/>
    </row>
    <row r="2128" spans="1:4" x14ac:dyDescent="0.25">
      <c r="A2128" t="str">
        <f>IF(COUNTIF(B$1:B2128,B2128)=1,MAX(A$1:A2127)+1,"")</f>
        <v/>
      </c>
      <c r="B2128" s="11"/>
      <c r="C2128" s="11" t="str">
        <f>IF(COUNTIF(D$1:D2128,D2128)=1,MAX(C$1:C2127)+1,"")</f>
        <v/>
      </c>
      <c r="D2128" s="12"/>
    </row>
    <row r="2129" spans="1:4" x14ac:dyDescent="0.25">
      <c r="A2129" t="str">
        <f>IF(COUNTIF(B$1:B2129,B2129)=1,MAX(A$1:A2128)+1,"")</f>
        <v/>
      </c>
      <c r="B2129" s="11"/>
      <c r="C2129" s="11" t="str">
        <f>IF(COUNTIF(D$1:D2129,D2129)=1,MAX(C$1:C2128)+1,"")</f>
        <v/>
      </c>
      <c r="D2129" s="12"/>
    </row>
    <row r="2130" spans="1:4" x14ac:dyDescent="0.25">
      <c r="A2130" t="str">
        <f>IF(COUNTIF(B$1:B2130,B2130)=1,MAX(A$1:A2129)+1,"")</f>
        <v/>
      </c>
      <c r="B2130" s="11"/>
      <c r="C2130" s="11" t="str">
        <f>IF(COUNTIF(D$1:D2130,D2130)=1,MAX(C$1:C2129)+1,"")</f>
        <v/>
      </c>
      <c r="D2130" s="12"/>
    </row>
    <row r="2131" spans="1:4" x14ac:dyDescent="0.25">
      <c r="A2131" t="str">
        <f>IF(COUNTIF(B$1:B2131,B2131)=1,MAX(A$1:A2130)+1,"")</f>
        <v/>
      </c>
      <c r="B2131" s="11"/>
      <c r="C2131" s="11" t="str">
        <f>IF(COUNTIF(D$1:D2131,D2131)=1,MAX(C$1:C2130)+1,"")</f>
        <v/>
      </c>
      <c r="D2131" s="12"/>
    </row>
    <row r="2132" spans="1:4" x14ac:dyDescent="0.25">
      <c r="A2132" t="str">
        <f>IF(COUNTIF(B$1:B2132,B2132)=1,MAX(A$1:A2131)+1,"")</f>
        <v/>
      </c>
      <c r="B2132" s="11"/>
      <c r="C2132" s="11" t="str">
        <f>IF(COUNTIF(D$1:D2132,D2132)=1,MAX(C$1:C2131)+1,"")</f>
        <v/>
      </c>
      <c r="D2132" s="12"/>
    </row>
    <row r="2133" spans="1:4" x14ac:dyDescent="0.25">
      <c r="A2133" t="str">
        <f>IF(COUNTIF(B$1:B2133,B2133)=1,MAX(A$1:A2132)+1,"")</f>
        <v/>
      </c>
      <c r="B2133" s="11"/>
      <c r="C2133" s="11" t="str">
        <f>IF(COUNTIF(D$1:D2133,D2133)=1,MAX(C$1:C2132)+1,"")</f>
        <v/>
      </c>
      <c r="D2133" s="12"/>
    </row>
    <row r="2134" spans="1:4" x14ac:dyDescent="0.25">
      <c r="A2134" t="str">
        <f>IF(COUNTIF(B$1:B2134,B2134)=1,MAX(A$1:A2133)+1,"")</f>
        <v/>
      </c>
      <c r="B2134" s="11"/>
      <c r="C2134" s="11" t="str">
        <f>IF(COUNTIF(D$1:D2134,D2134)=1,MAX(C$1:C2133)+1,"")</f>
        <v/>
      </c>
      <c r="D2134" s="12"/>
    </row>
    <row r="2135" spans="1:4" x14ac:dyDescent="0.25">
      <c r="A2135" t="str">
        <f>IF(COUNTIF(B$1:B2135,B2135)=1,MAX(A$1:A2134)+1,"")</f>
        <v/>
      </c>
      <c r="B2135" s="11"/>
      <c r="C2135" s="11" t="str">
        <f>IF(COUNTIF(D$1:D2135,D2135)=1,MAX(C$1:C2134)+1,"")</f>
        <v/>
      </c>
      <c r="D2135" s="12"/>
    </row>
    <row r="2136" spans="1:4" x14ac:dyDescent="0.25">
      <c r="A2136" t="str">
        <f>IF(COUNTIF(B$1:B2136,B2136)=1,MAX(A$1:A2135)+1,"")</f>
        <v/>
      </c>
      <c r="B2136" s="11"/>
      <c r="C2136" s="11" t="str">
        <f>IF(COUNTIF(D$1:D2136,D2136)=1,MAX(C$1:C2135)+1,"")</f>
        <v/>
      </c>
      <c r="D2136" s="12"/>
    </row>
    <row r="2137" spans="1:4" x14ac:dyDescent="0.25">
      <c r="A2137" t="str">
        <f>IF(COUNTIF(B$1:B2137,B2137)=1,MAX(A$1:A2136)+1,"")</f>
        <v/>
      </c>
      <c r="B2137" s="11"/>
      <c r="C2137" s="11" t="str">
        <f>IF(COUNTIF(D$1:D2137,D2137)=1,MAX(C$1:C2136)+1,"")</f>
        <v/>
      </c>
      <c r="D2137" s="12"/>
    </row>
    <row r="2138" spans="1:4" x14ac:dyDescent="0.25">
      <c r="A2138" t="str">
        <f>IF(COUNTIF(B$1:B2138,B2138)=1,MAX(A$1:A2137)+1,"")</f>
        <v/>
      </c>
      <c r="B2138" s="11"/>
      <c r="C2138" s="11" t="str">
        <f>IF(COUNTIF(D$1:D2138,D2138)=1,MAX(C$1:C2137)+1,"")</f>
        <v/>
      </c>
      <c r="D2138" s="12"/>
    </row>
    <row r="2139" spans="1:4" x14ac:dyDescent="0.25">
      <c r="A2139" t="str">
        <f>IF(COUNTIF(B$1:B2139,B2139)=1,MAX(A$1:A2138)+1,"")</f>
        <v/>
      </c>
      <c r="B2139" s="11"/>
      <c r="C2139" s="11" t="str">
        <f>IF(COUNTIF(D$1:D2139,D2139)=1,MAX(C$1:C2138)+1,"")</f>
        <v/>
      </c>
      <c r="D2139" s="12"/>
    </row>
    <row r="2140" spans="1:4" x14ac:dyDescent="0.25">
      <c r="A2140" t="str">
        <f>IF(COUNTIF(B$1:B2140,B2140)=1,MAX(A$1:A2139)+1,"")</f>
        <v/>
      </c>
      <c r="B2140" s="11"/>
      <c r="C2140" s="11" t="str">
        <f>IF(COUNTIF(D$1:D2140,D2140)=1,MAX(C$1:C2139)+1,"")</f>
        <v/>
      </c>
      <c r="D2140" s="12"/>
    </row>
    <row r="2141" spans="1:4" x14ac:dyDescent="0.25">
      <c r="A2141" t="str">
        <f>IF(COUNTIF(B$1:B2141,B2141)=1,MAX(A$1:A2140)+1,"")</f>
        <v/>
      </c>
      <c r="B2141" s="11"/>
      <c r="C2141" s="11" t="str">
        <f>IF(COUNTIF(D$1:D2141,D2141)=1,MAX(C$1:C2140)+1,"")</f>
        <v/>
      </c>
      <c r="D2141" s="12"/>
    </row>
    <row r="2142" spans="1:4" x14ac:dyDescent="0.25">
      <c r="A2142" t="str">
        <f>IF(COUNTIF(B$1:B2142,B2142)=1,MAX(A$1:A2141)+1,"")</f>
        <v/>
      </c>
      <c r="B2142" s="11"/>
      <c r="C2142" s="11" t="str">
        <f>IF(COUNTIF(D$1:D2142,D2142)=1,MAX(C$1:C2141)+1,"")</f>
        <v/>
      </c>
      <c r="D2142" s="12"/>
    </row>
    <row r="2143" spans="1:4" x14ac:dyDescent="0.25">
      <c r="A2143" t="str">
        <f>IF(COUNTIF(B$1:B2143,B2143)=1,MAX(A$1:A2142)+1,"")</f>
        <v/>
      </c>
      <c r="B2143" s="11"/>
      <c r="C2143" s="11" t="str">
        <f>IF(COUNTIF(D$1:D2143,D2143)=1,MAX(C$1:C2142)+1,"")</f>
        <v/>
      </c>
      <c r="D2143" s="12"/>
    </row>
    <row r="2144" spans="1:4" x14ac:dyDescent="0.25">
      <c r="A2144" t="str">
        <f>IF(COUNTIF(B$1:B2144,B2144)=1,MAX(A$1:A2143)+1,"")</f>
        <v/>
      </c>
      <c r="B2144" s="11"/>
      <c r="C2144" s="11" t="str">
        <f>IF(COUNTIF(D$1:D2144,D2144)=1,MAX(C$1:C2143)+1,"")</f>
        <v/>
      </c>
      <c r="D2144" s="12"/>
    </row>
    <row r="2145" spans="1:4" x14ac:dyDescent="0.25">
      <c r="A2145" t="str">
        <f>IF(COUNTIF(B$1:B2145,B2145)=1,MAX(A$1:A2144)+1,"")</f>
        <v/>
      </c>
      <c r="B2145" s="11"/>
      <c r="C2145" s="11" t="str">
        <f>IF(COUNTIF(D$1:D2145,D2145)=1,MAX(C$1:C2144)+1,"")</f>
        <v/>
      </c>
      <c r="D2145" s="12"/>
    </row>
    <row r="2146" spans="1:4" x14ac:dyDescent="0.25">
      <c r="A2146" t="str">
        <f>IF(COUNTIF(B$1:B2146,B2146)=1,MAX(A$1:A2145)+1,"")</f>
        <v/>
      </c>
      <c r="B2146" s="11"/>
      <c r="C2146" s="11" t="str">
        <f>IF(COUNTIF(D$1:D2146,D2146)=1,MAX(C$1:C2145)+1,"")</f>
        <v/>
      </c>
      <c r="D2146" s="12"/>
    </row>
    <row r="2147" spans="1:4" x14ac:dyDescent="0.25">
      <c r="A2147" t="str">
        <f>IF(COUNTIF(B$1:B2147,B2147)=1,MAX(A$1:A2146)+1,"")</f>
        <v/>
      </c>
      <c r="B2147" s="11"/>
      <c r="C2147" s="11" t="str">
        <f>IF(COUNTIF(D$1:D2147,D2147)=1,MAX(C$1:C2146)+1,"")</f>
        <v/>
      </c>
      <c r="D2147" s="12"/>
    </row>
    <row r="2148" spans="1:4" x14ac:dyDescent="0.25">
      <c r="A2148" t="str">
        <f>IF(COUNTIF(B$1:B2148,B2148)=1,MAX(A$1:A2147)+1,"")</f>
        <v/>
      </c>
      <c r="B2148" s="11"/>
      <c r="C2148" s="11" t="str">
        <f>IF(COUNTIF(D$1:D2148,D2148)=1,MAX(C$1:C2147)+1,"")</f>
        <v/>
      </c>
      <c r="D2148" s="12"/>
    </row>
    <row r="2149" spans="1:4" x14ac:dyDescent="0.25">
      <c r="A2149" t="str">
        <f>IF(COUNTIF(B$1:B2149,B2149)=1,MAX(A$1:A2148)+1,"")</f>
        <v/>
      </c>
      <c r="B2149" s="11"/>
      <c r="C2149" s="11" t="str">
        <f>IF(COUNTIF(D$1:D2149,D2149)=1,MAX(C$1:C2148)+1,"")</f>
        <v/>
      </c>
      <c r="D2149" s="12"/>
    </row>
    <row r="2150" spans="1:4" x14ac:dyDescent="0.25">
      <c r="A2150" t="str">
        <f>IF(COUNTIF(B$1:B2150,B2150)=1,MAX(A$1:A2149)+1,"")</f>
        <v/>
      </c>
      <c r="B2150" s="11"/>
      <c r="C2150" s="11" t="str">
        <f>IF(COUNTIF(D$1:D2150,D2150)=1,MAX(C$1:C2149)+1,"")</f>
        <v/>
      </c>
      <c r="D2150" s="12"/>
    </row>
    <row r="2151" spans="1:4" x14ac:dyDescent="0.25">
      <c r="A2151" t="str">
        <f>IF(COUNTIF(B$1:B2151,B2151)=1,MAX(A$1:A2150)+1,"")</f>
        <v/>
      </c>
      <c r="B2151" s="11"/>
      <c r="C2151" s="11" t="str">
        <f>IF(COUNTIF(D$1:D2151,D2151)=1,MAX(C$1:C2150)+1,"")</f>
        <v/>
      </c>
      <c r="D2151" s="12"/>
    </row>
    <row r="2152" spans="1:4" x14ac:dyDescent="0.25">
      <c r="A2152" t="str">
        <f>IF(COUNTIF(B$1:B2152,B2152)=1,MAX(A$1:A2151)+1,"")</f>
        <v/>
      </c>
      <c r="B2152" s="11"/>
      <c r="C2152" s="11" t="str">
        <f>IF(COUNTIF(D$1:D2152,D2152)=1,MAX(C$1:C2151)+1,"")</f>
        <v/>
      </c>
      <c r="D2152" s="12"/>
    </row>
    <row r="2153" spans="1:4" x14ac:dyDescent="0.25">
      <c r="A2153" t="str">
        <f>IF(COUNTIF(B$1:B2153,B2153)=1,MAX(A$1:A2152)+1,"")</f>
        <v/>
      </c>
      <c r="B2153" s="11"/>
      <c r="C2153" s="11" t="str">
        <f>IF(COUNTIF(D$1:D2153,D2153)=1,MAX(C$1:C2152)+1,"")</f>
        <v/>
      </c>
      <c r="D2153" s="12"/>
    </row>
    <row r="2154" spans="1:4" x14ac:dyDescent="0.25">
      <c r="A2154" t="str">
        <f>IF(COUNTIF(B$1:B2154,B2154)=1,MAX(A$1:A2153)+1,"")</f>
        <v/>
      </c>
      <c r="B2154" s="11"/>
      <c r="C2154" s="11" t="str">
        <f>IF(COUNTIF(D$1:D2154,D2154)=1,MAX(C$1:C2153)+1,"")</f>
        <v/>
      </c>
      <c r="D2154" s="12"/>
    </row>
    <row r="2155" spans="1:4" x14ac:dyDescent="0.25">
      <c r="A2155" t="str">
        <f>IF(COUNTIF(B$1:B2155,B2155)=1,MAX(A$1:A2154)+1,"")</f>
        <v/>
      </c>
      <c r="B2155" s="11"/>
      <c r="C2155" s="11" t="str">
        <f>IF(COUNTIF(D$1:D2155,D2155)=1,MAX(C$1:C2154)+1,"")</f>
        <v/>
      </c>
      <c r="D2155" s="12"/>
    </row>
    <row r="2156" spans="1:4" x14ac:dyDescent="0.25">
      <c r="A2156" t="str">
        <f>IF(COUNTIF(B$1:B2156,B2156)=1,MAX(A$1:A2155)+1,"")</f>
        <v/>
      </c>
      <c r="B2156" s="11"/>
      <c r="C2156" s="11" t="str">
        <f>IF(COUNTIF(D$1:D2156,D2156)=1,MAX(C$1:C2155)+1,"")</f>
        <v/>
      </c>
      <c r="D2156" s="12"/>
    </row>
    <row r="2157" spans="1:4" x14ac:dyDescent="0.25">
      <c r="A2157" t="str">
        <f>IF(COUNTIF(B$1:B2157,B2157)=1,MAX(A$1:A2156)+1,"")</f>
        <v/>
      </c>
      <c r="B2157" s="11"/>
      <c r="C2157" s="11" t="str">
        <f>IF(COUNTIF(D$1:D2157,D2157)=1,MAX(C$1:C2156)+1,"")</f>
        <v/>
      </c>
      <c r="D2157" s="12"/>
    </row>
    <row r="2158" spans="1:4" x14ac:dyDescent="0.25">
      <c r="A2158" t="str">
        <f>IF(COUNTIF(B$1:B2158,B2158)=1,MAX(A$1:A2157)+1,"")</f>
        <v/>
      </c>
      <c r="B2158" s="11"/>
      <c r="C2158" s="11" t="str">
        <f>IF(COUNTIF(D$1:D2158,D2158)=1,MAX(C$1:C2157)+1,"")</f>
        <v/>
      </c>
      <c r="D2158" s="12"/>
    </row>
    <row r="2159" spans="1:4" x14ac:dyDescent="0.25">
      <c r="A2159" t="str">
        <f>IF(COUNTIF(B$1:B2159,B2159)=1,MAX(A$1:A2158)+1,"")</f>
        <v/>
      </c>
      <c r="B2159" s="11"/>
      <c r="C2159" s="11" t="str">
        <f>IF(COUNTIF(D$1:D2159,D2159)=1,MAX(C$1:C2158)+1,"")</f>
        <v/>
      </c>
      <c r="D2159" s="12"/>
    </row>
    <row r="2160" spans="1:4" x14ac:dyDescent="0.25">
      <c r="A2160" t="str">
        <f>IF(COUNTIF(B$1:B2160,B2160)=1,MAX(A$1:A2159)+1,"")</f>
        <v/>
      </c>
      <c r="B2160" s="11"/>
      <c r="C2160" s="11" t="str">
        <f>IF(COUNTIF(D$1:D2160,D2160)=1,MAX(C$1:C2159)+1,"")</f>
        <v/>
      </c>
      <c r="D2160" s="12"/>
    </row>
    <row r="2161" spans="1:4" x14ac:dyDescent="0.25">
      <c r="A2161" t="str">
        <f>IF(COUNTIF(B$1:B2161,B2161)=1,MAX(A$1:A2160)+1,"")</f>
        <v/>
      </c>
      <c r="B2161" s="11"/>
      <c r="C2161" s="11" t="str">
        <f>IF(COUNTIF(D$1:D2161,D2161)=1,MAX(C$1:C2160)+1,"")</f>
        <v/>
      </c>
      <c r="D2161" s="12"/>
    </row>
    <row r="2162" spans="1:4" x14ac:dyDescent="0.25">
      <c r="A2162" t="str">
        <f>IF(COUNTIF(B$1:B2162,B2162)=1,MAX(A$1:A2161)+1,"")</f>
        <v/>
      </c>
      <c r="B2162" s="11"/>
      <c r="C2162" s="11" t="str">
        <f>IF(COUNTIF(D$1:D2162,D2162)=1,MAX(C$1:C2161)+1,"")</f>
        <v/>
      </c>
      <c r="D2162" s="12"/>
    </row>
    <row r="2163" spans="1:4" x14ac:dyDescent="0.25">
      <c r="A2163" t="str">
        <f>IF(COUNTIF(B$1:B2163,B2163)=1,MAX(A$1:A2162)+1,"")</f>
        <v/>
      </c>
      <c r="B2163" s="11"/>
      <c r="C2163" s="11" t="str">
        <f>IF(COUNTIF(D$1:D2163,D2163)=1,MAX(C$1:C2162)+1,"")</f>
        <v/>
      </c>
      <c r="D2163" s="12"/>
    </row>
    <row r="2164" spans="1:4" x14ac:dyDescent="0.25">
      <c r="A2164" t="str">
        <f>IF(COUNTIF(B$1:B2164,B2164)=1,MAX(A$1:A2163)+1,"")</f>
        <v/>
      </c>
      <c r="B2164" s="11"/>
      <c r="C2164" s="11" t="str">
        <f>IF(COUNTIF(D$1:D2164,D2164)=1,MAX(C$1:C2163)+1,"")</f>
        <v/>
      </c>
      <c r="D2164" s="12"/>
    </row>
    <row r="2165" spans="1:4" x14ac:dyDescent="0.25">
      <c r="A2165" t="str">
        <f>IF(COUNTIF(B$1:B2165,B2165)=1,MAX(A$1:A2164)+1,"")</f>
        <v/>
      </c>
      <c r="B2165" s="11"/>
      <c r="C2165" s="11" t="str">
        <f>IF(COUNTIF(D$1:D2165,D2165)=1,MAX(C$1:C2164)+1,"")</f>
        <v/>
      </c>
      <c r="D2165" s="12"/>
    </row>
    <row r="2166" spans="1:4" x14ac:dyDescent="0.25">
      <c r="A2166" t="str">
        <f>IF(COUNTIF(B$1:B2166,B2166)=1,MAX(A$1:A2165)+1,"")</f>
        <v/>
      </c>
      <c r="B2166" s="11"/>
      <c r="C2166" s="11" t="str">
        <f>IF(COUNTIF(D$1:D2166,D2166)=1,MAX(C$1:C2165)+1,"")</f>
        <v/>
      </c>
      <c r="D2166" s="12"/>
    </row>
    <row r="2167" spans="1:4" x14ac:dyDescent="0.25">
      <c r="A2167" t="str">
        <f>IF(COUNTIF(B$1:B2167,B2167)=1,MAX(A$1:A2166)+1,"")</f>
        <v/>
      </c>
      <c r="B2167" s="11"/>
      <c r="C2167" s="11" t="str">
        <f>IF(COUNTIF(D$1:D2167,D2167)=1,MAX(C$1:C2166)+1,"")</f>
        <v/>
      </c>
      <c r="D2167" s="12"/>
    </row>
    <row r="2168" spans="1:4" x14ac:dyDescent="0.25">
      <c r="A2168" t="str">
        <f>IF(COUNTIF(B$1:B2168,B2168)=1,MAX(A$1:A2167)+1,"")</f>
        <v/>
      </c>
      <c r="B2168" s="11"/>
      <c r="C2168" s="11" t="str">
        <f>IF(COUNTIF(D$1:D2168,D2168)=1,MAX(C$1:C2167)+1,"")</f>
        <v/>
      </c>
      <c r="D2168" s="12"/>
    </row>
    <row r="2169" spans="1:4" x14ac:dyDescent="0.25">
      <c r="A2169" t="str">
        <f>IF(COUNTIF(B$1:B2169,B2169)=1,MAX(A$1:A2168)+1,"")</f>
        <v/>
      </c>
      <c r="B2169" s="11"/>
      <c r="C2169" s="11" t="str">
        <f>IF(COUNTIF(D$1:D2169,D2169)=1,MAX(C$1:C2168)+1,"")</f>
        <v/>
      </c>
      <c r="D2169" s="12"/>
    </row>
    <row r="2170" spans="1:4" x14ac:dyDescent="0.25">
      <c r="A2170" t="str">
        <f>IF(COUNTIF(B$1:B2170,B2170)=1,MAX(A$1:A2169)+1,"")</f>
        <v/>
      </c>
      <c r="B2170" s="11"/>
      <c r="C2170" s="11" t="str">
        <f>IF(COUNTIF(D$1:D2170,D2170)=1,MAX(C$1:C2169)+1,"")</f>
        <v/>
      </c>
      <c r="D2170" s="12"/>
    </row>
    <row r="2171" spans="1:4" x14ac:dyDescent="0.25">
      <c r="A2171" t="str">
        <f>IF(COUNTIF(B$1:B2171,B2171)=1,MAX(A$1:A2170)+1,"")</f>
        <v/>
      </c>
      <c r="B2171" s="11"/>
      <c r="C2171" s="11" t="str">
        <f>IF(COUNTIF(D$1:D2171,D2171)=1,MAX(C$1:C2170)+1,"")</f>
        <v/>
      </c>
      <c r="D2171" s="12"/>
    </row>
    <row r="2172" spans="1:4" x14ac:dyDescent="0.25">
      <c r="A2172" t="str">
        <f>IF(COUNTIF(B$1:B2172,B2172)=1,MAX(A$1:A2171)+1,"")</f>
        <v/>
      </c>
      <c r="B2172" s="11"/>
      <c r="C2172" s="11" t="str">
        <f>IF(COUNTIF(D$1:D2172,D2172)=1,MAX(C$1:C2171)+1,"")</f>
        <v/>
      </c>
      <c r="D2172" s="12"/>
    </row>
    <row r="2173" spans="1:4" x14ac:dyDescent="0.25">
      <c r="A2173" t="str">
        <f>IF(COUNTIF(B$1:B2173,B2173)=1,MAX(A$1:A2172)+1,"")</f>
        <v/>
      </c>
      <c r="B2173" s="11"/>
      <c r="C2173" s="11" t="str">
        <f>IF(COUNTIF(D$1:D2173,D2173)=1,MAX(C$1:C2172)+1,"")</f>
        <v/>
      </c>
      <c r="D2173" s="12"/>
    </row>
    <row r="2174" spans="1:4" x14ac:dyDescent="0.25">
      <c r="A2174" t="str">
        <f>IF(COUNTIF(B$1:B2174,B2174)=1,MAX(A$1:A2173)+1,"")</f>
        <v/>
      </c>
      <c r="B2174" s="11"/>
      <c r="C2174" s="11" t="str">
        <f>IF(COUNTIF(D$1:D2174,D2174)=1,MAX(C$1:C2173)+1,"")</f>
        <v/>
      </c>
      <c r="D2174" s="12"/>
    </row>
    <row r="2175" spans="1:4" x14ac:dyDescent="0.25">
      <c r="A2175" t="str">
        <f>IF(COUNTIF(B$1:B2175,B2175)=1,MAX(A$1:A2174)+1,"")</f>
        <v/>
      </c>
      <c r="B2175" s="11"/>
      <c r="C2175" s="11" t="str">
        <f>IF(COUNTIF(D$1:D2175,D2175)=1,MAX(C$1:C2174)+1,"")</f>
        <v/>
      </c>
      <c r="D2175" s="12"/>
    </row>
    <row r="2176" spans="1:4" x14ac:dyDescent="0.25">
      <c r="A2176" t="str">
        <f>IF(COUNTIF(B$1:B2176,B2176)=1,MAX(A$1:A2175)+1,"")</f>
        <v/>
      </c>
      <c r="B2176" s="11"/>
      <c r="C2176" s="11" t="str">
        <f>IF(COUNTIF(D$1:D2176,D2176)=1,MAX(C$1:C2175)+1,"")</f>
        <v/>
      </c>
      <c r="D2176" s="12"/>
    </row>
    <row r="2177" spans="1:4" x14ac:dyDescent="0.25">
      <c r="A2177" t="str">
        <f>IF(COUNTIF(B$1:B2177,B2177)=1,MAX(A$1:A2176)+1,"")</f>
        <v/>
      </c>
      <c r="B2177" s="11"/>
      <c r="C2177" s="11" t="str">
        <f>IF(COUNTIF(D$1:D2177,D2177)=1,MAX(C$1:C2176)+1,"")</f>
        <v/>
      </c>
      <c r="D2177" s="12"/>
    </row>
    <row r="2178" spans="1:4" x14ac:dyDescent="0.25">
      <c r="A2178" t="str">
        <f>IF(COUNTIF(B$1:B2178,B2178)=1,MAX(A$1:A2177)+1,"")</f>
        <v/>
      </c>
      <c r="B2178" s="11"/>
      <c r="C2178" s="11" t="str">
        <f>IF(COUNTIF(D$1:D2178,D2178)=1,MAX(C$1:C2177)+1,"")</f>
        <v/>
      </c>
      <c r="D2178" s="12"/>
    </row>
    <row r="2179" spans="1:4" x14ac:dyDescent="0.25">
      <c r="A2179" t="str">
        <f>IF(COUNTIF(B$1:B2179,B2179)=1,MAX(A$1:A2178)+1,"")</f>
        <v/>
      </c>
      <c r="B2179" s="11"/>
      <c r="C2179" s="11" t="str">
        <f>IF(COUNTIF(D$1:D2179,D2179)=1,MAX(C$1:C2178)+1,"")</f>
        <v/>
      </c>
      <c r="D2179" s="12"/>
    </row>
    <row r="2180" spans="1:4" x14ac:dyDescent="0.25">
      <c r="A2180" t="str">
        <f>IF(COUNTIF(B$1:B2180,B2180)=1,MAX(A$1:A2179)+1,"")</f>
        <v/>
      </c>
      <c r="B2180" s="11"/>
      <c r="C2180" s="11" t="str">
        <f>IF(COUNTIF(D$1:D2180,D2180)=1,MAX(C$1:C2179)+1,"")</f>
        <v/>
      </c>
      <c r="D2180" s="12"/>
    </row>
    <row r="2181" spans="1:4" x14ac:dyDescent="0.25">
      <c r="A2181" t="str">
        <f>IF(COUNTIF(B$1:B2181,B2181)=1,MAX(A$1:A2180)+1,"")</f>
        <v/>
      </c>
      <c r="B2181" s="11"/>
      <c r="C2181" s="11" t="str">
        <f>IF(COUNTIF(D$1:D2181,D2181)=1,MAX(C$1:C2180)+1,"")</f>
        <v/>
      </c>
      <c r="D2181" s="12"/>
    </row>
    <row r="2182" spans="1:4" x14ac:dyDescent="0.25">
      <c r="A2182" t="str">
        <f>IF(COUNTIF(B$1:B2182,B2182)=1,MAX(A$1:A2181)+1,"")</f>
        <v/>
      </c>
      <c r="B2182" s="11"/>
      <c r="C2182" s="11" t="str">
        <f>IF(COUNTIF(D$1:D2182,D2182)=1,MAX(C$1:C2181)+1,"")</f>
        <v/>
      </c>
      <c r="D2182" s="12"/>
    </row>
    <row r="2183" spans="1:4" x14ac:dyDescent="0.25">
      <c r="A2183" t="str">
        <f>IF(COUNTIF(B$1:B2183,B2183)=1,MAX(A$1:A2182)+1,"")</f>
        <v/>
      </c>
      <c r="B2183" s="11"/>
      <c r="C2183" s="11" t="str">
        <f>IF(COUNTIF(D$1:D2183,D2183)=1,MAX(C$1:C2182)+1,"")</f>
        <v/>
      </c>
      <c r="D2183" s="12"/>
    </row>
    <row r="2184" spans="1:4" x14ac:dyDescent="0.25">
      <c r="A2184" t="str">
        <f>IF(COUNTIF(B$1:B2184,B2184)=1,MAX(A$1:A2183)+1,"")</f>
        <v/>
      </c>
      <c r="B2184" s="11"/>
      <c r="C2184" s="11" t="str">
        <f>IF(COUNTIF(D$1:D2184,D2184)=1,MAX(C$1:C2183)+1,"")</f>
        <v/>
      </c>
      <c r="D2184" s="12"/>
    </row>
    <row r="2185" spans="1:4" x14ac:dyDescent="0.25">
      <c r="A2185" t="str">
        <f>IF(COUNTIF(B$1:B2185,B2185)=1,MAX(A$1:A2184)+1,"")</f>
        <v/>
      </c>
      <c r="B2185" s="11"/>
      <c r="C2185" s="11" t="str">
        <f>IF(COUNTIF(D$1:D2185,D2185)=1,MAX(C$1:C2184)+1,"")</f>
        <v/>
      </c>
      <c r="D2185" s="12"/>
    </row>
    <row r="2186" spans="1:4" x14ac:dyDescent="0.25">
      <c r="A2186" t="str">
        <f>IF(COUNTIF(B$1:B2186,B2186)=1,MAX(A$1:A2185)+1,"")</f>
        <v/>
      </c>
      <c r="B2186" s="11"/>
      <c r="C2186" s="11" t="str">
        <f>IF(COUNTIF(D$1:D2186,D2186)=1,MAX(C$1:C2185)+1,"")</f>
        <v/>
      </c>
      <c r="D2186" s="12"/>
    </row>
    <row r="2187" spans="1:4" x14ac:dyDescent="0.25">
      <c r="A2187" t="str">
        <f>IF(COUNTIF(B$1:B2187,B2187)=1,MAX(A$1:A2186)+1,"")</f>
        <v/>
      </c>
      <c r="B2187" s="11"/>
      <c r="C2187" s="11" t="str">
        <f>IF(COUNTIF(D$1:D2187,D2187)=1,MAX(C$1:C2186)+1,"")</f>
        <v/>
      </c>
      <c r="D2187" s="12"/>
    </row>
    <row r="2188" spans="1:4" x14ac:dyDescent="0.25">
      <c r="A2188" t="str">
        <f>IF(COUNTIF(B$1:B2188,B2188)=1,MAX(A$1:A2187)+1,"")</f>
        <v/>
      </c>
      <c r="B2188" s="11"/>
      <c r="C2188" s="11" t="str">
        <f>IF(COUNTIF(D$1:D2188,D2188)=1,MAX(C$1:C2187)+1,"")</f>
        <v/>
      </c>
      <c r="D2188" s="12"/>
    </row>
    <row r="2189" spans="1:4" x14ac:dyDescent="0.25">
      <c r="A2189" t="str">
        <f>IF(COUNTIF(B$1:B2189,B2189)=1,MAX(A$1:A2188)+1,"")</f>
        <v/>
      </c>
      <c r="B2189" s="11"/>
      <c r="C2189" s="11" t="str">
        <f>IF(COUNTIF(D$1:D2189,D2189)=1,MAX(C$1:C2188)+1,"")</f>
        <v/>
      </c>
      <c r="D2189" s="12"/>
    </row>
    <row r="2190" spans="1:4" x14ac:dyDescent="0.25">
      <c r="A2190" t="str">
        <f>IF(COUNTIF(B$1:B2190,B2190)=1,MAX(A$1:A2189)+1,"")</f>
        <v/>
      </c>
      <c r="B2190" s="11"/>
      <c r="C2190" s="11" t="str">
        <f>IF(COUNTIF(D$1:D2190,D2190)=1,MAX(C$1:C2189)+1,"")</f>
        <v/>
      </c>
      <c r="D2190" s="12"/>
    </row>
    <row r="2191" spans="1:4" x14ac:dyDescent="0.25">
      <c r="A2191" t="str">
        <f>IF(COUNTIF(B$1:B2191,B2191)=1,MAX(A$1:A2190)+1,"")</f>
        <v/>
      </c>
      <c r="B2191" s="11"/>
      <c r="C2191" s="11" t="str">
        <f>IF(COUNTIF(D$1:D2191,D2191)=1,MAX(C$1:C2190)+1,"")</f>
        <v/>
      </c>
      <c r="D2191" s="12"/>
    </row>
    <row r="2192" spans="1:4" x14ac:dyDescent="0.25">
      <c r="A2192" t="str">
        <f>IF(COUNTIF(B$1:B2192,B2192)=1,MAX(A$1:A2191)+1,"")</f>
        <v/>
      </c>
      <c r="B2192" s="11"/>
      <c r="C2192" s="11" t="str">
        <f>IF(COUNTIF(D$1:D2192,D2192)=1,MAX(C$1:C2191)+1,"")</f>
        <v/>
      </c>
      <c r="D2192" s="12"/>
    </row>
    <row r="2193" spans="1:4" x14ac:dyDescent="0.25">
      <c r="A2193" t="str">
        <f>IF(COUNTIF(B$1:B2193,B2193)=1,MAX(A$1:A2192)+1,"")</f>
        <v/>
      </c>
      <c r="B2193" s="11"/>
      <c r="C2193" s="11" t="str">
        <f>IF(COUNTIF(D$1:D2193,D2193)=1,MAX(C$1:C2192)+1,"")</f>
        <v/>
      </c>
      <c r="D2193" s="12"/>
    </row>
    <row r="2194" spans="1:4" x14ac:dyDescent="0.25">
      <c r="A2194" t="str">
        <f>IF(COUNTIF(B$1:B2194,B2194)=1,MAX(A$1:A2193)+1,"")</f>
        <v/>
      </c>
      <c r="B2194" s="11"/>
      <c r="C2194" s="11" t="str">
        <f>IF(COUNTIF(D$1:D2194,D2194)=1,MAX(C$1:C2193)+1,"")</f>
        <v/>
      </c>
      <c r="D2194" s="12"/>
    </row>
    <row r="2195" spans="1:4" x14ac:dyDescent="0.25">
      <c r="A2195" t="str">
        <f>IF(COUNTIF(B$1:B2195,B2195)=1,MAX(A$1:A2194)+1,"")</f>
        <v/>
      </c>
      <c r="B2195" s="11"/>
      <c r="C2195" s="11" t="str">
        <f>IF(COUNTIF(D$1:D2195,D2195)=1,MAX(C$1:C2194)+1,"")</f>
        <v/>
      </c>
      <c r="D2195" s="12"/>
    </row>
    <row r="2196" spans="1:4" x14ac:dyDescent="0.25">
      <c r="A2196" t="str">
        <f>IF(COUNTIF(B$1:B2196,B2196)=1,MAX(A$1:A2195)+1,"")</f>
        <v/>
      </c>
      <c r="B2196" s="11"/>
      <c r="C2196" s="11" t="str">
        <f>IF(COUNTIF(D$1:D2196,D2196)=1,MAX(C$1:C2195)+1,"")</f>
        <v/>
      </c>
      <c r="D2196" s="12"/>
    </row>
    <row r="2197" spans="1:4" x14ac:dyDescent="0.25">
      <c r="A2197" t="str">
        <f>IF(COUNTIF(B$1:B2197,B2197)=1,MAX(A$1:A2196)+1,"")</f>
        <v/>
      </c>
      <c r="B2197" s="11"/>
      <c r="C2197" s="11" t="str">
        <f>IF(COUNTIF(D$1:D2197,D2197)=1,MAX(C$1:C2196)+1,"")</f>
        <v/>
      </c>
      <c r="D2197" s="12"/>
    </row>
    <row r="2198" spans="1:4" x14ac:dyDescent="0.25">
      <c r="A2198" t="str">
        <f>IF(COUNTIF(B$1:B2198,B2198)=1,MAX(A$1:A2197)+1,"")</f>
        <v/>
      </c>
      <c r="B2198" s="11"/>
      <c r="C2198" s="11" t="str">
        <f>IF(COUNTIF(D$1:D2198,D2198)=1,MAX(C$1:C2197)+1,"")</f>
        <v/>
      </c>
      <c r="D2198" s="12"/>
    </row>
    <row r="2199" spans="1:4" x14ac:dyDescent="0.25">
      <c r="A2199" t="str">
        <f>IF(COUNTIF(B$1:B2199,B2199)=1,MAX(A$1:A2198)+1,"")</f>
        <v/>
      </c>
      <c r="B2199" s="11"/>
      <c r="C2199" s="11" t="str">
        <f>IF(COUNTIF(D$1:D2199,D2199)=1,MAX(C$1:C2198)+1,"")</f>
        <v/>
      </c>
      <c r="D2199" s="12"/>
    </row>
    <row r="2200" spans="1:4" x14ac:dyDescent="0.25">
      <c r="A2200" t="str">
        <f>IF(COUNTIF(B$1:B2200,B2200)=1,MAX(A$1:A2199)+1,"")</f>
        <v/>
      </c>
      <c r="B2200" s="11"/>
      <c r="C2200" s="11" t="str">
        <f>IF(COUNTIF(D$1:D2200,D2200)=1,MAX(C$1:C2199)+1,"")</f>
        <v/>
      </c>
      <c r="D2200" s="12"/>
    </row>
    <row r="2201" spans="1:4" x14ac:dyDescent="0.25">
      <c r="A2201" t="str">
        <f>IF(COUNTIF(B$1:B2201,B2201)=1,MAX(A$1:A2200)+1,"")</f>
        <v/>
      </c>
      <c r="B2201" s="11"/>
      <c r="C2201" s="11" t="str">
        <f>IF(COUNTIF(D$1:D2201,D2201)=1,MAX(C$1:C2200)+1,"")</f>
        <v/>
      </c>
      <c r="D2201" s="12"/>
    </row>
    <row r="2202" spans="1:4" x14ac:dyDescent="0.25">
      <c r="A2202" t="str">
        <f>IF(COUNTIF(B$1:B2202,B2202)=1,MAX(A$1:A2201)+1,"")</f>
        <v/>
      </c>
      <c r="B2202" s="11"/>
      <c r="C2202" s="11" t="str">
        <f>IF(COUNTIF(D$1:D2202,D2202)=1,MAX(C$1:C2201)+1,"")</f>
        <v/>
      </c>
      <c r="D2202" s="12"/>
    </row>
    <row r="2203" spans="1:4" x14ac:dyDescent="0.25">
      <c r="A2203" t="str">
        <f>IF(COUNTIF(B$1:B2203,B2203)=1,MAX(A$1:A2202)+1,"")</f>
        <v/>
      </c>
      <c r="B2203" s="11"/>
      <c r="C2203" s="11" t="str">
        <f>IF(COUNTIF(D$1:D2203,D2203)=1,MAX(C$1:C2202)+1,"")</f>
        <v/>
      </c>
      <c r="D2203" s="12"/>
    </row>
    <row r="2204" spans="1:4" x14ac:dyDescent="0.25">
      <c r="A2204" t="str">
        <f>IF(COUNTIF(B$1:B2204,B2204)=1,MAX(A$1:A2203)+1,"")</f>
        <v/>
      </c>
      <c r="B2204" s="11"/>
      <c r="C2204" s="11" t="str">
        <f>IF(COUNTIF(D$1:D2204,D2204)=1,MAX(C$1:C2203)+1,"")</f>
        <v/>
      </c>
      <c r="D2204" s="12"/>
    </row>
    <row r="2205" spans="1:4" x14ac:dyDescent="0.25">
      <c r="A2205" t="str">
        <f>IF(COUNTIF(B$1:B2205,B2205)=1,MAX(A$1:A2204)+1,"")</f>
        <v/>
      </c>
      <c r="B2205" s="11"/>
      <c r="C2205" s="11" t="str">
        <f>IF(COUNTIF(D$1:D2205,D2205)=1,MAX(C$1:C2204)+1,"")</f>
        <v/>
      </c>
      <c r="D2205" s="12"/>
    </row>
    <row r="2206" spans="1:4" x14ac:dyDescent="0.25">
      <c r="A2206" t="str">
        <f>IF(COUNTIF(B$1:B2206,B2206)=1,MAX(A$1:A2205)+1,"")</f>
        <v/>
      </c>
      <c r="B2206" s="11"/>
      <c r="C2206" s="11" t="str">
        <f>IF(COUNTIF(D$1:D2206,D2206)=1,MAX(C$1:C2205)+1,"")</f>
        <v/>
      </c>
      <c r="D2206" s="12"/>
    </row>
    <row r="2207" spans="1:4" x14ac:dyDescent="0.25">
      <c r="A2207" t="str">
        <f>IF(COUNTIF(B$1:B2207,B2207)=1,MAX(A$1:A2206)+1,"")</f>
        <v/>
      </c>
      <c r="B2207" s="11"/>
      <c r="C2207" s="11" t="str">
        <f>IF(COUNTIF(D$1:D2207,D2207)=1,MAX(C$1:C2206)+1,"")</f>
        <v/>
      </c>
      <c r="D2207" s="12"/>
    </row>
    <row r="2208" spans="1:4" x14ac:dyDescent="0.25">
      <c r="A2208" t="str">
        <f>IF(COUNTIF(B$1:B2208,B2208)=1,MAX(A$1:A2207)+1,"")</f>
        <v/>
      </c>
      <c r="B2208" s="11"/>
      <c r="C2208" s="11" t="str">
        <f>IF(COUNTIF(D$1:D2208,D2208)=1,MAX(C$1:C2207)+1,"")</f>
        <v/>
      </c>
      <c r="D2208" s="12"/>
    </row>
    <row r="2209" spans="1:4" x14ac:dyDescent="0.25">
      <c r="A2209" t="str">
        <f>IF(COUNTIF(B$1:B2209,B2209)=1,MAX(A$1:A2208)+1,"")</f>
        <v/>
      </c>
      <c r="B2209" s="11"/>
      <c r="C2209" s="11" t="str">
        <f>IF(COUNTIF(D$1:D2209,D2209)=1,MAX(C$1:C2208)+1,"")</f>
        <v/>
      </c>
      <c r="D2209" s="12"/>
    </row>
    <row r="2210" spans="1:4" x14ac:dyDescent="0.25">
      <c r="A2210" t="str">
        <f>IF(COUNTIF(B$1:B2210,B2210)=1,MAX(A$1:A2209)+1,"")</f>
        <v/>
      </c>
      <c r="B2210" s="11"/>
      <c r="C2210" s="11" t="str">
        <f>IF(COUNTIF(D$1:D2210,D2210)=1,MAX(C$1:C2209)+1,"")</f>
        <v/>
      </c>
      <c r="D2210" s="12"/>
    </row>
    <row r="2211" spans="1:4" x14ac:dyDescent="0.25">
      <c r="A2211" t="str">
        <f>IF(COUNTIF(B$1:B2211,B2211)=1,MAX(A$1:A2210)+1,"")</f>
        <v/>
      </c>
      <c r="B2211" s="11"/>
      <c r="C2211" s="11" t="str">
        <f>IF(COUNTIF(D$1:D2211,D2211)=1,MAX(C$1:C2210)+1,"")</f>
        <v/>
      </c>
      <c r="D2211" s="12"/>
    </row>
    <row r="2212" spans="1:4" x14ac:dyDescent="0.25">
      <c r="A2212" t="str">
        <f>IF(COUNTIF(B$1:B2212,B2212)=1,MAX(A$1:A2211)+1,"")</f>
        <v/>
      </c>
      <c r="B2212" s="11"/>
      <c r="C2212" s="11" t="str">
        <f>IF(COUNTIF(D$1:D2212,D2212)=1,MAX(C$1:C2211)+1,"")</f>
        <v/>
      </c>
      <c r="D2212" s="12"/>
    </row>
    <row r="2213" spans="1:4" x14ac:dyDescent="0.25">
      <c r="A2213" t="str">
        <f>IF(COUNTIF(B$1:B2213,B2213)=1,MAX(A$1:A2212)+1,"")</f>
        <v/>
      </c>
      <c r="B2213" s="11"/>
      <c r="C2213" s="11" t="str">
        <f>IF(COUNTIF(D$1:D2213,D2213)=1,MAX(C$1:C2212)+1,"")</f>
        <v/>
      </c>
      <c r="D2213" s="12"/>
    </row>
    <row r="2214" spans="1:4" x14ac:dyDescent="0.25">
      <c r="A2214" t="str">
        <f>IF(COUNTIF(B$1:B2214,B2214)=1,MAX(A$1:A2213)+1,"")</f>
        <v/>
      </c>
      <c r="B2214" s="11"/>
      <c r="C2214" s="11" t="str">
        <f>IF(COUNTIF(D$1:D2214,D2214)=1,MAX(C$1:C2213)+1,"")</f>
        <v/>
      </c>
      <c r="D2214" s="12"/>
    </row>
    <row r="2215" spans="1:4" x14ac:dyDescent="0.25">
      <c r="A2215" t="str">
        <f>IF(COUNTIF(B$1:B2215,B2215)=1,MAX(A$1:A2214)+1,"")</f>
        <v/>
      </c>
      <c r="B2215" s="11"/>
      <c r="C2215" s="11" t="str">
        <f>IF(COUNTIF(D$1:D2215,D2215)=1,MAX(C$1:C2214)+1,"")</f>
        <v/>
      </c>
      <c r="D2215" s="12"/>
    </row>
    <row r="2216" spans="1:4" x14ac:dyDescent="0.25">
      <c r="A2216" t="str">
        <f>IF(COUNTIF(B$1:B2216,B2216)=1,MAX(A$1:A2215)+1,"")</f>
        <v/>
      </c>
      <c r="B2216" s="11"/>
      <c r="C2216" s="11" t="str">
        <f>IF(COUNTIF(D$1:D2216,D2216)=1,MAX(C$1:C2215)+1,"")</f>
        <v/>
      </c>
      <c r="D2216" s="12"/>
    </row>
    <row r="2217" spans="1:4" x14ac:dyDescent="0.25">
      <c r="A2217" t="str">
        <f>IF(COUNTIF(B$1:B2217,B2217)=1,MAX(A$1:A2216)+1,"")</f>
        <v/>
      </c>
      <c r="B2217" s="11"/>
      <c r="C2217" s="11" t="str">
        <f>IF(COUNTIF(D$1:D2217,D2217)=1,MAX(C$1:C2216)+1,"")</f>
        <v/>
      </c>
      <c r="D2217" s="12"/>
    </row>
    <row r="2218" spans="1:4" x14ac:dyDescent="0.25">
      <c r="A2218" t="str">
        <f>IF(COUNTIF(B$1:B2218,B2218)=1,MAX(A$1:A2217)+1,"")</f>
        <v/>
      </c>
      <c r="B2218" s="11"/>
      <c r="C2218" s="11" t="str">
        <f>IF(COUNTIF(D$1:D2218,D2218)=1,MAX(C$1:C2217)+1,"")</f>
        <v/>
      </c>
      <c r="D2218" s="12"/>
    </row>
    <row r="2219" spans="1:4" x14ac:dyDescent="0.25">
      <c r="A2219" t="str">
        <f>IF(COUNTIF(B$1:B2219,B2219)=1,MAX(A$1:A2218)+1,"")</f>
        <v/>
      </c>
      <c r="B2219" s="11"/>
      <c r="C2219" s="11" t="str">
        <f>IF(COUNTIF(D$1:D2219,D2219)=1,MAX(C$1:C2218)+1,"")</f>
        <v/>
      </c>
      <c r="D2219" s="12"/>
    </row>
    <row r="2220" spans="1:4" x14ac:dyDescent="0.25">
      <c r="A2220" t="str">
        <f>IF(COUNTIF(B$1:B2220,B2220)=1,MAX(A$1:A2219)+1,"")</f>
        <v/>
      </c>
      <c r="B2220" s="11"/>
      <c r="C2220" s="11" t="str">
        <f>IF(COUNTIF(D$1:D2220,D2220)=1,MAX(C$1:C2219)+1,"")</f>
        <v/>
      </c>
      <c r="D2220" s="12"/>
    </row>
    <row r="2221" spans="1:4" x14ac:dyDescent="0.25">
      <c r="A2221" t="str">
        <f>IF(COUNTIF(B$1:B2221,B2221)=1,MAX(A$1:A2220)+1,"")</f>
        <v/>
      </c>
      <c r="B2221" s="11"/>
      <c r="C2221" s="11" t="str">
        <f>IF(COUNTIF(D$1:D2221,D2221)=1,MAX(C$1:C2220)+1,"")</f>
        <v/>
      </c>
      <c r="D2221" s="12"/>
    </row>
    <row r="2222" spans="1:4" x14ac:dyDescent="0.25">
      <c r="A2222" t="str">
        <f>IF(COUNTIF(B$1:B2222,B2222)=1,MAX(A$1:A2221)+1,"")</f>
        <v/>
      </c>
      <c r="B2222" s="11"/>
      <c r="C2222" s="11" t="str">
        <f>IF(COUNTIF(D$1:D2222,D2222)=1,MAX(C$1:C2221)+1,"")</f>
        <v/>
      </c>
      <c r="D2222" s="12"/>
    </row>
    <row r="2223" spans="1:4" x14ac:dyDescent="0.25">
      <c r="A2223" t="str">
        <f>IF(COUNTIF(B$1:B2223,B2223)=1,MAX(A$1:A2222)+1,"")</f>
        <v/>
      </c>
      <c r="B2223" s="11"/>
      <c r="C2223" s="11" t="str">
        <f>IF(COUNTIF(D$1:D2223,D2223)=1,MAX(C$1:C2222)+1,"")</f>
        <v/>
      </c>
      <c r="D2223" s="12"/>
    </row>
    <row r="2224" spans="1:4" x14ac:dyDescent="0.25">
      <c r="A2224" t="str">
        <f>IF(COUNTIF(B$1:B2224,B2224)=1,MAX(A$1:A2223)+1,"")</f>
        <v/>
      </c>
      <c r="B2224" s="11"/>
      <c r="C2224" s="11" t="str">
        <f>IF(COUNTIF(D$1:D2224,D2224)=1,MAX(C$1:C2223)+1,"")</f>
        <v/>
      </c>
      <c r="D2224" s="12"/>
    </row>
    <row r="2225" spans="1:4" x14ac:dyDescent="0.25">
      <c r="A2225" t="str">
        <f>IF(COUNTIF(B$1:B2225,B2225)=1,MAX(A$1:A2224)+1,"")</f>
        <v/>
      </c>
      <c r="B2225" s="11"/>
      <c r="C2225" s="11" t="str">
        <f>IF(COUNTIF(D$1:D2225,D2225)=1,MAX(C$1:C2224)+1,"")</f>
        <v/>
      </c>
      <c r="D2225" s="12"/>
    </row>
    <row r="2226" spans="1:4" x14ac:dyDescent="0.25">
      <c r="A2226" t="str">
        <f>IF(COUNTIF(B$1:B2226,B2226)=1,MAX(A$1:A2225)+1,"")</f>
        <v/>
      </c>
      <c r="B2226" s="11"/>
      <c r="C2226" s="11" t="str">
        <f>IF(COUNTIF(D$1:D2226,D2226)=1,MAX(C$1:C2225)+1,"")</f>
        <v/>
      </c>
      <c r="D2226" s="12"/>
    </row>
    <row r="2227" spans="1:4" x14ac:dyDescent="0.25">
      <c r="A2227" t="str">
        <f>IF(COUNTIF(B$1:B2227,B2227)=1,MAX(A$1:A2226)+1,"")</f>
        <v/>
      </c>
      <c r="B2227" s="11"/>
      <c r="C2227" s="11" t="str">
        <f>IF(COUNTIF(D$1:D2227,D2227)=1,MAX(C$1:C2226)+1,"")</f>
        <v/>
      </c>
      <c r="D2227" s="12"/>
    </row>
    <row r="2228" spans="1:4" x14ac:dyDescent="0.25">
      <c r="A2228" t="str">
        <f>IF(COUNTIF(B$1:B2228,B2228)=1,MAX(A$1:A2227)+1,"")</f>
        <v/>
      </c>
      <c r="B2228" s="11"/>
      <c r="C2228" s="11" t="str">
        <f>IF(COUNTIF(D$1:D2228,D2228)=1,MAX(C$1:C2227)+1,"")</f>
        <v/>
      </c>
      <c r="D2228" s="12"/>
    </row>
    <row r="2229" spans="1:4" x14ac:dyDescent="0.25">
      <c r="A2229" t="str">
        <f>IF(COUNTIF(B$1:B2229,B2229)=1,MAX(A$1:A2228)+1,"")</f>
        <v/>
      </c>
      <c r="B2229" s="11"/>
      <c r="C2229" s="11" t="str">
        <f>IF(COUNTIF(D$1:D2229,D2229)=1,MAX(C$1:C2228)+1,"")</f>
        <v/>
      </c>
      <c r="D2229" s="12"/>
    </row>
    <row r="2230" spans="1:4" x14ac:dyDescent="0.25">
      <c r="A2230" t="str">
        <f>IF(COUNTIF(B$1:B2230,B2230)=1,MAX(A$1:A2229)+1,"")</f>
        <v/>
      </c>
      <c r="B2230" s="11"/>
      <c r="C2230" s="11" t="str">
        <f>IF(COUNTIF(D$1:D2230,D2230)=1,MAX(C$1:C2229)+1,"")</f>
        <v/>
      </c>
      <c r="D2230" s="12"/>
    </row>
    <row r="2231" spans="1:4" x14ac:dyDescent="0.25">
      <c r="A2231" t="str">
        <f>IF(COUNTIF(B$1:B2231,B2231)=1,MAX(A$1:A2230)+1,"")</f>
        <v/>
      </c>
      <c r="B2231" s="11"/>
      <c r="C2231" s="11" t="str">
        <f>IF(COUNTIF(D$1:D2231,D2231)=1,MAX(C$1:C2230)+1,"")</f>
        <v/>
      </c>
      <c r="D2231" s="12"/>
    </row>
    <row r="2232" spans="1:4" x14ac:dyDescent="0.25">
      <c r="A2232" t="str">
        <f>IF(COUNTIF(B$1:B2232,B2232)=1,MAX(A$1:A2231)+1,"")</f>
        <v/>
      </c>
      <c r="B2232" s="11"/>
      <c r="C2232" s="11" t="str">
        <f>IF(COUNTIF(D$1:D2232,D2232)=1,MAX(C$1:C2231)+1,"")</f>
        <v/>
      </c>
      <c r="D2232" s="12"/>
    </row>
    <row r="2233" spans="1:4" x14ac:dyDescent="0.25">
      <c r="A2233" t="str">
        <f>IF(COUNTIF(B$1:B2233,B2233)=1,MAX(A$1:A2232)+1,"")</f>
        <v/>
      </c>
      <c r="B2233" s="11"/>
      <c r="C2233" s="11" t="str">
        <f>IF(COUNTIF(D$1:D2233,D2233)=1,MAX(C$1:C2232)+1,"")</f>
        <v/>
      </c>
      <c r="D2233" s="12"/>
    </row>
    <row r="2234" spans="1:4" x14ac:dyDescent="0.25">
      <c r="A2234" t="str">
        <f>IF(COUNTIF(B$1:B2234,B2234)=1,MAX(A$1:A2233)+1,"")</f>
        <v/>
      </c>
      <c r="B2234" s="11"/>
      <c r="C2234" s="11" t="str">
        <f>IF(COUNTIF(D$1:D2234,D2234)=1,MAX(C$1:C2233)+1,"")</f>
        <v/>
      </c>
      <c r="D2234" s="12"/>
    </row>
    <row r="2235" spans="1:4" x14ac:dyDescent="0.25">
      <c r="A2235" t="str">
        <f>IF(COUNTIF(B$1:B2235,B2235)=1,MAX(A$1:A2234)+1,"")</f>
        <v/>
      </c>
      <c r="B2235" s="11"/>
      <c r="C2235" s="11" t="str">
        <f>IF(COUNTIF(D$1:D2235,D2235)=1,MAX(C$1:C2234)+1,"")</f>
        <v/>
      </c>
      <c r="D2235" s="12"/>
    </row>
    <row r="2236" spans="1:4" x14ac:dyDescent="0.25">
      <c r="A2236" t="str">
        <f>IF(COUNTIF(B$1:B2236,B2236)=1,MAX(A$1:A2235)+1,"")</f>
        <v/>
      </c>
      <c r="B2236" s="11"/>
      <c r="C2236" s="11" t="str">
        <f>IF(COUNTIF(D$1:D2236,D2236)=1,MAX(C$1:C2235)+1,"")</f>
        <v/>
      </c>
      <c r="D2236" s="12"/>
    </row>
    <row r="2237" spans="1:4" x14ac:dyDescent="0.25">
      <c r="A2237" t="str">
        <f>IF(COUNTIF(B$1:B2237,B2237)=1,MAX(A$1:A2236)+1,"")</f>
        <v/>
      </c>
      <c r="B2237" s="11"/>
      <c r="C2237" s="11" t="str">
        <f>IF(COUNTIF(D$1:D2237,D2237)=1,MAX(C$1:C2236)+1,"")</f>
        <v/>
      </c>
      <c r="D2237" s="12"/>
    </row>
    <row r="2238" spans="1:4" x14ac:dyDescent="0.25">
      <c r="A2238" t="str">
        <f>IF(COUNTIF(B$1:B2238,B2238)=1,MAX(A$1:A2237)+1,"")</f>
        <v/>
      </c>
      <c r="B2238" s="11"/>
      <c r="C2238" s="11" t="str">
        <f>IF(COUNTIF(D$1:D2238,D2238)=1,MAX(C$1:C2237)+1,"")</f>
        <v/>
      </c>
      <c r="D2238" s="12"/>
    </row>
    <row r="2239" spans="1:4" x14ac:dyDescent="0.25">
      <c r="A2239" t="str">
        <f>IF(COUNTIF(B$1:B2239,B2239)=1,MAX(A$1:A2238)+1,"")</f>
        <v/>
      </c>
      <c r="B2239" s="11"/>
      <c r="C2239" s="11" t="str">
        <f>IF(COUNTIF(D$1:D2239,D2239)=1,MAX(C$1:C2238)+1,"")</f>
        <v/>
      </c>
      <c r="D2239" s="12"/>
    </row>
    <row r="2240" spans="1:4" x14ac:dyDescent="0.25">
      <c r="A2240" t="str">
        <f>IF(COUNTIF(B$1:B2240,B2240)=1,MAX(A$1:A2239)+1,"")</f>
        <v/>
      </c>
      <c r="B2240" s="11"/>
      <c r="C2240" s="11" t="str">
        <f>IF(COUNTIF(D$1:D2240,D2240)=1,MAX(C$1:C2239)+1,"")</f>
        <v/>
      </c>
      <c r="D2240" s="12"/>
    </row>
    <row r="2241" spans="1:4" x14ac:dyDescent="0.25">
      <c r="A2241" t="str">
        <f>IF(COUNTIF(B$1:B2241,B2241)=1,MAX(A$1:A2240)+1,"")</f>
        <v/>
      </c>
      <c r="B2241" s="11"/>
      <c r="C2241" s="11" t="str">
        <f>IF(COUNTIF(D$1:D2241,D2241)=1,MAX(C$1:C2240)+1,"")</f>
        <v/>
      </c>
      <c r="D2241" s="12"/>
    </row>
    <row r="2242" spans="1:4" x14ac:dyDescent="0.25">
      <c r="A2242" t="str">
        <f>IF(COUNTIF(B$1:B2242,B2242)=1,MAX(A$1:A2241)+1,"")</f>
        <v/>
      </c>
      <c r="B2242" s="11"/>
      <c r="C2242" s="11" t="str">
        <f>IF(COUNTIF(D$1:D2242,D2242)=1,MAX(C$1:C2241)+1,"")</f>
        <v/>
      </c>
      <c r="D2242" s="12"/>
    </row>
    <row r="2243" spans="1:4" x14ac:dyDescent="0.25">
      <c r="A2243" t="str">
        <f>IF(COUNTIF(B$1:B2243,B2243)=1,MAX(A$1:A2242)+1,"")</f>
        <v/>
      </c>
      <c r="B2243" s="11"/>
      <c r="C2243" s="11" t="str">
        <f>IF(COUNTIF(D$1:D2243,D2243)=1,MAX(C$1:C2242)+1,"")</f>
        <v/>
      </c>
      <c r="D2243" s="12"/>
    </row>
    <row r="2244" spans="1:4" x14ac:dyDescent="0.25">
      <c r="A2244" t="str">
        <f>IF(COUNTIF(B$1:B2244,B2244)=1,MAX(A$1:A2243)+1,"")</f>
        <v/>
      </c>
      <c r="B2244" s="11"/>
      <c r="C2244" s="11" t="str">
        <f>IF(COUNTIF(D$1:D2244,D2244)=1,MAX(C$1:C2243)+1,"")</f>
        <v/>
      </c>
      <c r="D2244" s="12"/>
    </row>
    <row r="2245" spans="1:4" x14ac:dyDescent="0.25">
      <c r="A2245" t="str">
        <f>IF(COUNTIF(B$1:B2245,B2245)=1,MAX(A$1:A2244)+1,"")</f>
        <v/>
      </c>
      <c r="B2245" s="11"/>
      <c r="C2245" s="11" t="str">
        <f>IF(COUNTIF(D$1:D2245,D2245)=1,MAX(C$1:C2244)+1,"")</f>
        <v/>
      </c>
      <c r="D2245" s="12"/>
    </row>
    <row r="2246" spans="1:4" x14ac:dyDescent="0.25">
      <c r="A2246" t="str">
        <f>IF(COUNTIF(B$1:B2246,B2246)=1,MAX(A$1:A2245)+1,"")</f>
        <v/>
      </c>
      <c r="B2246" s="11"/>
      <c r="C2246" s="11" t="str">
        <f>IF(COUNTIF(D$1:D2246,D2246)=1,MAX(C$1:C2245)+1,"")</f>
        <v/>
      </c>
      <c r="D2246" s="12"/>
    </row>
    <row r="2247" spans="1:4" x14ac:dyDescent="0.25">
      <c r="A2247" t="str">
        <f>IF(COUNTIF(B$1:B2247,B2247)=1,MAX(A$1:A2246)+1,"")</f>
        <v/>
      </c>
      <c r="B2247" s="11"/>
      <c r="C2247" s="11" t="str">
        <f>IF(COUNTIF(D$1:D2247,D2247)=1,MAX(C$1:C2246)+1,"")</f>
        <v/>
      </c>
      <c r="D2247" s="12"/>
    </row>
    <row r="2248" spans="1:4" x14ac:dyDescent="0.25">
      <c r="A2248" t="str">
        <f>IF(COUNTIF(B$1:B2248,B2248)=1,MAX(A$1:A2247)+1,"")</f>
        <v/>
      </c>
      <c r="B2248" s="11"/>
      <c r="C2248" s="11" t="str">
        <f>IF(COUNTIF(D$1:D2248,D2248)=1,MAX(C$1:C2247)+1,"")</f>
        <v/>
      </c>
      <c r="D2248" s="12"/>
    </row>
    <row r="2249" spans="1:4" x14ac:dyDescent="0.25">
      <c r="A2249" t="str">
        <f>IF(COUNTIF(B$1:B2249,B2249)=1,MAX(A$1:A2248)+1,"")</f>
        <v/>
      </c>
      <c r="B2249" s="11"/>
      <c r="C2249" s="11" t="str">
        <f>IF(COUNTIF(D$1:D2249,D2249)=1,MAX(C$1:C2248)+1,"")</f>
        <v/>
      </c>
      <c r="D2249" s="12"/>
    </row>
    <row r="2250" spans="1:4" x14ac:dyDescent="0.25">
      <c r="A2250" t="str">
        <f>IF(COUNTIF(B$1:B2250,B2250)=1,MAX(A$1:A2249)+1,"")</f>
        <v/>
      </c>
      <c r="B2250" s="11"/>
      <c r="C2250" s="11" t="str">
        <f>IF(COUNTIF(D$1:D2250,D2250)=1,MAX(C$1:C2249)+1,"")</f>
        <v/>
      </c>
      <c r="D2250" s="12"/>
    </row>
    <row r="2251" spans="1:4" x14ac:dyDescent="0.25">
      <c r="A2251" t="str">
        <f>IF(COUNTIF(B$1:B2251,B2251)=1,MAX(A$1:A2250)+1,"")</f>
        <v/>
      </c>
      <c r="B2251" s="11"/>
      <c r="C2251" s="11" t="str">
        <f>IF(COUNTIF(D$1:D2251,D2251)=1,MAX(C$1:C2250)+1,"")</f>
        <v/>
      </c>
      <c r="D2251" s="12"/>
    </row>
    <row r="2252" spans="1:4" x14ac:dyDescent="0.25">
      <c r="A2252" t="str">
        <f>IF(COUNTIF(B$1:B2252,B2252)=1,MAX(A$1:A2251)+1,"")</f>
        <v/>
      </c>
      <c r="B2252" s="11"/>
      <c r="C2252" s="11" t="str">
        <f>IF(COUNTIF(D$1:D2252,D2252)=1,MAX(C$1:C2251)+1,"")</f>
        <v/>
      </c>
      <c r="D2252" s="12"/>
    </row>
    <row r="2253" spans="1:4" x14ac:dyDescent="0.25">
      <c r="A2253" t="str">
        <f>IF(COUNTIF(B$1:B2253,B2253)=1,MAX(A$1:A2252)+1,"")</f>
        <v/>
      </c>
      <c r="B2253" s="11"/>
      <c r="C2253" s="11" t="str">
        <f>IF(COUNTIF(D$1:D2253,D2253)=1,MAX(C$1:C2252)+1,"")</f>
        <v/>
      </c>
      <c r="D2253" s="12"/>
    </row>
    <row r="2254" spans="1:4" x14ac:dyDescent="0.25">
      <c r="A2254" t="str">
        <f>IF(COUNTIF(B$1:B2254,B2254)=1,MAX(A$1:A2253)+1,"")</f>
        <v/>
      </c>
      <c r="B2254" s="11"/>
      <c r="C2254" s="11" t="str">
        <f>IF(COUNTIF(D$1:D2254,D2254)=1,MAX(C$1:C2253)+1,"")</f>
        <v/>
      </c>
      <c r="D2254" s="12"/>
    </row>
    <row r="2255" spans="1:4" x14ac:dyDescent="0.25">
      <c r="A2255" t="str">
        <f>IF(COUNTIF(B$1:B2255,B2255)=1,MAX(A$1:A2254)+1,"")</f>
        <v/>
      </c>
      <c r="B2255" s="11"/>
      <c r="C2255" s="11" t="str">
        <f>IF(COUNTIF(D$1:D2255,D2255)=1,MAX(C$1:C2254)+1,"")</f>
        <v/>
      </c>
      <c r="D2255" s="12"/>
    </row>
    <row r="2256" spans="1:4" x14ac:dyDescent="0.25">
      <c r="A2256" t="str">
        <f>IF(COUNTIF(B$1:B2256,B2256)=1,MAX(A$1:A2255)+1,"")</f>
        <v/>
      </c>
      <c r="B2256" s="11"/>
      <c r="C2256" s="11" t="str">
        <f>IF(COUNTIF(D$1:D2256,D2256)=1,MAX(C$1:C2255)+1,"")</f>
        <v/>
      </c>
      <c r="D2256" s="12"/>
    </row>
    <row r="2257" spans="1:4" x14ac:dyDescent="0.25">
      <c r="A2257" t="str">
        <f>IF(COUNTIF(B$1:B2257,B2257)=1,MAX(A$1:A2256)+1,"")</f>
        <v/>
      </c>
      <c r="B2257" s="11"/>
      <c r="C2257" s="11" t="str">
        <f>IF(COUNTIF(D$1:D2257,D2257)=1,MAX(C$1:C2256)+1,"")</f>
        <v/>
      </c>
      <c r="D2257" s="12"/>
    </row>
    <row r="2258" spans="1:4" x14ac:dyDescent="0.25">
      <c r="A2258" t="str">
        <f>IF(COUNTIF(B$1:B2258,B2258)=1,MAX(A$1:A2257)+1,"")</f>
        <v/>
      </c>
      <c r="B2258" s="11"/>
      <c r="C2258" s="11" t="str">
        <f>IF(COUNTIF(D$1:D2258,D2258)=1,MAX(C$1:C2257)+1,"")</f>
        <v/>
      </c>
      <c r="D2258" s="12"/>
    </row>
    <row r="2259" spans="1:4" x14ac:dyDescent="0.25">
      <c r="A2259" t="str">
        <f>IF(COUNTIF(B$1:B2259,B2259)=1,MAX(A$1:A2258)+1,"")</f>
        <v/>
      </c>
      <c r="B2259" s="11"/>
      <c r="C2259" s="11" t="str">
        <f>IF(COUNTIF(D$1:D2259,D2259)=1,MAX(C$1:C2258)+1,"")</f>
        <v/>
      </c>
      <c r="D2259" s="12"/>
    </row>
    <row r="2260" spans="1:4" x14ac:dyDescent="0.25">
      <c r="A2260" t="str">
        <f>IF(COUNTIF(B$1:B2260,B2260)=1,MAX(A$1:A2259)+1,"")</f>
        <v/>
      </c>
      <c r="B2260" s="11"/>
      <c r="C2260" s="11" t="str">
        <f>IF(COUNTIF(D$1:D2260,D2260)=1,MAX(C$1:C2259)+1,"")</f>
        <v/>
      </c>
      <c r="D2260" s="12"/>
    </row>
    <row r="2261" spans="1:4" x14ac:dyDescent="0.25">
      <c r="A2261" t="str">
        <f>IF(COUNTIF(B$1:B2261,B2261)=1,MAX(A$1:A2260)+1,"")</f>
        <v/>
      </c>
      <c r="B2261" s="11"/>
      <c r="C2261" s="11" t="str">
        <f>IF(COUNTIF(D$1:D2261,D2261)=1,MAX(C$1:C2260)+1,"")</f>
        <v/>
      </c>
      <c r="D2261" s="12"/>
    </row>
    <row r="2262" spans="1:4" x14ac:dyDescent="0.25">
      <c r="A2262" t="str">
        <f>IF(COUNTIF(B$1:B2262,B2262)=1,MAX(A$1:A2261)+1,"")</f>
        <v/>
      </c>
      <c r="B2262" s="11"/>
      <c r="C2262" s="11" t="str">
        <f>IF(COUNTIF(D$1:D2262,D2262)=1,MAX(C$1:C2261)+1,"")</f>
        <v/>
      </c>
      <c r="D2262" s="12"/>
    </row>
    <row r="2263" spans="1:4" x14ac:dyDescent="0.25">
      <c r="A2263" t="str">
        <f>IF(COUNTIF(B$1:B2263,B2263)=1,MAX(A$1:A2262)+1,"")</f>
        <v/>
      </c>
      <c r="B2263" s="11"/>
      <c r="C2263" s="11" t="str">
        <f>IF(COUNTIF(D$1:D2263,D2263)=1,MAX(C$1:C2262)+1,"")</f>
        <v/>
      </c>
      <c r="D2263" s="12"/>
    </row>
    <row r="2264" spans="1:4" x14ac:dyDescent="0.25">
      <c r="A2264" t="str">
        <f>IF(COUNTIF(B$1:B2264,B2264)=1,MAX(A$1:A2263)+1,"")</f>
        <v/>
      </c>
      <c r="B2264" s="11"/>
      <c r="C2264" s="11" t="str">
        <f>IF(COUNTIF(D$1:D2264,D2264)=1,MAX(C$1:C2263)+1,"")</f>
        <v/>
      </c>
      <c r="D2264" s="12"/>
    </row>
    <row r="2265" spans="1:4" x14ac:dyDescent="0.25">
      <c r="A2265" t="str">
        <f>IF(COUNTIF(B$1:B2265,B2265)=1,MAX(A$1:A2264)+1,"")</f>
        <v/>
      </c>
      <c r="B2265" s="11"/>
      <c r="C2265" s="11" t="str">
        <f>IF(COUNTIF(D$1:D2265,D2265)=1,MAX(C$1:C2264)+1,"")</f>
        <v/>
      </c>
      <c r="D2265" s="12"/>
    </row>
    <row r="2266" spans="1:4" x14ac:dyDescent="0.25">
      <c r="A2266" t="str">
        <f>IF(COUNTIF(B$1:B2266,B2266)=1,MAX(A$1:A2265)+1,"")</f>
        <v/>
      </c>
      <c r="B2266" s="11"/>
      <c r="C2266" s="11" t="str">
        <f>IF(COUNTIF(D$1:D2266,D2266)=1,MAX(C$1:C2265)+1,"")</f>
        <v/>
      </c>
      <c r="D2266" s="12"/>
    </row>
    <row r="2267" spans="1:4" x14ac:dyDescent="0.25">
      <c r="A2267" t="str">
        <f>IF(COUNTIF(B$1:B2267,B2267)=1,MAX(A$1:A2266)+1,"")</f>
        <v/>
      </c>
      <c r="B2267" s="11"/>
      <c r="C2267" s="11" t="str">
        <f>IF(COUNTIF(D$1:D2267,D2267)=1,MAX(C$1:C2266)+1,"")</f>
        <v/>
      </c>
      <c r="D2267" s="12"/>
    </row>
    <row r="2268" spans="1:4" x14ac:dyDescent="0.25">
      <c r="A2268" t="str">
        <f>IF(COUNTIF(B$1:B2268,B2268)=1,MAX(A$1:A2267)+1,"")</f>
        <v/>
      </c>
      <c r="B2268" s="11"/>
      <c r="C2268" s="11" t="str">
        <f>IF(COUNTIF(D$1:D2268,D2268)=1,MAX(C$1:C2267)+1,"")</f>
        <v/>
      </c>
      <c r="D2268" s="12"/>
    </row>
    <row r="2269" spans="1:4" x14ac:dyDescent="0.25">
      <c r="A2269" t="str">
        <f>IF(COUNTIF(B$1:B2269,B2269)=1,MAX(A$1:A2268)+1,"")</f>
        <v/>
      </c>
      <c r="B2269" s="11"/>
      <c r="C2269" s="11" t="str">
        <f>IF(COUNTIF(D$1:D2269,D2269)=1,MAX(C$1:C2268)+1,"")</f>
        <v/>
      </c>
      <c r="D2269" s="12"/>
    </row>
    <row r="2270" spans="1:4" x14ac:dyDescent="0.25">
      <c r="A2270" t="str">
        <f>IF(COUNTIF(B$1:B2270,B2270)=1,MAX(A$1:A2269)+1,"")</f>
        <v/>
      </c>
      <c r="B2270" s="11"/>
      <c r="C2270" s="11" t="str">
        <f>IF(COUNTIF(D$1:D2270,D2270)=1,MAX(C$1:C2269)+1,"")</f>
        <v/>
      </c>
      <c r="D2270" s="12"/>
    </row>
    <row r="2271" spans="1:4" x14ac:dyDescent="0.25">
      <c r="A2271" t="str">
        <f>IF(COUNTIF(B$1:B2271,B2271)=1,MAX(A$1:A2270)+1,"")</f>
        <v/>
      </c>
      <c r="B2271" s="11"/>
      <c r="C2271" s="11" t="str">
        <f>IF(COUNTIF(D$1:D2271,D2271)=1,MAX(C$1:C2270)+1,"")</f>
        <v/>
      </c>
      <c r="D2271" s="12"/>
    </row>
    <row r="2272" spans="1:4" x14ac:dyDescent="0.25">
      <c r="A2272" t="str">
        <f>IF(COUNTIF(B$1:B2272,B2272)=1,MAX(A$1:A2271)+1,"")</f>
        <v/>
      </c>
      <c r="B2272" s="11"/>
      <c r="C2272" s="11" t="str">
        <f>IF(COUNTIF(D$1:D2272,D2272)=1,MAX(C$1:C2271)+1,"")</f>
        <v/>
      </c>
      <c r="D2272" s="12"/>
    </row>
    <row r="2273" spans="1:4" x14ac:dyDescent="0.25">
      <c r="A2273" t="str">
        <f>IF(COUNTIF(B$1:B2273,B2273)=1,MAX(A$1:A2272)+1,"")</f>
        <v/>
      </c>
      <c r="B2273" s="11"/>
      <c r="C2273" s="11" t="str">
        <f>IF(COUNTIF(D$1:D2273,D2273)=1,MAX(C$1:C2272)+1,"")</f>
        <v/>
      </c>
      <c r="D2273" s="12"/>
    </row>
    <row r="2274" spans="1:4" x14ac:dyDescent="0.25">
      <c r="A2274" t="str">
        <f>IF(COUNTIF(B$1:B2274,B2274)=1,MAX(A$1:A2273)+1,"")</f>
        <v/>
      </c>
      <c r="B2274" s="11"/>
      <c r="C2274" s="11" t="str">
        <f>IF(COUNTIF(D$1:D2274,D2274)=1,MAX(C$1:C2273)+1,"")</f>
        <v/>
      </c>
      <c r="D2274" s="12"/>
    </row>
    <row r="2275" spans="1:4" x14ac:dyDescent="0.25">
      <c r="A2275" t="str">
        <f>IF(COUNTIF(B$1:B2275,B2275)=1,MAX(A$1:A2274)+1,"")</f>
        <v/>
      </c>
      <c r="B2275" s="11"/>
      <c r="C2275" s="11" t="str">
        <f>IF(COUNTIF(D$1:D2275,D2275)=1,MAX(C$1:C2274)+1,"")</f>
        <v/>
      </c>
      <c r="D2275" s="12"/>
    </row>
    <row r="2276" spans="1:4" x14ac:dyDescent="0.25">
      <c r="A2276" t="str">
        <f>IF(COUNTIF(B$1:B2276,B2276)=1,MAX(A$1:A2275)+1,"")</f>
        <v/>
      </c>
      <c r="B2276" s="11"/>
      <c r="C2276" s="11" t="str">
        <f>IF(COUNTIF(D$1:D2276,D2276)=1,MAX(C$1:C2275)+1,"")</f>
        <v/>
      </c>
      <c r="D2276" s="12"/>
    </row>
    <row r="2277" spans="1:4" x14ac:dyDescent="0.25">
      <c r="A2277" t="str">
        <f>IF(COUNTIF(B$1:B2277,B2277)=1,MAX(A$1:A2276)+1,"")</f>
        <v/>
      </c>
      <c r="B2277" s="11"/>
      <c r="C2277" s="11" t="str">
        <f>IF(COUNTIF(D$1:D2277,D2277)=1,MAX(C$1:C2276)+1,"")</f>
        <v/>
      </c>
      <c r="D2277" s="12"/>
    </row>
    <row r="2278" spans="1:4" x14ac:dyDescent="0.25">
      <c r="A2278" t="str">
        <f>IF(COUNTIF(B$1:B2278,B2278)=1,MAX(A$1:A2277)+1,"")</f>
        <v/>
      </c>
      <c r="B2278" s="11"/>
      <c r="C2278" s="11" t="str">
        <f>IF(COUNTIF(D$1:D2278,D2278)=1,MAX(C$1:C2277)+1,"")</f>
        <v/>
      </c>
      <c r="D2278" s="12"/>
    </row>
    <row r="2279" spans="1:4" x14ac:dyDescent="0.25">
      <c r="A2279" t="str">
        <f>IF(COUNTIF(B$1:B2279,B2279)=1,MAX(A$1:A2278)+1,"")</f>
        <v/>
      </c>
      <c r="B2279" s="11"/>
      <c r="C2279" s="11" t="str">
        <f>IF(COUNTIF(D$1:D2279,D2279)=1,MAX(C$1:C2278)+1,"")</f>
        <v/>
      </c>
      <c r="D2279" s="12"/>
    </row>
    <row r="2280" spans="1:4" x14ac:dyDescent="0.25">
      <c r="A2280" t="str">
        <f>IF(COUNTIF(B$1:B2280,B2280)=1,MAX(A$1:A2279)+1,"")</f>
        <v/>
      </c>
      <c r="B2280" s="11"/>
      <c r="C2280" s="11" t="str">
        <f>IF(COUNTIF(D$1:D2280,D2280)=1,MAX(C$1:C2279)+1,"")</f>
        <v/>
      </c>
      <c r="D2280" s="12"/>
    </row>
    <row r="2281" spans="1:4" x14ac:dyDescent="0.25">
      <c r="A2281" t="str">
        <f>IF(COUNTIF(B$1:B2281,B2281)=1,MAX(A$1:A2280)+1,"")</f>
        <v/>
      </c>
      <c r="B2281" s="11"/>
      <c r="C2281" s="11" t="str">
        <f>IF(COUNTIF(D$1:D2281,D2281)=1,MAX(C$1:C2280)+1,"")</f>
        <v/>
      </c>
      <c r="D2281" s="12"/>
    </row>
    <row r="2282" spans="1:4" x14ac:dyDescent="0.25">
      <c r="A2282" t="str">
        <f>IF(COUNTIF(B$1:B2282,B2282)=1,MAX(A$1:A2281)+1,"")</f>
        <v/>
      </c>
      <c r="B2282" s="11"/>
      <c r="C2282" s="11" t="str">
        <f>IF(COUNTIF(D$1:D2282,D2282)=1,MAX(C$1:C2281)+1,"")</f>
        <v/>
      </c>
      <c r="D2282" s="12"/>
    </row>
    <row r="2283" spans="1:4" x14ac:dyDescent="0.25">
      <c r="A2283" t="str">
        <f>IF(COUNTIF(B$1:B2283,B2283)=1,MAX(A$1:A2282)+1,"")</f>
        <v/>
      </c>
      <c r="B2283" s="11"/>
      <c r="C2283" s="11" t="str">
        <f>IF(COUNTIF(D$1:D2283,D2283)=1,MAX(C$1:C2282)+1,"")</f>
        <v/>
      </c>
      <c r="D2283" s="12"/>
    </row>
    <row r="2284" spans="1:4" x14ac:dyDescent="0.25">
      <c r="A2284" t="str">
        <f>IF(COUNTIF(B$1:B2284,B2284)=1,MAX(A$1:A2283)+1,"")</f>
        <v/>
      </c>
      <c r="B2284" s="11"/>
      <c r="C2284" s="11" t="str">
        <f>IF(COUNTIF(D$1:D2284,D2284)=1,MAX(C$1:C2283)+1,"")</f>
        <v/>
      </c>
      <c r="D2284" s="12"/>
    </row>
    <row r="2285" spans="1:4" x14ac:dyDescent="0.25">
      <c r="A2285" t="str">
        <f>IF(COUNTIF(B$1:B2285,B2285)=1,MAX(A$1:A2284)+1,"")</f>
        <v/>
      </c>
      <c r="B2285" s="11"/>
      <c r="C2285" s="11" t="str">
        <f>IF(COUNTIF(D$1:D2285,D2285)=1,MAX(C$1:C2284)+1,"")</f>
        <v/>
      </c>
      <c r="D2285" s="12"/>
    </row>
    <row r="2286" spans="1:4" x14ac:dyDescent="0.25">
      <c r="A2286" t="str">
        <f>IF(COUNTIF(B$1:B2286,B2286)=1,MAX(A$1:A2285)+1,"")</f>
        <v/>
      </c>
      <c r="B2286" s="11"/>
      <c r="C2286" s="11" t="str">
        <f>IF(COUNTIF(D$1:D2286,D2286)=1,MAX(C$1:C2285)+1,"")</f>
        <v/>
      </c>
      <c r="D2286" s="12"/>
    </row>
    <row r="2287" spans="1:4" x14ac:dyDescent="0.25">
      <c r="A2287" t="str">
        <f>IF(COUNTIF(B$1:B2287,B2287)=1,MAX(A$1:A2286)+1,"")</f>
        <v/>
      </c>
      <c r="B2287" s="11"/>
      <c r="C2287" s="11" t="str">
        <f>IF(COUNTIF(D$1:D2287,D2287)=1,MAX(C$1:C2286)+1,"")</f>
        <v/>
      </c>
      <c r="D2287" s="12"/>
    </row>
    <row r="2288" spans="1:4" x14ac:dyDescent="0.25">
      <c r="A2288" t="str">
        <f>IF(COUNTIF(B$1:B2288,B2288)=1,MAX(A$1:A2287)+1,"")</f>
        <v/>
      </c>
      <c r="B2288" s="11"/>
      <c r="C2288" s="11" t="str">
        <f>IF(COUNTIF(D$1:D2288,D2288)=1,MAX(C$1:C2287)+1,"")</f>
        <v/>
      </c>
      <c r="D2288" s="12"/>
    </row>
    <row r="2289" spans="1:4" x14ac:dyDescent="0.25">
      <c r="A2289" t="str">
        <f>IF(COUNTIF(B$1:B2289,B2289)=1,MAX(A$1:A2288)+1,"")</f>
        <v/>
      </c>
      <c r="B2289" s="11"/>
      <c r="C2289" s="11" t="str">
        <f>IF(COUNTIF(D$1:D2289,D2289)=1,MAX(C$1:C2288)+1,"")</f>
        <v/>
      </c>
      <c r="D2289" s="12"/>
    </row>
    <row r="2290" spans="1:4" x14ac:dyDescent="0.25">
      <c r="A2290" t="str">
        <f>IF(COUNTIF(B$1:B2290,B2290)=1,MAX(A$1:A2289)+1,"")</f>
        <v/>
      </c>
      <c r="B2290" s="11"/>
      <c r="C2290" s="11" t="str">
        <f>IF(COUNTIF(D$1:D2290,D2290)=1,MAX(C$1:C2289)+1,"")</f>
        <v/>
      </c>
      <c r="D2290" s="12"/>
    </row>
    <row r="2291" spans="1:4" x14ac:dyDescent="0.25">
      <c r="A2291" t="str">
        <f>IF(COUNTIF(B$1:B2291,B2291)=1,MAX(A$1:A2290)+1,"")</f>
        <v/>
      </c>
      <c r="B2291" s="11"/>
      <c r="C2291" s="11" t="str">
        <f>IF(COUNTIF(D$1:D2291,D2291)=1,MAX(C$1:C2290)+1,"")</f>
        <v/>
      </c>
      <c r="D2291" s="12"/>
    </row>
    <row r="2292" spans="1:4" x14ac:dyDescent="0.25">
      <c r="A2292" t="str">
        <f>IF(COUNTIF(B$1:B2292,B2292)=1,MAX(A$1:A2291)+1,"")</f>
        <v/>
      </c>
      <c r="B2292" s="11"/>
      <c r="C2292" s="11" t="str">
        <f>IF(COUNTIF(D$1:D2292,D2292)=1,MAX(C$1:C2291)+1,"")</f>
        <v/>
      </c>
      <c r="D2292" s="12"/>
    </row>
    <row r="2293" spans="1:4" x14ac:dyDescent="0.25">
      <c r="A2293" t="str">
        <f>IF(COUNTIF(B$1:B2293,B2293)=1,MAX(A$1:A2292)+1,"")</f>
        <v/>
      </c>
      <c r="B2293" s="11"/>
      <c r="C2293" s="11" t="str">
        <f>IF(COUNTIF(D$1:D2293,D2293)=1,MAX(C$1:C2292)+1,"")</f>
        <v/>
      </c>
      <c r="D2293" s="12"/>
    </row>
    <row r="2294" spans="1:4" x14ac:dyDescent="0.25">
      <c r="A2294" t="str">
        <f>IF(COUNTIF(B$1:B2294,B2294)=1,MAX(A$1:A2293)+1,"")</f>
        <v/>
      </c>
      <c r="B2294" s="11"/>
      <c r="C2294" s="11" t="str">
        <f>IF(COUNTIF(D$1:D2294,D2294)=1,MAX(C$1:C2293)+1,"")</f>
        <v/>
      </c>
      <c r="D2294" s="12"/>
    </row>
    <row r="2295" spans="1:4" x14ac:dyDescent="0.25">
      <c r="A2295" t="str">
        <f>IF(COUNTIF(B$1:B2295,B2295)=1,MAX(A$1:A2294)+1,"")</f>
        <v/>
      </c>
      <c r="B2295" s="11"/>
      <c r="C2295" s="11" t="str">
        <f>IF(COUNTIF(D$1:D2295,D2295)=1,MAX(C$1:C2294)+1,"")</f>
        <v/>
      </c>
      <c r="D2295" s="12"/>
    </row>
    <row r="2296" spans="1:4" x14ac:dyDescent="0.25">
      <c r="A2296" t="str">
        <f>IF(COUNTIF(B$1:B2296,B2296)=1,MAX(A$1:A2295)+1,"")</f>
        <v/>
      </c>
      <c r="B2296" s="11"/>
      <c r="C2296" s="11" t="str">
        <f>IF(COUNTIF(D$1:D2296,D2296)=1,MAX(C$1:C2295)+1,"")</f>
        <v/>
      </c>
      <c r="D2296" s="12"/>
    </row>
    <row r="2297" spans="1:4" x14ac:dyDescent="0.25">
      <c r="A2297" t="str">
        <f>IF(COUNTIF(B$1:B2297,B2297)=1,MAX(A$1:A2296)+1,"")</f>
        <v/>
      </c>
      <c r="B2297" s="11"/>
      <c r="C2297" s="11" t="str">
        <f>IF(COUNTIF(D$1:D2297,D2297)=1,MAX(C$1:C2296)+1,"")</f>
        <v/>
      </c>
      <c r="D2297" s="12"/>
    </row>
    <row r="2298" spans="1:4" x14ac:dyDescent="0.25">
      <c r="A2298" t="str">
        <f>IF(COUNTIF(B$1:B2298,B2298)=1,MAX(A$1:A2297)+1,"")</f>
        <v/>
      </c>
      <c r="B2298" s="11"/>
      <c r="C2298" s="11" t="str">
        <f>IF(COUNTIF(D$1:D2298,D2298)=1,MAX(C$1:C2297)+1,"")</f>
        <v/>
      </c>
      <c r="D2298" s="12"/>
    </row>
    <row r="2299" spans="1:4" x14ac:dyDescent="0.25">
      <c r="A2299" t="str">
        <f>IF(COUNTIF(B$1:B2299,B2299)=1,MAX(A$1:A2298)+1,"")</f>
        <v/>
      </c>
      <c r="B2299" s="11"/>
      <c r="C2299" s="11" t="str">
        <f>IF(COUNTIF(D$1:D2299,D2299)=1,MAX(C$1:C2298)+1,"")</f>
        <v/>
      </c>
      <c r="D2299" s="12"/>
    </row>
    <row r="2300" spans="1:4" x14ac:dyDescent="0.25">
      <c r="A2300" t="str">
        <f>IF(COUNTIF(B$1:B2300,B2300)=1,MAX(A$1:A2299)+1,"")</f>
        <v/>
      </c>
      <c r="B2300" s="11"/>
      <c r="C2300" s="11" t="str">
        <f>IF(COUNTIF(D$1:D2300,D2300)=1,MAX(C$1:C2299)+1,"")</f>
        <v/>
      </c>
      <c r="D2300" s="12"/>
    </row>
    <row r="2301" spans="1:4" x14ac:dyDescent="0.25">
      <c r="A2301" t="str">
        <f>IF(COUNTIF(B$1:B2301,B2301)=1,MAX(A$1:A2300)+1,"")</f>
        <v/>
      </c>
      <c r="B2301" s="11"/>
      <c r="C2301" s="11" t="str">
        <f>IF(COUNTIF(D$1:D2301,D2301)=1,MAX(C$1:C2300)+1,"")</f>
        <v/>
      </c>
      <c r="D2301" s="12"/>
    </row>
    <row r="2302" spans="1:4" x14ac:dyDescent="0.25">
      <c r="A2302" t="str">
        <f>IF(COUNTIF(B$1:B2302,B2302)=1,MAX(A$1:A2301)+1,"")</f>
        <v/>
      </c>
      <c r="B2302" s="11"/>
      <c r="C2302" s="11" t="str">
        <f>IF(COUNTIF(D$1:D2302,D2302)=1,MAX(C$1:C2301)+1,"")</f>
        <v/>
      </c>
      <c r="D2302" s="12"/>
    </row>
    <row r="2303" spans="1:4" x14ac:dyDescent="0.25">
      <c r="A2303" t="str">
        <f>IF(COUNTIF(B$1:B2303,B2303)=1,MAX(A$1:A2302)+1,"")</f>
        <v/>
      </c>
      <c r="B2303" s="11"/>
      <c r="C2303" s="11" t="str">
        <f>IF(COUNTIF(D$1:D2303,D2303)=1,MAX(C$1:C2302)+1,"")</f>
        <v/>
      </c>
      <c r="D2303" s="12"/>
    </row>
    <row r="2304" spans="1:4" x14ac:dyDescent="0.25">
      <c r="A2304" t="str">
        <f>IF(COUNTIF(B$1:B2304,B2304)=1,MAX(A$1:A2303)+1,"")</f>
        <v/>
      </c>
      <c r="B2304" s="11"/>
      <c r="C2304" s="11" t="str">
        <f>IF(COUNTIF(D$1:D2304,D2304)=1,MAX(C$1:C2303)+1,"")</f>
        <v/>
      </c>
      <c r="D2304" s="12"/>
    </row>
    <row r="2305" spans="1:4" x14ac:dyDescent="0.25">
      <c r="A2305" t="str">
        <f>IF(COUNTIF(B$1:B2305,B2305)=1,MAX(A$1:A2304)+1,"")</f>
        <v/>
      </c>
      <c r="B2305" s="11"/>
      <c r="C2305" s="11" t="str">
        <f>IF(COUNTIF(D$1:D2305,D2305)=1,MAX(C$1:C2304)+1,"")</f>
        <v/>
      </c>
      <c r="D2305" s="12"/>
    </row>
    <row r="2306" spans="1:4" x14ac:dyDescent="0.25">
      <c r="A2306" t="str">
        <f>IF(COUNTIF(B$1:B2306,B2306)=1,MAX(A$1:A2305)+1,"")</f>
        <v/>
      </c>
      <c r="B2306" s="11"/>
      <c r="C2306" s="11" t="str">
        <f>IF(COUNTIF(D$1:D2306,D2306)=1,MAX(C$1:C2305)+1,"")</f>
        <v/>
      </c>
      <c r="D2306" s="12"/>
    </row>
    <row r="2307" spans="1:4" x14ac:dyDescent="0.25">
      <c r="A2307" t="str">
        <f>IF(COUNTIF(B$1:B2307,B2307)=1,MAX(A$1:A2306)+1,"")</f>
        <v/>
      </c>
      <c r="B2307" s="11"/>
      <c r="C2307" s="11" t="str">
        <f>IF(COUNTIF(D$1:D2307,D2307)=1,MAX(C$1:C2306)+1,"")</f>
        <v/>
      </c>
      <c r="D2307" s="12"/>
    </row>
    <row r="2308" spans="1:4" x14ac:dyDescent="0.25">
      <c r="A2308" t="str">
        <f>IF(COUNTIF(B$1:B2308,B2308)=1,MAX(A$1:A2307)+1,"")</f>
        <v/>
      </c>
      <c r="B2308" s="11"/>
      <c r="C2308" s="11" t="str">
        <f>IF(COUNTIF(D$1:D2308,D2308)=1,MAX(C$1:C2307)+1,"")</f>
        <v/>
      </c>
      <c r="D2308" s="12"/>
    </row>
    <row r="2309" spans="1:4" x14ac:dyDescent="0.25">
      <c r="A2309" t="str">
        <f>IF(COUNTIF(B$1:B2309,B2309)=1,MAX(A$1:A2308)+1,"")</f>
        <v/>
      </c>
      <c r="B2309" s="11"/>
      <c r="C2309" s="11" t="str">
        <f>IF(COUNTIF(D$1:D2309,D2309)=1,MAX(C$1:C2308)+1,"")</f>
        <v/>
      </c>
      <c r="D2309" s="12"/>
    </row>
    <row r="2310" spans="1:4" x14ac:dyDescent="0.25">
      <c r="A2310" t="str">
        <f>IF(COUNTIF(B$1:B2310,B2310)=1,MAX(A$1:A2309)+1,"")</f>
        <v/>
      </c>
      <c r="B2310" s="11"/>
      <c r="C2310" s="11" t="str">
        <f>IF(COUNTIF(D$1:D2310,D2310)=1,MAX(C$1:C2309)+1,"")</f>
        <v/>
      </c>
      <c r="D2310" s="12"/>
    </row>
    <row r="2311" spans="1:4" x14ac:dyDescent="0.25">
      <c r="A2311" t="str">
        <f>IF(COUNTIF(B$1:B2311,B2311)=1,MAX(A$1:A2310)+1,"")</f>
        <v/>
      </c>
      <c r="B2311" s="11"/>
      <c r="C2311" s="11" t="str">
        <f>IF(COUNTIF(D$1:D2311,D2311)=1,MAX(C$1:C2310)+1,"")</f>
        <v/>
      </c>
      <c r="D2311" s="12"/>
    </row>
    <row r="2312" spans="1:4" x14ac:dyDescent="0.25">
      <c r="A2312" t="str">
        <f>IF(COUNTIF(B$1:B2312,B2312)=1,MAX(A$1:A2311)+1,"")</f>
        <v/>
      </c>
      <c r="B2312" s="11"/>
      <c r="C2312" s="11" t="str">
        <f>IF(COUNTIF(D$1:D2312,D2312)=1,MAX(C$1:C2311)+1,"")</f>
        <v/>
      </c>
      <c r="D2312" s="12"/>
    </row>
    <row r="2313" spans="1:4" x14ac:dyDescent="0.25">
      <c r="A2313" t="str">
        <f>IF(COUNTIF(B$1:B2313,B2313)=1,MAX(A$1:A2312)+1,"")</f>
        <v/>
      </c>
      <c r="B2313" s="11"/>
      <c r="C2313" s="11" t="str">
        <f>IF(COUNTIF(D$1:D2313,D2313)=1,MAX(C$1:C2312)+1,"")</f>
        <v/>
      </c>
      <c r="D2313" s="12"/>
    </row>
    <row r="2314" spans="1:4" x14ac:dyDescent="0.25">
      <c r="A2314" t="str">
        <f>IF(COUNTIF(B$1:B2314,B2314)=1,MAX(A$1:A2313)+1,"")</f>
        <v/>
      </c>
      <c r="B2314" s="11"/>
      <c r="C2314" s="11" t="str">
        <f>IF(COUNTIF(D$1:D2314,D2314)=1,MAX(C$1:C2313)+1,"")</f>
        <v/>
      </c>
      <c r="D2314" s="12"/>
    </row>
    <row r="2315" spans="1:4" x14ac:dyDescent="0.25">
      <c r="A2315" t="str">
        <f>IF(COUNTIF(B$1:B2315,B2315)=1,MAX(A$1:A2314)+1,"")</f>
        <v/>
      </c>
      <c r="B2315" s="11"/>
      <c r="C2315" s="11" t="str">
        <f>IF(COUNTIF(D$1:D2315,D2315)=1,MAX(C$1:C2314)+1,"")</f>
        <v/>
      </c>
      <c r="D2315" s="12"/>
    </row>
    <row r="2316" spans="1:4" x14ac:dyDescent="0.25">
      <c r="A2316" t="str">
        <f>IF(COUNTIF(B$1:B2316,B2316)=1,MAX(A$1:A2315)+1,"")</f>
        <v/>
      </c>
      <c r="B2316" s="11"/>
      <c r="C2316" s="11" t="str">
        <f>IF(COUNTIF(D$1:D2316,D2316)=1,MAX(C$1:C2315)+1,"")</f>
        <v/>
      </c>
      <c r="D2316" s="12"/>
    </row>
    <row r="2317" spans="1:4" x14ac:dyDescent="0.25">
      <c r="A2317" t="str">
        <f>IF(COUNTIF(B$1:B2317,B2317)=1,MAX(A$1:A2316)+1,"")</f>
        <v/>
      </c>
      <c r="B2317" s="11"/>
      <c r="C2317" s="11" t="str">
        <f>IF(COUNTIF(D$1:D2317,D2317)=1,MAX(C$1:C2316)+1,"")</f>
        <v/>
      </c>
      <c r="D2317" s="12"/>
    </row>
    <row r="2318" spans="1:4" x14ac:dyDescent="0.25">
      <c r="A2318" t="str">
        <f>IF(COUNTIF(B$1:B2318,B2318)=1,MAX(A$1:A2317)+1,"")</f>
        <v/>
      </c>
      <c r="B2318" s="11"/>
      <c r="C2318" s="11" t="str">
        <f>IF(COUNTIF(D$1:D2318,D2318)=1,MAX(C$1:C2317)+1,"")</f>
        <v/>
      </c>
      <c r="D2318" s="12"/>
    </row>
    <row r="2319" spans="1:4" x14ac:dyDescent="0.25">
      <c r="A2319" t="str">
        <f>IF(COUNTIF(B$1:B2319,B2319)=1,MAX(A$1:A2318)+1,"")</f>
        <v/>
      </c>
      <c r="B2319" s="11"/>
      <c r="C2319" s="11" t="str">
        <f>IF(COUNTIF(D$1:D2319,D2319)=1,MAX(C$1:C2318)+1,"")</f>
        <v/>
      </c>
      <c r="D2319" s="12"/>
    </row>
    <row r="2320" spans="1:4" x14ac:dyDescent="0.25">
      <c r="A2320" t="str">
        <f>IF(COUNTIF(B$1:B2320,B2320)=1,MAX(A$1:A2319)+1,"")</f>
        <v/>
      </c>
      <c r="B2320" s="11"/>
      <c r="C2320" s="11" t="str">
        <f>IF(COUNTIF(D$1:D2320,D2320)=1,MAX(C$1:C2319)+1,"")</f>
        <v/>
      </c>
      <c r="D2320" s="12"/>
    </row>
    <row r="2321" spans="1:4" x14ac:dyDescent="0.25">
      <c r="A2321" t="str">
        <f>IF(COUNTIF(B$1:B2321,B2321)=1,MAX(A$1:A2320)+1,"")</f>
        <v/>
      </c>
      <c r="B2321" s="11"/>
      <c r="C2321" s="11" t="str">
        <f>IF(COUNTIF(D$1:D2321,D2321)=1,MAX(C$1:C2320)+1,"")</f>
        <v/>
      </c>
      <c r="D2321" s="12"/>
    </row>
    <row r="2322" spans="1:4" x14ac:dyDescent="0.25">
      <c r="A2322" t="str">
        <f>IF(COUNTIF(B$1:B2322,B2322)=1,MAX(A$1:A2321)+1,"")</f>
        <v/>
      </c>
      <c r="B2322" s="11"/>
      <c r="C2322" s="11" t="str">
        <f>IF(COUNTIF(D$1:D2322,D2322)=1,MAX(C$1:C2321)+1,"")</f>
        <v/>
      </c>
      <c r="D2322" s="12"/>
    </row>
    <row r="2323" spans="1:4" x14ac:dyDescent="0.25">
      <c r="A2323" t="str">
        <f>IF(COUNTIF(B$1:B2323,B2323)=1,MAX(A$1:A2322)+1,"")</f>
        <v/>
      </c>
      <c r="B2323" s="11"/>
      <c r="C2323" s="11" t="str">
        <f>IF(COUNTIF(D$1:D2323,D2323)=1,MAX(C$1:C2322)+1,"")</f>
        <v/>
      </c>
      <c r="D2323" s="12"/>
    </row>
    <row r="2324" spans="1:4" x14ac:dyDescent="0.25">
      <c r="A2324" t="str">
        <f>IF(COUNTIF(B$1:B2324,B2324)=1,MAX(A$1:A2323)+1,"")</f>
        <v/>
      </c>
      <c r="B2324" s="11"/>
      <c r="C2324" s="11" t="str">
        <f>IF(COUNTIF(D$1:D2324,D2324)=1,MAX(C$1:C2323)+1,"")</f>
        <v/>
      </c>
      <c r="D2324" s="12"/>
    </row>
    <row r="2325" spans="1:4" x14ac:dyDescent="0.25">
      <c r="A2325" t="str">
        <f>IF(COUNTIF(B$1:B2325,B2325)=1,MAX(A$1:A2324)+1,"")</f>
        <v/>
      </c>
      <c r="B2325" s="11"/>
      <c r="C2325" s="11" t="str">
        <f>IF(COUNTIF(D$1:D2325,D2325)=1,MAX(C$1:C2324)+1,"")</f>
        <v/>
      </c>
      <c r="D2325" s="12"/>
    </row>
    <row r="2326" spans="1:4" x14ac:dyDescent="0.25">
      <c r="A2326" t="str">
        <f>IF(COUNTIF(B$1:B2326,B2326)=1,MAX(A$1:A2325)+1,"")</f>
        <v/>
      </c>
      <c r="B2326" s="11"/>
      <c r="C2326" s="11" t="str">
        <f>IF(COUNTIF(D$1:D2326,D2326)=1,MAX(C$1:C2325)+1,"")</f>
        <v/>
      </c>
      <c r="D2326" s="12"/>
    </row>
    <row r="2327" spans="1:4" x14ac:dyDescent="0.25">
      <c r="A2327" t="str">
        <f>IF(COUNTIF(B$1:B2327,B2327)=1,MAX(A$1:A2326)+1,"")</f>
        <v/>
      </c>
      <c r="B2327" s="11"/>
      <c r="C2327" s="11" t="str">
        <f>IF(COUNTIF(D$1:D2327,D2327)=1,MAX(C$1:C2326)+1,"")</f>
        <v/>
      </c>
      <c r="D2327" s="12"/>
    </row>
    <row r="2328" spans="1:4" x14ac:dyDescent="0.25">
      <c r="A2328" t="str">
        <f>IF(COUNTIF(B$1:B2328,B2328)=1,MAX(A$1:A2327)+1,"")</f>
        <v/>
      </c>
      <c r="B2328" s="11"/>
      <c r="C2328" s="11" t="str">
        <f>IF(COUNTIF(D$1:D2328,D2328)=1,MAX(C$1:C2327)+1,"")</f>
        <v/>
      </c>
      <c r="D2328" s="12"/>
    </row>
    <row r="2329" spans="1:4" x14ac:dyDescent="0.25">
      <c r="A2329" t="str">
        <f>IF(COUNTIF(B$1:B2329,B2329)=1,MAX(A$1:A2328)+1,"")</f>
        <v/>
      </c>
      <c r="B2329" s="11"/>
      <c r="C2329" s="11" t="str">
        <f>IF(COUNTIF(D$1:D2329,D2329)=1,MAX(C$1:C2328)+1,"")</f>
        <v/>
      </c>
      <c r="D2329" s="12"/>
    </row>
    <row r="2330" spans="1:4" x14ac:dyDescent="0.25">
      <c r="A2330" t="str">
        <f>IF(COUNTIF(B$1:B2330,B2330)=1,MAX(A$1:A2329)+1,"")</f>
        <v/>
      </c>
      <c r="B2330" s="11"/>
      <c r="C2330" s="11" t="str">
        <f>IF(COUNTIF(D$1:D2330,D2330)=1,MAX(C$1:C2329)+1,"")</f>
        <v/>
      </c>
      <c r="D2330" s="12"/>
    </row>
    <row r="2331" spans="1:4" x14ac:dyDescent="0.25">
      <c r="A2331" t="str">
        <f>IF(COUNTIF(B$1:B2331,B2331)=1,MAX(A$1:A2330)+1,"")</f>
        <v/>
      </c>
      <c r="B2331" s="11"/>
      <c r="C2331" s="11" t="str">
        <f>IF(COUNTIF(D$1:D2331,D2331)=1,MAX(C$1:C2330)+1,"")</f>
        <v/>
      </c>
      <c r="D2331" s="12"/>
    </row>
    <row r="2332" spans="1:4" x14ac:dyDescent="0.25">
      <c r="A2332" t="str">
        <f>IF(COUNTIF(B$1:B2332,B2332)=1,MAX(A$1:A2331)+1,"")</f>
        <v/>
      </c>
      <c r="B2332" s="11"/>
      <c r="C2332" s="11" t="str">
        <f>IF(COUNTIF(D$1:D2332,D2332)=1,MAX(C$1:C2331)+1,"")</f>
        <v/>
      </c>
      <c r="D2332" s="12"/>
    </row>
    <row r="2333" spans="1:4" x14ac:dyDescent="0.25">
      <c r="A2333" t="str">
        <f>IF(COUNTIF(B$1:B2333,B2333)=1,MAX(A$1:A2332)+1,"")</f>
        <v/>
      </c>
      <c r="B2333" s="11"/>
      <c r="C2333" s="11" t="str">
        <f>IF(COUNTIF(D$1:D2333,D2333)=1,MAX(C$1:C2332)+1,"")</f>
        <v/>
      </c>
      <c r="D2333" s="12"/>
    </row>
    <row r="2334" spans="1:4" x14ac:dyDescent="0.25">
      <c r="A2334" t="str">
        <f>IF(COUNTIF(B$1:B2334,B2334)=1,MAX(A$1:A2333)+1,"")</f>
        <v/>
      </c>
      <c r="B2334" s="11"/>
      <c r="C2334" s="11" t="str">
        <f>IF(COUNTIF(D$1:D2334,D2334)=1,MAX(C$1:C2333)+1,"")</f>
        <v/>
      </c>
      <c r="D2334" s="12"/>
    </row>
    <row r="2335" spans="1:4" x14ac:dyDescent="0.25">
      <c r="A2335" t="str">
        <f>IF(COUNTIF(B$1:B2335,B2335)=1,MAX(A$1:A2334)+1,"")</f>
        <v/>
      </c>
      <c r="B2335" s="11"/>
      <c r="C2335" s="11" t="str">
        <f>IF(COUNTIF(D$1:D2335,D2335)=1,MAX(C$1:C2334)+1,"")</f>
        <v/>
      </c>
      <c r="D2335" s="12"/>
    </row>
    <row r="2336" spans="1:4" x14ac:dyDescent="0.25">
      <c r="A2336" t="str">
        <f>IF(COUNTIF(B$1:B2336,B2336)=1,MAX(A$1:A2335)+1,"")</f>
        <v/>
      </c>
      <c r="B2336" s="11"/>
      <c r="C2336" s="11" t="str">
        <f>IF(COUNTIF(D$1:D2336,D2336)=1,MAX(C$1:C2335)+1,"")</f>
        <v/>
      </c>
      <c r="D2336" s="12"/>
    </row>
    <row r="2337" spans="1:4" x14ac:dyDescent="0.25">
      <c r="A2337" t="str">
        <f>IF(COUNTIF(B$1:B2337,B2337)=1,MAX(A$1:A2336)+1,"")</f>
        <v/>
      </c>
      <c r="B2337" s="11"/>
      <c r="C2337" s="11" t="str">
        <f>IF(COUNTIF(D$1:D2337,D2337)=1,MAX(C$1:C2336)+1,"")</f>
        <v/>
      </c>
      <c r="D2337" s="12"/>
    </row>
    <row r="2338" spans="1:4" x14ac:dyDescent="0.25">
      <c r="A2338" t="str">
        <f>IF(COUNTIF(B$1:B2338,B2338)=1,MAX(A$1:A2337)+1,"")</f>
        <v/>
      </c>
      <c r="B2338" s="11"/>
      <c r="C2338" s="11" t="str">
        <f>IF(COUNTIF(D$1:D2338,D2338)=1,MAX(C$1:C2337)+1,"")</f>
        <v/>
      </c>
      <c r="D2338" s="12"/>
    </row>
    <row r="2339" spans="1:4" x14ac:dyDescent="0.25">
      <c r="A2339" t="str">
        <f>IF(COUNTIF(B$1:B2339,B2339)=1,MAX(A$1:A2338)+1,"")</f>
        <v/>
      </c>
      <c r="B2339" s="11"/>
      <c r="C2339" s="11" t="str">
        <f>IF(COUNTIF(D$1:D2339,D2339)=1,MAX(C$1:C2338)+1,"")</f>
        <v/>
      </c>
      <c r="D2339" s="12"/>
    </row>
    <row r="2340" spans="1:4" x14ac:dyDescent="0.25">
      <c r="A2340" t="str">
        <f>IF(COUNTIF(B$1:B2340,B2340)=1,MAX(A$1:A2339)+1,"")</f>
        <v/>
      </c>
      <c r="B2340" s="11"/>
      <c r="C2340" s="11" t="str">
        <f>IF(COUNTIF(D$1:D2340,D2340)=1,MAX(C$1:C2339)+1,"")</f>
        <v/>
      </c>
      <c r="D2340" s="12"/>
    </row>
    <row r="2341" spans="1:4" x14ac:dyDescent="0.25">
      <c r="A2341" t="str">
        <f>IF(COUNTIF(B$1:B2341,B2341)=1,MAX(A$1:A2340)+1,"")</f>
        <v/>
      </c>
      <c r="B2341" s="11"/>
      <c r="C2341" s="11" t="str">
        <f>IF(COUNTIF(D$1:D2341,D2341)=1,MAX(C$1:C2340)+1,"")</f>
        <v/>
      </c>
      <c r="D2341" s="12"/>
    </row>
    <row r="2342" spans="1:4" x14ac:dyDescent="0.25">
      <c r="A2342" t="str">
        <f>IF(COUNTIF(B$1:B2342,B2342)=1,MAX(A$1:A2341)+1,"")</f>
        <v/>
      </c>
      <c r="B2342" s="11"/>
      <c r="C2342" s="11" t="str">
        <f>IF(COUNTIF(D$1:D2342,D2342)=1,MAX(C$1:C2341)+1,"")</f>
        <v/>
      </c>
      <c r="D2342" s="12"/>
    </row>
    <row r="2343" spans="1:4" x14ac:dyDescent="0.25">
      <c r="A2343" t="str">
        <f>IF(COUNTIF(B$1:B2343,B2343)=1,MAX(A$1:A2342)+1,"")</f>
        <v/>
      </c>
      <c r="B2343" s="11"/>
      <c r="C2343" s="11" t="str">
        <f>IF(COUNTIF(D$1:D2343,D2343)=1,MAX(C$1:C2342)+1,"")</f>
        <v/>
      </c>
      <c r="D2343" s="12"/>
    </row>
    <row r="2344" spans="1:4" x14ac:dyDescent="0.25">
      <c r="A2344" t="str">
        <f>IF(COUNTIF(B$1:B2344,B2344)=1,MAX(A$1:A2343)+1,"")</f>
        <v/>
      </c>
      <c r="B2344" s="11"/>
      <c r="C2344" s="11" t="str">
        <f>IF(COUNTIF(D$1:D2344,D2344)=1,MAX(C$1:C2343)+1,"")</f>
        <v/>
      </c>
      <c r="D2344" s="12"/>
    </row>
    <row r="2345" spans="1:4" x14ac:dyDescent="0.25">
      <c r="A2345" t="str">
        <f>IF(COUNTIF(B$1:B2345,B2345)=1,MAX(A$1:A2344)+1,"")</f>
        <v/>
      </c>
      <c r="B2345" s="11"/>
      <c r="C2345" s="11" t="str">
        <f>IF(COUNTIF(D$1:D2345,D2345)=1,MAX(C$1:C2344)+1,"")</f>
        <v/>
      </c>
      <c r="D2345" s="12"/>
    </row>
    <row r="2346" spans="1:4" x14ac:dyDescent="0.25">
      <c r="A2346" t="str">
        <f>IF(COUNTIF(B$1:B2346,B2346)=1,MAX(A$1:A2345)+1,"")</f>
        <v/>
      </c>
      <c r="B2346" s="11"/>
      <c r="C2346" s="11" t="str">
        <f>IF(COUNTIF(D$1:D2346,D2346)=1,MAX(C$1:C2345)+1,"")</f>
        <v/>
      </c>
      <c r="D2346" s="12"/>
    </row>
    <row r="2347" spans="1:4" x14ac:dyDescent="0.25">
      <c r="A2347" t="str">
        <f>IF(COUNTIF(B$1:B2347,B2347)=1,MAX(A$1:A2346)+1,"")</f>
        <v/>
      </c>
      <c r="B2347" s="11"/>
      <c r="C2347" s="11" t="str">
        <f>IF(COUNTIF(D$1:D2347,D2347)=1,MAX(C$1:C2346)+1,"")</f>
        <v/>
      </c>
      <c r="D2347" s="12"/>
    </row>
    <row r="2348" spans="1:4" x14ac:dyDescent="0.25">
      <c r="A2348" t="str">
        <f>IF(COUNTIF(B$1:B2348,B2348)=1,MAX(A$1:A2347)+1,"")</f>
        <v/>
      </c>
      <c r="B2348" s="11"/>
      <c r="C2348" s="11" t="str">
        <f>IF(COUNTIF(D$1:D2348,D2348)=1,MAX(C$1:C2347)+1,"")</f>
        <v/>
      </c>
      <c r="D2348" s="12"/>
    </row>
    <row r="2349" spans="1:4" x14ac:dyDescent="0.25">
      <c r="A2349" t="str">
        <f>IF(COUNTIF(B$1:B2349,B2349)=1,MAX(A$1:A2348)+1,"")</f>
        <v/>
      </c>
      <c r="B2349" s="11"/>
      <c r="C2349" s="11" t="str">
        <f>IF(COUNTIF(D$1:D2349,D2349)=1,MAX(C$1:C2348)+1,"")</f>
        <v/>
      </c>
      <c r="D2349" s="12"/>
    </row>
    <row r="2350" spans="1:4" x14ac:dyDescent="0.25">
      <c r="A2350" t="str">
        <f>IF(COUNTIF(B$1:B2350,B2350)=1,MAX(A$1:A2349)+1,"")</f>
        <v/>
      </c>
      <c r="B2350" s="11"/>
      <c r="C2350" s="11" t="str">
        <f>IF(COUNTIF(D$1:D2350,D2350)=1,MAX(C$1:C2349)+1,"")</f>
        <v/>
      </c>
      <c r="D2350" s="12"/>
    </row>
    <row r="2351" spans="1:4" x14ac:dyDescent="0.25">
      <c r="A2351" t="str">
        <f>IF(COUNTIF(B$1:B2351,B2351)=1,MAX(A$1:A2350)+1,"")</f>
        <v/>
      </c>
      <c r="B2351" s="11"/>
      <c r="C2351" s="11" t="str">
        <f>IF(COUNTIF(D$1:D2351,D2351)=1,MAX(C$1:C2350)+1,"")</f>
        <v/>
      </c>
      <c r="D2351" s="12"/>
    </row>
    <row r="2352" spans="1:4" x14ac:dyDescent="0.25">
      <c r="A2352" t="str">
        <f>IF(COUNTIF(B$1:B2352,B2352)=1,MAX(A$1:A2351)+1,"")</f>
        <v/>
      </c>
      <c r="B2352" s="11"/>
      <c r="C2352" s="11" t="str">
        <f>IF(COUNTIF(D$1:D2352,D2352)=1,MAX(C$1:C2351)+1,"")</f>
        <v/>
      </c>
      <c r="D2352" s="12"/>
    </row>
    <row r="2353" spans="1:4" x14ac:dyDescent="0.25">
      <c r="A2353" t="str">
        <f>IF(COUNTIF(B$1:B2353,B2353)=1,MAX(A$1:A2352)+1,"")</f>
        <v/>
      </c>
      <c r="B2353" s="11"/>
      <c r="C2353" s="11" t="str">
        <f>IF(COUNTIF(D$1:D2353,D2353)=1,MAX(C$1:C2352)+1,"")</f>
        <v/>
      </c>
      <c r="D2353" s="12"/>
    </row>
    <row r="2354" spans="1:4" x14ac:dyDescent="0.25">
      <c r="A2354" t="str">
        <f>IF(COUNTIF(B$1:B2354,B2354)=1,MAX(A$1:A2353)+1,"")</f>
        <v/>
      </c>
      <c r="B2354" s="11"/>
      <c r="C2354" s="11" t="str">
        <f>IF(COUNTIF(D$1:D2354,D2354)=1,MAX(C$1:C2353)+1,"")</f>
        <v/>
      </c>
      <c r="D2354" s="12"/>
    </row>
    <row r="2355" spans="1:4" x14ac:dyDescent="0.25">
      <c r="A2355" t="str">
        <f>IF(COUNTIF(B$1:B2355,B2355)=1,MAX(A$1:A2354)+1,"")</f>
        <v/>
      </c>
      <c r="B2355" s="11"/>
      <c r="C2355" s="11" t="str">
        <f>IF(COUNTIF(D$1:D2355,D2355)=1,MAX(C$1:C2354)+1,"")</f>
        <v/>
      </c>
      <c r="D2355" s="12"/>
    </row>
    <row r="2356" spans="1:4" x14ac:dyDescent="0.25">
      <c r="A2356" t="str">
        <f>IF(COUNTIF(B$1:B2356,B2356)=1,MAX(A$1:A2355)+1,"")</f>
        <v/>
      </c>
      <c r="B2356" s="11"/>
      <c r="C2356" s="11" t="str">
        <f>IF(COUNTIF(D$1:D2356,D2356)=1,MAX(C$1:C2355)+1,"")</f>
        <v/>
      </c>
      <c r="D2356" s="12"/>
    </row>
    <row r="2357" spans="1:4" x14ac:dyDescent="0.25">
      <c r="A2357" t="str">
        <f>IF(COUNTIF(B$1:B2357,B2357)=1,MAX(A$1:A2356)+1,"")</f>
        <v/>
      </c>
      <c r="B2357" s="11"/>
      <c r="C2357" s="11" t="str">
        <f>IF(COUNTIF(D$1:D2357,D2357)=1,MAX(C$1:C2356)+1,"")</f>
        <v/>
      </c>
      <c r="D2357" s="12"/>
    </row>
    <row r="2358" spans="1:4" x14ac:dyDescent="0.25">
      <c r="A2358" t="str">
        <f>IF(COUNTIF(B$1:B2358,B2358)=1,MAX(A$1:A2357)+1,"")</f>
        <v/>
      </c>
      <c r="B2358" s="11"/>
      <c r="C2358" s="11" t="str">
        <f>IF(COUNTIF(D$1:D2358,D2358)=1,MAX(C$1:C2357)+1,"")</f>
        <v/>
      </c>
      <c r="D2358" s="12"/>
    </row>
    <row r="2359" spans="1:4" x14ac:dyDescent="0.25">
      <c r="A2359" t="str">
        <f>IF(COUNTIF(B$1:B2359,B2359)=1,MAX(A$1:A2358)+1,"")</f>
        <v/>
      </c>
      <c r="B2359" s="11"/>
      <c r="C2359" s="11" t="str">
        <f>IF(COUNTIF(D$1:D2359,D2359)=1,MAX(C$1:C2358)+1,"")</f>
        <v/>
      </c>
      <c r="D2359" s="12"/>
    </row>
    <row r="2360" spans="1:4" x14ac:dyDescent="0.25">
      <c r="A2360" t="str">
        <f>IF(COUNTIF(B$1:B2360,B2360)=1,MAX(A$1:A2359)+1,"")</f>
        <v/>
      </c>
      <c r="B2360" s="11"/>
      <c r="C2360" s="11" t="str">
        <f>IF(COUNTIF(D$1:D2360,D2360)=1,MAX(C$1:C2359)+1,"")</f>
        <v/>
      </c>
      <c r="D2360" s="12"/>
    </row>
    <row r="2361" spans="1:4" x14ac:dyDescent="0.25">
      <c r="A2361" t="str">
        <f>IF(COUNTIF(B$1:B2361,B2361)=1,MAX(A$1:A2360)+1,"")</f>
        <v/>
      </c>
      <c r="B2361" s="11"/>
      <c r="C2361" s="11" t="str">
        <f>IF(COUNTIF(D$1:D2361,D2361)=1,MAX(C$1:C2360)+1,"")</f>
        <v/>
      </c>
      <c r="D2361" s="12"/>
    </row>
    <row r="2362" spans="1:4" x14ac:dyDescent="0.25">
      <c r="A2362" t="str">
        <f>IF(COUNTIF(B$1:B2362,B2362)=1,MAX(A$1:A2361)+1,"")</f>
        <v/>
      </c>
      <c r="B2362" s="11"/>
      <c r="C2362" s="11" t="str">
        <f>IF(COUNTIF(D$1:D2362,D2362)=1,MAX(C$1:C2361)+1,"")</f>
        <v/>
      </c>
      <c r="D2362" s="12"/>
    </row>
    <row r="2363" spans="1:4" x14ac:dyDescent="0.25">
      <c r="A2363" t="str">
        <f>IF(COUNTIF(B$1:B2363,B2363)=1,MAX(A$1:A2362)+1,"")</f>
        <v/>
      </c>
      <c r="B2363" s="11"/>
      <c r="C2363" s="11" t="str">
        <f>IF(COUNTIF(D$1:D2363,D2363)=1,MAX(C$1:C2362)+1,"")</f>
        <v/>
      </c>
      <c r="D2363" s="12"/>
    </row>
    <row r="2364" spans="1:4" x14ac:dyDescent="0.25">
      <c r="A2364" t="str">
        <f>IF(COUNTIF(B$1:B2364,B2364)=1,MAX(A$1:A2363)+1,"")</f>
        <v/>
      </c>
      <c r="B2364" s="11"/>
      <c r="C2364" s="11" t="str">
        <f>IF(COUNTIF(D$1:D2364,D2364)=1,MAX(C$1:C2363)+1,"")</f>
        <v/>
      </c>
      <c r="D2364" s="12"/>
    </row>
    <row r="2365" spans="1:4" x14ac:dyDescent="0.25">
      <c r="A2365" t="str">
        <f>IF(COUNTIF(B$1:B2365,B2365)=1,MAX(A$1:A2364)+1,"")</f>
        <v/>
      </c>
      <c r="B2365" s="11"/>
      <c r="C2365" s="11" t="str">
        <f>IF(COUNTIF(D$1:D2365,D2365)=1,MAX(C$1:C2364)+1,"")</f>
        <v/>
      </c>
      <c r="D2365" s="12"/>
    </row>
    <row r="2366" spans="1:4" x14ac:dyDescent="0.25">
      <c r="A2366" t="str">
        <f>IF(COUNTIF(B$1:B2366,B2366)=1,MAX(A$1:A2365)+1,"")</f>
        <v/>
      </c>
      <c r="B2366" s="11"/>
      <c r="C2366" s="11" t="str">
        <f>IF(COUNTIF(D$1:D2366,D2366)=1,MAX(C$1:C2365)+1,"")</f>
        <v/>
      </c>
      <c r="D2366" s="12"/>
    </row>
    <row r="2367" spans="1:4" x14ac:dyDescent="0.25">
      <c r="A2367" t="str">
        <f>IF(COUNTIF(B$1:B2367,B2367)=1,MAX(A$1:A2366)+1,"")</f>
        <v/>
      </c>
      <c r="B2367" s="11"/>
      <c r="C2367" s="11" t="str">
        <f>IF(COUNTIF(D$1:D2367,D2367)=1,MAX(C$1:C2366)+1,"")</f>
        <v/>
      </c>
      <c r="D2367" s="12"/>
    </row>
    <row r="2368" spans="1:4" x14ac:dyDescent="0.25">
      <c r="A2368" t="str">
        <f>IF(COUNTIF(B$1:B2368,B2368)=1,MAX(A$1:A2367)+1,"")</f>
        <v/>
      </c>
      <c r="B2368" s="11"/>
      <c r="C2368" s="11" t="str">
        <f>IF(COUNTIF(D$1:D2368,D2368)=1,MAX(C$1:C2367)+1,"")</f>
        <v/>
      </c>
      <c r="D2368" s="12"/>
    </row>
    <row r="2369" spans="1:4" x14ac:dyDescent="0.25">
      <c r="A2369" t="str">
        <f>IF(COUNTIF(B$1:B2369,B2369)=1,MAX(A$1:A2368)+1,"")</f>
        <v/>
      </c>
      <c r="B2369" s="11"/>
      <c r="C2369" s="11" t="str">
        <f>IF(COUNTIF(D$1:D2369,D2369)=1,MAX(C$1:C2368)+1,"")</f>
        <v/>
      </c>
      <c r="D2369" s="12"/>
    </row>
    <row r="2370" spans="1:4" x14ac:dyDescent="0.25">
      <c r="A2370" t="str">
        <f>IF(COUNTIF(B$1:B2370,B2370)=1,MAX(A$1:A2369)+1,"")</f>
        <v/>
      </c>
      <c r="B2370" s="11"/>
      <c r="C2370" s="11" t="str">
        <f>IF(COUNTIF(D$1:D2370,D2370)=1,MAX(C$1:C2369)+1,"")</f>
        <v/>
      </c>
      <c r="D2370" s="12"/>
    </row>
    <row r="2371" spans="1:4" x14ac:dyDescent="0.25">
      <c r="A2371" t="str">
        <f>IF(COUNTIF(B$1:B2371,B2371)=1,MAX(A$1:A2370)+1,"")</f>
        <v/>
      </c>
      <c r="B2371" s="11"/>
      <c r="C2371" s="11" t="str">
        <f>IF(COUNTIF(D$1:D2371,D2371)=1,MAX(C$1:C2370)+1,"")</f>
        <v/>
      </c>
      <c r="D2371" s="12"/>
    </row>
    <row r="2372" spans="1:4" x14ac:dyDescent="0.25">
      <c r="A2372" t="str">
        <f>IF(COUNTIF(B$1:B2372,B2372)=1,MAX(A$1:A2371)+1,"")</f>
        <v/>
      </c>
      <c r="B2372" s="11"/>
      <c r="C2372" s="11" t="str">
        <f>IF(COUNTIF(D$1:D2372,D2372)=1,MAX(C$1:C2371)+1,"")</f>
        <v/>
      </c>
      <c r="D2372" s="12"/>
    </row>
    <row r="2373" spans="1:4" x14ac:dyDescent="0.25">
      <c r="A2373" t="str">
        <f>IF(COUNTIF(B$1:B2373,B2373)=1,MAX(A$1:A2372)+1,"")</f>
        <v/>
      </c>
      <c r="B2373" s="11"/>
      <c r="C2373" s="11" t="str">
        <f>IF(COUNTIF(D$1:D2373,D2373)=1,MAX(C$1:C2372)+1,"")</f>
        <v/>
      </c>
      <c r="D2373" s="12"/>
    </row>
    <row r="2374" spans="1:4" x14ac:dyDescent="0.25">
      <c r="A2374" t="str">
        <f>IF(COUNTIF(B$1:B2374,B2374)=1,MAX(A$1:A2373)+1,"")</f>
        <v/>
      </c>
      <c r="B2374" s="11"/>
      <c r="C2374" s="11" t="str">
        <f>IF(COUNTIF(D$1:D2374,D2374)=1,MAX(C$1:C2373)+1,"")</f>
        <v/>
      </c>
      <c r="D2374" s="12"/>
    </row>
    <row r="2375" spans="1:4" x14ac:dyDescent="0.25">
      <c r="A2375" t="str">
        <f>IF(COUNTIF(B$1:B2375,B2375)=1,MAX(A$1:A2374)+1,"")</f>
        <v/>
      </c>
      <c r="B2375" s="11"/>
      <c r="C2375" s="11" t="str">
        <f>IF(COUNTIF(D$1:D2375,D2375)=1,MAX(C$1:C2374)+1,"")</f>
        <v/>
      </c>
      <c r="D2375" s="12"/>
    </row>
    <row r="2376" spans="1:4" x14ac:dyDescent="0.25">
      <c r="A2376" t="str">
        <f>IF(COUNTIF(B$1:B2376,B2376)=1,MAX(A$1:A2375)+1,"")</f>
        <v/>
      </c>
      <c r="B2376" s="11"/>
      <c r="C2376" s="11" t="str">
        <f>IF(COUNTIF(D$1:D2376,D2376)=1,MAX(C$1:C2375)+1,"")</f>
        <v/>
      </c>
      <c r="D2376" s="12"/>
    </row>
    <row r="2377" spans="1:4" x14ac:dyDescent="0.25">
      <c r="A2377" t="str">
        <f>IF(COUNTIF(B$1:B2377,B2377)=1,MAX(A$1:A2376)+1,"")</f>
        <v/>
      </c>
      <c r="B2377" s="11"/>
      <c r="C2377" s="11" t="str">
        <f>IF(COUNTIF(D$1:D2377,D2377)=1,MAX(C$1:C2376)+1,"")</f>
        <v/>
      </c>
      <c r="D2377" s="12"/>
    </row>
    <row r="2378" spans="1:4" x14ac:dyDescent="0.25">
      <c r="A2378" t="str">
        <f>IF(COUNTIF(B$1:B2378,B2378)=1,MAX(A$1:A2377)+1,"")</f>
        <v/>
      </c>
      <c r="B2378" s="11"/>
      <c r="C2378" s="11" t="str">
        <f>IF(COUNTIF(D$1:D2378,D2378)=1,MAX(C$1:C2377)+1,"")</f>
        <v/>
      </c>
      <c r="D2378" s="12"/>
    </row>
    <row r="2379" spans="1:4" x14ac:dyDescent="0.25">
      <c r="A2379" t="str">
        <f>IF(COUNTIF(B$1:B2379,B2379)=1,MAX(A$1:A2378)+1,"")</f>
        <v/>
      </c>
      <c r="B2379" s="11"/>
      <c r="C2379" s="11" t="str">
        <f>IF(COUNTIF(D$1:D2379,D2379)=1,MAX(C$1:C2378)+1,"")</f>
        <v/>
      </c>
      <c r="D2379" s="12"/>
    </row>
    <row r="2380" spans="1:4" x14ac:dyDescent="0.25">
      <c r="A2380" t="str">
        <f>IF(COUNTIF(B$1:B2380,B2380)=1,MAX(A$1:A2379)+1,"")</f>
        <v/>
      </c>
      <c r="B2380" s="11"/>
      <c r="C2380" s="11" t="str">
        <f>IF(COUNTIF(D$1:D2380,D2380)=1,MAX(C$1:C2379)+1,"")</f>
        <v/>
      </c>
      <c r="D2380" s="12"/>
    </row>
    <row r="2381" spans="1:4" x14ac:dyDescent="0.25">
      <c r="A2381" t="str">
        <f>IF(COUNTIF(B$1:B2381,B2381)=1,MAX(A$1:A2380)+1,"")</f>
        <v/>
      </c>
      <c r="B2381" s="11"/>
      <c r="C2381" s="11" t="str">
        <f>IF(COUNTIF(D$1:D2381,D2381)=1,MAX(C$1:C2380)+1,"")</f>
        <v/>
      </c>
      <c r="D2381" s="12"/>
    </row>
    <row r="2382" spans="1:4" x14ac:dyDescent="0.25">
      <c r="A2382" t="str">
        <f>IF(COUNTIF(B$1:B2382,B2382)=1,MAX(A$1:A2381)+1,"")</f>
        <v/>
      </c>
      <c r="B2382" s="11"/>
      <c r="C2382" s="11" t="str">
        <f>IF(COUNTIF(D$1:D2382,D2382)=1,MAX(C$1:C2381)+1,"")</f>
        <v/>
      </c>
      <c r="D2382" s="12"/>
    </row>
    <row r="2383" spans="1:4" x14ac:dyDescent="0.25">
      <c r="A2383" t="str">
        <f>IF(COUNTIF(B$1:B2383,B2383)=1,MAX(A$1:A2382)+1,"")</f>
        <v/>
      </c>
      <c r="B2383" s="11"/>
      <c r="C2383" s="11" t="str">
        <f>IF(COUNTIF(D$1:D2383,D2383)=1,MAX(C$1:C2382)+1,"")</f>
        <v/>
      </c>
      <c r="D2383" s="12"/>
    </row>
    <row r="2384" spans="1:4" x14ac:dyDescent="0.25">
      <c r="A2384" t="str">
        <f>IF(COUNTIF(B$1:B2384,B2384)=1,MAX(A$1:A2383)+1,"")</f>
        <v/>
      </c>
      <c r="B2384" s="11"/>
      <c r="C2384" s="11" t="str">
        <f>IF(COUNTIF(D$1:D2384,D2384)=1,MAX(C$1:C2383)+1,"")</f>
        <v/>
      </c>
      <c r="D2384" s="12"/>
    </row>
    <row r="2385" spans="1:4" x14ac:dyDescent="0.25">
      <c r="A2385" t="str">
        <f>IF(COUNTIF(B$1:B2385,B2385)=1,MAX(A$1:A2384)+1,"")</f>
        <v/>
      </c>
      <c r="B2385" s="11"/>
      <c r="C2385" s="11" t="str">
        <f>IF(COUNTIF(D$1:D2385,D2385)=1,MAX(C$1:C2384)+1,"")</f>
        <v/>
      </c>
      <c r="D2385" s="12"/>
    </row>
    <row r="2386" spans="1:4" x14ac:dyDescent="0.25">
      <c r="A2386" t="str">
        <f>IF(COUNTIF(B$1:B2386,B2386)=1,MAX(A$1:A2385)+1,"")</f>
        <v/>
      </c>
      <c r="B2386" s="11"/>
      <c r="C2386" s="11" t="str">
        <f>IF(COUNTIF(D$1:D2386,D2386)=1,MAX(C$1:C2385)+1,"")</f>
        <v/>
      </c>
      <c r="D2386" s="12"/>
    </row>
    <row r="2387" spans="1:4" x14ac:dyDescent="0.25">
      <c r="A2387" t="str">
        <f>IF(COUNTIF(B$1:B2387,B2387)=1,MAX(A$1:A2386)+1,"")</f>
        <v/>
      </c>
      <c r="B2387" s="11"/>
      <c r="C2387" s="11" t="str">
        <f>IF(COUNTIF(D$1:D2387,D2387)=1,MAX(C$1:C2386)+1,"")</f>
        <v/>
      </c>
      <c r="D2387" s="12"/>
    </row>
    <row r="2388" spans="1:4" x14ac:dyDescent="0.25">
      <c r="A2388" t="str">
        <f>IF(COUNTIF(B$1:B2388,B2388)=1,MAX(A$1:A2387)+1,"")</f>
        <v/>
      </c>
      <c r="B2388" s="11"/>
      <c r="C2388" s="11" t="str">
        <f>IF(COUNTIF(D$1:D2388,D2388)=1,MAX(C$1:C2387)+1,"")</f>
        <v/>
      </c>
      <c r="D2388" s="12"/>
    </row>
    <row r="2389" spans="1:4" x14ac:dyDescent="0.25">
      <c r="A2389" t="str">
        <f>IF(COUNTIF(B$1:B2389,B2389)=1,MAX(A$1:A2388)+1,"")</f>
        <v/>
      </c>
      <c r="B2389" s="11"/>
      <c r="C2389" s="11" t="str">
        <f>IF(COUNTIF(D$1:D2389,D2389)=1,MAX(C$1:C2388)+1,"")</f>
        <v/>
      </c>
      <c r="D2389" s="12"/>
    </row>
    <row r="2390" spans="1:4" x14ac:dyDescent="0.25">
      <c r="A2390" t="str">
        <f>IF(COUNTIF(B$1:B2390,B2390)=1,MAX(A$1:A2389)+1,"")</f>
        <v/>
      </c>
      <c r="B2390" s="11"/>
      <c r="C2390" s="11" t="str">
        <f>IF(COUNTIF(D$1:D2390,D2390)=1,MAX(C$1:C2389)+1,"")</f>
        <v/>
      </c>
      <c r="D2390" s="12"/>
    </row>
    <row r="2391" spans="1:4" x14ac:dyDescent="0.25">
      <c r="A2391" t="str">
        <f>IF(COUNTIF(B$1:B2391,B2391)=1,MAX(A$1:A2390)+1,"")</f>
        <v/>
      </c>
      <c r="B2391" s="11"/>
      <c r="C2391" s="11" t="str">
        <f>IF(COUNTIF(D$1:D2391,D2391)=1,MAX(C$1:C2390)+1,"")</f>
        <v/>
      </c>
      <c r="D2391" s="12"/>
    </row>
    <row r="2392" spans="1:4" x14ac:dyDescent="0.25">
      <c r="A2392" t="str">
        <f>IF(COUNTIF(B$1:B2392,B2392)=1,MAX(A$1:A2391)+1,"")</f>
        <v/>
      </c>
      <c r="B2392" s="11"/>
      <c r="C2392" s="11" t="str">
        <f>IF(COUNTIF(D$1:D2392,D2392)=1,MAX(C$1:C2391)+1,"")</f>
        <v/>
      </c>
      <c r="D2392" s="12"/>
    </row>
    <row r="2393" spans="1:4" x14ac:dyDescent="0.25">
      <c r="A2393" t="str">
        <f>IF(COUNTIF(B$1:B2393,B2393)=1,MAX(A$1:A2392)+1,"")</f>
        <v/>
      </c>
      <c r="B2393" s="11"/>
      <c r="C2393" s="11" t="str">
        <f>IF(COUNTIF(D$1:D2393,D2393)=1,MAX(C$1:C2392)+1,"")</f>
        <v/>
      </c>
      <c r="D2393" s="12"/>
    </row>
    <row r="2394" spans="1:4" x14ac:dyDescent="0.25">
      <c r="A2394" t="str">
        <f>IF(COUNTIF(B$1:B2394,B2394)=1,MAX(A$1:A2393)+1,"")</f>
        <v/>
      </c>
      <c r="B2394" s="11"/>
      <c r="C2394" s="11" t="str">
        <f>IF(COUNTIF(D$1:D2394,D2394)=1,MAX(C$1:C2393)+1,"")</f>
        <v/>
      </c>
      <c r="D2394" s="12"/>
    </row>
    <row r="2395" spans="1:4" x14ac:dyDescent="0.25">
      <c r="A2395" t="str">
        <f>IF(COUNTIF(B$1:B2395,B2395)=1,MAX(A$1:A2394)+1,"")</f>
        <v/>
      </c>
      <c r="B2395" s="11"/>
      <c r="C2395" s="11" t="str">
        <f>IF(COUNTIF(D$1:D2395,D2395)=1,MAX(C$1:C2394)+1,"")</f>
        <v/>
      </c>
      <c r="D2395" s="12"/>
    </row>
    <row r="2396" spans="1:4" x14ac:dyDescent="0.25">
      <c r="A2396" t="str">
        <f>IF(COUNTIF(B$1:B2396,B2396)=1,MAX(A$1:A2395)+1,"")</f>
        <v/>
      </c>
      <c r="B2396" s="11"/>
      <c r="C2396" s="11" t="str">
        <f>IF(COUNTIF(D$1:D2396,D2396)=1,MAX(C$1:C2395)+1,"")</f>
        <v/>
      </c>
      <c r="D2396" s="12"/>
    </row>
    <row r="2397" spans="1:4" x14ac:dyDescent="0.25">
      <c r="A2397" t="str">
        <f>IF(COUNTIF(B$1:B2397,B2397)=1,MAX(A$1:A2396)+1,"")</f>
        <v/>
      </c>
      <c r="B2397" s="11"/>
      <c r="C2397" s="11" t="str">
        <f>IF(COUNTIF(D$1:D2397,D2397)=1,MAX(C$1:C2396)+1,"")</f>
        <v/>
      </c>
      <c r="D2397" s="12"/>
    </row>
    <row r="2398" spans="1:4" x14ac:dyDescent="0.25">
      <c r="A2398" t="str">
        <f>IF(COUNTIF(B$1:B2398,B2398)=1,MAX(A$1:A2397)+1,"")</f>
        <v/>
      </c>
      <c r="B2398" s="11"/>
      <c r="C2398" s="11" t="str">
        <f>IF(COUNTIF(D$1:D2398,D2398)=1,MAX(C$1:C2397)+1,"")</f>
        <v/>
      </c>
      <c r="D2398" s="12"/>
    </row>
    <row r="2399" spans="1:4" x14ac:dyDescent="0.25">
      <c r="A2399" t="str">
        <f>IF(COUNTIF(B$1:B2399,B2399)=1,MAX(A$1:A2398)+1,"")</f>
        <v/>
      </c>
      <c r="B2399" s="11"/>
      <c r="C2399" s="11" t="str">
        <f>IF(COUNTIF(D$1:D2399,D2399)=1,MAX(C$1:C2398)+1,"")</f>
        <v/>
      </c>
      <c r="D2399" s="12"/>
    </row>
    <row r="2400" spans="1:4" x14ac:dyDescent="0.25">
      <c r="A2400" t="str">
        <f>IF(COUNTIF(B$1:B2400,B2400)=1,MAX(A$1:A2399)+1,"")</f>
        <v/>
      </c>
      <c r="B2400" s="11"/>
      <c r="C2400" s="11" t="str">
        <f>IF(COUNTIF(D$1:D2400,D2400)=1,MAX(C$1:C2399)+1,"")</f>
        <v/>
      </c>
      <c r="D2400" s="12"/>
    </row>
    <row r="2401" spans="1:4" x14ac:dyDescent="0.25">
      <c r="A2401" t="str">
        <f>IF(COUNTIF(B$1:B2401,B2401)=1,MAX(A$1:A2400)+1,"")</f>
        <v/>
      </c>
      <c r="B2401" s="11"/>
      <c r="C2401" s="11" t="str">
        <f>IF(COUNTIF(D$1:D2401,D2401)=1,MAX(C$1:C2400)+1,"")</f>
        <v/>
      </c>
      <c r="D2401" s="12"/>
    </row>
    <row r="2402" spans="1:4" x14ac:dyDescent="0.25">
      <c r="A2402" t="str">
        <f>IF(COUNTIF(B$1:B2402,B2402)=1,MAX(A$1:A2401)+1,"")</f>
        <v/>
      </c>
      <c r="B2402" s="11"/>
      <c r="C2402" s="11" t="str">
        <f>IF(COUNTIF(D$1:D2402,D2402)=1,MAX(C$1:C2401)+1,"")</f>
        <v/>
      </c>
      <c r="D2402" s="12"/>
    </row>
    <row r="2403" spans="1:4" x14ac:dyDescent="0.25">
      <c r="A2403" t="str">
        <f>IF(COUNTIF(B$1:B2403,B2403)=1,MAX(A$1:A2402)+1,"")</f>
        <v/>
      </c>
      <c r="B2403" s="11"/>
      <c r="C2403" s="11" t="str">
        <f>IF(COUNTIF(D$1:D2403,D2403)=1,MAX(C$1:C2402)+1,"")</f>
        <v/>
      </c>
      <c r="D2403" s="12"/>
    </row>
    <row r="2404" spans="1:4" x14ac:dyDescent="0.25">
      <c r="A2404" t="str">
        <f>IF(COUNTIF(B$1:B2404,B2404)=1,MAX(A$1:A2403)+1,"")</f>
        <v/>
      </c>
      <c r="B2404" s="11"/>
      <c r="C2404" s="11" t="str">
        <f>IF(COUNTIF(D$1:D2404,D2404)=1,MAX(C$1:C2403)+1,"")</f>
        <v/>
      </c>
      <c r="D2404" s="12"/>
    </row>
    <row r="2405" spans="1:4" x14ac:dyDescent="0.25">
      <c r="A2405" t="str">
        <f>IF(COUNTIF(B$1:B2405,B2405)=1,MAX(A$1:A2404)+1,"")</f>
        <v/>
      </c>
      <c r="B2405" s="11"/>
      <c r="C2405" s="11" t="str">
        <f>IF(COUNTIF(D$1:D2405,D2405)=1,MAX(C$1:C2404)+1,"")</f>
        <v/>
      </c>
      <c r="D2405" s="12"/>
    </row>
    <row r="2406" spans="1:4" x14ac:dyDescent="0.25">
      <c r="A2406" t="str">
        <f>IF(COUNTIF(B$1:B2406,B2406)=1,MAX(A$1:A2405)+1,"")</f>
        <v/>
      </c>
      <c r="B2406" s="11"/>
      <c r="C2406" s="11" t="str">
        <f>IF(COUNTIF(D$1:D2406,D2406)=1,MAX(C$1:C2405)+1,"")</f>
        <v/>
      </c>
      <c r="D2406" s="12"/>
    </row>
    <row r="2407" spans="1:4" x14ac:dyDescent="0.25">
      <c r="A2407" t="str">
        <f>IF(COUNTIF(B$1:B2407,B2407)=1,MAX(A$1:A2406)+1,"")</f>
        <v/>
      </c>
      <c r="B2407" s="11"/>
      <c r="C2407" s="11" t="str">
        <f>IF(COUNTIF(D$1:D2407,D2407)=1,MAX(C$1:C2406)+1,"")</f>
        <v/>
      </c>
      <c r="D2407" s="12"/>
    </row>
    <row r="2408" spans="1:4" x14ac:dyDescent="0.25">
      <c r="A2408" t="str">
        <f>IF(COUNTIF(B$1:B2408,B2408)=1,MAX(A$1:A2407)+1,"")</f>
        <v/>
      </c>
      <c r="B2408" s="11"/>
      <c r="C2408" s="11" t="str">
        <f>IF(COUNTIF(D$1:D2408,D2408)=1,MAX(C$1:C2407)+1,"")</f>
        <v/>
      </c>
      <c r="D2408" s="12"/>
    </row>
    <row r="2409" spans="1:4" x14ac:dyDescent="0.25">
      <c r="A2409" t="str">
        <f>IF(COUNTIF(B$1:B2409,B2409)=1,MAX(A$1:A2408)+1,"")</f>
        <v/>
      </c>
      <c r="B2409" s="11"/>
      <c r="C2409" s="11" t="str">
        <f>IF(COUNTIF(D$1:D2409,D2409)=1,MAX(C$1:C2408)+1,"")</f>
        <v/>
      </c>
      <c r="D2409" s="12"/>
    </row>
    <row r="2410" spans="1:4" x14ac:dyDescent="0.25">
      <c r="A2410" t="str">
        <f>IF(COUNTIF(B$1:B2410,B2410)=1,MAX(A$1:A2409)+1,"")</f>
        <v/>
      </c>
      <c r="B2410" s="11"/>
      <c r="C2410" s="11" t="str">
        <f>IF(COUNTIF(D$1:D2410,D2410)=1,MAX(C$1:C2409)+1,"")</f>
        <v/>
      </c>
      <c r="D2410" s="12"/>
    </row>
    <row r="2411" spans="1:4" x14ac:dyDescent="0.25">
      <c r="A2411" t="str">
        <f>IF(COUNTIF(B$1:B2411,B2411)=1,MAX(A$1:A2410)+1,"")</f>
        <v/>
      </c>
      <c r="B2411" s="11"/>
      <c r="C2411" s="11" t="str">
        <f>IF(COUNTIF(D$1:D2411,D2411)=1,MAX(C$1:C2410)+1,"")</f>
        <v/>
      </c>
      <c r="D2411" s="12"/>
    </row>
    <row r="2412" spans="1:4" x14ac:dyDescent="0.25">
      <c r="A2412" t="str">
        <f>IF(COUNTIF(B$1:B2412,B2412)=1,MAX(A$1:A2411)+1,"")</f>
        <v/>
      </c>
      <c r="B2412" s="11"/>
      <c r="C2412" s="11" t="str">
        <f>IF(COUNTIF(D$1:D2412,D2412)=1,MAX(C$1:C2411)+1,"")</f>
        <v/>
      </c>
      <c r="D2412" s="12"/>
    </row>
    <row r="2413" spans="1:4" x14ac:dyDescent="0.25">
      <c r="A2413" t="str">
        <f>IF(COUNTIF(B$1:B2413,B2413)=1,MAX(A$1:A2412)+1,"")</f>
        <v/>
      </c>
      <c r="B2413" s="11"/>
      <c r="C2413" s="11" t="str">
        <f>IF(COUNTIF(D$1:D2413,D2413)=1,MAX(C$1:C2412)+1,"")</f>
        <v/>
      </c>
      <c r="D2413" s="12"/>
    </row>
    <row r="2414" spans="1:4" x14ac:dyDescent="0.25">
      <c r="A2414" t="str">
        <f>IF(COUNTIF(B$1:B2414,B2414)=1,MAX(A$1:A2413)+1,"")</f>
        <v/>
      </c>
      <c r="B2414" s="11"/>
      <c r="C2414" s="11" t="str">
        <f>IF(COUNTIF(D$1:D2414,D2414)=1,MAX(C$1:C2413)+1,"")</f>
        <v/>
      </c>
      <c r="D2414" s="12"/>
    </row>
    <row r="2415" spans="1:4" x14ac:dyDescent="0.25">
      <c r="A2415" t="str">
        <f>IF(COUNTIF(B$1:B2415,B2415)=1,MAX(A$1:A2414)+1,"")</f>
        <v/>
      </c>
      <c r="B2415" s="11"/>
      <c r="C2415" s="11" t="str">
        <f>IF(COUNTIF(D$1:D2415,D2415)=1,MAX(C$1:C2414)+1,"")</f>
        <v/>
      </c>
      <c r="D2415" s="12"/>
    </row>
    <row r="2416" spans="1:4" x14ac:dyDescent="0.25">
      <c r="A2416" t="str">
        <f>IF(COUNTIF(B$1:B2416,B2416)=1,MAX(A$1:A2415)+1,"")</f>
        <v/>
      </c>
      <c r="B2416" s="11"/>
      <c r="C2416" s="11" t="str">
        <f>IF(COUNTIF(D$1:D2416,D2416)=1,MAX(C$1:C2415)+1,"")</f>
        <v/>
      </c>
      <c r="D2416" s="12"/>
    </row>
    <row r="2417" spans="1:4" x14ac:dyDescent="0.25">
      <c r="A2417" t="str">
        <f>IF(COUNTIF(B$1:B2417,B2417)=1,MAX(A$1:A2416)+1,"")</f>
        <v/>
      </c>
      <c r="B2417" s="11"/>
      <c r="C2417" s="11" t="str">
        <f>IF(COUNTIF(D$1:D2417,D2417)=1,MAX(C$1:C2416)+1,"")</f>
        <v/>
      </c>
      <c r="D2417" s="12"/>
    </row>
    <row r="2418" spans="1:4" x14ac:dyDescent="0.25">
      <c r="A2418" t="str">
        <f>IF(COUNTIF(B$1:B2418,B2418)=1,MAX(A$1:A2417)+1,"")</f>
        <v/>
      </c>
      <c r="B2418" s="11"/>
      <c r="C2418" s="11" t="str">
        <f>IF(COUNTIF(D$1:D2418,D2418)=1,MAX(C$1:C2417)+1,"")</f>
        <v/>
      </c>
      <c r="D2418" s="12"/>
    </row>
    <row r="2419" spans="1:4" x14ac:dyDescent="0.25">
      <c r="A2419" t="str">
        <f>IF(COUNTIF(B$1:B2419,B2419)=1,MAX(A$1:A2418)+1,"")</f>
        <v/>
      </c>
      <c r="B2419" s="11"/>
      <c r="C2419" s="11" t="str">
        <f>IF(COUNTIF(D$1:D2419,D2419)=1,MAX(C$1:C2418)+1,"")</f>
        <v/>
      </c>
      <c r="D2419" s="12"/>
    </row>
    <row r="2420" spans="1:4" x14ac:dyDescent="0.25">
      <c r="A2420" t="str">
        <f>IF(COUNTIF(B$1:B2420,B2420)=1,MAX(A$1:A2419)+1,"")</f>
        <v/>
      </c>
      <c r="B2420" s="11"/>
      <c r="C2420" s="11" t="str">
        <f>IF(COUNTIF(D$1:D2420,D2420)=1,MAX(C$1:C2419)+1,"")</f>
        <v/>
      </c>
      <c r="D2420" s="12"/>
    </row>
    <row r="2421" spans="1:4" x14ac:dyDescent="0.25">
      <c r="A2421" t="str">
        <f>IF(COUNTIF(B$1:B2421,B2421)=1,MAX(A$1:A2420)+1,"")</f>
        <v/>
      </c>
      <c r="B2421" s="11"/>
      <c r="C2421" s="11" t="str">
        <f>IF(COUNTIF(D$1:D2421,D2421)=1,MAX(C$1:C2420)+1,"")</f>
        <v/>
      </c>
      <c r="D2421" s="12"/>
    </row>
    <row r="2422" spans="1:4" x14ac:dyDescent="0.25">
      <c r="A2422" t="str">
        <f>IF(COUNTIF(B$1:B2422,B2422)=1,MAX(A$1:A2421)+1,"")</f>
        <v/>
      </c>
      <c r="B2422" s="11"/>
      <c r="C2422" s="11" t="str">
        <f>IF(COUNTIF(D$1:D2422,D2422)=1,MAX(C$1:C2421)+1,"")</f>
        <v/>
      </c>
      <c r="D2422" s="12"/>
    </row>
    <row r="2423" spans="1:4" x14ac:dyDescent="0.25">
      <c r="A2423" t="str">
        <f>IF(COUNTIF(B$1:B2423,B2423)=1,MAX(A$1:A2422)+1,"")</f>
        <v/>
      </c>
      <c r="B2423" s="11"/>
      <c r="C2423" s="11" t="str">
        <f>IF(COUNTIF(D$1:D2423,D2423)=1,MAX(C$1:C2422)+1,"")</f>
        <v/>
      </c>
      <c r="D2423" s="12"/>
    </row>
    <row r="2424" spans="1:4" x14ac:dyDescent="0.25">
      <c r="A2424" t="str">
        <f>IF(COUNTIF(B$1:B2424,B2424)=1,MAX(A$1:A2423)+1,"")</f>
        <v/>
      </c>
      <c r="B2424" s="11"/>
      <c r="C2424" s="11" t="str">
        <f>IF(COUNTIF(D$1:D2424,D2424)=1,MAX(C$1:C2423)+1,"")</f>
        <v/>
      </c>
      <c r="D2424" s="12"/>
    </row>
    <row r="2425" spans="1:4" x14ac:dyDescent="0.25">
      <c r="A2425" t="str">
        <f>IF(COUNTIF(B$1:B2425,B2425)=1,MAX(A$1:A2424)+1,"")</f>
        <v/>
      </c>
      <c r="B2425" s="11"/>
      <c r="C2425" s="11" t="str">
        <f>IF(COUNTIF(D$1:D2425,D2425)=1,MAX(C$1:C2424)+1,"")</f>
        <v/>
      </c>
      <c r="D2425" s="12"/>
    </row>
    <row r="2426" spans="1:4" x14ac:dyDescent="0.25">
      <c r="A2426" t="str">
        <f>IF(COUNTIF(B$1:B2426,B2426)=1,MAX(A$1:A2425)+1,"")</f>
        <v/>
      </c>
      <c r="B2426" s="11"/>
      <c r="C2426" s="11" t="str">
        <f>IF(COUNTIF(D$1:D2426,D2426)=1,MAX(C$1:C2425)+1,"")</f>
        <v/>
      </c>
      <c r="D2426" s="12"/>
    </row>
    <row r="2427" spans="1:4" x14ac:dyDescent="0.25">
      <c r="A2427" t="str">
        <f>IF(COUNTIF(B$1:B2427,B2427)=1,MAX(A$1:A2426)+1,"")</f>
        <v/>
      </c>
      <c r="B2427" s="11"/>
      <c r="C2427" s="11" t="str">
        <f>IF(COUNTIF(D$1:D2427,D2427)=1,MAX(C$1:C2426)+1,"")</f>
        <v/>
      </c>
      <c r="D2427" s="12"/>
    </row>
    <row r="2428" spans="1:4" x14ac:dyDescent="0.25">
      <c r="A2428" t="str">
        <f>IF(COUNTIF(B$1:B2428,B2428)=1,MAX(A$1:A2427)+1,"")</f>
        <v/>
      </c>
      <c r="B2428" s="11"/>
      <c r="C2428" s="11" t="str">
        <f>IF(COUNTIF(D$1:D2428,D2428)=1,MAX(C$1:C2427)+1,"")</f>
        <v/>
      </c>
      <c r="D2428" s="12"/>
    </row>
    <row r="2429" spans="1:4" x14ac:dyDescent="0.25">
      <c r="A2429" t="str">
        <f>IF(COUNTIF(B$1:B2429,B2429)=1,MAX(A$1:A2428)+1,"")</f>
        <v/>
      </c>
      <c r="B2429" s="11"/>
      <c r="C2429" s="11" t="str">
        <f>IF(COUNTIF(D$1:D2429,D2429)=1,MAX(C$1:C2428)+1,"")</f>
        <v/>
      </c>
      <c r="D2429" s="12"/>
    </row>
    <row r="2430" spans="1:4" x14ac:dyDescent="0.25">
      <c r="A2430" t="str">
        <f>IF(COUNTIF(B$1:B2430,B2430)=1,MAX(A$1:A2429)+1,"")</f>
        <v/>
      </c>
      <c r="B2430" s="11"/>
      <c r="C2430" s="11" t="str">
        <f>IF(COUNTIF(D$1:D2430,D2430)=1,MAX(C$1:C2429)+1,"")</f>
        <v/>
      </c>
      <c r="D2430" s="12"/>
    </row>
    <row r="2431" spans="1:4" x14ac:dyDescent="0.25">
      <c r="A2431" t="str">
        <f>IF(COUNTIF(B$1:B2431,B2431)=1,MAX(A$1:A2430)+1,"")</f>
        <v/>
      </c>
      <c r="B2431" s="11"/>
      <c r="C2431" s="11" t="str">
        <f>IF(COUNTIF(D$1:D2431,D2431)=1,MAX(C$1:C2430)+1,"")</f>
        <v/>
      </c>
      <c r="D2431" s="12"/>
    </row>
    <row r="2432" spans="1:4" x14ac:dyDescent="0.25">
      <c r="A2432" t="str">
        <f>IF(COUNTIF(B$1:B2432,B2432)=1,MAX(A$1:A2431)+1,"")</f>
        <v/>
      </c>
      <c r="B2432" s="11"/>
      <c r="C2432" s="11" t="str">
        <f>IF(COUNTIF(D$1:D2432,D2432)=1,MAX(C$1:C2431)+1,"")</f>
        <v/>
      </c>
      <c r="D2432" s="12"/>
    </row>
    <row r="2433" spans="1:4" x14ac:dyDescent="0.25">
      <c r="A2433" t="str">
        <f>IF(COUNTIF(B$1:B2433,B2433)=1,MAX(A$1:A2432)+1,"")</f>
        <v/>
      </c>
      <c r="B2433" s="11"/>
      <c r="C2433" s="11" t="str">
        <f>IF(COUNTIF(D$1:D2433,D2433)=1,MAX(C$1:C2432)+1,"")</f>
        <v/>
      </c>
      <c r="D2433" s="12"/>
    </row>
    <row r="2434" spans="1:4" x14ac:dyDescent="0.25">
      <c r="A2434" t="str">
        <f>IF(COUNTIF(B$1:B2434,B2434)=1,MAX(A$1:A2433)+1,"")</f>
        <v/>
      </c>
      <c r="B2434" s="11"/>
      <c r="C2434" s="11" t="str">
        <f>IF(COUNTIF(D$1:D2434,D2434)=1,MAX(C$1:C2433)+1,"")</f>
        <v/>
      </c>
      <c r="D2434" s="12"/>
    </row>
    <row r="2435" spans="1:4" x14ac:dyDescent="0.25">
      <c r="A2435" t="str">
        <f>IF(COUNTIF(B$1:B2435,B2435)=1,MAX(A$1:A2434)+1,"")</f>
        <v/>
      </c>
      <c r="B2435" s="11"/>
      <c r="C2435" s="11" t="str">
        <f>IF(COUNTIF(D$1:D2435,D2435)=1,MAX(C$1:C2434)+1,"")</f>
        <v/>
      </c>
      <c r="D2435" s="12"/>
    </row>
    <row r="2436" spans="1:4" x14ac:dyDescent="0.25">
      <c r="A2436" t="str">
        <f>IF(COUNTIF(B$1:B2436,B2436)=1,MAX(A$1:A2435)+1,"")</f>
        <v/>
      </c>
      <c r="B2436" s="11"/>
      <c r="C2436" s="11" t="str">
        <f>IF(COUNTIF(D$1:D2436,D2436)=1,MAX(C$1:C2435)+1,"")</f>
        <v/>
      </c>
      <c r="D2436" s="12"/>
    </row>
    <row r="2437" spans="1:4" x14ac:dyDescent="0.25">
      <c r="A2437" t="str">
        <f>IF(COUNTIF(B$1:B2437,B2437)=1,MAX(A$1:A2436)+1,"")</f>
        <v/>
      </c>
      <c r="B2437" s="11"/>
      <c r="C2437" s="11" t="str">
        <f>IF(COUNTIF(D$1:D2437,D2437)=1,MAX(C$1:C2436)+1,"")</f>
        <v/>
      </c>
      <c r="D2437" s="12"/>
    </row>
    <row r="2438" spans="1:4" x14ac:dyDescent="0.25">
      <c r="A2438" t="str">
        <f>IF(COUNTIF(B$1:B2438,B2438)=1,MAX(A$1:A2437)+1,"")</f>
        <v/>
      </c>
      <c r="B2438" s="11"/>
      <c r="C2438" s="11" t="str">
        <f>IF(COUNTIF(D$1:D2438,D2438)=1,MAX(C$1:C2437)+1,"")</f>
        <v/>
      </c>
      <c r="D2438" s="12"/>
    </row>
    <row r="2439" spans="1:4" x14ac:dyDescent="0.25">
      <c r="A2439" t="str">
        <f>IF(COUNTIF(B$1:B2439,B2439)=1,MAX(A$1:A2438)+1,"")</f>
        <v/>
      </c>
      <c r="B2439" s="11"/>
      <c r="C2439" s="11" t="str">
        <f>IF(COUNTIF(D$1:D2439,D2439)=1,MAX(C$1:C2438)+1,"")</f>
        <v/>
      </c>
      <c r="D2439" s="12"/>
    </row>
    <row r="2440" spans="1:4" x14ac:dyDescent="0.25">
      <c r="A2440" t="str">
        <f>IF(COUNTIF(B$1:B2440,B2440)=1,MAX(A$1:A2439)+1,"")</f>
        <v/>
      </c>
      <c r="B2440" s="11"/>
      <c r="C2440" s="11" t="str">
        <f>IF(COUNTIF(D$1:D2440,D2440)=1,MAX(C$1:C2439)+1,"")</f>
        <v/>
      </c>
      <c r="D2440" s="12"/>
    </row>
    <row r="2441" spans="1:4" x14ac:dyDescent="0.25">
      <c r="A2441" t="str">
        <f>IF(COUNTIF(B$1:B2441,B2441)=1,MAX(A$1:A2440)+1,"")</f>
        <v/>
      </c>
      <c r="B2441" s="11"/>
      <c r="C2441" s="11" t="str">
        <f>IF(COUNTIF(D$1:D2441,D2441)=1,MAX(C$1:C2440)+1,"")</f>
        <v/>
      </c>
      <c r="D2441" s="12"/>
    </row>
    <row r="2442" spans="1:4" x14ac:dyDescent="0.25">
      <c r="A2442" t="str">
        <f>IF(COUNTIF(B$1:B2442,B2442)=1,MAX(A$1:A2441)+1,"")</f>
        <v/>
      </c>
      <c r="B2442" s="11"/>
      <c r="C2442" s="11" t="str">
        <f>IF(COUNTIF(D$1:D2442,D2442)=1,MAX(C$1:C2441)+1,"")</f>
        <v/>
      </c>
      <c r="D2442" s="12"/>
    </row>
    <row r="2443" spans="1:4" x14ac:dyDescent="0.25">
      <c r="A2443" t="str">
        <f>IF(COUNTIF(B$1:B2443,B2443)=1,MAX(A$1:A2442)+1,"")</f>
        <v/>
      </c>
      <c r="B2443" s="11"/>
      <c r="C2443" s="11" t="str">
        <f>IF(COUNTIF(D$1:D2443,D2443)=1,MAX(C$1:C2442)+1,"")</f>
        <v/>
      </c>
      <c r="D2443" s="12"/>
    </row>
    <row r="2444" spans="1:4" x14ac:dyDescent="0.25">
      <c r="A2444" t="str">
        <f>IF(COUNTIF(B$1:B2444,B2444)=1,MAX(A$1:A2443)+1,"")</f>
        <v/>
      </c>
      <c r="B2444" s="11"/>
      <c r="C2444" s="11" t="str">
        <f>IF(COUNTIF(D$1:D2444,D2444)=1,MAX(C$1:C2443)+1,"")</f>
        <v/>
      </c>
      <c r="D2444" s="12"/>
    </row>
    <row r="2445" spans="1:4" x14ac:dyDescent="0.25">
      <c r="A2445" t="str">
        <f>IF(COUNTIF(B$1:B2445,B2445)=1,MAX(A$1:A2444)+1,"")</f>
        <v/>
      </c>
      <c r="B2445" s="11"/>
      <c r="C2445" s="11" t="str">
        <f>IF(COUNTIF(D$1:D2445,D2445)=1,MAX(C$1:C2444)+1,"")</f>
        <v/>
      </c>
      <c r="D2445" s="12"/>
    </row>
    <row r="2446" spans="1:4" x14ac:dyDescent="0.25">
      <c r="A2446" t="str">
        <f>IF(COUNTIF(B$1:B2446,B2446)=1,MAX(A$1:A2445)+1,"")</f>
        <v/>
      </c>
      <c r="B2446" s="11"/>
      <c r="C2446" s="11" t="str">
        <f>IF(COUNTIF(D$1:D2446,D2446)=1,MAX(C$1:C2445)+1,"")</f>
        <v/>
      </c>
      <c r="D2446" s="12"/>
    </row>
    <row r="2447" spans="1:4" x14ac:dyDescent="0.25">
      <c r="A2447" t="str">
        <f>IF(COUNTIF(B$1:B2447,B2447)=1,MAX(A$1:A2446)+1,"")</f>
        <v/>
      </c>
      <c r="B2447" s="11"/>
      <c r="C2447" s="11" t="str">
        <f>IF(COUNTIF(D$1:D2447,D2447)=1,MAX(C$1:C2446)+1,"")</f>
        <v/>
      </c>
      <c r="D2447" s="12"/>
    </row>
    <row r="2448" spans="1:4" x14ac:dyDescent="0.25">
      <c r="A2448" t="str">
        <f>IF(COUNTIF(B$1:B2448,B2448)=1,MAX(A$1:A2447)+1,"")</f>
        <v/>
      </c>
      <c r="B2448" s="11"/>
      <c r="C2448" s="11" t="str">
        <f>IF(COUNTIF(D$1:D2448,D2448)=1,MAX(C$1:C2447)+1,"")</f>
        <v/>
      </c>
      <c r="D2448" s="12"/>
    </row>
    <row r="2449" spans="1:4" x14ac:dyDescent="0.25">
      <c r="A2449" t="str">
        <f>IF(COUNTIF(B$1:B2449,B2449)=1,MAX(A$1:A2448)+1,"")</f>
        <v/>
      </c>
      <c r="B2449" s="11"/>
      <c r="C2449" s="11" t="str">
        <f>IF(COUNTIF(D$1:D2449,D2449)=1,MAX(C$1:C2448)+1,"")</f>
        <v/>
      </c>
      <c r="D2449" s="12"/>
    </row>
    <row r="2450" spans="1:4" x14ac:dyDescent="0.25">
      <c r="A2450" t="str">
        <f>IF(COUNTIF(B$1:B2450,B2450)=1,MAX(A$1:A2449)+1,"")</f>
        <v/>
      </c>
      <c r="B2450" s="11"/>
      <c r="C2450" s="11" t="str">
        <f>IF(COUNTIF(D$1:D2450,D2450)=1,MAX(C$1:C2449)+1,"")</f>
        <v/>
      </c>
      <c r="D2450" s="12"/>
    </row>
    <row r="2451" spans="1:4" x14ac:dyDescent="0.25">
      <c r="A2451" t="str">
        <f>IF(COUNTIF(B$1:B2451,B2451)=1,MAX(A$1:A2450)+1,"")</f>
        <v/>
      </c>
      <c r="B2451" s="11"/>
      <c r="C2451" s="11" t="str">
        <f>IF(COUNTIF(D$1:D2451,D2451)=1,MAX(C$1:C2450)+1,"")</f>
        <v/>
      </c>
      <c r="D2451" s="12"/>
    </row>
    <row r="2452" spans="1:4" x14ac:dyDescent="0.25">
      <c r="A2452" t="str">
        <f>IF(COUNTIF(B$1:B2452,B2452)=1,MAX(A$1:A2451)+1,"")</f>
        <v/>
      </c>
      <c r="B2452" s="11"/>
      <c r="C2452" s="11" t="str">
        <f>IF(COUNTIF(D$1:D2452,D2452)=1,MAX(C$1:C2451)+1,"")</f>
        <v/>
      </c>
      <c r="D2452" s="12"/>
    </row>
    <row r="2453" spans="1:4" x14ac:dyDescent="0.25">
      <c r="A2453" t="str">
        <f>IF(COUNTIF(B$1:B2453,B2453)=1,MAX(A$1:A2452)+1,"")</f>
        <v/>
      </c>
      <c r="B2453" s="11"/>
      <c r="C2453" s="11" t="str">
        <f>IF(COUNTIF(D$1:D2453,D2453)=1,MAX(C$1:C2452)+1,"")</f>
        <v/>
      </c>
      <c r="D2453" s="12"/>
    </row>
    <row r="2454" spans="1:4" x14ac:dyDescent="0.25">
      <c r="A2454" t="str">
        <f>IF(COUNTIF(B$1:B2454,B2454)=1,MAX(A$1:A2453)+1,"")</f>
        <v/>
      </c>
      <c r="B2454" s="11"/>
      <c r="C2454" s="11" t="str">
        <f>IF(COUNTIF(D$1:D2454,D2454)=1,MAX(C$1:C2453)+1,"")</f>
        <v/>
      </c>
      <c r="D2454" s="12"/>
    </row>
    <row r="2455" spans="1:4" x14ac:dyDescent="0.25">
      <c r="A2455" t="str">
        <f>IF(COUNTIF(B$1:B2455,B2455)=1,MAX(A$1:A2454)+1,"")</f>
        <v/>
      </c>
      <c r="B2455" s="11"/>
      <c r="C2455" s="11" t="str">
        <f>IF(COUNTIF(D$1:D2455,D2455)=1,MAX(C$1:C2454)+1,"")</f>
        <v/>
      </c>
      <c r="D2455" s="12"/>
    </row>
    <row r="2456" spans="1:4" x14ac:dyDescent="0.25">
      <c r="A2456" t="str">
        <f>IF(COUNTIF(B$1:B2456,B2456)=1,MAX(A$1:A2455)+1,"")</f>
        <v/>
      </c>
      <c r="B2456" s="11"/>
      <c r="C2456" s="11" t="str">
        <f>IF(COUNTIF(D$1:D2456,D2456)=1,MAX(C$1:C2455)+1,"")</f>
        <v/>
      </c>
      <c r="D2456" s="12"/>
    </row>
    <row r="2457" spans="1:4" x14ac:dyDescent="0.25">
      <c r="A2457" t="str">
        <f>IF(COUNTIF(B$1:B2457,B2457)=1,MAX(A$1:A2456)+1,"")</f>
        <v/>
      </c>
      <c r="B2457" s="11"/>
      <c r="C2457" s="11" t="str">
        <f>IF(COUNTIF(D$1:D2457,D2457)=1,MAX(C$1:C2456)+1,"")</f>
        <v/>
      </c>
      <c r="D2457" s="12"/>
    </row>
    <row r="2458" spans="1:4" x14ac:dyDescent="0.25">
      <c r="A2458" t="str">
        <f>IF(COUNTIF(B$1:B2458,B2458)=1,MAX(A$1:A2457)+1,"")</f>
        <v/>
      </c>
      <c r="B2458" s="11"/>
      <c r="C2458" s="11" t="str">
        <f>IF(COUNTIF(D$1:D2458,D2458)=1,MAX(C$1:C2457)+1,"")</f>
        <v/>
      </c>
      <c r="D2458" s="12"/>
    </row>
    <row r="2459" spans="1:4" x14ac:dyDescent="0.25">
      <c r="A2459" t="str">
        <f>IF(COUNTIF(B$1:B2459,B2459)=1,MAX(A$1:A2458)+1,"")</f>
        <v/>
      </c>
      <c r="B2459" s="11"/>
      <c r="C2459" s="11" t="str">
        <f>IF(COUNTIF(D$1:D2459,D2459)=1,MAX(C$1:C2458)+1,"")</f>
        <v/>
      </c>
      <c r="D2459" s="12"/>
    </row>
    <row r="2460" spans="1:4" x14ac:dyDescent="0.25">
      <c r="A2460" t="str">
        <f>IF(COUNTIF(B$1:B2460,B2460)=1,MAX(A$1:A2459)+1,"")</f>
        <v/>
      </c>
      <c r="B2460" s="11"/>
      <c r="C2460" s="11" t="str">
        <f>IF(COUNTIF(D$1:D2460,D2460)=1,MAX(C$1:C2459)+1,"")</f>
        <v/>
      </c>
      <c r="D2460" s="12"/>
    </row>
    <row r="2461" spans="1:4" x14ac:dyDescent="0.25">
      <c r="A2461" t="str">
        <f>IF(COUNTIF(B$1:B2461,B2461)=1,MAX(A$1:A2460)+1,"")</f>
        <v/>
      </c>
      <c r="B2461" s="11"/>
      <c r="C2461" s="11" t="str">
        <f>IF(COUNTIF(D$1:D2461,D2461)=1,MAX(C$1:C2460)+1,"")</f>
        <v/>
      </c>
      <c r="D2461" s="12"/>
    </row>
    <row r="2462" spans="1:4" x14ac:dyDescent="0.25">
      <c r="A2462" t="str">
        <f>IF(COUNTIF(B$1:B2462,B2462)=1,MAX(A$1:A2461)+1,"")</f>
        <v/>
      </c>
      <c r="B2462" s="11"/>
      <c r="C2462" s="11" t="str">
        <f>IF(COUNTIF(D$1:D2462,D2462)=1,MAX(C$1:C2461)+1,"")</f>
        <v/>
      </c>
      <c r="D2462" s="12"/>
    </row>
    <row r="2463" spans="1:4" x14ac:dyDescent="0.25">
      <c r="A2463" t="str">
        <f>IF(COUNTIF(B$1:B2463,B2463)=1,MAX(A$1:A2462)+1,"")</f>
        <v/>
      </c>
      <c r="B2463" s="11"/>
      <c r="C2463" s="11" t="str">
        <f>IF(COUNTIF(D$1:D2463,D2463)=1,MAX(C$1:C2462)+1,"")</f>
        <v/>
      </c>
      <c r="D2463" s="12"/>
    </row>
    <row r="2464" spans="1:4" x14ac:dyDescent="0.25">
      <c r="A2464" t="str">
        <f>IF(COUNTIF(B$1:B2464,B2464)=1,MAX(A$1:A2463)+1,"")</f>
        <v/>
      </c>
      <c r="B2464" s="11"/>
      <c r="C2464" s="11" t="str">
        <f>IF(COUNTIF(D$1:D2464,D2464)=1,MAX(C$1:C2463)+1,"")</f>
        <v/>
      </c>
      <c r="D2464" s="12"/>
    </row>
    <row r="2465" spans="1:4" x14ac:dyDescent="0.25">
      <c r="A2465" t="str">
        <f>IF(COUNTIF(B$1:B2465,B2465)=1,MAX(A$1:A2464)+1,"")</f>
        <v/>
      </c>
      <c r="B2465" s="11"/>
      <c r="C2465" s="11" t="str">
        <f>IF(COUNTIF(D$1:D2465,D2465)=1,MAX(C$1:C2464)+1,"")</f>
        <v/>
      </c>
      <c r="D2465" s="12"/>
    </row>
    <row r="2466" spans="1:4" x14ac:dyDescent="0.25">
      <c r="A2466" t="str">
        <f>IF(COUNTIF(B$1:B2466,B2466)=1,MAX(A$1:A2465)+1,"")</f>
        <v/>
      </c>
      <c r="B2466" s="11"/>
      <c r="C2466" s="11" t="str">
        <f>IF(COUNTIF(D$1:D2466,D2466)=1,MAX(C$1:C2465)+1,"")</f>
        <v/>
      </c>
      <c r="D2466" s="12"/>
    </row>
    <row r="2467" spans="1:4" x14ac:dyDescent="0.25">
      <c r="A2467" t="str">
        <f>IF(COUNTIF(B$1:B2467,B2467)=1,MAX(A$1:A2466)+1,"")</f>
        <v/>
      </c>
      <c r="B2467" s="11"/>
      <c r="C2467" s="11" t="str">
        <f>IF(COUNTIF(D$1:D2467,D2467)=1,MAX(C$1:C2466)+1,"")</f>
        <v/>
      </c>
      <c r="D2467" s="12"/>
    </row>
    <row r="2468" spans="1:4" x14ac:dyDescent="0.25">
      <c r="A2468" t="str">
        <f>IF(COUNTIF(B$1:B2468,B2468)=1,MAX(A$1:A2467)+1,"")</f>
        <v/>
      </c>
      <c r="B2468" s="11"/>
      <c r="C2468" s="11" t="str">
        <f>IF(COUNTIF(D$1:D2468,D2468)=1,MAX(C$1:C2467)+1,"")</f>
        <v/>
      </c>
      <c r="D2468" s="12"/>
    </row>
    <row r="2469" spans="1:4" x14ac:dyDescent="0.25">
      <c r="A2469" t="str">
        <f>IF(COUNTIF(B$1:B2469,B2469)=1,MAX(A$1:A2468)+1,"")</f>
        <v/>
      </c>
      <c r="B2469" s="11"/>
      <c r="C2469" s="11" t="str">
        <f>IF(COUNTIF(D$1:D2469,D2469)=1,MAX(C$1:C2468)+1,"")</f>
        <v/>
      </c>
      <c r="D2469" s="12"/>
    </row>
    <row r="2470" spans="1:4" x14ac:dyDescent="0.25">
      <c r="A2470" t="str">
        <f>IF(COUNTIF(B$1:B2470,B2470)=1,MAX(A$1:A2469)+1,"")</f>
        <v/>
      </c>
      <c r="B2470" s="11"/>
      <c r="C2470" s="11" t="str">
        <f>IF(COUNTIF(D$1:D2470,D2470)=1,MAX(C$1:C2469)+1,"")</f>
        <v/>
      </c>
      <c r="D2470" s="12"/>
    </row>
    <row r="2471" spans="1:4" x14ac:dyDescent="0.25">
      <c r="A2471" t="str">
        <f>IF(COUNTIF(B$1:B2471,B2471)=1,MAX(A$1:A2470)+1,"")</f>
        <v/>
      </c>
      <c r="B2471" s="11"/>
      <c r="C2471" s="11" t="str">
        <f>IF(COUNTIF(D$1:D2471,D2471)=1,MAX(C$1:C2470)+1,"")</f>
        <v/>
      </c>
      <c r="D2471" s="12"/>
    </row>
    <row r="2472" spans="1:4" x14ac:dyDescent="0.25">
      <c r="A2472" t="str">
        <f>IF(COUNTIF(B$1:B2472,B2472)=1,MAX(A$1:A2471)+1,"")</f>
        <v/>
      </c>
      <c r="B2472" s="11"/>
      <c r="C2472" s="11" t="str">
        <f>IF(COUNTIF(D$1:D2472,D2472)=1,MAX(C$1:C2471)+1,"")</f>
        <v/>
      </c>
      <c r="D2472" s="12"/>
    </row>
    <row r="2473" spans="1:4" x14ac:dyDescent="0.25">
      <c r="A2473" t="str">
        <f>IF(COUNTIF(B$1:B2473,B2473)=1,MAX(A$1:A2472)+1,"")</f>
        <v/>
      </c>
      <c r="B2473" s="11"/>
      <c r="C2473" s="11" t="str">
        <f>IF(COUNTIF(D$1:D2473,D2473)=1,MAX(C$1:C2472)+1,"")</f>
        <v/>
      </c>
      <c r="D2473" s="12"/>
    </row>
    <row r="2474" spans="1:4" x14ac:dyDescent="0.25">
      <c r="A2474" t="str">
        <f>IF(COUNTIF(B$1:B2474,B2474)=1,MAX(A$1:A2473)+1,"")</f>
        <v/>
      </c>
      <c r="B2474" s="11"/>
      <c r="C2474" s="11" t="str">
        <f>IF(COUNTIF(D$1:D2474,D2474)=1,MAX(C$1:C2473)+1,"")</f>
        <v/>
      </c>
      <c r="D2474" s="12"/>
    </row>
    <row r="2475" spans="1:4" x14ac:dyDescent="0.25">
      <c r="A2475" t="str">
        <f>IF(COUNTIF(B$1:B2475,B2475)=1,MAX(A$1:A2474)+1,"")</f>
        <v/>
      </c>
      <c r="B2475" s="11"/>
      <c r="C2475" s="11" t="str">
        <f>IF(COUNTIF(D$1:D2475,D2475)=1,MAX(C$1:C2474)+1,"")</f>
        <v/>
      </c>
      <c r="D2475" s="12"/>
    </row>
    <row r="2476" spans="1:4" x14ac:dyDescent="0.25">
      <c r="A2476" t="str">
        <f>IF(COUNTIF(B$1:B2476,B2476)=1,MAX(A$1:A2475)+1,"")</f>
        <v/>
      </c>
      <c r="B2476" s="11"/>
      <c r="C2476" s="11" t="str">
        <f>IF(COUNTIF(D$1:D2476,D2476)=1,MAX(C$1:C2475)+1,"")</f>
        <v/>
      </c>
      <c r="D2476" s="12"/>
    </row>
    <row r="2477" spans="1:4" x14ac:dyDescent="0.25">
      <c r="A2477" t="str">
        <f>IF(COUNTIF(B$1:B2477,B2477)=1,MAX(A$1:A2476)+1,"")</f>
        <v/>
      </c>
      <c r="B2477" s="11"/>
      <c r="C2477" s="11" t="str">
        <f>IF(COUNTIF(D$1:D2477,D2477)=1,MAX(C$1:C2476)+1,"")</f>
        <v/>
      </c>
      <c r="D2477" s="12"/>
    </row>
    <row r="2478" spans="1:4" x14ac:dyDescent="0.25">
      <c r="A2478" t="str">
        <f>IF(COUNTIF(B$1:B2478,B2478)=1,MAX(A$1:A2477)+1,"")</f>
        <v/>
      </c>
      <c r="B2478" s="11"/>
      <c r="C2478" s="11" t="str">
        <f>IF(COUNTIF(D$1:D2478,D2478)=1,MAX(C$1:C2477)+1,"")</f>
        <v/>
      </c>
      <c r="D2478" s="12"/>
    </row>
    <row r="2479" spans="1:4" x14ac:dyDescent="0.25">
      <c r="A2479" t="str">
        <f>IF(COUNTIF(B$1:B2479,B2479)=1,MAX(A$1:A2478)+1,"")</f>
        <v/>
      </c>
      <c r="B2479" s="11"/>
      <c r="C2479" s="11" t="str">
        <f>IF(COUNTIF(D$1:D2479,D2479)=1,MAX(C$1:C2478)+1,"")</f>
        <v/>
      </c>
      <c r="D2479" s="12"/>
    </row>
    <row r="2480" spans="1:4" x14ac:dyDescent="0.25">
      <c r="A2480" t="str">
        <f>IF(COUNTIF(B$1:B2480,B2480)=1,MAX(A$1:A2479)+1,"")</f>
        <v/>
      </c>
      <c r="B2480" s="11"/>
      <c r="C2480" s="11" t="str">
        <f>IF(COUNTIF(D$1:D2480,D2480)=1,MAX(C$1:C2479)+1,"")</f>
        <v/>
      </c>
      <c r="D2480" s="12"/>
    </row>
    <row r="2481" spans="1:4" x14ac:dyDescent="0.25">
      <c r="A2481" t="str">
        <f>IF(COUNTIF(B$1:B2481,B2481)=1,MAX(A$1:A2480)+1,"")</f>
        <v/>
      </c>
      <c r="B2481" s="11"/>
      <c r="C2481" s="11" t="str">
        <f>IF(COUNTIF(D$1:D2481,D2481)=1,MAX(C$1:C2480)+1,"")</f>
        <v/>
      </c>
      <c r="D2481" s="12"/>
    </row>
    <row r="2482" spans="1:4" x14ac:dyDescent="0.25">
      <c r="A2482" t="str">
        <f>IF(COUNTIF(B$1:B2482,B2482)=1,MAX(A$1:A2481)+1,"")</f>
        <v/>
      </c>
      <c r="B2482" s="11"/>
      <c r="C2482" s="11" t="str">
        <f>IF(COUNTIF(D$1:D2482,D2482)=1,MAX(C$1:C2481)+1,"")</f>
        <v/>
      </c>
      <c r="D2482" s="12"/>
    </row>
    <row r="2483" spans="1:4" x14ac:dyDescent="0.25">
      <c r="A2483" t="str">
        <f>IF(COUNTIF(B$1:B2483,B2483)=1,MAX(A$1:A2482)+1,"")</f>
        <v/>
      </c>
      <c r="B2483" s="11"/>
      <c r="C2483" s="11" t="str">
        <f>IF(COUNTIF(D$1:D2483,D2483)=1,MAX(C$1:C2482)+1,"")</f>
        <v/>
      </c>
      <c r="D2483" s="12"/>
    </row>
    <row r="2484" spans="1:4" x14ac:dyDescent="0.25">
      <c r="A2484" t="str">
        <f>IF(COUNTIF(B$1:B2484,B2484)=1,MAX(A$1:A2483)+1,"")</f>
        <v/>
      </c>
      <c r="B2484" s="11"/>
      <c r="C2484" s="11" t="str">
        <f>IF(COUNTIF(D$1:D2484,D2484)=1,MAX(C$1:C2483)+1,"")</f>
        <v/>
      </c>
      <c r="D2484" s="12"/>
    </row>
    <row r="2485" spans="1:4" x14ac:dyDescent="0.25">
      <c r="A2485" t="str">
        <f>IF(COUNTIF(B$1:B2485,B2485)=1,MAX(A$1:A2484)+1,"")</f>
        <v/>
      </c>
      <c r="B2485" s="11"/>
      <c r="C2485" s="11" t="str">
        <f>IF(COUNTIF(D$1:D2485,D2485)=1,MAX(C$1:C2484)+1,"")</f>
        <v/>
      </c>
      <c r="D2485" s="12"/>
    </row>
    <row r="2486" spans="1:4" x14ac:dyDescent="0.25">
      <c r="A2486" t="str">
        <f>IF(COUNTIF(B$1:B2486,B2486)=1,MAX(A$1:A2485)+1,"")</f>
        <v/>
      </c>
      <c r="B2486" s="11"/>
      <c r="C2486" s="11" t="str">
        <f>IF(COUNTIF(D$1:D2486,D2486)=1,MAX(C$1:C2485)+1,"")</f>
        <v/>
      </c>
      <c r="D2486" s="12"/>
    </row>
    <row r="2487" spans="1:4" x14ac:dyDescent="0.25">
      <c r="A2487" t="str">
        <f>IF(COUNTIF(B$1:B2487,B2487)=1,MAX(A$1:A2486)+1,"")</f>
        <v/>
      </c>
      <c r="B2487" s="11"/>
      <c r="C2487" s="11" t="str">
        <f>IF(COUNTIF(D$1:D2487,D2487)=1,MAX(C$1:C2486)+1,"")</f>
        <v/>
      </c>
      <c r="D2487" s="12"/>
    </row>
    <row r="2488" spans="1:4" x14ac:dyDescent="0.25">
      <c r="A2488" t="str">
        <f>IF(COUNTIF(B$1:B2488,B2488)=1,MAX(A$1:A2487)+1,"")</f>
        <v/>
      </c>
      <c r="B2488" s="11"/>
      <c r="C2488" s="11" t="str">
        <f>IF(COUNTIF(D$1:D2488,D2488)=1,MAX(C$1:C2487)+1,"")</f>
        <v/>
      </c>
      <c r="D2488" s="12"/>
    </row>
    <row r="2489" spans="1:4" x14ac:dyDescent="0.25">
      <c r="A2489" t="str">
        <f>IF(COUNTIF(B$1:B2489,B2489)=1,MAX(A$1:A2488)+1,"")</f>
        <v/>
      </c>
      <c r="B2489" s="11"/>
      <c r="C2489" s="11" t="str">
        <f>IF(COUNTIF(D$1:D2489,D2489)=1,MAX(C$1:C2488)+1,"")</f>
        <v/>
      </c>
      <c r="D2489" s="12"/>
    </row>
    <row r="2490" spans="1:4" x14ac:dyDescent="0.25">
      <c r="A2490" t="str">
        <f>IF(COUNTIF(B$1:B2490,B2490)=1,MAX(A$1:A2489)+1,"")</f>
        <v/>
      </c>
      <c r="B2490" s="11"/>
      <c r="C2490" s="11" t="str">
        <f>IF(COUNTIF(D$1:D2490,D2490)=1,MAX(C$1:C2489)+1,"")</f>
        <v/>
      </c>
      <c r="D2490" s="12"/>
    </row>
    <row r="2491" spans="1:4" x14ac:dyDescent="0.25">
      <c r="A2491" t="str">
        <f>IF(COUNTIF(B$1:B2491,B2491)=1,MAX(A$1:A2490)+1,"")</f>
        <v/>
      </c>
      <c r="B2491" s="11"/>
      <c r="C2491" s="11" t="str">
        <f>IF(COUNTIF(D$1:D2491,D2491)=1,MAX(C$1:C2490)+1,"")</f>
        <v/>
      </c>
      <c r="D2491" s="12"/>
    </row>
    <row r="2492" spans="1:4" x14ac:dyDescent="0.25">
      <c r="A2492" t="str">
        <f>IF(COUNTIF(B$1:B2492,B2492)=1,MAX(A$1:A2491)+1,"")</f>
        <v/>
      </c>
      <c r="B2492" s="11"/>
      <c r="C2492" s="11" t="str">
        <f>IF(COUNTIF(D$1:D2492,D2492)=1,MAX(C$1:C2491)+1,"")</f>
        <v/>
      </c>
      <c r="D2492" s="12"/>
    </row>
    <row r="2493" spans="1:4" x14ac:dyDescent="0.25">
      <c r="A2493" t="str">
        <f>IF(COUNTIF(B$1:B2493,B2493)=1,MAX(A$1:A2492)+1,"")</f>
        <v/>
      </c>
      <c r="B2493" s="11"/>
      <c r="C2493" s="11" t="str">
        <f>IF(COUNTIF(D$1:D2493,D2493)=1,MAX(C$1:C2492)+1,"")</f>
        <v/>
      </c>
      <c r="D2493" s="12"/>
    </row>
    <row r="2494" spans="1:4" x14ac:dyDescent="0.25">
      <c r="A2494" t="str">
        <f>IF(COUNTIF(B$1:B2494,B2494)=1,MAX(A$1:A2493)+1,"")</f>
        <v/>
      </c>
      <c r="B2494" s="11"/>
      <c r="C2494" s="11" t="str">
        <f>IF(COUNTIF(D$1:D2494,D2494)=1,MAX(C$1:C2493)+1,"")</f>
        <v/>
      </c>
      <c r="D2494" s="12"/>
    </row>
    <row r="2495" spans="1:4" x14ac:dyDescent="0.25">
      <c r="A2495" t="str">
        <f>IF(COUNTIF(B$1:B2495,B2495)=1,MAX(A$1:A2494)+1,"")</f>
        <v/>
      </c>
      <c r="B2495" s="11"/>
      <c r="C2495" s="11" t="str">
        <f>IF(COUNTIF(D$1:D2495,D2495)=1,MAX(C$1:C2494)+1,"")</f>
        <v/>
      </c>
      <c r="D2495" s="12"/>
    </row>
    <row r="2496" spans="1:4" x14ac:dyDescent="0.25">
      <c r="A2496" t="str">
        <f>IF(COUNTIF(B$1:B2496,B2496)=1,MAX(A$1:A2495)+1,"")</f>
        <v/>
      </c>
      <c r="B2496" s="11"/>
      <c r="C2496" s="11" t="str">
        <f>IF(COUNTIF(D$1:D2496,D2496)=1,MAX(C$1:C2495)+1,"")</f>
        <v/>
      </c>
      <c r="D2496" s="12"/>
    </row>
    <row r="2497" spans="1:4" x14ac:dyDescent="0.25">
      <c r="A2497" t="str">
        <f>IF(COUNTIF(B$1:B2497,B2497)=1,MAX(A$1:A2496)+1,"")</f>
        <v/>
      </c>
      <c r="B2497" s="11"/>
      <c r="C2497" s="11" t="str">
        <f>IF(COUNTIF(D$1:D2497,D2497)=1,MAX(C$1:C2496)+1,"")</f>
        <v/>
      </c>
      <c r="D2497" s="12"/>
    </row>
    <row r="2498" spans="1:4" x14ac:dyDescent="0.25">
      <c r="A2498" t="str">
        <f>IF(COUNTIF(B$1:B2498,B2498)=1,MAX(A$1:A2497)+1,"")</f>
        <v/>
      </c>
      <c r="B2498" s="11"/>
      <c r="C2498" s="11" t="str">
        <f>IF(COUNTIF(D$1:D2498,D2498)=1,MAX(C$1:C2497)+1,"")</f>
        <v/>
      </c>
      <c r="D2498" s="12"/>
    </row>
    <row r="2499" spans="1:4" x14ac:dyDescent="0.25">
      <c r="A2499" t="str">
        <f>IF(COUNTIF(B$1:B2499,B2499)=1,MAX(A$1:A2498)+1,"")</f>
        <v/>
      </c>
      <c r="B2499" s="11"/>
      <c r="C2499" s="11" t="str">
        <f>IF(COUNTIF(D$1:D2499,D2499)=1,MAX(C$1:C2498)+1,"")</f>
        <v/>
      </c>
      <c r="D2499" s="12"/>
    </row>
    <row r="2500" spans="1:4" x14ac:dyDescent="0.25">
      <c r="A2500" t="str">
        <f>IF(COUNTIF(B$1:B2500,B2500)=1,MAX(A$1:A2499)+1,"")</f>
        <v/>
      </c>
      <c r="B2500" s="11"/>
      <c r="C2500" s="11" t="str">
        <f>IF(COUNTIF(D$1:D2500,D2500)=1,MAX(C$1:C2499)+1,"")</f>
        <v/>
      </c>
      <c r="D2500" s="12"/>
    </row>
    <row r="2501" spans="1:4" x14ac:dyDescent="0.25">
      <c r="A2501" t="str">
        <f>IF(COUNTIF(B$1:B2501,B2501)=1,MAX(A$1:A2500)+1,"")</f>
        <v/>
      </c>
      <c r="B2501" s="11"/>
      <c r="C2501" s="11" t="str">
        <f>IF(COUNTIF(D$1:D2501,D2501)=1,MAX(C$1:C2500)+1,"")</f>
        <v/>
      </c>
      <c r="D2501" s="12"/>
    </row>
    <row r="2502" spans="1:4" x14ac:dyDescent="0.25">
      <c r="A2502" t="str">
        <f>IF(COUNTIF(B$1:B2502,B2502)=1,MAX(A$1:A2501)+1,"")</f>
        <v/>
      </c>
      <c r="B2502" s="11"/>
      <c r="C2502" s="11" t="str">
        <f>IF(COUNTIF(D$1:D2502,D2502)=1,MAX(C$1:C2501)+1,"")</f>
        <v/>
      </c>
      <c r="D2502" s="12"/>
    </row>
    <row r="2503" spans="1:4" x14ac:dyDescent="0.25">
      <c r="A2503" t="str">
        <f>IF(COUNTIF(B$1:B2503,B2503)=1,MAX(A$1:A2502)+1,"")</f>
        <v/>
      </c>
      <c r="B2503" s="11"/>
      <c r="C2503" s="11" t="str">
        <f>IF(COUNTIF(D$1:D2503,D2503)=1,MAX(C$1:C2502)+1,"")</f>
        <v/>
      </c>
      <c r="D2503" s="12"/>
    </row>
    <row r="2504" spans="1:4" x14ac:dyDescent="0.25">
      <c r="A2504" t="str">
        <f>IF(COUNTIF(B$1:B2504,B2504)=1,MAX(A$1:A2503)+1,"")</f>
        <v/>
      </c>
      <c r="B2504" s="11"/>
      <c r="C2504" s="11" t="str">
        <f>IF(COUNTIF(D$1:D2504,D2504)=1,MAX(C$1:C2503)+1,"")</f>
        <v/>
      </c>
      <c r="D2504" s="12"/>
    </row>
    <row r="2505" spans="1:4" x14ac:dyDescent="0.25">
      <c r="A2505" t="str">
        <f>IF(COUNTIF(B$1:B2505,B2505)=1,MAX(A$1:A2504)+1,"")</f>
        <v/>
      </c>
      <c r="B2505" s="11"/>
      <c r="C2505" s="11" t="str">
        <f>IF(COUNTIF(D$1:D2505,D2505)=1,MAX(C$1:C2504)+1,"")</f>
        <v/>
      </c>
      <c r="D2505" s="12"/>
    </row>
    <row r="2506" spans="1:4" x14ac:dyDescent="0.25">
      <c r="A2506" t="str">
        <f>IF(COUNTIF(B$1:B2506,B2506)=1,MAX(A$1:A2505)+1,"")</f>
        <v/>
      </c>
      <c r="B2506" s="11"/>
      <c r="C2506" s="11" t="str">
        <f>IF(COUNTIF(D$1:D2506,D2506)=1,MAX(C$1:C2505)+1,"")</f>
        <v/>
      </c>
      <c r="D2506" s="12"/>
    </row>
    <row r="2507" spans="1:4" x14ac:dyDescent="0.25">
      <c r="A2507" t="str">
        <f>IF(COUNTIF(B$1:B2507,B2507)=1,MAX(A$1:A2506)+1,"")</f>
        <v/>
      </c>
      <c r="B2507" s="11"/>
      <c r="C2507" s="11" t="str">
        <f>IF(COUNTIF(D$1:D2507,D2507)=1,MAX(C$1:C2506)+1,"")</f>
        <v/>
      </c>
      <c r="D2507" s="12"/>
    </row>
    <row r="2508" spans="1:4" x14ac:dyDescent="0.25">
      <c r="A2508" t="str">
        <f>IF(COUNTIF(B$1:B2508,B2508)=1,MAX(A$1:A2507)+1,"")</f>
        <v/>
      </c>
      <c r="B2508" s="11"/>
      <c r="C2508" s="11" t="str">
        <f>IF(COUNTIF(D$1:D2508,D2508)=1,MAX(C$1:C2507)+1,"")</f>
        <v/>
      </c>
      <c r="D2508" s="12"/>
    </row>
    <row r="2509" spans="1:4" x14ac:dyDescent="0.25">
      <c r="A2509" t="str">
        <f>IF(COUNTIF(B$1:B2509,B2509)=1,MAX(A$1:A2508)+1,"")</f>
        <v/>
      </c>
      <c r="B2509" s="11"/>
      <c r="C2509" s="11" t="str">
        <f>IF(COUNTIF(D$1:D2509,D2509)=1,MAX(C$1:C2508)+1,"")</f>
        <v/>
      </c>
      <c r="D2509" s="12"/>
    </row>
    <row r="2510" spans="1:4" x14ac:dyDescent="0.25">
      <c r="A2510" t="str">
        <f>IF(COUNTIF(B$1:B2510,B2510)=1,MAX(A$1:A2509)+1,"")</f>
        <v/>
      </c>
      <c r="B2510" s="11"/>
      <c r="C2510" s="11" t="str">
        <f>IF(COUNTIF(D$1:D2510,D2510)=1,MAX(C$1:C2509)+1,"")</f>
        <v/>
      </c>
      <c r="D2510" s="12"/>
    </row>
    <row r="2511" spans="1:4" x14ac:dyDescent="0.25">
      <c r="A2511" t="str">
        <f>IF(COUNTIF(B$1:B2511,B2511)=1,MAX(A$1:A2510)+1,"")</f>
        <v/>
      </c>
      <c r="B2511" s="11"/>
      <c r="C2511" s="11" t="str">
        <f>IF(COUNTIF(D$1:D2511,D2511)=1,MAX(C$1:C2510)+1,"")</f>
        <v/>
      </c>
      <c r="D2511" s="12"/>
    </row>
    <row r="2512" spans="1:4" x14ac:dyDescent="0.25">
      <c r="A2512" t="str">
        <f>IF(COUNTIF(B$1:B2512,B2512)=1,MAX(A$1:A2511)+1,"")</f>
        <v/>
      </c>
      <c r="B2512" s="11"/>
      <c r="C2512" s="11" t="str">
        <f>IF(COUNTIF(D$1:D2512,D2512)=1,MAX(C$1:C2511)+1,"")</f>
        <v/>
      </c>
      <c r="D2512" s="12"/>
    </row>
    <row r="2513" spans="1:4" x14ac:dyDescent="0.25">
      <c r="A2513" t="str">
        <f>IF(COUNTIF(B$1:B2513,B2513)=1,MAX(A$1:A2512)+1,"")</f>
        <v/>
      </c>
      <c r="B2513" s="11"/>
      <c r="C2513" s="11" t="str">
        <f>IF(COUNTIF(D$1:D2513,D2513)=1,MAX(C$1:C2512)+1,"")</f>
        <v/>
      </c>
      <c r="D2513" s="12"/>
    </row>
    <row r="2514" spans="1:4" x14ac:dyDescent="0.25">
      <c r="A2514" t="str">
        <f>IF(COUNTIF(B$1:B2514,B2514)=1,MAX(A$1:A2513)+1,"")</f>
        <v/>
      </c>
      <c r="B2514" s="11"/>
      <c r="C2514" s="11" t="str">
        <f>IF(COUNTIF(D$1:D2514,D2514)=1,MAX(C$1:C2513)+1,"")</f>
        <v/>
      </c>
      <c r="D2514" s="12"/>
    </row>
    <row r="2515" spans="1:4" x14ac:dyDescent="0.25">
      <c r="A2515" t="str">
        <f>IF(COUNTIF(B$1:B2515,B2515)=1,MAX(A$1:A2514)+1,"")</f>
        <v/>
      </c>
      <c r="B2515" s="11"/>
      <c r="C2515" s="11" t="str">
        <f>IF(COUNTIF(D$1:D2515,D2515)=1,MAX(C$1:C2514)+1,"")</f>
        <v/>
      </c>
      <c r="D2515" s="12"/>
    </row>
    <row r="2516" spans="1:4" x14ac:dyDescent="0.25">
      <c r="A2516" t="str">
        <f>IF(COUNTIF(B$1:B2516,B2516)=1,MAX(A$1:A2515)+1,"")</f>
        <v/>
      </c>
      <c r="B2516" s="11"/>
      <c r="C2516" s="11" t="str">
        <f>IF(COUNTIF(D$1:D2516,D2516)=1,MAX(C$1:C2515)+1,"")</f>
        <v/>
      </c>
      <c r="D2516" s="12"/>
    </row>
    <row r="2517" spans="1:4" x14ac:dyDescent="0.25">
      <c r="A2517" t="str">
        <f>IF(COUNTIF(B$1:B2517,B2517)=1,MAX(A$1:A2516)+1,"")</f>
        <v/>
      </c>
      <c r="B2517" s="11"/>
      <c r="C2517" s="11" t="str">
        <f>IF(COUNTIF(D$1:D2517,D2517)=1,MAX(C$1:C2516)+1,"")</f>
        <v/>
      </c>
      <c r="D2517" s="12"/>
    </row>
    <row r="2518" spans="1:4" x14ac:dyDescent="0.25">
      <c r="A2518" t="str">
        <f>IF(COUNTIF(B$1:B2518,B2518)=1,MAX(A$1:A2517)+1,"")</f>
        <v/>
      </c>
      <c r="B2518" s="11"/>
      <c r="C2518" s="11" t="str">
        <f>IF(COUNTIF(D$1:D2518,D2518)=1,MAX(C$1:C2517)+1,"")</f>
        <v/>
      </c>
      <c r="D2518" s="12"/>
    </row>
    <row r="2519" spans="1:4" x14ac:dyDescent="0.25">
      <c r="A2519" t="str">
        <f>IF(COUNTIF(B$1:B2519,B2519)=1,MAX(A$1:A2518)+1,"")</f>
        <v/>
      </c>
      <c r="B2519" s="11"/>
      <c r="C2519" s="11" t="str">
        <f>IF(COUNTIF(D$1:D2519,D2519)=1,MAX(C$1:C2518)+1,"")</f>
        <v/>
      </c>
      <c r="D2519" s="12"/>
    </row>
    <row r="2520" spans="1:4" x14ac:dyDescent="0.25">
      <c r="A2520" t="str">
        <f>IF(COUNTIF(B$1:B2520,B2520)=1,MAX(A$1:A2519)+1,"")</f>
        <v/>
      </c>
      <c r="B2520" s="11"/>
      <c r="C2520" s="11" t="str">
        <f>IF(COUNTIF(D$1:D2520,D2520)=1,MAX(C$1:C2519)+1,"")</f>
        <v/>
      </c>
      <c r="D2520" s="12"/>
    </row>
    <row r="2521" spans="1:4" x14ac:dyDescent="0.25">
      <c r="A2521" t="str">
        <f>IF(COUNTIF(B$1:B2521,B2521)=1,MAX(A$1:A2520)+1,"")</f>
        <v/>
      </c>
      <c r="B2521" s="11"/>
      <c r="C2521" s="11" t="str">
        <f>IF(COUNTIF(D$1:D2521,D2521)=1,MAX(C$1:C2520)+1,"")</f>
        <v/>
      </c>
      <c r="D2521" s="12"/>
    </row>
    <row r="2522" spans="1:4" x14ac:dyDescent="0.25">
      <c r="A2522" t="str">
        <f>IF(COUNTIF(B$1:B2522,B2522)=1,MAX(A$1:A2521)+1,"")</f>
        <v/>
      </c>
      <c r="B2522" s="11"/>
      <c r="C2522" s="11" t="str">
        <f>IF(COUNTIF(D$1:D2522,D2522)=1,MAX(C$1:C2521)+1,"")</f>
        <v/>
      </c>
      <c r="D2522" s="12"/>
    </row>
    <row r="2523" spans="1:4" x14ac:dyDescent="0.25">
      <c r="A2523" t="str">
        <f>IF(COUNTIF(B$1:B2523,B2523)=1,MAX(A$1:A2522)+1,"")</f>
        <v/>
      </c>
      <c r="B2523" s="11"/>
      <c r="C2523" s="11" t="str">
        <f>IF(COUNTIF(D$1:D2523,D2523)=1,MAX(C$1:C2522)+1,"")</f>
        <v/>
      </c>
      <c r="D2523" s="12"/>
    </row>
    <row r="2524" spans="1:4" x14ac:dyDescent="0.25">
      <c r="A2524" t="str">
        <f>IF(COUNTIF(B$1:B2524,B2524)=1,MAX(A$1:A2523)+1,"")</f>
        <v/>
      </c>
      <c r="B2524" s="11"/>
      <c r="C2524" s="11" t="str">
        <f>IF(COUNTIF(D$1:D2524,D2524)=1,MAX(C$1:C2523)+1,"")</f>
        <v/>
      </c>
      <c r="D2524" s="12"/>
    </row>
    <row r="2525" spans="1:4" x14ac:dyDescent="0.25">
      <c r="A2525" t="str">
        <f>IF(COUNTIF(B$1:B2525,B2525)=1,MAX(A$1:A2524)+1,"")</f>
        <v/>
      </c>
      <c r="B2525" s="11"/>
      <c r="C2525" s="11" t="str">
        <f>IF(COUNTIF(D$1:D2525,D2525)=1,MAX(C$1:C2524)+1,"")</f>
        <v/>
      </c>
      <c r="D2525" s="12"/>
    </row>
    <row r="2526" spans="1:4" x14ac:dyDescent="0.25">
      <c r="A2526" t="str">
        <f>IF(COUNTIF(B$1:B2526,B2526)=1,MAX(A$1:A2525)+1,"")</f>
        <v/>
      </c>
      <c r="B2526" s="11"/>
      <c r="C2526" s="11" t="str">
        <f>IF(COUNTIF(D$1:D2526,D2526)=1,MAX(C$1:C2525)+1,"")</f>
        <v/>
      </c>
      <c r="D2526" s="12"/>
    </row>
    <row r="2527" spans="1:4" x14ac:dyDescent="0.25">
      <c r="A2527" t="str">
        <f>IF(COUNTIF(B$1:B2527,B2527)=1,MAX(A$1:A2526)+1,"")</f>
        <v/>
      </c>
      <c r="B2527" s="11"/>
      <c r="C2527" s="11" t="str">
        <f>IF(COUNTIF(D$1:D2527,D2527)=1,MAX(C$1:C2526)+1,"")</f>
        <v/>
      </c>
      <c r="D2527" s="12"/>
    </row>
    <row r="2528" spans="1:4" x14ac:dyDescent="0.25">
      <c r="A2528" t="str">
        <f>IF(COUNTIF(B$1:B2528,B2528)=1,MAX(A$1:A2527)+1,"")</f>
        <v/>
      </c>
      <c r="B2528" s="11"/>
      <c r="C2528" s="11" t="str">
        <f>IF(COUNTIF(D$1:D2528,D2528)=1,MAX(C$1:C2527)+1,"")</f>
        <v/>
      </c>
      <c r="D2528" s="12"/>
    </row>
    <row r="2529" spans="1:4" x14ac:dyDescent="0.25">
      <c r="A2529" t="str">
        <f>IF(COUNTIF(B$1:B2529,B2529)=1,MAX(A$1:A2528)+1,"")</f>
        <v/>
      </c>
      <c r="B2529" s="11"/>
      <c r="C2529" s="11" t="str">
        <f>IF(COUNTIF(D$1:D2529,D2529)=1,MAX(C$1:C2528)+1,"")</f>
        <v/>
      </c>
      <c r="D2529" s="12"/>
    </row>
    <row r="2530" spans="1:4" x14ac:dyDescent="0.25">
      <c r="A2530" t="str">
        <f>IF(COUNTIF(B$1:B2530,B2530)=1,MAX(A$1:A2529)+1,"")</f>
        <v/>
      </c>
      <c r="B2530" s="11"/>
      <c r="C2530" s="11" t="str">
        <f>IF(COUNTIF(D$1:D2530,D2530)=1,MAX(C$1:C2529)+1,"")</f>
        <v/>
      </c>
      <c r="D2530" s="12"/>
    </row>
    <row r="2531" spans="1:4" x14ac:dyDescent="0.25">
      <c r="A2531" t="str">
        <f>IF(COUNTIF(B$1:B2531,B2531)=1,MAX(A$1:A2530)+1,"")</f>
        <v/>
      </c>
      <c r="B2531" s="11"/>
      <c r="C2531" s="11" t="str">
        <f>IF(COUNTIF(D$1:D2531,D2531)=1,MAX(C$1:C2530)+1,"")</f>
        <v/>
      </c>
      <c r="D2531" s="12"/>
    </row>
    <row r="2532" spans="1:4" x14ac:dyDescent="0.25">
      <c r="A2532" t="str">
        <f>IF(COUNTIF(B$1:B2532,B2532)=1,MAX(A$1:A2531)+1,"")</f>
        <v/>
      </c>
      <c r="B2532" s="11"/>
      <c r="C2532" s="11" t="str">
        <f>IF(COUNTIF(D$1:D2532,D2532)=1,MAX(C$1:C2531)+1,"")</f>
        <v/>
      </c>
      <c r="D2532" s="12"/>
    </row>
    <row r="2533" spans="1:4" x14ac:dyDescent="0.25">
      <c r="A2533" t="str">
        <f>IF(COUNTIF(B$1:B2533,B2533)=1,MAX(A$1:A2532)+1,"")</f>
        <v/>
      </c>
      <c r="B2533" s="11"/>
      <c r="C2533" s="11" t="str">
        <f>IF(COUNTIF(D$1:D2533,D2533)=1,MAX(C$1:C2532)+1,"")</f>
        <v/>
      </c>
      <c r="D2533" s="12"/>
    </row>
    <row r="2534" spans="1:4" x14ac:dyDescent="0.25">
      <c r="A2534" t="str">
        <f>IF(COUNTIF(B$1:B2534,B2534)=1,MAX(A$1:A2533)+1,"")</f>
        <v/>
      </c>
      <c r="B2534" s="11"/>
      <c r="C2534" s="11" t="str">
        <f>IF(COUNTIF(D$1:D2534,D2534)=1,MAX(C$1:C2533)+1,"")</f>
        <v/>
      </c>
      <c r="D2534" s="12"/>
    </row>
    <row r="2535" spans="1:4" x14ac:dyDescent="0.25">
      <c r="A2535" t="str">
        <f>IF(COUNTIF(B$1:B2535,B2535)=1,MAX(A$1:A2534)+1,"")</f>
        <v/>
      </c>
      <c r="B2535" s="11"/>
      <c r="C2535" s="11" t="str">
        <f>IF(COUNTIF(D$1:D2535,D2535)=1,MAX(C$1:C2534)+1,"")</f>
        <v/>
      </c>
      <c r="D2535" s="12"/>
    </row>
    <row r="2536" spans="1:4" x14ac:dyDescent="0.25">
      <c r="A2536" t="str">
        <f>IF(COUNTIF(B$1:B2536,B2536)=1,MAX(A$1:A2535)+1,"")</f>
        <v/>
      </c>
      <c r="B2536" s="11"/>
      <c r="C2536" s="11" t="str">
        <f>IF(COUNTIF(D$1:D2536,D2536)=1,MAX(C$1:C2535)+1,"")</f>
        <v/>
      </c>
      <c r="D2536" s="12"/>
    </row>
    <row r="2537" spans="1:4" x14ac:dyDescent="0.25">
      <c r="A2537" t="str">
        <f>IF(COUNTIF(B$1:B2537,B2537)=1,MAX(A$1:A2536)+1,"")</f>
        <v/>
      </c>
      <c r="B2537" s="11"/>
      <c r="C2537" s="11" t="str">
        <f>IF(COUNTIF(D$1:D2537,D2537)=1,MAX(C$1:C2536)+1,"")</f>
        <v/>
      </c>
      <c r="D2537" s="12"/>
    </row>
    <row r="2538" spans="1:4" x14ac:dyDescent="0.25">
      <c r="A2538" t="str">
        <f>IF(COUNTIF(B$1:B2538,B2538)=1,MAX(A$1:A2537)+1,"")</f>
        <v/>
      </c>
      <c r="B2538" s="11"/>
      <c r="C2538" s="11" t="str">
        <f>IF(COUNTIF(D$1:D2538,D2538)=1,MAX(C$1:C2537)+1,"")</f>
        <v/>
      </c>
      <c r="D2538" s="12"/>
    </row>
    <row r="2539" spans="1:4" x14ac:dyDescent="0.25">
      <c r="A2539" t="str">
        <f>IF(COUNTIF(B$1:B2539,B2539)=1,MAX(A$1:A2538)+1,"")</f>
        <v/>
      </c>
      <c r="B2539" s="11"/>
      <c r="C2539" s="11" t="str">
        <f>IF(COUNTIF(D$1:D2539,D2539)=1,MAX(C$1:C2538)+1,"")</f>
        <v/>
      </c>
      <c r="D2539" s="12"/>
    </row>
    <row r="2540" spans="1:4" x14ac:dyDescent="0.25">
      <c r="A2540" t="str">
        <f>IF(COUNTIF(B$1:B2540,B2540)=1,MAX(A$1:A2539)+1,"")</f>
        <v/>
      </c>
      <c r="B2540" s="11"/>
      <c r="C2540" s="11" t="str">
        <f>IF(COUNTIF(D$1:D2540,D2540)=1,MAX(C$1:C2539)+1,"")</f>
        <v/>
      </c>
      <c r="D2540" s="12"/>
    </row>
    <row r="2541" spans="1:4" x14ac:dyDescent="0.25">
      <c r="A2541" t="str">
        <f>IF(COUNTIF(B$1:B2541,B2541)=1,MAX(A$1:A2540)+1,"")</f>
        <v/>
      </c>
      <c r="B2541" s="11"/>
      <c r="C2541" s="11" t="str">
        <f>IF(COUNTIF(D$1:D2541,D2541)=1,MAX(C$1:C2540)+1,"")</f>
        <v/>
      </c>
      <c r="D2541" s="12"/>
    </row>
    <row r="2542" spans="1:4" x14ac:dyDescent="0.25">
      <c r="A2542" t="str">
        <f>IF(COUNTIF(B$1:B2542,B2542)=1,MAX(A$1:A2541)+1,"")</f>
        <v/>
      </c>
      <c r="B2542" s="11"/>
      <c r="C2542" s="11" t="str">
        <f>IF(COUNTIF(D$1:D2542,D2542)=1,MAX(C$1:C2541)+1,"")</f>
        <v/>
      </c>
      <c r="D2542" s="12"/>
    </row>
    <row r="2543" spans="1:4" x14ac:dyDescent="0.25">
      <c r="A2543" t="str">
        <f>IF(COUNTIF(B$1:B2543,B2543)=1,MAX(A$1:A2542)+1,"")</f>
        <v/>
      </c>
      <c r="B2543" s="11"/>
      <c r="C2543" s="11" t="str">
        <f>IF(COUNTIF(D$1:D2543,D2543)=1,MAX(C$1:C2542)+1,"")</f>
        <v/>
      </c>
      <c r="D2543" s="12"/>
    </row>
    <row r="2544" spans="1:4" x14ac:dyDescent="0.25">
      <c r="A2544" t="str">
        <f>IF(COUNTIF(B$1:B2544,B2544)=1,MAX(A$1:A2543)+1,"")</f>
        <v/>
      </c>
      <c r="B2544" s="11"/>
      <c r="C2544" s="11" t="str">
        <f>IF(COUNTIF(D$1:D2544,D2544)=1,MAX(C$1:C2543)+1,"")</f>
        <v/>
      </c>
      <c r="D2544" s="12"/>
    </row>
    <row r="2545" spans="1:4" x14ac:dyDescent="0.25">
      <c r="A2545" t="str">
        <f>IF(COUNTIF(B$1:B2545,B2545)=1,MAX(A$1:A2544)+1,"")</f>
        <v/>
      </c>
      <c r="B2545" s="11"/>
      <c r="C2545" s="11" t="str">
        <f>IF(COUNTIF(D$1:D2545,D2545)=1,MAX(C$1:C2544)+1,"")</f>
        <v/>
      </c>
      <c r="D2545" s="12"/>
    </row>
    <row r="2546" spans="1:4" x14ac:dyDescent="0.25">
      <c r="A2546" t="str">
        <f>IF(COUNTIF(B$1:B2546,B2546)=1,MAX(A$1:A2545)+1,"")</f>
        <v/>
      </c>
      <c r="B2546" s="11"/>
      <c r="C2546" s="11" t="str">
        <f>IF(COUNTIF(D$1:D2546,D2546)=1,MAX(C$1:C2545)+1,"")</f>
        <v/>
      </c>
      <c r="D2546" s="12"/>
    </row>
    <row r="2547" spans="1:4" x14ac:dyDescent="0.25">
      <c r="A2547" t="str">
        <f>IF(COUNTIF(B$1:B2547,B2547)=1,MAX(A$1:A2546)+1,"")</f>
        <v/>
      </c>
      <c r="B2547" s="11"/>
      <c r="C2547" s="11" t="str">
        <f>IF(COUNTIF(D$1:D2547,D2547)=1,MAX(C$1:C2546)+1,"")</f>
        <v/>
      </c>
      <c r="D2547" s="12"/>
    </row>
    <row r="2548" spans="1:4" x14ac:dyDescent="0.25">
      <c r="A2548" t="str">
        <f>IF(COUNTIF(B$1:B2548,B2548)=1,MAX(A$1:A2547)+1,"")</f>
        <v/>
      </c>
      <c r="B2548" s="11"/>
      <c r="C2548" s="11" t="str">
        <f>IF(COUNTIF(D$1:D2548,D2548)=1,MAX(C$1:C2547)+1,"")</f>
        <v/>
      </c>
      <c r="D2548" s="12"/>
    </row>
    <row r="2549" spans="1:4" x14ac:dyDescent="0.25">
      <c r="A2549" t="str">
        <f>IF(COUNTIF(B$1:B2549,B2549)=1,MAX(A$1:A2548)+1,"")</f>
        <v/>
      </c>
      <c r="B2549" s="11"/>
      <c r="C2549" s="11" t="str">
        <f>IF(COUNTIF(D$1:D2549,D2549)=1,MAX(C$1:C2548)+1,"")</f>
        <v/>
      </c>
      <c r="D2549" s="12"/>
    </row>
    <row r="2550" spans="1:4" x14ac:dyDescent="0.25">
      <c r="A2550" t="str">
        <f>IF(COUNTIF(B$1:B2550,B2550)=1,MAX(A$1:A2549)+1,"")</f>
        <v/>
      </c>
      <c r="B2550" s="11"/>
      <c r="C2550" s="11" t="str">
        <f>IF(COUNTIF(D$1:D2550,D2550)=1,MAX(C$1:C2549)+1,"")</f>
        <v/>
      </c>
      <c r="D2550" s="12"/>
    </row>
    <row r="2551" spans="1:4" x14ac:dyDescent="0.25">
      <c r="A2551" t="str">
        <f>IF(COUNTIF(B$1:B2551,B2551)=1,MAX(A$1:A2550)+1,"")</f>
        <v/>
      </c>
      <c r="B2551" s="11"/>
      <c r="C2551" s="11" t="str">
        <f>IF(COUNTIF(D$1:D2551,D2551)=1,MAX(C$1:C2550)+1,"")</f>
        <v/>
      </c>
      <c r="D2551" s="12"/>
    </row>
    <row r="2552" spans="1:4" x14ac:dyDescent="0.25">
      <c r="A2552" t="str">
        <f>IF(COUNTIF(B$1:B2552,B2552)=1,MAX(A$1:A2551)+1,"")</f>
        <v/>
      </c>
      <c r="B2552" s="11"/>
      <c r="C2552" s="11" t="str">
        <f>IF(COUNTIF(D$1:D2552,D2552)=1,MAX(C$1:C2551)+1,"")</f>
        <v/>
      </c>
      <c r="D2552" s="12"/>
    </row>
    <row r="2553" spans="1:4" x14ac:dyDescent="0.25">
      <c r="A2553" t="str">
        <f>IF(COUNTIF(B$1:B2553,B2553)=1,MAX(A$1:A2552)+1,"")</f>
        <v/>
      </c>
      <c r="B2553" s="11"/>
      <c r="C2553" s="11" t="str">
        <f>IF(COUNTIF(D$1:D2553,D2553)=1,MAX(C$1:C2552)+1,"")</f>
        <v/>
      </c>
      <c r="D2553" s="12"/>
    </row>
    <row r="2554" spans="1:4" x14ac:dyDescent="0.25">
      <c r="A2554" t="str">
        <f>IF(COUNTIF(B$1:B2554,B2554)=1,MAX(A$1:A2553)+1,"")</f>
        <v/>
      </c>
      <c r="B2554" s="11"/>
      <c r="C2554" s="11" t="str">
        <f>IF(COUNTIF(D$1:D2554,D2554)=1,MAX(C$1:C2553)+1,"")</f>
        <v/>
      </c>
      <c r="D2554" s="12"/>
    </row>
    <row r="2555" spans="1:4" x14ac:dyDescent="0.25">
      <c r="A2555" t="str">
        <f>IF(COUNTIF(B$1:B2555,B2555)=1,MAX(A$1:A2554)+1,"")</f>
        <v/>
      </c>
      <c r="B2555" s="11"/>
      <c r="C2555" s="11" t="str">
        <f>IF(COUNTIF(D$1:D2555,D2555)=1,MAX(C$1:C2554)+1,"")</f>
        <v/>
      </c>
      <c r="D2555" s="12"/>
    </row>
    <row r="2556" spans="1:4" x14ac:dyDescent="0.25">
      <c r="A2556" t="str">
        <f>IF(COUNTIF(B$1:B2556,B2556)=1,MAX(A$1:A2555)+1,"")</f>
        <v/>
      </c>
      <c r="B2556" s="11"/>
      <c r="C2556" s="11" t="str">
        <f>IF(COUNTIF(D$1:D2556,D2556)=1,MAX(C$1:C2555)+1,"")</f>
        <v/>
      </c>
      <c r="D2556" s="12"/>
    </row>
    <row r="2557" spans="1:4" x14ac:dyDescent="0.25">
      <c r="A2557" t="str">
        <f>IF(COUNTIF(B$1:B2557,B2557)=1,MAX(A$1:A2556)+1,"")</f>
        <v/>
      </c>
      <c r="B2557" s="11"/>
      <c r="C2557" s="11" t="str">
        <f>IF(COUNTIF(D$1:D2557,D2557)=1,MAX(C$1:C2556)+1,"")</f>
        <v/>
      </c>
      <c r="D2557" s="12"/>
    </row>
    <row r="2558" spans="1:4" x14ac:dyDescent="0.25">
      <c r="A2558" t="str">
        <f>IF(COUNTIF(B$1:B2558,B2558)=1,MAX(A$1:A2557)+1,"")</f>
        <v/>
      </c>
      <c r="B2558" s="11"/>
      <c r="C2558" s="11" t="str">
        <f>IF(COUNTIF(D$1:D2558,D2558)=1,MAX(C$1:C2557)+1,"")</f>
        <v/>
      </c>
      <c r="D2558" s="12"/>
    </row>
    <row r="2559" spans="1:4" x14ac:dyDescent="0.25">
      <c r="A2559" t="str">
        <f>IF(COUNTIF(B$1:B2559,B2559)=1,MAX(A$1:A2558)+1,"")</f>
        <v/>
      </c>
      <c r="B2559" s="11"/>
      <c r="C2559" s="11" t="str">
        <f>IF(COUNTIF(D$1:D2559,D2559)=1,MAX(C$1:C2558)+1,"")</f>
        <v/>
      </c>
      <c r="D2559" s="12"/>
    </row>
    <row r="2560" spans="1:4" x14ac:dyDescent="0.25">
      <c r="A2560" t="str">
        <f>IF(COUNTIF(B$1:B2560,B2560)=1,MAX(A$1:A2559)+1,"")</f>
        <v/>
      </c>
      <c r="B2560" s="11"/>
      <c r="C2560" s="11" t="str">
        <f>IF(COUNTIF(D$1:D2560,D2560)=1,MAX(C$1:C2559)+1,"")</f>
        <v/>
      </c>
      <c r="D2560" s="12"/>
    </row>
    <row r="2561" spans="1:4" x14ac:dyDescent="0.25">
      <c r="A2561" t="str">
        <f>IF(COUNTIF(B$1:B2561,B2561)=1,MAX(A$1:A2560)+1,"")</f>
        <v/>
      </c>
      <c r="B2561" s="11"/>
      <c r="C2561" s="11" t="str">
        <f>IF(COUNTIF(D$1:D2561,D2561)=1,MAX(C$1:C2560)+1,"")</f>
        <v/>
      </c>
      <c r="D2561" s="12"/>
    </row>
    <row r="2562" spans="1:4" x14ac:dyDescent="0.25">
      <c r="A2562" t="str">
        <f>IF(COUNTIF(B$1:B2562,B2562)=1,MAX(A$1:A2561)+1,"")</f>
        <v/>
      </c>
      <c r="B2562" s="11"/>
      <c r="C2562" s="11" t="str">
        <f>IF(COUNTIF(D$1:D2562,D2562)=1,MAX(C$1:C2561)+1,"")</f>
        <v/>
      </c>
      <c r="D2562" s="12"/>
    </row>
    <row r="2563" spans="1:4" x14ac:dyDescent="0.25">
      <c r="A2563" t="str">
        <f>IF(COUNTIF(B$1:B2563,B2563)=1,MAX(A$1:A2562)+1,"")</f>
        <v/>
      </c>
      <c r="B2563" s="11"/>
      <c r="C2563" s="11" t="str">
        <f>IF(COUNTIF(D$1:D2563,D2563)=1,MAX(C$1:C2562)+1,"")</f>
        <v/>
      </c>
      <c r="D2563" s="12"/>
    </row>
    <row r="2564" spans="1:4" x14ac:dyDescent="0.25">
      <c r="A2564" t="str">
        <f>IF(COUNTIF(B$1:B2564,B2564)=1,MAX(A$1:A2563)+1,"")</f>
        <v/>
      </c>
      <c r="B2564" s="11"/>
      <c r="C2564" s="11" t="str">
        <f>IF(COUNTIF(D$1:D2564,D2564)=1,MAX(C$1:C2563)+1,"")</f>
        <v/>
      </c>
      <c r="D2564" s="12"/>
    </row>
    <row r="2565" spans="1:4" x14ac:dyDescent="0.25">
      <c r="A2565" t="str">
        <f>IF(COUNTIF(B$1:B2565,B2565)=1,MAX(A$1:A2564)+1,"")</f>
        <v/>
      </c>
      <c r="B2565" s="11"/>
      <c r="C2565" s="11" t="str">
        <f>IF(COUNTIF(D$1:D2565,D2565)=1,MAX(C$1:C2564)+1,"")</f>
        <v/>
      </c>
      <c r="D2565" s="12"/>
    </row>
    <row r="2566" spans="1:4" x14ac:dyDescent="0.25">
      <c r="A2566" t="str">
        <f>IF(COUNTIF(B$1:B2566,B2566)=1,MAX(A$1:A2565)+1,"")</f>
        <v/>
      </c>
      <c r="B2566" s="11"/>
      <c r="C2566" s="11" t="str">
        <f>IF(COUNTIF(D$1:D2566,D2566)=1,MAX(C$1:C2565)+1,"")</f>
        <v/>
      </c>
      <c r="D2566" s="12"/>
    </row>
    <row r="2567" spans="1:4" x14ac:dyDescent="0.25">
      <c r="A2567" t="str">
        <f>IF(COUNTIF(B$1:B2567,B2567)=1,MAX(A$1:A2566)+1,"")</f>
        <v/>
      </c>
      <c r="B2567" s="11"/>
      <c r="C2567" s="11" t="str">
        <f>IF(COUNTIF(D$1:D2567,D2567)=1,MAX(C$1:C2566)+1,"")</f>
        <v/>
      </c>
      <c r="D2567" s="12"/>
    </row>
    <row r="2568" spans="1:4" x14ac:dyDescent="0.25">
      <c r="A2568" t="str">
        <f>IF(COUNTIF(B$1:B2568,B2568)=1,MAX(A$1:A2567)+1,"")</f>
        <v/>
      </c>
      <c r="B2568" s="11"/>
      <c r="C2568" s="11" t="str">
        <f>IF(COUNTIF(D$1:D2568,D2568)=1,MAX(C$1:C2567)+1,"")</f>
        <v/>
      </c>
      <c r="D2568" s="12"/>
    </row>
    <row r="2569" spans="1:4" x14ac:dyDescent="0.25">
      <c r="A2569" t="str">
        <f>IF(COUNTIF(B$1:B2569,B2569)=1,MAX(A$1:A2568)+1,"")</f>
        <v/>
      </c>
      <c r="B2569" s="11"/>
      <c r="C2569" s="11" t="str">
        <f>IF(COUNTIF(D$1:D2569,D2569)=1,MAX(C$1:C2568)+1,"")</f>
        <v/>
      </c>
      <c r="D2569" s="12"/>
    </row>
    <row r="2570" spans="1:4" x14ac:dyDescent="0.25">
      <c r="A2570" t="str">
        <f>IF(COUNTIF(B$1:B2570,B2570)=1,MAX(A$1:A2569)+1,"")</f>
        <v/>
      </c>
      <c r="B2570" s="11"/>
      <c r="C2570" s="11" t="str">
        <f>IF(COUNTIF(D$1:D2570,D2570)=1,MAX(C$1:C2569)+1,"")</f>
        <v/>
      </c>
      <c r="D2570" s="12"/>
    </row>
    <row r="2571" spans="1:4" x14ac:dyDescent="0.25">
      <c r="A2571" t="str">
        <f>IF(COUNTIF(B$1:B2571,B2571)=1,MAX(A$1:A2570)+1,"")</f>
        <v/>
      </c>
      <c r="B2571" s="11"/>
      <c r="C2571" s="11" t="str">
        <f>IF(COUNTIF(D$1:D2571,D2571)=1,MAX(C$1:C2570)+1,"")</f>
        <v/>
      </c>
      <c r="D2571" s="12"/>
    </row>
    <row r="2572" spans="1:4" x14ac:dyDescent="0.25">
      <c r="A2572" t="str">
        <f>IF(COUNTIF(B$1:B2572,B2572)=1,MAX(A$1:A2571)+1,"")</f>
        <v/>
      </c>
      <c r="B2572" s="11"/>
      <c r="C2572" s="11" t="str">
        <f>IF(COUNTIF(D$1:D2572,D2572)=1,MAX(C$1:C2571)+1,"")</f>
        <v/>
      </c>
      <c r="D2572" s="12"/>
    </row>
    <row r="2573" spans="1:4" x14ac:dyDescent="0.25">
      <c r="A2573" t="str">
        <f>IF(COUNTIF(B$1:B2573,B2573)=1,MAX(A$1:A2572)+1,"")</f>
        <v/>
      </c>
      <c r="B2573" s="11"/>
      <c r="C2573" s="11" t="str">
        <f>IF(COUNTIF(D$1:D2573,D2573)=1,MAX(C$1:C2572)+1,"")</f>
        <v/>
      </c>
      <c r="D2573" s="12"/>
    </row>
    <row r="2574" spans="1:4" x14ac:dyDescent="0.25">
      <c r="A2574" t="str">
        <f>IF(COUNTIF(B$1:B2574,B2574)=1,MAX(A$1:A2573)+1,"")</f>
        <v/>
      </c>
      <c r="B2574" s="11"/>
      <c r="C2574" s="11" t="str">
        <f>IF(COUNTIF(D$1:D2574,D2574)=1,MAX(C$1:C2573)+1,"")</f>
        <v/>
      </c>
      <c r="D2574" s="12"/>
    </row>
    <row r="2575" spans="1:4" x14ac:dyDescent="0.25">
      <c r="A2575" t="str">
        <f>IF(COUNTIF(B$1:B2575,B2575)=1,MAX(A$1:A2574)+1,"")</f>
        <v/>
      </c>
      <c r="B2575" s="11"/>
      <c r="C2575" s="11" t="str">
        <f>IF(COUNTIF(D$1:D2575,D2575)=1,MAX(C$1:C2574)+1,"")</f>
        <v/>
      </c>
      <c r="D2575" s="12"/>
    </row>
    <row r="2576" spans="1:4" x14ac:dyDescent="0.25">
      <c r="A2576" t="str">
        <f>IF(COUNTIF(B$1:B2576,B2576)=1,MAX(A$1:A2575)+1,"")</f>
        <v/>
      </c>
      <c r="B2576" s="11"/>
      <c r="C2576" s="11" t="str">
        <f>IF(COUNTIF(D$1:D2576,D2576)=1,MAX(C$1:C2575)+1,"")</f>
        <v/>
      </c>
      <c r="D2576" s="12"/>
    </row>
    <row r="2577" spans="1:4" x14ac:dyDescent="0.25">
      <c r="A2577" t="str">
        <f>IF(COUNTIF(B$1:B2577,B2577)=1,MAX(A$1:A2576)+1,"")</f>
        <v/>
      </c>
      <c r="B2577" s="11"/>
      <c r="C2577" s="11" t="str">
        <f>IF(COUNTIF(D$1:D2577,D2577)=1,MAX(C$1:C2576)+1,"")</f>
        <v/>
      </c>
      <c r="D2577" s="12"/>
    </row>
    <row r="2578" spans="1:4" x14ac:dyDescent="0.25">
      <c r="A2578" t="str">
        <f>IF(COUNTIF(B$1:B2578,B2578)=1,MAX(A$1:A2577)+1,"")</f>
        <v/>
      </c>
      <c r="B2578" s="11"/>
      <c r="C2578" s="11" t="str">
        <f>IF(COUNTIF(D$1:D2578,D2578)=1,MAX(C$1:C2577)+1,"")</f>
        <v/>
      </c>
      <c r="D2578" s="12"/>
    </row>
    <row r="2579" spans="1:4" x14ac:dyDescent="0.25">
      <c r="A2579" t="str">
        <f>IF(COUNTIF(B$1:B2579,B2579)=1,MAX(A$1:A2578)+1,"")</f>
        <v/>
      </c>
      <c r="B2579" s="11"/>
      <c r="C2579" s="11" t="str">
        <f>IF(COUNTIF(D$1:D2579,D2579)=1,MAX(C$1:C2578)+1,"")</f>
        <v/>
      </c>
      <c r="D2579" s="12"/>
    </row>
    <row r="2580" spans="1:4" x14ac:dyDescent="0.25">
      <c r="A2580" t="str">
        <f>IF(COUNTIF(B$1:B2580,B2580)=1,MAX(A$1:A2579)+1,"")</f>
        <v/>
      </c>
      <c r="B2580" s="11"/>
      <c r="C2580" s="11" t="str">
        <f>IF(COUNTIF(D$1:D2580,D2580)=1,MAX(C$1:C2579)+1,"")</f>
        <v/>
      </c>
      <c r="D2580" s="12"/>
    </row>
    <row r="2581" spans="1:4" x14ac:dyDescent="0.25">
      <c r="A2581" t="str">
        <f>IF(COUNTIF(B$1:B2581,B2581)=1,MAX(A$1:A2580)+1,"")</f>
        <v/>
      </c>
      <c r="B2581" s="11"/>
      <c r="C2581" s="11" t="str">
        <f>IF(COUNTIF(D$1:D2581,D2581)=1,MAX(C$1:C2580)+1,"")</f>
        <v/>
      </c>
      <c r="D2581" s="12"/>
    </row>
    <row r="2582" spans="1:4" x14ac:dyDescent="0.25">
      <c r="A2582" t="str">
        <f>IF(COUNTIF(B$1:B2582,B2582)=1,MAX(A$1:A2581)+1,"")</f>
        <v/>
      </c>
      <c r="B2582" s="11"/>
      <c r="C2582" s="11" t="str">
        <f>IF(COUNTIF(D$1:D2582,D2582)=1,MAX(C$1:C2581)+1,"")</f>
        <v/>
      </c>
      <c r="D2582" s="12"/>
    </row>
    <row r="2583" spans="1:4" x14ac:dyDescent="0.25">
      <c r="A2583" t="str">
        <f>IF(COUNTIF(B$1:B2583,B2583)=1,MAX(A$1:A2582)+1,"")</f>
        <v/>
      </c>
      <c r="B2583" s="11"/>
      <c r="C2583" s="11" t="str">
        <f>IF(COUNTIF(D$1:D2583,D2583)=1,MAX(C$1:C2582)+1,"")</f>
        <v/>
      </c>
      <c r="D2583" s="12"/>
    </row>
    <row r="2584" spans="1:4" x14ac:dyDescent="0.25">
      <c r="A2584" t="str">
        <f>IF(COUNTIF(B$1:B2584,B2584)=1,MAX(A$1:A2583)+1,"")</f>
        <v/>
      </c>
      <c r="B2584" s="11"/>
      <c r="C2584" s="11" t="str">
        <f>IF(COUNTIF(D$1:D2584,D2584)=1,MAX(C$1:C2583)+1,"")</f>
        <v/>
      </c>
      <c r="D2584" s="12"/>
    </row>
    <row r="2585" spans="1:4" x14ac:dyDescent="0.25">
      <c r="A2585" t="str">
        <f>IF(COUNTIF(B$1:B2585,B2585)=1,MAX(A$1:A2584)+1,"")</f>
        <v/>
      </c>
      <c r="B2585" s="11"/>
      <c r="C2585" s="11" t="str">
        <f>IF(COUNTIF(D$1:D2585,D2585)=1,MAX(C$1:C2584)+1,"")</f>
        <v/>
      </c>
      <c r="D2585" s="12"/>
    </row>
    <row r="2586" spans="1:4" x14ac:dyDescent="0.25">
      <c r="A2586" t="str">
        <f>IF(COUNTIF(B$1:B2586,B2586)=1,MAX(A$1:A2585)+1,"")</f>
        <v/>
      </c>
      <c r="B2586" s="11"/>
      <c r="C2586" s="11" t="str">
        <f>IF(COUNTIF(D$1:D2586,D2586)=1,MAX(C$1:C2585)+1,"")</f>
        <v/>
      </c>
      <c r="D2586" s="12"/>
    </row>
    <row r="2587" spans="1:4" x14ac:dyDescent="0.25">
      <c r="A2587" t="str">
        <f>IF(COUNTIF(B$1:B2587,B2587)=1,MAX(A$1:A2586)+1,"")</f>
        <v/>
      </c>
      <c r="B2587" s="11"/>
      <c r="C2587" s="11" t="str">
        <f>IF(COUNTIF(D$1:D2587,D2587)=1,MAX(C$1:C2586)+1,"")</f>
        <v/>
      </c>
      <c r="D2587" s="12"/>
    </row>
    <row r="2588" spans="1:4" x14ac:dyDescent="0.25">
      <c r="A2588" t="str">
        <f>IF(COUNTIF(B$1:B2588,B2588)=1,MAX(A$1:A2587)+1,"")</f>
        <v/>
      </c>
      <c r="B2588" s="11"/>
      <c r="C2588" s="11" t="str">
        <f>IF(COUNTIF(D$1:D2588,D2588)=1,MAX(C$1:C2587)+1,"")</f>
        <v/>
      </c>
      <c r="D2588" s="12"/>
    </row>
    <row r="2589" spans="1:4" x14ac:dyDescent="0.25">
      <c r="A2589" t="str">
        <f>IF(COUNTIF(B$1:B2589,B2589)=1,MAX(A$1:A2588)+1,"")</f>
        <v/>
      </c>
      <c r="B2589" s="11"/>
      <c r="C2589" s="11" t="str">
        <f>IF(COUNTIF(D$1:D2589,D2589)=1,MAX(C$1:C2588)+1,"")</f>
        <v/>
      </c>
      <c r="D2589" s="12"/>
    </row>
    <row r="2590" spans="1:4" x14ac:dyDescent="0.25">
      <c r="A2590" t="str">
        <f>IF(COUNTIF(B$1:B2590,B2590)=1,MAX(A$1:A2589)+1,"")</f>
        <v/>
      </c>
      <c r="B2590" s="11"/>
      <c r="C2590" s="11" t="str">
        <f>IF(COUNTIF(D$1:D2590,D2590)=1,MAX(C$1:C2589)+1,"")</f>
        <v/>
      </c>
      <c r="D2590" s="12"/>
    </row>
    <row r="2591" spans="1:4" x14ac:dyDescent="0.25">
      <c r="A2591" t="str">
        <f>IF(COUNTIF(B$1:B2591,B2591)=1,MAX(A$1:A2590)+1,"")</f>
        <v/>
      </c>
      <c r="B2591" s="11"/>
      <c r="C2591" s="11" t="str">
        <f>IF(COUNTIF(D$1:D2591,D2591)=1,MAX(C$1:C2590)+1,"")</f>
        <v/>
      </c>
      <c r="D2591" s="12"/>
    </row>
    <row r="2592" spans="1:4" x14ac:dyDescent="0.25">
      <c r="A2592" t="str">
        <f>IF(COUNTIF(B$1:B2592,B2592)=1,MAX(A$1:A2591)+1,"")</f>
        <v/>
      </c>
      <c r="B2592" s="11"/>
      <c r="C2592" s="11" t="str">
        <f>IF(COUNTIF(D$1:D2592,D2592)=1,MAX(C$1:C2591)+1,"")</f>
        <v/>
      </c>
      <c r="D2592" s="12"/>
    </row>
    <row r="2593" spans="1:4" x14ac:dyDescent="0.25">
      <c r="A2593" t="str">
        <f>IF(COUNTIF(B$1:B2593,B2593)=1,MAX(A$1:A2592)+1,"")</f>
        <v/>
      </c>
      <c r="B2593" s="11"/>
      <c r="C2593" s="11" t="str">
        <f>IF(COUNTIF(D$1:D2593,D2593)=1,MAX(C$1:C2592)+1,"")</f>
        <v/>
      </c>
      <c r="D2593" s="12"/>
    </row>
    <row r="2594" spans="1:4" x14ac:dyDescent="0.25">
      <c r="A2594" t="str">
        <f>IF(COUNTIF(B$1:B2594,B2594)=1,MAX(A$1:A2593)+1,"")</f>
        <v/>
      </c>
      <c r="B2594" s="11"/>
      <c r="C2594" s="11" t="str">
        <f>IF(COUNTIF(D$1:D2594,D2594)=1,MAX(C$1:C2593)+1,"")</f>
        <v/>
      </c>
      <c r="D2594" s="12"/>
    </row>
    <row r="2595" spans="1:4" x14ac:dyDescent="0.25">
      <c r="A2595" t="str">
        <f>IF(COUNTIF(B$1:B2595,B2595)=1,MAX(A$1:A2594)+1,"")</f>
        <v/>
      </c>
      <c r="B2595" s="11"/>
      <c r="C2595" s="11" t="str">
        <f>IF(COUNTIF(D$1:D2595,D2595)=1,MAX(C$1:C2594)+1,"")</f>
        <v/>
      </c>
      <c r="D2595" s="12"/>
    </row>
    <row r="2596" spans="1:4" x14ac:dyDescent="0.25">
      <c r="A2596" t="str">
        <f>IF(COUNTIF(B$1:B2596,B2596)=1,MAX(A$1:A2595)+1,"")</f>
        <v/>
      </c>
      <c r="B2596" s="11"/>
      <c r="C2596" s="11" t="str">
        <f>IF(COUNTIF(D$1:D2596,D2596)=1,MAX(C$1:C2595)+1,"")</f>
        <v/>
      </c>
      <c r="D2596" s="12"/>
    </row>
    <row r="2597" spans="1:4" x14ac:dyDescent="0.25">
      <c r="A2597" t="str">
        <f>IF(COUNTIF(B$1:B2597,B2597)=1,MAX(A$1:A2596)+1,"")</f>
        <v/>
      </c>
      <c r="B2597" s="11"/>
      <c r="C2597" s="11" t="str">
        <f>IF(COUNTIF(D$1:D2597,D2597)=1,MAX(C$1:C2596)+1,"")</f>
        <v/>
      </c>
      <c r="D2597" s="12"/>
    </row>
    <row r="2598" spans="1:4" x14ac:dyDescent="0.25">
      <c r="A2598" t="str">
        <f>IF(COUNTIF(B$1:B2598,B2598)=1,MAX(A$1:A2597)+1,"")</f>
        <v/>
      </c>
      <c r="B2598" s="11"/>
      <c r="C2598" s="11" t="str">
        <f>IF(COUNTIF(D$1:D2598,D2598)=1,MAX(C$1:C2597)+1,"")</f>
        <v/>
      </c>
      <c r="D2598" s="12"/>
    </row>
    <row r="2599" spans="1:4" x14ac:dyDescent="0.25">
      <c r="A2599" t="str">
        <f>IF(COUNTIF(B$1:B2599,B2599)=1,MAX(A$1:A2598)+1,"")</f>
        <v/>
      </c>
      <c r="B2599" s="11"/>
      <c r="C2599" s="11" t="str">
        <f>IF(COUNTIF(D$1:D2599,D2599)=1,MAX(C$1:C2598)+1,"")</f>
        <v/>
      </c>
      <c r="D2599" s="12"/>
    </row>
    <row r="2600" spans="1:4" x14ac:dyDescent="0.25">
      <c r="A2600" t="str">
        <f>IF(COUNTIF(B$1:B2600,B2600)=1,MAX(A$1:A2599)+1,"")</f>
        <v/>
      </c>
      <c r="B2600" s="11"/>
      <c r="C2600" s="11" t="str">
        <f>IF(COUNTIF(D$1:D2600,D2600)=1,MAX(C$1:C2599)+1,"")</f>
        <v/>
      </c>
      <c r="D2600" s="12"/>
    </row>
    <row r="2601" spans="1:4" x14ac:dyDescent="0.25">
      <c r="A2601" t="str">
        <f>IF(COUNTIF(B$1:B2601,B2601)=1,MAX(A$1:A2600)+1,"")</f>
        <v/>
      </c>
      <c r="B2601" s="11"/>
      <c r="C2601" s="11" t="str">
        <f>IF(COUNTIF(D$1:D2601,D2601)=1,MAX(C$1:C2600)+1,"")</f>
        <v/>
      </c>
      <c r="D2601" s="12"/>
    </row>
    <row r="2602" spans="1:4" x14ac:dyDescent="0.25">
      <c r="A2602" t="str">
        <f>IF(COUNTIF(B$1:B2602,B2602)=1,MAX(A$1:A2601)+1,"")</f>
        <v/>
      </c>
      <c r="B2602" s="11"/>
      <c r="C2602" s="11" t="str">
        <f>IF(COUNTIF(D$1:D2602,D2602)=1,MAX(C$1:C2601)+1,"")</f>
        <v/>
      </c>
      <c r="D2602" s="12"/>
    </row>
    <row r="2603" spans="1:4" x14ac:dyDescent="0.25">
      <c r="A2603" t="str">
        <f>IF(COUNTIF(B$1:B2603,B2603)=1,MAX(A$1:A2602)+1,"")</f>
        <v/>
      </c>
      <c r="B2603" s="11"/>
      <c r="C2603" s="11" t="str">
        <f>IF(COUNTIF(D$1:D2603,D2603)=1,MAX(C$1:C2602)+1,"")</f>
        <v/>
      </c>
      <c r="D2603" s="12"/>
    </row>
    <row r="2604" spans="1:4" x14ac:dyDescent="0.25">
      <c r="A2604" t="str">
        <f>IF(COUNTIF(B$1:B2604,B2604)=1,MAX(A$1:A2603)+1,"")</f>
        <v/>
      </c>
      <c r="B2604" s="11"/>
      <c r="C2604" s="11" t="str">
        <f>IF(COUNTIF(D$1:D2604,D2604)=1,MAX(C$1:C2603)+1,"")</f>
        <v/>
      </c>
      <c r="D2604" s="12"/>
    </row>
    <row r="2605" spans="1:4" x14ac:dyDescent="0.25">
      <c r="A2605" t="str">
        <f>IF(COUNTIF(B$1:B2605,B2605)=1,MAX(A$1:A2604)+1,"")</f>
        <v/>
      </c>
      <c r="B2605" s="11"/>
      <c r="C2605" s="11" t="str">
        <f>IF(COUNTIF(D$1:D2605,D2605)=1,MAX(C$1:C2604)+1,"")</f>
        <v/>
      </c>
      <c r="D2605" s="12"/>
    </row>
    <row r="2606" spans="1:4" x14ac:dyDescent="0.25">
      <c r="A2606" t="str">
        <f>IF(COUNTIF(B$1:B2606,B2606)=1,MAX(A$1:A2605)+1,"")</f>
        <v/>
      </c>
      <c r="B2606" s="11"/>
      <c r="C2606" s="11" t="str">
        <f>IF(COUNTIF(D$1:D2606,D2606)=1,MAX(C$1:C2605)+1,"")</f>
        <v/>
      </c>
      <c r="D2606" s="12"/>
    </row>
    <row r="2607" spans="1:4" x14ac:dyDescent="0.25">
      <c r="A2607" t="str">
        <f>IF(COUNTIF(B$1:B2607,B2607)=1,MAX(A$1:A2606)+1,"")</f>
        <v/>
      </c>
      <c r="B2607" s="11"/>
      <c r="C2607" s="11" t="str">
        <f>IF(COUNTIF(D$1:D2607,D2607)=1,MAX(C$1:C2606)+1,"")</f>
        <v/>
      </c>
      <c r="D2607" s="12"/>
    </row>
    <row r="2608" spans="1:4" x14ac:dyDescent="0.25">
      <c r="A2608" t="str">
        <f>IF(COUNTIF(B$1:B2608,B2608)=1,MAX(A$1:A2607)+1,"")</f>
        <v/>
      </c>
      <c r="B2608" s="11"/>
      <c r="C2608" s="11" t="str">
        <f>IF(COUNTIF(D$1:D2608,D2608)=1,MAX(C$1:C2607)+1,"")</f>
        <v/>
      </c>
      <c r="D2608" s="12"/>
    </row>
    <row r="2609" spans="1:4" x14ac:dyDescent="0.25">
      <c r="A2609" t="str">
        <f>IF(COUNTIF(B$1:B2609,B2609)=1,MAX(A$1:A2608)+1,"")</f>
        <v/>
      </c>
      <c r="B2609" s="11"/>
      <c r="C2609" s="11" t="str">
        <f>IF(COUNTIF(D$1:D2609,D2609)=1,MAX(C$1:C2608)+1,"")</f>
        <v/>
      </c>
      <c r="D2609" s="12"/>
    </row>
    <row r="2610" spans="1:4" x14ac:dyDescent="0.25">
      <c r="A2610" t="str">
        <f>IF(COUNTIF(B$1:B2610,B2610)=1,MAX(A$1:A2609)+1,"")</f>
        <v/>
      </c>
      <c r="B2610" s="11"/>
      <c r="C2610" s="11" t="str">
        <f>IF(COUNTIF(D$1:D2610,D2610)=1,MAX(C$1:C2609)+1,"")</f>
        <v/>
      </c>
      <c r="D2610" s="12"/>
    </row>
    <row r="2611" spans="1:4" x14ac:dyDescent="0.25">
      <c r="A2611" t="str">
        <f>IF(COUNTIF(B$1:B2611,B2611)=1,MAX(A$1:A2610)+1,"")</f>
        <v/>
      </c>
      <c r="B2611" s="11"/>
      <c r="C2611" s="11" t="str">
        <f>IF(COUNTIF(D$1:D2611,D2611)=1,MAX(C$1:C2610)+1,"")</f>
        <v/>
      </c>
      <c r="D2611" s="12"/>
    </row>
    <row r="2612" spans="1:4" x14ac:dyDescent="0.25">
      <c r="A2612" t="str">
        <f>IF(COUNTIF(B$1:B2612,B2612)=1,MAX(A$1:A2611)+1,"")</f>
        <v/>
      </c>
      <c r="B2612" s="11"/>
      <c r="C2612" s="11" t="str">
        <f>IF(COUNTIF(D$1:D2612,D2612)=1,MAX(C$1:C2611)+1,"")</f>
        <v/>
      </c>
      <c r="D2612" s="12"/>
    </row>
    <row r="2613" spans="1:4" x14ac:dyDescent="0.25">
      <c r="A2613" t="str">
        <f>IF(COUNTIF(B$1:B2613,B2613)=1,MAX(A$1:A2612)+1,"")</f>
        <v/>
      </c>
      <c r="B2613" s="11"/>
      <c r="C2613" s="11" t="str">
        <f>IF(COUNTIF(D$1:D2613,D2613)=1,MAX(C$1:C2612)+1,"")</f>
        <v/>
      </c>
      <c r="D2613" s="12"/>
    </row>
    <row r="2614" spans="1:4" x14ac:dyDescent="0.25">
      <c r="A2614" t="str">
        <f>IF(COUNTIF(B$1:B2614,B2614)=1,MAX(A$1:A2613)+1,"")</f>
        <v/>
      </c>
      <c r="B2614" s="11"/>
      <c r="C2614" s="11" t="str">
        <f>IF(COUNTIF(D$1:D2614,D2614)=1,MAX(C$1:C2613)+1,"")</f>
        <v/>
      </c>
      <c r="D2614" s="12"/>
    </row>
    <row r="2615" spans="1:4" x14ac:dyDescent="0.25">
      <c r="A2615" t="str">
        <f>IF(COUNTIF(B$1:B2615,B2615)=1,MAX(A$1:A2614)+1,"")</f>
        <v/>
      </c>
      <c r="B2615" s="11"/>
      <c r="C2615" s="11" t="str">
        <f>IF(COUNTIF(D$1:D2615,D2615)=1,MAX(C$1:C2614)+1,"")</f>
        <v/>
      </c>
      <c r="D2615" s="12"/>
    </row>
    <row r="2616" spans="1:4" x14ac:dyDescent="0.25">
      <c r="A2616" t="str">
        <f>IF(COUNTIF(B$1:B2616,B2616)=1,MAX(A$1:A2615)+1,"")</f>
        <v/>
      </c>
      <c r="B2616" s="11"/>
      <c r="C2616" s="11" t="str">
        <f>IF(COUNTIF(D$1:D2616,D2616)=1,MAX(C$1:C2615)+1,"")</f>
        <v/>
      </c>
      <c r="D2616" s="12"/>
    </row>
    <row r="2617" spans="1:4" x14ac:dyDescent="0.25">
      <c r="A2617" t="str">
        <f>IF(COUNTIF(B$1:B2617,B2617)=1,MAX(A$1:A2616)+1,"")</f>
        <v/>
      </c>
      <c r="B2617" s="11"/>
      <c r="C2617" s="11" t="str">
        <f>IF(COUNTIF(D$1:D2617,D2617)=1,MAX(C$1:C2616)+1,"")</f>
        <v/>
      </c>
      <c r="D2617" s="12"/>
    </row>
    <row r="2618" spans="1:4" x14ac:dyDescent="0.25">
      <c r="A2618" t="str">
        <f>IF(COUNTIF(B$1:B2618,B2618)=1,MAX(A$1:A2617)+1,"")</f>
        <v/>
      </c>
      <c r="B2618" s="11"/>
      <c r="C2618" s="11" t="str">
        <f>IF(COUNTIF(D$1:D2618,D2618)=1,MAX(C$1:C2617)+1,"")</f>
        <v/>
      </c>
      <c r="D2618" s="12"/>
    </row>
    <row r="2619" spans="1:4" x14ac:dyDescent="0.25">
      <c r="A2619" t="str">
        <f>IF(COUNTIF(B$1:B2619,B2619)=1,MAX(A$1:A2618)+1,"")</f>
        <v/>
      </c>
      <c r="B2619" s="11"/>
      <c r="C2619" s="11" t="str">
        <f>IF(COUNTIF(D$1:D2619,D2619)=1,MAX(C$1:C2618)+1,"")</f>
        <v/>
      </c>
      <c r="D2619" s="12"/>
    </row>
    <row r="2620" spans="1:4" x14ac:dyDescent="0.25">
      <c r="A2620" t="str">
        <f>IF(COUNTIF(B$1:B2620,B2620)=1,MAX(A$1:A2619)+1,"")</f>
        <v/>
      </c>
      <c r="B2620" s="11"/>
      <c r="C2620" s="11" t="str">
        <f>IF(COUNTIF(D$1:D2620,D2620)=1,MAX(C$1:C2619)+1,"")</f>
        <v/>
      </c>
      <c r="D2620" s="12"/>
    </row>
    <row r="2621" spans="1:4" x14ac:dyDescent="0.25">
      <c r="A2621" t="str">
        <f>IF(COUNTIF(B$1:B2621,B2621)=1,MAX(A$1:A2620)+1,"")</f>
        <v/>
      </c>
      <c r="B2621" s="11"/>
      <c r="C2621" s="11" t="str">
        <f>IF(COUNTIF(D$1:D2621,D2621)=1,MAX(C$1:C2620)+1,"")</f>
        <v/>
      </c>
      <c r="D2621" s="12"/>
    </row>
    <row r="2622" spans="1:4" x14ac:dyDescent="0.25">
      <c r="A2622" t="str">
        <f>IF(COUNTIF(B$1:B2622,B2622)=1,MAX(A$1:A2621)+1,"")</f>
        <v/>
      </c>
      <c r="B2622" s="11"/>
      <c r="C2622" s="11" t="str">
        <f>IF(COUNTIF(D$1:D2622,D2622)=1,MAX(C$1:C2621)+1,"")</f>
        <v/>
      </c>
      <c r="D2622" s="12"/>
    </row>
    <row r="2623" spans="1:4" x14ac:dyDescent="0.25">
      <c r="A2623" t="str">
        <f>IF(COUNTIF(B$1:B2623,B2623)=1,MAX(A$1:A2622)+1,"")</f>
        <v/>
      </c>
      <c r="B2623" s="11"/>
      <c r="C2623" s="11" t="str">
        <f>IF(COUNTIF(D$1:D2623,D2623)=1,MAX(C$1:C2622)+1,"")</f>
        <v/>
      </c>
      <c r="D2623" s="12"/>
    </row>
    <row r="2624" spans="1:4" x14ac:dyDescent="0.25">
      <c r="A2624" t="str">
        <f>IF(COUNTIF(B$1:B2624,B2624)=1,MAX(A$1:A2623)+1,"")</f>
        <v/>
      </c>
      <c r="B2624" s="11"/>
      <c r="C2624" s="11" t="str">
        <f>IF(COUNTIF(D$1:D2624,D2624)=1,MAX(C$1:C2623)+1,"")</f>
        <v/>
      </c>
      <c r="D2624" s="12"/>
    </row>
    <row r="2625" spans="1:4" x14ac:dyDescent="0.25">
      <c r="A2625" t="str">
        <f>IF(COUNTIF(B$1:B2625,B2625)=1,MAX(A$1:A2624)+1,"")</f>
        <v/>
      </c>
      <c r="B2625" s="11"/>
      <c r="C2625" s="11" t="str">
        <f>IF(COUNTIF(D$1:D2625,D2625)=1,MAX(C$1:C2624)+1,"")</f>
        <v/>
      </c>
      <c r="D2625" s="12"/>
    </row>
    <row r="2626" spans="1:4" x14ac:dyDescent="0.25">
      <c r="A2626" t="str">
        <f>IF(COUNTIF(B$1:B2626,B2626)=1,MAX(A$1:A2625)+1,"")</f>
        <v/>
      </c>
      <c r="B2626" s="11"/>
      <c r="C2626" s="11" t="str">
        <f>IF(COUNTIF(D$1:D2626,D2626)=1,MAX(C$1:C2625)+1,"")</f>
        <v/>
      </c>
      <c r="D2626" s="12"/>
    </row>
    <row r="2627" spans="1:4" x14ac:dyDescent="0.25">
      <c r="A2627" t="str">
        <f>IF(COUNTIF(B$1:B2627,B2627)=1,MAX(A$1:A2626)+1,"")</f>
        <v/>
      </c>
      <c r="B2627" s="11"/>
      <c r="C2627" s="11" t="str">
        <f>IF(COUNTIF(D$1:D2627,D2627)=1,MAX(C$1:C2626)+1,"")</f>
        <v/>
      </c>
      <c r="D2627" s="12"/>
    </row>
    <row r="2628" spans="1:4" x14ac:dyDescent="0.25">
      <c r="A2628" t="str">
        <f>IF(COUNTIF(B$1:B2628,B2628)=1,MAX(A$1:A2627)+1,"")</f>
        <v/>
      </c>
      <c r="B2628" s="11"/>
      <c r="C2628" s="11" t="str">
        <f>IF(COUNTIF(D$1:D2628,D2628)=1,MAX(C$1:C2627)+1,"")</f>
        <v/>
      </c>
      <c r="D2628" s="12"/>
    </row>
    <row r="2629" spans="1:4" x14ac:dyDescent="0.25">
      <c r="A2629" t="str">
        <f>IF(COUNTIF(B$1:B2629,B2629)=1,MAX(A$1:A2628)+1,"")</f>
        <v/>
      </c>
      <c r="B2629" s="11"/>
      <c r="C2629" s="11" t="str">
        <f>IF(COUNTIF(D$1:D2629,D2629)=1,MAX(C$1:C2628)+1,"")</f>
        <v/>
      </c>
      <c r="D2629" s="12"/>
    </row>
    <row r="2630" spans="1:4" x14ac:dyDescent="0.25">
      <c r="A2630" t="str">
        <f>IF(COUNTIF(B$1:B2630,B2630)=1,MAX(A$1:A2629)+1,"")</f>
        <v/>
      </c>
      <c r="B2630" s="11"/>
      <c r="C2630" s="11" t="str">
        <f>IF(COUNTIF(D$1:D2630,D2630)=1,MAX(C$1:C2629)+1,"")</f>
        <v/>
      </c>
      <c r="D2630" s="12"/>
    </row>
    <row r="2631" spans="1:4" x14ac:dyDescent="0.25">
      <c r="A2631" t="str">
        <f>IF(COUNTIF(B$1:B2631,B2631)=1,MAX(A$1:A2630)+1,"")</f>
        <v/>
      </c>
      <c r="B2631" s="11"/>
      <c r="C2631" s="11" t="str">
        <f>IF(COUNTIF(D$1:D2631,D2631)=1,MAX(C$1:C2630)+1,"")</f>
        <v/>
      </c>
      <c r="D2631" s="12"/>
    </row>
    <row r="2632" spans="1:4" x14ac:dyDescent="0.25">
      <c r="A2632" t="str">
        <f>IF(COUNTIF(B$1:B2632,B2632)=1,MAX(A$1:A2631)+1,"")</f>
        <v/>
      </c>
      <c r="B2632" s="11"/>
      <c r="C2632" s="11" t="str">
        <f>IF(COUNTIF(D$1:D2632,D2632)=1,MAX(C$1:C2631)+1,"")</f>
        <v/>
      </c>
      <c r="D2632" s="12"/>
    </row>
    <row r="2633" spans="1:4" x14ac:dyDescent="0.25">
      <c r="A2633" t="str">
        <f>IF(COUNTIF(B$1:B2633,B2633)=1,MAX(A$1:A2632)+1,"")</f>
        <v/>
      </c>
      <c r="B2633" s="11"/>
      <c r="C2633" s="11" t="str">
        <f>IF(COUNTIF(D$1:D2633,D2633)=1,MAX(C$1:C2632)+1,"")</f>
        <v/>
      </c>
      <c r="D2633" s="12"/>
    </row>
    <row r="2634" spans="1:4" x14ac:dyDescent="0.25">
      <c r="A2634" t="str">
        <f>IF(COUNTIF(B$1:B2634,B2634)=1,MAX(A$1:A2633)+1,"")</f>
        <v/>
      </c>
      <c r="B2634" s="11"/>
      <c r="C2634" s="11" t="str">
        <f>IF(COUNTIF(D$1:D2634,D2634)=1,MAX(C$1:C2633)+1,"")</f>
        <v/>
      </c>
      <c r="D2634" s="12"/>
    </row>
    <row r="2635" spans="1:4" x14ac:dyDescent="0.25">
      <c r="A2635" t="str">
        <f>IF(COUNTIF(B$1:B2635,B2635)=1,MAX(A$1:A2634)+1,"")</f>
        <v/>
      </c>
      <c r="B2635" s="11"/>
      <c r="C2635" s="11" t="str">
        <f>IF(COUNTIF(D$1:D2635,D2635)=1,MAX(C$1:C2634)+1,"")</f>
        <v/>
      </c>
      <c r="D2635" s="12"/>
    </row>
    <row r="2636" spans="1:4" x14ac:dyDescent="0.25">
      <c r="A2636" t="str">
        <f>IF(COUNTIF(B$1:B2636,B2636)=1,MAX(A$1:A2635)+1,"")</f>
        <v/>
      </c>
      <c r="B2636" s="11"/>
      <c r="C2636" s="11" t="str">
        <f>IF(COUNTIF(D$1:D2636,D2636)=1,MAX(C$1:C2635)+1,"")</f>
        <v/>
      </c>
      <c r="D2636" s="12"/>
    </row>
    <row r="2637" spans="1:4" x14ac:dyDescent="0.25">
      <c r="A2637" t="str">
        <f>IF(COUNTIF(B$1:B2637,B2637)=1,MAX(A$1:A2636)+1,"")</f>
        <v/>
      </c>
      <c r="B2637" s="11"/>
      <c r="C2637" s="11" t="str">
        <f>IF(COUNTIF(D$1:D2637,D2637)=1,MAX(C$1:C2636)+1,"")</f>
        <v/>
      </c>
      <c r="D2637" s="12"/>
    </row>
    <row r="2638" spans="1:4" x14ac:dyDescent="0.25">
      <c r="A2638" t="str">
        <f>IF(COUNTIF(B$1:B2638,B2638)=1,MAX(A$1:A2637)+1,"")</f>
        <v/>
      </c>
      <c r="B2638" s="11"/>
      <c r="C2638" s="11" t="str">
        <f>IF(COUNTIF(D$1:D2638,D2638)=1,MAX(C$1:C2637)+1,"")</f>
        <v/>
      </c>
      <c r="D2638" s="12"/>
    </row>
    <row r="2639" spans="1:4" x14ac:dyDescent="0.25">
      <c r="A2639" t="str">
        <f>IF(COUNTIF(B$1:B2639,B2639)=1,MAX(A$1:A2638)+1,"")</f>
        <v/>
      </c>
      <c r="B2639" s="11"/>
      <c r="C2639" s="11" t="str">
        <f>IF(COUNTIF(D$1:D2639,D2639)=1,MAX(C$1:C2638)+1,"")</f>
        <v/>
      </c>
      <c r="D2639" s="12"/>
    </row>
    <row r="2640" spans="1:4" x14ac:dyDescent="0.25">
      <c r="A2640" t="str">
        <f>IF(COUNTIF(B$1:B2640,B2640)=1,MAX(A$1:A2639)+1,"")</f>
        <v/>
      </c>
      <c r="B2640" s="11"/>
      <c r="C2640" s="11" t="str">
        <f>IF(COUNTIF(D$1:D2640,D2640)=1,MAX(C$1:C2639)+1,"")</f>
        <v/>
      </c>
      <c r="D2640" s="12"/>
    </row>
    <row r="2641" spans="1:4" x14ac:dyDescent="0.25">
      <c r="A2641" t="str">
        <f>IF(COUNTIF(B$1:B2641,B2641)=1,MAX(A$1:A2640)+1,"")</f>
        <v/>
      </c>
      <c r="B2641" s="11"/>
      <c r="C2641" s="11" t="str">
        <f>IF(COUNTIF(D$1:D2641,D2641)=1,MAX(C$1:C2640)+1,"")</f>
        <v/>
      </c>
      <c r="D2641" s="12"/>
    </row>
    <row r="2642" spans="1:4" x14ac:dyDescent="0.25">
      <c r="A2642" t="str">
        <f>IF(COUNTIF(B$1:B2642,B2642)=1,MAX(A$1:A2641)+1,"")</f>
        <v/>
      </c>
      <c r="B2642" s="11"/>
      <c r="C2642" s="11" t="str">
        <f>IF(COUNTIF(D$1:D2642,D2642)=1,MAX(C$1:C2641)+1,"")</f>
        <v/>
      </c>
      <c r="D2642" s="12"/>
    </row>
    <row r="2643" spans="1:4" x14ac:dyDescent="0.25">
      <c r="A2643" t="str">
        <f>IF(COUNTIF(B$1:B2643,B2643)=1,MAX(A$1:A2642)+1,"")</f>
        <v/>
      </c>
      <c r="B2643" s="11"/>
      <c r="C2643" s="11" t="str">
        <f>IF(COUNTIF(D$1:D2643,D2643)=1,MAX(C$1:C2642)+1,"")</f>
        <v/>
      </c>
      <c r="D2643" s="12"/>
    </row>
    <row r="2644" spans="1:4" x14ac:dyDescent="0.25">
      <c r="A2644" t="str">
        <f>IF(COUNTIF(B$1:B2644,B2644)=1,MAX(A$1:A2643)+1,"")</f>
        <v/>
      </c>
      <c r="B2644" s="11"/>
      <c r="C2644" s="11" t="str">
        <f>IF(COUNTIF(D$1:D2644,D2644)=1,MAX(C$1:C2643)+1,"")</f>
        <v/>
      </c>
      <c r="D2644" s="12"/>
    </row>
    <row r="2645" spans="1:4" x14ac:dyDescent="0.25">
      <c r="A2645" t="str">
        <f>IF(COUNTIF(B$1:B2645,B2645)=1,MAX(A$1:A2644)+1,"")</f>
        <v/>
      </c>
      <c r="B2645" s="11"/>
      <c r="C2645" s="11" t="str">
        <f>IF(COUNTIF(D$1:D2645,D2645)=1,MAX(C$1:C2644)+1,"")</f>
        <v/>
      </c>
      <c r="D2645" s="12"/>
    </row>
    <row r="2646" spans="1:4" x14ac:dyDescent="0.25">
      <c r="A2646" t="str">
        <f>IF(COUNTIF(B$1:B2646,B2646)=1,MAX(A$1:A2645)+1,"")</f>
        <v/>
      </c>
      <c r="B2646" s="11"/>
      <c r="C2646" s="11" t="str">
        <f>IF(COUNTIF(D$1:D2646,D2646)=1,MAX(C$1:C2645)+1,"")</f>
        <v/>
      </c>
      <c r="D2646" s="12"/>
    </row>
    <row r="2647" spans="1:4" x14ac:dyDescent="0.25">
      <c r="A2647" t="str">
        <f>IF(COUNTIF(B$1:B2647,B2647)=1,MAX(A$1:A2646)+1,"")</f>
        <v/>
      </c>
      <c r="B2647" s="11"/>
      <c r="C2647" s="11" t="str">
        <f>IF(COUNTIF(D$1:D2647,D2647)=1,MAX(C$1:C2646)+1,"")</f>
        <v/>
      </c>
      <c r="D2647" s="12"/>
    </row>
    <row r="2648" spans="1:4" x14ac:dyDescent="0.25">
      <c r="A2648" t="str">
        <f>IF(COUNTIF(B$1:B2648,B2648)=1,MAX(A$1:A2647)+1,"")</f>
        <v/>
      </c>
      <c r="B2648" s="11"/>
      <c r="C2648" s="11" t="str">
        <f>IF(COUNTIF(D$1:D2648,D2648)=1,MAX(C$1:C2647)+1,"")</f>
        <v/>
      </c>
      <c r="D2648" s="12"/>
    </row>
    <row r="2649" spans="1:4" x14ac:dyDescent="0.25">
      <c r="A2649" t="str">
        <f>IF(COUNTIF(B$1:B2649,B2649)=1,MAX(A$1:A2648)+1,"")</f>
        <v/>
      </c>
      <c r="B2649" s="11"/>
      <c r="C2649" s="11" t="str">
        <f>IF(COUNTIF(D$1:D2649,D2649)=1,MAX(C$1:C2648)+1,"")</f>
        <v/>
      </c>
      <c r="D2649" s="12"/>
    </row>
    <row r="2650" spans="1:4" x14ac:dyDescent="0.25">
      <c r="A2650" t="str">
        <f>IF(COUNTIF(B$1:B2650,B2650)=1,MAX(A$1:A2649)+1,"")</f>
        <v/>
      </c>
      <c r="B2650" s="11"/>
      <c r="C2650" s="11" t="str">
        <f>IF(COUNTIF(D$1:D2650,D2650)=1,MAX(C$1:C2649)+1,"")</f>
        <v/>
      </c>
      <c r="D2650" s="12"/>
    </row>
    <row r="2651" spans="1:4" x14ac:dyDescent="0.25">
      <c r="A2651" t="str">
        <f>IF(COUNTIF(B$1:B2651,B2651)=1,MAX(A$1:A2650)+1,"")</f>
        <v/>
      </c>
      <c r="B2651" s="11"/>
      <c r="C2651" s="11" t="str">
        <f>IF(COUNTIF(D$1:D2651,D2651)=1,MAX(C$1:C2650)+1,"")</f>
        <v/>
      </c>
      <c r="D2651" s="12"/>
    </row>
    <row r="2652" spans="1:4" x14ac:dyDescent="0.25">
      <c r="A2652" t="str">
        <f>IF(COUNTIF(B$1:B2652,B2652)=1,MAX(A$1:A2651)+1,"")</f>
        <v/>
      </c>
      <c r="B2652" s="11"/>
      <c r="C2652" s="11" t="str">
        <f>IF(COUNTIF(D$1:D2652,D2652)=1,MAX(C$1:C2651)+1,"")</f>
        <v/>
      </c>
      <c r="D2652" s="12"/>
    </row>
    <row r="2653" spans="1:4" x14ac:dyDescent="0.25">
      <c r="A2653" t="str">
        <f>IF(COUNTIF(B$1:B2653,B2653)=1,MAX(A$1:A2652)+1,"")</f>
        <v/>
      </c>
      <c r="B2653" s="11"/>
      <c r="C2653" s="11" t="str">
        <f>IF(COUNTIF(D$1:D2653,D2653)=1,MAX(C$1:C2652)+1,"")</f>
        <v/>
      </c>
      <c r="D2653" s="12"/>
    </row>
    <row r="2654" spans="1:4" x14ac:dyDescent="0.25">
      <c r="A2654" t="str">
        <f>IF(COUNTIF(B$1:B2654,B2654)=1,MAX(A$1:A2653)+1,"")</f>
        <v/>
      </c>
      <c r="B2654" s="11"/>
      <c r="C2654" s="11" t="str">
        <f>IF(COUNTIF(D$1:D2654,D2654)=1,MAX(C$1:C2653)+1,"")</f>
        <v/>
      </c>
      <c r="D2654" s="12"/>
    </row>
    <row r="2655" spans="1:4" x14ac:dyDescent="0.25">
      <c r="A2655" t="str">
        <f>IF(COUNTIF(B$1:B2655,B2655)=1,MAX(A$1:A2654)+1,"")</f>
        <v/>
      </c>
      <c r="B2655" s="11"/>
      <c r="C2655" s="11" t="str">
        <f>IF(COUNTIF(D$1:D2655,D2655)=1,MAX(C$1:C2654)+1,"")</f>
        <v/>
      </c>
      <c r="D2655" s="12"/>
    </row>
    <row r="2656" spans="1:4" x14ac:dyDescent="0.25">
      <c r="A2656" t="str">
        <f>IF(COUNTIF(B$1:B2656,B2656)=1,MAX(A$1:A2655)+1,"")</f>
        <v/>
      </c>
      <c r="B2656" s="11"/>
      <c r="C2656" s="11" t="str">
        <f>IF(COUNTIF(D$1:D2656,D2656)=1,MAX(C$1:C2655)+1,"")</f>
        <v/>
      </c>
      <c r="D2656" s="12"/>
    </row>
    <row r="2657" spans="1:4" x14ac:dyDescent="0.25">
      <c r="A2657" t="str">
        <f>IF(COUNTIF(B$1:B2657,B2657)=1,MAX(A$1:A2656)+1,"")</f>
        <v/>
      </c>
      <c r="B2657" s="11"/>
      <c r="C2657" s="11" t="str">
        <f>IF(COUNTIF(D$1:D2657,D2657)=1,MAX(C$1:C2656)+1,"")</f>
        <v/>
      </c>
      <c r="D2657" s="12"/>
    </row>
    <row r="2658" spans="1:4" x14ac:dyDescent="0.25">
      <c r="A2658" t="str">
        <f>IF(COUNTIF(B$1:B2658,B2658)=1,MAX(A$1:A2657)+1,"")</f>
        <v/>
      </c>
      <c r="B2658" s="11"/>
      <c r="C2658" s="11" t="str">
        <f>IF(COUNTIF(D$1:D2658,D2658)=1,MAX(C$1:C2657)+1,"")</f>
        <v/>
      </c>
      <c r="D2658" s="12"/>
    </row>
    <row r="2659" spans="1:4" x14ac:dyDescent="0.25">
      <c r="A2659" t="str">
        <f>IF(COUNTIF(B$1:B2659,B2659)=1,MAX(A$1:A2658)+1,"")</f>
        <v/>
      </c>
      <c r="B2659" s="11"/>
      <c r="C2659" s="11" t="str">
        <f>IF(COUNTIF(D$1:D2659,D2659)=1,MAX(C$1:C2658)+1,"")</f>
        <v/>
      </c>
      <c r="D2659" s="12"/>
    </row>
    <row r="2660" spans="1:4" x14ac:dyDescent="0.25">
      <c r="A2660" t="str">
        <f>IF(COUNTIF(B$1:B2660,B2660)=1,MAX(A$1:A2659)+1,"")</f>
        <v/>
      </c>
      <c r="B2660" s="11"/>
      <c r="C2660" s="11" t="str">
        <f>IF(COUNTIF(D$1:D2660,D2660)=1,MAX(C$1:C2659)+1,"")</f>
        <v/>
      </c>
      <c r="D2660" s="12"/>
    </row>
    <row r="2661" spans="1:4" x14ac:dyDescent="0.25">
      <c r="A2661" t="str">
        <f>IF(COUNTIF(B$1:B2661,B2661)=1,MAX(A$1:A2660)+1,"")</f>
        <v/>
      </c>
      <c r="B2661" s="11"/>
      <c r="C2661" s="11" t="str">
        <f>IF(COUNTIF(D$1:D2661,D2661)=1,MAX(C$1:C2660)+1,"")</f>
        <v/>
      </c>
      <c r="D2661" s="12"/>
    </row>
    <row r="2662" spans="1:4" x14ac:dyDescent="0.25">
      <c r="A2662" t="str">
        <f>IF(COUNTIF(B$1:B2662,B2662)=1,MAX(A$1:A2661)+1,"")</f>
        <v/>
      </c>
      <c r="B2662" s="11"/>
      <c r="C2662" s="11" t="str">
        <f>IF(COUNTIF(D$1:D2662,D2662)=1,MAX(C$1:C2661)+1,"")</f>
        <v/>
      </c>
      <c r="D2662" s="12"/>
    </row>
    <row r="2663" spans="1:4" x14ac:dyDescent="0.25">
      <c r="A2663" t="str">
        <f>IF(COUNTIF(B$1:B2663,B2663)=1,MAX(A$1:A2662)+1,"")</f>
        <v/>
      </c>
      <c r="B2663" s="11"/>
      <c r="C2663" s="11" t="str">
        <f>IF(COUNTIF(D$1:D2663,D2663)=1,MAX(C$1:C2662)+1,"")</f>
        <v/>
      </c>
      <c r="D2663" s="12"/>
    </row>
    <row r="2664" spans="1:4" x14ac:dyDescent="0.25">
      <c r="A2664" t="str">
        <f>IF(COUNTIF(B$1:B2664,B2664)=1,MAX(A$1:A2663)+1,"")</f>
        <v/>
      </c>
      <c r="B2664" s="11"/>
      <c r="C2664" s="11" t="str">
        <f>IF(COUNTIF(D$1:D2664,D2664)=1,MAX(C$1:C2663)+1,"")</f>
        <v/>
      </c>
      <c r="D2664" s="12"/>
    </row>
    <row r="2665" spans="1:4" x14ac:dyDescent="0.25">
      <c r="A2665" t="str">
        <f>IF(COUNTIF(B$1:B2665,B2665)=1,MAX(A$1:A2664)+1,"")</f>
        <v/>
      </c>
      <c r="B2665" s="11"/>
      <c r="C2665" s="11" t="str">
        <f>IF(COUNTIF(D$1:D2665,D2665)=1,MAX(C$1:C2664)+1,"")</f>
        <v/>
      </c>
      <c r="D2665" s="12"/>
    </row>
    <row r="2666" spans="1:4" x14ac:dyDescent="0.25">
      <c r="A2666" t="str">
        <f>IF(COUNTIF(B$1:B2666,B2666)=1,MAX(A$1:A2665)+1,"")</f>
        <v/>
      </c>
      <c r="B2666" s="11"/>
      <c r="C2666" s="11" t="str">
        <f>IF(COUNTIF(D$1:D2666,D2666)=1,MAX(C$1:C2665)+1,"")</f>
        <v/>
      </c>
      <c r="D2666" s="12"/>
    </row>
    <row r="2667" spans="1:4" x14ac:dyDescent="0.25">
      <c r="A2667" t="str">
        <f>IF(COUNTIF(B$1:B2667,B2667)=1,MAX(A$1:A2666)+1,"")</f>
        <v/>
      </c>
      <c r="B2667" s="11"/>
      <c r="C2667" s="11" t="str">
        <f>IF(COUNTIF(D$1:D2667,D2667)=1,MAX(C$1:C2666)+1,"")</f>
        <v/>
      </c>
      <c r="D2667" s="12"/>
    </row>
    <row r="2668" spans="1:4" x14ac:dyDescent="0.25">
      <c r="A2668" t="str">
        <f>IF(COUNTIF(B$1:B2668,B2668)=1,MAX(A$1:A2667)+1,"")</f>
        <v/>
      </c>
      <c r="B2668" s="11"/>
      <c r="C2668" s="11" t="str">
        <f>IF(COUNTIF(D$1:D2668,D2668)=1,MAX(C$1:C2667)+1,"")</f>
        <v/>
      </c>
      <c r="D2668" s="12"/>
    </row>
    <row r="2669" spans="1:4" x14ac:dyDescent="0.25">
      <c r="A2669" t="str">
        <f>IF(COUNTIF(B$1:B2669,B2669)=1,MAX(A$1:A2668)+1,"")</f>
        <v/>
      </c>
      <c r="B2669" s="11"/>
      <c r="C2669" s="11" t="str">
        <f>IF(COUNTIF(D$1:D2669,D2669)=1,MAX(C$1:C2668)+1,"")</f>
        <v/>
      </c>
      <c r="D2669" s="12"/>
    </row>
    <row r="2670" spans="1:4" x14ac:dyDescent="0.25">
      <c r="A2670" t="str">
        <f>IF(COUNTIF(B$1:B2670,B2670)=1,MAX(A$1:A2669)+1,"")</f>
        <v/>
      </c>
      <c r="B2670" s="11"/>
      <c r="C2670" s="11" t="str">
        <f>IF(COUNTIF(D$1:D2670,D2670)=1,MAX(C$1:C2669)+1,"")</f>
        <v/>
      </c>
      <c r="D2670" s="12"/>
    </row>
    <row r="2671" spans="1:4" x14ac:dyDescent="0.25">
      <c r="A2671" t="str">
        <f>IF(COUNTIF(B$1:B2671,B2671)=1,MAX(A$1:A2670)+1,"")</f>
        <v/>
      </c>
      <c r="B2671" s="11"/>
      <c r="C2671" s="11" t="str">
        <f>IF(COUNTIF(D$1:D2671,D2671)=1,MAX(C$1:C2670)+1,"")</f>
        <v/>
      </c>
      <c r="D2671" s="12"/>
    </row>
    <row r="2672" spans="1:4" x14ac:dyDescent="0.25">
      <c r="A2672" t="str">
        <f>IF(COUNTIF(B$1:B2672,B2672)=1,MAX(A$1:A2671)+1,"")</f>
        <v/>
      </c>
      <c r="B2672" s="11"/>
      <c r="C2672" s="11" t="str">
        <f>IF(COUNTIF(D$1:D2672,D2672)=1,MAX(C$1:C2671)+1,"")</f>
        <v/>
      </c>
      <c r="D2672" s="12"/>
    </row>
    <row r="2673" spans="1:4" x14ac:dyDescent="0.25">
      <c r="A2673" t="str">
        <f>IF(COUNTIF(B$1:B2673,B2673)=1,MAX(A$1:A2672)+1,"")</f>
        <v/>
      </c>
      <c r="B2673" s="11"/>
      <c r="C2673" s="11" t="str">
        <f>IF(COUNTIF(D$1:D2673,D2673)=1,MAX(C$1:C2672)+1,"")</f>
        <v/>
      </c>
      <c r="D2673" s="12"/>
    </row>
    <row r="2674" spans="1:4" x14ac:dyDescent="0.25">
      <c r="A2674" t="str">
        <f>IF(COUNTIF(B$1:B2674,B2674)=1,MAX(A$1:A2673)+1,"")</f>
        <v/>
      </c>
      <c r="B2674" s="11"/>
      <c r="C2674" s="11" t="str">
        <f>IF(COUNTIF(D$1:D2674,D2674)=1,MAX(C$1:C2673)+1,"")</f>
        <v/>
      </c>
      <c r="D2674" s="12"/>
    </row>
    <row r="2675" spans="1:4" x14ac:dyDescent="0.25">
      <c r="A2675" t="str">
        <f>IF(COUNTIF(B$1:B2675,B2675)=1,MAX(A$1:A2674)+1,"")</f>
        <v/>
      </c>
      <c r="B2675" s="11"/>
      <c r="C2675" s="11" t="str">
        <f>IF(COUNTIF(D$1:D2675,D2675)=1,MAX(C$1:C2674)+1,"")</f>
        <v/>
      </c>
      <c r="D2675" s="12"/>
    </row>
    <row r="2676" spans="1:4" x14ac:dyDescent="0.25">
      <c r="A2676" t="str">
        <f>IF(COUNTIF(B$1:B2676,B2676)=1,MAX(A$1:A2675)+1,"")</f>
        <v/>
      </c>
      <c r="B2676" s="11"/>
      <c r="C2676" s="11" t="str">
        <f>IF(COUNTIF(D$1:D2676,D2676)=1,MAX(C$1:C2675)+1,"")</f>
        <v/>
      </c>
      <c r="D2676" s="12"/>
    </row>
    <row r="2677" spans="1:4" x14ac:dyDescent="0.25">
      <c r="A2677" t="str">
        <f>IF(COUNTIF(B$1:B2677,B2677)=1,MAX(A$1:A2676)+1,"")</f>
        <v/>
      </c>
      <c r="B2677" s="11"/>
      <c r="C2677" s="11" t="str">
        <f>IF(COUNTIF(D$1:D2677,D2677)=1,MAX(C$1:C2676)+1,"")</f>
        <v/>
      </c>
      <c r="D2677" s="12"/>
    </row>
    <row r="2678" spans="1:4" x14ac:dyDescent="0.25">
      <c r="A2678" t="str">
        <f>IF(COUNTIF(B$1:B2678,B2678)=1,MAX(A$1:A2677)+1,"")</f>
        <v/>
      </c>
      <c r="B2678" s="11"/>
      <c r="C2678" s="11" t="str">
        <f>IF(COUNTIF(D$1:D2678,D2678)=1,MAX(C$1:C2677)+1,"")</f>
        <v/>
      </c>
      <c r="D2678" s="12"/>
    </row>
    <row r="2679" spans="1:4" x14ac:dyDescent="0.25">
      <c r="A2679" t="str">
        <f>IF(COUNTIF(B$1:B2679,B2679)=1,MAX(A$1:A2678)+1,"")</f>
        <v/>
      </c>
      <c r="B2679" s="11"/>
      <c r="C2679" s="11" t="str">
        <f>IF(COUNTIF(D$1:D2679,D2679)=1,MAX(C$1:C2678)+1,"")</f>
        <v/>
      </c>
      <c r="D2679" s="12"/>
    </row>
    <row r="2680" spans="1:4" x14ac:dyDescent="0.25">
      <c r="A2680" t="str">
        <f>IF(COUNTIF(B$1:B2680,B2680)=1,MAX(A$1:A2679)+1,"")</f>
        <v/>
      </c>
      <c r="B2680" s="11"/>
      <c r="C2680" s="11" t="str">
        <f>IF(COUNTIF(D$1:D2680,D2680)=1,MAX(C$1:C2679)+1,"")</f>
        <v/>
      </c>
      <c r="D2680" s="12"/>
    </row>
    <row r="2681" spans="1:4" x14ac:dyDescent="0.25">
      <c r="A2681" t="str">
        <f>IF(COUNTIF(B$1:B2681,B2681)=1,MAX(A$1:A2680)+1,"")</f>
        <v/>
      </c>
      <c r="B2681" s="11"/>
      <c r="C2681" s="11" t="str">
        <f>IF(COUNTIF(D$1:D2681,D2681)=1,MAX(C$1:C2680)+1,"")</f>
        <v/>
      </c>
      <c r="D2681" s="12"/>
    </row>
    <row r="2682" spans="1:4" x14ac:dyDescent="0.25">
      <c r="A2682" t="str">
        <f>IF(COUNTIF(B$1:B2682,B2682)=1,MAX(A$1:A2681)+1,"")</f>
        <v/>
      </c>
      <c r="B2682" s="11"/>
      <c r="C2682" s="11" t="str">
        <f>IF(COUNTIF(D$1:D2682,D2682)=1,MAX(C$1:C2681)+1,"")</f>
        <v/>
      </c>
      <c r="D2682" s="12"/>
    </row>
    <row r="2683" spans="1:4" x14ac:dyDescent="0.25">
      <c r="A2683" t="str">
        <f>IF(COUNTIF(B$1:B2683,B2683)=1,MAX(A$1:A2682)+1,"")</f>
        <v/>
      </c>
      <c r="B2683" s="11"/>
      <c r="C2683" s="11" t="str">
        <f>IF(COUNTIF(D$1:D2683,D2683)=1,MAX(C$1:C2682)+1,"")</f>
        <v/>
      </c>
      <c r="D2683" s="12"/>
    </row>
    <row r="2684" spans="1:4" x14ac:dyDescent="0.25">
      <c r="A2684" t="str">
        <f>IF(COUNTIF(B$1:B2684,B2684)=1,MAX(A$1:A2683)+1,"")</f>
        <v/>
      </c>
      <c r="B2684" s="11"/>
      <c r="C2684" s="11" t="str">
        <f>IF(COUNTIF(D$1:D2684,D2684)=1,MAX(C$1:C2683)+1,"")</f>
        <v/>
      </c>
      <c r="D2684" s="12"/>
    </row>
    <row r="2685" spans="1:4" x14ac:dyDescent="0.25">
      <c r="A2685" t="str">
        <f>IF(COUNTIF(B$1:B2685,B2685)=1,MAX(A$1:A2684)+1,"")</f>
        <v/>
      </c>
      <c r="B2685" s="11"/>
      <c r="C2685" s="11" t="str">
        <f>IF(COUNTIF(D$1:D2685,D2685)=1,MAX(C$1:C2684)+1,"")</f>
        <v/>
      </c>
      <c r="D2685" s="12"/>
    </row>
    <row r="2686" spans="1:4" x14ac:dyDescent="0.25">
      <c r="A2686" t="str">
        <f>IF(COUNTIF(B$1:B2686,B2686)=1,MAX(A$1:A2685)+1,"")</f>
        <v/>
      </c>
      <c r="B2686" s="11"/>
      <c r="C2686" s="11" t="str">
        <f>IF(COUNTIF(D$1:D2686,D2686)=1,MAX(C$1:C2685)+1,"")</f>
        <v/>
      </c>
      <c r="D2686" s="12"/>
    </row>
    <row r="2687" spans="1:4" x14ac:dyDescent="0.25">
      <c r="A2687" t="str">
        <f>IF(COUNTIF(B$1:B2687,B2687)=1,MAX(A$1:A2686)+1,"")</f>
        <v/>
      </c>
      <c r="B2687" s="11"/>
      <c r="C2687" s="11" t="str">
        <f>IF(COUNTIF(D$1:D2687,D2687)=1,MAX(C$1:C2686)+1,"")</f>
        <v/>
      </c>
      <c r="D2687" s="12"/>
    </row>
    <row r="2688" spans="1:4" x14ac:dyDescent="0.25">
      <c r="A2688" t="str">
        <f>IF(COUNTIF(B$1:B2688,B2688)=1,MAX(A$1:A2687)+1,"")</f>
        <v/>
      </c>
      <c r="B2688" s="11"/>
      <c r="C2688" s="11" t="str">
        <f>IF(COUNTIF(D$1:D2688,D2688)=1,MAX(C$1:C2687)+1,"")</f>
        <v/>
      </c>
      <c r="D2688" s="12"/>
    </row>
    <row r="2689" spans="1:4" x14ac:dyDescent="0.25">
      <c r="A2689" t="str">
        <f>IF(COUNTIF(B$1:B2689,B2689)=1,MAX(A$1:A2688)+1,"")</f>
        <v/>
      </c>
      <c r="B2689" s="11"/>
      <c r="C2689" s="11" t="str">
        <f>IF(COUNTIF(D$1:D2689,D2689)=1,MAX(C$1:C2688)+1,"")</f>
        <v/>
      </c>
      <c r="D2689" s="12"/>
    </row>
    <row r="2690" spans="1:4" x14ac:dyDescent="0.25">
      <c r="A2690" t="str">
        <f>IF(COUNTIF(B$1:B2690,B2690)=1,MAX(A$1:A2689)+1,"")</f>
        <v/>
      </c>
      <c r="B2690" s="11"/>
      <c r="C2690" s="11" t="str">
        <f>IF(COUNTIF(D$1:D2690,D2690)=1,MAX(C$1:C2689)+1,"")</f>
        <v/>
      </c>
      <c r="D2690" s="12"/>
    </row>
    <row r="2691" spans="1:4" x14ac:dyDescent="0.25">
      <c r="A2691" t="str">
        <f>IF(COUNTIF(B$1:B2691,B2691)=1,MAX(A$1:A2690)+1,"")</f>
        <v/>
      </c>
      <c r="B2691" s="11"/>
      <c r="C2691" s="11" t="str">
        <f>IF(COUNTIF(D$1:D2691,D2691)=1,MAX(C$1:C2690)+1,"")</f>
        <v/>
      </c>
      <c r="D2691" s="12"/>
    </row>
    <row r="2692" spans="1:4" x14ac:dyDescent="0.25">
      <c r="A2692" t="str">
        <f>IF(COUNTIF(B$1:B2692,B2692)=1,MAX(A$1:A2691)+1,"")</f>
        <v/>
      </c>
      <c r="B2692" s="11"/>
      <c r="C2692" s="11" t="str">
        <f>IF(COUNTIF(D$1:D2692,D2692)=1,MAX(C$1:C2691)+1,"")</f>
        <v/>
      </c>
      <c r="D2692" s="12"/>
    </row>
    <row r="2693" spans="1:4" x14ac:dyDescent="0.25">
      <c r="A2693" t="str">
        <f>IF(COUNTIF(B$1:B2693,B2693)=1,MAX(A$1:A2692)+1,"")</f>
        <v/>
      </c>
      <c r="B2693" s="11"/>
      <c r="C2693" s="11" t="str">
        <f>IF(COUNTIF(D$1:D2693,D2693)=1,MAX(C$1:C2692)+1,"")</f>
        <v/>
      </c>
      <c r="D2693" s="12"/>
    </row>
    <row r="2694" spans="1:4" x14ac:dyDescent="0.25">
      <c r="A2694" t="str">
        <f>IF(COUNTIF(B$1:B2694,B2694)=1,MAX(A$1:A2693)+1,"")</f>
        <v/>
      </c>
      <c r="B2694" s="11"/>
      <c r="C2694" s="11" t="str">
        <f>IF(COUNTIF(D$1:D2694,D2694)=1,MAX(C$1:C2693)+1,"")</f>
        <v/>
      </c>
      <c r="D2694" s="12"/>
    </row>
    <row r="2695" spans="1:4" x14ac:dyDescent="0.25">
      <c r="A2695" t="str">
        <f>IF(COUNTIF(B$1:B2695,B2695)=1,MAX(A$1:A2694)+1,"")</f>
        <v/>
      </c>
      <c r="B2695" s="11"/>
      <c r="C2695" s="11" t="str">
        <f>IF(COUNTIF(D$1:D2695,D2695)=1,MAX(C$1:C2694)+1,"")</f>
        <v/>
      </c>
      <c r="D2695" s="12"/>
    </row>
    <row r="2696" spans="1:4" x14ac:dyDescent="0.25">
      <c r="A2696" t="str">
        <f>IF(COUNTIF(B$1:B2696,B2696)=1,MAX(A$1:A2695)+1,"")</f>
        <v/>
      </c>
      <c r="B2696" s="11"/>
      <c r="C2696" s="11" t="str">
        <f>IF(COUNTIF(D$1:D2696,D2696)=1,MAX(C$1:C2695)+1,"")</f>
        <v/>
      </c>
      <c r="D2696" s="12"/>
    </row>
    <row r="2697" spans="1:4" x14ac:dyDescent="0.25">
      <c r="A2697" t="str">
        <f>IF(COUNTIF(B$1:B2697,B2697)=1,MAX(A$1:A2696)+1,"")</f>
        <v/>
      </c>
      <c r="B2697" s="11"/>
      <c r="C2697" s="11" t="str">
        <f>IF(COUNTIF(D$1:D2697,D2697)=1,MAX(C$1:C2696)+1,"")</f>
        <v/>
      </c>
      <c r="D2697" s="12"/>
    </row>
    <row r="2698" spans="1:4" x14ac:dyDescent="0.25">
      <c r="A2698" t="str">
        <f>IF(COUNTIF(B$1:B2698,B2698)=1,MAX(A$1:A2697)+1,"")</f>
        <v/>
      </c>
      <c r="B2698" s="11"/>
      <c r="C2698" s="11" t="str">
        <f>IF(COUNTIF(D$1:D2698,D2698)=1,MAX(C$1:C2697)+1,"")</f>
        <v/>
      </c>
      <c r="D2698" s="12"/>
    </row>
    <row r="2699" spans="1:4" x14ac:dyDescent="0.25">
      <c r="A2699" t="str">
        <f>IF(COUNTIF(B$1:B2699,B2699)=1,MAX(A$1:A2698)+1,"")</f>
        <v/>
      </c>
      <c r="B2699" s="11"/>
      <c r="C2699" s="11" t="str">
        <f>IF(COUNTIF(D$1:D2699,D2699)=1,MAX(C$1:C2698)+1,"")</f>
        <v/>
      </c>
      <c r="D2699" s="12"/>
    </row>
    <row r="2700" spans="1:4" x14ac:dyDescent="0.25">
      <c r="A2700" t="str">
        <f>IF(COUNTIF(B$1:B2700,B2700)=1,MAX(A$1:A2699)+1,"")</f>
        <v/>
      </c>
      <c r="B2700" s="11"/>
      <c r="C2700" s="11" t="str">
        <f>IF(COUNTIF(D$1:D2700,D2700)=1,MAX(C$1:C2699)+1,"")</f>
        <v/>
      </c>
      <c r="D2700" s="12"/>
    </row>
    <row r="2701" spans="1:4" x14ac:dyDescent="0.25">
      <c r="A2701" t="str">
        <f>IF(COUNTIF(B$1:B2701,B2701)=1,MAX(A$1:A2700)+1,"")</f>
        <v/>
      </c>
      <c r="B2701" s="11"/>
      <c r="C2701" s="11" t="str">
        <f>IF(COUNTIF(D$1:D2701,D2701)=1,MAX(C$1:C2700)+1,"")</f>
        <v/>
      </c>
      <c r="D2701" s="12"/>
    </row>
    <row r="2702" spans="1:4" x14ac:dyDescent="0.25">
      <c r="A2702" t="str">
        <f>IF(COUNTIF(B$1:B2702,B2702)=1,MAX(A$1:A2701)+1,"")</f>
        <v/>
      </c>
      <c r="B2702" s="11"/>
      <c r="C2702" s="11" t="str">
        <f>IF(COUNTIF(D$1:D2702,D2702)=1,MAX(C$1:C2701)+1,"")</f>
        <v/>
      </c>
      <c r="D2702" s="12"/>
    </row>
    <row r="2703" spans="1:4" x14ac:dyDescent="0.25">
      <c r="A2703" t="str">
        <f>IF(COUNTIF(B$1:B2703,B2703)=1,MAX(A$1:A2702)+1,"")</f>
        <v/>
      </c>
      <c r="B2703" s="11"/>
      <c r="C2703" s="11" t="str">
        <f>IF(COUNTIF(D$1:D2703,D2703)=1,MAX(C$1:C2702)+1,"")</f>
        <v/>
      </c>
      <c r="D2703" s="12"/>
    </row>
    <row r="2704" spans="1:4" x14ac:dyDescent="0.25">
      <c r="A2704" t="str">
        <f>IF(COUNTIF(B$1:B2704,B2704)=1,MAX(A$1:A2703)+1,"")</f>
        <v/>
      </c>
      <c r="B2704" s="11"/>
      <c r="C2704" s="11" t="str">
        <f>IF(COUNTIF(D$1:D2704,D2704)=1,MAX(C$1:C2703)+1,"")</f>
        <v/>
      </c>
      <c r="D2704" s="12"/>
    </row>
    <row r="2705" spans="1:4" x14ac:dyDescent="0.25">
      <c r="A2705" t="str">
        <f>IF(COUNTIF(B$1:B2705,B2705)=1,MAX(A$1:A2704)+1,"")</f>
        <v/>
      </c>
      <c r="B2705" s="11"/>
      <c r="C2705" s="11" t="str">
        <f>IF(COUNTIF(D$1:D2705,D2705)=1,MAX(C$1:C2704)+1,"")</f>
        <v/>
      </c>
      <c r="D2705" s="12"/>
    </row>
    <row r="2706" spans="1:4" x14ac:dyDescent="0.25">
      <c r="A2706" t="str">
        <f>IF(COUNTIF(B$1:B2706,B2706)=1,MAX(A$1:A2705)+1,"")</f>
        <v/>
      </c>
      <c r="B2706" s="11"/>
      <c r="C2706" s="11" t="str">
        <f>IF(COUNTIF(D$1:D2706,D2706)=1,MAX(C$1:C2705)+1,"")</f>
        <v/>
      </c>
      <c r="D2706" s="12"/>
    </row>
    <row r="2707" spans="1:4" x14ac:dyDescent="0.25">
      <c r="A2707" t="str">
        <f>IF(COUNTIF(B$1:B2707,B2707)=1,MAX(A$1:A2706)+1,"")</f>
        <v/>
      </c>
      <c r="B2707" s="11"/>
      <c r="C2707" s="11" t="str">
        <f>IF(COUNTIF(D$1:D2707,D2707)=1,MAX(C$1:C2706)+1,"")</f>
        <v/>
      </c>
      <c r="D2707" s="12"/>
    </row>
    <row r="2708" spans="1:4" x14ac:dyDescent="0.25">
      <c r="A2708" t="str">
        <f>IF(COUNTIF(B$1:B2708,B2708)=1,MAX(A$1:A2707)+1,"")</f>
        <v/>
      </c>
      <c r="B2708" s="11"/>
      <c r="C2708" s="11" t="str">
        <f>IF(COUNTIF(D$1:D2708,D2708)=1,MAX(C$1:C2707)+1,"")</f>
        <v/>
      </c>
      <c r="D2708" s="12"/>
    </row>
    <row r="2709" spans="1:4" x14ac:dyDescent="0.25">
      <c r="A2709" t="str">
        <f>IF(COUNTIF(B$1:B2709,B2709)=1,MAX(A$1:A2708)+1,"")</f>
        <v/>
      </c>
      <c r="B2709" s="11"/>
      <c r="C2709" s="11" t="str">
        <f>IF(COUNTIF(D$1:D2709,D2709)=1,MAX(C$1:C2708)+1,"")</f>
        <v/>
      </c>
      <c r="D2709" s="12"/>
    </row>
    <row r="2710" spans="1:4" x14ac:dyDescent="0.25">
      <c r="A2710" t="str">
        <f>IF(COUNTIF(B$1:B2710,B2710)=1,MAX(A$1:A2709)+1,"")</f>
        <v/>
      </c>
      <c r="B2710" s="11"/>
      <c r="C2710" s="11" t="str">
        <f>IF(COUNTIF(D$1:D2710,D2710)=1,MAX(C$1:C2709)+1,"")</f>
        <v/>
      </c>
      <c r="D2710" s="12"/>
    </row>
    <row r="2711" spans="1:4" x14ac:dyDescent="0.25">
      <c r="A2711" t="str">
        <f>IF(COUNTIF(B$1:B2711,B2711)=1,MAX(A$1:A2710)+1,"")</f>
        <v/>
      </c>
      <c r="B2711" s="11"/>
      <c r="C2711" s="11" t="str">
        <f>IF(COUNTIF(D$1:D2711,D2711)=1,MAX(C$1:C2710)+1,"")</f>
        <v/>
      </c>
      <c r="D2711" s="12"/>
    </row>
    <row r="2712" spans="1:4" x14ac:dyDescent="0.25">
      <c r="A2712" t="str">
        <f>IF(COUNTIF(B$1:B2712,B2712)=1,MAX(A$1:A2711)+1,"")</f>
        <v/>
      </c>
      <c r="B2712" s="11"/>
      <c r="C2712" s="11" t="str">
        <f>IF(COUNTIF(D$1:D2712,D2712)=1,MAX(C$1:C2711)+1,"")</f>
        <v/>
      </c>
      <c r="D2712" s="12"/>
    </row>
    <row r="2713" spans="1:4" x14ac:dyDescent="0.25">
      <c r="A2713" t="str">
        <f>IF(COUNTIF(B$1:B2713,B2713)=1,MAX(A$1:A2712)+1,"")</f>
        <v/>
      </c>
      <c r="B2713" s="11"/>
      <c r="C2713" s="11" t="str">
        <f>IF(COUNTIF(D$1:D2713,D2713)=1,MAX(C$1:C2712)+1,"")</f>
        <v/>
      </c>
      <c r="D2713" s="12"/>
    </row>
    <row r="2714" spans="1:4" x14ac:dyDescent="0.25">
      <c r="A2714" t="str">
        <f>IF(COUNTIF(B$1:B2714,B2714)=1,MAX(A$1:A2713)+1,"")</f>
        <v/>
      </c>
      <c r="B2714" s="11"/>
      <c r="C2714" s="11" t="str">
        <f>IF(COUNTIF(D$1:D2714,D2714)=1,MAX(C$1:C2713)+1,"")</f>
        <v/>
      </c>
      <c r="D2714" s="12"/>
    </row>
    <row r="2715" spans="1:4" x14ac:dyDescent="0.25">
      <c r="A2715" t="str">
        <f>IF(COUNTIF(B$1:B2715,B2715)=1,MAX(A$1:A2714)+1,"")</f>
        <v/>
      </c>
      <c r="B2715" s="11"/>
      <c r="C2715" s="11" t="str">
        <f>IF(COUNTIF(D$1:D2715,D2715)=1,MAX(C$1:C2714)+1,"")</f>
        <v/>
      </c>
      <c r="D2715" s="12"/>
    </row>
    <row r="2716" spans="1:4" x14ac:dyDescent="0.25">
      <c r="A2716" t="str">
        <f>IF(COUNTIF(B$1:B2716,B2716)=1,MAX(A$1:A2715)+1,"")</f>
        <v/>
      </c>
      <c r="B2716" s="11"/>
      <c r="C2716" s="11" t="str">
        <f>IF(COUNTIF(D$1:D2716,D2716)=1,MAX(C$1:C2715)+1,"")</f>
        <v/>
      </c>
      <c r="D2716" s="12"/>
    </row>
    <row r="2717" spans="1:4" x14ac:dyDescent="0.25">
      <c r="A2717" t="str">
        <f>IF(COUNTIF(B$1:B2717,B2717)=1,MAX(A$1:A2716)+1,"")</f>
        <v/>
      </c>
      <c r="B2717" s="11"/>
      <c r="C2717" s="11" t="str">
        <f>IF(COUNTIF(D$1:D2717,D2717)=1,MAX(C$1:C2716)+1,"")</f>
        <v/>
      </c>
      <c r="D2717" s="12"/>
    </row>
    <row r="2718" spans="1:4" x14ac:dyDescent="0.25">
      <c r="A2718" t="str">
        <f>IF(COUNTIF(B$1:B2718,B2718)=1,MAX(A$1:A2717)+1,"")</f>
        <v/>
      </c>
      <c r="B2718" s="11"/>
      <c r="C2718" s="11" t="str">
        <f>IF(COUNTIF(D$1:D2718,D2718)=1,MAX(C$1:C2717)+1,"")</f>
        <v/>
      </c>
      <c r="D2718" s="12"/>
    </row>
    <row r="2719" spans="1:4" x14ac:dyDescent="0.25">
      <c r="A2719" t="str">
        <f>IF(COUNTIF(B$1:B2719,B2719)=1,MAX(A$1:A2718)+1,"")</f>
        <v/>
      </c>
      <c r="B2719" s="11"/>
      <c r="C2719" s="11" t="str">
        <f>IF(COUNTIF(D$1:D2719,D2719)=1,MAX(C$1:C2718)+1,"")</f>
        <v/>
      </c>
      <c r="D2719" s="12"/>
    </row>
    <row r="2720" spans="1:4" x14ac:dyDescent="0.25">
      <c r="A2720" t="str">
        <f>IF(COUNTIF(B$1:B2720,B2720)=1,MAX(A$1:A2719)+1,"")</f>
        <v/>
      </c>
      <c r="B2720" s="11"/>
      <c r="C2720" s="11" t="str">
        <f>IF(COUNTIF(D$1:D2720,D2720)=1,MAX(C$1:C2719)+1,"")</f>
        <v/>
      </c>
      <c r="D2720" s="12"/>
    </row>
    <row r="2721" spans="1:4" x14ac:dyDescent="0.25">
      <c r="A2721" t="str">
        <f>IF(COUNTIF(B$1:B2721,B2721)=1,MAX(A$1:A2720)+1,"")</f>
        <v/>
      </c>
      <c r="B2721" s="11"/>
      <c r="C2721" s="11" t="str">
        <f>IF(COUNTIF(D$1:D2721,D2721)=1,MAX(C$1:C2720)+1,"")</f>
        <v/>
      </c>
      <c r="D2721" s="12"/>
    </row>
    <row r="2722" spans="1:4" x14ac:dyDescent="0.25">
      <c r="A2722" t="str">
        <f>IF(COUNTIF(B$1:B2722,B2722)=1,MAX(A$1:A2721)+1,"")</f>
        <v/>
      </c>
      <c r="B2722" s="11"/>
      <c r="C2722" s="11" t="str">
        <f>IF(COUNTIF(D$1:D2722,D2722)=1,MAX(C$1:C2721)+1,"")</f>
        <v/>
      </c>
      <c r="D2722" s="12"/>
    </row>
    <row r="2723" spans="1:4" x14ac:dyDescent="0.25">
      <c r="A2723" t="str">
        <f>IF(COUNTIF(B$1:B2723,B2723)=1,MAX(A$1:A2722)+1,"")</f>
        <v/>
      </c>
      <c r="B2723" s="11"/>
      <c r="C2723" s="11" t="str">
        <f>IF(COUNTIF(D$1:D2723,D2723)=1,MAX(C$1:C2722)+1,"")</f>
        <v/>
      </c>
      <c r="D2723" s="12"/>
    </row>
    <row r="2724" spans="1:4" x14ac:dyDescent="0.25">
      <c r="A2724" t="str">
        <f>IF(COUNTIF(B$1:B2724,B2724)=1,MAX(A$1:A2723)+1,"")</f>
        <v/>
      </c>
      <c r="B2724" s="11"/>
      <c r="C2724" s="11" t="str">
        <f>IF(COUNTIF(D$1:D2724,D2724)=1,MAX(C$1:C2723)+1,"")</f>
        <v/>
      </c>
      <c r="D2724" s="12"/>
    </row>
    <row r="2725" spans="1:4" x14ac:dyDescent="0.25">
      <c r="A2725" t="str">
        <f>IF(COUNTIF(B$1:B2725,B2725)=1,MAX(A$1:A2724)+1,"")</f>
        <v/>
      </c>
      <c r="B2725" s="11"/>
      <c r="C2725" s="11" t="str">
        <f>IF(COUNTIF(D$1:D2725,D2725)=1,MAX(C$1:C2724)+1,"")</f>
        <v/>
      </c>
      <c r="D2725" s="12"/>
    </row>
    <row r="2726" spans="1:4" x14ac:dyDescent="0.25">
      <c r="A2726" t="str">
        <f>IF(COUNTIF(B$1:B2726,B2726)=1,MAX(A$1:A2725)+1,"")</f>
        <v/>
      </c>
      <c r="B2726" s="11"/>
      <c r="C2726" s="11" t="str">
        <f>IF(COUNTIF(D$1:D2726,D2726)=1,MAX(C$1:C2725)+1,"")</f>
        <v/>
      </c>
      <c r="D2726" s="12"/>
    </row>
    <row r="2727" spans="1:4" x14ac:dyDescent="0.25">
      <c r="A2727" t="str">
        <f>IF(COUNTIF(B$1:B2727,B2727)=1,MAX(A$1:A2726)+1,"")</f>
        <v/>
      </c>
      <c r="B2727" s="11"/>
      <c r="C2727" s="11" t="str">
        <f>IF(COUNTIF(D$1:D2727,D2727)=1,MAX(C$1:C2726)+1,"")</f>
        <v/>
      </c>
      <c r="D2727" s="12"/>
    </row>
    <row r="2728" spans="1:4" x14ac:dyDescent="0.25">
      <c r="A2728" t="str">
        <f>IF(COUNTIF(B$1:B2728,B2728)=1,MAX(A$1:A2727)+1,"")</f>
        <v/>
      </c>
      <c r="B2728" s="11"/>
      <c r="C2728" s="11" t="str">
        <f>IF(COUNTIF(D$1:D2728,D2728)=1,MAX(C$1:C2727)+1,"")</f>
        <v/>
      </c>
      <c r="D2728" s="12"/>
    </row>
    <row r="2729" spans="1:4" x14ac:dyDescent="0.25">
      <c r="A2729" t="str">
        <f>IF(COUNTIF(B$1:B2729,B2729)=1,MAX(A$1:A2728)+1,"")</f>
        <v/>
      </c>
      <c r="B2729" s="11"/>
      <c r="C2729" s="11" t="str">
        <f>IF(COUNTIF(D$1:D2729,D2729)=1,MAX(C$1:C2728)+1,"")</f>
        <v/>
      </c>
      <c r="D2729" s="12"/>
    </row>
    <row r="2730" spans="1:4" x14ac:dyDescent="0.25">
      <c r="A2730" t="str">
        <f>IF(COUNTIF(B$1:B2730,B2730)=1,MAX(A$1:A2729)+1,"")</f>
        <v/>
      </c>
      <c r="B2730" s="11"/>
      <c r="C2730" s="11" t="str">
        <f>IF(COUNTIF(D$1:D2730,D2730)=1,MAX(C$1:C2729)+1,"")</f>
        <v/>
      </c>
      <c r="D2730" s="12"/>
    </row>
    <row r="2731" spans="1:4" x14ac:dyDescent="0.25">
      <c r="A2731" t="str">
        <f>IF(COUNTIF(B$1:B2731,B2731)=1,MAX(A$1:A2730)+1,"")</f>
        <v/>
      </c>
      <c r="B2731" s="11"/>
      <c r="C2731" s="11" t="str">
        <f>IF(COUNTIF(D$1:D2731,D2731)=1,MAX(C$1:C2730)+1,"")</f>
        <v/>
      </c>
      <c r="D2731" s="12"/>
    </row>
    <row r="2732" spans="1:4" x14ac:dyDescent="0.25">
      <c r="A2732" t="str">
        <f>IF(COUNTIF(B$1:B2732,B2732)=1,MAX(A$1:A2731)+1,"")</f>
        <v/>
      </c>
      <c r="B2732" s="11"/>
      <c r="C2732" s="11" t="str">
        <f>IF(COUNTIF(D$1:D2732,D2732)=1,MAX(C$1:C2731)+1,"")</f>
        <v/>
      </c>
      <c r="D2732" s="12"/>
    </row>
    <row r="2733" spans="1:4" x14ac:dyDescent="0.25">
      <c r="A2733" t="str">
        <f>IF(COUNTIF(B$1:B2733,B2733)=1,MAX(A$1:A2732)+1,"")</f>
        <v/>
      </c>
      <c r="B2733" s="11"/>
      <c r="C2733" s="11" t="str">
        <f>IF(COUNTIF(D$1:D2733,D2733)=1,MAX(C$1:C2732)+1,"")</f>
        <v/>
      </c>
      <c r="D2733" s="12"/>
    </row>
    <row r="2734" spans="1:4" x14ac:dyDescent="0.25">
      <c r="A2734" t="str">
        <f>IF(COUNTIF(B$1:B2734,B2734)=1,MAX(A$1:A2733)+1,"")</f>
        <v/>
      </c>
      <c r="B2734" s="11"/>
      <c r="C2734" s="11" t="str">
        <f>IF(COUNTIF(D$1:D2734,D2734)=1,MAX(C$1:C2733)+1,"")</f>
        <v/>
      </c>
      <c r="D2734" s="12"/>
    </row>
    <row r="2735" spans="1:4" x14ac:dyDescent="0.25">
      <c r="A2735" t="str">
        <f>IF(COUNTIF(B$1:B2735,B2735)=1,MAX(A$1:A2734)+1,"")</f>
        <v/>
      </c>
      <c r="B2735" s="11"/>
      <c r="C2735" s="11" t="str">
        <f>IF(COUNTIF(D$1:D2735,D2735)=1,MAX(C$1:C2734)+1,"")</f>
        <v/>
      </c>
      <c r="D2735" s="12"/>
    </row>
    <row r="2736" spans="1:4" x14ac:dyDescent="0.25">
      <c r="A2736" t="str">
        <f>IF(COUNTIF(B$1:B2736,B2736)=1,MAX(A$1:A2735)+1,"")</f>
        <v/>
      </c>
      <c r="B2736" s="11"/>
      <c r="C2736" s="11" t="str">
        <f>IF(COUNTIF(D$1:D2736,D2736)=1,MAX(C$1:C2735)+1,"")</f>
        <v/>
      </c>
      <c r="D2736" s="12"/>
    </row>
    <row r="2737" spans="1:4" x14ac:dyDescent="0.25">
      <c r="A2737" t="str">
        <f>IF(COUNTIF(B$1:B2737,B2737)=1,MAX(A$1:A2736)+1,"")</f>
        <v/>
      </c>
      <c r="B2737" s="11"/>
      <c r="C2737" s="11" t="str">
        <f>IF(COUNTIF(D$1:D2737,D2737)=1,MAX(C$1:C2736)+1,"")</f>
        <v/>
      </c>
      <c r="D2737" s="12"/>
    </row>
    <row r="2738" spans="1:4" x14ac:dyDescent="0.25">
      <c r="A2738" t="str">
        <f>IF(COUNTIF(B$1:B2738,B2738)=1,MAX(A$1:A2737)+1,"")</f>
        <v/>
      </c>
      <c r="B2738" s="11"/>
      <c r="C2738" s="11" t="str">
        <f>IF(COUNTIF(D$1:D2738,D2738)=1,MAX(C$1:C2737)+1,"")</f>
        <v/>
      </c>
      <c r="D2738" s="12"/>
    </row>
    <row r="2739" spans="1:4" x14ac:dyDescent="0.25">
      <c r="A2739" t="str">
        <f>IF(COUNTIF(B$1:B2739,B2739)=1,MAX(A$1:A2738)+1,"")</f>
        <v/>
      </c>
      <c r="B2739" s="11"/>
      <c r="C2739" s="11" t="str">
        <f>IF(COUNTIF(D$1:D2739,D2739)=1,MAX(C$1:C2738)+1,"")</f>
        <v/>
      </c>
      <c r="D2739" s="12"/>
    </row>
    <row r="2740" spans="1:4" x14ac:dyDescent="0.25">
      <c r="A2740" t="str">
        <f>IF(COUNTIF(B$1:B2740,B2740)=1,MAX(A$1:A2739)+1,"")</f>
        <v/>
      </c>
      <c r="B2740" s="11"/>
      <c r="C2740" s="11" t="str">
        <f>IF(COUNTIF(D$1:D2740,D2740)=1,MAX(C$1:C2739)+1,"")</f>
        <v/>
      </c>
      <c r="D2740" s="12"/>
    </row>
    <row r="2741" spans="1:4" x14ac:dyDescent="0.25">
      <c r="A2741" t="str">
        <f>IF(COUNTIF(B$1:B2741,B2741)=1,MAX(A$1:A2740)+1,"")</f>
        <v/>
      </c>
      <c r="B2741" s="11"/>
      <c r="C2741" s="11" t="str">
        <f>IF(COUNTIF(D$1:D2741,D2741)=1,MAX(C$1:C2740)+1,"")</f>
        <v/>
      </c>
      <c r="D2741" s="12"/>
    </row>
    <row r="2742" spans="1:4" x14ac:dyDescent="0.25">
      <c r="A2742" t="str">
        <f>IF(COUNTIF(B$1:B2742,B2742)=1,MAX(A$1:A2741)+1,"")</f>
        <v/>
      </c>
      <c r="B2742" s="11"/>
      <c r="C2742" s="11" t="str">
        <f>IF(COUNTIF(D$1:D2742,D2742)=1,MAX(C$1:C2741)+1,"")</f>
        <v/>
      </c>
      <c r="D2742" s="12"/>
    </row>
    <row r="2743" spans="1:4" x14ac:dyDescent="0.25">
      <c r="A2743" t="str">
        <f>IF(COUNTIF(B$1:B2743,B2743)=1,MAX(A$1:A2742)+1,"")</f>
        <v/>
      </c>
      <c r="B2743" s="11"/>
      <c r="C2743" s="11" t="str">
        <f>IF(COUNTIF(D$1:D2743,D2743)=1,MAX(C$1:C2742)+1,"")</f>
        <v/>
      </c>
      <c r="D2743" s="12"/>
    </row>
    <row r="2744" spans="1:4" x14ac:dyDescent="0.25">
      <c r="A2744" t="str">
        <f>IF(COUNTIF(B$1:B2744,B2744)=1,MAX(A$1:A2743)+1,"")</f>
        <v/>
      </c>
      <c r="B2744" s="11"/>
      <c r="C2744" s="11" t="str">
        <f>IF(COUNTIF(D$1:D2744,D2744)=1,MAX(C$1:C2743)+1,"")</f>
        <v/>
      </c>
      <c r="D2744" s="12"/>
    </row>
    <row r="2745" spans="1:4" x14ac:dyDescent="0.25">
      <c r="A2745" t="str">
        <f>IF(COUNTIF(B$1:B2745,B2745)=1,MAX(A$1:A2744)+1,"")</f>
        <v/>
      </c>
      <c r="B2745" s="11"/>
      <c r="C2745" s="11" t="str">
        <f>IF(COUNTIF(D$1:D2745,D2745)=1,MAX(C$1:C2744)+1,"")</f>
        <v/>
      </c>
      <c r="D2745" s="12"/>
    </row>
    <row r="2746" spans="1:4" x14ac:dyDescent="0.25">
      <c r="A2746" t="str">
        <f>IF(COUNTIF(B$1:B2746,B2746)=1,MAX(A$1:A2745)+1,"")</f>
        <v/>
      </c>
      <c r="B2746" s="11"/>
      <c r="C2746" s="11" t="str">
        <f>IF(COUNTIF(D$1:D2746,D2746)=1,MAX(C$1:C2745)+1,"")</f>
        <v/>
      </c>
      <c r="D2746" s="12"/>
    </row>
    <row r="2747" spans="1:4" x14ac:dyDescent="0.25">
      <c r="A2747" t="str">
        <f>IF(COUNTIF(B$1:B2747,B2747)=1,MAX(A$1:A2746)+1,"")</f>
        <v/>
      </c>
      <c r="B2747" s="11"/>
      <c r="C2747" s="11" t="str">
        <f>IF(COUNTIF(D$1:D2747,D2747)=1,MAX(C$1:C2746)+1,"")</f>
        <v/>
      </c>
      <c r="D2747" s="12"/>
    </row>
    <row r="2748" spans="1:4" x14ac:dyDescent="0.25">
      <c r="A2748" t="str">
        <f>IF(COUNTIF(B$1:B2748,B2748)=1,MAX(A$1:A2747)+1,"")</f>
        <v/>
      </c>
      <c r="B2748" s="11"/>
      <c r="C2748" s="11" t="str">
        <f>IF(COUNTIF(D$1:D2748,D2748)=1,MAX(C$1:C2747)+1,"")</f>
        <v/>
      </c>
      <c r="D2748" s="12"/>
    </row>
    <row r="2749" spans="1:4" x14ac:dyDescent="0.25">
      <c r="A2749" t="str">
        <f>IF(COUNTIF(B$1:B2749,B2749)=1,MAX(A$1:A2748)+1,"")</f>
        <v/>
      </c>
      <c r="B2749" s="11"/>
      <c r="C2749" s="11" t="str">
        <f>IF(COUNTIF(D$1:D2749,D2749)=1,MAX(C$1:C2748)+1,"")</f>
        <v/>
      </c>
      <c r="D2749" s="12"/>
    </row>
    <row r="2750" spans="1:4" x14ac:dyDescent="0.25">
      <c r="A2750" t="str">
        <f>IF(COUNTIF(B$1:B2750,B2750)=1,MAX(A$1:A2749)+1,"")</f>
        <v/>
      </c>
      <c r="B2750" s="11"/>
      <c r="C2750" s="11" t="str">
        <f>IF(COUNTIF(D$1:D2750,D2750)=1,MAX(C$1:C2749)+1,"")</f>
        <v/>
      </c>
      <c r="D2750" s="12"/>
    </row>
    <row r="2751" spans="1:4" x14ac:dyDescent="0.25">
      <c r="A2751" t="str">
        <f>IF(COUNTIF(B$1:B2751,B2751)=1,MAX(A$1:A2750)+1,"")</f>
        <v/>
      </c>
      <c r="B2751" s="11"/>
      <c r="C2751" s="11" t="str">
        <f>IF(COUNTIF(D$1:D2751,D2751)=1,MAX(C$1:C2750)+1,"")</f>
        <v/>
      </c>
      <c r="D2751" s="12"/>
    </row>
    <row r="2752" spans="1:4" x14ac:dyDescent="0.25">
      <c r="A2752" t="str">
        <f>IF(COUNTIF(B$1:B2752,B2752)=1,MAX(A$1:A2751)+1,"")</f>
        <v/>
      </c>
      <c r="B2752" s="11"/>
      <c r="C2752" s="11" t="str">
        <f>IF(COUNTIF(D$1:D2752,D2752)=1,MAX(C$1:C2751)+1,"")</f>
        <v/>
      </c>
      <c r="D2752" s="12"/>
    </row>
    <row r="2753" spans="1:4" x14ac:dyDescent="0.25">
      <c r="A2753" t="str">
        <f>IF(COUNTIF(B$1:B2753,B2753)=1,MAX(A$1:A2752)+1,"")</f>
        <v/>
      </c>
      <c r="B2753" s="11"/>
      <c r="C2753" s="11" t="str">
        <f>IF(COUNTIF(D$1:D2753,D2753)=1,MAX(C$1:C2752)+1,"")</f>
        <v/>
      </c>
      <c r="D2753" s="12"/>
    </row>
    <row r="2754" spans="1:4" x14ac:dyDescent="0.25">
      <c r="A2754" t="str">
        <f>IF(COUNTIF(B$1:B2754,B2754)=1,MAX(A$1:A2753)+1,"")</f>
        <v/>
      </c>
      <c r="B2754" s="11"/>
      <c r="C2754" s="11" t="str">
        <f>IF(COUNTIF(D$1:D2754,D2754)=1,MAX(C$1:C2753)+1,"")</f>
        <v/>
      </c>
      <c r="D2754" s="12"/>
    </row>
    <row r="2755" spans="1:4" x14ac:dyDescent="0.25">
      <c r="A2755" t="str">
        <f>IF(COUNTIF(B$1:B2755,B2755)=1,MAX(A$1:A2754)+1,"")</f>
        <v/>
      </c>
      <c r="B2755" s="11"/>
      <c r="C2755" s="11" t="str">
        <f>IF(COUNTIF(D$1:D2755,D2755)=1,MAX(C$1:C2754)+1,"")</f>
        <v/>
      </c>
      <c r="D2755" s="12"/>
    </row>
    <row r="2756" spans="1:4" x14ac:dyDescent="0.25">
      <c r="A2756" t="str">
        <f>IF(COUNTIF(B$1:B2756,B2756)=1,MAX(A$1:A2755)+1,"")</f>
        <v/>
      </c>
      <c r="B2756" s="11"/>
      <c r="C2756" s="11" t="str">
        <f>IF(COUNTIF(D$1:D2756,D2756)=1,MAX(C$1:C2755)+1,"")</f>
        <v/>
      </c>
      <c r="D2756" s="12"/>
    </row>
    <row r="2757" spans="1:4" x14ac:dyDescent="0.25">
      <c r="A2757" t="str">
        <f>IF(COUNTIF(B$1:B2757,B2757)=1,MAX(A$1:A2756)+1,"")</f>
        <v/>
      </c>
      <c r="B2757" s="11"/>
      <c r="C2757" s="11" t="str">
        <f>IF(COUNTIF(D$1:D2757,D2757)=1,MAX(C$1:C2756)+1,"")</f>
        <v/>
      </c>
      <c r="D2757" s="12"/>
    </row>
    <row r="2758" spans="1:4" x14ac:dyDescent="0.25">
      <c r="A2758" t="str">
        <f>IF(COUNTIF(B$1:B2758,B2758)=1,MAX(A$1:A2757)+1,"")</f>
        <v/>
      </c>
      <c r="B2758" s="11"/>
      <c r="C2758" s="11" t="str">
        <f>IF(COUNTIF(D$1:D2758,D2758)=1,MAX(C$1:C2757)+1,"")</f>
        <v/>
      </c>
      <c r="D2758" s="12"/>
    </row>
    <row r="2759" spans="1:4" x14ac:dyDescent="0.25">
      <c r="A2759" t="str">
        <f>IF(COUNTIF(B$1:B2759,B2759)=1,MAX(A$1:A2758)+1,"")</f>
        <v/>
      </c>
      <c r="B2759" s="11"/>
      <c r="C2759" s="11" t="str">
        <f>IF(COUNTIF(D$1:D2759,D2759)=1,MAX(C$1:C2758)+1,"")</f>
        <v/>
      </c>
      <c r="D2759" s="12"/>
    </row>
    <row r="2760" spans="1:4" x14ac:dyDescent="0.25">
      <c r="A2760" t="str">
        <f>IF(COUNTIF(B$1:B2760,B2760)=1,MAX(A$1:A2759)+1,"")</f>
        <v/>
      </c>
      <c r="B2760" s="11"/>
      <c r="C2760" s="11" t="str">
        <f>IF(COUNTIF(D$1:D2760,D2760)=1,MAX(C$1:C2759)+1,"")</f>
        <v/>
      </c>
      <c r="D2760" s="12"/>
    </row>
    <row r="2761" spans="1:4" x14ac:dyDescent="0.25">
      <c r="A2761" t="str">
        <f>IF(COUNTIF(B$1:B2761,B2761)=1,MAX(A$1:A2760)+1,"")</f>
        <v/>
      </c>
      <c r="B2761" s="11"/>
      <c r="C2761" s="11" t="str">
        <f>IF(COUNTIF(D$1:D2761,D2761)=1,MAX(C$1:C2760)+1,"")</f>
        <v/>
      </c>
      <c r="D2761" s="12"/>
    </row>
    <row r="2762" spans="1:4" x14ac:dyDescent="0.25">
      <c r="A2762" t="str">
        <f>IF(COUNTIF(B$1:B2762,B2762)=1,MAX(A$1:A2761)+1,"")</f>
        <v/>
      </c>
      <c r="B2762" s="11"/>
      <c r="C2762" s="11" t="str">
        <f>IF(COUNTIF(D$1:D2762,D2762)=1,MAX(C$1:C2761)+1,"")</f>
        <v/>
      </c>
      <c r="D2762" s="12"/>
    </row>
    <row r="2763" spans="1:4" x14ac:dyDescent="0.25">
      <c r="A2763" t="str">
        <f>IF(COUNTIF(B$1:B2763,B2763)=1,MAX(A$1:A2762)+1,"")</f>
        <v/>
      </c>
      <c r="B2763" s="11"/>
      <c r="C2763" s="11" t="str">
        <f>IF(COUNTIF(D$1:D2763,D2763)=1,MAX(C$1:C2762)+1,"")</f>
        <v/>
      </c>
      <c r="D2763" s="12"/>
    </row>
    <row r="2764" spans="1:4" x14ac:dyDescent="0.25">
      <c r="A2764" t="str">
        <f>IF(COUNTIF(B$1:B2764,B2764)=1,MAX(A$1:A2763)+1,"")</f>
        <v/>
      </c>
      <c r="B2764" s="11"/>
      <c r="C2764" s="11" t="str">
        <f>IF(COUNTIF(D$1:D2764,D2764)=1,MAX(C$1:C2763)+1,"")</f>
        <v/>
      </c>
      <c r="D2764" s="12"/>
    </row>
    <row r="2765" spans="1:4" x14ac:dyDescent="0.25">
      <c r="A2765" t="str">
        <f>IF(COUNTIF(B$1:B2765,B2765)=1,MAX(A$1:A2764)+1,"")</f>
        <v/>
      </c>
      <c r="B2765" s="11"/>
      <c r="C2765" s="11" t="str">
        <f>IF(COUNTIF(D$1:D2765,D2765)=1,MAX(C$1:C2764)+1,"")</f>
        <v/>
      </c>
      <c r="D2765" s="12"/>
    </row>
    <row r="2766" spans="1:4" x14ac:dyDescent="0.25">
      <c r="A2766" t="str">
        <f>IF(COUNTIF(B$1:B2766,B2766)=1,MAX(A$1:A2765)+1,"")</f>
        <v/>
      </c>
      <c r="B2766" s="11"/>
      <c r="C2766" s="11" t="str">
        <f>IF(COUNTIF(D$1:D2766,D2766)=1,MAX(C$1:C2765)+1,"")</f>
        <v/>
      </c>
      <c r="D2766" s="12"/>
    </row>
    <row r="2767" spans="1:4" x14ac:dyDescent="0.25">
      <c r="A2767" t="str">
        <f>IF(COUNTIF(B$1:B2767,B2767)=1,MAX(A$1:A2766)+1,"")</f>
        <v/>
      </c>
      <c r="B2767" s="11"/>
      <c r="C2767" s="11" t="str">
        <f>IF(COUNTIF(D$1:D2767,D2767)=1,MAX(C$1:C2766)+1,"")</f>
        <v/>
      </c>
      <c r="D2767" s="12"/>
    </row>
    <row r="2768" spans="1:4" x14ac:dyDescent="0.25">
      <c r="A2768" t="str">
        <f>IF(COUNTIF(B$1:B2768,B2768)=1,MAX(A$1:A2767)+1,"")</f>
        <v/>
      </c>
      <c r="B2768" s="11"/>
      <c r="C2768" s="11" t="str">
        <f>IF(COUNTIF(D$1:D2768,D2768)=1,MAX(C$1:C2767)+1,"")</f>
        <v/>
      </c>
      <c r="D2768" s="12"/>
    </row>
    <row r="2769" spans="1:4" x14ac:dyDescent="0.25">
      <c r="A2769" t="str">
        <f>IF(COUNTIF(B$1:B2769,B2769)=1,MAX(A$1:A2768)+1,"")</f>
        <v/>
      </c>
      <c r="B2769" s="11"/>
      <c r="C2769" s="11" t="str">
        <f>IF(COUNTIF(D$1:D2769,D2769)=1,MAX(C$1:C2768)+1,"")</f>
        <v/>
      </c>
      <c r="D2769" s="12"/>
    </row>
    <row r="2770" spans="1:4" x14ac:dyDescent="0.25">
      <c r="A2770" t="str">
        <f>IF(COUNTIF(B$1:B2770,B2770)=1,MAX(A$1:A2769)+1,"")</f>
        <v/>
      </c>
      <c r="B2770" s="11"/>
      <c r="C2770" s="11" t="str">
        <f>IF(COUNTIF(D$1:D2770,D2770)=1,MAX(C$1:C2769)+1,"")</f>
        <v/>
      </c>
      <c r="D2770" s="12"/>
    </row>
    <row r="2771" spans="1:4" x14ac:dyDescent="0.25">
      <c r="A2771" t="str">
        <f>IF(COUNTIF(B$1:B2771,B2771)=1,MAX(A$1:A2770)+1,"")</f>
        <v/>
      </c>
      <c r="B2771" s="11"/>
      <c r="C2771" s="11" t="str">
        <f>IF(COUNTIF(D$1:D2771,D2771)=1,MAX(C$1:C2770)+1,"")</f>
        <v/>
      </c>
      <c r="D2771" s="12"/>
    </row>
    <row r="2772" spans="1:4" x14ac:dyDescent="0.25">
      <c r="A2772" t="str">
        <f>IF(COUNTIF(B$1:B2772,B2772)=1,MAX(A$1:A2771)+1,"")</f>
        <v/>
      </c>
      <c r="B2772" s="11"/>
      <c r="C2772" s="11" t="str">
        <f>IF(COUNTIF(D$1:D2772,D2772)=1,MAX(C$1:C2771)+1,"")</f>
        <v/>
      </c>
      <c r="D2772" s="12"/>
    </row>
    <row r="2773" spans="1:4" x14ac:dyDescent="0.25">
      <c r="A2773" t="str">
        <f>IF(COUNTIF(B$1:B2773,B2773)=1,MAX(A$1:A2772)+1,"")</f>
        <v/>
      </c>
      <c r="B2773" s="11"/>
      <c r="C2773" s="11" t="str">
        <f>IF(COUNTIF(D$1:D2773,D2773)=1,MAX(C$1:C2772)+1,"")</f>
        <v/>
      </c>
      <c r="D2773" s="12"/>
    </row>
    <row r="2774" spans="1:4" x14ac:dyDescent="0.25">
      <c r="A2774" t="str">
        <f>IF(COUNTIF(B$1:B2774,B2774)=1,MAX(A$1:A2773)+1,"")</f>
        <v/>
      </c>
      <c r="B2774" s="11"/>
      <c r="C2774" s="11" t="str">
        <f>IF(COUNTIF(D$1:D2774,D2774)=1,MAX(C$1:C2773)+1,"")</f>
        <v/>
      </c>
      <c r="D2774" s="12"/>
    </row>
    <row r="2775" spans="1:4" x14ac:dyDescent="0.25">
      <c r="A2775" t="str">
        <f>IF(COUNTIF(B$1:B2775,B2775)=1,MAX(A$1:A2774)+1,"")</f>
        <v/>
      </c>
      <c r="B2775" s="11"/>
      <c r="C2775" s="11" t="str">
        <f>IF(COUNTIF(D$1:D2775,D2775)=1,MAX(C$1:C2774)+1,"")</f>
        <v/>
      </c>
      <c r="D2775" s="12"/>
    </row>
    <row r="2776" spans="1:4" x14ac:dyDescent="0.25">
      <c r="A2776" t="str">
        <f>IF(COUNTIF(B$1:B2776,B2776)=1,MAX(A$1:A2775)+1,"")</f>
        <v/>
      </c>
      <c r="B2776" s="11"/>
      <c r="C2776" s="11" t="str">
        <f>IF(COUNTIF(D$1:D2776,D2776)=1,MAX(C$1:C2775)+1,"")</f>
        <v/>
      </c>
      <c r="D2776" s="12"/>
    </row>
    <row r="2777" spans="1:4" x14ac:dyDescent="0.25">
      <c r="A2777" t="str">
        <f>IF(COUNTIF(B$1:B2777,B2777)=1,MAX(A$1:A2776)+1,"")</f>
        <v/>
      </c>
      <c r="B2777" s="11"/>
      <c r="C2777" s="11" t="str">
        <f>IF(COUNTIF(D$1:D2777,D2777)=1,MAX(C$1:C2776)+1,"")</f>
        <v/>
      </c>
      <c r="D2777" s="12"/>
    </row>
    <row r="2778" spans="1:4" x14ac:dyDescent="0.25">
      <c r="A2778" t="str">
        <f>IF(COUNTIF(B$1:B2778,B2778)=1,MAX(A$1:A2777)+1,"")</f>
        <v/>
      </c>
      <c r="B2778" s="11"/>
      <c r="C2778" s="11" t="str">
        <f>IF(COUNTIF(D$1:D2778,D2778)=1,MAX(C$1:C2777)+1,"")</f>
        <v/>
      </c>
      <c r="D2778" s="12"/>
    </row>
    <row r="2779" spans="1:4" x14ac:dyDescent="0.25">
      <c r="A2779" t="str">
        <f>IF(COUNTIF(B$1:B2779,B2779)=1,MAX(A$1:A2778)+1,"")</f>
        <v/>
      </c>
      <c r="B2779" s="11"/>
      <c r="C2779" s="11" t="str">
        <f>IF(COUNTIF(D$1:D2779,D2779)=1,MAX(C$1:C2778)+1,"")</f>
        <v/>
      </c>
      <c r="D2779" s="12"/>
    </row>
    <row r="2780" spans="1:4" x14ac:dyDescent="0.25">
      <c r="A2780" t="str">
        <f>IF(COUNTIF(B$1:B2780,B2780)=1,MAX(A$1:A2779)+1,"")</f>
        <v/>
      </c>
      <c r="B2780" s="11"/>
      <c r="C2780" s="11" t="str">
        <f>IF(COUNTIF(D$1:D2780,D2780)=1,MAX(C$1:C2779)+1,"")</f>
        <v/>
      </c>
      <c r="D2780" s="12"/>
    </row>
    <row r="2781" spans="1:4" x14ac:dyDescent="0.25">
      <c r="A2781" t="str">
        <f>IF(COUNTIF(B$1:B2781,B2781)=1,MAX(A$1:A2780)+1,"")</f>
        <v/>
      </c>
      <c r="B2781" s="11"/>
      <c r="C2781" s="11" t="str">
        <f>IF(COUNTIF(D$1:D2781,D2781)=1,MAX(C$1:C2780)+1,"")</f>
        <v/>
      </c>
      <c r="D2781" s="12"/>
    </row>
    <row r="2782" spans="1:4" x14ac:dyDescent="0.25">
      <c r="A2782" t="str">
        <f>IF(COUNTIF(B$1:B2782,B2782)=1,MAX(A$1:A2781)+1,"")</f>
        <v/>
      </c>
      <c r="B2782" s="11"/>
      <c r="C2782" s="11" t="str">
        <f>IF(COUNTIF(D$1:D2782,D2782)=1,MAX(C$1:C2781)+1,"")</f>
        <v/>
      </c>
      <c r="D2782" s="12"/>
    </row>
    <row r="2783" spans="1:4" x14ac:dyDescent="0.25">
      <c r="A2783" t="str">
        <f>IF(COUNTIF(B$1:B2783,B2783)=1,MAX(A$1:A2782)+1,"")</f>
        <v/>
      </c>
      <c r="B2783" s="11"/>
      <c r="C2783" s="11" t="str">
        <f>IF(COUNTIF(D$1:D2783,D2783)=1,MAX(C$1:C2782)+1,"")</f>
        <v/>
      </c>
      <c r="D2783" s="12"/>
    </row>
    <row r="2784" spans="1:4" x14ac:dyDescent="0.25">
      <c r="A2784" t="str">
        <f>IF(COUNTIF(B$1:B2784,B2784)=1,MAX(A$1:A2783)+1,"")</f>
        <v/>
      </c>
      <c r="B2784" s="11"/>
      <c r="C2784" s="11" t="str">
        <f>IF(COUNTIF(D$1:D2784,D2784)=1,MAX(C$1:C2783)+1,"")</f>
        <v/>
      </c>
      <c r="D2784" s="12"/>
    </row>
    <row r="2785" spans="1:4" x14ac:dyDescent="0.25">
      <c r="A2785" t="str">
        <f>IF(COUNTIF(B$1:B2785,B2785)=1,MAX(A$1:A2784)+1,"")</f>
        <v/>
      </c>
      <c r="B2785" s="11"/>
      <c r="C2785" s="11" t="str">
        <f>IF(COUNTIF(D$1:D2785,D2785)=1,MAX(C$1:C2784)+1,"")</f>
        <v/>
      </c>
      <c r="D2785" s="12"/>
    </row>
    <row r="2786" spans="1:4" x14ac:dyDescent="0.25">
      <c r="A2786" t="str">
        <f>IF(COUNTIF(B$1:B2786,B2786)=1,MAX(A$1:A2785)+1,"")</f>
        <v/>
      </c>
      <c r="B2786" s="11"/>
      <c r="C2786" s="11" t="str">
        <f>IF(COUNTIF(D$1:D2786,D2786)=1,MAX(C$1:C2785)+1,"")</f>
        <v/>
      </c>
      <c r="D2786" s="12"/>
    </row>
    <row r="2787" spans="1:4" x14ac:dyDescent="0.25">
      <c r="A2787" t="str">
        <f>IF(COUNTIF(B$1:B2787,B2787)=1,MAX(A$1:A2786)+1,"")</f>
        <v/>
      </c>
      <c r="B2787" s="11"/>
      <c r="C2787" s="11" t="str">
        <f>IF(COUNTIF(D$1:D2787,D2787)=1,MAX(C$1:C2786)+1,"")</f>
        <v/>
      </c>
      <c r="D2787" s="12"/>
    </row>
    <row r="2788" spans="1:4" x14ac:dyDescent="0.25">
      <c r="A2788" t="str">
        <f>IF(COUNTIF(B$1:B2788,B2788)=1,MAX(A$1:A2787)+1,"")</f>
        <v/>
      </c>
      <c r="B2788" s="11"/>
      <c r="C2788" s="11" t="str">
        <f>IF(COUNTIF(D$1:D2788,D2788)=1,MAX(C$1:C2787)+1,"")</f>
        <v/>
      </c>
      <c r="D2788" s="12"/>
    </row>
    <row r="2789" spans="1:4" x14ac:dyDescent="0.25">
      <c r="A2789" t="str">
        <f>IF(COUNTIF(B$1:B2789,B2789)=1,MAX(A$1:A2788)+1,"")</f>
        <v/>
      </c>
      <c r="B2789" s="11"/>
      <c r="C2789" s="11" t="str">
        <f>IF(COUNTIF(D$1:D2789,D2789)=1,MAX(C$1:C2788)+1,"")</f>
        <v/>
      </c>
      <c r="D2789" s="12"/>
    </row>
    <row r="2790" spans="1:4" x14ac:dyDescent="0.25">
      <c r="A2790" t="str">
        <f>IF(COUNTIF(B$1:B2790,B2790)=1,MAX(A$1:A2789)+1,"")</f>
        <v/>
      </c>
      <c r="B2790" s="11"/>
      <c r="C2790" s="11" t="str">
        <f>IF(COUNTIF(D$1:D2790,D2790)=1,MAX(C$1:C2789)+1,"")</f>
        <v/>
      </c>
      <c r="D2790" s="12"/>
    </row>
    <row r="2791" spans="1:4" x14ac:dyDescent="0.25">
      <c r="A2791" t="str">
        <f>IF(COUNTIF(B$1:B2791,B2791)=1,MAX(A$1:A2790)+1,"")</f>
        <v/>
      </c>
      <c r="B2791" s="11"/>
      <c r="C2791" s="11" t="str">
        <f>IF(COUNTIF(D$1:D2791,D2791)=1,MAX(C$1:C2790)+1,"")</f>
        <v/>
      </c>
      <c r="D2791" s="12"/>
    </row>
    <row r="2792" spans="1:4" x14ac:dyDescent="0.25">
      <c r="A2792" t="str">
        <f>IF(COUNTIF(B$1:B2792,B2792)=1,MAX(A$1:A2791)+1,"")</f>
        <v/>
      </c>
      <c r="B2792" s="11"/>
      <c r="C2792" s="11" t="str">
        <f>IF(COUNTIF(D$1:D2792,D2792)=1,MAX(C$1:C2791)+1,"")</f>
        <v/>
      </c>
      <c r="D2792" s="12"/>
    </row>
    <row r="2793" spans="1:4" x14ac:dyDescent="0.25">
      <c r="A2793" t="str">
        <f>IF(COUNTIF(B$1:B2793,B2793)=1,MAX(A$1:A2792)+1,"")</f>
        <v/>
      </c>
      <c r="B2793" s="11"/>
      <c r="C2793" s="11" t="str">
        <f>IF(COUNTIF(D$1:D2793,D2793)=1,MAX(C$1:C2792)+1,"")</f>
        <v/>
      </c>
      <c r="D2793" s="12"/>
    </row>
    <row r="2794" spans="1:4" x14ac:dyDescent="0.25">
      <c r="A2794" t="str">
        <f>IF(COUNTIF(B$1:B2794,B2794)=1,MAX(A$1:A2793)+1,"")</f>
        <v/>
      </c>
      <c r="B2794" s="11"/>
      <c r="C2794" s="11" t="str">
        <f>IF(COUNTIF(D$1:D2794,D2794)=1,MAX(C$1:C2793)+1,"")</f>
        <v/>
      </c>
      <c r="D2794" s="12"/>
    </row>
    <row r="2795" spans="1:4" x14ac:dyDescent="0.25">
      <c r="A2795" t="str">
        <f>IF(COUNTIF(B$1:B2795,B2795)=1,MAX(A$1:A2794)+1,"")</f>
        <v/>
      </c>
      <c r="B2795" s="11"/>
      <c r="C2795" s="11" t="str">
        <f>IF(COUNTIF(D$1:D2795,D2795)=1,MAX(C$1:C2794)+1,"")</f>
        <v/>
      </c>
      <c r="D2795" s="12"/>
    </row>
    <row r="2796" spans="1:4" x14ac:dyDescent="0.25">
      <c r="A2796" t="str">
        <f>IF(COUNTIF(B$1:B2796,B2796)=1,MAX(A$1:A2795)+1,"")</f>
        <v/>
      </c>
      <c r="B2796" s="11"/>
      <c r="C2796" s="11" t="str">
        <f>IF(COUNTIF(D$1:D2796,D2796)=1,MAX(C$1:C2795)+1,"")</f>
        <v/>
      </c>
      <c r="D2796" s="12"/>
    </row>
    <row r="2797" spans="1:4" x14ac:dyDescent="0.25">
      <c r="A2797" t="str">
        <f>IF(COUNTIF(B$1:B2797,B2797)=1,MAX(A$1:A2796)+1,"")</f>
        <v/>
      </c>
      <c r="B2797" s="11"/>
      <c r="C2797" s="11" t="str">
        <f>IF(COUNTIF(D$1:D2797,D2797)=1,MAX(C$1:C2796)+1,"")</f>
        <v/>
      </c>
      <c r="D2797" s="12"/>
    </row>
    <row r="2798" spans="1:4" x14ac:dyDescent="0.25">
      <c r="A2798" t="str">
        <f>IF(COUNTIF(B$1:B2798,B2798)=1,MAX(A$1:A2797)+1,"")</f>
        <v/>
      </c>
      <c r="B2798" s="11"/>
      <c r="C2798" s="11" t="str">
        <f>IF(COUNTIF(D$1:D2798,D2798)=1,MAX(C$1:C2797)+1,"")</f>
        <v/>
      </c>
      <c r="D2798" s="12"/>
    </row>
    <row r="2799" spans="1:4" x14ac:dyDescent="0.25">
      <c r="A2799" t="str">
        <f>IF(COUNTIF(B$1:B2799,B2799)=1,MAX(A$1:A2798)+1,"")</f>
        <v/>
      </c>
      <c r="B2799" s="11"/>
      <c r="C2799" s="11" t="str">
        <f>IF(COUNTIF(D$1:D2799,D2799)=1,MAX(C$1:C2798)+1,"")</f>
        <v/>
      </c>
      <c r="D2799" s="12"/>
    </row>
    <row r="2800" spans="1:4" x14ac:dyDescent="0.25">
      <c r="A2800" t="str">
        <f>IF(COUNTIF(B$1:B2800,B2800)=1,MAX(A$1:A2799)+1,"")</f>
        <v/>
      </c>
      <c r="B2800" s="11"/>
      <c r="C2800" s="11" t="str">
        <f>IF(COUNTIF(D$1:D2800,D2800)=1,MAX(C$1:C2799)+1,"")</f>
        <v/>
      </c>
      <c r="D2800" s="12"/>
    </row>
    <row r="2801" spans="1:4" x14ac:dyDescent="0.25">
      <c r="A2801" t="str">
        <f>IF(COUNTIF(B$1:B2801,B2801)=1,MAX(A$1:A2800)+1,"")</f>
        <v/>
      </c>
      <c r="B2801" s="11"/>
      <c r="C2801" s="11" t="str">
        <f>IF(COUNTIF(D$1:D2801,D2801)=1,MAX(C$1:C2800)+1,"")</f>
        <v/>
      </c>
      <c r="D2801" s="12"/>
    </row>
    <row r="2802" spans="1:4" x14ac:dyDescent="0.25">
      <c r="A2802" t="str">
        <f>IF(COUNTIF(B$1:B2802,B2802)=1,MAX(A$1:A2801)+1,"")</f>
        <v/>
      </c>
      <c r="B2802" s="11"/>
      <c r="C2802" s="11" t="str">
        <f>IF(COUNTIF(D$1:D2802,D2802)=1,MAX(C$1:C2801)+1,"")</f>
        <v/>
      </c>
      <c r="D2802" s="12"/>
    </row>
    <row r="2803" spans="1:4" x14ac:dyDescent="0.25">
      <c r="A2803" t="str">
        <f>IF(COUNTIF(B$1:B2803,B2803)=1,MAX(A$1:A2802)+1,"")</f>
        <v/>
      </c>
      <c r="B2803" s="11"/>
      <c r="C2803" s="11" t="str">
        <f>IF(COUNTIF(D$1:D2803,D2803)=1,MAX(C$1:C2802)+1,"")</f>
        <v/>
      </c>
      <c r="D2803" s="12"/>
    </row>
    <row r="2804" spans="1:4" x14ac:dyDescent="0.25">
      <c r="A2804" t="str">
        <f>IF(COUNTIF(B$1:B2804,B2804)=1,MAX(A$1:A2803)+1,"")</f>
        <v/>
      </c>
      <c r="B2804" s="11"/>
      <c r="C2804" s="11" t="str">
        <f>IF(COUNTIF(D$1:D2804,D2804)=1,MAX(C$1:C2803)+1,"")</f>
        <v/>
      </c>
      <c r="D2804" s="12"/>
    </row>
    <row r="2805" spans="1:4" x14ac:dyDescent="0.25">
      <c r="A2805" t="str">
        <f>IF(COUNTIF(B$1:B2805,B2805)=1,MAX(A$1:A2804)+1,"")</f>
        <v/>
      </c>
      <c r="B2805" s="11"/>
      <c r="C2805" s="11" t="str">
        <f>IF(COUNTIF(D$1:D2805,D2805)=1,MAX(C$1:C2804)+1,"")</f>
        <v/>
      </c>
      <c r="D2805" s="12"/>
    </row>
    <row r="2806" spans="1:4" x14ac:dyDescent="0.25">
      <c r="A2806" t="str">
        <f>IF(COUNTIF(B$1:B2806,B2806)=1,MAX(A$1:A2805)+1,"")</f>
        <v/>
      </c>
      <c r="B2806" s="11"/>
      <c r="C2806" s="11" t="str">
        <f>IF(COUNTIF(D$1:D2806,D2806)=1,MAX(C$1:C2805)+1,"")</f>
        <v/>
      </c>
      <c r="D2806" s="12"/>
    </row>
    <row r="2807" spans="1:4" x14ac:dyDescent="0.25">
      <c r="A2807" t="str">
        <f>IF(COUNTIF(B$1:B2807,B2807)=1,MAX(A$1:A2806)+1,"")</f>
        <v/>
      </c>
      <c r="B2807" s="11"/>
      <c r="C2807" s="11" t="str">
        <f>IF(COUNTIF(D$1:D2807,D2807)=1,MAX(C$1:C2806)+1,"")</f>
        <v/>
      </c>
      <c r="D2807" s="12"/>
    </row>
    <row r="2808" spans="1:4" x14ac:dyDescent="0.25">
      <c r="A2808" t="str">
        <f>IF(COUNTIF(B$1:B2808,B2808)=1,MAX(A$1:A2807)+1,"")</f>
        <v/>
      </c>
      <c r="B2808" s="11"/>
      <c r="C2808" s="11" t="str">
        <f>IF(COUNTIF(D$1:D2808,D2808)=1,MAX(C$1:C2807)+1,"")</f>
        <v/>
      </c>
      <c r="D2808" s="12"/>
    </row>
    <row r="2809" spans="1:4" x14ac:dyDescent="0.25">
      <c r="A2809" t="str">
        <f>IF(COUNTIF(B$1:B2809,B2809)=1,MAX(A$1:A2808)+1,"")</f>
        <v/>
      </c>
      <c r="B2809" s="11"/>
      <c r="C2809" s="11" t="str">
        <f>IF(COUNTIF(D$1:D2809,D2809)=1,MAX(C$1:C2808)+1,"")</f>
        <v/>
      </c>
      <c r="D2809" s="12"/>
    </row>
    <row r="2810" spans="1:4" x14ac:dyDescent="0.25">
      <c r="A2810" t="str">
        <f>IF(COUNTIF(B$1:B2810,B2810)=1,MAX(A$1:A2809)+1,"")</f>
        <v/>
      </c>
      <c r="B2810" s="11"/>
      <c r="C2810" s="11" t="str">
        <f>IF(COUNTIF(D$1:D2810,D2810)=1,MAX(C$1:C2809)+1,"")</f>
        <v/>
      </c>
      <c r="D2810" s="12"/>
    </row>
    <row r="2811" spans="1:4" x14ac:dyDescent="0.25">
      <c r="A2811" t="str">
        <f>IF(COUNTIF(B$1:B2811,B2811)=1,MAX(A$1:A2810)+1,"")</f>
        <v/>
      </c>
      <c r="B2811" s="11"/>
      <c r="C2811" s="11" t="str">
        <f>IF(COUNTIF(D$1:D2811,D2811)=1,MAX(C$1:C2810)+1,"")</f>
        <v/>
      </c>
      <c r="D2811" s="12"/>
    </row>
    <row r="2812" spans="1:4" x14ac:dyDescent="0.25">
      <c r="A2812" t="str">
        <f>IF(COUNTIF(B$1:B2812,B2812)=1,MAX(A$1:A2811)+1,"")</f>
        <v/>
      </c>
      <c r="B2812" s="11"/>
      <c r="C2812" s="11" t="str">
        <f>IF(COUNTIF(D$1:D2812,D2812)=1,MAX(C$1:C2811)+1,"")</f>
        <v/>
      </c>
      <c r="D2812" s="12"/>
    </row>
    <row r="2813" spans="1:4" x14ac:dyDescent="0.25">
      <c r="A2813" t="str">
        <f>IF(COUNTIF(B$1:B2813,B2813)=1,MAX(A$1:A2812)+1,"")</f>
        <v/>
      </c>
      <c r="B2813" s="11"/>
      <c r="C2813" s="11" t="str">
        <f>IF(COUNTIF(D$1:D2813,D2813)=1,MAX(C$1:C2812)+1,"")</f>
        <v/>
      </c>
      <c r="D2813" s="12"/>
    </row>
    <row r="2814" spans="1:4" x14ac:dyDescent="0.25">
      <c r="A2814" t="str">
        <f>IF(COUNTIF(B$1:B2814,B2814)=1,MAX(A$1:A2813)+1,"")</f>
        <v/>
      </c>
      <c r="B2814" s="11"/>
      <c r="C2814" s="11" t="str">
        <f>IF(COUNTIF(D$1:D2814,D2814)=1,MAX(C$1:C2813)+1,"")</f>
        <v/>
      </c>
      <c r="D2814" s="12"/>
    </row>
    <row r="2815" spans="1:4" x14ac:dyDescent="0.25">
      <c r="A2815" t="str">
        <f>IF(COUNTIF(B$1:B2815,B2815)=1,MAX(A$1:A2814)+1,"")</f>
        <v/>
      </c>
      <c r="B2815" s="11"/>
      <c r="C2815" s="11" t="str">
        <f>IF(COUNTIF(D$1:D2815,D2815)=1,MAX(C$1:C2814)+1,"")</f>
        <v/>
      </c>
      <c r="D2815" s="12"/>
    </row>
    <row r="2816" spans="1:4" x14ac:dyDescent="0.25">
      <c r="A2816" t="str">
        <f>IF(COUNTIF(B$1:B2816,B2816)=1,MAX(A$1:A2815)+1,"")</f>
        <v/>
      </c>
      <c r="B2816" s="11"/>
      <c r="C2816" s="11" t="str">
        <f>IF(COUNTIF(D$1:D2816,D2816)=1,MAX(C$1:C2815)+1,"")</f>
        <v/>
      </c>
      <c r="D2816" s="12"/>
    </row>
    <row r="2817" spans="1:4" x14ac:dyDescent="0.25">
      <c r="A2817" t="str">
        <f>IF(COUNTIF(B$1:B2817,B2817)=1,MAX(A$1:A2816)+1,"")</f>
        <v/>
      </c>
      <c r="B2817" s="11"/>
      <c r="C2817" s="11" t="str">
        <f>IF(COUNTIF(D$1:D2817,D2817)=1,MAX(C$1:C2816)+1,"")</f>
        <v/>
      </c>
      <c r="D2817" s="12"/>
    </row>
    <row r="2818" spans="1:4" x14ac:dyDescent="0.25">
      <c r="A2818" t="str">
        <f>IF(COUNTIF(B$1:B2818,B2818)=1,MAX(A$1:A2817)+1,"")</f>
        <v/>
      </c>
      <c r="B2818" s="11"/>
      <c r="C2818" s="11" t="str">
        <f>IF(COUNTIF(D$1:D2818,D2818)=1,MAX(C$1:C2817)+1,"")</f>
        <v/>
      </c>
      <c r="D2818" s="12"/>
    </row>
    <row r="2819" spans="1:4" x14ac:dyDescent="0.25">
      <c r="A2819" t="str">
        <f>IF(COUNTIF(B$1:B2819,B2819)=1,MAX(A$1:A2818)+1,"")</f>
        <v/>
      </c>
      <c r="B2819" s="11"/>
      <c r="C2819" s="11" t="str">
        <f>IF(COUNTIF(D$1:D2819,D2819)=1,MAX(C$1:C2818)+1,"")</f>
        <v/>
      </c>
      <c r="D2819" s="12"/>
    </row>
    <row r="2820" spans="1:4" x14ac:dyDescent="0.25">
      <c r="A2820" t="str">
        <f>IF(COUNTIF(B$1:B2820,B2820)=1,MAX(A$1:A2819)+1,"")</f>
        <v/>
      </c>
      <c r="B2820" s="11"/>
      <c r="C2820" s="11" t="str">
        <f>IF(COUNTIF(D$1:D2820,D2820)=1,MAX(C$1:C2819)+1,"")</f>
        <v/>
      </c>
      <c r="D2820" s="12"/>
    </row>
    <row r="2821" spans="1:4" x14ac:dyDescent="0.25">
      <c r="A2821" t="str">
        <f>IF(COUNTIF(B$1:B2821,B2821)=1,MAX(A$1:A2820)+1,"")</f>
        <v/>
      </c>
      <c r="B2821" s="11"/>
      <c r="C2821" s="11" t="str">
        <f>IF(COUNTIF(D$1:D2821,D2821)=1,MAX(C$1:C2820)+1,"")</f>
        <v/>
      </c>
      <c r="D2821" s="12"/>
    </row>
    <row r="2822" spans="1:4" x14ac:dyDescent="0.25">
      <c r="A2822" t="str">
        <f>IF(COUNTIF(B$1:B2822,B2822)=1,MAX(A$1:A2821)+1,"")</f>
        <v/>
      </c>
      <c r="B2822" s="11"/>
      <c r="C2822" s="11" t="str">
        <f>IF(COUNTIF(D$1:D2822,D2822)=1,MAX(C$1:C2821)+1,"")</f>
        <v/>
      </c>
      <c r="D2822" s="12"/>
    </row>
    <row r="2823" spans="1:4" x14ac:dyDescent="0.25">
      <c r="A2823" t="str">
        <f>IF(COUNTIF(B$1:B2823,B2823)=1,MAX(A$1:A2822)+1,"")</f>
        <v/>
      </c>
      <c r="B2823" s="11"/>
      <c r="C2823" s="11" t="str">
        <f>IF(COUNTIF(D$1:D2823,D2823)=1,MAX(C$1:C2822)+1,"")</f>
        <v/>
      </c>
      <c r="D2823" s="12"/>
    </row>
    <row r="2824" spans="1:4" x14ac:dyDescent="0.25">
      <c r="A2824" t="str">
        <f>IF(COUNTIF(B$1:B2824,B2824)=1,MAX(A$1:A2823)+1,"")</f>
        <v/>
      </c>
      <c r="B2824" s="11"/>
      <c r="C2824" s="11" t="str">
        <f>IF(COUNTIF(D$1:D2824,D2824)=1,MAX(C$1:C2823)+1,"")</f>
        <v/>
      </c>
      <c r="D2824" s="12"/>
    </row>
    <row r="2825" spans="1:4" x14ac:dyDescent="0.25">
      <c r="A2825" t="str">
        <f>IF(COUNTIF(B$1:B2825,B2825)=1,MAX(A$1:A2824)+1,"")</f>
        <v/>
      </c>
      <c r="B2825" s="11"/>
      <c r="C2825" s="11" t="str">
        <f>IF(COUNTIF(D$1:D2825,D2825)=1,MAX(C$1:C2824)+1,"")</f>
        <v/>
      </c>
      <c r="D2825" s="12"/>
    </row>
    <row r="2826" spans="1:4" x14ac:dyDescent="0.25">
      <c r="A2826" t="str">
        <f>IF(COUNTIF(B$1:B2826,B2826)=1,MAX(A$1:A2825)+1,"")</f>
        <v/>
      </c>
      <c r="B2826" s="11"/>
      <c r="C2826" s="11" t="str">
        <f>IF(COUNTIF(D$1:D2826,D2826)=1,MAX(C$1:C2825)+1,"")</f>
        <v/>
      </c>
      <c r="D2826" s="12"/>
    </row>
    <row r="2827" spans="1:4" x14ac:dyDescent="0.25">
      <c r="A2827" t="str">
        <f>IF(COUNTIF(B$1:B2827,B2827)=1,MAX(A$1:A2826)+1,"")</f>
        <v/>
      </c>
      <c r="B2827" s="11"/>
      <c r="C2827" s="11" t="str">
        <f>IF(COUNTIF(D$1:D2827,D2827)=1,MAX(C$1:C2826)+1,"")</f>
        <v/>
      </c>
      <c r="D2827" s="12"/>
    </row>
    <row r="2828" spans="1:4" x14ac:dyDescent="0.25">
      <c r="A2828" t="str">
        <f>IF(COUNTIF(B$1:B2828,B2828)=1,MAX(A$1:A2827)+1,"")</f>
        <v/>
      </c>
      <c r="B2828" s="11"/>
      <c r="C2828" s="11" t="str">
        <f>IF(COUNTIF(D$1:D2828,D2828)=1,MAX(C$1:C2827)+1,"")</f>
        <v/>
      </c>
      <c r="D2828" s="12"/>
    </row>
    <row r="2829" spans="1:4" x14ac:dyDescent="0.25">
      <c r="A2829" t="str">
        <f>IF(COUNTIF(B$1:B2829,B2829)=1,MAX(A$1:A2828)+1,"")</f>
        <v/>
      </c>
      <c r="B2829" s="11"/>
      <c r="C2829" s="11" t="str">
        <f>IF(COUNTIF(D$1:D2829,D2829)=1,MAX(C$1:C2828)+1,"")</f>
        <v/>
      </c>
      <c r="D2829" s="12"/>
    </row>
    <row r="2830" spans="1:4" x14ac:dyDescent="0.25">
      <c r="A2830" t="str">
        <f>IF(COUNTIF(B$1:B2830,B2830)=1,MAX(A$1:A2829)+1,"")</f>
        <v/>
      </c>
      <c r="B2830" s="11"/>
      <c r="C2830" s="11" t="str">
        <f>IF(COUNTIF(D$1:D2830,D2830)=1,MAX(C$1:C2829)+1,"")</f>
        <v/>
      </c>
      <c r="D2830" s="12"/>
    </row>
    <row r="2831" spans="1:4" x14ac:dyDescent="0.25">
      <c r="A2831" t="str">
        <f>IF(COUNTIF(B$1:B2831,B2831)=1,MAX(A$1:A2830)+1,"")</f>
        <v/>
      </c>
      <c r="B2831" s="11"/>
      <c r="C2831" s="11" t="str">
        <f>IF(COUNTIF(D$1:D2831,D2831)=1,MAX(C$1:C2830)+1,"")</f>
        <v/>
      </c>
      <c r="D2831" s="12"/>
    </row>
    <row r="2832" spans="1:4" x14ac:dyDescent="0.25">
      <c r="A2832" t="str">
        <f>IF(COUNTIF(B$1:B2832,B2832)=1,MAX(A$1:A2831)+1,"")</f>
        <v/>
      </c>
      <c r="B2832" s="11"/>
      <c r="C2832" s="11" t="str">
        <f>IF(COUNTIF(D$1:D2832,D2832)=1,MAX(C$1:C2831)+1,"")</f>
        <v/>
      </c>
      <c r="D2832" s="12"/>
    </row>
    <row r="2833" spans="1:4" x14ac:dyDescent="0.25">
      <c r="A2833" t="str">
        <f>IF(COUNTIF(B$1:B2833,B2833)=1,MAX(A$1:A2832)+1,"")</f>
        <v/>
      </c>
      <c r="B2833" s="11"/>
      <c r="C2833" s="11" t="str">
        <f>IF(COUNTIF(D$1:D2833,D2833)=1,MAX(C$1:C2832)+1,"")</f>
        <v/>
      </c>
      <c r="D2833" s="12"/>
    </row>
    <row r="2834" spans="1:4" x14ac:dyDescent="0.25">
      <c r="A2834" t="str">
        <f>IF(COUNTIF(B$1:B2834,B2834)=1,MAX(A$1:A2833)+1,"")</f>
        <v/>
      </c>
      <c r="B2834" s="11"/>
      <c r="C2834" s="11" t="str">
        <f>IF(COUNTIF(D$1:D2834,D2834)=1,MAX(C$1:C2833)+1,"")</f>
        <v/>
      </c>
      <c r="D2834" s="12"/>
    </row>
    <row r="2835" spans="1:4" x14ac:dyDescent="0.25">
      <c r="A2835" t="str">
        <f>IF(COUNTIF(B$1:B2835,B2835)=1,MAX(A$1:A2834)+1,"")</f>
        <v/>
      </c>
      <c r="B2835" s="11"/>
      <c r="C2835" s="11" t="str">
        <f>IF(COUNTIF(D$1:D2835,D2835)=1,MAX(C$1:C2834)+1,"")</f>
        <v/>
      </c>
      <c r="D2835" s="12"/>
    </row>
    <row r="2836" spans="1:4" x14ac:dyDescent="0.25">
      <c r="A2836" t="str">
        <f>IF(COUNTIF(B$1:B2836,B2836)=1,MAX(A$1:A2835)+1,"")</f>
        <v/>
      </c>
      <c r="B2836" s="11"/>
      <c r="C2836" s="11" t="str">
        <f>IF(COUNTIF(D$1:D2836,D2836)=1,MAX(C$1:C2835)+1,"")</f>
        <v/>
      </c>
      <c r="D2836" s="12"/>
    </row>
    <row r="2837" spans="1:4" x14ac:dyDescent="0.25">
      <c r="A2837" t="str">
        <f>IF(COUNTIF(B$1:B2837,B2837)=1,MAX(A$1:A2836)+1,"")</f>
        <v/>
      </c>
      <c r="B2837" s="11"/>
      <c r="C2837" s="11" t="str">
        <f>IF(COUNTIF(D$1:D2837,D2837)=1,MAX(C$1:C2836)+1,"")</f>
        <v/>
      </c>
      <c r="D2837" s="12"/>
    </row>
    <row r="2838" spans="1:4" x14ac:dyDescent="0.25">
      <c r="A2838" t="str">
        <f>IF(COUNTIF(B$1:B2838,B2838)=1,MAX(A$1:A2837)+1,"")</f>
        <v/>
      </c>
      <c r="B2838" s="11"/>
      <c r="C2838" s="11" t="str">
        <f>IF(COUNTIF(D$1:D2838,D2838)=1,MAX(C$1:C2837)+1,"")</f>
        <v/>
      </c>
      <c r="D2838" s="12"/>
    </row>
    <row r="2839" spans="1:4" x14ac:dyDescent="0.25">
      <c r="A2839" t="str">
        <f>IF(COUNTIF(B$1:B2839,B2839)=1,MAX(A$1:A2838)+1,"")</f>
        <v/>
      </c>
      <c r="B2839" s="11"/>
      <c r="C2839" s="11" t="str">
        <f>IF(COUNTIF(D$1:D2839,D2839)=1,MAX(C$1:C2838)+1,"")</f>
        <v/>
      </c>
      <c r="D2839" s="12"/>
    </row>
    <row r="2840" spans="1:4" x14ac:dyDescent="0.25">
      <c r="A2840" t="str">
        <f>IF(COUNTIF(B$1:B2840,B2840)=1,MAX(A$1:A2839)+1,"")</f>
        <v/>
      </c>
      <c r="B2840" s="11"/>
      <c r="C2840" s="11" t="str">
        <f>IF(COUNTIF(D$1:D2840,D2840)=1,MAX(C$1:C2839)+1,"")</f>
        <v/>
      </c>
      <c r="D2840" s="12"/>
    </row>
    <row r="2841" spans="1:4" x14ac:dyDescent="0.25">
      <c r="A2841" t="str">
        <f>IF(COUNTIF(B$1:B2841,B2841)=1,MAX(A$1:A2840)+1,"")</f>
        <v/>
      </c>
      <c r="B2841" s="11"/>
      <c r="C2841" s="11" t="str">
        <f>IF(COUNTIF(D$1:D2841,D2841)=1,MAX(C$1:C2840)+1,"")</f>
        <v/>
      </c>
      <c r="D2841" s="12"/>
    </row>
    <row r="2842" spans="1:4" x14ac:dyDescent="0.25">
      <c r="A2842" t="str">
        <f>IF(COUNTIF(B$1:B2842,B2842)=1,MAX(A$1:A2841)+1,"")</f>
        <v/>
      </c>
      <c r="B2842" s="11"/>
      <c r="C2842" s="11" t="str">
        <f>IF(COUNTIF(D$1:D2842,D2842)=1,MAX(C$1:C2841)+1,"")</f>
        <v/>
      </c>
      <c r="D2842" s="12"/>
    </row>
    <row r="2843" spans="1:4" x14ac:dyDescent="0.25">
      <c r="A2843" t="str">
        <f>IF(COUNTIF(B$1:B2843,B2843)=1,MAX(A$1:A2842)+1,"")</f>
        <v/>
      </c>
      <c r="B2843" s="11"/>
      <c r="C2843" s="11" t="str">
        <f>IF(COUNTIF(D$1:D2843,D2843)=1,MAX(C$1:C2842)+1,"")</f>
        <v/>
      </c>
      <c r="D2843" s="12"/>
    </row>
    <row r="2844" spans="1:4" x14ac:dyDescent="0.25">
      <c r="A2844" t="str">
        <f>IF(COUNTIF(B$1:B2844,B2844)=1,MAX(A$1:A2843)+1,"")</f>
        <v/>
      </c>
      <c r="B2844" s="11"/>
      <c r="C2844" s="11" t="str">
        <f>IF(COUNTIF(D$1:D2844,D2844)=1,MAX(C$1:C2843)+1,"")</f>
        <v/>
      </c>
      <c r="D2844" s="12"/>
    </row>
    <row r="2845" spans="1:4" x14ac:dyDescent="0.25">
      <c r="A2845" t="str">
        <f>IF(COUNTIF(B$1:B2845,B2845)=1,MAX(A$1:A2844)+1,"")</f>
        <v/>
      </c>
      <c r="B2845" s="11"/>
      <c r="C2845" s="11" t="str">
        <f>IF(COUNTIF(D$1:D2845,D2845)=1,MAX(C$1:C2844)+1,"")</f>
        <v/>
      </c>
      <c r="D2845" s="12"/>
    </row>
    <row r="2846" spans="1:4" x14ac:dyDescent="0.25">
      <c r="A2846" t="str">
        <f>IF(COUNTIF(B$1:B2846,B2846)=1,MAX(A$1:A2845)+1,"")</f>
        <v/>
      </c>
      <c r="B2846" s="11"/>
      <c r="C2846" s="11" t="str">
        <f>IF(COUNTIF(D$1:D2846,D2846)=1,MAX(C$1:C2845)+1,"")</f>
        <v/>
      </c>
      <c r="D2846" s="12"/>
    </row>
    <row r="2847" spans="1:4" x14ac:dyDescent="0.25">
      <c r="A2847" t="str">
        <f>IF(COUNTIF(B$1:B2847,B2847)=1,MAX(A$1:A2846)+1,"")</f>
        <v/>
      </c>
      <c r="B2847" s="11"/>
      <c r="C2847" s="11" t="str">
        <f>IF(COUNTIF(D$1:D2847,D2847)=1,MAX(C$1:C2846)+1,"")</f>
        <v/>
      </c>
      <c r="D2847" s="12"/>
    </row>
    <row r="2848" spans="1:4" x14ac:dyDescent="0.25">
      <c r="A2848" t="str">
        <f>IF(COUNTIF(B$1:B2848,B2848)=1,MAX(A$1:A2847)+1,"")</f>
        <v/>
      </c>
      <c r="B2848" s="11"/>
      <c r="C2848" s="11" t="str">
        <f>IF(COUNTIF(D$1:D2848,D2848)=1,MAX(C$1:C2847)+1,"")</f>
        <v/>
      </c>
      <c r="D2848" s="12"/>
    </row>
    <row r="2849" spans="1:4" x14ac:dyDescent="0.25">
      <c r="A2849" t="str">
        <f>IF(COUNTIF(B$1:B2849,B2849)=1,MAX(A$1:A2848)+1,"")</f>
        <v/>
      </c>
      <c r="B2849" s="11"/>
      <c r="C2849" s="11" t="str">
        <f>IF(COUNTIF(D$1:D2849,D2849)=1,MAX(C$1:C2848)+1,"")</f>
        <v/>
      </c>
      <c r="D2849" s="12"/>
    </row>
    <row r="2850" spans="1:4" x14ac:dyDescent="0.25">
      <c r="A2850" t="str">
        <f>IF(COUNTIF(B$1:B2850,B2850)=1,MAX(A$1:A2849)+1,"")</f>
        <v/>
      </c>
      <c r="B2850" s="11"/>
      <c r="C2850" s="11" t="str">
        <f>IF(COUNTIF(D$1:D2850,D2850)=1,MAX(C$1:C2849)+1,"")</f>
        <v/>
      </c>
      <c r="D2850" s="12"/>
    </row>
    <row r="2851" spans="1:4" x14ac:dyDescent="0.25">
      <c r="A2851" t="str">
        <f>IF(COUNTIF(B$1:B2851,B2851)=1,MAX(A$1:A2850)+1,"")</f>
        <v/>
      </c>
      <c r="B2851" s="11"/>
      <c r="C2851" s="11" t="str">
        <f>IF(COUNTIF(D$1:D2851,D2851)=1,MAX(C$1:C2850)+1,"")</f>
        <v/>
      </c>
      <c r="D2851" s="12"/>
    </row>
    <row r="2852" spans="1:4" x14ac:dyDescent="0.25">
      <c r="A2852" t="str">
        <f>IF(COUNTIF(B$1:B2852,B2852)=1,MAX(A$1:A2851)+1,"")</f>
        <v/>
      </c>
      <c r="B2852" s="11"/>
      <c r="C2852" s="11" t="str">
        <f>IF(COUNTIF(D$1:D2852,D2852)=1,MAX(C$1:C2851)+1,"")</f>
        <v/>
      </c>
      <c r="D2852" s="12"/>
    </row>
    <row r="2853" spans="1:4" x14ac:dyDescent="0.25">
      <c r="A2853" t="str">
        <f>IF(COUNTIF(B$1:B2853,B2853)=1,MAX(A$1:A2852)+1,"")</f>
        <v/>
      </c>
      <c r="B2853" s="11"/>
      <c r="C2853" s="11" t="str">
        <f>IF(COUNTIF(D$1:D2853,D2853)=1,MAX(C$1:C2852)+1,"")</f>
        <v/>
      </c>
      <c r="D2853" s="12"/>
    </row>
    <row r="2854" spans="1:4" x14ac:dyDescent="0.25">
      <c r="A2854" t="str">
        <f>IF(COUNTIF(B$1:B2854,B2854)=1,MAX(A$1:A2853)+1,"")</f>
        <v/>
      </c>
      <c r="B2854" s="11"/>
      <c r="C2854" s="11" t="str">
        <f>IF(COUNTIF(D$1:D2854,D2854)=1,MAX(C$1:C2853)+1,"")</f>
        <v/>
      </c>
      <c r="D2854" s="12"/>
    </row>
    <row r="2855" spans="1:4" x14ac:dyDescent="0.25">
      <c r="A2855" t="str">
        <f>IF(COUNTIF(B$1:B2855,B2855)=1,MAX(A$1:A2854)+1,"")</f>
        <v/>
      </c>
      <c r="B2855" s="11"/>
      <c r="C2855" s="11" t="str">
        <f>IF(COUNTIF(D$1:D2855,D2855)=1,MAX(C$1:C2854)+1,"")</f>
        <v/>
      </c>
      <c r="D2855" s="12"/>
    </row>
    <row r="2856" spans="1:4" x14ac:dyDescent="0.25">
      <c r="A2856" t="str">
        <f>IF(COUNTIF(B$1:B2856,B2856)=1,MAX(A$1:A2855)+1,"")</f>
        <v/>
      </c>
      <c r="B2856" s="11"/>
      <c r="C2856" s="11" t="str">
        <f>IF(COUNTIF(D$1:D2856,D2856)=1,MAX(C$1:C2855)+1,"")</f>
        <v/>
      </c>
      <c r="D2856" s="12"/>
    </row>
    <row r="2857" spans="1:4" x14ac:dyDescent="0.25">
      <c r="A2857" t="str">
        <f>IF(COUNTIF(B$1:B2857,B2857)=1,MAX(A$1:A2856)+1,"")</f>
        <v/>
      </c>
      <c r="B2857" s="11"/>
      <c r="C2857" s="11" t="str">
        <f>IF(COUNTIF(D$1:D2857,D2857)=1,MAX(C$1:C2856)+1,"")</f>
        <v/>
      </c>
      <c r="D2857" s="12"/>
    </row>
    <row r="2858" spans="1:4" x14ac:dyDescent="0.25">
      <c r="A2858" t="str">
        <f>IF(COUNTIF(B$1:B2858,B2858)=1,MAX(A$1:A2857)+1,"")</f>
        <v/>
      </c>
      <c r="B2858" s="11"/>
      <c r="C2858" s="11" t="str">
        <f>IF(COUNTIF(D$1:D2858,D2858)=1,MAX(C$1:C2857)+1,"")</f>
        <v/>
      </c>
      <c r="D2858" s="12"/>
    </row>
    <row r="2859" spans="1:4" x14ac:dyDescent="0.25">
      <c r="A2859" t="str">
        <f>IF(COUNTIF(B$1:B2859,B2859)=1,MAX(A$1:A2858)+1,"")</f>
        <v/>
      </c>
      <c r="B2859" s="11"/>
      <c r="C2859" s="11" t="str">
        <f>IF(COUNTIF(D$1:D2859,D2859)=1,MAX(C$1:C2858)+1,"")</f>
        <v/>
      </c>
      <c r="D2859" s="12"/>
    </row>
    <row r="2860" spans="1:4" x14ac:dyDescent="0.25">
      <c r="A2860" t="str">
        <f>IF(COUNTIF(B$1:B2860,B2860)=1,MAX(A$1:A2859)+1,"")</f>
        <v/>
      </c>
      <c r="B2860" s="11"/>
      <c r="C2860" s="11" t="str">
        <f>IF(COUNTIF(D$1:D2860,D2860)=1,MAX(C$1:C2859)+1,"")</f>
        <v/>
      </c>
      <c r="D2860" s="12"/>
    </row>
    <row r="2861" spans="1:4" x14ac:dyDescent="0.25">
      <c r="A2861" t="str">
        <f>IF(COUNTIF(B$1:B2861,B2861)=1,MAX(A$1:A2860)+1,"")</f>
        <v/>
      </c>
      <c r="B2861" s="11"/>
      <c r="C2861" s="11" t="str">
        <f>IF(COUNTIF(D$1:D2861,D2861)=1,MAX(C$1:C2860)+1,"")</f>
        <v/>
      </c>
      <c r="D2861" s="12"/>
    </row>
    <row r="2862" spans="1:4" x14ac:dyDescent="0.25">
      <c r="A2862" t="str">
        <f>IF(COUNTIF(B$1:B2862,B2862)=1,MAX(A$1:A2861)+1,"")</f>
        <v/>
      </c>
      <c r="B2862" s="11"/>
      <c r="C2862" s="11" t="str">
        <f>IF(COUNTIF(D$1:D2862,D2862)=1,MAX(C$1:C2861)+1,"")</f>
        <v/>
      </c>
      <c r="D2862" s="12"/>
    </row>
    <row r="2863" spans="1:4" x14ac:dyDescent="0.25">
      <c r="A2863" t="str">
        <f>IF(COUNTIF(B$1:B2863,B2863)=1,MAX(A$1:A2862)+1,"")</f>
        <v/>
      </c>
      <c r="B2863" s="11"/>
      <c r="C2863" s="11" t="str">
        <f>IF(COUNTIF(D$1:D2863,D2863)=1,MAX(C$1:C2862)+1,"")</f>
        <v/>
      </c>
      <c r="D2863" s="12"/>
    </row>
    <row r="2864" spans="1:4" x14ac:dyDescent="0.25">
      <c r="A2864" t="str">
        <f>IF(COUNTIF(B$1:B2864,B2864)=1,MAX(A$1:A2863)+1,"")</f>
        <v/>
      </c>
      <c r="B2864" s="11"/>
      <c r="C2864" s="11" t="str">
        <f>IF(COUNTIF(D$1:D2864,D2864)=1,MAX(C$1:C2863)+1,"")</f>
        <v/>
      </c>
      <c r="D2864" s="12"/>
    </row>
    <row r="2865" spans="1:4" x14ac:dyDescent="0.25">
      <c r="A2865" t="str">
        <f>IF(COUNTIF(B$1:B2865,B2865)=1,MAX(A$1:A2864)+1,"")</f>
        <v/>
      </c>
      <c r="B2865" s="11"/>
      <c r="C2865" s="11" t="str">
        <f>IF(COUNTIF(D$1:D2865,D2865)=1,MAX(C$1:C2864)+1,"")</f>
        <v/>
      </c>
      <c r="D2865" s="12"/>
    </row>
    <row r="2866" spans="1:4" x14ac:dyDescent="0.25">
      <c r="A2866" t="str">
        <f>IF(COUNTIF(B$1:B2866,B2866)=1,MAX(A$1:A2865)+1,"")</f>
        <v/>
      </c>
      <c r="B2866" s="11"/>
      <c r="C2866" s="11" t="str">
        <f>IF(COUNTIF(D$1:D2866,D2866)=1,MAX(C$1:C2865)+1,"")</f>
        <v/>
      </c>
      <c r="D2866" s="12"/>
    </row>
    <row r="2867" spans="1:4" x14ac:dyDescent="0.25">
      <c r="A2867" t="str">
        <f>IF(COUNTIF(B$1:B2867,B2867)=1,MAX(A$1:A2866)+1,"")</f>
        <v/>
      </c>
      <c r="B2867" s="11"/>
      <c r="C2867" s="11" t="str">
        <f>IF(COUNTIF(D$1:D2867,D2867)=1,MAX(C$1:C2866)+1,"")</f>
        <v/>
      </c>
      <c r="D2867" s="12"/>
    </row>
    <row r="2868" spans="1:4" x14ac:dyDescent="0.25">
      <c r="A2868" t="str">
        <f>IF(COUNTIF(B$1:B2868,B2868)=1,MAX(A$1:A2867)+1,"")</f>
        <v/>
      </c>
      <c r="B2868" s="11"/>
      <c r="C2868" s="11" t="str">
        <f>IF(COUNTIF(D$1:D2868,D2868)=1,MAX(C$1:C2867)+1,"")</f>
        <v/>
      </c>
      <c r="D2868" s="12"/>
    </row>
    <row r="2869" spans="1:4" x14ac:dyDescent="0.25">
      <c r="A2869" t="str">
        <f>IF(COUNTIF(B$1:B2869,B2869)=1,MAX(A$1:A2868)+1,"")</f>
        <v/>
      </c>
      <c r="B2869" s="11"/>
      <c r="C2869" s="11" t="str">
        <f>IF(COUNTIF(D$1:D2869,D2869)=1,MAX(C$1:C2868)+1,"")</f>
        <v/>
      </c>
      <c r="D2869" s="12"/>
    </row>
    <row r="2870" spans="1:4" x14ac:dyDescent="0.25">
      <c r="A2870" t="str">
        <f>IF(COUNTIF(B$1:B2870,B2870)=1,MAX(A$1:A2869)+1,"")</f>
        <v/>
      </c>
      <c r="B2870" s="11"/>
      <c r="C2870" s="11" t="str">
        <f>IF(COUNTIF(D$1:D2870,D2870)=1,MAX(C$1:C2869)+1,"")</f>
        <v/>
      </c>
      <c r="D2870" s="12"/>
    </row>
    <row r="2871" spans="1:4" x14ac:dyDescent="0.25">
      <c r="A2871" t="str">
        <f>IF(COUNTIF(B$1:B2871,B2871)=1,MAX(A$1:A2870)+1,"")</f>
        <v/>
      </c>
      <c r="B2871" s="11"/>
      <c r="C2871" s="11" t="str">
        <f>IF(COUNTIF(D$1:D2871,D2871)=1,MAX(C$1:C2870)+1,"")</f>
        <v/>
      </c>
      <c r="D2871" s="12"/>
    </row>
    <row r="2872" spans="1:4" x14ac:dyDescent="0.25">
      <c r="A2872" t="str">
        <f>IF(COUNTIF(B$1:B2872,B2872)=1,MAX(A$1:A2871)+1,"")</f>
        <v/>
      </c>
      <c r="B2872" s="11"/>
      <c r="C2872" s="11" t="str">
        <f>IF(COUNTIF(D$1:D2872,D2872)=1,MAX(C$1:C2871)+1,"")</f>
        <v/>
      </c>
      <c r="D2872" s="12"/>
    </row>
    <row r="2873" spans="1:4" x14ac:dyDescent="0.25">
      <c r="A2873" t="str">
        <f>IF(COUNTIF(B$1:B2873,B2873)=1,MAX(A$1:A2872)+1,"")</f>
        <v/>
      </c>
      <c r="B2873" s="11"/>
      <c r="C2873" s="11" t="str">
        <f>IF(COUNTIF(D$1:D2873,D2873)=1,MAX(C$1:C2872)+1,"")</f>
        <v/>
      </c>
      <c r="D2873" s="12"/>
    </row>
    <row r="2874" spans="1:4" x14ac:dyDescent="0.25">
      <c r="A2874" t="str">
        <f>IF(COUNTIF(B$1:B2874,B2874)=1,MAX(A$1:A2873)+1,"")</f>
        <v/>
      </c>
      <c r="B2874" s="11"/>
      <c r="C2874" s="11" t="str">
        <f>IF(COUNTIF(D$1:D2874,D2874)=1,MAX(C$1:C2873)+1,"")</f>
        <v/>
      </c>
      <c r="D2874" s="12"/>
    </row>
    <row r="2875" spans="1:4" x14ac:dyDescent="0.25">
      <c r="A2875" t="str">
        <f>IF(COUNTIF(B$1:B2875,B2875)=1,MAX(A$1:A2874)+1,"")</f>
        <v/>
      </c>
      <c r="B2875" s="11"/>
      <c r="C2875" s="11" t="str">
        <f>IF(COUNTIF(D$1:D2875,D2875)=1,MAX(C$1:C2874)+1,"")</f>
        <v/>
      </c>
      <c r="D2875" s="12"/>
    </row>
    <row r="2876" spans="1:4" x14ac:dyDescent="0.25">
      <c r="A2876" t="str">
        <f>IF(COUNTIF(B$1:B2876,B2876)=1,MAX(A$1:A2875)+1,"")</f>
        <v/>
      </c>
      <c r="B2876" s="11"/>
      <c r="C2876" s="11" t="str">
        <f>IF(COUNTIF(D$1:D2876,D2876)=1,MAX(C$1:C2875)+1,"")</f>
        <v/>
      </c>
      <c r="D2876" s="12"/>
    </row>
    <row r="2877" spans="1:4" x14ac:dyDescent="0.25">
      <c r="A2877" t="str">
        <f>IF(COUNTIF(B$1:B2877,B2877)=1,MAX(A$1:A2876)+1,"")</f>
        <v/>
      </c>
      <c r="B2877" s="11"/>
      <c r="C2877" s="11" t="str">
        <f>IF(COUNTIF(D$1:D2877,D2877)=1,MAX(C$1:C2876)+1,"")</f>
        <v/>
      </c>
      <c r="D2877" s="12"/>
    </row>
    <row r="2878" spans="1:4" x14ac:dyDescent="0.25">
      <c r="A2878" t="str">
        <f>IF(COUNTIF(B$1:B2878,B2878)=1,MAX(A$1:A2877)+1,"")</f>
        <v/>
      </c>
      <c r="B2878" s="11"/>
      <c r="C2878" s="11" t="str">
        <f>IF(COUNTIF(D$1:D2878,D2878)=1,MAX(C$1:C2877)+1,"")</f>
        <v/>
      </c>
      <c r="D2878" s="12"/>
    </row>
    <row r="2879" spans="1:4" x14ac:dyDescent="0.25">
      <c r="A2879" t="str">
        <f>IF(COUNTIF(B$1:B2879,B2879)=1,MAX(A$1:A2878)+1,"")</f>
        <v/>
      </c>
      <c r="B2879" s="11"/>
      <c r="C2879" s="11" t="str">
        <f>IF(COUNTIF(D$1:D2879,D2879)=1,MAX(C$1:C2878)+1,"")</f>
        <v/>
      </c>
      <c r="D2879" s="12"/>
    </row>
    <row r="2880" spans="1:4" x14ac:dyDescent="0.25">
      <c r="A2880" t="str">
        <f>IF(COUNTIF(B$1:B2880,B2880)=1,MAX(A$1:A2879)+1,"")</f>
        <v/>
      </c>
      <c r="B2880" s="11"/>
      <c r="C2880" s="11" t="str">
        <f>IF(COUNTIF(D$1:D2880,D2880)=1,MAX(C$1:C2879)+1,"")</f>
        <v/>
      </c>
      <c r="D2880" s="12"/>
    </row>
    <row r="2881" spans="1:4" x14ac:dyDescent="0.25">
      <c r="A2881" t="str">
        <f>IF(COUNTIF(B$1:B2881,B2881)=1,MAX(A$1:A2880)+1,"")</f>
        <v/>
      </c>
      <c r="B2881" s="11"/>
      <c r="C2881" s="11" t="str">
        <f>IF(COUNTIF(D$1:D2881,D2881)=1,MAX(C$1:C2880)+1,"")</f>
        <v/>
      </c>
      <c r="D2881" s="12"/>
    </row>
    <row r="2882" spans="1:4" x14ac:dyDescent="0.25">
      <c r="A2882" t="str">
        <f>IF(COUNTIF(B$1:B2882,B2882)=1,MAX(A$1:A2881)+1,"")</f>
        <v/>
      </c>
      <c r="B2882" s="11"/>
      <c r="C2882" s="11" t="str">
        <f>IF(COUNTIF(D$1:D2882,D2882)=1,MAX(C$1:C2881)+1,"")</f>
        <v/>
      </c>
      <c r="D2882" s="12"/>
    </row>
    <row r="2883" spans="1:4" x14ac:dyDescent="0.25">
      <c r="A2883" t="str">
        <f>IF(COUNTIF(B$1:B2883,B2883)=1,MAX(A$1:A2882)+1,"")</f>
        <v/>
      </c>
      <c r="B2883" s="11"/>
      <c r="C2883" s="11" t="str">
        <f>IF(COUNTIF(D$1:D2883,D2883)=1,MAX(C$1:C2882)+1,"")</f>
        <v/>
      </c>
      <c r="D2883" s="12"/>
    </row>
    <row r="2884" spans="1:4" x14ac:dyDescent="0.25">
      <c r="A2884" t="str">
        <f>IF(COUNTIF(B$1:B2884,B2884)=1,MAX(A$1:A2883)+1,"")</f>
        <v/>
      </c>
      <c r="B2884" s="11"/>
      <c r="C2884" s="11" t="str">
        <f>IF(COUNTIF(D$1:D2884,D2884)=1,MAX(C$1:C2883)+1,"")</f>
        <v/>
      </c>
      <c r="D2884" s="12"/>
    </row>
    <row r="2885" spans="1:4" x14ac:dyDescent="0.25">
      <c r="A2885" t="str">
        <f>IF(COUNTIF(B$1:B2885,B2885)=1,MAX(A$1:A2884)+1,"")</f>
        <v/>
      </c>
      <c r="B2885" s="11"/>
      <c r="C2885" s="11" t="str">
        <f>IF(COUNTIF(D$1:D2885,D2885)=1,MAX(C$1:C2884)+1,"")</f>
        <v/>
      </c>
      <c r="D2885" s="12"/>
    </row>
    <row r="2886" spans="1:4" x14ac:dyDescent="0.25">
      <c r="A2886" t="str">
        <f>IF(COUNTIF(B$1:B2886,B2886)=1,MAX(A$1:A2885)+1,"")</f>
        <v/>
      </c>
      <c r="B2886" s="11"/>
      <c r="C2886" s="11" t="str">
        <f>IF(COUNTIF(D$1:D2886,D2886)=1,MAX(C$1:C2885)+1,"")</f>
        <v/>
      </c>
      <c r="D2886" s="12"/>
    </row>
    <row r="2887" spans="1:4" x14ac:dyDescent="0.25">
      <c r="A2887" t="str">
        <f>IF(COUNTIF(B$1:B2887,B2887)=1,MAX(A$1:A2886)+1,"")</f>
        <v/>
      </c>
      <c r="B2887" s="11"/>
      <c r="C2887" s="11" t="str">
        <f>IF(COUNTIF(D$1:D2887,D2887)=1,MAX(C$1:C2886)+1,"")</f>
        <v/>
      </c>
      <c r="D2887" s="12"/>
    </row>
    <row r="2888" spans="1:4" x14ac:dyDescent="0.25">
      <c r="A2888" t="str">
        <f>IF(COUNTIF(B$1:B2888,B2888)=1,MAX(A$1:A2887)+1,"")</f>
        <v/>
      </c>
      <c r="B2888" s="11"/>
      <c r="C2888" s="11" t="str">
        <f>IF(COUNTIF(D$1:D2888,D2888)=1,MAX(C$1:C2887)+1,"")</f>
        <v/>
      </c>
      <c r="D2888" s="12"/>
    </row>
    <row r="2889" spans="1:4" x14ac:dyDescent="0.25">
      <c r="A2889" t="str">
        <f>IF(COUNTIF(B$1:B2889,B2889)=1,MAX(A$1:A2888)+1,"")</f>
        <v/>
      </c>
      <c r="B2889" s="11"/>
      <c r="C2889" s="11" t="str">
        <f>IF(COUNTIF(D$1:D2889,D2889)=1,MAX(C$1:C2888)+1,"")</f>
        <v/>
      </c>
      <c r="D2889" s="12"/>
    </row>
    <row r="2890" spans="1:4" x14ac:dyDescent="0.25">
      <c r="A2890" t="str">
        <f>IF(COUNTIF(B$1:B2890,B2890)=1,MAX(A$1:A2889)+1,"")</f>
        <v/>
      </c>
      <c r="B2890" s="11"/>
      <c r="C2890" s="11" t="str">
        <f>IF(COUNTIF(D$1:D2890,D2890)=1,MAX(C$1:C2889)+1,"")</f>
        <v/>
      </c>
      <c r="D2890" s="12"/>
    </row>
    <row r="2891" spans="1:4" x14ac:dyDescent="0.25">
      <c r="A2891" t="str">
        <f>IF(COUNTIF(B$1:B2891,B2891)=1,MAX(A$1:A2890)+1,"")</f>
        <v/>
      </c>
      <c r="B2891" s="11"/>
      <c r="C2891" s="11" t="str">
        <f>IF(COUNTIF(D$1:D2891,D2891)=1,MAX(C$1:C2890)+1,"")</f>
        <v/>
      </c>
      <c r="D2891" s="12"/>
    </row>
    <row r="2892" spans="1:4" x14ac:dyDescent="0.25">
      <c r="A2892" t="str">
        <f>IF(COUNTIF(B$1:B2892,B2892)=1,MAX(A$1:A2891)+1,"")</f>
        <v/>
      </c>
      <c r="B2892" s="11"/>
      <c r="C2892" s="11" t="str">
        <f>IF(COUNTIF(D$1:D2892,D2892)=1,MAX(C$1:C2891)+1,"")</f>
        <v/>
      </c>
      <c r="D2892" s="12"/>
    </row>
    <row r="2893" spans="1:4" x14ac:dyDescent="0.25">
      <c r="A2893" t="str">
        <f>IF(COUNTIF(B$1:B2893,B2893)=1,MAX(A$1:A2892)+1,"")</f>
        <v/>
      </c>
      <c r="B2893" s="11"/>
      <c r="C2893" s="11" t="str">
        <f>IF(COUNTIF(D$1:D2893,D2893)=1,MAX(C$1:C2892)+1,"")</f>
        <v/>
      </c>
      <c r="D2893" s="12"/>
    </row>
    <row r="2894" spans="1:4" x14ac:dyDescent="0.25">
      <c r="A2894" t="str">
        <f>IF(COUNTIF(B$1:B2894,B2894)=1,MAX(A$1:A2893)+1,"")</f>
        <v/>
      </c>
      <c r="B2894" s="11"/>
      <c r="C2894" s="11" t="str">
        <f>IF(COUNTIF(D$1:D2894,D2894)=1,MAX(C$1:C2893)+1,"")</f>
        <v/>
      </c>
      <c r="D2894" s="12"/>
    </row>
    <row r="2895" spans="1:4" x14ac:dyDescent="0.25">
      <c r="A2895" t="str">
        <f>IF(COUNTIF(B$1:B2895,B2895)=1,MAX(A$1:A2894)+1,"")</f>
        <v/>
      </c>
      <c r="B2895" s="11"/>
      <c r="C2895" s="11" t="str">
        <f>IF(COUNTIF(D$1:D2895,D2895)=1,MAX(C$1:C2894)+1,"")</f>
        <v/>
      </c>
      <c r="D2895" s="12"/>
    </row>
    <row r="2896" spans="1:4" x14ac:dyDescent="0.25">
      <c r="A2896" t="str">
        <f>IF(COUNTIF(B$1:B2896,B2896)=1,MAX(A$1:A2895)+1,"")</f>
        <v/>
      </c>
      <c r="B2896" s="11"/>
      <c r="C2896" s="11" t="str">
        <f>IF(COUNTIF(D$1:D2896,D2896)=1,MAX(C$1:C2895)+1,"")</f>
        <v/>
      </c>
      <c r="D2896" s="12"/>
    </row>
    <row r="2897" spans="1:4" x14ac:dyDescent="0.25">
      <c r="A2897" t="str">
        <f>IF(COUNTIF(B$1:B2897,B2897)=1,MAX(A$1:A2896)+1,"")</f>
        <v/>
      </c>
      <c r="B2897" s="11"/>
      <c r="C2897" s="11" t="str">
        <f>IF(COUNTIF(D$1:D2897,D2897)=1,MAX(C$1:C2896)+1,"")</f>
        <v/>
      </c>
      <c r="D2897" s="12"/>
    </row>
    <row r="2898" spans="1:4" x14ac:dyDescent="0.25">
      <c r="A2898" t="str">
        <f>IF(COUNTIF(B$1:B2898,B2898)=1,MAX(A$1:A2897)+1,"")</f>
        <v/>
      </c>
      <c r="B2898" s="11"/>
      <c r="C2898" s="11" t="str">
        <f>IF(COUNTIF(D$1:D2898,D2898)=1,MAX(C$1:C2897)+1,"")</f>
        <v/>
      </c>
      <c r="D2898" s="12"/>
    </row>
    <row r="2899" spans="1:4" x14ac:dyDescent="0.25">
      <c r="A2899" t="str">
        <f>IF(COUNTIF(B$1:B2899,B2899)=1,MAX(A$1:A2898)+1,"")</f>
        <v/>
      </c>
      <c r="B2899" s="11"/>
      <c r="C2899" s="11" t="str">
        <f>IF(COUNTIF(D$1:D2899,D2899)=1,MAX(C$1:C2898)+1,"")</f>
        <v/>
      </c>
      <c r="D2899" s="12"/>
    </row>
    <row r="2900" spans="1:4" x14ac:dyDescent="0.25">
      <c r="A2900" t="str">
        <f>IF(COUNTIF(B$1:B2900,B2900)=1,MAX(A$1:A2899)+1,"")</f>
        <v/>
      </c>
      <c r="B2900" s="11"/>
      <c r="C2900" s="11" t="str">
        <f>IF(COUNTIF(D$1:D2900,D2900)=1,MAX(C$1:C2899)+1,"")</f>
        <v/>
      </c>
      <c r="D2900" s="12"/>
    </row>
    <row r="2901" spans="1:4" x14ac:dyDescent="0.25">
      <c r="A2901" t="str">
        <f>IF(COUNTIF(B$1:B2901,B2901)=1,MAX(A$1:A2900)+1,"")</f>
        <v/>
      </c>
      <c r="B2901" s="11"/>
      <c r="C2901" s="11" t="str">
        <f>IF(COUNTIF(D$1:D2901,D2901)=1,MAX(C$1:C2900)+1,"")</f>
        <v/>
      </c>
      <c r="D2901" s="12"/>
    </row>
    <row r="2902" spans="1:4" x14ac:dyDescent="0.25">
      <c r="A2902" t="str">
        <f>IF(COUNTIF(B$1:B2902,B2902)=1,MAX(A$1:A2901)+1,"")</f>
        <v/>
      </c>
      <c r="B2902" s="11"/>
      <c r="C2902" s="11" t="str">
        <f>IF(COUNTIF(D$1:D2902,D2902)=1,MAX(C$1:C2901)+1,"")</f>
        <v/>
      </c>
      <c r="D2902" s="12"/>
    </row>
    <row r="2903" spans="1:4" x14ac:dyDescent="0.25">
      <c r="A2903" t="str">
        <f>IF(COUNTIF(B$1:B2903,B2903)=1,MAX(A$1:A2902)+1,"")</f>
        <v/>
      </c>
      <c r="B2903" s="11"/>
      <c r="C2903" s="11" t="str">
        <f>IF(COUNTIF(D$1:D2903,D2903)=1,MAX(C$1:C2902)+1,"")</f>
        <v/>
      </c>
      <c r="D2903" s="12"/>
    </row>
    <row r="2904" spans="1:4" x14ac:dyDescent="0.25">
      <c r="A2904" t="str">
        <f>IF(COUNTIF(B$1:B2904,B2904)=1,MAX(A$1:A2903)+1,"")</f>
        <v/>
      </c>
      <c r="B2904" s="11"/>
      <c r="C2904" s="11" t="str">
        <f>IF(COUNTIF(D$1:D2904,D2904)=1,MAX(C$1:C2903)+1,"")</f>
        <v/>
      </c>
      <c r="D2904" s="12"/>
    </row>
    <row r="2905" spans="1:4" x14ac:dyDescent="0.25">
      <c r="A2905" t="str">
        <f>IF(COUNTIF(B$1:B2905,B2905)=1,MAX(A$1:A2904)+1,"")</f>
        <v/>
      </c>
      <c r="B2905" s="11"/>
      <c r="C2905" s="11" t="str">
        <f>IF(COUNTIF(D$1:D2905,D2905)=1,MAX(C$1:C2904)+1,"")</f>
        <v/>
      </c>
      <c r="D2905" s="12"/>
    </row>
    <row r="2906" spans="1:4" x14ac:dyDescent="0.25">
      <c r="A2906" t="str">
        <f>IF(COUNTIF(B$1:B2906,B2906)=1,MAX(A$1:A2905)+1,"")</f>
        <v/>
      </c>
      <c r="B2906" s="11"/>
      <c r="C2906" s="11" t="str">
        <f>IF(COUNTIF(D$1:D2906,D2906)=1,MAX(C$1:C2905)+1,"")</f>
        <v/>
      </c>
      <c r="D2906" s="12"/>
    </row>
    <row r="2907" spans="1:4" x14ac:dyDescent="0.25">
      <c r="A2907" t="str">
        <f>IF(COUNTIF(B$1:B2907,B2907)=1,MAX(A$1:A2906)+1,"")</f>
        <v/>
      </c>
      <c r="B2907" s="11"/>
      <c r="C2907" s="11" t="str">
        <f>IF(COUNTIF(D$1:D2907,D2907)=1,MAX(C$1:C2906)+1,"")</f>
        <v/>
      </c>
      <c r="D2907" s="12"/>
    </row>
    <row r="2908" spans="1:4" x14ac:dyDescent="0.25">
      <c r="A2908" t="str">
        <f>IF(COUNTIF(B$1:B2908,B2908)=1,MAX(A$1:A2907)+1,"")</f>
        <v/>
      </c>
      <c r="B2908" s="11"/>
      <c r="C2908" s="11" t="str">
        <f>IF(COUNTIF(D$1:D2908,D2908)=1,MAX(C$1:C2907)+1,"")</f>
        <v/>
      </c>
      <c r="D2908" s="12"/>
    </row>
    <row r="2909" spans="1:4" x14ac:dyDescent="0.25">
      <c r="A2909" t="str">
        <f>IF(COUNTIF(B$1:B2909,B2909)=1,MAX(A$1:A2908)+1,"")</f>
        <v/>
      </c>
      <c r="B2909" s="11"/>
      <c r="C2909" s="11" t="str">
        <f>IF(COUNTIF(D$1:D2909,D2909)=1,MAX(C$1:C2908)+1,"")</f>
        <v/>
      </c>
      <c r="D2909" s="12"/>
    </row>
    <row r="2910" spans="1:4" x14ac:dyDescent="0.25">
      <c r="A2910" t="str">
        <f>IF(COUNTIF(B$1:B2910,B2910)=1,MAX(A$1:A2909)+1,"")</f>
        <v/>
      </c>
      <c r="B2910" s="11"/>
      <c r="C2910" s="11" t="str">
        <f>IF(COUNTIF(D$1:D2910,D2910)=1,MAX(C$1:C2909)+1,"")</f>
        <v/>
      </c>
      <c r="D2910" s="12"/>
    </row>
    <row r="2911" spans="1:4" x14ac:dyDescent="0.25">
      <c r="A2911" t="str">
        <f>IF(COUNTIF(B$1:B2911,B2911)=1,MAX(A$1:A2910)+1,"")</f>
        <v/>
      </c>
      <c r="B2911" s="11"/>
      <c r="C2911" s="11" t="str">
        <f>IF(COUNTIF(D$1:D2911,D2911)=1,MAX(C$1:C2910)+1,"")</f>
        <v/>
      </c>
      <c r="D2911" s="12"/>
    </row>
    <row r="2912" spans="1:4" x14ac:dyDescent="0.25">
      <c r="A2912" t="str">
        <f>IF(COUNTIF(B$1:B2912,B2912)=1,MAX(A$1:A2911)+1,"")</f>
        <v/>
      </c>
      <c r="B2912" s="11"/>
      <c r="C2912" s="11" t="str">
        <f>IF(COUNTIF(D$1:D2912,D2912)=1,MAX(C$1:C2911)+1,"")</f>
        <v/>
      </c>
      <c r="D2912" s="12"/>
    </row>
    <row r="2913" spans="1:4" x14ac:dyDescent="0.25">
      <c r="A2913" t="str">
        <f>IF(COUNTIF(B$1:B2913,B2913)=1,MAX(A$1:A2912)+1,"")</f>
        <v/>
      </c>
      <c r="B2913" s="11"/>
      <c r="C2913" s="11" t="str">
        <f>IF(COUNTIF(D$1:D2913,D2913)=1,MAX(C$1:C2912)+1,"")</f>
        <v/>
      </c>
      <c r="D2913" s="12"/>
    </row>
    <row r="2914" spans="1:4" x14ac:dyDescent="0.25">
      <c r="A2914" t="str">
        <f>IF(COUNTIF(B$1:B2914,B2914)=1,MAX(A$1:A2913)+1,"")</f>
        <v/>
      </c>
      <c r="B2914" s="11"/>
      <c r="C2914" s="11" t="str">
        <f>IF(COUNTIF(D$1:D2914,D2914)=1,MAX(C$1:C2913)+1,"")</f>
        <v/>
      </c>
      <c r="D2914" s="12"/>
    </row>
    <row r="2915" spans="1:4" x14ac:dyDescent="0.25">
      <c r="A2915" t="str">
        <f>IF(COUNTIF(B$1:B2915,B2915)=1,MAX(A$1:A2914)+1,"")</f>
        <v/>
      </c>
      <c r="B2915" s="11"/>
      <c r="C2915" s="11" t="str">
        <f>IF(COUNTIF(D$1:D2915,D2915)=1,MAX(C$1:C2914)+1,"")</f>
        <v/>
      </c>
      <c r="D2915" s="12"/>
    </row>
    <row r="2916" spans="1:4" x14ac:dyDescent="0.25">
      <c r="A2916" t="str">
        <f>IF(COUNTIF(B$1:B2916,B2916)=1,MAX(A$1:A2915)+1,"")</f>
        <v/>
      </c>
      <c r="B2916" s="11"/>
      <c r="C2916" s="11" t="str">
        <f>IF(COUNTIF(D$1:D2916,D2916)=1,MAX(C$1:C2915)+1,"")</f>
        <v/>
      </c>
      <c r="D2916" s="12"/>
    </row>
    <row r="2917" spans="1:4" x14ac:dyDescent="0.25">
      <c r="A2917" t="str">
        <f>IF(COUNTIF(B$1:B2917,B2917)=1,MAX(A$1:A2916)+1,"")</f>
        <v/>
      </c>
      <c r="B2917" s="11"/>
      <c r="C2917" s="11" t="str">
        <f>IF(COUNTIF(D$1:D2917,D2917)=1,MAX(C$1:C2916)+1,"")</f>
        <v/>
      </c>
      <c r="D2917" s="12"/>
    </row>
    <row r="2918" spans="1:4" x14ac:dyDescent="0.25">
      <c r="A2918" t="str">
        <f>IF(COUNTIF(B$1:B2918,B2918)=1,MAX(A$1:A2917)+1,"")</f>
        <v/>
      </c>
      <c r="B2918" s="11"/>
      <c r="C2918" s="11" t="str">
        <f>IF(COUNTIF(D$1:D2918,D2918)=1,MAX(C$1:C2917)+1,"")</f>
        <v/>
      </c>
      <c r="D2918" s="12"/>
    </row>
    <row r="2919" spans="1:4" x14ac:dyDescent="0.25">
      <c r="A2919" t="str">
        <f>IF(COUNTIF(B$1:B2919,B2919)=1,MAX(A$1:A2918)+1,"")</f>
        <v/>
      </c>
      <c r="B2919" s="11"/>
      <c r="C2919" s="11" t="str">
        <f>IF(COUNTIF(D$1:D2919,D2919)=1,MAX(C$1:C2918)+1,"")</f>
        <v/>
      </c>
      <c r="D2919" s="12"/>
    </row>
    <row r="2920" spans="1:4" x14ac:dyDescent="0.25">
      <c r="A2920" t="str">
        <f>IF(COUNTIF(B$1:B2920,B2920)=1,MAX(A$1:A2919)+1,"")</f>
        <v/>
      </c>
      <c r="B2920" s="11"/>
      <c r="C2920" s="11" t="str">
        <f>IF(COUNTIF(D$1:D2920,D2920)=1,MAX(C$1:C2919)+1,"")</f>
        <v/>
      </c>
      <c r="D2920" s="12"/>
    </row>
    <row r="2921" spans="1:4" x14ac:dyDescent="0.25">
      <c r="A2921" t="str">
        <f>IF(COUNTIF(B$1:B2921,B2921)=1,MAX(A$1:A2920)+1,"")</f>
        <v/>
      </c>
      <c r="B2921" s="11"/>
      <c r="C2921" s="11" t="str">
        <f>IF(COUNTIF(D$1:D2921,D2921)=1,MAX(C$1:C2920)+1,"")</f>
        <v/>
      </c>
      <c r="D2921" s="12"/>
    </row>
    <row r="2922" spans="1:4" x14ac:dyDescent="0.25">
      <c r="A2922" t="str">
        <f>IF(COUNTIF(B$1:B2922,B2922)=1,MAX(A$1:A2921)+1,"")</f>
        <v/>
      </c>
      <c r="B2922" s="11"/>
      <c r="C2922" s="11" t="str">
        <f>IF(COUNTIF(D$1:D2922,D2922)=1,MAX(C$1:C2921)+1,"")</f>
        <v/>
      </c>
      <c r="D2922" s="12"/>
    </row>
    <row r="2923" spans="1:4" x14ac:dyDescent="0.25">
      <c r="A2923" t="str">
        <f>IF(COUNTIF(B$1:B2923,B2923)=1,MAX(A$1:A2922)+1,"")</f>
        <v/>
      </c>
      <c r="B2923" s="11"/>
      <c r="C2923" s="11" t="str">
        <f>IF(COUNTIF(D$1:D2923,D2923)=1,MAX(C$1:C2922)+1,"")</f>
        <v/>
      </c>
      <c r="D2923" s="12"/>
    </row>
    <row r="2924" spans="1:4" x14ac:dyDescent="0.25">
      <c r="A2924" t="str">
        <f>IF(COUNTIF(B$1:B2924,B2924)=1,MAX(A$1:A2923)+1,"")</f>
        <v/>
      </c>
      <c r="B2924" s="11"/>
      <c r="C2924" s="11" t="str">
        <f>IF(COUNTIF(D$1:D2924,D2924)=1,MAX(C$1:C2923)+1,"")</f>
        <v/>
      </c>
      <c r="D2924" s="12"/>
    </row>
    <row r="2925" spans="1:4" x14ac:dyDescent="0.25">
      <c r="A2925" t="str">
        <f>IF(COUNTIF(B$1:B2925,B2925)=1,MAX(A$1:A2924)+1,"")</f>
        <v/>
      </c>
      <c r="B2925" s="11"/>
      <c r="C2925" s="11" t="str">
        <f>IF(COUNTIF(D$1:D2925,D2925)=1,MAX(C$1:C2924)+1,"")</f>
        <v/>
      </c>
      <c r="D2925" s="12"/>
    </row>
    <row r="2926" spans="1:4" x14ac:dyDescent="0.25">
      <c r="A2926" t="str">
        <f>IF(COUNTIF(B$1:B2926,B2926)=1,MAX(A$1:A2925)+1,"")</f>
        <v/>
      </c>
      <c r="B2926" s="11"/>
      <c r="C2926" s="11" t="str">
        <f>IF(COUNTIF(D$1:D2926,D2926)=1,MAX(C$1:C2925)+1,"")</f>
        <v/>
      </c>
      <c r="D2926" s="12"/>
    </row>
    <row r="2927" spans="1:4" x14ac:dyDescent="0.25">
      <c r="A2927" t="str">
        <f>IF(COUNTIF(B$1:B2927,B2927)=1,MAX(A$1:A2926)+1,"")</f>
        <v/>
      </c>
      <c r="B2927" s="11"/>
      <c r="C2927" s="11" t="str">
        <f>IF(COUNTIF(D$1:D2927,D2927)=1,MAX(C$1:C2926)+1,"")</f>
        <v/>
      </c>
      <c r="D2927" s="12"/>
    </row>
    <row r="2928" spans="1:4" x14ac:dyDescent="0.25">
      <c r="A2928" t="str">
        <f>IF(COUNTIF(B$1:B2928,B2928)=1,MAX(A$1:A2927)+1,"")</f>
        <v/>
      </c>
      <c r="B2928" s="11"/>
      <c r="C2928" s="11" t="str">
        <f>IF(COUNTIF(D$1:D2928,D2928)=1,MAX(C$1:C2927)+1,"")</f>
        <v/>
      </c>
      <c r="D2928" s="12"/>
    </row>
    <row r="2929" spans="1:4" x14ac:dyDescent="0.25">
      <c r="A2929" t="str">
        <f>IF(COUNTIF(B$1:B2929,B2929)=1,MAX(A$1:A2928)+1,"")</f>
        <v/>
      </c>
      <c r="B2929" s="11"/>
      <c r="C2929" s="11" t="str">
        <f>IF(COUNTIF(D$1:D2929,D2929)=1,MAX(C$1:C2928)+1,"")</f>
        <v/>
      </c>
      <c r="D2929" s="12"/>
    </row>
    <row r="2930" spans="1:4" x14ac:dyDescent="0.25">
      <c r="A2930" t="str">
        <f>IF(COUNTIF(B$1:B2930,B2930)=1,MAX(A$1:A2929)+1,"")</f>
        <v/>
      </c>
      <c r="B2930" s="11"/>
      <c r="C2930" s="11" t="str">
        <f>IF(COUNTIF(D$1:D2930,D2930)=1,MAX(C$1:C2929)+1,"")</f>
        <v/>
      </c>
      <c r="D2930" s="12"/>
    </row>
    <row r="2931" spans="1:4" x14ac:dyDescent="0.25">
      <c r="A2931" t="str">
        <f>IF(COUNTIF(B$1:B2931,B2931)=1,MAX(A$1:A2930)+1,"")</f>
        <v/>
      </c>
      <c r="B2931" s="11"/>
      <c r="C2931" s="11" t="str">
        <f>IF(COUNTIF(D$1:D2931,D2931)=1,MAX(C$1:C2930)+1,"")</f>
        <v/>
      </c>
      <c r="D2931" s="12"/>
    </row>
    <row r="2932" spans="1:4" x14ac:dyDescent="0.25">
      <c r="A2932" t="str">
        <f>IF(COUNTIF(B$1:B2932,B2932)=1,MAX(A$1:A2931)+1,"")</f>
        <v/>
      </c>
      <c r="B2932" s="11"/>
      <c r="C2932" s="11" t="str">
        <f>IF(COUNTIF(D$1:D2932,D2932)=1,MAX(C$1:C2931)+1,"")</f>
        <v/>
      </c>
      <c r="D2932" s="12"/>
    </row>
    <row r="2933" spans="1:4" x14ac:dyDescent="0.25">
      <c r="A2933" t="str">
        <f>IF(COUNTIF(B$1:B2933,B2933)=1,MAX(A$1:A2932)+1,"")</f>
        <v/>
      </c>
      <c r="B2933" s="11"/>
      <c r="C2933" s="11" t="str">
        <f>IF(COUNTIF(D$1:D2933,D2933)=1,MAX(C$1:C2932)+1,"")</f>
        <v/>
      </c>
      <c r="D2933" s="12"/>
    </row>
    <row r="2934" spans="1:4" x14ac:dyDescent="0.25">
      <c r="A2934" t="str">
        <f>IF(COUNTIF(B$1:B2934,B2934)=1,MAX(A$1:A2933)+1,"")</f>
        <v/>
      </c>
      <c r="B2934" s="11"/>
      <c r="C2934" s="11" t="str">
        <f>IF(COUNTIF(D$1:D2934,D2934)=1,MAX(C$1:C2933)+1,"")</f>
        <v/>
      </c>
      <c r="D2934" s="12"/>
    </row>
    <row r="2935" spans="1:4" x14ac:dyDescent="0.25">
      <c r="A2935" t="str">
        <f>IF(COUNTIF(B$1:B2935,B2935)=1,MAX(A$1:A2934)+1,"")</f>
        <v/>
      </c>
      <c r="B2935" s="11"/>
      <c r="C2935" s="11" t="str">
        <f>IF(COUNTIF(D$1:D2935,D2935)=1,MAX(C$1:C2934)+1,"")</f>
        <v/>
      </c>
      <c r="D2935" s="12"/>
    </row>
    <row r="2936" spans="1:4" x14ac:dyDescent="0.25">
      <c r="A2936" t="str">
        <f>IF(COUNTIF(B$1:B2936,B2936)=1,MAX(A$1:A2935)+1,"")</f>
        <v/>
      </c>
      <c r="B2936" s="11"/>
      <c r="C2936" s="11" t="str">
        <f>IF(COUNTIF(D$1:D2936,D2936)=1,MAX(C$1:C2935)+1,"")</f>
        <v/>
      </c>
      <c r="D2936" s="12"/>
    </row>
    <row r="2937" spans="1:4" x14ac:dyDescent="0.25">
      <c r="A2937" t="str">
        <f>IF(COUNTIF(B$1:B2937,B2937)=1,MAX(A$1:A2936)+1,"")</f>
        <v/>
      </c>
      <c r="B2937" s="11"/>
      <c r="C2937" s="11" t="str">
        <f>IF(COUNTIF(D$1:D2937,D2937)=1,MAX(C$1:C2936)+1,"")</f>
        <v/>
      </c>
      <c r="D2937" s="12"/>
    </row>
    <row r="2938" spans="1:4" x14ac:dyDescent="0.25">
      <c r="A2938" t="str">
        <f>IF(COUNTIF(B$1:B2938,B2938)=1,MAX(A$1:A2937)+1,"")</f>
        <v/>
      </c>
      <c r="B2938" s="11"/>
      <c r="C2938" s="11" t="str">
        <f>IF(COUNTIF(D$1:D2938,D2938)=1,MAX(C$1:C2937)+1,"")</f>
        <v/>
      </c>
      <c r="D2938" s="12"/>
    </row>
    <row r="2939" spans="1:4" x14ac:dyDescent="0.25">
      <c r="A2939" t="str">
        <f>IF(COUNTIF(B$1:B2939,B2939)=1,MAX(A$1:A2938)+1,"")</f>
        <v/>
      </c>
      <c r="B2939" s="11"/>
      <c r="C2939" s="11" t="str">
        <f>IF(COUNTIF(D$1:D2939,D2939)=1,MAX(C$1:C2938)+1,"")</f>
        <v/>
      </c>
      <c r="D2939" s="12"/>
    </row>
    <row r="2940" spans="1:4" x14ac:dyDescent="0.25">
      <c r="A2940" t="str">
        <f>IF(COUNTIF(B$1:B2940,B2940)=1,MAX(A$1:A2939)+1,"")</f>
        <v/>
      </c>
      <c r="B2940" s="11"/>
      <c r="C2940" s="11" t="str">
        <f>IF(COUNTIF(D$1:D2940,D2940)=1,MAX(C$1:C2939)+1,"")</f>
        <v/>
      </c>
      <c r="D2940" s="12"/>
    </row>
    <row r="2941" spans="1:4" x14ac:dyDescent="0.25">
      <c r="A2941" t="str">
        <f>IF(COUNTIF(B$1:B2941,B2941)=1,MAX(A$1:A2940)+1,"")</f>
        <v/>
      </c>
      <c r="B2941" s="11"/>
      <c r="C2941" s="11" t="str">
        <f>IF(COUNTIF(D$1:D2941,D2941)=1,MAX(C$1:C2940)+1,"")</f>
        <v/>
      </c>
      <c r="D2941" s="12"/>
    </row>
    <row r="2942" spans="1:4" x14ac:dyDescent="0.25">
      <c r="A2942" t="str">
        <f>IF(COUNTIF(B$1:B2942,B2942)=1,MAX(A$1:A2941)+1,"")</f>
        <v/>
      </c>
      <c r="B2942" s="11"/>
      <c r="C2942" s="11" t="str">
        <f>IF(COUNTIF(D$1:D2942,D2942)=1,MAX(C$1:C2941)+1,"")</f>
        <v/>
      </c>
      <c r="D2942" s="12"/>
    </row>
    <row r="2943" spans="1:4" x14ac:dyDescent="0.25">
      <c r="A2943" t="str">
        <f>IF(COUNTIF(B$1:B2943,B2943)=1,MAX(A$1:A2942)+1,"")</f>
        <v/>
      </c>
      <c r="B2943" s="11"/>
      <c r="C2943" s="11" t="str">
        <f>IF(COUNTIF(D$1:D2943,D2943)=1,MAX(C$1:C2942)+1,"")</f>
        <v/>
      </c>
      <c r="D2943" s="12"/>
    </row>
    <row r="2944" spans="1:4" x14ac:dyDescent="0.25">
      <c r="A2944" t="str">
        <f>IF(COUNTIF(B$1:B2944,B2944)=1,MAX(A$1:A2943)+1,"")</f>
        <v/>
      </c>
      <c r="B2944" s="11"/>
      <c r="C2944" s="11" t="str">
        <f>IF(COUNTIF(D$1:D2944,D2944)=1,MAX(C$1:C2943)+1,"")</f>
        <v/>
      </c>
      <c r="D2944" s="12"/>
    </row>
    <row r="2945" spans="1:4" x14ac:dyDescent="0.25">
      <c r="A2945" t="str">
        <f>IF(COUNTIF(B$1:B2945,B2945)=1,MAX(A$1:A2944)+1,"")</f>
        <v/>
      </c>
      <c r="B2945" s="11"/>
      <c r="C2945" s="11" t="str">
        <f>IF(COUNTIF(D$1:D2945,D2945)=1,MAX(C$1:C2944)+1,"")</f>
        <v/>
      </c>
      <c r="D2945" s="12"/>
    </row>
    <row r="2946" spans="1:4" x14ac:dyDescent="0.25">
      <c r="A2946" t="str">
        <f>IF(COUNTIF(B$1:B2946,B2946)=1,MAX(A$1:A2945)+1,"")</f>
        <v/>
      </c>
      <c r="B2946" s="11"/>
      <c r="C2946" s="11" t="str">
        <f>IF(COUNTIF(D$1:D2946,D2946)=1,MAX(C$1:C2945)+1,"")</f>
        <v/>
      </c>
      <c r="D2946" s="12"/>
    </row>
    <row r="2947" spans="1:4" x14ac:dyDescent="0.25">
      <c r="A2947" t="str">
        <f>IF(COUNTIF(B$1:B2947,B2947)=1,MAX(A$1:A2946)+1,"")</f>
        <v/>
      </c>
      <c r="B2947" s="11"/>
      <c r="C2947" s="11" t="str">
        <f>IF(COUNTIF(D$1:D2947,D2947)=1,MAX(C$1:C2946)+1,"")</f>
        <v/>
      </c>
      <c r="D2947" s="12"/>
    </row>
    <row r="2948" spans="1:4" x14ac:dyDescent="0.25">
      <c r="A2948" t="str">
        <f>IF(COUNTIF(B$1:B2948,B2948)=1,MAX(A$1:A2947)+1,"")</f>
        <v/>
      </c>
      <c r="B2948" s="11"/>
      <c r="C2948" s="11" t="str">
        <f>IF(COUNTIF(D$1:D2948,D2948)=1,MAX(C$1:C2947)+1,"")</f>
        <v/>
      </c>
      <c r="D2948" s="12"/>
    </row>
    <row r="2949" spans="1:4" x14ac:dyDescent="0.25">
      <c r="A2949" t="str">
        <f>IF(COUNTIF(B$1:B2949,B2949)=1,MAX(A$1:A2948)+1,"")</f>
        <v/>
      </c>
      <c r="B2949" s="11"/>
      <c r="C2949" s="11" t="str">
        <f>IF(COUNTIF(D$1:D2949,D2949)=1,MAX(C$1:C2948)+1,"")</f>
        <v/>
      </c>
      <c r="D2949" s="12"/>
    </row>
    <row r="2950" spans="1:4" x14ac:dyDescent="0.25">
      <c r="A2950" t="str">
        <f>IF(COUNTIF(B$1:B2950,B2950)=1,MAX(A$1:A2949)+1,"")</f>
        <v/>
      </c>
      <c r="B2950" s="11"/>
      <c r="C2950" s="11" t="str">
        <f>IF(COUNTIF(D$1:D2950,D2950)=1,MAX(C$1:C2949)+1,"")</f>
        <v/>
      </c>
      <c r="D2950" s="12"/>
    </row>
    <row r="2951" spans="1:4" x14ac:dyDescent="0.25">
      <c r="A2951" t="str">
        <f>IF(COUNTIF(B$1:B2951,B2951)=1,MAX(A$1:A2950)+1,"")</f>
        <v/>
      </c>
      <c r="B2951" s="11"/>
      <c r="C2951" s="11" t="str">
        <f>IF(COUNTIF(D$1:D2951,D2951)=1,MAX(C$1:C2950)+1,"")</f>
        <v/>
      </c>
      <c r="D2951" s="12"/>
    </row>
    <row r="2952" spans="1:4" x14ac:dyDescent="0.25">
      <c r="A2952" t="str">
        <f>IF(COUNTIF(B$1:B2952,B2952)=1,MAX(A$1:A2951)+1,"")</f>
        <v/>
      </c>
      <c r="B2952" s="11"/>
      <c r="C2952" s="11" t="str">
        <f>IF(COUNTIF(D$1:D2952,D2952)=1,MAX(C$1:C2951)+1,"")</f>
        <v/>
      </c>
      <c r="D2952" s="12"/>
    </row>
    <row r="2953" spans="1:4" x14ac:dyDescent="0.25">
      <c r="A2953" t="str">
        <f>IF(COUNTIF(B$1:B2953,B2953)=1,MAX(A$1:A2952)+1,"")</f>
        <v/>
      </c>
      <c r="B2953" s="11"/>
      <c r="C2953" s="11" t="str">
        <f>IF(COUNTIF(D$1:D2953,D2953)=1,MAX(C$1:C2952)+1,"")</f>
        <v/>
      </c>
      <c r="D2953" s="12"/>
    </row>
    <row r="2954" spans="1:4" x14ac:dyDescent="0.25">
      <c r="A2954" t="str">
        <f>IF(COUNTIF(B$1:B2954,B2954)=1,MAX(A$1:A2953)+1,"")</f>
        <v/>
      </c>
      <c r="B2954" s="11"/>
      <c r="C2954" s="11" t="str">
        <f>IF(COUNTIF(D$1:D2954,D2954)=1,MAX(C$1:C2953)+1,"")</f>
        <v/>
      </c>
      <c r="D2954" s="12"/>
    </row>
    <row r="2955" spans="1:4" x14ac:dyDescent="0.25">
      <c r="A2955" t="str">
        <f>IF(COUNTIF(B$1:B2955,B2955)=1,MAX(A$1:A2954)+1,"")</f>
        <v/>
      </c>
      <c r="B2955" s="11"/>
      <c r="C2955" s="11" t="str">
        <f>IF(COUNTIF(D$1:D2955,D2955)=1,MAX(C$1:C2954)+1,"")</f>
        <v/>
      </c>
      <c r="D2955" s="12"/>
    </row>
    <row r="2956" spans="1:4" x14ac:dyDescent="0.25">
      <c r="A2956" t="str">
        <f>IF(COUNTIF(B$1:B2956,B2956)=1,MAX(A$1:A2955)+1,"")</f>
        <v/>
      </c>
      <c r="B2956" s="11"/>
      <c r="C2956" s="11" t="str">
        <f>IF(COUNTIF(D$1:D2956,D2956)=1,MAX(C$1:C2955)+1,"")</f>
        <v/>
      </c>
      <c r="D2956" s="12"/>
    </row>
    <row r="2957" spans="1:4" x14ac:dyDescent="0.25">
      <c r="A2957" t="str">
        <f>IF(COUNTIF(B$1:B2957,B2957)=1,MAX(A$1:A2956)+1,"")</f>
        <v/>
      </c>
      <c r="B2957" s="11"/>
      <c r="C2957" s="11" t="str">
        <f>IF(COUNTIF(D$1:D2957,D2957)=1,MAX(C$1:C2956)+1,"")</f>
        <v/>
      </c>
      <c r="D2957" s="12"/>
    </row>
    <row r="2958" spans="1:4" x14ac:dyDescent="0.25">
      <c r="A2958" t="str">
        <f>IF(COUNTIF(B$1:B2958,B2958)=1,MAX(A$1:A2957)+1,"")</f>
        <v/>
      </c>
      <c r="B2958" s="11"/>
      <c r="C2958" s="11" t="str">
        <f>IF(COUNTIF(D$1:D2958,D2958)=1,MAX(C$1:C2957)+1,"")</f>
        <v/>
      </c>
      <c r="D2958" s="12"/>
    </row>
    <row r="2959" spans="1:4" x14ac:dyDescent="0.25">
      <c r="A2959" t="str">
        <f>IF(COUNTIF(B$1:B2959,B2959)=1,MAX(A$1:A2958)+1,"")</f>
        <v/>
      </c>
      <c r="B2959" s="11"/>
      <c r="C2959" s="11" t="str">
        <f>IF(COUNTIF(D$1:D2959,D2959)=1,MAX(C$1:C2958)+1,"")</f>
        <v/>
      </c>
      <c r="D2959" s="12"/>
    </row>
    <row r="2960" spans="1:4" x14ac:dyDescent="0.25">
      <c r="A2960" t="str">
        <f>IF(COUNTIF(B$1:B2960,B2960)=1,MAX(A$1:A2959)+1,"")</f>
        <v/>
      </c>
      <c r="B2960" s="11"/>
      <c r="C2960" s="11" t="str">
        <f>IF(COUNTIF(D$1:D2960,D2960)=1,MAX(C$1:C2959)+1,"")</f>
        <v/>
      </c>
      <c r="D2960" s="12"/>
    </row>
    <row r="2961" spans="1:4" x14ac:dyDescent="0.25">
      <c r="A2961" t="str">
        <f>IF(COUNTIF(B$1:B2961,B2961)=1,MAX(A$1:A2960)+1,"")</f>
        <v/>
      </c>
      <c r="B2961" s="11"/>
      <c r="C2961" s="11" t="str">
        <f>IF(COUNTIF(D$1:D2961,D2961)=1,MAX(C$1:C2960)+1,"")</f>
        <v/>
      </c>
      <c r="D2961" s="12"/>
    </row>
    <row r="2962" spans="1:4" x14ac:dyDescent="0.25">
      <c r="A2962" t="str">
        <f>IF(COUNTIF(B$1:B2962,B2962)=1,MAX(A$1:A2961)+1,"")</f>
        <v/>
      </c>
      <c r="B2962" s="11"/>
      <c r="C2962" s="11" t="str">
        <f>IF(COUNTIF(D$1:D2962,D2962)=1,MAX(C$1:C2961)+1,"")</f>
        <v/>
      </c>
      <c r="D2962" s="12"/>
    </row>
    <row r="2963" spans="1:4" x14ac:dyDescent="0.25">
      <c r="A2963" t="str">
        <f>IF(COUNTIF(B$1:B2963,B2963)=1,MAX(A$1:A2962)+1,"")</f>
        <v/>
      </c>
      <c r="B2963" s="11"/>
      <c r="C2963" s="11" t="str">
        <f>IF(COUNTIF(D$1:D2963,D2963)=1,MAX(C$1:C2962)+1,"")</f>
        <v/>
      </c>
      <c r="D2963" s="12"/>
    </row>
    <row r="2964" spans="1:4" x14ac:dyDescent="0.25">
      <c r="A2964" t="str">
        <f>IF(COUNTIF(B$1:B2964,B2964)=1,MAX(A$1:A2963)+1,"")</f>
        <v/>
      </c>
      <c r="B2964" s="11"/>
      <c r="C2964" s="11" t="str">
        <f>IF(COUNTIF(D$1:D2964,D2964)=1,MAX(C$1:C2963)+1,"")</f>
        <v/>
      </c>
      <c r="D2964" s="12"/>
    </row>
    <row r="2965" spans="1:4" x14ac:dyDescent="0.25">
      <c r="A2965" t="str">
        <f>IF(COUNTIF(B$1:B2965,B2965)=1,MAX(A$1:A2964)+1,"")</f>
        <v/>
      </c>
      <c r="B2965" s="11"/>
      <c r="C2965" s="11" t="str">
        <f>IF(COUNTIF(D$1:D2965,D2965)=1,MAX(C$1:C2964)+1,"")</f>
        <v/>
      </c>
      <c r="D2965" s="12"/>
    </row>
    <row r="2966" spans="1:4" x14ac:dyDescent="0.25">
      <c r="A2966" t="str">
        <f>IF(COUNTIF(B$1:B2966,B2966)=1,MAX(A$1:A2965)+1,"")</f>
        <v/>
      </c>
      <c r="B2966" s="11"/>
      <c r="C2966" s="11" t="str">
        <f>IF(COUNTIF(D$1:D2966,D2966)=1,MAX(C$1:C2965)+1,"")</f>
        <v/>
      </c>
      <c r="D2966" s="12"/>
    </row>
    <row r="2967" spans="1:4" x14ac:dyDescent="0.25">
      <c r="A2967" t="str">
        <f>IF(COUNTIF(B$1:B2967,B2967)=1,MAX(A$1:A2966)+1,"")</f>
        <v/>
      </c>
      <c r="B2967" s="11"/>
      <c r="C2967" s="11" t="str">
        <f>IF(COUNTIF(D$1:D2967,D2967)=1,MAX(C$1:C2966)+1,"")</f>
        <v/>
      </c>
      <c r="D2967" s="12"/>
    </row>
    <row r="2968" spans="1:4" x14ac:dyDescent="0.25">
      <c r="A2968" t="str">
        <f>IF(COUNTIF(B$1:B2968,B2968)=1,MAX(A$1:A2967)+1,"")</f>
        <v/>
      </c>
      <c r="B2968" s="11"/>
      <c r="C2968" s="11" t="str">
        <f>IF(COUNTIF(D$1:D2968,D2968)=1,MAX(C$1:C2967)+1,"")</f>
        <v/>
      </c>
      <c r="D2968" s="12"/>
    </row>
    <row r="2969" spans="1:4" x14ac:dyDescent="0.25">
      <c r="A2969" t="str">
        <f>IF(COUNTIF(B$1:B2969,B2969)=1,MAX(A$1:A2968)+1,"")</f>
        <v/>
      </c>
      <c r="B2969" s="11"/>
      <c r="C2969" s="11" t="str">
        <f>IF(COUNTIF(D$1:D2969,D2969)=1,MAX(C$1:C2968)+1,"")</f>
        <v/>
      </c>
      <c r="D2969" s="12"/>
    </row>
    <row r="2970" spans="1:4" x14ac:dyDescent="0.25">
      <c r="A2970" t="str">
        <f>IF(COUNTIF(B$1:B2970,B2970)=1,MAX(A$1:A2969)+1,"")</f>
        <v/>
      </c>
      <c r="B2970" s="11"/>
      <c r="C2970" s="11" t="str">
        <f>IF(COUNTIF(D$1:D2970,D2970)=1,MAX(C$1:C2969)+1,"")</f>
        <v/>
      </c>
      <c r="D2970" s="12"/>
    </row>
    <row r="2971" spans="1:4" x14ac:dyDescent="0.25">
      <c r="A2971" t="str">
        <f>IF(COUNTIF(B$1:B2971,B2971)=1,MAX(A$1:A2970)+1,"")</f>
        <v/>
      </c>
      <c r="B2971" s="11"/>
      <c r="C2971" s="11" t="str">
        <f>IF(COUNTIF(D$1:D2971,D2971)=1,MAX(C$1:C2970)+1,"")</f>
        <v/>
      </c>
      <c r="D2971" s="12"/>
    </row>
    <row r="2972" spans="1:4" x14ac:dyDescent="0.25">
      <c r="A2972" t="str">
        <f>IF(COUNTIF(B$1:B2972,B2972)=1,MAX(A$1:A2971)+1,"")</f>
        <v/>
      </c>
      <c r="B2972" s="11"/>
      <c r="C2972" s="11" t="str">
        <f>IF(COUNTIF(D$1:D2972,D2972)=1,MAX(C$1:C2971)+1,"")</f>
        <v/>
      </c>
      <c r="D2972" s="12"/>
    </row>
    <row r="2973" spans="1:4" x14ac:dyDescent="0.25">
      <c r="A2973" t="str">
        <f>IF(COUNTIF(B$1:B2973,B2973)=1,MAX(A$1:A2972)+1,"")</f>
        <v/>
      </c>
      <c r="B2973" s="11"/>
      <c r="C2973" s="11" t="str">
        <f>IF(COUNTIF(D$1:D2973,D2973)=1,MAX(C$1:C2972)+1,"")</f>
        <v/>
      </c>
      <c r="D2973" s="12"/>
    </row>
    <row r="2974" spans="1:4" x14ac:dyDescent="0.25">
      <c r="A2974" t="str">
        <f>IF(COUNTIF(B$1:B2974,B2974)=1,MAX(A$1:A2973)+1,"")</f>
        <v/>
      </c>
      <c r="B2974" s="11"/>
      <c r="C2974" s="11" t="str">
        <f>IF(COUNTIF(D$1:D2974,D2974)=1,MAX(C$1:C2973)+1,"")</f>
        <v/>
      </c>
      <c r="D2974" s="12"/>
    </row>
    <row r="2975" spans="1:4" x14ac:dyDescent="0.25">
      <c r="A2975" t="str">
        <f>IF(COUNTIF(B$1:B2975,B2975)=1,MAX(A$1:A2974)+1,"")</f>
        <v/>
      </c>
      <c r="B2975" s="11"/>
      <c r="C2975" s="11" t="str">
        <f>IF(COUNTIF(D$1:D2975,D2975)=1,MAX(C$1:C2974)+1,"")</f>
        <v/>
      </c>
      <c r="D2975" s="12"/>
    </row>
    <row r="2976" spans="1:4" x14ac:dyDescent="0.25">
      <c r="A2976" t="str">
        <f>IF(COUNTIF(B$1:B2976,B2976)=1,MAX(A$1:A2975)+1,"")</f>
        <v/>
      </c>
      <c r="B2976" s="11"/>
      <c r="C2976" s="11" t="str">
        <f>IF(COUNTIF(D$1:D2976,D2976)=1,MAX(C$1:C2975)+1,"")</f>
        <v/>
      </c>
      <c r="D2976" s="12"/>
    </row>
    <row r="2977" spans="1:4" x14ac:dyDescent="0.25">
      <c r="A2977" t="str">
        <f>IF(COUNTIF(B$1:B2977,B2977)=1,MAX(A$1:A2976)+1,"")</f>
        <v/>
      </c>
      <c r="B2977" s="11"/>
      <c r="C2977" s="11" t="str">
        <f>IF(COUNTIF(D$1:D2977,D2977)=1,MAX(C$1:C2976)+1,"")</f>
        <v/>
      </c>
      <c r="D2977" s="12"/>
    </row>
    <row r="2978" spans="1:4" x14ac:dyDescent="0.25">
      <c r="A2978" t="str">
        <f>IF(COUNTIF(B$1:B2978,B2978)=1,MAX(A$1:A2977)+1,"")</f>
        <v/>
      </c>
      <c r="B2978" s="11"/>
      <c r="C2978" s="11" t="str">
        <f>IF(COUNTIF(D$1:D2978,D2978)=1,MAX(C$1:C2977)+1,"")</f>
        <v/>
      </c>
      <c r="D2978" s="12"/>
    </row>
    <row r="2979" spans="1:4" x14ac:dyDescent="0.25">
      <c r="A2979" t="str">
        <f>IF(COUNTIF(B$1:B2979,B2979)=1,MAX(A$1:A2978)+1,"")</f>
        <v/>
      </c>
      <c r="B2979" s="11"/>
      <c r="C2979" s="11" t="str">
        <f>IF(COUNTIF(D$1:D2979,D2979)=1,MAX(C$1:C2978)+1,"")</f>
        <v/>
      </c>
      <c r="D2979" s="12"/>
    </row>
    <row r="2980" spans="1:4" x14ac:dyDescent="0.25">
      <c r="A2980" t="str">
        <f>IF(COUNTIF(B$1:B2980,B2980)=1,MAX(A$1:A2979)+1,"")</f>
        <v/>
      </c>
      <c r="B2980" s="11"/>
      <c r="C2980" s="11" t="str">
        <f>IF(COUNTIF(D$1:D2980,D2980)=1,MAX(C$1:C2979)+1,"")</f>
        <v/>
      </c>
      <c r="D2980" s="12"/>
    </row>
    <row r="2981" spans="1:4" x14ac:dyDescent="0.25">
      <c r="A2981" t="str">
        <f>IF(COUNTIF(B$1:B2981,B2981)=1,MAX(A$1:A2980)+1,"")</f>
        <v/>
      </c>
      <c r="B2981" s="11"/>
      <c r="C2981" s="11" t="str">
        <f>IF(COUNTIF(D$1:D2981,D2981)=1,MAX(C$1:C2980)+1,"")</f>
        <v/>
      </c>
      <c r="D2981" s="12"/>
    </row>
    <row r="2982" spans="1:4" x14ac:dyDescent="0.25">
      <c r="A2982" t="str">
        <f>IF(COUNTIF(B$1:B2982,B2982)=1,MAX(A$1:A2981)+1,"")</f>
        <v/>
      </c>
      <c r="B2982" s="11"/>
      <c r="C2982" s="11" t="str">
        <f>IF(COUNTIF(D$1:D2982,D2982)=1,MAX(C$1:C2981)+1,"")</f>
        <v/>
      </c>
      <c r="D2982" s="12"/>
    </row>
    <row r="2983" spans="1:4" x14ac:dyDescent="0.25">
      <c r="A2983" t="str">
        <f>IF(COUNTIF(B$1:B2983,B2983)=1,MAX(A$1:A2982)+1,"")</f>
        <v/>
      </c>
      <c r="B2983" s="11"/>
      <c r="C2983" s="11" t="str">
        <f>IF(COUNTIF(D$1:D2983,D2983)=1,MAX(C$1:C2982)+1,"")</f>
        <v/>
      </c>
      <c r="D2983" s="12"/>
    </row>
    <row r="2984" spans="1:4" x14ac:dyDescent="0.25">
      <c r="A2984" t="str">
        <f>IF(COUNTIF(B$1:B2984,B2984)=1,MAX(A$1:A2983)+1,"")</f>
        <v/>
      </c>
      <c r="B2984" s="11"/>
      <c r="C2984" s="11" t="str">
        <f>IF(COUNTIF(D$1:D2984,D2984)=1,MAX(C$1:C2983)+1,"")</f>
        <v/>
      </c>
      <c r="D2984" s="12"/>
    </row>
    <row r="2985" spans="1:4" x14ac:dyDescent="0.25">
      <c r="A2985" t="str">
        <f>IF(COUNTIF(B$1:B2985,B2985)=1,MAX(A$1:A2984)+1,"")</f>
        <v/>
      </c>
      <c r="B2985" s="11"/>
      <c r="C2985" s="11" t="str">
        <f>IF(COUNTIF(D$1:D2985,D2985)=1,MAX(C$1:C2984)+1,"")</f>
        <v/>
      </c>
      <c r="D2985" s="12"/>
    </row>
    <row r="2986" spans="1:4" x14ac:dyDescent="0.25">
      <c r="A2986" t="str">
        <f>IF(COUNTIF(B$1:B2986,B2986)=1,MAX(A$1:A2985)+1,"")</f>
        <v/>
      </c>
      <c r="B2986" s="11"/>
      <c r="C2986" s="11" t="str">
        <f>IF(COUNTIF(D$1:D2986,D2986)=1,MAX(C$1:C2985)+1,"")</f>
        <v/>
      </c>
      <c r="D2986" s="12"/>
    </row>
    <row r="2987" spans="1:4" x14ac:dyDescent="0.25">
      <c r="A2987" t="str">
        <f>IF(COUNTIF(B$1:B2987,B2987)=1,MAX(A$1:A2986)+1,"")</f>
        <v/>
      </c>
      <c r="B2987" s="11"/>
      <c r="C2987" s="11" t="str">
        <f>IF(COUNTIF(D$1:D2987,D2987)=1,MAX(C$1:C2986)+1,"")</f>
        <v/>
      </c>
      <c r="D2987" s="12"/>
    </row>
    <row r="2988" spans="1:4" x14ac:dyDescent="0.25">
      <c r="A2988" t="str">
        <f>IF(COUNTIF(B$1:B2988,B2988)=1,MAX(A$1:A2987)+1,"")</f>
        <v/>
      </c>
      <c r="B2988" s="11"/>
      <c r="C2988" s="11" t="str">
        <f>IF(COUNTIF(D$1:D2988,D2988)=1,MAX(C$1:C2987)+1,"")</f>
        <v/>
      </c>
      <c r="D2988" s="12"/>
    </row>
    <row r="2989" spans="1:4" x14ac:dyDescent="0.25">
      <c r="A2989" t="str">
        <f>IF(COUNTIF(B$1:B2989,B2989)=1,MAX(A$1:A2988)+1,"")</f>
        <v/>
      </c>
      <c r="B2989" s="11"/>
      <c r="C2989" s="11" t="str">
        <f>IF(COUNTIF(D$1:D2989,D2989)=1,MAX(C$1:C2988)+1,"")</f>
        <v/>
      </c>
      <c r="D2989" s="12"/>
    </row>
    <row r="2990" spans="1:4" x14ac:dyDescent="0.25">
      <c r="A2990" t="str">
        <f>IF(COUNTIF(B$1:B2990,B2990)=1,MAX(A$1:A2989)+1,"")</f>
        <v/>
      </c>
      <c r="B2990" s="11"/>
      <c r="C2990" s="11" t="str">
        <f>IF(COUNTIF(D$1:D2990,D2990)=1,MAX(C$1:C2989)+1,"")</f>
        <v/>
      </c>
      <c r="D2990" s="12"/>
    </row>
    <row r="2991" spans="1:4" x14ac:dyDescent="0.25">
      <c r="A2991" t="str">
        <f>IF(COUNTIF(B$1:B2991,B2991)=1,MAX(A$1:A2990)+1,"")</f>
        <v/>
      </c>
      <c r="B2991" s="11"/>
      <c r="C2991" s="11" t="str">
        <f>IF(COUNTIF(D$1:D2991,D2991)=1,MAX(C$1:C2990)+1,"")</f>
        <v/>
      </c>
      <c r="D2991" s="12"/>
    </row>
    <row r="2992" spans="1:4" x14ac:dyDescent="0.25">
      <c r="A2992" t="str">
        <f>IF(COUNTIF(B$1:B2992,B2992)=1,MAX(A$1:A2991)+1,"")</f>
        <v/>
      </c>
      <c r="B2992" s="11"/>
      <c r="C2992" s="11" t="str">
        <f>IF(COUNTIF(D$1:D2992,D2992)=1,MAX(C$1:C2991)+1,"")</f>
        <v/>
      </c>
      <c r="D2992" s="12"/>
    </row>
    <row r="2993" spans="1:4" x14ac:dyDescent="0.25">
      <c r="A2993" t="str">
        <f>IF(COUNTIF(B$1:B2993,B2993)=1,MAX(A$1:A2992)+1,"")</f>
        <v/>
      </c>
      <c r="B2993" s="11"/>
      <c r="C2993" s="11" t="str">
        <f>IF(COUNTIF(D$1:D2993,D2993)=1,MAX(C$1:C2992)+1,"")</f>
        <v/>
      </c>
      <c r="D2993" s="12"/>
    </row>
    <row r="2994" spans="1:4" x14ac:dyDescent="0.25">
      <c r="A2994" t="str">
        <f>IF(COUNTIF(B$1:B2994,B2994)=1,MAX(A$1:A2993)+1,"")</f>
        <v/>
      </c>
      <c r="B2994" s="11"/>
      <c r="C2994" s="11" t="str">
        <f>IF(COUNTIF(D$1:D2994,D2994)=1,MAX(C$1:C2993)+1,"")</f>
        <v/>
      </c>
      <c r="D2994" s="12"/>
    </row>
    <row r="2995" spans="1:4" x14ac:dyDescent="0.25">
      <c r="A2995" t="str">
        <f>IF(COUNTIF(B$1:B2995,B2995)=1,MAX(A$1:A2994)+1,"")</f>
        <v/>
      </c>
      <c r="B2995" s="11"/>
      <c r="C2995" s="11" t="str">
        <f>IF(COUNTIF(D$1:D2995,D2995)=1,MAX(C$1:C2994)+1,"")</f>
        <v/>
      </c>
      <c r="D2995" s="12"/>
    </row>
    <row r="2996" spans="1:4" x14ac:dyDescent="0.25">
      <c r="A2996" t="str">
        <f>IF(COUNTIF(B$1:B2996,B2996)=1,MAX(A$1:A2995)+1,"")</f>
        <v/>
      </c>
      <c r="B2996" s="11"/>
      <c r="C2996" s="11" t="str">
        <f>IF(COUNTIF(D$1:D2996,D2996)=1,MAX(C$1:C2995)+1,"")</f>
        <v/>
      </c>
      <c r="D2996" s="12"/>
    </row>
    <row r="2997" spans="1:4" x14ac:dyDescent="0.25">
      <c r="A2997" t="str">
        <f>IF(COUNTIF(B$1:B2997,B2997)=1,MAX(A$1:A2996)+1,"")</f>
        <v/>
      </c>
      <c r="B2997" s="11"/>
      <c r="C2997" s="11" t="str">
        <f>IF(COUNTIF(D$1:D2997,D2997)=1,MAX(C$1:C2996)+1,"")</f>
        <v/>
      </c>
      <c r="D2997" s="12"/>
    </row>
    <row r="2998" spans="1:4" x14ac:dyDescent="0.25">
      <c r="A2998" t="str">
        <f>IF(COUNTIF(B$1:B2998,B2998)=1,MAX(A$1:A2997)+1,"")</f>
        <v/>
      </c>
      <c r="B2998" s="11"/>
      <c r="C2998" s="11" t="str">
        <f>IF(COUNTIF(D$1:D2998,D2998)=1,MAX(C$1:C2997)+1,"")</f>
        <v/>
      </c>
      <c r="D2998" s="12"/>
    </row>
    <row r="2999" spans="1:4" x14ac:dyDescent="0.25">
      <c r="A2999" t="str">
        <f>IF(COUNTIF(B$1:B2999,B2999)=1,MAX(A$1:A2998)+1,"")</f>
        <v/>
      </c>
      <c r="B2999" s="11"/>
      <c r="C2999" s="11" t="str">
        <f>IF(COUNTIF(D$1:D2999,D2999)=1,MAX(C$1:C2998)+1,"")</f>
        <v/>
      </c>
      <c r="D2999" s="12"/>
    </row>
    <row r="3000" spans="1:4" x14ac:dyDescent="0.25">
      <c r="A3000" t="str">
        <f>IF(COUNTIF(B$1:B3000,B3000)=1,MAX(A$1:A2999)+1,"")</f>
        <v/>
      </c>
      <c r="B3000" s="11"/>
      <c r="C3000" s="11" t="str">
        <f>IF(COUNTIF(D$1:D3000,D3000)=1,MAX(C$1:C2999)+1,"")</f>
        <v/>
      </c>
      <c r="D3000" s="12"/>
    </row>
    <row r="3001" spans="1:4" x14ac:dyDescent="0.25">
      <c r="A3001" t="str">
        <f>IF(COUNTIF(B$1:B3001,B3001)=1,MAX(A$1:A3000)+1,"")</f>
        <v/>
      </c>
      <c r="B3001" s="11"/>
      <c r="C3001" s="11" t="str">
        <f>IF(COUNTIF(D$1:D3001,D3001)=1,MAX(C$1:C3000)+1,"")</f>
        <v/>
      </c>
      <c r="D3001" s="12"/>
    </row>
    <row r="3002" spans="1:4" x14ac:dyDescent="0.25">
      <c r="A3002" t="str">
        <f>IF(COUNTIF(B$1:B3002,B3002)=1,MAX(A$1:A3001)+1,"")</f>
        <v/>
      </c>
      <c r="B3002" s="11"/>
      <c r="C3002" s="11" t="str">
        <f>IF(COUNTIF(D$1:D3002,D3002)=1,MAX(C$1:C3001)+1,"")</f>
        <v/>
      </c>
      <c r="D3002" s="12"/>
    </row>
    <row r="3003" spans="1:4" x14ac:dyDescent="0.25">
      <c r="A3003" t="str">
        <f>IF(COUNTIF(B$1:B3003,B3003)=1,MAX(A$1:A3002)+1,"")</f>
        <v/>
      </c>
      <c r="B3003" s="11"/>
      <c r="C3003" s="11" t="str">
        <f>IF(COUNTIF(D$1:D3003,D3003)=1,MAX(C$1:C3002)+1,"")</f>
        <v/>
      </c>
      <c r="D3003" s="12"/>
    </row>
    <row r="3004" spans="1:4" x14ac:dyDescent="0.25">
      <c r="A3004" t="str">
        <f>IF(COUNTIF(B$1:B3004,B3004)=1,MAX(A$1:A3003)+1,"")</f>
        <v/>
      </c>
      <c r="B3004" s="11"/>
      <c r="C3004" s="11" t="str">
        <f>IF(COUNTIF(D$1:D3004,D3004)=1,MAX(C$1:C3003)+1,"")</f>
        <v/>
      </c>
      <c r="D3004" s="12"/>
    </row>
    <row r="3005" spans="1:4" x14ac:dyDescent="0.25">
      <c r="A3005" t="str">
        <f>IF(COUNTIF(B$1:B3005,B3005)=1,MAX(A$1:A3004)+1,"")</f>
        <v/>
      </c>
      <c r="B3005" s="11"/>
      <c r="C3005" s="11" t="str">
        <f>IF(COUNTIF(D$1:D3005,D3005)=1,MAX(C$1:C3004)+1,"")</f>
        <v/>
      </c>
      <c r="D3005" s="12"/>
    </row>
    <row r="3006" spans="1:4" x14ac:dyDescent="0.25">
      <c r="A3006" t="str">
        <f>IF(COUNTIF(B$1:B3006,B3006)=1,MAX(A$1:A3005)+1,"")</f>
        <v/>
      </c>
      <c r="B3006" s="11"/>
      <c r="C3006" s="11" t="str">
        <f>IF(COUNTIF(D$1:D3006,D3006)=1,MAX(C$1:C3005)+1,"")</f>
        <v/>
      </c>
      <c r="D3006" s="12"/>
    </row>
    <row r="3007" spans="1:4" x14ac:dyDescent="0.25">
      <c r="A3007" t="str">
        <f>IF(COUNTIF(B$1:B3007,B3007)=1,MAX(A$1:A3006)+1,"")</f>
        <v/>
      </c>
      <c r="B3007" s="11"/>
      <c r="C3007" s="11" t="str">
        <f>IF(COUNTIF(D$1:D3007,D3007)=1,MAX(C$1:C3006)+1,"")</f>
        <v/>
      </c>
      <c r="D3007" s="12"/>
    </row>
    <row r="3008" spans="1:4" x14ac:dyDescent="0.25">
      <c r="A3008" t="str">
        <f>IF(COUNTIF(B$1:B3008,B3008)=1,MAX(A$1:A3007)+1,"")</f>
        <v/>
      </c>
      <c r="B3008" s="11"/>
      <c r="C3008" s="11" t="str">
        <f>IF(COUNTIF(D$1:D3008,D3008)=1,MAX(C$1:C3007)+1,"")</f>
        <v/>
      </c>
      <c r="D3008" s="12"/>
    </row>
    <row r="3009" spans="1:4" x14ac:dyDescent="0.25">
      <c r="A3009" t="str">
        <f>IF(COUNTIF(B$1:B3009,B3009)=1,MAX(A$1:A3008)+1,"")</f>
        <v/>
      </c>
      <c r="B3009" s="11"/>
      <c r="C3009" s="11" t="str">
        <f>IF(COUNTIF(D$1:D3009,D3009)=1,MAX(C$1:C3008)+1,"")</f>
        <v/>
      </c>
      <c r="D3009" s="12"/>
    </row>
    <row r="3010" spans="1:4" x14ac:dyDescent="0.25">
      <c r="A3010" t="str">
        <f>IF(COUNTIF(B$1:B3010,B3010)=1,MAX(A$1:A3009)+1,"")</f>
        <v/>
      </c>
      <c r="B3010" s="11"/>
      <c r="C3010" s="11" t="str">
        <f>IF(COUNTIF(D$1:D3010,D3010)=1,MAX(C$1:C3009)+1,"")</f>
        <v/>
      </c>
      <c r="D3010" s="12"/>
    </row>
    <row r="3011" spans="1:4" x14ac:dyDescent="0.25">
      <c r="A3011" t="str">
        <f>IF(COUNTIF(B$1:B3011,B3011)=1,MAX(A$1:A3010)+1,"")</f>
        <v/>
      </c>
      <c r="B3011" s="11"/>
      <c r="C3011" s="11" t="str">
        <f>IF(COUNTIF(D$1:D3011,D3011)=1,MAX(C$1:C3010)+1,"")</f>
        <v/>
      </c>
      <c r="D3011" s="12"/>
    </row>
    <row r="3012" spans="1:4" x14ac:dyDescent="0.25">
      <c r="A3012" t="str">
        <f>IF(COUNTIF(B$1:B3012,B3012)=1,MAX(A$1:A3011)+1,"")</f>
        <v/>
      </c>
      <c r="B3012" s="11"/>
      <c r="C3012" s="11" t="str">
        <f>IF(COUNTIF(D$1:D3012,D3012)=1,MAX(C$1:C3011)+1,"")</f>
        <v/>
      </c>
      <c r="D3012" s="12"/>
    </row>
    <row r="3013" spans="1:4" x14ac:dyDescent="0.25">
      <c r="A3013" t="str">
        <f>IF(COUNTIF(B$1:B3013,B3013)=1,MAX(A$1:A3012)+1,"")</f>
        <v/>
      </c>
      <c r="B3013" s="11"/>
      <c r="C3013" s="11" t="str">
        <f>IF(COUNTIF(D$1:D3013,D3013)=1,MAX(C$1:C3012)+1,"")</f>
        <v/>
      </c>
      <c r="D3013" s="12"/>
    </row>
    <row r="3014" spans="1:4" x14ac:dyDescent="0.25">
      <c r="A3014" t="str">
        <f>IF(COUNTIF(B$1:B3014,B3014)=1,MAX(A$1:A3013)+1,"")</f>
        <v/>
      </c>
      <c r="B3014" s="11"/>
      <c r="C3014" s="11" t="str">
        <f>IF(COUNTIF(D$1:D3014,D3014)=1,MAX(C$1:C3013)+1,"")</f>
        <v/>
      </c>
      <c r="D3014" s="12"/>
    </row>
    <row r="3015" spans="1:4" x14ac:dyDescent="0.25">
      <c r="A3015" t="str">
        <f>IF(COUNTIF(B$1:B3015,B3015)=1,MAX(A$1:A3014)+1,"")</f>
        <v/>
      </c>
      <c r="B3015" s="11"/>
      <c r="C3015" s="11" t="str">
        <f>IF(COUNTIF(D$1:D3015,D3015)=1,MAX(C$1:C3014)+1,"")</f>
        <v/>
      </c>
      <c r="D3015" s="12"/>
    </row>
    <row r="3016" spans="1:4" x14ac:dyDescent="0.25">
      <c r="A3016" t="str">
        <f>IF(COUNTIF(B$1:B3016,B3016)=1,MAX(A$1:A3015)+1,"")</f>
        <v/>
      </c>
      <c r="B3016" s="11"/>
      <c r="C3016" s="11" t="str">
        <f>IF(COUNTIF(D$1:D3016,D3016)=1,MAX(C$1:C3015)+1,"")</f>
        <v/>
      </c>
      <c r="D3016" s="12"/>
    </row>
    <row r="3017" spans="1:4" x14ac:dyDescent="0.25">
      <c r="A3017" t="str">
        <f>IF(COUNTIF(B$1:B3017,B3017)=1,MAX(A$1:A3016)+1,"")</f>
        <v/>
      </c>
      <c r="B3017" s="11"/>
      <c r="C3017" s="11" t="str">
        <f>IF(COUNTIF(D$1:D3017,D3017)=1,MAX(C$1:C3016)+1,"")</f>
        <v/>
      </c>
      <c r="D3017" s="12"/>
    </row>
    <row r="3018" spans="1:4" x14ac:dyDescent="0.25">
      <c r="A3018" t="str">
        <f>IF(COUNTIF(B$1:B3018,B3018)=1,MAX(A$1:A3017)+1,"")</f>
        <v/>
      </c>
      <c r="B3018" s="11"/>
      <c r="C3018" s="11" t="str">
        <f>IF(COUNTIF(D$1:D3018,D3018)=1,MAX(C$1:C3017)+1,"")</f>
        <v/>
      </c>
      <c r="D3018" s="12"/>
    </row>
    <row r="3019" spans="1:4" x14ac:dyDescent="0.25">
      <c r="A3019" t="str">
        <f>IF(COUNTIF(B$1:B3019,B3019)=1,MAX(A$1:A3018)+1,"")</f>
        <v/>
      </c>
      <c r="B3019" s="11"/>
      <c r="C3019" s="11" t="str">
        <f>IF(COUNTIF(D$1:D3019,D3019)=1,MAX(C$1:C3018)+1,"")</f>
        <v/>
      </c>
      <c r="D3019" s="12"/>
    </row>
    <row r="3020" spans="1:4" x14ac:dyDescent="0.25">
      <c r="A3020" t="str">
        <f>IF(COUNTIF(B$1:B3020,B3020)=1,MAX(A$1:A3019)+1,"")</f>
        <v/>
      </c>
      <c r="B3020" s="11"/>
      <c r="C3020" s="11" t="str">
        <f>IF(COUNTIF(D$1:D3020,D3020)=1,MAX(C$1:C3019)+1,"")</f>
        <v/>
      </c>
      <c r="D3020" s="12"/>
    </row>
    <row r="3021" spans="1:4" x14ac:dyDescent="0.25">
      <c r="A3021" t="str">
        <f>IF(COUNTIF(B$1:B3021,B3021)=1,MAX(A$1:A3020)+1,"")</f>
        <v/>
      </c>
      <c r="B3021" s="11"/>
      <c r="C3021" s="11" t="str">
        <f>IF(COUNTIF(D$1:D3021,D3021)=1,MAX(C$1:C3020)+1,"")</f>
        <v/>
      </c>
      <c r="D3021" s="12"/>
    </row>
    <row r="3022" spans="1:4" x14ac:dyDescent="0.25">
      <c r="A3022" t="str">
        <f>IF(COUNTIF(B$1:B3022,B3022)=1,MAX(A$1:A3021)+1,"")</f>
        <v/>
      </c>
      <c r="B3022" s="11"/>
      <c r="C3022" s="11" t="str">
        <f>IF(COUNTIF(D$1:D3022,D3022)=1,MAX(C$1:C3021)+1,"")</f>
        <v/>
      </c>
      <c r="D3022" s="12"/>
    </row>
    <row r="3023" spans="1:4" x14ac:dyDescent="0.25">
      <c r="A3023" t="str">
        <f>IF(COUNTIF(B$1:B3023,B3023)=1,MAX(A$1:A3022)+1,"")</f>
        <v/>
      </c>
      <c r="B3023" s="11"/>
      <c r="C3023" s="11" t="str">
        <f>IF(COUNTIF(D$1:D3023,D3023)=1,MAX(C$1:C3022)+1,"")</f>
        <v/>
      </c>
      <c r="D3023" s="12"/>
    </row>
    <row r="3024" spans="1:4" x14ac:dyDescent="0.25">
      <c r="A3024" t="str">
        <f>IF(COUNTIF(B$1:B3024,B3024)=1,MAX(A$1:A3023)+1,"")</f>
        <v/>
      </c>
      <c r="B3024" s="11"/>
      <c r="C3024" s="11" t="str">
        <f>IF(COUNTIF(D$1:D3024,D3024)=1,MAX(C$1:C3023)+1,"")</f>
        <v/>
      </c>
      <c r="D3024" s="12"/>
    </row>
    <row r="3025" spans="1:4" x14ac:dyDescent="0.25">
      <c r="A3025" t="str">
        <f>IF(COUNTIF(B$1:B3025,B3025)=1,MAX(A$1:A3024)+1,"")</f>
        <v/>
      </c>
      <c r="B3025" s="11"/>
      <c r="C3025" s="11" t="str">
        <f>IF(COUNTIF(D$1:D3025,D3025)=1,MAX(C$1:C3024)+1,"")</f>
        <v/>
      </c>
      <c r="D3025" s="12"/>
    </row>
    <row r="3026" spans="1:4" x14ac:dyDescent="0.25">
      <c r="A3026" t="str">
        <f>IF(COUNTIF(B$1:B3026,B3026)=1,MAX(A$1:A3025)+1,"")</f>
        <v/>
      </c>
      <c r="B3026" s="11"/>
      <c r="C3026" s="11" t="str">
        <f>IF(COUNTIF(D$1:D3026,D3026)=1,MAX(C$1:C3025)+1,"")</f>
        <v/>
      </c>
      <c r="D3026" s="12"/>
    </row>
    <row r="3027" spans="1:4" x14ac:dyDescent="0.25">
      <c r="A3027" t="str">
        <f>IF(COUNTIF(B$1:B3027,B3027)=1,MAX(A$1:A3026)+1,"")</f>
        <v/>
      </c>
      <c r="B3027" s="11"/>
      <c r="C3027" s="11" t="str">
        <f>IF(COUNTIF(D$1:D3027,D3027)=1,MAX(C$1:C3026)+1,"")</f>
        <v/>
      </c>
      <c r="D3027" s="12"/>
    </row>
    <row r="3028" spans="1:4" x14ac:dyDescent="0.25">
      <c r="A3028" t="str">
        <f>IF(COUNTIF(B$1:B3028,B3028)=1,MAX(A$1:A3027)+1,"")</f>
        <v/>
      </c>
      <c r="B3028" s="11"/>
      <c r="C3028" s="11" t="str">
        <f>IF(COUNTIF(D$1:D3028,D3028)=1,MAX(C$1:C3027)+1,"")</f>
        <v/>
      </c>
      <c r="D3028" s="12"/>
    </row>
    <row r="3029" spans="1:4" x14ac:dyDescent="0.25">
      <c r="A3029" t="str">
        <f>IF(COUNTIF(B$1:B3029,B3029)=1,MAX(A$1:A3028)+1,"")</f>
        <v/>
      </c>
      <c r="B3029" s="11"/>
      <c r="C3029" s="11" t="str">
        <f>IF(COUNTIF(D$1:D3029,D3029)=1,MAX(C$1:C3028)+1,"")</f>
        <v/>
      </c>
      <c r="D3029" s="12"/>
    </row>
    <row r="3030" spans="1:4" x14ac:dyDescent="0.25">
      <c r="A3030" t="str">
        <f>IF(COUNTIF(B$1:B3030,B3030)=1,MAX(A$1:A3029)+1,"")</f>
        <v/>
      </c>
      <c r="B3030" s="11"/>
      <c r="C3030" s="11" t="str">
        <f>IF(COUNTIF(D$1:D3030,D3030)=1,MAX(C$1:C3029)+1,"")</f>
        <v/>
      </c>
      <c r="D3030" s="12"/>
    </row>
    <row r="3031" spans="1:4" x14ac:dyDescent="0.25">
      <c r="A3031" t="str">
        <f>IF(COUNTIF(B$1:B3031,B3031)=1,MAX(A$1:A3030)+1,"")</f>
        <v/>
      </c>
      <c r="B3031" s="11"/>
      <c r="C3031" s="11" t="str">
        <f>IF(COUNTIF(D$1:D3031,D3031)=1,MAX(C$1:C3030)+1,"")</f>
        <v/>
      </c>
      <c r="D3031" s="12"/>
    </row>
    <row r="3032" spans="1:4" x14ac:dyDescent="0.25">
      <c r="A3032" t="str">
        <f>IF(COUNTIF(B$1:B3032,B3032)=1,MAX(A$1:A3031)+1,"")</f>
        <v/>
      </c>
      <c r="B3032" s="11"/>
      <c r="C3032" s="11" t="str">
        <f>IF(COUNTIF(D$1:D3032,D3032)=1,MAX(C$1:C3031)+1,"")</f>
        <v/>
      </c>
      <c r="D3032" s="12"/>
    </row>
    <row r="3033" spans="1:4" x14ac:dyDescent="0.25">
      <c r="A3033" t="str">
        <f>IF(COUNTIF(B$1:B3033,B3033)=1,MAX(A$1:A3032)+1,"")</f>
        <v/>
      </c>
      <c r="B3033" s="11"/>
      <c r="C3033" s="11" t="str">
        <f>IF(COUNTIF(D$1:D3033,D3033)=1,MAX(C$1:C3032)+1,"")</f>
        <v/>
      </c>
      <c r="D3033" s="12"/>
    </row>
    <row r="3034" spans="1:4" x14ac:dyDescent="0.25">
      <c r="A3034" t="str">
        <f>IF(COUNTIF(B$1:B3034,B3034)=1,MAX(A$1:A3033)+1,"")</f>
        <v/>
      </c>
      <c r="B3034" s="11"/>
      <c r="C3034" s="11" t="str">
        <f>IF(COUNTIF(D$1:D3034,D3034)=1,MAX(C$1:C3033)+1,"")</f>
        <v/>
      </c>
      <c r="D3034" s="12"/>
    </row>
    <row r="3035" spans="1:4" x14ac:dyDescent="0.25">
      <c r="A3035" t="str">
        <f>IF(COUNTIF(B$1:B3035,B3035)=1,MAX(A$1:A3034)+1,"")</f>
        <v/>
      </c>
      <c r="B3035" s="11"/>
      <c r="C3035" s="11" t="str">
        <f>IF(COUNTIF(D$1:D3035,D3035)=1,MAX(C$1:C3034)+1,"")</f>
        <v/>
      </c>
      <c r="D3035" s="12"/>
    </row>
    <row r="3036" spans="1:4" x14ac:dyDescent="0.25">
      <c r="A3036" t="str">
        <f>IF(COUNTIF(B$1:B3036,B3036)=1,MAX(A$1:A3035)+1,"")</f>
        <v/>
      </c>
      <c r="B3036" s="11"/>
      <c r="C3036" s="11" t="str">
        <f>IF(COUNTIF(D$1:D3036,D3036)=1,MAX(C$1:C3035)+1,"")</f>
        <v/>
      </c>
      <c r="D3036" s="12"/>
    </row>
    <row r="3037" spans="1:4" x14ac:dyDescent="0.25">
      <c r="A3037" t="str">
        <f>IF(COUNTIF(B$1:B3037,B3037)=1,MAX(A$1:A3036)+1,"")</f>
        <v/>
      </c>
      <c r="B3037" s="11"/>
      <c r="C3037" s="11" t="str">
        <f>IF(COUNTIF(D$1:D3037,D3037)=1,MAX(C$1:C3036)+1,"")</f>
        <v/>
      </c>
      <c r="D3037" s="12"/>
    </row>
    <row r="3038" spans="1:4" x14ac:dyDescent="0.25">
      <c r="A3038" t="str">
        <f>IF(COUNTIF(B$1:B3038,B3038)=1,MAX(A$1:A3037)+1,"")</f>
        <v/>
      </c>
      <c r="B3038" s="11"/>
      <c r="C3038" s="11" t="str">
        <f>IF(COUNTIF(D$1:D3038,D3038)=1,MAX(C$1:C3037)+1,"")</f>
        <v/>
      </c>
      <c r="D3038" s="12"/>
    </row>
    <row r="3039" spans="1:4" x14ac:dyDescent="0.25">
      <c r="A3039" t="str">
        <f>IF(COUNTIF(B$1:B3039,B3039)=1,MAX(A$1:A3038)+1,"")</f>
        <v/>
      </c>
      <c r="B3039" s="11"/>
      <c r="C3039" s="11" t="str">
        <f>IF(COUNTIF(D$1:D3039,D3039)=1,MAX(C$1:C3038)+1,"")</f>
        <v/>
      </c>
      <c r="D3039" s="12"/>
    </row>
    <row r="3040" spans="1:4" x14ac:dyDescent="0.25">
      <c r="A3040" t="str">
        <f>IF(COUNTIF(B$1:B3040,B3040)=1,MAX(A$1:A3039)+1,"")</f>
        <v/>
      </c>
      <c r="B3040" s="11"/>
      <c r="C3040" s="11" t="str">
        <f>IF(COUNTIF(D$1:D3040,D3040)=1,MAX(C$1:C3039)+1,"")</f>
        <v/>
      </c>
      <c r="D3040" s="12"/>
    </row>
    <row r="3041" spans="1:4" x14ac:dyDescent="0.25">
      <c r="A3041" t="str">
        <f>IF(COUNTIF(B$1:B3041,B3041)=1,MAX(A$1:A3040)+1,"")</f>
        <v/>
      </c>
      <c r="B3041" s="11"/>
      <c r="C3041" s="11" t="str">
        <f>IF(COUNTIF(D$1:D3041,D3041)=1,MAX(C$1:C3040)+1,"")</f>
        <v/>
      </c>
      <c r="D3041" s="12"/>
    </row>
    <row r="3042" spans="1:4" x14ac:dyDescent="0.25">
      <c r="A3042" t="str">
        <f>IF(COUNTIF(B$1:B3042,B3042)=1,MAX(A$1:A3041)+1,"")</f>
        <v/>
      </c>
      <c r="B3042" s="11"/>
      <c r="C3042" s="11" t="str">
        <f>IF(COUNTIF(D$1:D3042,D3042)=1,MAX(C$1:C3041)+1,"")</f>
        <v/>
      </c>
      <c r="D3042" s="12"/>
    </row>
    <row r="3043" spans="1:4" x14ac:dyDescent="0.25">
      <c r="A3043" t="str">
        <f>IF(COUNTIF(B$1:B3043,B3043)=1,MAX(A$1:A3042)+1,"")</f>
        <v/>
      </c>
      <c r="B3043" s="11"/>
      <c r="C3043" s="11" t="str">
        <f>IF(COUNTIF(D$1:D3043,D3043)=1,MAX(C$1:C3042)+1,"")</f>
        <v/>
      </c>
      <c r="D3043" s="12"/>
    </row>
    <row r="3044" spans="1:4" x14ac:dyDescent="0.25">
      <c r="A3044" t="str">
        <f>IF(COUNTIF(B$1:B3044,B3044)=1,MAX(A$1:A3043)+1,"")</f>
        <v/>
      </c>
      <c r="B3044" s="11"/>
      <c r="C3044" s="11" t="str">
        <f>IF(COUNTIF(D$1:D3044,D3044)=1,MAX(C$1:C3043)+1,"")</f>
        <v/>
      </c>
      <c r="D3044" s="12"/>
    </row>
    <row r="3045" spans="1:4" x14ac:dyDescent="0.25">
      <c r="A3045" t="str">
        <f>IF(COUNTIF(B$1:B3045,B3045)=1,MAX(A$1:A3044)+1,"")</f>
        <v/>
      </c>
      <c r="B3045" s="11"/>
      <c r="C3045" s="11" t="str">
        <f>IF(COUNTIF(D$1:D3045,D3045)=1,MAX(C$1:C3044)+1,"")</f>
        <v/>
      </c>
      <c r="D3045" s="12"/>
    </row>
    <row r="3046" spans="1:4" x14ac:dyDescent="0.25">
      <c r="A3046" t="str">
        <f>IF(COUNTIF(B$1:B3046,B3046)=1,MAX(A$1:A3045)+1,"")</f>
        <v/>
      </c>
      <c r="B3046" s="11"/>
      <c r="C3046" s="11" t="str">
        <f>IF(COUNTIF(D$1:D3046,D3046)=1,MAX(C$1:C3045)+1,"")</f>
        <v/>
      </c>
      <c r="D3046" s="12"/>
    </row>
    <row r="3047" spans="1:4" x14ac:dyDescent="0.25">
      <c r="A3047" t="str">
        <f>IF(COUNTIF(B$1:B3047,B3047)=1,MAX(A$1:A3046)+1,"")</f>
        <v/>
      </c>
      <c r="B3047" s="11"/>
      <c r="C3047" s="11" t="str">
        <f>IF(COUNTIF(D$1:D3047,D3047)=1,MAX(C$1:C3046)+1,"")</f>
        <v/>
      </c>
      <c r="D3047" s="12"/>
    </row>
    <row r="3048" spans="1:4" x14ac:dyDescent="0.25">
      <c r="A3048" t="str">
        <f>IF(COUNTIF(B$1:B3048,B3048)=1,MAX(A$1:A3047)+1,"")</f>
        <v/>
      </c>
      <c r="B3048" s="11"/>
      <c r="C3048" s="11" t="str">
        <f>IF(COUNTIF(D$1:D3048,D3048)=1,MAX(C$1:C3047)+1,"")</f>
        <v/>
      </c>
      <c r="D3048" s="12"/>
    </row>
    <row r="3049" spans="1:4" x14ac:dyDescent="0.25">
      <c r="A3049" t="str">
        <f>IF(COUNTIF(B$1:B3049,B3049)=1,MAX(A$1:A3048)+1,"")</f>
        <v/>
      </c>
      <c r="B3049" s="11"/>
      <c r="C3049" s="11" t="str">
        <f>IF(COUNTIF(D$1:D3049,D3049)=1,MAX(C$1:C3048)+1,"")</f>
        <v/>
      </c>
      <c r="D3049" s="12"/>
    </row>
    <row r="3050" spans="1:4" x14ac:dyDescent="0.25">
      <c r="A3050" t="str">
        <f>IF(COUNTIF(B$1:B3050,B3050)=1,MAX(A$1:A3049)+1,"")</f>
        <v/>
      </c>
      <c r="B3050" s="11"/>
      <c r="C3050" s="11" t="str">
        <f>IF(COUNTIF(D$1:D3050,D3050)=1,MAX(C$1:C3049)+1,"")</f>
        <v/>
      </c>
      <c r="D3050" s="12"/>
    </row>
    <row r="3051" spans="1:4" x14ac:dyDescent="0.25">
      <c r="A3051" t="str">
        <f>IF(COUNTIF(B$1:B3051,B3051)=1,MAX(A$1:A3050)+1,"")</f>
        <v/>
      </c>
      <c r="B3051" s="11"/>
      <c r="C3051" s="11" t="str">
        <f>IF(COUNTIF(D$1:D3051,D3051)=1,MAX(C$1:C3050)+1,"")</f>
        <v/>
      </c>
      <c r="D3051" s="12"/>
    </row>
    <row r="3052" spans="1:4" x14ac:dyDescent="0.25">
      <c r="A3052" t="str">
        <f>IF(COUNTIF(B$1:B3052,B3052)=1,MAX(A$1:A3051)+1,"")</f>
        <v/>
      </c>
      <c r="B3052" s="11"/>
      <c r="C3052" s="11" t="str">
        <f>IF(COUNTIF(D$1:D3052,D3052)=1,MAX(C$1:C3051)+1,"")</f>
        <v/>
      </c>
      <c r="D3052" s="12"/>
    </row>
    <row r="3053" spans="1:4" x14ac:dyDescent="0.25">
      <c r="A3053" t="str">
        <f>IF(COUNTIF(B$1:B3053,B3053)=1,MAX(A$1:A3052)+1,"")</f>
        <v/>
      </c>
      <c r="B3053" s="11"/>
      <c r="C3053" s="11" t="str">
        <f>IF(COUNTIF(D$1:D3053,D3053)=1,MAX(C$1:C3052)+1,"")</f>
        <v/>
      </c>
      <c r="D3053" s="12"/>
    </row>
    <row r="3054" spans="1:4" x14ac:dyDescent="0.25">
      <c r="A3054" t="str">
        <f>IF(COUNTIF(B$1:B3054,B3054)=1,MAX(A$1:A3053)+1,"")</f>
        <v/>
      </c>
      <c r="B3054" s="11"/>
      <c r="C3054" s="11" t="str">
        <f>IF(COUNTIF(D$1:D3054,D3054)=1,MAX(C$1:C3053)+1,"")</f>
        <v/>
      </c>
      <c r="D3054" s="12"/>
    </row>
    <row r="3055" spans="1:4" x14ac:dyDescent="0.25">
      <c r="A3055" t="str">
        <f>IF(COUNTIF(B$1:B3055,B3055)=1,MAX(A$1:A3054)+1,"")</f>
        <v/>
      </c>
      <c r="B3055" s="11"/>
      <c r="C3055" s="11" t="str">
        <f>IF(COUNTIF(D$1:D3055,D3055)=1,MAX(C$1:C3054)+1,"")</f>
        <v/>
      </c>
      <c r="D3055" s="12"/>
    </row>
    <row r="3056" spans="1:4" x14ac:dyDescent="0.25">
      <c r="A3056" t="str">
        <f>IF(COUNTIF(B$1:B3056,B3056)=1,MAX(A$1:A3055)+1,"")</f>
        <v/>
      </c>
      <c r="B3056" s="11"/>
      <c r="C3056" s="11" t="str">
        <f>IF(COUNTIF(D$1:D3056,D3056)=1,MAX(C$1:C3055)+1,"")</f>
        <v/>
      </c>
      <c r="D3056" s="12"/>
    </row>
    <row r="3057" spans="1:4" x14ac:dyDescent="0.25">
      <c r="A3057" t="str">
        <f>IF(COUNTIF(B$1:B3057,B3057)=1,MAX(A$1:A3056)+1,"")</f>
        <v/>
      </c>
      <c r="B3057" s="11"/>
      <c r="C3057" s="11" t="str">
        <f>IF(COUNTIF(D$1:D3057,D3057)=1,MAX(C$1:C3056)+1,"")</f>
        <v/>
      </c>
      <c r="D3057" s="12"/>
    </row>
    <row r="3058" spans="1:4" x14ac:dyDescent="0.25">
      <c r="A3058" t="str">
        <f>IF(COUNTIF(B$1:B3058,B3058)=1,MAX(A$1:A3057)+1,"")</f>
        <v/>
      </c>
      <c r="B3058" s="11"/>
      <c r="C3058" s="11" t="str">
        <f>IF(COUNTIF(D$1:D3058,D3058)=1,MAX(C$1:C3057)+1,"")</f>
        <v/>
      </c>
      <c r="D3058" s="12"/>
    </row>
    <row r="3059" spans="1:4" x14ac:dyDescent="0.25">
      <c r="A3059" t="str">
        <f>IF(COUNTIF(B$1:B3059,B3059)=1,MAX(A$1:A3058)+1,"")</f>
        <v/>
      </c>
      <c r="B3059" s="11"/>
      <c r="C3059" s="11" t="str">
        <f>IF(COUNTIF(D$1:D3059,D3059)=1,MAX(C$1:C3058)+1,"")</f>
        <v/>
      </c>
      <c r="D3059" s="12"/>
    </row>
    <row r="3060" spans="1:4" x14ac:dyDescent="0.25">
      <c r="A3060" t="str">
        <f>IF(COUNTIF(B$1:B3060,B3060)=1,MAX(A$1:A3059)+1,"")</f>
        <v/>
      </c>
      <c r="B3060" s="11"/>
      <c r="C3060" s="11" t="str">
        <f>IF(COUNTIF(D$1:D3060,D3060)=1,MAX(C$1:C3059)+1,"")</f>
        <v/>
      </c>
      <c r="D3060" s="12"/>
    </row>
    <row r="3061" spans="1:4" x14ac:dyDescent="0.25">
      <c r="A3061" t="str">
        <f>IF(COUNTIF(B$1:B3061,B3061)=1,MAX(A$1:A3060)+1,"")</f>
        <v/>
      </c>
      <c r="B3061" s="11"/>
      <c r="C3061" s="11" t="str">
        <f>IF(COUNTIF(D$1:D3061,D3061)=1,MAX(C$1:C3060)+1,"")</f>
        <v/>
      </c>
      <c r="D3061" s="12"/>
    </row>
    <row r="3062" spans="1:4" x14ac:dyDescent="0.25">
      <c r="A3062" t="str">
        <f>IF(COUNTIF(B$1:B3062,B3062)=1,MAX(A$1:A3061)+1,"")</f>
        <v/>
      </c>
      <c r="B3062" s="11"/>
      <c r="C3062" s="11" t="str">
        <f>IF(COUNTIF(D$1:D3062,D3062)=1,MAX(C$1:C3061)+1,"")</f>
        <v/>
      </c>
      <c r="D3062" s="12"/>
    </row>
    <row r="3063" spans="1:4" x14ac:dyDescent="0.25">
      <c r="A3063" t="str">
        <f>IF(COUNTIF(B$1:B3063,B3063)=1,MAX(A$1:A3062)+1,"")</f>
        <v/>
      </c>
      <c r="B3063" s="11"/>
      <c r="C3063" s="11" t="str">
        <f>IF(COUNTIF(D$1:D3063,D3063)=1,MAX(C$1:C3062)+1,"")</f>
        <v/>
      </c>
      <c r="D3063" s="12"/>
    </row>
    <row r="3064" spans="1:4" x14ac:dyDescent="0.25">
      <c r="A3064" t="str">
        <f>IF(COUNTIF(B$1:B3064,B3064)=1,MAX(A$1:A3063)+1,"")</f>
        <v/>
      </c>
      <c r="B3064" s="11"/>
      <c r="C3064" s="11" t="str">
        <f>IF(COUNTIF(D$1:D3064,D3064)=1,MAX(C$1:C3063)+1,"")</f>
        <v/>
      </c>
      <c r="D3064" s="12"/>
    </row>
    <row r="3065" spans="1:4" x14ac:dyDescent="0.25">
      <c r="A3065" t="str">
        <f>IF(COUNTIF(B$1:B3065,B3065)=1,MAX(A$1:A3064)+1,"")</f>
        <v/>
      </c>
      <c r="B3065" s="11"/>
      <c r="C3065" s="11" t="str">
        <f>IF(COUNTIF(D$1:D3065,D3065)=1,MAX(C$1:C3064)+1,"")</f>
        <v/>
      </c>
      <c r="D3065" s="12"/>
    </row>
    <row r="3066" spans="1:4" x14ac:dyDescent="0.25">
      <c r="A3066" t="str">
        <f>IF(COUNTIF(B$1:B3066,B3066)=1,MAX(A$1:A3065)+1,"")</f>
        <v/>
      </c>
      <c r="B3066" s="11"/>
      <c r="C3066" s="11" t="str">
        <f>IF(COUNTIF(D$1:D3066,D3066)=1,MAX(C$1:C3065)+1,"")</f>
        <v/>
      </c>
      <c r="D3066" s="12"/>
    </row>
    <row r="3067" spans="1:4" x14ac:dyDescent="0.25">
      <c r="A3067" t="str">
        <f>IF(COUNTIF(B$1:B3067,B3067)=1,MAX(A$1:A3066)+1,"")</f>
        <v/>
      </c>
      <c r="B3067" s="11"/>
      <c r="C3067" s="11" t="str">
        <f>IF(COUNTIF(D$1:D3067,D3067)=1,MAX(C$1:C3066)+1,"")</f>
        <v/>
      </c>
      <c r="D3067" s="12"/>
    </row>
    <row r="3068" spans="1:4" x14ac:dyDescent="0.25">
      <c r="A3068" t="str">
        <f>IF(COUNTIF(B$1:B3068,B3068)=1,MAX(A$1:A3067)+1,"")</f>
        <v/>
      </c>
      <c r="B3068" s="11"/>
      <c r="C3068" s="11" t="str">
        <f>IF(COUNTIF(D$1:D3068,D3068)=1,MAX(C$1:C3067)+1,"")</f>
        <v/>
      </c>
      <c r="D3068" s="12"/>
    </row>
    <row r="3069" spans="1:4" x14ac:dyDescent="0.25">
      <c r="A3069" t="str">
        <f>IF(COUNTIF(B$1:B3069,B3069)=1,MAX(A$1:A3068)+1,"")</f>
        <v/>
      </c>
      <c r="B3069" s="11"/>
      <c r="C3069" s="11" t="str">
        <f>IF(COUNTIF(D$1:D3069,D3069)=1,MAX(C$1:C3068)+1,"")</f>
        <v/>
      </c>
      <c r="D3069" s="12"/>
    </row>
    <row r="3070" spans="1:4" x14ac:dyDescent="0.25">
      <c r="A3070" t="str">
        <f>IF(COUNTIF(B$1:B3070,B3070)=1,MAX(A$1:A3069)+1,"")</f>
        <v/>
      </c>
      <c r="B3070" s="11"/>
      <c r="C3070" s="11" t="str">
        <f>IF(COUNTIF(D$1:D3070,D3070)=1,MAX(C$1:C3069)+1,"")</f>
        <v/>
      </c>
      <c r="D3070" s="12"/>
    </row>
    <row r="3071" spans="1:4" x14ac:dyDescent="0.25">
      <c r="A3071" t="str">
        <f>IF(COUNTIF(B$1:B3071,B3071)=1,MAX(A$1:A3070)+1,"")</f>
        <v/>
      </c>
      <c r="B3071" s="11"/>
      <c r="C3071" s="11" t="str">
        <f>IF(COUNTIF(D$1:D3071,D3071)=1,MAX(C$1:C3070)+1,"")</f>
        <v/>
      </c>
      <c r="D3071" s="12"/>
    </row>
    <row r="3072" spans="1:4" x14ac:dyDescent="0.25">
      <c r="A3072" t="str">
        <f>IF(COUNTIF(B$1:B3072,B3072)=1,MAX(A$1:A3071)+1,"")</f>
        <v/>
      </c>
      <c r="B3072" s="11"/>
      <c r="C3072" s="11" t="str">
        <f>IF(COUNTIF(D$1:D3072,D3072)=1,MAX(C$1:C3071)+1,"")</f>
        <v/>
      </c>
      <c r="D3072" s="12"/>
    </row>
    <row r="3073" spans="1:4" x14ac:dyDescent="0.25">
      <c r="A3073" t="str">
        <f>IF(COUNTIF(B$1:B3073,B3073)=1,MAX(A$1:A3072)+1,"")</f>
        <v/>
      </c>
      <c r="B3073" s="11"/>
      <c r="C3073" s="11" t="str">
        <f>IF(COUNTIF(D$1:D3073,D3073)=1,MAX(C$1:C3072)+1,"")</f>
        <v/>
      </c>
      <c r="D3073" s="12"/>
    </row>
    <row r="3074" spans="1:4" x14ac:dyDescent="0.25">
      <c r="A3074" t="str">
        <f>IF(COUNTIF(B$1:B3074,B3074)=1,MAX(A$1:A3073)+1,"")</f>
        <v/>
      </c>
      <c r="B3074" s="11"/>
      <c r="C3074" s="11" t="str">
        <f>IF(COUNTIF(D$1:D3074,D3074)=1,MAX(C$1:C3073)+1,"")</f>
        <v/>
      </c>
      <c r="D3074" s="12"/>
    </row>
    <row r="3075" spans="1:4" x14ac:dyDescent="0.25">
      <c r="A3075" t="str">
        <f>IF(COUNTIF(B$1:B3075,B3075)=1,MAX(A$1:A3074)+1,"")</f>
        <v/>
      </c>
      <c r="B3075" s="11"/>
      <c r="C3075" s="11" t="str">
        <f>IF(COUNTIF(D$1:D3075,D3075)=1,MAX(C$1:C3074)+1,"")</f>
        <v/>
      </c>
      <c r="D3075" s="12"/>
    </row>
    <row r="3076" spans="1:4" x14ac:dyDescent="0.25">
      <c r="A3076" t="str">
        <f>IF(COUNTIF(B$1:B3076,B3076)=1,MAX(A$1:A3075)+1,"")</f>
        <v/>
      </c>
      <c r="B3076" s="11"/>
      <c r="C3076" s="11" t="str">
        <f>IF(COUNTIF(D$1:D3076,D3076)=1,MAX(C$1:C3075)+1,"")</f>
        <v/>
      </c>
      <c r="D3076" s="12"/>
    </row>
    <row r="3077" spans="1:4" x14ac:dyDescent="0.25">
      <c r="A3077" t="str">
        <f>IF(COUNTIF(B$1:B3077,B3077)=1,MAX(A$1:A3076)+1,"")</f>
        <v/>
      </c>
      <c r="B3077" s="11"/>
      <c r="C3077" s="11" t="str">
        <f>IF(COUNTIF(D$1:D3077,D3077)=1,MAX(C$1:C3076)+1,"")</f>
        <v/>
      </c>
      <c r="D3077" s="12"/>
    </row>
    <row r="3078" spans="1:4" x14ac:dyDescent="0.25">
      <c r="A3078" t="str">
        <f>IF(COUNTIF(B$1:B3078,B3078)=1,MAX(A$1:A3077)+1,"")</f>
        <v/>
      </c>
      <c r="B3078" s="11"/>
      <c r="C3078" s="11" t="str">
        <f>IF(COUNTIF(D$1:D3078,D3078)=1,MAX(C$1:C3077)+1,"")</f>
        <v/>
      </c>
      <c r="D3078" s="12"/>
    </row>
    <row r="3079" spans="1:4" x14ac:dyDescent="0.25">
      <c r="A3079" t="str">
        <f>IF(COUNTIF(B$1:B3079,B3079)=1,MAX(A$1:A3078)+1,"")</f>
        <v/>
      </c>
      <c r="B3079" s="11"/>
      <c r="C3079" s="11" t="str">
        <f>IF(COUNTIF(D$1:D3079,D3079)=1,MAX(C$1:C3078)+1,"")</f>
        <v/>
      </c>
      <c r="D3079" s="12"/>
    </row>
    <row r="3080" spans="1:4" x14ac:dyDescent="0.25">
      <c r="A3080" t="str">
        <f>IF(COUNTIF(B$1:B3080,B3080)=1,MAX(A$1:A3079)+1,"")</f>
        <v/>
      </c>
      <c r="B3080" s="11"/>
      <c r="C3080" s="11" t="str">
        <f>IF(COUNTIF(D$1:D3080,D3080)=1,MAX(C$1:C3079)+1,"")</f>
        <v/>
      </c>
      <c r="D3080" s="12"/>
    </row>
    <row r="3081" spans="1:4" x14ac:dyDescent="0.25">
      <c r="A3081" t="str">
        <f>IF(COUNTIF(B$1:B3081,B3081)=1,MAX(A$1:A3080)+1,"")</f>
        <v/>
      </c>
      <c r="B3081" s="11"/>
      <c r="C3081" s="11" t="str">
        <f>IF(COUNTIF(D$1:D3081,D3081)=1,MAX(C$1:C3080)+1,"")</f>
        <v/>
      </c>
      <c r="D3081" s="12"/>
    </row>
    <row r="3082" spans="1:4" x14ac:dyDescent="0.25">
      <c r="A3082" t="str">
        <f>IF(COUNTIF(B$1:B3082,B3082)=1,MAX(A$1:A3081)+1,"")</f>
        <v/>
      </c>
      <c r="B3082" s="11"/>
      <c r="C3082" s="11" t="str">
        <f>IF(COUNTIF(D$1:D3082,D3082)=1,MAX(C$1:C3081)+1,"")</f>
        <v/>
      </c>
      <c r="D3082" s="12"/>
    </row>
    <row r="3083" spans="1:4" x14ac:dyDescent="0.25">
      <c r="A3083" t="str">
        <f>IF(COUNTIF(B$1:B3083,B3083)=1,MAX(A$1:A3082)+1,"")</f>
        <v/>
      </c>
      <c r="B3083" s="11"/>
      <c r="C3083" s="11" t="str">
        <f>IF(COUNTIF(D$1:D3083,D3083)=1,MAX(C$1:C3082)+1,"")</f>
        <v/>
      </c>
      <c r="D3083" s="12"/>
    </row>
    <row r="3084" spans="1:4" x14ac:dyDescent="0.25">
      <c r="A3084" t="str">
        <f>IF(COUNTIF(B$1:B3084,B3084)=1,MAX(A$1:A3083)+1,"")</f>
        <v/>
      </c>
      <c r="B3084" s="11"/>
      <c r="C3084" s="11" t="str">
        <f>IF(COUNTIF(D$1:D3084,D3084)=1,MAX(C$1:C3083)+1,"")</f>
        <v/>
      </c>
      <c r="D3084" s="12"/>
    </row>
    <row r="3085" spans="1:4" x14ac:dyDescent="0.25">
      <c r="A3085" t="str">
        <f>IF(COUNTIF(B$1:B3085,B3085)=1,MAX(A$1:A3084)+1,"")</f>
        <v/>
      </c>
      <c r="B3085" s="11"/>
      <c r="C3085" s="11" t="str">
        <f>IF(COUNTIF(D$1:D3085,D3085)=1,MAX(C$1:C3084)+1,"")</f>
        <v/>
      </c>
      <c r="D3085" s="12"/>
    </row>
    <row r="3086" spans="1:4" x14ac:dyDescent="0.25">
      <c r="A3086" t="str">
        <f>IF(COUNTIF(B$1:B3086,B3086)=1,MAX(A$1:A3085)+1,"")</f>
        <v/>
      </c>
      <c r="B3086" s="11"/>
      <c r="C3086" s="11" t="str">
        <f>IF(COUNTIF(D$1:D3086,D3086)=1,MAX(C$1:C3085)+1,"")</f>
        <v/>
      </c>
      <c r="D3086" s="12"/>
    </row>
    <row r="3087" spans="1:4" x14ac:dyDescent="0.25">
      <c r="A3087" t="str">
        <f>IF(COUNTIF(B$1:B3087,B3087)=1,MAX(A$1:A3086)+1,"")</f>
        <v/>
      </c>
      <c r="B3087" s="11"/>
      <c r="C3087" s="11" t="str">
        <f>IF(COUNTIF(D$1:D3087,D3087)=1,MAX(C$1:C3086)+1,"")</f>
        <v/>
      </c>
      <c r="D3087" s="12"/>
    </row>
    <row r="3088" spans="1:4" x14ac:dyDescent="0.25">
      <c r="A3088" t="str">
        <f>IF(COUNTIF(B$1:B3088,B3088)=1,MAX(A$1:A3087)+1,"")</f>
        <v/>
      </c>
      <c r="B3088" s="11"/>
      <c r="C3088" s="11" t="str">
        <f>IF(COUNTIF(D$1:D3088,D3088)=1,MAX(C$1:C3087)+1,"")</f>
        <v/>
      </c>
      <c r="D3088" s="12"/>
    </row>
    <row r="3089" spans="1:4" x14ac:dyDescent="0.25">
      <c r="A3089" t="str">
        <f>IF(COUNTIF(B$1:B3089,B3089)=1,MAX(A$1:A3088)+1,"")</f>
        <v/>
      </c>
      <c r="B3089" s="11"/>
      <c r="C3089" s="11" t="str">
        <f>IF(COUNTIF(D$1:D3089,D3089)=1,MAX(C$1:C3088)+1,"")</f>
        <v/>
      </c>
      <c r="D3089" s="12"/>
    </row>
    <row r="3090" spans="1:4" x14ac:dyDescent="0.25">
      <c r="A3090" t="str">
        <f>IF(COUNTIF(B$1:B3090,B3090)=1,MAX(A$1:A3089)+1,"")</f>
        <v/>
      </c>
      <c r="B3090" s="11"/>
      <c r="C3090" s="11" t="str">
        <f>IF(COUNTIF(D$1:D3090,D3090)=1,MAX(C$1:C3089)+1,"")</f>
        <v/>
      </c>
      <c r="D3090" s="12"/>
    </row>
    <row r="3091" spans="1:4" x14ac:dyDescent="0.25">
      <c r="A3091" t="str">
        <f>IF(COUNTIF(B$1:B3091,B3091)=1,MAX(A$1:A3090)+1,"")</f>
        <v/>
      </c>
      <c r="B3091" s="11"/>
      <c r="C3091" s="11" t="str">
        <f>IF(COUNTIF(D$1:D3091,D3091)=1,MAX(C$1:C3090)+1,"")</f>
        <v/>
      </c>
      <c r="D3091" s="12"/>
    </row>
    <row r="3092" spans="1:4" x14ac:dyDescent="0.25">
      <c r="A3092" t="str">
        <f>IF(COUNTIF(B$1:B3092,B3092)=1,MAX(A$1:A3091)+1,"")</f>
        <v/>
      </c>
      <c r="B3092" s="11"/>
      <c r="C3092" s="11" t="str">
        <f>IF(COUNTIF(D$1:D3092,D3092)=1,MAX(C$1:C3091)+1,"")</f>
        <v/>
      </c>
      <c r="D3092" s="12"/>
    </row>
    <row r="3093" spans="1:4" x14ac:dyDescent="0.25">
      <c r="A3093" t="str">
        <f>IF(COUNTIF(B$1:B3093,B3093)=1,MAX(A$1:A3092)+1,"")</f>
        <v/>
      </c>
      <c r="B3093" s="11"/>
      <c r="C3093" s="11" t="str">
        <f>IF(COUNTIF(D$1:D3093,D3093)=1,MAX(C$1:C3092)+1,"")</f>
        <v/>
      </c>
      <c r="D3093" s="12"/>
    </row>
    <row r="3094" spans="1:4" x14ac:dyDescent="0.25">
      <c r="A3094" t="str">
        <f>IF(COUNTIF(B$1:B3094,B3094)=1,MAX(A$1:A3093)+1,"")</f>
        <v/>
      </c>
      <c r="B3094" s="11"/>
      <c r="C3094" s="11" t="str">
        <f>IF(COUNTIF(D$1:D3094,D3094)=1,MAX(C$1:C3093)+1,"")</f>
        <v/>
      </c>
      <c r="D3094" s="12"/>
    </row>
    <row r="3095" spans="1:4" x14ac:dyDescent="0.25">
      <c r="A3095" t="str">
        <f>IF(COUNTIF(B$1:B3095,B3095)=1,MAX(A$1:A3094)+1,"")</f>
        <v/>
      </c>
      <c r="B3095" s="11"/>
      <c r="C3095" s="11" t="str">
        <f>IF(COUNTIF(D$1:D3095,D3095)=1,MAX(C$1:C3094)+1,"")</f>
        <v/>
      </c>
      <c r="D3095" s="12"/>
    </row>
    <row r="3096" spans="1:4" x14ac:dyDescent="0.25">
      <c r="A3096" t="str">
        <f>IF(COUNTIF(B$1:B3096,B3096)=1,MAX(A$1:A3095)+1,"")</f>
        <v/>
      </c>
      <c r="B3096" s="11"/>
      <c r="C3096" s="11" t="str">
        <f>IF(COUNTIF(D$1:D3096,D3096)=1,MAX(C$1:C3095)+1,"")</f>
        <v/>
      </c>
      <c r="D3096" s="12"/>
    </row>
    <row r="3097" spans="1:4" x14ac:dyDescent="0.25">
      <c r="A3097" t="str">
        <f>IF(COUNTIF(B$1:B3097,B3097)=1,MAX(A$1:A3096)+1,"")</f>
        <v/>
      </c>
      <c r="B3097" s="11"/>
      <c r="C3097" s="11" t="str">
        <f>IF(COUNTIF(D$1:D3097,D3097)=1,MAX(C$1:C3096)+1,"")</f>
        <v/>
      </c>
      <c r="D3097" s="12"/>
    </row>
    <row r="3098" spans="1:4" x14ac:dyDescent="0.25">
      <c r="A3098" t="str">
        <f>IF(COUNTIF(B$1:B3098,B3098)=1,MAX(A$1:A3097)+1,"")</f>
        <v/>
      </c>
      <c r="B3098" s="11"/>
      <c r="C3098" s="11" t="str">
        <f>IF(COUNTIF(D$1:D3098,D3098)=1,MAX(C$1:C3097)+1,"")</f>
        <v/>
      </c>
      <c r="D3098" s="12"/>
    </row>
    <row r="3099" spans="1:4" x14ac:dyDescent="0.25">
      <c r="A3099" t="str">
        <f>IF(COUNTIF(B$1:B3099,B3099)=1,MAX(A$1:A3098)+1,"")</f>
        <v/>
      </c>
      <c r="B3099" s="11"/>
      <c r="C3099" s="11" t="str">
        <f>IF(COUNTIF(D$1:D3099,D3099)=1,MAX(C$1:C3098)+1,"")</f>
        <v/>
      </c>
      <c r="D3099" s="12"/>
    </row>
    <row r="3100" spans="1:4" x14ac:dyDescent="0.25">
      <c r="A3100" t="str">
        <f>IF(COUNTIF(B$1:B3100,B3100)=1,MAX(A$1:A3099)+1,"")</f>
        <v/>
      </c>
      <c r="B3100" s="11"/>
      <c r="C3100" s="11" t="str">
        <f>IF(COUNTIF(D$1:D3100,D3100)=1,MAX(C$1:C3099)+1,"")</f>
        <v/>
      </c>
      <c r="D3100" s="12"/>
    </row>
    <row r="3101" spans="1:4" x14ac:dyDescent="0.25">
      <c r="A3101" t="str">
        <f>IF(COUNTIF(B$1:B3101,B3101)=1,MAX(A$1:A3100)+1,"")</f>
        <v/>
      </c>
      <c r="B3101" s="11"/>
      <c r="C3101" s="11" t="str">
        <f>IF(COUNTIF(D$1:D3101,D3101)=1,MAX(C$1:C3100)+1,"")</f>
        <v/>
      </c>
      <c r="D3101" s="12"/>
    </row>
    <row r="3102" spans="1:4" x14ac:dyDescent="0.25">
      <c r="A3102" t="str">
        <f>IF(COUNTIF(B$1:B3102,B3102)=1,MAX(A$1:A3101)+1,"")</f>
        <v/>
      </c>
      <c r="B3102" s="11"/>
      <c r="C3102" s="11" t="str">
        <f>IF(COUNTIF(D$1:D3102,D3102)=1,MAX(C$1:C3101)+1,"")</f>
        <v/>
      </c>
      <c r="D3102" s="12"/>
    </row>
    <row r="3103" spans="1:4" x14ac:dyDescent="0.25">
      <c r="A3103" t="str">
        <f>IF(COUNTIF(B$1:B3103,B3103)=1,MAX(A$1:A3102)+1,"")</f>
        <v/>
      </c>
      <c r="B3103" s="11"/>
      <c r="C3103" s="11" t="str">
        <f>IF(COUNTIF(D$1:D3103,D3103)=1,MAX(C$1:C3102)+1,"")</f>
        <v/>
      </c>
      <c r="D3103" s="12"/>
    </row>
    <row r="3104" spans="1:4" x14ac:dyDescent="0.25">
      <c r="A3104" t="str">
        <f>IF(COUNTIF(B$1:B3104,B3104)=1,MAX(A$1:A3103)+1,"")</f>
        <v/>
      </c>
      <c r="B3104" s="11"/>
      <c r="C3104" s="11" t="str">
        <f>IF(COUNTIF(D$1:D3104,D3104)=1,MAX(C$1:C3103)+1,"")</f>
        <v/>
      </c>
      <c r="D3104" s="12"/>
    </row>
    <row r="3105" spans="1:4" x14ac:dyDescent="0.25">
      <c r="A3105" t="str">
        <f>IF(COUNTIF(B$1:B3105,B3105)=1,MAX(A$1:A3104)+1,"")</f>
        <v/>
      </c>
      <c r="B3105" s="11"/>
      <c r="C3105" s="11" t="str">
        <f>IF(COUNTIF(D$1:D3105,D3105)=1,MAX(C$1:C3104)+1,"")</f>
        <v/>
      </c>
      <c r="D3105" s="12"/>
    </row>
    <row r="3106" spans="1:4" x14ac:dyDescent="0.25">
      <c r="A3106" t="str">
        <f>IF(COUNTIF(B$1:B3106,B3106)=1,MAX(A$1:A3105)+1,"")</f>
        <v/>
      </c>
      <c r="B3106" s="11"/>
      <c r="C3106" s="11" t="str">
        <f>IF(COUNTIF(D$1:D3106,D3106)=1,MAX(C$1:C3105)+1,"")</f>
        <v/>
      </c>
      <c r="D3106" s="12"/>
    </row>
    <row r="3107" spans="1:4" x14ac:dyDescent="0.25">
      <c r="A3107" t="str">
        <f>IF(COUNTIF(B$1:B3107,B3107)=1,MAX(A$1:A3106)+1,"")</f>
        <v/>
      </c>
      <c r="B3107" s="11"/>
      <c r="C3107" s="11" t="str">
        <f>IF(COUNTIF(D$1:D3107,D3107)=1,MAX(C$1:C3106)+1,"")</f>
        <v/>
      </c>
      <c r="D3107" s="12"/>
    </row>
    <row r="3108" spans="1:4" x14ac:dyDescent="0.25">
      <c r="A3108" t="str">
        <f>IF(COUNTIF(B$1:B3108,B3108)=1,MAX(A$1:A3107)+1,"")</f>
        <v/>
      </c>
      <c r="B3108" s="11"/>
      <c r="C3108" s="11" t="str">
        <f>IF(COUNTIF(D$1:D3108,D3108)=1,MAX(C$1:C3107)+1,"")</f>
        <v/>
      </c>
      <c r="D3108" s="12"/>
    </row>
    <row r="3109" spans="1:4" x14ac:dyDescent="0.25">
      <c r="A3109" t="str">
        <f>IF(COUNTIF(B$1:B3109,B3109)=1,MAX(A$1:A3108)+1,"")</f>
        <v/>
      </c>
      <c r="B3109" s="11"/>
      <c r="C3109" s="11" t="str">
        <f>IF(COUNTIF(D$1:D3109,D3109)=1,MAX(C$1:C3108)+1,"")</f>
        <v/>
      </c>
      <c r="D3109" s="12"/>
    </row>
    <row r="3110" spans="1:4" x14ac:dyDescent="0.25">
      <c r="A3110" t="str">
        <f>IF(COUNTIF(B$1:B3110,B3110)=1,MAX(A$1:A3109)+1,"")</f>
        <v/>
      </c>
      <c r="B3110" s="11"/>
      <c r="C3110" s="11" t="str">
        <f>IF(COUNTIF(D$1:D3110,D3110)=1,MAX(C$1:C3109)+1,"")</f>
        <v/>
      </c>
      <c r="D3110" s="12"/>
    </row>
    <row r="3111" spans="1:4" x14ac:dyDescent="0.25">
      <c r="A3111" t="str">
        <f>IF(COUNTIF(B$1:B3111,B3111)=1,MAX(A$1:A3110)+1,"")</f>
        <v/>
      </c>
      <c r="B3111" s="11"/>
      <c r="C3111" s="11" t="str">
        <f>IF(COUNTIF(D$1:D3111,D3111)=1,MAX(C$1:C3110)+1,"")</f>
        <v/>
      </c>
      <c r="D3111" s="12"/>
    </row>
    <row r="3112" spans="1:4" x14ac:dyDescent="0.25">
      <c r="A3112" t="str">
        <f>IF(COUNTIF(B$1:B3112,B3112)=1,MAX(A$1:A3111)+1,"")</f>
        <v/>
      </c>
      <c r="B3112" s="11"/>
      <c r="C3112" s="11" t="str">
        <f>IF(COUNTIF(D$1:D3112,D3112)=1,MAX(C$1:C3111)+1,"")</f>
        <v/>
      </c>
      <c r="D3112" s="12"/>
    </row>
    <row r="3113" spans="1:4" x14ac:dyDescent="0.25">
      <c r="A3113" t="str">
        <f>IF(COUNTIF(B$1:B3113,B3113)=1,MAX(A$1:A3112)+1,"")</f>
        <v/>
      </c>
      <c r="B3113" s="11"/>
      <c r="C3113" s="11" t="str">
        <f>IF(COUNTIF(D$1:D3113,D3113)=1,MAX(C$1:C3112)+1,"")</f>
        <v/>
      </c>
      <c r="D3113" s="12"/>
    </row>
    <row r="3114" spans="1:4" x14ac:dyDescent="0.25">
      <c r="A3114" t="str">
        <f>IF(COUNTIF(B$1:B3114,B3114)=1,MAX(A$1:A3113)+1,"")</f>
        <v/>
      </c>
      <c r="B3114" s="11"/>
      <c r="C3114" s="11" t="str">
        <f>IF(COUNTIF(D$1:D3114,D3114)=1,MAX(C$1:C3113)+1,"")</f>
        <v/>
      </c>
      <c r="D3114" s="12"/>
    </row>
    <row r="3115" spans="1:4" x14ac:dyDescent="0.25">
      <c r="A3115" t="str">
        <f>IF(COUNTIF(B$1:B3115,B3115)=1,MAX(A$1:A3114)+1,"")</f>
        <v/>
      </c>
      <c r="B3115" s="11"/>
      <c r="C3115" s="11" t="str">
        <f>IF(COUNTIF(D$1:D3115,D3115)=1,MAX(C$1:C3114)+1,"")</f>
        <v/>
      </c>
      <c r="D3115" s="12"/>
    </row>
    <row r="3116" spans="1:4" x14ac:dyDescent="0.25">
      <c r="A3116" t="str">
        <f>IF(COUNTIF(B$1:B3116,B3116)=1,MAX(A$1:A3115)+1,"")</f>
        <v/>
      </c>
      <c r="B3116" s="11"/>
      <c r="C3116" s="11" t="str">
        <f>IF(COUNTIF(D$1:D3116,D3116)=1,MAX(C$1:C3115)+1,"")</f>
        <v/>
      </c>
      <c r="D3116" s="12"/>
    </row>
    <row r="3117" spans="1:4" x14ac:dyDescent="0.25">
      <c r="A3117" t="str">
        <f>IF(COUNTIF(B$1:B3117,B3117)=1,MAX(A$1:A3116)+1,"")</f>
        <v/>
      </c>
      <c r="B3117" s="11"/>
      <c r="C3117" s="11" t="str">
        <f>IF(COUNTIF(D$1:D3117,D3117)=1,MAX(C$1:C3116)+1,"")</f>
        <v/>
      </c>
      <c r="D3117" s="12"/>
    </row>
    <row r="3118" spans="1:4" x14ac:dyDescent="0.25">
      <c r="A3118" t="str">
        <f>IF(COUNTIF(B$1:B3118,B3118)=1,MAX(A$1:A3117)+1,"")</f>
        <v/>
      </c>
      <c r="B3118" s="11"/>
      <c r="C3118" s="11" t="str">
        <f>IF(COUNTIF(D$1:D3118,D3118)=1,MAX(C$1:C3117)+1,"")</f>
        <v/>
      </c>
      <c r="D3118" s="12"/>
    </row>
    <row r="3119" spans="1:4" x14ac:dyDescent="0.25">
      <c r="A3119" t="str">
        <f>IF(COUNTIF(B$1:B3119,B3119)=1,MAX(A$1:A3118)+1,"")</f>
        <v/>
      </c>
      <c r="B3119" s="11"/>
      <c r="C3119" s="11" t="str">
        <f>IF(COUNTIF(D$1:D3119,D3119)=1,MAX(C$1:C3118)+1,"")</f>
        <v/>
      </c>
      <c r="D3119" s="12"/>
    </row>
    <row r="3120" spans="1:4" x14ac:dyDescent="0.25">
      <c r="A3120" t="str">
        <f>IF(COUNTIF(B$1:B3120,B3120)=1,MAX(A$1:A3119)+1,"")</f>
        <v/>
      </c>
      <c r="B3120" s="11"/>
      <c r="C3120" s="11" t="str">
        <f>IF(COUNTIF(D$1:D3120,D3120)=1,MAX(C$1:C3119)+1,"")</f>
        <v/>
      </c>
      <c r="D3120" s="12"/>
    </row>
    <row r="3121" spans="1:4" x14ac:dyDescent="0.25">
      <c r="A3121" t="str">
        <f>IF(COUNTIF(B$1:B3121,B3121)=1,MAX(A$1:A3120)+1,"")</f>
        <v/>
      </c>
      <c r="B3121" s="11"/>
      <c r="C3121" s="11" t="str">
        <f>IF(COUNTIF(D$1:D3121,D3121)=1,MAX(C$1:C3120)+1,"")</f>
        <v/>
      </c>
      <c r="D3121" s="12"/>
    </row>
    <row r="3122" spans="1:4" x14ac:dyDescent="0.25">
      <c r="A3122" t="str">
        <f>IF(COUNTIF(B$1:B3122,B3122)=1,MAX(A$1:A3121)+1,"")</f>
        <v/>
      </c>
      <c r="B3122" s="11"/>
      <c r="C3122" s="11" t="str">
        <f>IF(COUNTIF(D$1:D3122,D3122)=1,MAX(C$1:C3121)+1,"")</f>
        <v/>
      </c>
      <c r="D3122" s="12"/>
    </row>
    <row r="3123" spans="1:4" x14ac:dyDescent="0.25">
      <c r="A3123" t="str">
        <f>IF(COUNTIF(B$1:B3123,B3123)=1,MAX(A$1:A3122)+1,"")</f>
        <v/>
      </c>
      <c r="B3123" s="11"/>
      <c r="C3123" s="11" t="str">
        <f>IF(COUNTIF(D$1:D3123,D3123)=1,MAX(C$1:C3122)+1,"")</f>
        <v/>
      </c>
      <c r="D3123" s="12"/>
    </row>
    <row r="3124" spans="1:4" x14ac:dyDescent="0.25">
      <c r="A3124" t="str">
        <f>IF(COUNTIF(B$1:B3124,B3124)=1,MAX(A$1:A3123)+1,"")</f>
        <v/>
      </c>
      <c r="B3124" s="11"/>
      <c r="C3124" s="11" t="str">
        <f>IF(COUNTIF(D$1:D3124,D3124)=1,MAX(C$1:C3123)+1,"")</f>
        <v/>
      </c>
      <c r="D3124" s="12"/>
    </row>
    <row r="3125" spans="1:4" x14ac:dyDescent="0.25">
      <c r="A3125" t="str">
        <f>IF(COUNTIF(B$1:B3125,B3125)=1,MAX(A$1:A3124)+1,"")</f>
        <v/>
      </c>
      <c r="B3125" s="11"/>
      <c r="C3125" s="11" t="str">
        <f>IF(COUNTIF(D$1:D3125,D3125)=1,MAX(C$1:C3124)+1,"")</f>
        <v/>
      </c>
      <c r="D3125" s="12"/>
    </row>
    <row r="3126" spans="1:4" x14ac:dyDescent="0.25">
      <c r="A3126" t="str">
        <f>IF(COUNTIF(B$1:B3126,B3126)=1,MAX(A$1:A3125)+1,"")</f>
        <v/>
      </c>
      <c r="B3126" s="11"/>
      <c r="C3126" s="11" t="str">
        <f>IF(COUNTIF(D$1:D3126,D3126)=1,MAX(C$1:C3125)+1,"")</f>
        <v/>
      </c>
      <c r="D3126" s="12"/>
    </row>
    <row r="3127" spans="1:4" x14ac:dyDescent="0.25">
      <c r="A3127" t="str">
        <f>IF(COUNTIF(B$1:B3127,B3127)=1,MAX(A$1:A3126)+1,"")</f>
        <v/>
      </c>
      <c r="B3127" s="11"/>
      <c r="C3127" s="11" t="str">
        <f>IF(COUNTIF(D$1:D3127,D3127)=1,MAX(C$1:C3126)+1,"")</f>
        <v/>
      </c>
      <c r="D3127" s="12"/>
    </row>
    <row r="3128" spans="1:4" x14ac:dyDescent="0.25">
      <c r="A3128" t="str">
        <f>IF(COUNTIF(B$1:B3128,B3128)=1,MAX(A$1:A3127)+1,"")</f>
        <v/>
      </c>
      <c r="B3128" s="11"/>
      <c r="C3128" s="11" t="str">
        <f>IF(COUNTIF(D$1:D3128,D3128)=1,MAX(C$1:C3127)+1,"")</f>
        <v/>
      </c>
      <c r="D3128" s="12"/>
    </row>
    <row r="3129" spans="1:4" x14ac:dyDescent="0.25">
      <c r="A3129" t="str">
        <f>IF(COUNTIF(B$1:B3129,B3129)=1,MAX(A$1:A3128)+1,"")</f>
        <v/>
      </c>
      <c r="B3129" s="11"/>
      <c r="C3129" s="11" t="str">
        <f>IF(COUNTIF(D$1:D3129,D3129)=1,MAX(C$1:C3128)+1,"")</f>
        <v/>
      </c>
      <c r="D3129" s="12"/>
    </row>
    <row r="3130" spans="1:4" x14ac:dyDescent="0.25">
      <c r="A3130" t="str">
        <f>IF(COUNTIF(B$1:B3130,B3130)=1,MAX(A$1:A3129)+1,"")</f>
        <v/>
      </c>
      <c r="B3130" s="11"/>
      <c r="C3130" s="11" t="str">
        <f>IF(COUNTIF(D$1:D3130,D3130)=1,MAX(C$1:C3129)+1,"")</f>
        <v/>
      </c>
      <c r="D3130" s="12"/>
    </row>
    <row r="3131" spans="1:4" x14ac:dyDescent="0.25">
      <c r="A3131" t="str">
        <f>IF(COUNTIF(B$1:B3131,B3131)=1,MAX(A$1:A3130)+1,"")</f>
        <v/>
      </c>
      <c r="B3131" s="11"/>
      <c r="C3131" s="11" t="str">
        <f>IF(COUNTIF(D$1:D3131,D3131)=1,MAX(C$1:C3130)+1,"")</f>
        <v/>
      </c>
      <c r="D3131" s="12"/>
    </row>
    <row r="3132" spans="1:4" x14ac:dyDescent="0.25">
      <c r="A3132" t="str">
        <f>IF(COUNTIF(B$1:B3132,B3132)=1,MAX(A$1:A3131)+1,"")</f>
        <v/>
      </c>
      <c r="B3132" s="11"/>
      <c r="C3132" s="11" t="str">
        <f>IF(COUNTIF(D$1:D3132,D3132)=1,MAX(C$1:C3131)+1,"")</f>
        <v/>
      </c>
      <c r="D3132" s="12"/>
    </row>
    <row r="3133" spans="1:4" x14ac:dyDescent="0.25">
      <c r="A3133" t="str">
        <f>IF(COUNTIF(B$1:B3133,B3133)=1,MAX(A$1:A3132)+1,"")</f>
        <v/>
      </c>
      <c r="B3133" s="11"/>
      <c r="C3133" s="11" t="str">
        <f>IF(COUNTIF(D$1:D3133,D3133)=1,MAX(C$1:C3132)+1,"")</f>
        <v/>
      </c>
      <c r="D3133" s="12"/>
    </row>
    <row r="3134" spans="1:4" x14ac:dyDescent="0.25">
      <c r="A3134" t="str">
        <f>IF(COUNTIF(B$1:B3134,B3134)=1,MAX(A$1:A3133)+1,"")</f>
        <v/>
      </c>
      <c r="B3134" s="11"/>
      <c r="C3134" s="11" t="str">
        <f>IF(COUNTIF(D$1:D3134,D3134)=1,MAX(C$1:C3133)+1,"")</f>
        <v/>
      </c>
      <c r="D3134" s="12"/>
    </row>
    <row r="3135" spans="1:4" x14ac:dyDescent="0.25">
      <c r="A3135" t="str">
        <f>IF(COUNTIF(B$1:B3135,B3135)=1,MAX(A$1:A3134)+1,"")</f>
        <v/>
      </c>
      <c r="B3135" s="11"/>
      <c r="C3135" s="11" t="str">
        <f>IF(COUNTIF(D$1:D3135,D3135)=1,MAX(C$1:C3134)+1,"")</f>
        <v/>
      </c>
      <c r="D3135" s="12"/>
    </row>
    <row r="3136" spans="1:4" x14ac:dyDescent="0.25">
      <c r="A3136" t="str">
        <f>IF(COUNTIF(B$1:B3136,B3136)=1,MAX(A$1:A3135)+1,"")</f>
        <v/>
      </c>
      <c r="B3136" s="11"/>
      <c r="C3136" s="11" t="str">
        <f>IF(COUNTIF(D$1:D3136,D3136)=1,MAX(C$1:C3135)+1,"")</f>
        <v/>
      </c>
      <c r="D3136" s="12"/>
    </row>
    <row r="3137" spans="1:4" x14ac:dyDescent="0.25">
      <c r="A3137" t="str">
        <f>IF(COUNTIF(B$1:B3137,B3137)=1,MAX(A$1:A3136)+1,"")</f>
        <v/>
      </c>
      <c r="B3137" s="11"/>
      <c r="C3137" s="11" t="str">
        <f>IF(COUNTIF(D$1:D3137,D3137)=1,MAX(C$1:C3136)+1,"")</f>
        <v/>
      </c>
      <c r="D3137" s="12"/>
    </row>
    <row r="3138" spans="1:4" x14ac:dyDescent="0.25">
      <c r="A3138" t="str">
        <f>IF(COUNTIF(B$1:B3138,B3138)=1,MAX(A$1:A3137)+1,"")</f>
        <v/>
      </c>
      <c r="B3138" s="11"/>
      <c r="C3138" s="11" t="str">
        <f>IF(COUNTIF(D$1:D3138,D3138)=1,MAX(C$1:C3137)+1,"")</f>
        <v/>
      </c>
      <c r="D3138" s="12"/>
    </row>
    <row r="3139" spans="1:4" x14ac:dyDescent="0.25">
      <c r="A3139" t="str">
        <f>IF(COUNTIF(B$1:B3139,B3139)=1,MAX(A$1:A3138)+1,"")</f>
        <v/>
      </c>
      <c r="B3139" s="11"/>
      <c r="C3139" s="11" t="str">
        <f>IF(COUNTIF(D$1:D3139,D3139)=1,MAX(C$1:C3138)+1,"")</f>
        <v/>
      </c>
      <c r="D3139" s="12"/>
    </row>
    <row r="3140" spans="1:4" x14ac:dyDescent="0.25">
      <c r="A3140" t="str">
        <f>IF(COUNTIF(B$1:B3140,B3140)=1,MAX(A$1:A3139)+1,"")</f>
        <v/>
      </c>
      <c r="B3140" s="11"/>
      <c r="C3140" s="11" t="str">
        <f>IF(COUNTIF(D$1:D3140,D3140)=1,MAX(C$1:C3139)+1,"")</f>
        <v/>
      </c>
      <c r="D3140" s="12"/>
    </row>
    <row r="3141" spans="1:4" x14ac:dyDescent="0.25">
      <c r="A3141" t="str">
        <f>IF(COUNTIF(B$1:B3141,B3141)=1,MAX(A$1:A3140)+1,"")</f>
        <v/>
      </c>
      <c r="B3141" s="11"/>
      <c r="C3141" s="11" t="str">
        <f>IF(COUNTIF(D$1:D3141,D3141)=1,MAX(C$1:C3140)+1,"")</f>
        <v/>
      </c>
      <c r="D3141" s="12"/>
    </row>
    <row r="3142" spans="1:4" x14ac:dyDescent="0.25">
      <c r="A3142" t="str">
        <f>IF(COUNTIF(B$1:B3142,B3142)=1,MAX(A$1:A3141)+1,"")</f>
        <v/>
      </c>
      <c r="B3142" s="11"/>
      <c r="C3142" s="11" t="str">
        <f>IF(COUNTIF(D$1:D3142,D3142)=1,MAX(C$1:C3141)+1,"")</f>
        <v/>
      </c>
      <c r="D3142" s="12"/>
    </row>
    <row r="3143" spans="1:4" x14ac:dyDescent="0.25">
      <c r="A3143" t="str">
        <f>IF(COUNTIF(B$1:B3143,B3143)=1,MAX(A$1:A3142)+1,"")</f>
        <v/>
      </c>
      <c r="B3143" s="11"/>
      <c r="C3143" s="11" t="str">
        <f>IF(COUNTIF(D$1:D3143,D3143)=1,MAX(C$1:C3142)+1,"")</f>
        <v/>
      </c>
      <c r="D3143" s="12"/>
    </row>
    <row r="3144" spans="1:4" x14ac:dyDescent="0.25">
      <c r="A3144" t="str">
        <f>IF(COUNTIF(B$1:B3144,B3144)=1,MAX(A$1:A3143)+1,"")</f>
        <v/>
      </c>
      <c r="B3144" s="11"/>
      <c r="C3144" s="11" t="str">
        <f>IF(COUNTIF(D$1:D3144,D3144)=1,MAX(C$1:C3143)+1,"")</f>
        <v/>
      </c>
      <c r="D3144" s="12"/>
    </row>
    <row r="3145" spans="1:4" x14ac:dyDescent="0.25">
      <c r="A3145" t="str">
        <f>IF(COUNTIF(B$1:B3145,B3145)=1,MAX(A$1:A3144)+1,"")</f>
        <v/>
      </c>
      <c r="B3145" s="11"/>
      <c r="C3145" s="11" t="str">
        <f>IF(COUNTIF(D$1:D3145,D3145)=1,MAX(C$1:C3144)+1,"")</f>
        <v/>
      </c>
      <c r="D3145" s="12"/>
    </row>
    <row r="3146" spans="1:4" x14ac:dyDescent="0.25">
      <c r="A3146" t="str">
        <f>IF(COUNTIF(B$1:B3146,B3146)=1,MAX(A$1:A3145)+1,"")</f>
        <v/>
      </c>
      <c r="B3146" s="11"/>
      <c r="C3146" s="11" t="str">
        <f>IF(COUNTIF(D$1:D3146,D3146)=1,MAX(C$1:C3145)+1,"")</f>
        <v/>
      </c>
      <c r="D3146" s="12"/>
    </row>
    <row r="3147" spans="1:4" x14ac:dyDescent="0.25">
      <c r="A3147" t="str">
        <f>IF(COUNTIF(B$1:B3147,B3147)=1,MAX(A$1:A3146)+1,"")</f>
        <v/>
      </c>
      <c r="B3147" s="11"/>
      <c r="C3147" s="11" t="str">
        <f>IF(COUNTIF(D$1:D3147,D3147)=1,MAX(C$1:C3146)+1,"")</f>
        <v/>
      </c>
      <c r="D3147" s="12"/>
    </row>
    <row r="3148" spans="1:4" x14ac:dyDescent="0.25">
      <c r="A3148" t="str">
        <f>IF(COUNTIF(B$1:B3148,B3148)=1,MAX(A$1:A3147)+1,"")</f>
        <v/>
      </c>
      <c r="B3148" s="11"/>
      <c r="C3148" s="11" t="str">
        <f>IF(COUNTIF(D$1:D3148,D3148)=1,MAX(C$1:C3147)+1,"")</f>
        <v/>
      </c>
      <c r="D3148" s="12"/>
    </row>
    <row r="3149" spans="1:4" x14ac:dyDescent="0.25">
      <c r="A3149" t="str">
        <f>IF(COUNTIF(B$1:B3149,B3149)=1,MAX(A$1:A3148)+1,"")</f>
        <v/>
      </c>
      <c r="B3149" s="11"/>
      <c r="C3149" s="11" t="str">
        <f>IF(COUNTIF(D$1:D3149,D3149)=1,MAX(C$1:C3148)+1,"")</f>
        <v/>
      </c>
      <c r="D3149" s="12"/>
    </row>
    <row r="3150" spans="1:4" x14ac:dyDescent="0.25">
      <c r="A3150" t="str">
        <f>IF(COUNTIF(B$1:B3150,B3150)=1,MAX(A$1:A3149)+1,"")</f>
        <v/>
      </c>
      <c r="B3150" s="11"/>
      <c r="C3150" s="11" t="str">
        <f>IF(COUNTIF(D$1:D3150,D3150)=1,MAX(C$1:C3149)+1,"")</f>
        <v/>
      </c>
      <c r="D3150" s="12"/>
    </row>
    <row r="3151" spans="1:4" x14ac:dyDescent="0.25">
      <c r="A3151" t="str">
        <f>IF(COUNTIF(B$1:B3151,B3151)=1,MAX(A$1:A3150)+1,"")</f>
        <v/>
      </c>
      <c r="B3151" s="11"/>
      <c r="C3151" s="11" t="str">
        <f>IF(COUNTIF(D$1:D3151,D3151)=1,MAX(C$1:C3150)+1,"")</f>
        <v/>
      </c>
      <c r="D3151" s="12"/>
    </row>
    <row r="3152" spans="1:4" x14ac:dyDescent="0.25">
      <c r="A3152" t="str">
        <f>IF(COUNTIF(B$1:B3152,B3152)=1,MAX(A$1:A3151)+1,"")</f>
        <v/>
      </c>
      <c r="B3152" s="11"/>
      <c r="C3152" s="11" t="str">
        <f>IF(COUNTIF(D$1:D3152,D3152)=1,MAX(C$1:C3151)+1,"")</f>
        <v/>
      </c>
      <c r="D3152" s="12"/>
    </row>
    <row r="3153" spans="1:4" x14ac:dyDescent="0.25">
      <c r="A3153" t="str">
        <f>IF(COUNTIF(B$1:B3153,B3153)=1,MAX(A$1:A3152)+1,"")</f>
        <v/>
      </c>
      <c r="B3153" s="11"/>
      <c r="C3153" s="11" t="str">
        <f>IF(COUNTIF(D$1:D3153,D3153)=1,MAX(C$1:C3152)+1,"")</f>
        <v/>
      </c>
      <c r="D3153" s="12"/>
    </row>
    <row r="3154" spans="1:4" x14ac:dyDescent="0.25">
      <c r="A3154" t="str">
        <f>IF(COUNTIF(B$1:B3154,B3154)=1,MAX(A$1:A3153)+1,"")</f>
        <v/>
      </c>
      <c r="B3154" s="11"/>
      <c r="C3154" s="11" t="str">
        <f>IF(COUNTIF(D$1:D3154,D3154)=1,MAX(C$1:C3153)+1,"")</f>
        <v/>
      </c>
      <c r="D3154" s="12"/>
    </row>
    <row r="3155" spans="1:4" x14ac:dyDescent="0.25">
      <c r="A3155" t="str">
        <f>IF(COUNTIF(B$1:B3155,B3155)=1,MAX(A$1:A3154)+1,"")</f>
        <v/>
      </c>
      <c r="B3155" s="11"/>
      <c r="C3155" s="11" t="str">
        <f>IF(COUNTIF(D$1:D3155,D3155)=1,MAX(C$1:C3154)+1,"")</f>
        <v/>
      </c>
      <c r="D3155" s="12"/>
    </row>
    <row r="3156" spans="1:4" x14ac:dyDescent="0.25">
      <c r="A3156" t="str">
        <f>IF(COUNTIF(B$1:B3156,B3156)=1,MAX(A$1:A3155)+1,"")</f>
        <v/>
      </c>
      <c r="B3156" s="11"/>
      <c r="C3156" s="11" t="str">
        <f>IF(COUNTIF(D$1:D3156,D3156)=1,MAX(C$1:C3155)+1,"")</f>
        <v/>
      </c>
      <c r="D3156" s="12"/>
    </row>
    <row r="3157" spans="1:4" x14ac:dyDescent="0.25">
      <c r="A3157" t="str">
        <f>IF(COUNTIF(B$1:B3157,B3157)=1,MAX(A$1:A3156)+1,"")</f>
        <v/>
      </c>
      <c r="B3157" s="11"/>
      <c r="C3157" s="11" t="str">
        <f>IF(COUNTIF(D$1:D3157,D3157)=1,MAX(C$1:C3156)+1,"")</f>
        <v/>
      </c>
      <c r="D3157" s="12"/>
    </row>
    <row r="3158" spans="1:4" x14ac:dyDescent="0.25">
      <c r="A3158" t="str">
        <f>IF(COUNTIF(B$1:B3158,B3158)=1,MAX(A$1:A3157)+1,"")</f>
        <v/>
      </c>
      <c r="B3158" s="11"/>
      <c r="C3158" s="11" t="str">
        <f>IF(COUNTIF(D$1:D3158,D3158)=1,MAX(C$1:C3157)+1,"")</f>
        <v/>
      </c>
      <c r="D3158" s="12"/>
    </row>
    <row r="3159" spans="1:4" x14ac:dyDescent="0.25">
      <c r="A3159" t="str">
        <f>IF(COUNTIF(B$1:B3159,B3159)=1,MAX(A$1:A3158)+1,"")</f>
        <v/>
      </c>
      <c r="B3159" s="11"/>
      <c r="C3159" s="11" t="str">
        <f>IF(COUNTIF(D$1:D3159,D3159)=1,MAX(C$1:C3158)+1,"")</f>
        <v/>
      </c>
      <c r="D3159" s="12"/>
    </row>
    <row r="3160" spans="1:4" x14ac:dyDescent="0.25">
      <c r="A3160" t="str">
        <f>IF(COUNTIF(B$1:B3160,B3160)=1,MAX(A$1:A3159)+1,"")</f>
        <v/>
      </c>
      <c r="B3160" s="11"/>
      <c r="C3160" s="11" t="str">
        <f>IF(COUNTIF(D$1:D3160,D3160)=1,MAX(C$1:C3159)+1,"")</f>
        <v/>
      </c>
      <c r="D3160" s="12"/>
    </row>
    <row r="3161" spans="1:4" x14ac:dyDescent="0.25">
      <c r="A3161" t="str">
        <f>IF(COUNTIF(B$1:B3161,B3161)=1,MAX(A$1:A3160)+1,"")</f>
        <v/>
      </c>
      <c r="B3161" s="11"/>
      <c r="C3161" s="11" t="str">
        <f>IF(COUNTIF(D$1:D3161,D3161)=1,MAX(C$1:C3160)+1,"")</f>
        <v/>
      </c>
      <c r="D3161" s="12"/>
    </row>
    <row r="3162" spans="1:4" x14ac:dyDescent="0.25">
      <c r="A3162" t="str">
        <f>IF(COUNTIF(B$1:B3162,B3162)=1,MAX(A$1:A3161)+1,"")</f>
        <v/>
      </c>
      <c r="B3162" s="11"/>
      <c r="C3162" s="11" t="str">
        <f>IF(COUNTIF(D$1:D3162,D3162)=1,MAX(C$1:C3161)+1,"")</f>
        <v/>
      </c>
      <c r="D3162" s="12"/>
    </row>
    <row r="3163" spans="1:4" x14ac:dyDescent="0.25">
      <c r="A3163" t="str">
        <f>IF(COUNTIF(B$1:B3163,B3163)=1,MAX(A$1:A3162)+1,"")</f>
        <v/>
      </c>
      <c r="B3163" s="11"/>
      <c r="C3163" s="11" t="str">
        <f>IF(COUNTIF(D$1:D3163,D3163)=1,MAX(C$1:C3162)+1,"")</f>
        <v/>
      </c>
      <c r="D3163" s="12"/>
    </row>
    <row r="3164" spans="1:4" x14ac:dyDescent="0.25">
      <c r="A3164" t="str">
        <f>IF(COUNTIF(B$1:B3164,B3164)=1,MAX(A$1:A3163)+1,"")</f>
        <v/>
      </c>
      <c r="B3164" s="11"/>
      <c r="C3164" s="11" t="str">
        <f>IF(COUNTIF(D$1:D3164,D3164)=1,MAX(C$1:C3163)+1,"")</f>
        <v/>
      </c>
      <c r="D3164" s="12"/>
    </row>
    <row r="3165" spans="1:4" x14ac:dyDescent="0.25">
      <c r="A3165" t="str">
        <f>IF(COUNTIF(B$1:B3165,B3165)=1,MAX(A$1:A3164)+1,"")</f>
        <v/>
      </c>
      <c r="B3165" s="11"/>
      <c r="C3165" s="11" t="str">
        <f>IF(COUNTIF(D$1:D3165,D3165)=1,MAX(C$1:C3164)+1,"")</f>
        <v/>
      </c>
      <c r="D3165" s="12"/>
    </row>
    <row r="3166" spans="1:4" x14ac:dyDescent="0.25">
      <c r="A3166" t="str">
        <f>IF(COUNTIF(B$1:B3166,B3166)=1,MAX(A$1:A3165)+1,"")</f>
        <v/>
      </c>
      <c r="B3166" s="11"/>
      <c r="C3166" s="11" t="str">
        <f>IF(COUNTIF(D$1:D3166,D3166)=1,MAX(C$1:C3165)+1,"")</f>
        <v/>
      </c>
      <c r="D3166" s="12"/>
    </row>
    <row r="3167" spans="1:4" x14ac:dyDescent="0.25">
      <c r="A3167" t="str">
        <f>IF(COUNTIF(B$1:B3167,B3167)=1,MAX(A$1:A3166)+1,"")</f>
        <v/>
      </c>
      <c r="B3167" s="11"/>
      <c r="C3167" s="11" t="str">
        <f>IF(COUNTIF(D$1:D3167,D3167)=1,MAX(C$1:C3166)+1,"")</f>
        <v/>
      </c>
      <c r="D3167" s="12"/>
    </row>
    <row r="3168" spans="1:4" x14ac:dyDescent="0.25">
      <c r="A3168" t="str">
        <f>IF(COUNTIF(B$1:B3168,B3168)=1,MAX(A$1:A3167)+1,"")</f>
        <v/>
      </c>
      <c r="B3168" s="11"/>
      <c r="C3168" s="11" t="str">
        <f>IF(COUNTIF(D$1:D3168,D3168)=1,MAX(C$1:C3167)+1,"")</f>
        <v/>
      </c>
      <c r="D3168" s="12"/>
    </row>
    <row r="3169" spans="1:4" x14ac:dyDescent="0.25">
      <c r="A3169" t="str">
        <f>IF(COUNTIF(B$1:B3169,B3169)=1,MAX(A$1:A3168)+1,"")</f>
        <v/>
      </c>
      <c r="B3169" s="11"/>
      <c r="C3169" s="11" t="str">
        <f>IF(COUNTIF(D$1:D3169,D3169)=1,MAX(C$1:C3168)+1,"")</f>
        <v/>
      </c>
      <c r="D3169" s="12"/>
    </row>
    <row r="3170" spans="1:4" x14ac:dyDescent="0.25">
      <c r="A3170" t="str">
        <f>IF(COUNTIF(B$1:B3170,B3170)=1,MAX(A$1:A3169)+1,"")</f>
        <v/>
      </c>
      <c r="B3170" s="11"/>
      <c r="C3170" s="11" t="str">
        <f>IF(COUNTIF(D$1:D3170,D3170)=1,MAX(C$1:C3169)+1,"")</f>
        <v/>
      </c>
      <c r="D3170" s="12"/>
    </row>
    <row r="3171" spans="1:4" x14ac:dyDescent="0.25">
      <c r="A3171" t="str">
        <f>IF(COUNTIF(B$1:B3171,B3171)=1,MAX(A$1:A3170)+1,"")</f>
        <v/>
      </c>
      <c r="B3171" s="11"/>
      <c r="C3171" s="11" t="str">
        <f>IF(COUNTIF(D$1:D3171,D3171)=1,MAX(C$1:C3170)+1,"")</f>
        <v/>
      </c>
      <c r="D3171" s="12"/>
    </row>
    <row r="3172" spans="1:4" x14ac:dyDescent="0.25">
      <c r="A3172" t="str">
        <f>IF(COUNTIF(B$1:B3172,B3172)=1,MAX(A$1:A3171)+1,"")</f>
        <v/>
      </c>
      <c r="B3172" s="11"/>
      <c r="C3172" s="11" t="str">
        <f>IF(COUNTIF(D$1:D3172,D3172)=1,MAX(C$1:C3171)+1,"")</f>
        <v/>
      </c>
      <c r="D3172" s="12"/>
    </row>
    <row r="3173" spans="1:4" x14ac:dyDescent="0.25">
      <c r="A3173" t="str">
        <f>IF(COUNTIF(B$1:B3173,B3173)=1,MAX(A$1:A3172)+1,"")</f>
        <v/>
      </c>
      <c r="B3173" s="11"/>
      <c r="C3173" s="11" t="str">
        <f>IF(COUNTIF(D$1:D3173,D3173)=1,MAX(C$1:C3172)+1,"")</f>
        <v/>
      </c>
      <c r="D3173" s="12"/>
    </row>
    <row r="3174" spans="1:4" x14ac:dyDescent="0.25">
      <c r="A3174" t="str">
        <f>IF(COUNTIF(B$1:B3174,B3174)=1,MAX(A$1:A3173)+1,"")</f>
        <v/>
      </c>
      <c r="B3174" s="11"/>
      <c r="C3174" s="11" t="str">
        <f>IF(COUNTIF(D$1:D3174,D3174)=1,MAX(C$1:C3173)+1,"")</f>
        <v/>
      </c>
      <c r="D3174" s="12"/>
    </row>
    <row r="3175" spans="1:4" x14ac:dyDescent="0.25">
      <c r="A3175" t="str">
        <f>IF(COUNTIF(B$1:B3175,B3175)=1,MAX(A$1:A3174)+1,"")</f>
        <v/>
      </c>
      <c r="B3175" s="11"/>
      <c r="C3175" s="11" t="str">
        <f>IF(COUNTIF(D$1:D3175,D3175)=1,MAX(C$1:C3174)+1,"")</f>
        <v/>
      </c>
      <c r="D3175" s="12"/>
    </row>
    <row r="3176" spans="1:4" x14ac:dyDescent="0.25">
      <c r="A3176" t="str">
        <f>IF(COUNTIF(B$1:B3176,B3176)=1,MAX(A$1:A3175)+1,"")</f>
        <v/>
      </c>
      <c r="B3176" s="11"/>
      <c r="C3176" s="11" t="str">
        <f>IF(COUNTIF(D$1:D3176,D3176)=1,MAX(C$1:C3175)+1,"")</f>
        <v/>
      </c>
      <c r="D3176" s="12"/>
    </row>
    <row r="3177" spans="1:4" x14ac:dyDescent="0.25">
      <c r="A3177" t="str">
        <f>IF(COUNTIF(B$1:B3177,B3177)=1,MAX(A$1:A3176)+1,"")</f>
        <v/>
      </c>
      <c r="B3177" s="11"/>
      <c r="C3177" s="11" t="str">
        <f>IF(COUNTIF(D$1:D3177,D3177)=1,MAX(C$1:C3176)+1,"")</f>
        <v/>
      </c>
      <c r="D3177" s="12"/>
    </row>
    <row r="3178" spans="1:4" x14ac:dyDescent="0.25">
      <c r="A3178" t="str">
        <f>IF(COUNTIF(B$1:B3178,B3178)=1,MAX(A$1:A3177)+1,"")</f>
        <v/>
      </c>
      <c r="B3178" s="11"/>
      <c r="C3178" s="11" t="str">
        <f>IF(COUNTIF(D$1:D3178,D3178)=1,MAX(C$1:C3177)+1,"")</f>
        <v/>
      </c>
      <c r="D3178" s="12"/>
    </row>
    <row r="3179" spans="1:4" x14ac:dyDescent="0.25">
      <c r="A3179" t="str">
        <f>IF(COUNTIF(B$1:B3179,B3179)=1,MAX(A$1:A3178)+1,"")</f>
        <v/>
      </c>
      <c r="B3179" s="11"/>
      <c r="C3179" s="11" t="str">
        <f>IF(COUNTIF(D$1:D3179,D3179)=1,MAX(C$1:C3178)+1,"")</f>
        <v/>
      </c>
      <c r="D3179" s="12"/>
    </row>
    <row r="3180" spans="1:4" x14ac:dyDescent="0.25">
      <c r="A3180" t="str">
        <f>IF(COUNTIF(B$1:B3180,B3180)=1,MAX(A$1:A3179)+1,"")</f>
        <v/>
      </c>
      <c r="B3180" s="11"/>
      <c r="C3180" s="11" t="str">
        <f>IF(COUNTIF(D$1:D3180,D3180)=1,MAX(C$1:C3179)+1,"")</f>
        <v/>
      </c>
      <c r="D3180" s="12"/>
    </row>
    <row r="3181" spans="1:4" x14ac:dyDescent="0.25">
      <c r="A3181" t="str">
        <f>IF(COUNTIF(B$1:B3181,B3181)=1,MAX(A$1:A3180)+1,"")</f>
        <v/>
      </c>
      <c r="B3181" s="11"/>
      <c r="C3181" s="11" t="str">
        <f>IF(COUNTIF(D$1:D3181,D3181)=1,MAX(C$1:C3180)+1,"")</f>
        <v/>
      </c>
      <c r="D3181" s="12"/>
    </row>
    <row r="3182" spans="1:4" x14ac:dyDescent="0.25">
      <c r="A3182" t="str">
        <f>IF(COUNTIF(B$1:B3182,B3182)=1,MAX(A$1:A3181)+1,"")</f>
        <v/>
      </c>
      <c r="B3182" s="11"/>
      <c r="C3182" s="11" t="str">
        <f>IF(COUNTIF(D$1:D3182,D3182)=1,MAX(C$1:C3181)+1,"")</f>
        <v/>
      </c>
      <c r="D3182" s="12"/>
    </row>
    <row r="3183" spans="1:4" x14ac:dyDescent="0.25">
      <c r="A3183" t="str">
        <f>IF(COUNTIF(B$1:B3183,B3183)=1,MAX(A$1:A3182)+1,"")</f>
        <v/>
      </c>
      <c r="B3183" s="11"/>
      <c r="C3183" s="11" t="str">
        <f>IF(COUNTIF(D$1:D3183,D3183)=1,MAX(C$1:C3182)+1,"")</f>
        <v/>
      </c>
      <c r="D3183" s="12"/>
    </row>
    <row r="3184" spans="1:4" x14ac:dyDescent="0.25">
      <c r="A3184" t="str">
        <f>IF(COUNTIF(B$1:B3184,B3184)=1,MAX(A$1:A3183)+1,"")</f>
        <v/>
      </c>
      <c r="B3184" s="11"/>
      <c r="C3184" s="11" t="str">
        <f>IF(COUNTIF(D$1:D3184,D3184)=1,MAX(C$1:C3183)+1,"")</f>
        <v/>
      </c>
      <c r="D3184" s="12"/>
    </row>
    <row r="3185" spans="1:4" x14ac:dyDescent="0.25">
      <c r="A3185" t="str">
        <f>IF(COUNTIF(B$1:B3185,B3185)=1,MAX(A$1:A3184)+1,"")</f>
        <v/>
      </c>
      <c r="B3185" s="11"/>
      <c r="C3185" s="11" t="str">
        <f>IF(COUNTIF(D$1:D3185,D3185)=1,MAX(C$1:C3184)+1,"")</f>
        <v/>
      </c>
      <c r="D3185" s="12"/>
    </row>
    <row r="3186" spans="1:4" x14ac:dyDescent="0.25">
      <c r="A3186" t="str">
        <f>IF(COUNTIF(B$1:B3186,B3186)=1,MAX(A$1:A3185)+1,"")</f>
        <v/>
      </c>
      <c r="B3186" s="11"/>
      <c r="C3186" s="11" t="str">
        <f>IF(COUNTIF(D$1:D3186,D3186)=1,MAX(C$1:C3185)+1,"")</f>
        <v/>
      </c>
      <c r="D3186" s="12"/>
    </row>
    <row r="3187" spans="1:4" x14ac:dyDescent="0.25">
      <c r="A3187" t="str">
        <f>IF(COUNTIF(B$1:B3187,B3187)=1,MAX(A$1:A3186)+1,"")</f>
        <v/>
      </c>
      <c r="B3187" s="11"/>
      <c r="C3187" s="11" t="str">
        <f>IF(COUNTIF(D$1:D3187,D3187)=1,MAX(C$1:C3186)+1,"")</f>
        <v/>
      </c>
      <c r="D3187" s="12"/>
    </row>
    <row r="3188" spans="1:4" x14ac:dyDescent="0.25">
      <c r="A3188" t="str">
        <f>IF(COUNTIF(B$1:B3188,B3188)=1,MAX(A$1:A3187)+1,"")</f>
        <v/>
      </c>
      <c r="B3188" s="11"/>
      <c r="C3188" s="11" t="str">
        <f>IF(COUNTIF(D$1:D3188,D3188)=1,MAX(C$1:C3187)+1,"")</f>
        <v/>
      </c>
      <c r="D3188" s="12"/>
    </row>
    <row r="3189" spans="1:4" x14ac:dyDescent="0.25">
      <c r="A3189" t="str">
        <f>IF(COUNTIF(B$1:B3189,B3189)=1,MAX(A$1:A3188)+1,"")</f>
        <v/>
      </c>
      <c r="B3189" s="11"/>
      <c r="C3189" s="11" t="str">
        <f>IF(COUNTIF(D$1:D3189,D3189)=1,MAX(C$1:C3188)+1,"")</f>
        <v/>
      </c>
      <c r="D3189" s="12"/>
    </row>
    <row r="3190" spans="1:4" x14ac:dyDescent="0.25">
      <c r="A3190" t="str">
        <f>IF(COUNTIF(B$1:B3190,B3190)=1,MAX(A$1:A3189)+1,"")</f>
        <v/>
      </c>
      <c r="B3190" s="11"/>
      <c r="C3190" s="11" t="str">
        <f>IF(COUNTIF(D$1:D3190,D3190)=1,MAX(C$1:C3189)+1,"")</f>
        <v/>
      </c>
      <c r="D3190" s="12"/>
    </row>
    <row r="3191" spans="1:4" x14ac:dyDescent="0.25">
      <c r="A3191" t="str">
        <f>IF(COUNTIF(B$1:B3191,B3191)=1,MAX(A$1:A3190)+1,"")</f>
        <v/>
      </c>
      <c r="B3191" s="11"/>
      <c r="C3191" s="11" t="str">
        <f>IF(COUNTIF(D$1:D3191,D3191)=1,MAX(C$1:C3190)+1,"")</f>
        <v/>
      </c>
      <c r="D3191" s="12"/>
    </row>
    <row r="3192" spans="1:4" x14ac:dyDescent="0.25">
      <c r="A3192" t="str">
        <f>IF(COUNTIF(B$1:B3192,B3192)=1,MAX(A$1:A3191)+1,"")</f>
        <v/>
      </c>
      <c r="B3192" s="11"/>
      <c r="C3192" s="11" t="str">
        <f>IF(COUNTIF(D$1:D3192,D3192)=1,MAX(C$1:C3191)+1,"")</f>
        <v/>
      </c>
      <c r="D3192" s="12"/>
    </row>
    <row r="3193" spans="1:4" x14ac:dyDescent="0.25">
      <c r="A3193" t="str">
        <f>IF(COUNTIF(B$1:B3193,B3193)=1,MAX(A$1:A3192)+1,"")</f>
        <v/>
      </c>
      <c r="B3193" s="11"/>
      <c r="C3193" s="11" t="str">
        <f>IF(COUNTIF(D$1:D3193,D3193)=1,MAX(C$1:C3192)+1,"")</f>
        <v/>
      </c>
      <c r="D3193" s="12"/>
    </row>
    <row r="3194" spans="1:4" x14ac:dyDescent="0.25">
      <c r="A3194" t="str">
        <f>IF(COUNTIF(B$1:B3194,B3194)=1,MAX(A$1:A3193)+1,"")</f>
        <v/>
      </c>
      <c r="B3194" s="11"/>
      <c r="C3194" s="11" t="str">
        <f>IF(COUNTIF(D$1:D3194,D3194)=1,MAX(C$1:C3193)+1,"")</f>
        <v/>
      </c>
      <c r="D3194" s="12"/>
    </row>
    <row r="3195" spans="1:4" x14ac:dyDescent="0.25">
      <c r="A3195" t="str">
        <f>IF(COUNTIF(B$1:B3195,B3195)=1,MAX(A$1:A3194)+1,"")</f>
        <v/>
      </c>
      <c r="B3195" s="11"/>
      <c r="C3195" s="11" t="str">
        <f>IF(COUNTIF(D$1:D3195,D3195)=1,MAX(C$1:C3194)+1,"")</f>
        <v/>
      </c>
      <c r="D3195" s="12"/>
    </row>
    <row r="3196" spans="1:4" x14ac:dyDescent="0.25">
      <c r="A3196" t="str">
        <f>IF(COUNTIF(B$1:B3196,B3196)=1,MAX(A$1:A3195)+1,"")</f>
        <v/>
      </c>
      <c r="B3196" s="11"/>
      <c r="C3196" s="11" t="str">
        <f>IF(COUNTIF(D$1:D3196,D3196)=1,MAX(C$1:C3195)+1,"")</f>
        <v/>
      </c>
      <c r="D3196" s="12"/>
    </row>
    <row r="3197" spans="1:4" x14ac:dyDescent="0.25">
      <c r="A3197" t="str">
        <f>IF(COUNTIF(B$1:B3197,B3197)=1,MAX(A$1:A3196)+1,"")</f>
        <v/>
      </c>
      <c r="B3197" s="11"/>
      <c r="C3197" s="11" t="str">
        <f>IF(COUNTIF(D$1:D3197,D3197)=1,MAX(C$1:C3196)+1,"")</f>
        <v/>
      </c>
      <c r="D3197" s="12"/>
    </row>
    <row r="3198" spans="1:4" x14ac:dyDescent="0.25">
      <c r="A3198" t="str">
        <f>IF(COUNTIF(B$1:B3198,B3198)=1,MAX(A$1:A3197)+1,"")</f>
        <v/>
      </c>
      <c r="B3198" s="11"/>
      <c r="C3198" s="11" t="str">
        <f>IF(COUNTIF(D$1:D3198,D3198)=1,MAX(C$1:C3197)+1,"")</f>
        <v/>
      </c>
      <c r="D3198" s="12"/>
    </row>
    <row r="3199" spans="1:4" x14ac:dyDescent="0.25">
      <c r="A3199" t="str">
        <f>IF(COUNTIF(B$1:B3199,B3199)=1,MAX(A$1:A3198)+1,"")</f>
        <v/>
      </c>
      <c r="B3199" s="11"/>
      <c r="C3199" s="11" t="str">
        <f>IF(COUNTIF(D$1:D3199,D3199)=1,MAX(C$1:C3198)+1,"")</f>
        <v/>
      </c>
      <c r="D3199" s="12"/>
    </row>
    <row r="3200" spans="1:4" x14ac:dyDescent="0.25">
      <c r="A3200" t="str">
        <f>IF(COUNTIF(B$1:B3200,B3200)=1,MAX(A$1:A3199)+1,"")</f>
        <v/>
      </c>
      <c r="B3200" s="11"/>
      <c r="C3200" s="11" t="str">
        <f>IF(COUNTIF(D$1:D3200,D3200)=1,MAX(C$1:C3199)+1,"")</f>
        <v/>
      </c>
      <c r="D3200" s="12"/>
    </row>
    <row r="3201" spans="1:4" x14ac:dyDescent="0.25">
      <c r="A3201" t="str">
        <f>IF(COUNTIF(B$1:B3201,B3201)=1,MAX(A$1:A3200)+1,"")</f>
        <v/>
      </c>
      <c r="B3201" s="11"/>
      <c r="C3201" s="11" t="str">
        <f>IF(COUNTIF(D$1:D3201,D3201)=1,MAX(C$1:C3200)+1,"")</f>
        <v/>
      </c>
      <c r="D3201" s="12"/>
    </row>
    <row r="3202" spans="1:4" x14ac:dyDescent="0.25">
      <c r="A3202" t="str">
        <f>IF(COUNTIF(B$1:B3202,B3202)=1,MAX(A$1:A3201)+1,"")</f>
        <v/>
      </c>
      <c r="B3202" s="11"/>
      <c r="C3202" s="11" t="str">
        <f>IF(COUNTIF(D$1:D3202,D3202)=1,MAX(C$1:C3201)+1,"")</f>
        <v/>
      </c>
      <c r="D3202" s="12"/>
    </row>
    <row r="3203" spans="1:4" x14ac:dyDescent="0.25">
      <c r="A3203" t="str">
        <f>IF(COUNTIF(B$1:B3203,B3203)=1,MAX(A$1:A3202)+1,"")</f>
        <v/>
      </c>
      <c r="B3203" s="11"/>
      <c r="C3203" s="11" t="str">
        <f>IF(COUNTIF(D$1:D3203,D3203)=1,MAX(C$1:C3202)+1,"")</f>
        <v/>
      </c>
      <c r="D3203" s="12"/>
    </row>
    <row r="3204" spans="1:4" x14ac:dyDescent="0.25">
      <c r="A3204" t="str">
        <f>IF(COUNTIF(B$1:B3204,B3204)=1,MAX(A$1:A3203)+1,"")</f>
        <v/>
      </c>
      <c r="B3204" s="11"/>
      <c r="C3204" s="11" t="str">
        <f>IF(COUNTIF(D$1:D3204,D3204)=1,MAX(C$1:C3203)+1,"")</f>
        <v/>
      </c>
      <c r="D3204" s="12"/>
    </row>
    <row r="3205" spans="1:4" x14ac:dyDescent="0.25">
      <c r="A3205" t="str">
        <f>IF(COUNTIF(B$1:B3205,B3205)=1,MAX(A$1:A3204)+1,"")</f>
        <v/>
      </c>
      <c r="B3205" s="11"/>
      <c r="C3205" s="11" t="str">
        <f>IF(COUNTIF(D$1:D3205,D3205)=1,MAX(C$1:C3204)+1,"")</f>
        <v/>
      </c>
      <c r="D3205" s="12"/>
    </row>
    <row r="3206" spans="1:4" x14ac:dyDescent="0.25">
      <c r="A3206" t="str">
        <f>IF(COUNTIF(B$1:B3206,B3206)=1,MAX(A$1:A3205)+1,"")</f>
        <v/>
      </c>
      <c r="B3206" s="11"/>
      <c r="C3206" s="11" t="str">
        <f>IF(COUNTIF(D$1:D3206,D3206)=1,MAX(C$1:C3205)+1,"")</f>
        <v/>
      </c>
      <c r="D3206" s="12"/>
    </row>
    <row r="3207" spans="1:4" x14ac:dyDescent="0.25">
      <c r="A3207" t="str">
        <f>IF(COUNTIF(B$1:B3207,B3207)=1,MAX(A$1:A3206)+1,"")</f>
        <v/>
      </c>
      <c r="B3207" s="11"/>
      <c r="C3207" s="11" t="str">
        <f>IF(COUNTIF(D$1:D3207,D3207)=1,MAX(C$1:C3206)+1,"")</f>
        <v/>
      </c>
      <c r="D3207" s="12"/>
    </row>
    <row r="3208" spans="1:4" x14ac:dyDescent="0.25">
      <c r="A3208" t="str">
        <f>IF(COUNTIF(B$1:B3208,B3208)=1,MAX(A$1:A3207)+1,"")</f>
        <v/>
      </c>
      <c r="B3208" s="11"/>
      <c r="C3208" s="11" t="str">
        <f>IF(COUNTIF(D$1:D3208,D3208)=1,MAX(C$1:C3207)+1,"")</f>
        <v/>
      </c>
      <c r="D3208" s="12"/>
    </row>
    <row r="3209" spans="1:4" x14ac:dyDescent="0.25">
      <c r="A3209" t="str">
        <f>IF(COUNTIF(B$1:B3209,B3209)=1,MAX(A$1:A3208)+1,"")</f>
        <v/>
      </c>
      <c r="B3209" s="11"/>
      <c r="C3209" s="11" t="str">
        <f>IF(COUNTIF(D$1:D3209,D3209)=1,MAX(C$1:C3208)+1,"")</f>
        <v/>
      </c>
      <c r="D3209" s="12"/>
    </row>
    <row r="3210" spans="1:4" x14ac:dyDescent="0.25">
      <c r="A3210" t="str">
        <f>IF(COUNTIF(B$1:B3210,B3210)=1,MAX(A$1:A3209)+1,"")</f>
        <v/>
      </c>
      <c r="B3210" s="11"/>
      <c r="C3210" s="11" t="str">
        <f>IF(COUNTIF(D$1:D3210,D3210)=1,MAX(C$1:C3209)+1,"")</f>
        <v/>
      </c>
      <c r="D3210" s="12"/>
    </row>
    <row r="3211" spans="1:4" x14ac:dyDescent="0.25">
      <c r="A3211" t="str">
        <f>IF(COUNTIF(B$1:B3211,B3211)=1,MAX(A$1:A3210)+1,"")</f>
        <v/>
      </c>
      <c r="B3211" s="11"/>
      <c r="C3211" s="11" t="str">
        <f>IF(COUNTIF(D$1:D3211,D3211)=1,MAX(C$1:C3210)+1,"")</f>
        <v/>
      </c>
      <c r="D3211" s="12"/>
    </row>
    <row r="3212" spans="1:4" x14ac:dyDescent="0.25">
      <c r="A3212" t="str">
        <f>IF(COUNTIF(B$1:B3212,B3212)=1,MAX(A$1:A3211)+1,"")</f>
        <v/>
      </c>
      <c r="B3212" s="11"/>
      <c r="C3212" s="11" t="str">
        <f>IF(COUNTIF(D$1:D3212,D3212)=1,MAX(C$1:C3211)+1,"")</f>
        <v/>
      </c>
      <c r="D3212" s="12"/>
    </row>
    <row r="3213" spans="1:4" x14ac:dyDescent="0.25">
      <c r="A3213" t="str">
        <f>IF(COUNTIF(B$1:B3213,B3213)=1,MAX(A$1:A3212)+1,"")</f>
        <v/>
      </c>
      <c r="B3213" s="11"/>
      <c r="C3213" s="11" t="str">
        <f>IF(COUNTIF(D$1:D3213,D3213)=1,MAX(C$1:C3212)+1,"")</f>
        <v/>
      </c>
      <c r="D3213" s="12"/>
    </row>
    <row r="3214" spans="1:4" x14ac:dyDescent="0.25">
      <c r="A3214" t="str">
        <f>IF(COUNTIF(B$1:B3214,B3214)=1,MAX(A$1:A3213)+1,"")</f>
        <v/>
      </c>
      <c r="B3214" s="11"/>
      <c r="C3214" s="11" t="str">
        <f>IF(COUNTIF(D$1:D3214,D3214)=1,MAX(C$1:C3213)+1,"")</f>
        <v/>
      </c>
      <c r="D3214" s="12"/>
    </row>
    <row r="3215" spans="1:4" x14ac:dyDescent="0.25">
      <c r="A3215" t="str">
        <f>IF(COUNTIF(B$1:B3215,B3215)=1,MAX(A$1:A3214)+1,"")</f>
        <v/>
      </c>
      <c r="B3215" s="11"/>
      <c r="C3215" s="11" t="str">
        <f>IF(COUNTIF(D$1:D3215,D3215)=1,MAX(C$1:C3214)+1,"")</f>
        <v/>
      </c>
      <c r="D3215" s="12"/>
    </row>
    <row r="3216" spans="1:4" x14ac:dyDescent="0.25">
      <c r="A3216" t="str">
        <f>IF(COUNTIF(B$1:B3216,B3216)=1,MAX(A$1:A3215)+1,"")</f>
        <v/>
      </c>
      <c r="B3216" s="11"/>
      <c r="C3216" s="11" t="str">
        <f>IF(COUNTIF(D$1:D3216,D3216)=1,MAX(C$1:C3215)+1,"")</f>
        <v/>
      </c>
      <c r="D3216" s="12"/>
    </row>
    <row r="3217" spans="1:4" x14ac:dyDescent="0.25">
      <c r="A3217" t="str">
        <f>IF(COUNTIF(B$1:B3217,B3217)=1,MAX(A$1:A3216)+1,"")</f>
        <v/>
      </c>
      <c r="B3217" s="11"/>
      <c r="C3217" s="11" t="str">
        <f>IF(COUNTIF(D$1:D3217,D3217)=1,MAX(C$1:C3216)+1,"")</f>
        <v/>
      </c>
      <c r="D3217" s="12"/>
    </row>
    <row r="3218" spans="1:4" x14ac:dyDescent="0.25">
      <c r="A3218" t="str">
        <f>IF(COUNTIF(B$1:B3218,B3218)=1,MAX(A$1:A3217)+1,"")</f>
        <v/>
      </c>
      <c r="B3218" s="11"/>
      <c r="C3218" s="11" t="str">
        <f>IF(COUNTIF(D$1:D3218,D3218)=1,MAX(C$1:C3217)+1,"")</f>
        <v/>
      </c>
      <c r="D3218" s="12"/>
    </row>
    <row r="3219" spans="1:4" x14ac:dyDescent="0.25">
      <c r="A3219" t="str">
        <f>IF(COUNTIF(B$1:B3219,B3219)=1,MAX(A$1:A3218)+1,"")</f>
        <v/>
      </c>
      <c r="B3219" s="11"/>
      <c r="C3219" s="11" t="str">
        <f>IF(COUNTIF(D$1:D3219,D3219)=1,MAX(C$1:C3218)+1,"")</f>
        <v/>
      </c>
      <c r="D3219" s="12"/>
    </row>
    <row r="3220" spans="1:4" x14ac:dyDescent="0.25">
      <c r="A3220" t="str">
        <f>IF(COUNTIF(B$1:B3220,B3220)=1,MAX(A$1:A3219)+1,"")</f>
        <v/>
      </c>
      <c r="B3220" s="11"/>
      <c r="C3220" s="11" t="str">
        <f>IF(COUNTIF(D$1:D3220,D3220)=1,MAX(C$1:C3219)+1,"")</f>
        <v/>
      </c>
      <c r="D3220" s="12"/>
    </row>
    <row r="3221" spans="1:4" x14ac:dyDescent="0.25">
      <c r="A3221" t="str">
        <f>IF(COUNTIF(B$1:B3221,B3221)=1,MAX(A$1:A3220)+1,"")</f>
        <v/>
      </c>
      <c r="B3221" s="11"/>
      <c r="C3221" s="11" t="str">
        <f>IF(COUNTIF(D$1:D3221,D3221)=1,MAX(C$1:C3220)+1,"")</f>
        <v/>
      </c>
      <c r="D3221" s="12"/>
    </row>
    <row r="3222" spans="1:4" x14ac:dyDescent="0.25">
      <c r="A3222" t="str">
        <f>IF(COUNTIF(B$1:B3222,B3222)=1,MAX(A$1:A3221)+1,"")</f>
        <v/>
      </c>
      <c r="B3222" s="11"/>
      <c r="C3222" s="11" t="str">
        <f>IF(COUNTIF(D$1:D3222,D3222)=1,MAX(C$1:C3221)+1,"")</f>
        <v/>
      </c>
      <c r="D3222" s="12"/>
    </row>
    <row r="3223" spans="1:4" x14ac:dyDescent="0.25">
      <c r="A3223" t="str">
        <f>IF(COUNTIF(B$1:B3223,B3223)=1,MAX(A$1:A3222)+1,"")</f>
        <v/>
      </c>
      <c r="B3223" s="11"/>
      <c r="C3223" s="11" t="str">
        <f>IF(COUNTIF(D$1:D3223,D3223)=1,MAX(C$1:C3222)+1,"")</f>
        <v/>
      </c>
      <c r="D3223" s="12"/>
    </row>
    <row r="3224" spans="1:4" x14ac:dyDescent="0.25">
      <c r="A3224" t="str">
        <f>IF(COUNTIF(B$1:B3224,B3224)=1,MAX(A$1:A3223)+1,"")</f>
        <v/>
      </c>
      <c r="B3224" s="11"/>
      <c r="C3224" s="11" t="str">
        <f>IF(COUNTIF(D$1:D3224,D3224)=1,MAX(C$1:C3223)+1,"")</f>
        <v/>
      </c>
      <c r="D3224" s="12"/>
    </row>
    <row r="3225" spans="1:4" x14ac:dyDescent="0.25">
      <c r="A3225" t="str">
        <f>IF(COUNTIF(B$1:B3225,B3225)=1,MAX(A$1:A3224)+1,"")</f>
        <v/>
      </c>
      <c r="B3225" s="11"/>
      <c r="C3225" s="11" t="str">
        <f>IF(COUNTIF(D$1:D3225,D3225)=1,MAX(C$1:C3224)+1,"")</f>
        <v/>
      </c>
      <c r="D3225" s="12"/>
    </row>
    <row r="3226" spans="1:4" x14ac:dyDescent="0.25">
      <c r="A3226" t="str">
        <f>IF(COUNTIF(B$1:B3226,B3226)=1,MAX(A$1:A3225)+1,"")</f>
        <v/>
      </c>
      <c r="B3226" s="11"/>
      <c r="C3226" s="11" t="str">
        <f>IF(COUNTIF(D$1:D3226,D3226)=1,MAX(C$1:C3225)+1,"")</f>
        <v/>
      </c>
      <c r="D3226" s="12"/>
    </row>
    <row r="3227" spans="1:4" x14ac:dyDescent="0.25">
      <c r="A3227" t="str">
        <f>IF(COUNTIF(B$1:B3227,B3227)=1,MAX(A$1:A3226)+1,"")</f>
        <v/>
      </c>
      <c r="B3227" s="11"/>
      <c r="C3227" s="11" t="str">
        <f>IF(COUNTIF(D$1:D3227,D3227)=1,MAX(C$1:C3226)+1,"")</f>
        <v/>
      </c>
      <c r="D3227" s="12"/>
    </row>
    <row r="3228" spans="1:4" x14ac:dyDescent="0.25">
      <c r="A3228" t="str">
        <f>IF(COUNTIF(B$1:B3228,B3228)=1,MAX(A$1:A3227)+1,"")</f>
        <v/>
      </c>
      <c r="B3228" s="11"/>
      <c r="C3228" s="11" t="str">
        <f>IF(COUNTIF(D$1:D3228,D3228)=1,MAX(C$1:C3227)+1,"")</f>
        <v/>
      </c>
      <c r="D3228" s="12"/>
    </row>
    <row r="3229" spans="1:4" x14ac:dyDescent="0.25">
      <c r="A3229" t="str">
        <f>IF(COUNTIF(B$1:B3229,B3229)=1,MAX(A$1:A3228)+1,"")</f>
        <v/>
      </c>
      <c r="B3229" s="11"/>
      <c r="C3229" s="11" t="str">
        <f>IF(COUNTIF(D$1:D3229,D3229)=1,MAX(C$1:C3228)+1,"")</f>
        <v/>
      </c>
      <c r="D3229" s="12"/>
    </row>
    <row r="3230" spans="1:4" x14ac:dyDescent="0.25">
      <c r="A3230" t="str">
        <f>IF(COUNTIF(B$1:B3230,B3230)=1,MAX(A$1:A3229)+1,"")</f>
        <v/>
      </c>
      <c r="B3230" s="11"/>
      <c r="C3230" s="11" t="str">
        <f>IF(COUNTIF(D$1:D3230,D3230)=1,MAX(C$1:C3229)+1,"")</f>
        <v/>
      </c>
      <c r="D3230" s="12"/>
    </row>
    <row r="3231" spans="1:4" x14ac:dyDescent="0.25">
      <c r="A3231" t="str">
        <f>IF(COUNTIF(B$1:B3231,B3231)=1,MAX(A$1:A3230)+1,"")</f>
        <v/>
      </c>
      <c r="B3231" s="11"/>
      <c r="C3231" s="11" t="str">
        <f>IF(COUNTIF(D$1:D3231,D3231)=1,MAX(C$1:C3230)+1,"")</f>
        <v/>
      </c>
      <c r="D3231" s="12"/>
    </row>
    <row r="3232" spans="1:4" x14ac:dyDescent="0.25">
      <c r="A3232" t="str">
        <f>IF(COUNTIF(B$1:B3232,B3232)=1,MAX(A$1:A3231)+1,"")</f>
        <v/>
      </c>
      <c r="B3232" s="11"/>
      <c r="C3232" s="11" t="str">
        <f>IF(COUNTIF(D$1:D3232,D3232)=1,MAX(C$1:C3231)+1,"")</f>
        <v/>
      </c>
      <c r="D3232" s="12"/>
    </row>
    <row r="3233" spans="1:4" x14ac:dyDescent="0.25">
      <c r="A3233" t="str">
        <f>IF(COUNTIF(B$1:B3233,B3233)=1,MAX(A$1:A3232)+1,"")</f>
        <v/>
      </c>
      <c r="B3233" s="11"/>
      <c r="C3233" s="11" t="str">
        <f>IF(COUNTIF(D$1:D3233,D3233)=1,MAX(C$1:C3232)+1,"")</f>
        <v/>
      </c>
      <c r="D3233" s="12"/>
    </row>
    <row r="3234" spans="1:4" x14ac:dyDescent="0.25">
      <c r="A3234" t="str">
        <f>IF(COUNTIF(B$1:B3234,B3234)=1,MAX(A$1:A3233)+1,"")</f>
        <v/>
      </c>
      <c r="B3234" s="11"/>
      <c r="C3234" s="11" t="str">
        <f>IF(COUNTIF(D$1:D3234,D3234)=1,MAX(C$1:C3233)+1,"")</f>
        <v/>
      </c>
      <c r="D3234" s="12"/>
    </row>
    <row r="3235" spans="1:4" x14ac:dyDescent="0.25">
      <c r="A3235" t="str">
        <f>IF(COUNTIF(B$1:B3235,B3235)=1,MAX(A$1:A3234)+1,"")</f>
        <v/>
      </c>
      <c r="B3235" s="11"/>
      <c r="C3235" s="11" t="str">
        <f>IF(COUNTIF(D$1:D3235,D3235)=1,MAX(C$1:C3234)+1,"")</f>
        <v/>
      </c>
      <c r="D3235" s="12"/>
    </row>
    <row r="3236" spans="1:4" x14ac:dyDescent="0.25">
      <c r="A3236" t="str">
        <f>IF(COUNTIF(B$1:B3236,B3236)=1,MAX(A$1:A3235)+1,"")</f>
        <v/>
      </c>
      <c r="B3236" s="11"/>
      <c r="C3236" s="11" t="str">
        <f>IF(COUNTIF(D$1:D3236,D3236)=1,MAX(C$1:C3235)+1,"")</f>
        <v/>
      </c>
      <c r="D3236" s="12"/>
    </row>
    <row r="3237" spans="1:4" x14ac:dyDescent="0.25">
      <c r="A3237" t="str">
        <f>IF(COUNTIF(B$1:B3237,B3237)=1,MAX(A$1:A3236)+1,"")</f>
        <v/>
      </c>
      <c r="B3237" s="11"/>
      <c r="C3237" s="11" t="str">
        <f>IF(COUNTIF(D$1:D3237,D3237)=1,MAX(C$1:C3236)+1,"")</f>
        <v/>
      </c>
      <c r="D3237" s="12"/>
    </row>
    <row r="3238" spans="1:4" x14ac:dyDescent="0.25">
      <c r="A3238" t="str">
        <f>IF(COUNTIF(B$1:B3238,B3238)=1,MAX(A$1:A3237)+1,"")</f>
        <v/>
      </c>
      <c r="B3238" s="11"/>
      <c r="C3238" s="11" t="str">
        <f>IF(COUNTIF(D$1:D3238,D3238)=1,MAX(C$1:C3237)+1,"")</f>
        <v/>
      </c>
      <c r="D3238" s="12"/>
    </row>
    <row r="3239" spans="1:4" x14ac:dyDescent="0.25">
      <c r="A3239" t="str">
        <f>IF(COUNTIF(B$1:B3239,B3239)=1,MAX(A$1:A3238)+1,"")</f>
        <v/>
      </c>
      <c r="B3239" s="11"/>
      <c r="C3239" s="11" t="str">
        <f>IF(COUNTIF(D$1:D3239,D3239)=1,MAX(C$1:C3238)+1,"")</f>
        <v/>
      </c>
      <c r="D3239" s="12"/>
    </row>
    <row r="3240" spans="1:4" x14ac:dyDescent="0.25">
      <c r="A3240" t="str">
        <f>IF(COUNTIF(B$1:B3240,B3240)=1,MAX(A$1:A3239)+1,"")</f>
        <v/>
      </c>
      <c r="B3240" s="11"/>
      <c r="C3240" s="11" t="str">
        <f>IF(COUNTIF(D$1:D3240,D3240)=1,MAX(C$1:C3239)+1,"")</f>
        <v/>
      </c>
      <c r="D3240" s="12"/>
    </row>
    <row r="3241" spans="1:4" x14ac:dyDescent="0.25">
      <c r="A3241" t="str">
        <f>IF(COUNTIF(B$1:B3241,B3241)=1,MAX(A$1:A3240)+1,"")</f>
        <v/>
      </c>
      <c r="B3241" s="11"/>
      <c r="C3241" s="11" t="str">
        <f>IF(COUNTIF(D$1:D3241,D3241)=1,MAX(C$1:C3240)+1,"")</f>
        <v/>
      </c>
      <c r="D3241" s="12"/>
    </row>
    <row r="3242" spans="1:4" x14ac:dyDescent="0.25">
      <c r="A3242" t="str">
        <f>IF(COUNTIF(B$1:B3242,B3242)=1,MAX(A$1:A3241)+1,"")</f>
        <v/>
      </c>
      <c r="B3242" s="11"/>
      <c r="C3242" s="11" t="str">
        <f>IF(COUNTIF(D$1:D3242,D3242)=1,MAX(C$1:C3241)+1,"")</f>
        <v/>
      </c>
      <c r="D3242" s="12"/>
    </row>
    <row r="3243" spans="1:4" x14ac:dyDescent="0.25">
      <c r="A3243" t="str">
        <f>IF(COUNTIF(B$1:B3243,B3243)=1,MAX(A$1:A3242)+1,"")</f>
        <v/>
      </c>
      <c r="B3243" s="11"/>
      <c r="C3243" s="11" t="str">
        <f>IF(COUNTIF(D$1:D3243,D3243)=1,MAX(C$1:C3242)+1,"")</f>
        <v/>
      </c>
      <c r="D3243" s="12"/>
    </row>
    <row r="3244" spans="1:4" x14ac:dyDescent="0.25">
      <c r="A3244" t="str">
        <f>IF(COUNTIF(B$1:B3244,B3244)=1,MAX(A$1:A3243)+1,"")</f>
        <v/>
      </c>
      <c r="B3244" s="11"/>
      <c r="C3244" s="11" t="str">
        <f>IF(COUNTIF(D$1:D3244,D3244)=1,MAX(C$1:C3243)+1,"")</f>
        <v/>
      </c>
      <c r="D3244" s="12"/>
    </row>
    <row r="3245" spans="1:4" x14ac:dyDescent="0.25">
      <c r="A3245" t="str">
        <f>IF(COUNTIF(B$1:B3245,B3245)=1,MAX(A$1:A3244)+1,"")</f>
        <v/>
      </c>
      <c r="B3245" s="11"/>
      <c r="C3245" s="11" t="str">
        <f>IF(COUNTIF(D$1:D3245,D3245)=1,MAX(C$1:C3244)+1,"")</f>
        <v/>
      </c>
      <c r="D3245" s="12"/>
    </row>
    <row r="3246" spans="1:4" x14ac:dyDescent="0.25">
      <c r="A3246" t="str">
        <f>IF(COUNTIF(B$1:B3246,B3246)=1,MAX(A$1:A3245)+1,"")</f>
        <v/>
      </c>
      <c r="B3246" s="11"/>
      <c r="C3246" s="11" t="str">
        <f>IF(COUNTIF(D$1:D3246,D3246)=1,MAX(C$1:C3245)+1,"")</f>
        <v/>
      </c>
      <c r="D3246" s="12"/>
    </row>
    <row r="3247" spans="1:4" x14ac:dyDescent="0.25">
      <c r="A3247" t="str">
        <f>IF(COUNTIF(B$1:B3247,B3247)=1,MAX(A$1:A3246)+1,"")</f>
        <v/>
      </c>
      <c r="B3247" s="11"/>
      <c r="C3247" s="11" t="str">
        <f>IF(COUNTIF(D$1:D3247,D3247)=1,MAX(C$1:C3246)+1,"")</f>
        <v/>
      </c>
      <c r="D3247" s="12"/>
    </row>
    <row r="3248" spans="1:4" x14ac:dyDescent="0.25">
      <c r="A3248" t="str">
        <f>IF(COUNTIF(B$1:B3248,B3248)=1,MAX(A$1:A3247)+1,"")</f>
        <v/>
      </c>
      <c r="B3248" s="11"/>
      <c r="C3248" s="11" t="str">
        <f>IF(COUNTIF(D$1:D3248,D3248)=1,MAX(C$1:C3247)+1,"")</f>
        <v/>
      </c>
      <c r="D3248" s="12"/>
    </row>
    <row r="3249" spans="1:4" x14ac:dyDescent="0.25">
      <c r="A3249" t="str">
        <f>IF(COUNTIF(B$1:B3249,B3249)=1,MAX(A$1:A3248)+1,"")</f>
        <v/>
      </c>
      <c r="B3249" s="11"/>
      <c r="C3249" s="11" t="str">
        <f>IF(COUNTIF(D$1:D3249,D3249)=1,MAX(C$1:C3248)+1,"")</f>
        <v/>
      </c>
      <c r="D3249" s="12"/>
    </row>
    <row r="3250" spans="1:4" x14ac:dyDescent="0.25">
      <c r="A3250" t="str">
        <f>IF(COUNTIF(B$1:B3250,B3250)=1,MAX(A$1:A3249)+1,"")</f>
        <v/>
      </c>
      <c r="B3250" s="11"/>
      <c r="C3250" s="11" t="str">
        <f>IF(COUNTIF(D$1:D3250,D3250)=1,MAX(C$1:C3249)+1,"")</f>
        <v/>
      </c>
      <c r="D3250" s="12"/>
    </row>
    <row r="3251" spans="1:4" x14ac:dyDescent="0.25">
      <c r="A3251" t="str">
        <f>IF(COUNTIF(B$1:B3251,B3251)=1,MAX(A$1:A3250)+1,"")</f>
        <v/>
      </c>
      <c r="B3251" s="11"/>
      <c r="C3251" s="11" t="str">
        <f>IF(COUNTIF(D$1:D3251,D3251)=1,MAX(C$1:C3250)+1,"")</f>
        <v/>
      </c>
      <c r="D3251" s="12"/>
    </row>
    <row r="3252" spans="1:4" x14ac:dyDescent="0.25">
      <c r="A3252" t="str">
        <f>IF(COUNTIF(B$1:B3252,B3252)=1,MAX(A$1:A3251)+1,"")</f>
        <v/>
      </c>
      <c r="B3252" s="11"/>
      <c r="C3252" s="11" t="str">
        <f>IF(COUNTIF(D$1:D3252,D3252)=1,MAX(C$1:C3251)+1,"")</f>
        <v/>
      </c>
      <c r="D3252" s="12"/>
    </row>
    <row r="3253" spans="1:4" x14ac:dyDescent="0.25">
      <c r="A3253" t="str">
        <f>IF(COUNTIF(B$1:B3253,B3253)=1,MAX(A$1:A3252)+1,"")</f>
        <v/>
      </c>
      <c r="B3253" s="11"/>
      <c r="C3253" s="11" t="str">
        <f>IF(COUNTIF(D$1:D3253,D3253)=1,MAX(C$1:C3252)+1,"")</f>
        <v/>
      </c>
      <c r="D3253" s="12"/>
    </row>
    <row r="3254" spans="1:4" x14ac:dyDescent="0.25">
      <c r="A3254" t="str">
        <f>IF(COUNTIF(B$1:B3254,B3254)=1,MAX(A$1:A3253)+1,"")</f>
        <v/>
      </c>
      <c r="B3254" s="11"/>
      <c r="C3254" s="11" t="str">
        <f>IF(COUNTIF(D$1:D3254,D3254)=1,MAX(C$1:C3253)+1,"")</f>
        <v/>
      </c>
      <c r="D3254" s="12"/>
    </row>
    <row r="3255" spans="1:4" x14ac:dyDescent="0.25">
      <c r="A3255" t="str">
        <f>IF(COUNTIF(B$1:B3255,B3255)=1,MAX(A$1:A3254)+1,"")</f>
        <v/>
      </c>
      <c r="B3255" s="11"/>
      <c r="C3255" s="11" t="str">
        <f>IF(COUNTIF(D$1:D3255,D3255)=1,MAX(C$1:C3254)+1,"")</f>
        <v/>
      </c>
      <c r="D3255" s="12"/>
    </row>
    <row r="3256" spans="1:4" x14ac:dyDescent="0.25">
      <c r="A3256" t="str">
        <f>IF(COUNTIF(B$1:B3256,B3256)=1,MAX(A$1:A3255)+1,"")</f>
        <v/>
      </c>
      <c r="B3256" s="11"/>
      <c r="C3256" s="11" t="str">
        <f>IF(COUNTIF(D$1:D3256,D3256)=1,MAX(C$1:C3255)+1,"")</f>
        <v/>
      </c>
      <c r="D3256" s="12"/>
    </row>
    <row r="3257" spans="1:4" x14ac:dyDescent="0.25">
      <c r="A3257" t="str">
        <f>IF(COUNTIF(B$1:B3257,B3257)=1,MAX(A$1:A3256)+1,"")</f>
        <v/>
      </c>
      <c r="B3257" s="11"/>
      <c r="C3257" s="11" t="str">
        <f>IF(COUNTIF(D$1:D3257,D3257)=1,MAX(C$1:C3256)+1,"")</f>
        <v/>
      </c>
      <c r="D3257" s="12"/>
    </row>
    <row r="3258" spans="1:4" x14ac:dyDescent="0.25">
      <c r="A3258" t="str">
        <f>IF(COUNTIF(B$1:B3258,B3258)=1,MAX(A$1:A3257)+1,"")</f>
        <v/>
      </c>
      <c r="B3258" s="11"/>
      <c r="C3258" s="11" t="str">
        <f>IF(COUNTIF(D$1:D3258,D3258)=1,MAX(C$1:C3257)+1,"")</f>
        <v/>
      </c>
      <c r="D3258" s="12"/>
    </row>
    <row r="3259" spans="1:4" x14ac:dyDescent="0.25">
      <c r="A3259" t="str">
        <f>IF(COUNTIF(B$1:B3259,B3259)=1,MAX(A$1:A3258)+1,"")</f>
        <v/>
      </c>
      <c r="B3259" s="11"/>
      <c r="C3259" s="11" t="str">
        <f>IF(COUNTIF(D$1:D3259,D3259)=1,MAX(C$1:C3258)+1,"")</f>
        <v/>
      </c>
      <c r="D3259" s="12"/>
    </row>
    <row r="3260" spans="1:4" x14ac:dyDescent="0.25">
      <c r="A3260" t="str">
        <f>IF(COUNTIF(B$1:B3260,B3260)=1,MAX(A$1:A3259)+1,"")</f>
        <v/>
      </c>
      <c r="B3260" s="11"/>
      <c r="C3260" s="11" t="str">
        <f>IF(COUNTIF(D$1:D3260,D3260)=1,MAX(C$1:C3259)+1,"")</f>
        <v/>
      </c>
      <c r="D3260" s="12"/>
    </row>
    <row r="3261" spans="1:4" x14ac:dyDescent="0.25">
      <c r="A3261" t="str">
        <f>IF(COUNTIF(B$1:B3261,B3261)=1,MAX(A$1:A3260)+1,"")</f>
        <v/>
      </c>
      <c r="B3261" s="11"/>
      <c r="C3261" s="11" t="str">
        <f>IF(COUNTIF(D$1:D3261,D3261)=1,MAX(C$1:C3260)+1,"")</f>
        <v/>
      </c>
      <c r="D3261" s="12"/>
    </row>
    <row r="3262" spans="1:4" x14ac:dyDescent="0.25">
      <c r="A3262" t="str">
        <f>IF(COUNTIF(B$1:B3262,B3262)=1,MAX(A$1:A3261)+1,"")</f>
        <v/>
      </c>
      <c r="B3262" s="11"/>
      <c r="C3262" s="11" t="str">
        <f>IF(COUNTIF(D$1:D3262,D3262)=1,MAX(C$1:C3261)+1,"")</f>
        <v/>
      </c>
      <c r="D3262" s="12"/>
    </row>
    <row r="3263" spans="1:4" x14ac:dyDescent="0.25">
      <c r="A3263" t="str">
        <f>IF(COUNTIF(B$1:B3263,B3263)=1,MAX(A$1:A3262)+1,"")</f>
        <v/>
      </c>
      <c r="B3263" s="11"/>
      <c r="C3263" s="11" t="str">
        <f>IF(COUNTIF(D$1:D3263,D3263)=1,MAX(C$1:C3262)+1,"")</f>
        <v/>
      </c>
      <c r="D3263" s="12"/>
    </row>
    <row r="3264" spans="1:4" x14ac:dyDescent="0.25">
      <c r="A3264" t="str">
        <f>IF(COUNTIF(B$1:B3264,B3264)=1,MAX(A$1:A3263)+1,"")</f>
        <v/>
      </c>
      <c r="B3264" s="11"/>
      <c r="C3264" s="11" t="str">
        <f>IF(COUNTIF(D$1:D3264,D3264)=1,MAX(C$1:C3263)+1,"")</f>
        <v/>
      </c>
      <c r="D3264" s="12"/>
    </row>
    <row r="3265" spans="1:4" x14ac:dyDescent="0.25">
      <c r="A3265" t="str">
        <f>IF(COUNTIF(B$1:B3265,B3265)=1,MAX(A$1:A3264)+1,"")</f>
        <v/>
      </c>
      <c r="B3265" s="11"/>
      <c r="C3265" s="11" t="str">
        <f>IF(COUNTIF(D$1:D3265,D3265)=1,MAX(C$1:C3264)+1,"")</f>
        <v/>
      </c>
      <c r="D3265" s="12"/>
    </row>
    <row r="3266" spans="1:4" x14ac:dyDescent="0.25">
      <c r="A3266" t="str">
        <f>IF(COUNTIF(B$1:B3266,B3266)=1,MAX(A$1:A3265)+1,"")</f>
        <v/>
      </c>
      <c r="B3266" s="11"/>
      <c r="C3266" s="11" t="str">
        <f>IF(COUNTIF(D$1:D3266,D3266)=1,MAX(C$1:C3265)+1,"")</f>
        <v/>
      </c>
      <c r="D3266" s="12"/>
    </row>
    <row r="3267" spans="1:4" x14ac:dyDescent="0.25">
      <c r="A3267" t="str">
        <f>IF(COUNTIF(B$1:B3267,B3267)=1,MAX(A$1:A3266)+1,"")</f>
        <v/>
      </c>
      <c r="B3267" s="11"/>
      <c r="C3267" s="11" t="str">
        <f>IF(COUNTIF(D$1:D3267,D3267)=1,MAX(C$1:C3266)+1,"")</f>
        <v/>
      </c>
      <c r="D3267" s="12"/>
    </row>
    <row r="3268" spans="1:4" x14ac:dyDescent="0.25">
      <c r="A3268" t="str">
        <f>IF(COUNTIF(B$1:B3268,B3268)=1,MAX(A$1:A3267)+1,"")</f>
        <v/>
      </c>
      <c r="B3268" s="11"/>
      <c r="C3268" s="11" t="str">
        <f>IF(COUNTIF(D$1:D3268,D3268)=1,MAX(C$1:C3267)+1,"")</f>
        <v/>
      </c>
      <c r="D3268" s="12"/>
    </row>
    <row r="3269" spans="1:4" x14ac:dyDescent="0.25">
      <c r="A3269" t="str">
        <f>IF(COUNTIF(B$1:B3269,B3269)=1,MAX(A$1:A3268)+1,"")</f>
        <v/>
      </c>
      <c r="B3269" s="11"/>
      <c r="C3269" s="11" t="str">
        <f>IF(COUNTIF(D$1:D3269,D3269)=1,MAX(C$1:C3268)+1,"")</f>
        <v/>
      </c>
      <c r="D3269" s="12"/>
    </row>
    <row r="3270" spans="1:4" x14ac:dyDescent="0.25">
      <c r="A3270" t="str">
        <f>IF(COUNTIF(B$1:B3270,B3270)=1,MAX(A$1:A3269)+1,"")</f>
        <v/>
      </c>
      <c r="B3270" s="11"/>
      <c r="C3270" s="11" t="str">
        <f>IF(COUNTIF(D$1:D3270,D3270)=1,MAX(C$1:C3269)+1,"")</f>
        <v/>
      </c>
      <c r="D3270" s="12"/>
    </row>
    <row r="3271" spans="1:4" x14ac:dyDescent="0.25">
      <c r="A3271" t="str">
        <f>IF(COUNTIF(B$1:B3271,B3271)=1,MAX(A$1:A3270)+1,"")</f>
        <v/>
      </c>
      <c r="B3271" s="11"/>
      <c r="C3271" s="11" t="str">
        <f>IF(COUNTIF(D$1:D3271,D3271)=1,MAX(C$1:C3270)+1,"")</f>
        <v/>
      </c>
      <c r="D3271" s="12"/>
    </row>
    <row r="3272" spans="1:4" x14ac:dyDescent="0.25">
      <c r="A3272" t="str">
        <f>IF(COUNTIF(B$1:B3272,B3272)=1,MAX(A$1:A3271)+1,"")</f>
        <v/>
      </c>
      <c r="B3272" s="11"/>
      <c r="C3272" s="11" t="str">
        <f>IF(COUNTIF(D$1:D3272,D3272)=1,MAX(C$1:C3271)+1,"")</f>
        <v/>
      </c>
      <c r="D3272" s="12"/>
    </row>
    <row r="3273" spans="1:4" x14ac:dyDescent="0.25">
      <c r="A3273" t="str">
        <f>IF(COUNTIF(B$1:B3273,B3273)=1,MAX(A$1:A3272)+1,"")</f>
        <v/>
      </c>
      <c r="B3273" s="11"/>
      <c r="C3273" s="11" t="str">
        <f>IF(COUNTIF(D$1:D3273,D3273)=1,MAX(C$1:C3272)+1,"")</f>
        <v/>
      </c>
      <c r="D3273" s="12"/>
    </row>
    <row r="3274" spans="1:4" x14ac:dyDescent="0.25">
      <c r="A3274" t="str">
        <f>IF(COUNTIF(B$1:B3274,B3274)=1,MAX(A$1:A3273)+1,"")</f>
        <v/>
      </c>
      <c r="B3274" s="11"/>
      <c r="C3274" s="11" t="str">
        <f>IF(COUNTIF(D$1:D3274,D3274)=1,MAX(C$1:C3273)+1,"")</f>
        <v/>
      </c>
      <c r="D3274" s="12"/>
    </row>
    <row r="3275" spans="1:4" x14ac:dyDescent="0.25">
      <c r="A3275" t="str">
        <f>IF(COUNTIF(B$1:B3275,B3275)=1,MAX(A$1:A3274)+1,"")</f>
        <v/>
      </c>
      <c r="B3275" s="11"/>
      <c r="C3275" s="11" t="str">
        <f>IF(COUNTIF(D$1:D3275,D3275)=1,MAX(C$1:C3274)+1,"")</f>
        <v/>
      </c>
      <c r="D3275" s="12"/>
    </row>
    <row r="3276" spans="1:4" x14ac:dyDescent="0.25">
      <c r="A3276" t="str">
        <f>IF(COUNTIF(B$1:B3276,B3276)=1,MAX(A$1:A3275)+1,"")</f>
        <v/>
      </c>
      <c r="B3276" s="11"/>
      <c r="C3276" s="11" t="str">
        <f>IF(COUNTIF(D$1:D3276,D3276)=1,MAX(C$1:C3275)+1,"")</f>
        <v/>
      </c>
      <c r="D3276" s="12"/>
    </row>
    <row r="3277" spans="1:4" x14ac:dyDescent="0.25">
      <c r="A3277" t="str">
        <f>IF(COUNTIF(B$1:B3277,B3277)=1,MAX(A$1:A3276)+1,"")</f>
        <v/>
      </c>
      <c r="B3277" s="11"/>
      <c r="C3277" s="11" t="str">
        <f>IF(COUNTIF(D$1:D3277,D3277)=1,MAX(C$1:C3276)+1,"")</f>
        <v/>
      </c>
      <c r="D3277" s="12"/>
    </row>
    <row r="3278" spans="1:4" x14ac:dyDescent="0.25">
      <c r="A3278" t="str">
        <f>IF(COUNTIF(B$1:B3278,B3278)=1,MAX(A$1:A3277)+1,"")</f>
        <v/>
      </c>
      <c r="B3278" s="11"/>
      <c r="C3278" s="11" t="str">
        <f>IF(COUNTIF(D$1:D3278,D3278)=1,MAX(C$1:C3277)+1,"")</f>
        <v/>
      </c>
      <c r="D3278" s="12"/>
    </row>
    <row r="3279" spans="1:4" x14ac:dyDescent="0.25">
      <c r="A3279" t="str">
        <f>IF(COUNTIF(B$1:B3279,B3279)=1,MAX(A$1:A3278)+1,"")</f>
        <v/>
      </c>
      <c r="B3279" s="11"/>
      <c r="C3279" s="11" t="str">
        <f>IF(COUNTIF(D$1:D3279,D3279)=1,MAX(C$1:C3278)+1,"")</f>
        <v/>
      </c>
      <c r="D3279" s="12"/>
    </row>
    <row r="3280" spans="1:4" x14ac:dyDescent="0.25">
      <c r="A3280" t="str">
        <f>IF(COUNTIF(B$1:B3280,B3280)=1,MAX(A$1:A3279)+1,"")</f>
        <v/>
      </c>
      <c r="B3280" s="11"/>
      <c r="C3280" s="11" t="str">
        <f>IF(COUNTIF(D$1:D3280,D3280)=1,MAX(C$1:C3279)+1,"")</f>
        <v/>
      </c>
      <c r="D3280" s="12"/>
    </row>
    <row r="3281" spans="1:4" x14ac:dyDescent="0.25">
      <c r="A3281" t="str">
        <f>IF(COUNTIF(B$1:B3281,B3281)=1,MAX(A$1:A3280)+1,"")</f>
        <v/>
      </c>
      <c r="B3281" s="11"/>
      <c r="C3281" s="11" t="str">
        <f>IF(COUNTIF(D$1:D3281,D3281)=1,MAX(C$1:C3280)+1,"")</f>
        <v/>
      </c>
      <c r="D3281" s="12"/>
    </row>
    <row r="3282" spans="1:4" x14ac:dyDescent="0.25">
      <c r="A3282" t="str">
        <f>IF(COUNTIF(B$1:B3282,B3282)=1,MAX(A$1:A3281)+1,"")</f>
        <v/>
      </c>
      <c r="B3282" s="11"/>
      <c r="C3282" s="11" t="str">
        <f>IF(COUNTIF(D$1:D3282,D3282)=1,MAX(C$1:C3281)+1,"")</f>
        <v/>
      </c>
      <c r="D3282" s="12"/>
    </row>
    <row r="3283" spans="1:4" x14ac:dyDescent="0.25">
      <c r="A3283" t="str">
        <f>IF(COUNTIF(B$1:B3283,B3283)=1,MAX(A$1:A3282)+1,"")</f>
        <v/>
      </c>
      <c r="B3283" s="11"/>
      <c r="C3283" s="11" t="str">
        <f>IF(COUNTIF(D$1:D3283,D3283)=1,MAX(C$1:C3282)+1,"")</f>
        <v/>
      </c>
      <c r="D3283" s="12"/>
    </row>
    <row r="3284" spans="1:4" x14ac:dyDescent="0.25">
      <c r="A3284" t="str">
        <f>IF(COUNTIF(B$1:B3284,B3284)=1,MAX(A$1:A3283)+1,"")</f>
        <v/>
      </c>
      <c r="B3284" s="11"/>
      <c r="C3284" s="11" t="str">
        <f>IF(COUNTIF(D$1:D3284,D3284)=1,MAX(C$1:C3283)+1,"")</f>
        <v/>
      </c>
      <c r="D3284" s="12"/>
    </row>
    <row r="3285" spans="1:4" x14ac:dyDescent="0.25">
      <c r="A3285" t="str">
        <f>IF(COUNTIF(B$1:B3285,B3285)=1,MAX(A$1:A3284)+1,"")</f>
        <v/>
      </c>
      <c r="B3285" s="11"/>
      <c r="C3285" s="11" t="str">
        <f>IF(COUNTIF(D$1:D3285,D3285)=1,MAX(C$1:C3284)+1,"")</f>
        <v/>
      </c>
      <c r="D3285" s="12"/>
    </row>
    <row r="3286" spans="1:4" x14ac:dyDescent="0.25">
      <c r="A3286" t="str">
        <f>IF(COUNTIF(B$1:B3286,B3286)=1,MAX(A$1:A3285)+1,"")</f>
        <v/>
      </c>
      <c r="B3286" s="11"/>
      <c r="C3286" s="11" t="str">
        <f>IF(COUNTIF(D$1:D3286,D3286)=1,MAX(C$1:C3285)+1,"")</f>
        <v/>
      </c>
      <c r="D3286" s="12"/>
    </row>
    <row r="3287" spans="1:4" x14ac:dyDescent="0.25">
      <c r="A3287" t="str">
        <f>IF(COUNTIF(B$1:B3287,B3287)=1,MAX(A$1:A3286)+1,"")</f>
        <v/>
      </c>
      <c r="B3287" s="11"/>
      <c r="C3287" s="11" t="str">
        <f>IF(COUNTIF(D$1:D3287,D3287)=1,MAX(C$1:C3286)+1,"")</f>
        <v/>
      </c>
      <c r="D3287" s="12"/>
    </row>
    <row r="3288" spans="1:4" x14ac:dyDescent="0.25">
      <c r="A3288" t="str">
        <f>IF(COUNTIF(B$1:B3288,B3288)=1,MAX(A$1:A3287)+1,"")</f>
        <v/>
      </c>
      <c r="B3288" s="11"/>
      <c r="C3288" s="11" t="str">
        <f>IF(COUNTIF(D$1:D3288,D3288)=1,MAX(C$1:C3287)+1,"")</f>
        <v/>
      </c>
      <c r="D3288" s="12"/>
    </row>
    <row r="3289" spans="1:4" x14ac:dyDescent="0.25">
      <c r="A3289" t="str">
        <f>IF(COUNTIF(B$1:B3289,B3289)=1,MAX(A$1:A3288)+1,"")</f>
        <v/>
      </c>
      <c r="B3289" s="11"/>
      <c r="C3289" s="11" t="str">
        <f>IF(COUNTIF(D$1:D3289,D3289)=1,MAX(C$1:C3288)+1,"")</f>
        <v/>
      </c>
      <c r="D3289" s="12"/>
    </row>
    <row r="3290" spans="1:4" x14ac:dyDescent="0.25">
      <c r="A3290" t="str">
        <f>IF(COUNTIF(B$1:B3290,B3290)=1,MAX(A$1:A3289)+1,"")</f>
        <v/>
      </c>
      <c r="B3290" s="11"/>
      <c r="C3290" s="11" t="str">
        <f>IF(COUNTIF(D$1:D3290,D3290)=1,MAX(C$1:C3289)+1,"")</f>
        <v/>
      </c>
      <c r="D3290" s="12"/>
    </row>
    <row r="3291" spans="1:4" x14ac:dyDescent="0.25">
      <c r="A3291" t="str">
        <f>IF(COUNTIF(B$1:B3291,B3291)=1,MAX(A$1:A3290)+1,"")</f>
        <v/>
      </c>
      <c r="B3291" s="11"/>
      <c r="C3291" s="11" t="str">
        <f>IF(COUNTIF(D$1:D3291,D3291)=1,MAX(C$1:C3290)+1,"")</f>
        <v/>
      </c>
      <c r="D3291" s="12"/>
    </row>
    <row r="3292" spans="1:4" x14ac:dyDescent="0.25">
      <c r="A3292" t="str">
        <f>IF(COUNTIF(B$1:B3292,B3292)=1,MAX(A$1:A3291)+1,"")</f>
        <v/>
      </c>
      <c r="B3292" s="11"/>
      <c r="C3292" s="11" t="str">
        <f>IF(COUNTIF(D$1:D3292,D3292)=1,MAX(C$1:C3291)+1,"")</f>
        <v/>
      </c>
      <c r="D3292" s="12"/>
    </row>
    <row r="3293" spans="1:4" x14ac:dyDescent="0.25">
      <c r="A3293" t="str">
        <f>IF(COUNTIF(B$1:B3293,B3293)=1,MAX(A$1:A3292)+1,"")</f>
        <v/>
      </c>
      <c r="B3293" s="11"/>
      <c r="C3293" s="11" t="str">
        <f>IF(COUNTIF(D$1:D3293,D3293)=1,MAX(C$1:C3292)+1,"")</f>
        <v/>
      </c>
      <c r="D3293" s="12"/>
    </row>
    <row r="3294" spans="1:4" x14ac:dyDescent="0.25">
      <c r="A3294" t="str">
        <f>IF(COUNTIF(B$1:B3294,B3294)=1,MAX(A$1:A3293)+1,"")</f>
        <v/>
      </c>
      <c r="B3294" s="11"/>
      <c r="C3294" s="11" t="str">
        <f>IF(COUNTIF(D$1:D3294,D3294)=1,MAX(C$1:C3293)+1,"")</f>
        <v/>
      </c>
      <c r="D3294" s="12"/>
    </row>
    <row r="3295" spans="1:4" x14ac:dyDescent="0.25">
      <c r="A3295" t="str">
        <f>IF(COUNTIF(B$1:B3295,B3295)=1,MAX(A$1:A3294)+1,"")</f>
        <v/>
      </c>
      <c r="B3295" s="11"/>
      <c r="C3295" s="11" t="str">
        <f>IF(COUNTIF(D$1:D3295,D3295)=1,MAX(C$1:C3294)+1,"")</f>
        <v/>
      </c>
      <c r="D3295" s="12"/>
    </row>
    <row r="3296" spans="1:4" x14ac:dyDescent="0.25">
      <c r="A3296" t="str">
        <f>IF(COUNTIF(B$1:B3296,B3296)=1,MAX(A$1:A3295)+1,"")</f>
        <v/>
      </c>
      <c r="B3296" s="11"/>
      <c r="C3296" s="11" t="str">
        <f>IF(COUNTIF(D$1:D3296,D3296)=1,MAX(C$1:C3295)+1,"")</f>
        <v/>
      </c>
      <c r="D3296" s="12"/>
    </row>
    <row r="3297" spans="1:4" x14ac:dyDescent="0.25">
      <c r="A3297" t="str">
        <f>IF(COUNTIF(B$1:B3297,B3297)=1,MAX(A$1:A3296)+1,"")</f>
        <v/>
      </c>
      <c r="B3297" s="11"/>
      <c r="C3297" s="11" t="str">
        <f>IF(COUNTIF(D$1:D3297,D3297)=1,MAX(C$1:C3296)+1,"")</f>
        <v/>
      </c>
      <c r="D3297" s="12"/>
    </row>
    <row r="3298" spans="1:4" x14ac:dyDescent="0.25">
      <c r="A3298" t="str">
        <f>IF(COUNTIF(B$1:B3298,B3298)=1,MAX(A$1:A3297)+1,"")</f>
        <v/>
      </c>
      <c r="B3298" s="11"/>
      <c r="C3298" s="11" t="str">
        <f>IF(COUNTIF(D$1:D3298,D3298)=1,MAX(C$1:C3297)+1,"")</f>
        <v/>
      </c>
      <c r="D3298" s="12"/>
    </row>
    <row r="3299" spans="1:4" x14ac:dyDescent="0.25">
      <c r="A3299" t="str">
        <f>IF(COUNTIF(B$1:B3299,B3299)=1,MAX(A$1:A3298)+1,"")</f>
        <v/>
      </c>
      <c r="B3299" s="11"/>
      <c r="C3299" s="11" t="str">
        <f>IF(COUNTIF(D$1:D3299,D3299)=1,MAX(C$1:C3298)+1,"")</f>
        <v/>
      </c>
      <c r="D3299" s="12"/>
    </row>
    <row r="3300" spans="1:4" x14ac:dyDescent="0.25">
      <c r="A3300" t="str">
        <f>IF(COUNTIF(B$1:B3300,B3300)=1,MAX(A$1:A3299)+1,"")</f>
        <v/>
      </c>
      <c r="B3300" s="11"/>
      <c r="C3300" s="11" t="str">
        <f>IF(COUNTIF(D$1:D3300,D3300)=1,MAX(C$1:C3299)+1,"")</f>
        <v/>
      </c>
      <c r="D3300" s="12"/>
    </row>
    <row r="3301" spans="1:4" x14ac:dyDescent="0.25">
      <c r="A3301" t="str">
        <f>IF(COUNTIF(B$1:B3301,B3301)=1,MAX(A$1:A3300)+1,"")</f>
        <v/>
      </c>
      <c r="B3301" s="11"/>
      <c r="C3301" s="11" t="str">
        <f>IF(COUNTIF(D$1:D3301,D3301)=1,MAX(C$1:C3300)+1,"")</f>
        <v/>
      </c>
      <c r="D3301" s="12"/>
    </row>
    <row r="3302" spans="1:4" x14ac:dyDescent="0.25">
      <c r="A3302" t="str">
        <f>IF(COUNTIF(B$1:B3302,B3302)=1,MAX(A$1:A3301)+1,"")</f>
        <v/>
      </c>
      <c r="B3302" s="11"/>
      <c r="C3302" s="11" t="str">
        <f>IF(COUNTIF(D$1:D3302,D3302)=1,MAX(C$1:C3301)+1,"")</f>
        <v/>
      </c>
      <c r="D3302" s="12"/>
    </row>
    <row r="3303" spans="1:4" x14ac:dyDescent="0.25">
      <c r="A3303" t="str">
        <f>IF(COUNTIF(B$1:B3303,B3303)=1,MAX(A$1:A3302)+1,"")</f>
        <v/>
      </c>
      <c r="B3303" s="11"/>
      <c r="C3303" s="11" t="str">
        <f>IF(COUNTIF(D$1:D3303,D3303)=1,MAX(C$1:C3302)+1,"")</f>
        <v/>
      </c>
      <c r="D3303" s="12"/>
    </row>
    <row r="3304" spans="1:4" x14ac:dyDescent="0.25">
      <c r="A3304" t="str">
        <f>IF(COUNTIF(B$1:B3304,B3304)=1,MAX(A$1:A3303)+1,"")</f>
        <v/>
      </c>
      <c r="B3304" s="11"/>
      <c r="C3304" s="11" t="str">
        <f>IF(COUNTIF(D$1:D3304,D3304)=1,MAX(C$1:C3303)+1,"")</f>
        <v/>
      </c>
      <c r="D3304" s="12"/>
    </row>
    <row r="3305" spans="1:4" x14ac:dyDescent="0.25">
      <c r="A3305" t="str">
        <f>IF(COUNTIF(B$1:B3305,B3305)=1,MAX(A$1:A3304)+1,"")</f>
        <v/>
      </c>
      <c r="B3305" s="11"/>
      <c r="C3305" s="11" t="str">
        <f>IF(COUNTIF(D$1:D3305,D3305)=1,MAX(C$1:C3304)+1,"")</f>
        <v/>
      </c>
      <c r="D3305" s="12"/>
    </row>
    <row r="3306" spans="1:4" x14ac:dyDescent="0.25">
      <c r="A3306" t="str">
        <f>IF(COUNTIF(B$1:B3306,B3306)=1,MAX(A$1:A3305)+1,"")</f>
        <v/>
      </c>
      <c r="B3306" s="11"/>
      <c r="C3306" s="11" t="str">
        <f>IF(COUNTIF(D$1:D3306,D3306)=1,MAX(C$1:C3305)+1,"")</f>
        <v/>
      </c>
      <c r="D3306" s="12"/>
    </row>
    <row r="3307" spans="1:4" x14ac:dyDescent="0.25">
      <c r="A3307" t="str">
        <f>IF(COUNTIF(B$1:B3307,B3307)=1,MAX(A$1:A3306)+1,"")</f>
        <v/>
      </c>
      <c r="B3307" s="11"/>
      <c r="C3307" s="11" t="str">
        <f>IF(COUNTIF(D$1:D3307,D3307)=1,MAX(C$1:C3306)+1,"")</f>
        <v/>
      </c>
      <c r="D3307" s="12"/>
    </row>
    <row r="3308" spans="1:4" x14ac:dyDescent="0.25">
      <c r="A3308" t="str">
        <f>IF(COUNTIF(B$1:B3308,B3308)=1,MAX(A$1:A3307)+1,"")</f>
        <v/>
      </c>
      <c r="B3308" s="11"/>
      <c r="C3308" s="11" t="str">
        <f>IF(COUNTIF(D$1:D3308,D3308)=1,MAX(C$1:C3307)+1,"")</f>
        <v/>
      </c>
      <c r="D3308" s="12"/>
    </row>
    <row r="3309" spans="1:4" x14ac:dyDescent="0.25">
      <c r="A3309" t="str">
        <f>IF(COUNTIF(B$1:B3309,B3309)=1,MAX(A$1:A3308)+1,"")</f>
        <v/>
      </c>
      <c r="B3309" s="11"/>
      <c r="C3309" s="11" t="str">
        <f>IF(COUNTIF(D$1:D3309,D3309)=1,MAX(C$1:C3308)+1,"")</f>
        <v/>
      </c>
      <c r="D3309" s="12"/>
    </row>
    <row r="3310" spans="1:4" x14ac:dyDescent="0.25">
      <c r="A3310" t="str">
        <f>IF(COUNTIF(B$1:B3310,B3310)=1,MAX(A$1:A3309)+1,"")</f>
        <v/>
      </c>
      <c r="B3310" s="11"/>
      <c r="C3310" s="11" t="str">
        <f>IF(COUNTIF(D$1:D3310,D3310)=1,MAX(C$1:C3309)+1,"")</f>
        <v/>
      </c>
      <c r="D3310" s="12"/>
    </row>
    <row r="3311" spans="1:4" x14ac:dyDescent="0.25">
      <c r="A3311" t="str">
        <f>IF(COUNTIF(B$1:B3311,B3311)=1,MAX(A$1:A3310)+1,"")</f>
        <v/>
      </c>
      <c r="B3311" s="11"/>
      <c r="C3311" s="11" t="str">
        <f>IF(COUNTIF(D$1:D3311,D3311)=1,MAX(C$1:C3310)+1,"")</f>
        <v/>
      </c>
      <c r="D3311" s="12"/>
    </row>
    <row r="3312" spans="1:4" x14ac:dyDescent="0.25">
      <c r="A3312" t="str">
        <f>IF(COUNTIF(B$1:B3312,B3312)=1,MAX(A$1:A3311)+1,"")</f>
        <v/>
      </c>
      <c r="B3312" s="11"/>
      <c r="C3312" s="11" t="str">
        <f>IF(COUNTIF(D$1:D3312,D3312)=1,MAX(C$1:C3311)+1,"")</f>
        <v/>
      </c>
      <c r="D3312" s="12"/>
    </row>
    <row r="3313" spans="1:4" x14ac:dyDescent="0.25">
      <c r="A3313" t="str">
        <f>IF(COUNTIF(B$1:B3313,B3313)=1,MAX(A$1:A3312)+1,"")</f>
        <v/>
      </c>
      <c r="B3313" s="11"/>
      <c r="C3313" s="11" t="str">
        <f>IF(COUNTIF(D$1:D3313,D3313)=1,MAX(C$1:C3312)+1,"")</f>
        <v/>
      </c>
      <c r="D3313" s="12"/>
    </row>
    <row r="3314" spans="1:4" x14ac:dyDescent="0.25">
      <c r="A3314" t="str">
        <f>IF(COUNTIF(B$1:B3314,B3314)=1,MAX(A$1:A3313)+1,"")</f>
        <v/>
      </c>
      <c r="B3314" s="11"/>
      <c r="C3314" s="11" t="str">
        <f>IF(COUNTIF(D$1:D3314,D3314)=1,MAX(C$1:C3313)+1,"")</f>
        <v/>
      </c>
      <c r="D3314" s="12"/>
    </row>
    <row r="3315" spans="1:4" x14ac:dyDescent="0.25">
      <c r="A3315" t="str">
        <f>IF(COUNTIF(B$1:B3315,B3315)=1,MAX(A$1:A3314)+1,"")</f>
        <v/>
      </c>
      <c r="B3315" s="11"/>
      <c r="C3315" s="11" t="str">
        <f>IF(COUNTIF(D$1:D3315,D3315)=1,MAX(C$1:C3314)+1,"")</f>
        <v/>
      </c>
      <c r="D3315" s="12"/>
    </row>
    <row r="3316" spans="1:4" x14ac:dyDescent="0.25">
      <c r="A3316" t="str">
        <f>IF(COUNTIF(B$1:B3316,B3316)=1,MAX(A$1:A3315)+1,"")</f>
        <v/>
      </c>
      <c r="B3316" s="11"/>
      <c r="C3316" s="11" t="str">
        <f>IF(COUNTIF(D$1:D3316,D3316)=1,MAX(C$1:C3315)+1,"")</f>
        <v/>
      </c>
      <c r="D3316" s="12"/>
    </row>
    <row r="3317" spans="1:4" x14ac:dyDescent="0.25">
      <c r="A3317" t="str">
        <f>IF(COUNTIF(B$1:B3317,B3317)=1,MAX(A$1:A3316)+1,"")</f>
        <v/>
      </c>
      <c r="B3317" s="11"/>
      <c r="C3317" s="11" t="str">
        <f>IF(COUNTIF(D$1:D3317,D3317)=1,MAX(C$1:C3316)+1,"")</f>
        <v/>
      </c>
      <c r="D3317" s="12"/>
    </row>
    <row r="3318" spans="1:4" x14ac:dyDescent="0.25">
      <c r="A3318" t="str">
        <f>IF(COUNTIF(B$1:B3318,B3318)=1,MAX(A$1:A3317)+1,"")</f>
        <v/>
      </c>
      <c r="B3318" s="11"/>
      <c r="C3318" s="11" t="str">
        <f>IF(COUNTIF(D$1:D3318,D3318)=1,MAX(C$1:C3317)+1,"")</f>
        <v/>
      </c>
      <c r="D3318" s="12"/>
    </row>
    <row r="3319" spans="1:4" x14ac:dyDescent="0.25">
      <c r="A3319" t="str">
        <f>IF(COUNTIF(B$1:B3319,B3319)=1,MAX(A$1:A3318)+1,"")</f>
        <v/>
      </c>
      <c r="B3319" s="11"/>
      <c r="C3319" s="11" t="str">
        <f>IF(COUNTIF(D$1:D3319,D3319)=1,MAX(C$1:C3318)+1,"")</f>
        <v/>
      </c>
      <c r="D3319" s="12"/>
    </row>
    <row r="3320" spans="1:4" x14ac:dyDescent="0.25">
      <c r="A3320" t="str">
        <f>IF(COUNTIF(B$1:B3320,B3320)=1,MAX(A$1:A3319)+1,"")</f>
        <v/>
      </c>
      <c r="B3320" s="11"/>
      <c r="C3320" s="11" t="str">
        <f>IF(COUNTIF(D$1:D3320,D3320)=1,MAX(C$1:C3319)+1,"")</f>
        <v/>
      </c>
      <c r="D3320" s="12"/>
    </row>
    <row r="3321" spans="1:4" x14ac:dyDescent="0.25">
      <c r="A3321" t="str">
        <f>IF(COUNTIF(B$1:B3321,B3321)=1,MAX(A$1:A3320)+1,"")</f>
        <v/>
      </c>
      <c r="B3321" s="11"/>
      <c r="C3321" s="11" t="str">
        <f>IF(COUNTIF(D$1:D3321,D3321)=1,MAX(C$1:C3320)+1,"")</f>
        <v/>
      </c>
      <c r="D3321" s="12"/>
    </row>
    <row r="3322" spans="1:4" x14ac:dyDescent="0.25">
      <c r="A3322" t="str">
        <f>IF(COUNTIF(B$1:B3322,B3322)=1,MAX(A$1:A3321)+1,"")</f>
        <v/>
      </c>
      <c r="B3322" s="11"/>
      <c r="C3322" s="11" t="str">
        <f>IF(COUNTIF(D$1:D3322,D3322)=1,MAX(C$1:C3321)+1,"")</f>
        <v/>
      </c>
      <c r="D3322" s="12"/>
    </row>
    <row r="3323" spans="1:4" x14ac:dyDescent="0.25">
      <c r="A3323" t="str">
        <f>IF(COUNTIF(B$1:B3323,B3323)=1,MAX(A$1:A3322)+1,"")</f>
        <v/>
      </c>
      <c r="B3323" s="11"/>
      <c r="C3323" s="11" t="str">
        <f>IF(COUNTIF(D$1:D3323,D3323)=1,MAX(C$1:C3322)+1,"")</f>
        <v/>
      </c>
      <c r="D3323" s="12"/>
    </row>
    <row r="3324" spans="1:4" x14ac:dyDescent="0.25">
      <c r="A3324" t="str">
        <f>IF(COUNTIF(B$1:B3324,B3324)=1,MAX(A$1:A3323)+1,"")</f>
        <v/>
      </c>
      <c r="B3324" s="11"/>
      <c r="C3324" s="11" t="str">
        <f>IF(COUNTIF(D$1:D3324,D3324)=1,MAX(C$1:C3323)+1,"")</f>
        <v/>
      </c>
      <c r="D3324" s="12"/>
    </row>
    <row r="3325" spans="1:4" x14ac:dyDescent="0.25">
      <c r="A3325" t="str">
        <f>IF(COUNTIF(B$1:B3325,B3325)=1,MAX(A$1:A3324)+1,"")</f>
        <v/>
      </c>
      <c r="B3325" s="11"/>
      <c r="C3325" s="11" t="str">
        <f>IF(COUNTIF(D$1:D3325,D3325)=1,MAX(C$1:C3324)+1,"")</f>
        <v/>
      </c>
      <c r="D3325" s="12"/>
    </row>
    <row r="3326" spans="1:4" x14ac:dyDescent="0.25">
      <c r="A3326" t="str">
        <f>IF(COUNTIF(B$1:B3326,B3326)=1,MAX(A$1:A3325)+1,"")</f>
        <v/>
      </c>
      <c r="B3326" s="11"/>
      <c r="C3326" s="11" t="str">
        <f>IF(COUNTIF(D$1:D3326,D3326)=1,MAX(C$1:C3325)+1,"")</f>
        <v/>
      </c>
      <c r="D3326" s="12"/>
    </row>
    <row r="3327" spans="1:4" x14ac:dyDescent="0.25">
      <c r="A3327" t="str">
        <f>IF(COUNTIF(B$1:B3327,B3327)=1,MAX(A$1:A3326)+1,"")</f>
        <v/>
      </c>
      <c r="B3327" s="11"/>
      <c r="C3327" s="11" t="str">
        <f>IF(COUNTIF(D$1:D3327,D3327)=1,MAX(C$1:C3326)+1,"")</f>
        <v/>
      </c>
      <c r="D3327" s="12"/>
    </row>
    <row r="3328" spans="1:4" x14ac:dyDescent="0.25">
      <c r="A3328" t="str">
        <f>IF(COUNTIF(B$1:B3328,B3328)=1,MAX(A$1:A3327)+1,"")</f>
        <v/>
      </c>
      <c r="B3328" s="11"/>
      <c r="C3328" s="11" t="str">
        <f>IF(COUNTIF(D$1:D3328,D3328)=1,MAX(C$1:C3327)+1,"")</f>
        <v/>
      </c>
      <c r="D3328" s="12"/>
    </row>
    <row r="3329" spans="1:4" x14ac:dyDescent="0.25">
      <c r="A3329" t="str">
        <f>IF(COUNTIF(B$1:B3329,B3329)=1,MAX(A$1:A3328)+1,"")</f>
        <v/>
      </c>
      <c r="B3329" s="11"/>
      <c r="C3329" s="11" t="str">
        <f>IF(COUNTIF(D$1:D3329,D3329)=1,MAX(C$1:C3328)+1,"")</f>
        <v/>
      </c>
      <c r="D3329" s="12"/>
    </row>
    <row r="3330" spans="1:4" x14ac:dyDescent="0.25">
      <c r="A3330" t="str">
        <f>IF(COUNTIF(B$1:B3330,B3330)=1,MAX(A$1:A3329)+1,"")</f>
        <v/>
      </c>
      <c r="B3330" s="11"/>
      <c r="C3330" s="11" t="str">
        <f>IF(COUNTIF(D$1:D3330,D3330)=1,MAX(C$1:C3329)+1,"")</f>
        <v/>
      </c>
      <c r="D3330" s="12"/>
    </row>
    <row r="3331" spans="1:4" x14ac:dyDescent="0.25">
      <c r="A3331" t="str">
        <f>IF(COUNTIF(B$1:B3331,B3331)=1,MAX(A$1:A3330)+1,"")</f>
        <v/>
      </c>
      <c r="B3331" s="11"/>
      <c r="C3331" s="11" t="str">
        <f>IF(COUNTIF(D$1:D3331,D3331)=1,MAX(C$1:C3330)+1,"")</f>
        <v/>
      </c>
      <c r="D3331" s="12"/>
    </row>
    <row r="3332" spans="1:4" x14ac:dyDescent="0.25">
      <c r="A3332" t="str">
        <f>IF(COUNTIF(B$1:B3332,B3332)=1,MAX(A$1:A3331)+1,"")</f>
        <v/>
      </c>
      <c r="B3332" s="11"/>
      <c r="C3332" s="11" t="str">
        <f>IF(COUNTIF(D$1:D3332,D3332)=1,MAX(C$1:C3331)+1,"")</f>
        <v/>
      </c>
      <c r="D3332" s="12"/>
    </row>
    <row r="3333" spans="1:4" x14ac:dyDescent="0.25">
      <c r="A3333" t="str">
        <f>IF(COUNTIF(B$1:B3333,B3333)=1,MAX(A$1:A3332)+1,"")</f>
        <v/>
      </c>
      <c r="B3333" s="11"/>
      <c r="C3333" s="11" t="str">
        <f>IF(COUNTIF(D$1:D3333,D3333)=1,MAX(C$1:C3332)+1,"")</f>
        <v/>
      </c>
      <c r="D3333" s="12"/>
    </row>
    <row r="3334" spans="1:4" x14ac:dyDescent="0.25">
      <c r="A3334" t="str">
        <f>IF(COUNTIF(B$1:B3334,B3334)=1,MAX(A$1:A3333)+1,"")</f>
        <v/>
      </c>
      <c r="B3334" s="11"/>
      <c r="C3334" s="11" t="str">
        <f>IF(COUNTIF(D$1:D3334,D3334)=1,MAX(C$1:C3333)+1,"")</f>
        <v/>
      </c>
      <c r="D3334" s="12"/>
    </row>
    <row r="3335" spans="1:4" x14ac:dyDescent="0.25">
      <c r="A3335" t="str">
        <f>IF(COUNTIF(B$1:B3335,B3335)=1,MAX(A$1:A3334)+1,"")</f>
        <v/>
      </c>
      <c r="B3335" s="11"/>
      <c r="C3335" s="11" t="str">
        <f>IF(COUNTIF(D$1:D3335,D3335)=1,MAX(C$1:C3334)+1,"")</f>
        <v/>
      </c>
      <c r="D3335" s="12"/>
    </row>
    <row r="3336" spans="1:4" x14ac:dyDescent="0.25">
      <c r="A3336" t="str">
        <f>IF(COUNTIF(B$1:B3336,B3336)=1,MAX(A$1:A3335)+1,"")</f>
        <v/>
      </c>
      <c r="B3336" s="11"/>
      <c r="C3336" s="11" t="str">
        <f>IF(COUNTIF(D$1:D3336,D3336)=1,MAX(C$1:C3335)+1,"")</f>
        <v/>
      </c>
      <c r="D3336" s="12"/>
    </row>
    <row r="3337" spans="1:4" x14ac:dyDescent="0.25">
      <c r="A3337" t="str">
        <f>IF(COUNTIF(B$1:B3337,B3337)=1,MAX(A$1:A3336)+1,"")</f>
        <v/>
      </c>
      <c r="B3337" s="11"/>
      <c r="C3337" s="11" t="str">
        <f>IF(COUNTIF(D$1:D3337,D3337)=1,MAX(C$1:C3336)+1,"")</f>
        <v/>
      </c>
      <c r="D3337" s="12"/>
    </row>
    <row r="3338" spans="1:4" x14ac:dyDescent="0.25">
      <c r="A3338" t="str">
        <f>IF(COUNTIF(B$1:B3338,B3338)=1,MAX(A$1:A3337)+1,"")</f>
        <v/>
      </c>
      <c r="B3338" s="11"/>
      <c r="C3338" s="11" t="str">
        <f>IF(COUNTIF(D$1:D3338,D3338)=1,MAX(C$1:C3337)+1,"")</f>
        <v/>
      </c>
      <c r="D3338" s="12"/>
    </row>
    <row r="3339" spans="1:4" x14ac:dyDescent="0.25">
      <c r="A3339" t="str">
        <f>IF(COUNTIF(B$1:B3339,B3339)=1,MAX(A$1:A3338)+1,"")</f>
        <v/>
      </c>
      <c r="B3339" s="11"/>
      <c r="C3339" s="11" t="str">
        <f>IF(COUNTIF(D$1:D3339,D3339)=1,MAX(C$1:C3338)+1,"")</f>
        <v/>
      </c>
      <c r="D3339" s="12"/>
    </row>
    <row r="3340" spans="1:4" x14ac:dyDescent="0.25">
      <c r="A3340" t="str">
        <f>IF(COUNTIF(B$1:B3340,B3340)=1,MAX(A$1:A3339)+1,"")</f>
        <v/>
      </c>
      <c r="B3340" s="11"/>
      <c r="C3340" s="11" t="str">
        <f>IF(COUNTIF(D$1:D3340,D3340)=1,MAX(C$1:C3339)+1,"")</f>
        <v/>
      </c>
      <c r="D3340" s="12"/>
    </row>
    <row r="3341" spans="1:4" x14ac:dyDescent="0.25">
      <c r="A3341" t="str">
        <f>IF(COUNTIF(B$1:B3341,B3341)=1,MAX(A$1:A3340)+1,"")</f>
        <v/>
      </c>
      <c r="B3341" s="11"/>
      <c r="C3341" s="11" t="str">
        <f>IF(COUNTIF(D$1:D3341,D3341)=1,MAX(C$1:C3340)+1,"")</f>
        <v/>
      </c>
      <c r="D3341" s="12"/>
    </row>
    <row r="3342" spans="1:4" x14ac:dyDescent="0.25">
      <c r="A3342" t="str">
        <f>IF(COUNTIF(B$1:B3342,B3342)=1,MAX(A$1:A3341)+1,"")</f>
        <v/>
      </c>
      <c r="B3342" s="11"/>
      <c r="C3342" s="11" t="str">
        <f>IF(COUNTIF(D$1:D3342,D3342)=1,MAX(C$1:C3341)+1,"")</f>
        <v/>
      </c>
      <c r="D3342" s="12"/>
    </row>
    <row r="3343" spans="1:4" x14ac:dyDescent="0.25">
      <c r="A3343" t="str">
        <f>IF(COUNTIF(B$1:B3343,B3343)=1,MAX(A$1:A3342)+1,"")</f>
        <v/>
      </c>
      <c r="B3343" s="11"/>
      <c r="C3343" s="11" t="str">
        <f>IF(COUNTIF(D$1:D3343,D3343)=1,MAX(C$1:C3342)+1,"")</f>
        <v/>
      </c>
      <c r="D3343" s="12"/>
    </row>
    <row r="3344" spans="1:4" x14ac:dyDescent="0.25">
      <c r="A3344" t="str">
        <f>IF(COUNTIF(B$1:B3344,B3344)=1,MAX(A$1:A3343)+1,"")</f>
        <v/>
      </c>
      <c r="B3344" s="11"/>
      <c r="C3344" s="11" t="str">
        <f>IF(COUNTIF(D$1:D3344,D3344)=1,MAX(C$1:C3343)+1,"")</f>
        <v/>
      </c>
      <c r="D3344" s="12"/>
    </row>
    <row r="3345" spans="1:4" x14ac:dyDescent="0.25">
      <c r="A3345" t="str">
        <f>IF(COUNTIF(B$1:B3345,B3345)=1,MAX(A$1:A3344)+1,"")</f>
        <v/>
      </c>
      <c r="B3345" s="11"/>
      <c r="C3345" s="11" t="str">
        <f>IF(COUNTIF(D$1:D3345,D3345)=1,MAX(C$1:C3344)+1,"")</f>
        <v/>
      </c>
      <c r="D3345" s="12"/>
    </row>
    <row r="3346" spans="1:4" x14ac:dyDescent="0.25">
      <c r="A3346" t="str">
        <f>IF(COUNTIF(B$1:B3346,B3346)=1,MAX(A$1:A3345)+1,"")</f>
        <v/>
      </c>
      <c r="B3346" s="11"/>
      <c r="C3346" s="11" t="str">
        <f>IF(COUNTIF(D$1:D3346,D3346)=1,MAX(C$1:C3345)+1,"")</f>
        <v/>
      </c>
      <c r="D3346" s="12"/>
    </row>
    <row r="3347" spans="1:4" x14ac:dyDescent="0.25">
      <c r="A3347" t="str">
        <f>IF(COUNTIF(B$1:B3347,B3347)=1,MAX(A$1:A3346)+1,"")</f>
        <v/>
      </c>
      <c r="B3347" s="11"/>
      <c r="C3347" s="11" t="str">
        <f>IF(COUNTIF(D$1:D3347,D3347)=1,MAX(C$1:C3346)+1,"")</f>
        <v/>
      </c>
      <c r="D3347" s="12"/>
    </row>
    <row r="3348" spans="1:4" x14ac:dyDescent="0.25">
      <c r="A3348" t="str">
        <f>IF(COUNTIF(B$1:B3348,B3348)=1,MAX(A$1:A3347)+1,"")</f>
        <v/>
      </c>
      <c r="B3348" s="11"/>
      <c r="C3348" s="11" t="str">
        <f>IF(COUNTIF(D$1:D3348,D3348)=1,MAX(C$1:C3347)+1,"")</f>
        <v/>
      </c>
      <c r="D3348" s="12"/>
    </row>
    <row r="3349" spans="1:4" x14ac:dyDescent="0.25">
      <c r="A3349" t="str">
        <f>IF(COUNTIF(B$1:B3349,B3349)=1,MAX(A$1:A3348)+1,"")</f>
        <v/>
      </c>
      <c r="B3349" s="11"/>
      <c r="C3349" s="11" t="str">
        <f>IF(COUNTIF(D$1:D3349,D3349)=1,MAX(C$1:C3348)+1,"")</f>
        <v/>
      </c>
      <c r="D3349" s="12"/>
    </row>
    <row r="3350" spans="1:4" x14ac:dyDescent="0.25">
      <c r="A3350" t="str">
        <f>IF(COUNTIF(B$1:B3350,B3350)=1,MAX(A$1:A3349)+1,"")</f>
        <v/>
      </c>
      <c r="B3350" s="11"/>
      <c r="C3350" s="11" t="str">
        <f>IF(COUNTIF(D$1:D3350,D3350)=1,MAX(C$1:C3349)+1,"")</f>
        <v/>
      </c>
      <c r="D3350" s="12"/>
    </row>
    <row r="3351" spans="1:4" x14ac:dyDescent="0.25">
      <c r="A3351" t="str">
        <f>IF(COUNTIF(B$1:B3351,B3351)=1,MAX(A$1:A3350)+1,"")</f>
        <v/>
      </c>
      <c r="B3351" s="11"/>
      <c r="C3351" s="11" t="str">
        <f>IF(COUNTIF(D$1:D3351,D3351)=1,MAX(C$1:C3350)+1,"")</f>
        <v/>
      </c>
      <c r="D3351" s="12"/>
    </row>
    <row r="3352" spans="1:4" x14ac:dyDescent="0.25">
      <c r="A3352" t="str">
        <f>IF(COUNTIF(B$1:B3352,B3352)=1,MAX(A$1:A3351)+1,"")</f>
        <v/>
      </c>
      <c r="B3352" s="11"/>
      <c r="C3352" s="11" t="str">
        <f>IF(COUNTIF(D$1:D3352,D3352)=1,MAX(C$1:C3351)+1,"")</f>
        <v/>
      </c>
      <c r="D3352" s="12"/>
    </row>
    <row r="3353" spans="1:4" x14ac:dyDescent="0.25">
      <c r="A3353" t="str">
        <f>IF(COUNTIF(B$1:B3353,B3353)=1,MAX(A$1:A3352)+1,"")</f>
        <v/>
      </c>
      <c r="B3353" s="11"/>
      <c r="C3353" s="11" t="str">
        <f>IF(COUNTIF(D$1:D3353,D3353)=1,MAX(C$1:C3352)+1,"")</f>
        <v/>
      </c>
      <c r="D3353" s="12"/>
    </row>
    <row r="3354" spans="1:4" x14ac:dyDescent="0.25">
      <c r="A3354" t="str">
        <f>IF(COUNTIF(B$1:B3354,B3354)=1,MAX(A$1:A3353)+1,"")</f>
        <v/>
      </c>
      <c r="B3354" s="11"/>
      <c r="C3354" s="11" t="str">
        <f>IF(COUNTIF(D$1:D3354,D3354)=1,MAX(C$1:C3353)+1,"")</f>
        <v/>
      </c>
      <c r="D3354" s="12"/>
    </row>
    <row r="3355" spans="1:4" x14ac:dyDescent="0.25">
      <c r="A3355" t="str">
        <f>IF(COUNTIF(B$1:B3355,B3355)=1,MAX(A$1:A3354)+1,"")</f>
        <v/>
      </c>
      <c r="B3355" s="11"/>
      <c r="C3355" s="11" t="str">
        <f>IF(COUNTIF(D$1:D3355,D3355)=1,MAX(C$1:C3354)+1,"")</f>
        <v/>
      </c>
      <c r="D3355" s="12"/>
    </row>
    <row r="3356" spans="1:4" x14ac:dyDescent="0.25">
      <c r="A3356" t="str">
        <f>IF(COUNTIF(B$1:B3356,B3356)=1,MAX(A$1:A3355)+1,"")</f>
        <v/>
      </c>
      <c r="B3356" s="11"/>
      <c r="C3356" s="11" t="str">
        <f>IF(COUNTIF(D$1:D3356,D3356)=1,MAX(C$1:C3355)+1,"")</f>
        <v/>
      </c>
      <c r="D3356" s="12"/>
    </row>
    <row r="3357" spans="1:4" x14ac:dyDescent="0.25">
      <c r="A3357" t="str">
        <f>IF(COUNTIF(B$1:B3357,B3357)=1,MAX(A$1:A3356)+1,"")</f>
        <v/>
      </c>
      <c r="B3357" s="11"/>
      <c r="C3357" s="11" t="str">
        <f>IF(COUNTIF(D$1:D3357,D3357)=1,MAX(C$1:C3356)+1,"")</f>
        <v/>
      </c>
      <c r="D3357" s="12"/>
    </row>
    <row r="3358" spans="1:4" x14ac:dyDescent="0.25">
      <c r="A3358" t="str">
        <f>IF(COUNTIF(B$1:B3358,B3358)=1,MAX(A$1:A3357)+1,"")</f>
        <v/>
      </c>
      <c r="B3358" s="11"/>
      <c r="C3358" s="11" t="str">
        <f>IF(COUNTIF(D$1:D3358,D3358)=1,MAX(C$1:C3357)+1,"")</f>
        <v/>
      </c>
      <c r="D3358" s="12"/>
    </row>
    <row r="3359" spans="1:4" x14ac:dyDescent="0.25">
      <c r="A3359" t="str">
        <f>IF(COUNTIF(B$1:B3359,B3359)=1,MAX(A$1:A3358)+1,"")</f>
        <v/>
      </c>
      <c r="B3359" s="11"/>
      <c r="C3359" s="11" t="str">
        <f>IF(COUNTIF(D$1:D3359,D3359)=1,MAX(C$1:C3358)+1,"")</f>
        <v/>
      </c>
      <c r="D3359" s="12"/>
    </row>
    <row r="3360" spans="1:4" x14ac:dyDescent="0.25">
      <c r="A3360" t="str">
        <f>IF(COUNTIF(B$1:B3360,B3360)=1,MAX(A$1:A3359)+1,"")</f>
        <v/>
      </c>
      <c r="B3360" s="11"/>
      <c r="C3360" s="11" t="str">
        <f>IF(COUNTIF(D$1:D3360,D3360)=1,MAX(C$1:C3359)+1,"")</f>
        <v/>
      </c>
      <c r="D3360" s="12"/>
    </row>
    <row r="3361" spans="1:4" x14ac:dyDescent="0.25">
      <c r="A3361" t="str">
        <f>IF(COUNTIF(B$1:B3361,B3361)=1,MAX(A$1:A3360)+1,"")</f>
        <v/>
      </c>
      <c r="B3361" s="11"/>
      <c r="C3361" s="11" t="str">
        <f>IF(COUNTIF(D$1:D3361,D3361)=1,MAX(C$1:C3360)+1,"")</f>
        <v/>
      </c>
      <c r="D3361" s="12"/>
    </row>
    <row r="3362" spans="1:4" x14ac:dyDescent="0.25">
      <c r="A3362" t="str">
        <f>IF(COUNTIF(B$1:B3362,B3362)=1,MAX(A$1:A3361)+1,"")</f>
        <v/>
      </c>
      <c r="B3362" s="11"/>
      <c r="C3362" s="11" t="str">
        <f>IF(COUNTIF(D$1:D3362,D3362)=1,MAX(C$1:C3361)+1,"")</f>
        <v/>
      </c>
      <c r="D3362" s="12"/>
    </row>
    <row r="3363" spans="1:4" x14ac:dyDescent="0.25">
      <c r="A3363" t="str">
        <f>IF(COUNTIF(B$1:B3363,B3363)=1,MAX(A$1:A3362)+1,"")</f>
        <v/>
      </c>
      <c r="B3363" s="11"/>
      <c r="C3363" s="11" t="str">
        <f>IF(COUNTIF(D$1:D3363,D3363)=1,MAX(C$1:C3362)+1,"")</f>
        <v/>
      </c>
      <c r="D3363" s="12"/>
    </row>
    <row r="3364" spans="1:4" x14ac:dyDescent="0.25">
      <c r="A3364" t="str">
        <f>IF(COUNTIF(B$1:B3364,B3364)=1,MAX(A$1:A3363)+1,"")</f>
        <v/>
      </c>
      <c r="B3364" s="11"/>
      <c r="C3364" s="11" t="str">
        <f>IF(COUNTIF(D$1:D3364,D3364)=1,MAX(C$1:C3363)+1,"")</f>
        <v/>
      </c>
      <c r="D3364" s="12"/>
    </row>
    <row r="3365" spans="1:4" x14ac:dyDescent="0.25">
      <c r="A3365" t="str">
        <f>IF(COUNTIF(B$1:B3365,B3365)=1,MAX(A$1:A3364)+1,"")</f>
        <v/>
      </c>
      <c r="B3365" s="11"/>
      <c r="C3365" s="11" t="str">
        <f>IF(COUNTIF(D$1:D3365,D3365)=1,MAX(C$1:C3364)+1,"")</f>
        <v/>
      </c>
      <c r="D3365" s="12"/>
    </row>
    <row r="3366" spans="1:4" x14ac:dyDescent="0.25">
      <c r="A3366" t="str">
        <f>IF(COUNTIF(B$1:B3366,B3366)=1,MAX(A$1:A3365)+1,"")</f>
        <v/>
      </c>
      <c r="B3366" s="11"/>
      <c r="C3366" s="11" t="str">
        <f>IF(COUNTIF(D$1:D3366,D3366)=1,MAX(C$1:C3365)+1,"")</f>
        <v/>
      </c>
      <c r="D3366" s="12"/>
    </row>
    <row r="3367" spans="1:4" x14ac:dyDescent="0.25">
      <c r="A3367" t="str">
        <f>IF(COUNTIF(B$1:B3367,B3367)=1,MAX(A$1:A3366)+1,"")</f>
        <v/>
      </c>
      <c r="B3367" s="11"/>
      <c r="C3367" s="11" t="str">
        <f>IF(COUNTIF(D$1:D3367,D3367)=1,MAX(C$1:C3366)+1,"")</f>
        <v/>
      </c>
      <c r="D3367" s="12"/>
    </row>
    <row r="3368" spans="1:4" x14ac:dyDescent="0.25">
      <c r="A3368" t="str">
        <f>IF(COUNTIF(B$1:B3368,B3368)=1,MAX(A$1:A3367)+1,"")</f>
        <v/>
      </c>
      <c r="B3368" s="11"/>
      <c r="C3368" s="11" t="str">
        <f>IF(COUNTIF(D$1:D3368,D3368)=1,MAX(C$1:C3367)+1,"")</f>
        <v/>
      </c>
      <c r="D3368" s="12"/>
    </row>
    <row r="3369" spans="1:4" x14ac:dyDescent="0.25">
      <c r="A3369" t="str">
        <f>IF(COUNTIF(B$1:B3369,B3369)=1,MAX(A$1:A3368)+1,"")</f>
        <v/>
      </c>
      <c r="B3369" s="11"/>
      <c r="C3369" s="11" t="str">
        <f>IF(COUNTIF(D$1:D3369,D3369)=1,MAX(C$1:C3368)+1,"")</f>
        <v/>
      </c>
      <c r="D3369" s="12"/>
    </row>
    <row r="3370" spans="1:4" x14ac:dyDescent="0.25">
      <c r="A3370" t="str">
        <f>IF(COUNTIF(B$1:B3370,B3370)=1,MAX(A$1:A3369)+1,"")</f>
        <v/>
      </c>
      <c r="B3370" s="11"/>
      <c r="C3370" s="11" t="str">
        <f>IF(COUNTIF(D$1:D3370,D3370)=1,MAX(C$1:C3369)+1,"")</f>
        <v/>
      </c>
      <c r="D3370" s="12"/>
    </row>
    <row r="3371" spans="1:4" x14ac:dyDescent="0.25">
      <c r="A3371" t="str">
        <f>IF(COUNTIF(B$1:B3371,B3371)=1,MAX(A$1:A3370)+1,"")</f>
        <v/>
      </c>
      <c r="B3371" s="11"/>
      <c r="C3371" s="11" t="str">
        <f>IF(COUNTIF(D$1:D3371,D3371)=1,MAX(C$1:C3370)+1,"")</f>
        <v/>
      </c>
      <c r="D3371" s="12"/>
    </row>
    <row r="3372" spans="1:4" x14ac:dyDescent="0.25">
      <c r="A3372" t="str">
        <f>IF(COUNTIF(B$1:B3372,B3372)=1,MAX(A$1:A3371)+1,"")</f>
        <v/>
      </c>
      <c r="B3372" s="11"/>
      <c r="C3372" s="11" t="str">
        <f>IF(COUNTIF(D$1:D3372,D3372)=1,MAX(C$1:C3371)+1,"")</f>
        <v/>
      </c>
      <c r="D3372" s="12"/>
    </row>
    <row r="3373" spans="1:4" x14ac:dyDescent="0.25">
      <c r="A3373" t="str">
        <f>IF(COUNTIF(B$1:B3373,B3373)=1,MAX(A$1:A3372)+1,"")</f>
        <v/>
      </c>
      <c r="B3373" s="11"/>
      <c r="C3373" s="11" t="str">
        <f>IF(COUNTIF(D$1:D3373,D3373)=1,MAX(C$1:C3372)+1,"")</f>
        <v/>
      </c>
      <c r="D3373" s="12"/>
    </row>
    <row r="3374" spans="1:4" x14ac:dyDescent="0.25">
      <c r="A3374" t="str">
        <f>IF(COUNTIF(B$1:B3374,B3374)=1,MAX(A$1:A3373)+1,"")</f>
        <v/>
      </c>
      <c r="B3374" s="11"/>
      <c r="C3374" s="11" t="str">
        <f>IF(COUNTIF(D$1:D3374,D3374)=1,MAX(C$1:C3373)+1,"")</f>
        <v/>
      </c>
      <c r="D3374" s="12"/>
    </row>
    <row r="3375" spans="1:4" x14ac:dyDescent="0.25">
      <c r="A3375" t="str">
        <f>IF(COUNTIF(B$1:B3375,B3375)=1,MAX(A$1:A3374)+1,"")</f>
        <v/>
      </c>
      <c r="B3375" s="11"/>
      <c r="C3375" s="11" t="str">
        <f>IF(COUNTIF(D$1:D3375,D3375)=1,MAX(C$1:C3374)+1,"")</f>
        <v/>
      </c>
      <c r="D3375" s="12"/>
    </row>
    <row r="3376" spans="1:4" x14ac:dyDescent="0.25">
      <c r="A3376" t="str">
        <f>IF(COUNTIF(B$1:B3376,B3376)=1,MAX(A$1:A3375)+1,"")</f>
        <v/>
      </c>
      <c r="B3376" s="11"/>
      <c r="C3376" s="11" t="str">
        <f>IF(COUNTIF(D$1:D3376,D3376)=1,MAX(C$1:C3375)+1,"")</f>
        <v/>
      </c>
      <c r="D3376" s="12"/>
    </row>
    <row r="3377" spans="1:4" x14ac:dyDescent="0.25">
      <c r="A3377" t="str">
        <f>IF(COUNTIF(B$1:B3377,B3377)=1,MAX(A$1:A3376)+1,"")</f>
        <v/>
      </c>
      <c r="B3377" s="11"/>
      <c r="C3377" s="11" t="str">
        <f>IF(COUNTIF(D$1:D3377,D3377)=1,MAX(C$1:C3376)+1,"")</f>
        <v/>
      </c>
      <c r="D3377" s="12"/>
    </row>
    <row r="3378" spans="1:4" x14ac:dyDescent="0.25">
      <c r="A3378" t="str">
        <f>IF(COUNTIF(B$1:B3378,B3378)=1,MAX(A$1:A3377)+1,"")</f>
        <v/>
      </c>
      <c r="B3378" s="11"/>
      <c r="C3378" s="11" t="str">
        <f>IF(COUNTIF(D$1:D3378,D3378)=1,MAX(C$1:C3377)+1,"")</f>
        <v/>
      </c>
      <c r="D3378" s="12"/>
    </row>
    <row r="3379" spans="1:4" x14ac:dyDescent="0.25">
      <c r="A3379" t="str">
        <f>IF(COUNTIF(B$1:B3379,B3379)=1,MAX(A$1:A3378)+1,"")</f>
        <v/>
      </c>
      <c r="B3379" s="11"/>
      <c r="C3379" s="11" t="str">
        <f>IF(COUNTIF(D$1:D3379,D3379)=1,MAX(C$1:C3378)+1,"")</f>
        <v/>
      </c>
      <c r="D3379" s="12"/>
    </row>
    <row r="3380" spans="1:4" x14ac:dyDescent="0.25">
      <c r="A3380" t="str">
        <f>IF(COUNTIF(B$1:B3380,B3380)=1,MAX(A$1:A3379)+1,"")</f>
        <v/>
      </c>
      <c r="B3380" s="11"/>
      <c r="C3380" s="11" t="str">
        <f>IF(COUNTIF(D$1:D3380,D3380)=1,MAX(C$1:C3379)+1,"")</f>
        <v/>
      </c>
      <c r="D3380" s="12"/>
    </row>
    <row r="3381" spans="1:4" x14ac:dyDescent="0.25">
      <c r="A3381" t="str">
        <f>IF(COUNTIF(B$1:B3381,B3381)=1,MAX(A$1:A3380)+1,"")</f>
        <v/>
      </c>
      <c r="B3381" s="11"/>
      <c r="C3381" s="11" t="str">
        <f>IF(COUNTIF(D$1:D3381,D3381)=1,MAX(C$1:C3380)+1,"")</f>
        <v/>
      </c>
      <c r="D3381" s="12"/>
    </row>
    <row r="3382" spans="1:4" x14ac:dyDescent="0.25">
      <c r="A3382" t="str">
        <f>IF(COUNTIF(B$1:B3382,B3382)=1,MAX(A$1:A3381)+1,"")</f>
        <v/>
      </c>
      <c r="B3382" s="11"/>
      <c r="C3382" s="11" t="str">
        <f>IF(COUNTIF(D$1:D3382,D3382)=1,MAX(C$1:C3381)+1,"")</f>
        <v/>
      </c>
      <c r="D3382" s="12"/>
    </row>
    <row r="3383" spans="1:4" x14ac:dyDescent="0.25">
      <c r="A3383" t="str">
        <f>IF(COUNTIF(B$1:B3383,B3383)=1,MAX(A$1:A3382)+1,"")</f>
        <v/>
      </c>
      <c r="B3383" s="11"/>
      <c r="C3383" s="11" t="str">
        <f>IF(COUNTIF(D$1:D3383,D3383)=1,MAX(C$1:C3382)+1,"")</f>
        <v/>
      </c>
      <c r="D3383" s="12"/>
    </row>
    <row r="3384" spans="1:4" x14ac:dyDescent="0.25">
      <c r="A3384" t="str">
        <f>IF(COUNTIF(B$1:B3384,B3384)=1,MAX(A$1:A3383)+1,"")</f>
        <v/>
      </c>
      <c r="B3384" s="11"/>
      <c r="C3384" s="11" t="str">
        <f>IF(COUNTIF(D$1:D3384,D3384)=1,MAX(C$1:C3383)+1,"")</f>
        <v/>
      </c>
      <c r="D3384" s="12"/>
    </row>
    <row r="3385" spans="1:4" x14ac:dyDescent="0.25">
      <c r="A3385" t="str">
        <f>IF(COUNTIF(B$1:B3385,B3385)=1,MAX(A$1:A3384)+1,"")</f>
        <v/>
      </c>
      <c r="B3385" s="11"/>
      <c r="C3385" s="11" t="str">
        <f>IF(COUNTIF(D$1:D3385,D3385)=1,MAX(C$1:C3384)+1,"")</f>
        <v/>
      </c>
      <c r="D3385" s="12"/>
    </row>
    <row r="3386" spans="1:4" x14ac:dyDescent="0.25">
      <c r="A3386" t="str">
        <f>IF(COUNTIF(B$1:B3386,B3386)=1,MAX(A$1:A3385)+1,"")</f>
        <v/>
      </c>
      <c r="B3386" s="11"/>
      <c r="C3386" s="11" t="str">
        <f>IF(COUNTIF(D$1:D3386,D3386)=1,MAX(C$1:C3385)+1,"")</f>
        <v/>
      </c>
      <c r="D3386" s="12"/>
    </row>
    <row r="3387" spans="1:4" x14ac:dyDescent="0.25">
      <c r="A3387" t="str">
        <f>IF(COUNTIF(B$1:B3387,B3387)=1,MAX(A$1:A3386)+1,"")</f>
        <v/>
      </c>
      <c r="B3387" s="11"/>
      <c r="C3387" s="11" t="str">
        <f>IF(COUNTIF(D$1:D3387,D3387)=1,MAX(C$1:C3386)+1,"")</f>
        <v/>
      </c>
      <c r="D3387" s="12"/>
    </row>
    <row r="3388" spans="1:4" x14ac:dyDescent="0.25">
      <c r="A3388" t="str">
        <f>IF(COUNTIF(B$1:B3388,B3388)=1,MAX(A$1:A3387)+1,"")</f>
        <v/>
      </c>
      <c r="B3388" s="11"/>
      <c r="C3388" s="11" t="str">
        <f>IF(COUNTIF(D$1:D3388,D3388)=1,MAX(C$1:C3387)+1,"")</f>
        <v/>
      </c>
      <c r="D3388" s="12"/>
    </row>
    <row r="3389" spans="1:4" x14ac:dyDescent="0.25">
      <c r="A3389" t="str">
        <f>IF(COUNTIF(B$1:B3389,B3389)=1,MAX(A$1:A3388)+1,"")</f>
        <v/>
      </c>
      <c r="B3389" s="11"/>
      <c r="C3389" s="11" t="str">
        <f>IF(COUNTIF(D$1:D3389,D3389)=1,MAX(C$1:C3388)+1,"")</f>
        <v/>
      </c>
      <c r="D3389" s="12"/>
    </row>
    <row r="3390" spans="1:4" x14ac:dyDescent="0.25">
      <c r="A3390" t="str">
        <f>IF(COUNTIF(B$1:B3390,B3390)=1,MAX(A$1:A3389)+1,"")</f>
        <v/>
      </c>
      <c r="B3390" s="11"/>
      <c r="C3390" s="11" t="str">
        <f>IF(COUNTIF(D$1:D3390,D3390)=1,MAX(C$1:C3389)+1,"")</f>
        <v/>
      </c>
      <c r="D3390" s="12"/>
    </row>
    <row r="3391" spans="1:4" x14ac:dyDescent="0.25">
      <c r="A3391" t="str">
        <f>IF(COUNTIF(B$1:B3391,B3391)=1,MAX(A$1:A3390)+1,"")</f>
        <v/>
      </c>
      <c r="B3391" s="11"/>
      <c r="C3391" s="11" t="str">
        <f>IF(COUNTIF(D$1:D3391,D3391)=1,MAX(C$1:C3390)+1,"")</f>
        <v/>
      </c>
      <c r="D3391" s="12"/>
    </row>
    <row r="3392" spans="1:4" x14ac:dyDescent="0.25">
      <c r="A3392" t="str">
        <f>IF(COUNTIF(B$1:B3392,B3392)=1,MAX(A$1:A3391)+1,"")</f>
        <v/>
      </c>
      <c r="B3392" s="11"/>
      <c r="C3392" s="11" t="str">
        <f>IF(COUNTIF(D$1:D3392,D3392)=1,MAX(C$1:C3391)+1,"")</f>
        <v/>
      </c>
      <c r="D3392" s="12"/>
    </row>
    <row r="3393" spans="1:4" x14ac:dyDescent="0.25">
      <c r="A3393" t="str">
        <f>IF(COUNTIF(B$1:B3393,B3393)=1,MAX(A$1:A3392)+1,"")</f>
        <v/>
      </c>
      <c r="B3393" s="11"/>
      <c r="C3393" s="11" t="str">
        <f>IF(COUNTIF(D$1:D3393,D3393)=1,MAX(C$1:C3392)+1,"")</f>
        <v/>
      </c>
      <c r="D3393" s="12"/>
    </row>
    <row r="3394" spans="1:4" x14ac:dyDescent="0.25">
      <c r="A3394" t="str">
        <f>IF(COUNTIF(B$1:B3394,B3394)=1,MAX(A$1:A3393)+1,"")</f>
        <v/>
      </c>
      <c r="B3394" s="11"/>
      <c r="C3394" s="11" t="str">
        <f>IF(COUNTIF(D$1:D3394,D3394)=1,MAX(C$1:C3393)+1,"")</f>
        <v/>
      </c>
      <c r="D3394" s="12"/>
    </row>
    <row r="3395" spans="1:4" x14ac:dyDescent="0.25">
      <c r="A3395" t="str">
        <f>IF(COUNTIF(B$1:B3395,B3395)=1,MAX(A$1:A3394)+1,"")</f>
        <v/>
      </c>
      <c r="B3395" s="11"/>
      <c r="C3395" s="11" t="str">
        <f>IF(COUNTIF(D$1:D3395,D3395)=1,MAX(C$1:C3394)+1,"")</f>
        <v/>
      </c>
      <c r="D3395" s="12"/>
    </row>
    <row r="3396" spans="1:4" x14ac:dyDescent="0.25">
      <c r="A3396" t="str">
        <f>IF(COUNTIF(B$1:B3396,B3396)=1,MAX(A$1:A3395)+1,"")</f>
        <v/>
      </c>
      <c r="B3396" s="11"/>
      <c r="C3396" s="11" t="str">
        <f>IF(COUNTIF(D$1:D3396,D3396)=1,MAX(C$1:C3395)+1,"")</f>
        <v/>
      </c>
      <c r="D3396" s="12"/>
    </row>
    <row r="3397" spans="1:4" x14ac:dyDescent="0.25">
      <c r="A3397" t="str">
        <f>IF(COUNTIF(B$1:B3397,B3397)=1,MAX(A$1:A3396)+1,"")</f>
        <v/>
      </c>
      <c r="B3397" s="11"/>
      <c r="C3397" s="11" t="str">
        <f>IF(COUNTIF(D$1:D3397,D3397)=1,MAX(C$1:C3396)+1,"")</f>
        <v/>
      </c>
      <c r="D3397" s="12"/>
    </row>
    <row r="3398" spans="1:4" x14ac:dyDescent="0.25">
      <c r="A3398" t="str">
        <f>IF(COUNTIF(B$1:B3398,B3398)=1,MAX(A$1:A3397)+1,"")</f>
        <v/>
      </c>
      <c r="B3398" s="11"/>
      <c r="C3398" s="11" t="str">
        <f>IF(COUNTIF(D$1:D3398,D3398)=1,MAX(C$1:C3397)+1,"")</f>
        <v/>
      </c>
      <c r="D3398" s="12"/>
    </row>
    <row r="3399" spans="1:4" x14ac:dyDescent="0.25">
      <c r="A3399" t="str">
        <f>IF(COUNTIF(B$1:B3399,B3399)=1,MAX(A$1:A3398)+1,"")</f>
        <v/>
      </c>
      <c r="B3399" s="11"/>
      <c r="C3399" s="11" t="str">
        <f>IF(COUNTIF(D$1:D3399,D3399)=1,MAX(C$1:C3398)+1,"")</f>
        <v/>
      </c>
      <c r="D3399" s="12"/>
    </row>
    <row r="3400" spans="1:4" x14ac:dyDescent="0.25">
      <c r="A3400" t="str">
        <f>IF(COUNTIF(B$1:B3400,B3400)=1,MAX(A$1:A3399)+1,"")</f>
        <v/>
      </c>
      <c r="B3400" s="11"/>
      <c r="C3400" s="11" t="str">
        <f>IF(COUNTIF(D$1:D3400,D3400)=1,MAX(C$1:C3399)+1,"")</f>
        <v/>
      </c>
      <c r="D3400" s="12"/>
    </row>
    <row r="3401" spans="1:4" x14ac:dyDescent="0.25">
      <c r="A3401" t="str">
        <f>IF(COUNTIF(B$1:B3401,B3401)=1,MAX(A$1:A3400)+1,"")</f>
        <v/>
      </c>
      <c r="B3401" s="11"/>
      <c r="C3401" s="11" t="str">
        <f>IF(COUNTIF(D$1:D3401,D3401)=1,MAX(C$1:C3400)+1,"")</f>
        <v/>
      </c>
      <c r="D3401" s="12"/>
    </row>
    <row r="3402" spans="1:4" x14ac:dyDescent="0.25">
      <c r="A3402" t="str">
        <f>IF(COUNTIF(B$1:B3402,B3402)=1,MAX(A$1:A3401)+1,"")</f>
        <v/>
      </c>
      <c r="B3402" s="11"/>
      <c r="C3402" s="11" t="str">
        <f>IF(COUNTIF(D$1:D3402,D3402)=1,MAX(C$1:C3401)+1,"")</f>
        <v/>
      </c>
      <c r="D3402" s="12"/>
    </row>
    <row r="3403" spans="1:4" x14ac:dyDescent="0.25">
      <c r="A3403" t="str">
        <f>IF(COUNTIF(B$1:B3403,B3403)=1,MAX(A$1:A3402)+1,"")</f>
        <v/>
      </c>
      <c r="B3403" s="11"/>
      <c r="C3403" s="11" t="str">
        <f>IF(COUNTIF(D$1:D3403,D3403)=1,MAX(C$1:C3402)+1,"")</f>
        <v/>
      </c>
      <c r="D3403" s="12"/>
    </row>
    <row r="3404" spans="1:4" x14ac:dyDescent="0.25">
      <c r="A3404" t="str">
        <f>IF(COUNTIF(B$1:B3404,B3404)=1,MAX(A$1:A3403)+1,"")</f>
        <v/>
      </c>
      <c r="B3404" s="11"/>
      <c r="C3404" s="11" t="str">
        <f>IF(COUNTIF(D$1:D3404,D3404)=1,MAX(C$1:C3403)+1,"")</f>
        <v/>
      </c>
      <c r="D3404" s="12"/>
    </row>
    <row r="3405" spans="1:4" x14ac:dyDescent="0.25">
      <c r="A3405" t="str">
        <f>IF(COUNTIF(B$1:B3405,B3405)=1,MAX(A$1:A3404)+1,"")</f>
        <v/>
      </c>
      <c r="B3405" s="11"/>
      <c r="C3405" s="11" t="str">
        <f>IF(COUNTIF(D$1:D3405,D3405)=1,MAX(C$1:C3404)+1,"")</f>
        <v/>
      </c>
      <c r="D3405" s="12"/>
    </row>
    <row r="3406" spans="1:4" x14ac:dyDescent="0.25">
      <c r="A3406" t="str">
        <f>IF(COUNTIF(B$1:B3406,B3406)=1,MAX(A$1:A3405)+1,"")</f>
        <v/>
      </c>
      <c r="B3406" s="11"/>
      <c r="C3406" s="11" t="str">
        <f>IF(COUNTIF(D$1:D3406,D3406)=1,MAX(C$1:C3405)+1,"")</f>
        <v/>
      </c>
      <c r="D3406" s="12"/>
    </row>
    <row r="3407" spans="1:4" x14ac:dyDescent="0.25">
      <c r="A3407" t="str">
        <f>IF(COUNTIF(B$1:B3407,B3407)=1,MAX(A$1:A3406)+1,"")</f>
        <v/>
      </c>
      <c r="B3407" s="11"/>
      <c r="C3407" s="11" t="str">
        <f>IF(COUNTIF(D$1:D3407,D3407)=1,MAX(C$1:C3406)+1,"")</f>
        <v/>
      </c>
      <c r="D3407" s="12"/>
    </row>
    <row r="3408" spans="1:4" x14ac:dyDescent="0.25">
      <c r="A3408" t="str">
        <f>IF(COUNTIF(B$1:B3408,B3408)=1,MAX(A$1:A3407)+1,"")</f>
        <v/>
      </c>
      <c r="B3408" s="11"/>
      <c r="C3408" s="11" t="str">
        <f>IF(COUNTIF(D$1:D3408,D3408)=1,MAX(C$1:C3407)+1,"")</f>
        <v/>
      </c>
      <c r="D3408" s="12"/>
    </row>
    <row r="3409" spans="1:4" x14ac:dyDescent="0.25">
      <c r="A3409" t="str">
        <f>IF(COUNTIF(B$1:B3409,B3409)=1,MAX(A$1:A3408)+1,"")</f>
        <v/>
      </c>
      <c r="B3409" s="11"/>
      <c r="C3409" s="11" t="str">
        <f>IF(COUNTIF(D$1:D3409,D3409)=1,MAX(C$1:C3408)+1,"")</f>
        <v/>
      </c>
      <c r="D3409" s="12"/>
    </row>
    <row r="3410" spans="1:4" x14ac:dyDescent="0.25">
      <c r="A3410" t="str">
        <f>IF(COUNTIF(B$1:B3410,B3410)=1,MAX(A$1:A3409)+1,"")</f>
        <v/>
      </c>
      <c r="B3410" s="11"/>
      <c r="C3410" s="11" t="str">
        <f>IF(COUNTIF(D$1:D3410,D3410)=1,MAX(C$1:C3409)+1,"")</f>
        <v/>
      </c>
      <c r="D3410" s="12"/>
    </row>
    <row r="3411" spans="1:4" x14ac:dyDescent="0.25">
      <c r="A3411" t="str">
        <f>IF(COUNTIF(B$1:B3411,B3411)=1,MAX(A$1:A3410)+1,"")</f>
        <v/>
      </c>
      <c r="B3411" s="11"/>
      <c r="C3411" s="11" t="str">
        <f>IF(COUNTIF(D$1:D3411,D3411)=1,MAX(C$1:C3410)+1,"")</f>
        <v/>
      </c>
      <c r="D3411" s="12"/>
    </row>
    <row r="3412" spans="1:4" x14ac:dyDescent="0.25">
      <c r="A3412" t="str">
        <f>IF(COUNTIF(B$1:B3412,B3412)=1,MAX(A$1:A3411)+1,"")</f>
        <v/>
      </c>
      <c r="B3412" s="11"/>
      <c r="C3412" s="11" t="str">
        <f>IF(COUNTIF(D$1:D3412,D3412)=1,MAX(C$1:C3411)+1,"")</f>
        <v/>
      </c>
      <c r="D3412" s="12"/>
    </row>
    <row r="3413" spans="1:4" x14ac:dyDescent="0.25">
      <c r="A3413" t="str">
        <f>IF(COUNTIF(B$1:B3413,B3413)=1,MAX(A$1:A3412)+1,"")</f>
        <v/>
      </c>
      <c r="B3413" s="11"/>
      <c r="C3413" s="11" t="str">
        <f>IF(COUNTIF(D$1:D3413,D3413)=1,MAX(C$1:C3412)+1,"")</f>
        <v/>
      </c>
      <c r="D3413" s="12"/>
    </row>
    <row r="3414" spans="1:4" x14ac:dyDescent="0.25">
      <c r="A3414" t="str">
        <f>IF(COUNTIF(B$1:B3414,B3414)=1,MAX(A$1:A3413)+1,"")</f>
        <v/>
      </c>
      <c r="B3414" s="11"/>
      <c r="C3414" s="11" t="str">
        <f>IF(COUNTIF(D$1:D3414,D3414)=1,MAX(C$1:C3413)+1,"")</f>
        <v/>
      </c>
      <c r="D3414" s="12"/>
    </row>
    <row r="3415" spans="1:4" x14ac:dyDescent="0.25">
      <c r="A3415" t="str">
        <f>IF(COUNTIF(B$1:B3415,B3415)=1,MAX(A$1:A3414)+1,"")</f>
        <v/>
      </c>
      <c r="B3415" s="11"/>
      <c r="C3415" s="11" t="str">
        <f>IF(COUNTIF(D$1:D3415,D3415)=1,MAX(C$1:C3414)+1,"")</f>
        <v/>
      </c>
      <c r="D3415" s="12"/>
    </row>
    <row r="3416" spans="1:4" x14ac:dyDescent="0.25">
      <c r="A3416" t="str">
        <f>IF(COUNTIF(B$1:B3416,B3416)=1,MAX(A$1:A3415)+1,"")</f>
        <v/>
      </c>
      <c r="B3416" s="11"/>
      <c r="C3416" s="11" t="str">
        <f>IF(COUNTIF(D$1:D3416,D3416)=1,MAX(C$1:C3415)+1,"")</f>
        <v/>
      </c>
      <c r="D3416" s="12"/>
    </row>
    <row r="3417" spans="1:4" x14ac:dyDescent="0.25">
      <c r="A3417" t="str">
        <f>IF(COUNTIF(B$1:B3417,B3417)=1,MAX(A$1:A3416)+1,"")</f>
        <v/>
      </c>
      <c r="B3417" s="11"/>
      <c r="C3417" s="11" t="str">
        <f>IF(COUNTIF(D$1:D3417,D3417)=1,MAX(C$1:C3416)+1,"")</f>
        <v/>
      </c>
      <c r="D3417" s="12"/>
    </row>
    <row r="3418" spans="1:4" x14ac:dyDescent="0.25">
      <c r="A3418" t="str">
        <f>IF(COUNTIF(B$1:B3418,B3418)=1,MAX(A$1:A3417)+1,"")</f>
        <v/>
      </c>
      <c r="B3418" s="11"/>
      <c r="C3418" s="11" t="str">
        <f>IF(COUNTIF(D$1:D3418,D3418)=1,MAX(C$1:C3417)+1,"")</f>
        <v/>
      </c>
      <c r="D3418" s="12"/>
    </row>
    <row r="3419" spans="1:4" x14ac:dyDescent="0.25">
      <c r="A3419" t="str">
        <f>IF(COUNTIF(B$1:B3419,B3419)=1,MAX(A$1:A3418)+1,"")</f>
        <v/>
      </c>
      <c r="B3419" s="11"/>
      <c r="C3419" s="11" t="str">
        <f>IF(COUNTIF(D$1:D3419,D3419)=1,MAX(C$1:C3418)+1,"")</f>
        <v/>
      </c>
      <c r="D3419" s="12"/>
    </row>
    <row r="3420" spans="1:4" x14ac:dyDescent="0.25">
      <c r="A3420" t="str">
        <f>IF(COUNTIF(B$1:B3420,B3420)=1,MAX(A$1:A3419)+1,"")</f>
        <v/>
      </c>
      <c r="B3420" s="11"/>
      <c r="C3420" s="11" t="str">
        <f>IF(COUNTIF(D$1:D3420,D3420)=1,MAX(C$1:C3419)+1,"")</f>
        <v/>
      </c>
      <c r="D3420" s="12"/>
    </row>
    <row r="3421" spans="1:4" x14ac:dyDescent="0.25">
      <c r="A3421" t="str">
        <f>IF(COUNTIF(B$1:B3421,B3421)=1,MAX(A$1:A3420)+1,"")</f>
        <v/>
      </c>
      <c r="B3421" s="11"/>
      <c r="C3421" s="11" t="str">
        <f>IF(COUNTIF(D$1:D3421,D3421)=1,MAX(C$1:C3420)+1,"")</f>
        <v/>
      </c>
      <c r="D3421" s="12"/>
    </row>
    <row r="3422" spans="1:4" x14ac:dyDescent="0.25">
      <c r="A3422" t="str">
        <f>IF(COUNTIF(B$1:B3422,B3422)=1,MAX(A$1:A3421)+1,"")</f>
        <v/>
      </c>
      <c r="B3422" s="11"/>
      <c r="C3422" s="11" t="str">
        <f>IF(COUNTIF(D$1:D3422,D3422)=1,MAX(C$1:C3421)+1,"")</f>
        <v/>
      </c>
      <c r="D3422" s="12"/>
    </row>
    <row r="3423" spans="1:4" x14ac:dyDescent="0.25">
      <c r="A3423" t="str">
        <f>IF(COUNTIF(B$1:B3423,B3423)=1,MAX(A$1:A3422)+1,"")</f>
        <v/>
      </c>
      <c r="B3423" s="11"/>
      <c r="C3423" s="11" t="str">
        <f>IF(COUNTIF(D$1:D3423,D3423)=1,MAX(C$1:C3422)+1,"")</f>
        <v/>
      </c>
      <c r="D3423" s="12"/>
    </row>
    <row r="3424" spans="1:4" x14ac:dyDescent="0.25">
      <c r="A3424" t="str">
        <f>IF(COUNTIF(B$1:B3424,B3424)=1,MAX(A$1:A3423)+1,"")</f>
        <v/>
      </c>
      <c r="B3424" s="11"/>
      <c r="C3424" s="11" t="str">
        <f>IF(COUNTIF(D$1:D3424,D3424)=1,MAX(C$1:C3423)+1,"")</f>
        <v/>
      </c>
      <c r="D3424" s="12"/>
    </row>
    <row r="3425" spans="1:4" x14ac:dyDescent="0.25">
      <c r="A3425" t="str">
        <f>IF(COUNTIF(B$1:B3425,B3425)=1,MAX(A$1:A3424)+1,"")</f>
        <v/>
      </c>
      <c r="B3425" s="11"/>
      <c r="C3425" s="11" t="str">
        <f>IF(COUNTIF(D$1:D3425,D3425)=1,MAX(C$1:C3424)+1,"")</f>
        <v/>
      </c>
      <c r="D3425" s="12"/>
    </row>
    <row r="3426" spans="1:4" x14ac:dyDescent="0.25">
      <c r="A3426" t="str">
        <f>IF(COUNTIF(B$1:B3426,B3426)=1,MAX(A$1:A3425)+1,"")</f>
        <v/>
      </c>
      <c r="B3426" s="11"/>
      <c r="C3426" s="11" t="str">
        <f>IF(COUNTIF(D$1:D3426,D3426)=1,MAX(C$1:C3425)+1,"")</f>
        <v/>
      </c>
      <c r="D3426" s="12"/>
    </row>
    <row r="3427" spans="1:4" x14ac:dyDescent="0.25">
      <c r="A3427" t="str">
        <f>IF(COUNTIF(B$1:B3427,B3427)=1,MAX(A$1:A3426)+1,"")</f>
        <v/>
      </c>
      <c r="B3427" s="11"/>
      <c r="C3427" s="11" t="str">
        <f>IF(COUNTIF(D$1:D3427,D3427)=1,MAX(C$1:C3426)+1,"")</f>
        <v/>
      </c>
      <c r="D3427" s="12"/>
    </row>
    <row r="3428" spans="1:4" x14ac:dyDescent="0.25">
      <c r="A3428" t="str">
        <f>IF(COUNTIF(B$1:B3428,B3428)=1,MAX(A$1:A3427)+1,"")</f>
        <v/>
      </c>
      <c r="B3428" s="11"/>
      <c r="C3428" s="11" t="str">
        <f>IF(COUNTIF(D$1:D3428,D3428)=1,MAX(C$1:C3427)+1,"")</f>
        <v/>
      </c>
      <c r="D3428" s="12"/>
    </row>
    <row r="3429" spans="1:4" x14ac:dyDescent="0.25">
      <c r="A3429" t="str">
        <f>IF(COUNTIF(B$1:B3429,B3429)=1,MAX(A$1:A3428)+1,"")</f>
        <v/>
      </c>
      <c r="B3429" s="11"/>
      <c r="C3429" s="11" t="str">
        <f>IF(COUNTIF(D$1:D3429,D3429)=1,MAX(C$1:C3428)+1,"")</f>
        <v/>
      </c>
      <c r="D3429" s="12"/>
    </row>
    <row r="3430" spans="1:4" x14ac:dyDescent="0.25">
      <c r="A3430" t="str">
        <f>IF(COUNTIF(B$1:B3430,B3430)=1,MAX(A$1:A3429)+1,"")</f>
        <v/>
      </c>
      <c r="B3430" s="11"/>
      <c r="C3430" s="11" t="str">
        <f>IF(COUNTIF(D$1:D3430,D3430)=1,MAX(C$1:C3429)+1,"")</f>
        <v/>
      </c>
      <c r="D3430" s="12"/>
    </row>
    <row r="3431" spans="1:4" x14ac:dyDescent="0.25">
      <c r="A3431" t="str">
        <f>IF(COUNTIF(B$1:B3431,B3431)=1,MAX(A$1:A3430)+1,"")</f>
        <v/>
      </c>
      <c r="B3431" s="11"/>
      <c r="C3431" s="11" t="str">
        <f>IF(COUNTIF(D$1:D3431,D3431)=1,MAX(C$1:C3430)+1,"")</f>
        <v/>
      </c>
      <c r="D3431" s="12"/>
    </row>
    <row r="3432" spans="1:4" x14ac:dyDescent="0.25">
      <c r="A3432" t="str">
        <f>IF(COUNTIF(B$1:B3432,B3432)=1,MAX(A$1:A3431)+1,"")</f>
        <v/>
      </c>
      <c r="B3432" s="11"/>
      <c r="C3432" s="11" t="str">
        <f>IF(COUNTIF(D$1:D3432,D3432)=1,MAX(C$1:C3431)+1,"")</f>
        <v/>
      </c>
      <c r="D3432" s="12"/>
    </row>
    <row r="3433" spans="1:4" x14ac:dyDescent="0.25">
      <c r="A3433" t="str">
        <f>IF(COUNTIF(B$1:B3433,B3433)=1,MAX(A$1:A3432)+1,"")</f>
        <v/>
      </c>
      <c r="B3433" s="11"/>
      <c r="C3433" s="11" t="str">
        <f>IF(COUNTIF(D$1:D3433,D3433)=1,MAX(C$1:C3432)+1,"")</f>
        <v/>
      </c>
      <c r="D3433" s="12"/>
    </row>
    <row r="3434" spans="1:4" x14ac:dyDescent="0.25">
      <c r="A3434" t="str">
        <f>IF(COUNTIF(B$1:B3434,B3434)=1,MAX(A$1:A3433)+1,"")</f>
        <v/>
      </c>
      <c r="B3434" s="11"/>
      <c r="C3434" s="11" t="str">
        <f>IF(COUNTIF(D$1:D3434,D3434)=1,MAX(C$1:C3433)+1,"")</f>
        <v/>
      </c>
      <c r="D3434" s="12"/>
    </row>
    <row r="3435" spans="1:4" x14ac:dyDescent="0.25">
      <c r="A3435" t="str">
        <f>IF(COUNTIF(B$1:B3435,B3435)=1,MAX(A$1:A3434)+1,"")</f>
        <v/>
      </c>
      <c r="B3435" s="11"/>
      <c r="C3435" s="11" t="str">
        <f>IF(COUNTIF(D$1:D3435,D3435)=1,MAX(C$1:C3434)+1,"")</f>
        <v/>
      </c>
      <c r="D3435" s="12"/>
    </row>
    <row r="3436" spans="1:4" x14ac:dyDescent="0.25">
      <c r="A3436" t="str">
        <f>IF(COUNTIF(B$1:B3436,B3436)=1,MAX(A$1:A3435)+1,"")</f>
        <v/>
      </c>
      <c r="B3436" s="11"/>
      <c r="C3436" s="11" t="str">
        <f>IF(COUNTIF(D$1:D3436,D3436)=1,MAX(C$1:C3435)+1,"")</f>
        <v/>
      </c>
      <c r="D3436" s="12"/>
    </row>
    <row r="3437" spans="1:4" x14ac:dyDescent="0.25">
      <c r="A3437" t="str">
        <f>IF(COUNTIF(B$1:B3437,B3437)=1,MAX(A$1:A3436)+1,"")</f>
        <v/>
      </c>
      <c r="B3437" s="11"/>
      <c r="C3437" s="11" t="str">
        <f>IF(COUNTIF(D$1:D3437,D3437)=1,MAX(C$1:C3436)+1,"")</f>
        <v/>
      </c>
      <c r="D3437" s="12"/>
    </row>
    <row r="3438" spans="1:4" x14ac:dyDescent="0.25">
      <c r="A3438" t="str">
        <f>IF(COUNTIF(B$1:B3438,B3438)=1,MAX(A$1:A3437)+1,"")</f>
        <v/>
      </c>
      <c r="B3438" s="11"/>
      <c r="C3438" s="11" t="str">
        <f>IF(COUNTIF(D$1:D3438,D3438)=1,MAX(C$1:C3437)+1,"")</f>
        <v/>
      </c>
      <c r="D3438" s="12"/>
    </row>
    <row r="3439" spans="1:4" x14ac:dyDescent="0.25">
      <c r="A3439" t="str">
        <f>IF(COUNTIF(B$1:B3439,B3439)=1,MAX(A$1:A3438)+1,"")</f>
        <v/>
      </c>
      <c r="B3439" s="11"/>
      <c r="C3439" s="11" t="str">
        <f>IF(COUNTIF(D$1:D3439,D3439)=1,MAX(C$1:C3438)+1,"")</f>
        <v/>
      </c>
      <c r="D3439" s="12"/>
    </row>
    <row r="3440" spans="1:4" x14ac:dyDescent="0.25">
      <c r="A3440" t="str">
        <f>IF(COUNTIF(B$1:B3440,B3440)=1,MAX(A$1:A3439)+1,"")</f>
        <v/>
      </c>
      <c r="B3440" s="11"/>
      <c r="C3440" s="11" t="str">
        <f>IF(COUNTIF(D$1:D3440,D3440)=1,MAX(C$1:C3439)+1,"")</f>
        <v/>
      </c>
      <c r="D3440" s="12"/>
    </row>
    <row r="3441" spans="1:4" x14ac:dyDescent="0.25">
      <c r="A3441" t="str">
        <f>IF(COUNTIF(B$1:B3441,B3441)=1,MAX(A$1:A3440)+1,"")</f>
        <v/>
      </c>
      <c r="B3441" s="11"/>
      <c r="C3441" s="11" t="str">
        <f>IF(COUNTIF(D$1:D3441,D3441)=1,MAX(C$1:C3440)+1,"")</f>
        <v/>
      </c>
      <c r="D3441" s="12"/>
    </row>
    <row r="3442" spans="1:4" x14ac:dyDescent="0.25">
      <c r="A3442" t="str">
        <f>IF(COUNTIF(B$1:B3442,B3442)=1,MAX(A$1:A3441)+1,"")</f>
        <v/>
      </c>
      <c r="B3442" s="11"/>
      <c r="C3442" s="11" t="str">
        <f>IF(COUNTIF(D$1:D3442,D3442)=1,MAX(C$1:C3441)+1,"")</f>
        <v/>
      </c>
      <c r="D3442" s="12"/>
    </row>
    <row r="3443" spans="1:4" x14ac:dyDescent="0.25">
      <c r="A3443" t="str">
        <f>IF(COUNTIF(B$1:B3443,B3443)=1,MAX(A$1:A3442)+1,"")</f>
        <v/>
      </c>
      <c r="B3443" s="11"/>
      <c r="C3443" s="11" t="str">
        <f>IF(COUNTIF(D$1:D3443,D3443)=1,MAX(C$1:C3442)+1,"")</f>
        <v/>
      </c>
      <c r="D3443" s="12"/>
    </row>
    <row r="3444" spans="1:4" x14ac:dyDescent="0.25">
      <c r="A3444" t="str">
        <f>IF(COUNTIF(B$1:B3444,B3444)=1,MAX(A$1:A3443)+1,"")</f>
        <v/>
      </c>
      <c r="B3444" s="11"/>
      <c r="C3444" s="11" t="str">
        <f>IF(COUNTIF(D$1:D3444,D3444)=1,MAX(C$1:C3443)+1,"")</f>
        <v/>
      </c>
      <c r="D3444" s="12"/>
    </row>
    <row r="3445" spans="1:4" x14ac:dyDescent="0.25">
      <c r="A3445" t="str">
        <f>IF(COUNTIF(B$1:B3445,B3445)=1,MAX(A$1:A3444)+1,"")</f>
        <v/>
      </c>
      <c r="B3445" s="11"/>
      <c r="C3445" s="11" t="str">
        <f>IF(COUNTIF(D$1:D3445,D3445)=1,MAX(C$1:C3444)+1,"")</f>
        <v/>
      </c>
      <c r="D3445" s="12"/>
    </row>
    <row r="3446" spans="1:4" x14ac:dyDescent="0.25">
      <c r="A3446" t="str">
        <f>IF(COUNTIF(B$1:B3446,B3446)=1,MAX(A$1:A3445)+1,"")</f>
        <v/>
      </c>
      <c r="B3446" s="11"/>
      <c r="C3446" s="11" t="str">
        <f>IF(COUNTIF(D$1:D3446,D3446)=1,MAX(C$1:C3445)+1,"")</f>
        <v/>
      </c>
      <c r="D3446" s="12"/>
    </row>
    <row r="3447" spans="1:4" x14ac:dyDescent="0.25">
      <c r="A3447" t="str">
        <f>IF(COUNTIF(B$1:B3447,B3447)=1,MAX(A$1:A3446)+1,"")</f>
        <v/>
      </c>
      <c r="B3447" s="11"/>
      <c r="C3447" s="11" t="str">
        <f>IF(COUNTIF(D$1:D3447,D3447)=1,MAX(C$1:C3446)+1,"")</f>
        <v/>
      </c>
      <c r="D3447" s="12"/>
    </row>
    <row r="3448" spans="1:4" x14ac:dyDescent="0.25">
      <c r="A3448" t="str">
        <f>IF(COUNTIF(B$1:B3448,B3448)=1,MAX(A$1:A3447)+1,"")</f>
        <v/>
      </c>
      <c r="B3448" s="11"/>
      <c r="C3448" s="11" t="str">
        <f>IF(COUNTIF(D$1:D3448,D3448)=1,MAX(C$1:C3447)+1,"")</f>
        <v/>
      </c>
      <c r="D3448" s="12"/>
    </row>
    <row r="3449" spans="1:4" x14ac:dyDescent="0.25">
      <c r="A3449" t="str">
        <f>IF(COUNTIF(B$1:B3449,B3449)=1,MAX(A$1:A3448)+1,"")</f>
        <v/>
      </c>
      <c r="B3449" s="11"/>
      <c r="C3449" s="11" t="str">
        <f>IF(COUNTIF(D$1:D3449,D3449)=1,MAX(C$1:C3448)+1,"")</f>
        <v/>
      </c>
      <c r="D3449" s="12"/>
    </row>
    <row r="3450" spans="1:4" x14ac:dyDescent="0.25">
      <c r="A3450" t="str">
        <f>IF(COUNTIF(B$1:B3450,B3450)=1,MAX(A$1:A3449)+1,"")</f>
        <v/>
      </c>
      <c r="B3450" s="11"/>
      <c r="C3450" s="11" t="str">
        <f>IF(COUNTIF(D$1:D3450,D3450)=1,MAX(C$1:C3449)+1,"")</f>
        <v/>
      </c>
      <c r="D3450" s="12"/>
    </row>
    <row r="3451" spans="1:4" x14ac:dyDescent="0.25">
      <c r="A3451" t="str">
        <f>IF(COUNTIF(B$1:B3451,B3451)=1,MAX(A$1:A3450)+1,"")</f>
        <v/>
      </c>
      <c r="B3451" s="11"/>
      <c r="C3451" s="11" t="str">
        <f>IF(COUNTIF(D$1:D3451,D3451)=1,MAX(C$1:C3450)+1,"")</f>
        <v/>
      </c>
      <c r="D3451" s="12"/>
    </row>
    <row r="3452" spans="1:4" x14ac:dyDescent="0.25">
      <c r="A3452" t="str">
        <f>IF(COUNTIF(B$1:B3452,B3452)=1,MAX(A$1:A3451)+1,"")</f>
        <v/>
      </c>
      <c r="B3452" s="11"/>
      <c r="C3452" s="11" t="str">
        <f>IF(COUNTIF(D$1:D3452,D3452)=1,MAX(C$1:C3451)+1,"")</f>
        <v/>
      </c>
      <c r="D3452" s="12"/>
    </row>
    <row r="3453" spans="1:4" x14ac:dyDescent="0.25">
      <c r="A3453" t="str">
        <f>IF(COUNTIF(B$1:B3453,B3453)=1,MAX(A$1:A3452)+1,"")</f>
        <v/>
      </c>
      <c r="B3453" s="11"/>
      <c r="C3453" s="11" t="str">
        <f>IF(COUNTIF(D$1:D3453,D3453)=1,MAX(C$1:C3452)+1,"")</f>
        <v/>
      </c>
      <c r="D3453" s="12"/>
    </row>
    <row r="3454" spans="1:4" x14ac:dyDescent="0.25">
      <c r="A3454" t="str">
        <f>IF(COUNTIF(B$1:B3454,B3454)=1,MAX(A$1:A3453)+1,"")</f>
        <v/>
      </c>
      <c r="B3454" s="11"/>
      <c r="C3454" s="11" t="str">
        <f>IF(COUNTIF(D$1:D3454,D3454)=1,MAX(C$1:C3453)+1,"")</f>
        <v/>
      </c>
      <c r="D3454" s="12"/>
    </row>
    <row r="3455" spans="1:4" x14ac:dyDescent="0.25">
      <c r="A3455" t="str">
        <f>IF(COUNTIF(B$1:B3455,B3455)=1,MAX(A$1:A3454)+1,"")</f>
        <v/>
      </c>
      <c r="B3455" s="11"/>
      <c r="C3455" s="11" t="str">
        <f>IF(COUNTIF(D$1:D3455,D3455)=1,MAX(C$1:C3454)+1,"")</f>
        <v/>
      </c>
      <c r="D3455" s="12"/>
    </row>
    <row r="3456" spans="1:4" x14ac:dyDescent="0.25">
      <c r="A3456" t="str">
        <f>IF(COUNTIF(B$1:B3456,B3456)=1,MAX(A$1:A3455)+1,"")</f>
        <v/>
      </c>
      <c r="B3456" s="11"/>
      <c r="C3456" s="11" t="str">
        <f>IF(COUNTIF(D$1:D3456,D3456)=1,MAX(C$1:C3455)+1,"")</f>
        <v/>
      </c>
      <c r="D3456" s="12"/>
    </row>
    <row r="3457" spans="1:4" x14ac:dyDescent="0.25">
      <c r="A3457" t="str">
        <f>IF(COUNTIF(B$1:B3457,B3457)=1,MAX(A$1:A3456)+1,"")</f>
        <v/>
      </c>
      <c r="B3457" s="11"/>
      <c r="C3457" s="11" t="str">
        <f>IF(COUNTIF(D$1:D3457,D3457)=1,MAX(C$1:C3456)+1,"")</f>
        <v/>
      </c>
      <c r="D3457" s="12"/>
    </row>
    <row r="3458" spans="1:4" x14ac:dyDescent="0.25">
      <c r="A3458" t="str">
        <f>IF(COUNTIF(B$1:B3458,B3458)=1,MAX(A$1:A3457)+1,"")</f>
        <v/>
      </c>
      <c r="B3458" s="11"/>
      <c r="C3458" s="11" t="str">
        <f>IF(COUNTIF(D$1:D3458,D3458)=1,MAX(C$1:C3457)+1,"")</f>
        <v/>
      </c>
      <c r="D3458" s="12"/>
    </row>
    <row r="3459" spans="1:4" x14ac:dyDescent="0.25">
      <c r="A3459" t="str">
        <f>IF(COUNTIF(B$1:B3459,B3459)=1,MAX(A$1:A3458)+1,"")</f>
        <v/>
      </c>
      <c r="B3459" s="11"/>
      <c r="C3459" s="11" t="str">
        <f>IF(COUNTIF(D$1:D3459,D3459)=1,MAX(C$1:C3458)+1,"")</f>
        <v/>
      </c>
      <c r="D3459" s="12"/>
    </row>
    <row r="3460" spans="1:4" x14ac:dyDescent="0.25">
      <c r="A3460" t="str">
        <f>IF(COUNTIF(B$1:B3460,B3460)=1,MAX(A$1:A3459)+1,"")</f>
        <v/>
      </c>
      <c r="B3460" s="11"/>
      <c r="C3460" s="11" t="str">
        <f>IF(COUNTIF(D$1:D3460,D3460)=1,MAX(C$1:C3459)+1,"")</f>
        <v/>
      </c>
      <c r="D3460" s="12"/>
    </row>
    <row r="3461" spans="1:4" x14ac:dyDescent="0.25">
      <c r="A3461" t="str">
        <f>IF(COUNTIF(B$1:B3461,B3461)=1,MAX(A$1:A3460)+1,"")</f>
        <v/>
      </c>
      <c r="B3461" s="11"/>
      <c r="C3461" s="11" t="str">
        <f>IF(COUNTIF(D$1:D3461,D3461)=1,MAX(C$1:C3460)+1,"")</f>
        <v/>
      </c>
      <c r="D3461" s="12"/>
    </row>
    <row r="3462" spans="1:4" x14ac:dyDescent="0.25">
      <c r="A3462" t="str">
        <f>IF(COUNTIF(B$1:B3462,B3462)=1,MAX(A$1:A3461)+1,"")</f>
        <v/>
      </c>
      <c r="B3462" s="11"/>
      <c r="C3462" s="11" t="str">
        <f>IF(COUNTIF(D$1:D3462,D3462)=1,MAX(C$1:C3461)+1,"")</f>
        <v/>
      </c>
      <c r="D3462" s="12"/>
    </row>
    <row r="3463" spans="1:4" x14ac:dyDescent="0.25">
      <c r="A3463" t="str">
        <f>IF(COUNTIF(B$1:B3463,B3463)=1,MAX(A$1:A3462)+1,"")</f>
        <v/>
      </c>
      <c r="B3463" s="11"/>
      <c r="C3463" s="11" t="str">
        <f>IF(COUNTIF(D$1:D3463,D3463)=1,MAX(C$1:C3462)+1,"")</f>
        <v/>
      </c>
      <c r="D3463" s="12"/>
    </row>
    <row r="3464" spans="1:4" x14ac:dyDescent="0.25">
      <c r="A3464" t="str">
        <f>IF(COUNTIF(B$1:B3464,B3464)=1,MAX(A$1:A3463)+1,"")</f>
        <v/>
      </c>
      <c r="B3464" s="11"/>
      <c r="C3464" s="11" t="str">
        <f>IF(COUNTIF(D$1:D3464,D3464)=1,MAX(C$1:C3463)+1,"")</f>
        <v/>
      </c>
      <c r="D3464" s="12"/>
    </row>
    <row r="3465" spans="1:4" x14ac:dyDescent="0.25">
      <c r="A3465" t="str">
        <f>IF(COUNTIF(B$1:B3465,B3465)=1,MAX(A$1:A3464)+1,"")</f>
        <v/>
      </c>
      <c r="B3465" s="11"/>
      <c r="C3465" s="11" t="str">
        <f>IF(COUNTIF(D$1:D3465,D3465)=1,MAX(C$1:C3464)+1,"")</f>
        <v/>
      </c>
      <c r="D3465" s="12"/>
    </row>
    <row r="3466" spans="1:4" x14ac:dyDescent="0.25">
      <c r="A3466" t="str">
        <f>IF(COUNTIF(B$1:B3466,B3466)=1,MAX(A$1:A3465)+1,"")</f>
        <v/>
      </c>
      <c r="B3466" s="11"/>
      <c r="C3466" s="11" t="str">
        <f>IF(COUNTIF(D$1:D3466,D3466)=1,MAX(C$1:C3465)+1,"")</f>
        <v/>
      </c>
      <c r="D3466" s="12"/>
    </row>
    <row r="3467" spans="1:4" x14ac:dyDescent="0.25">
      <c r="A3467" t="str">
        <f>IF(COUNTIF(B$1:B3467,B3467)=1,MAX(A$1:A3466)+1,"")</f>
        <v/>
      </c>
      <c r="B3467" s="11"/>
      <c r="C3467" s="11" t="str">
        <f>IF(COUNTIF(D$1:D3467,D3467)=1,MAX(C$1:C3466)+1,"")</f>
        <v/>
      </c>
      <c r="D3467" s="12"/>
    </row>
    <row r="3468" spans="1:4" x14ac:dyDescent="0.25">
      <c r="A3468" t="str">
        <f>IF(COUNTIF(B$1:B3468,B3468)=1,MAX(A$1:A3467)+1,"")</f>
        <v/>
      </c>
      <c r="B3468" s="11"/>
      <c r="C3468" s="11" t="str">
        <f>IF(COUNTIF(D$1:D3468,D3468)=1,MAX(C$1:C3467)+1,"")</f>
        <v/>
      </c>
      <c r="D3468" s="12"/>
    </row>
    <row r="3469" spans="1:4" x14ac:dyDescent="0.25">
      <c r="A3469" t="str">
        <f>IF(COUNTIF(B$1:B3469,B3469)=1,MAX(A$1:A3468)+1,"")</f>
        <v/>
      </c>
      <c r="B3469" s="11"/>
      <c r="C3469" s="11" t="str">
        <f>IF(COUNTIF(D$1:D3469,D3469)=1,MAX(C$1:C3468)+1,"")</f>
        <v/>
      </c>
      <c r="D3469" s="12"/>
    </row>
    <row r="3470" spans="1:4" x14ac:dyDescent="0.25">
      <c r="A3470" t="str">
        <f>IF(COUNTIF(B$1:B3470,B3470)=1,MAX(A$1:A3469)+1,"")</f>
        <v/>
      </c>
      <c r="B3470" s="11"/>
      <c r="C3470" s="11" t="str">
        <f>IF(COUNTIF(D$1:D3470,D3470)=1,MAX(C$1:C3469)+1,"")</f>
        <v/>
      </c>
      <c r="D3470" s="12"/>
    </row>
    <row r="3471" spans="1:4" x14ac:dyDescent="0.25">
      <c r="A3471" t="str">
        <f>IF(COUNTIF(B$1:B3471,B3471)=1,MAX(A$1:A3470)+1,"")</f>
        <v/>
      </c>
      <c r="B3471" s="11"/>
      <c r="C3471" s="11" t="str">
        <f>IF(COUNTIF(D$1:D3471,D3471)=1,MAX(C$1:C3470)+1,"")</f>
        <v/>
      </c>
      <c r="D3471" s="12"/>
    </row>
    <row r="3472" spans="1:4" x14ac:dyDescent="0.25">
      <c r="A3472" t="str">
        <f>IF(COUNTIF(B$1:B3472,B3472)=1,MAX(A$1:A3471)+1,"")</f>
        <v/>
      </c>
      <c r="B3472" s="11"/>
      <c r="C3472" s="11" t="str">
        <f>IF(COUNTIF(D$1:D3472,D3472)=1,MAX(C$1:C3471)+1,"")</f>
        <v/>
      </c>
      <c r="D3472" s="12"/>
    </row>
    <row r="3473" spans="1:4" x14ac:dyDescent="0.25">
      <c r="A3473" t="str">
        <f>IF(COUNTIF(B$1:B3473,B3473)=1,MAX(A$1:A3472)+1,"")</f>
        <v/>
      </c>
      <c r="B3473" s="11"/>
      <c r="C3473" s="11" t="str">
        <f>IF(COUNTIF(D$1:D3473,D3473)=1,MAX(C$1:C3472)+1,"")</f>
        <v/>
      </c>
      <c r="D3473" s="12"/>
    </row>
    <row r="3474" spans="1:4" x14ac:dyDescent="0.25">
      <c r="A3474" t="str">
        <f>IF(COUNTIF(B$1:B3474,B3474)=1,MAX(A$1:A3473)+1,"")</f>
        <v/>
      </c>
      <c r="B3474" s="11"/>
      <c r="C3474" s="11" t="str">
        <f>IF(COUNTIF(D$1:D3474,D3474)=1,MAX(C$1:C3473)+1,"")</f>
        <v/>
      </c>
      <c r="D3474" s="12"/>
    </row>
    <row r="3475" spans="1:4" x14ac:dyDescent="0.25">
      <c r="A3475" t="str">
        <f>IF(COUNTIF(B$1:B3475,B3475)=1,MAX(A$1:A3474)+1,"")</f>
        <v/>
      </c>
      <c r="B3475" s="11"/>
      <c r="C3475" s="11" t="str">
        <f>IF(COUNTIF(D$1:D3475,D3475)=1,MAX(C$1:C3474)+1,"")</f>
        <v/>
      </c>
      <c r="D3475" s="12"/>
    </row>
    <row r="3476" spans="1:4" x14ac:dyDescent="0.25">
      <c r="A3476" t="str">
        <f>IF(COUNTIF(B$1:B3476,B3476)=1,MAX(A$1:A3475)+1,"")</f>
        <v/>
      </c>
      <c r="B3476" s="11"/>
      <c r="C3476" s="11" t="str">
        <f>IF(COUNTIF(D$1:D3476,D3476)=1,MAX(C$1:C3475)+1,"")</f>
        <v/>
      </c>
      <c r="D3476" s="12"/>
    </row>
    <row r="3477" spans="1:4" x14ac:dyDescent="0.25">
      <c r="A3477" t="str">
        <f>IF(COUNTIF(B$1:B3477,B3477)=1,MAX(A$1:A3476)+1,"")</f>
        <v/>
      </c>
      <c r="B3477" s="11"/>
      <c r="C3477" s="11" t="str">
        <f>IF(COUNTIF(D$1:D3477,D3477)=1,MAX(C$1:C3476)+1,"")</f>
        <v/>
      </c>
      <c r="D3477" s="12"/>
    </row>
    <row r="3478" spans="1:4" x14ac:dyDescent="0.25">
      <c r="A3478" t="str">
        <f>IF(COUNTIF(B$1:B3478,B3478)=1,MAX(A$1:A3477)+1,"")</f>
        <v/>
      </c>
      <c r="B3478" s="11"/>
      <c r="C3478" s="11" t="str">
        <f>IF(COUNTIF(D$1:D3478,D3478)=1,MAX(C$1:C3477)+1,"")</f>
        <v/>
      </c>
      <c r="D3478" s="12"/>
    </row>
    <row r="3479" spans="1:4" x14ac:dyDescent="0.25">
      <c r="A3479" t="str">
        <f>IF(COUNTIF(B$1:B3479,B3479)=1,MAX(A$1:A3478)+1,"")</f>
        <v/>
      </c>
      <c r="B3479" s="11"/>
      <c r="C3479" s="11" t="str">
        <f>IF(COUNTIF(D$1:D3479,D3479)=1,MAX(C$1:C3478)+1,"")</f>
        <v/>
      </c>
      <c r="D3479" s="12"/>
    </row>
    <row r="3480" spans="1:4" x14ac:dyDescent="0.25">
      <c r="A3480" t="str">
        <f>IF(COUNTIF(B$1:B3480,B3480)=1,MAX(A$1:A3479)+1,"")</f>
        <v/>
      </c>
      <c r="B3480" s="11"/>
      <c r="C3480" s="11" t="str">
        <f>IF(COUNTIF(D$1:D3480,D3480)=1,MAX(C$1:C3479)+1,"")</f>
        <v/>
      </c>
      <c r="D3480" s="12"/>
    </row>
    <row r="3481" spans="1:4" x14ac:dyDescent="0.25">
      <c r="A3481" t="str">
        <f>IF(COUNTIF(B$1:B3481,B3481)=1,MAX(A$1:A3480)+1,"")</f>
        <v/>
      </c>
      <c r="B3481" s="11"/>
      <c r="C3481" s="11" t="str">
        <f>IF(COUNTIF(D$1:D3481,D3481)=1,MAX(C$1:C3480)+1,"")</f>
        <v/>
      </c>
      <c r="D3481" s="12"/>
    </row>
    <row r="3482" spans="1:4" x14ac:dyDescent="0.25">
      <c r="A3482" t="str">
        <f>IF(COUNTIF(B$1:B3482,B3482)=1,MAX(A$1:A3481)+1,"")</f>
        <v/>
      </c>
      <c r="B3482" s="11"/>
      <c r="C3482" s="11" t="str">
        <f>IF(COUNTIF(D$1:D3482,D3482)=1,MAX(C$1:C3481)+1,"")</f>
        <v/>
      </c>
      <c r="D3482" s="12"/>
    </row>
    <row r="3483" spans="1:4" x14ac:dyDescent="0.25">
      <c r="A3483" t="str">
        <f>IF(COUNTIF(B$1:B3483,B3483)=1,MAX(A$1:A3482)+1,"")</f>
        <v/>
      </c>
      <c r="B3483" s="11"/>
      <c r="C3483" s="11" t="str">
        <f>IF(COUNTIF(D$1:D3483,D3483)=1,MAX(C$1:C3482)+1,"")</f>
        <v/>
      </c>
      <c r="D3483" s="12"/>
    </row>
    <row r="3484" spans="1:4" x14ac:dyDescent="0.25">
      <c r="A3484" t="str">
        <f>IF(COUNTIF(B$1:B3484,B3484)=1,MAX(A$1:A3483)+1,"")</f>
        <v/>
      </c>
      <c r="B3484" s="11"/>
      <c r="C3484" s="11" t="str">
        <f>IF(COUNTIF(D$1:D3484,D3484)=1,MAX(C$1:C3483)+1,"")</f>
        <v/>
      </c>
      <c r="D3484" s="12"/>
    </row>
    <row r="3485" spans="1:4" x14ac:dyDescent="0.25">
      <c r="A3485" t="str">
        <f>IF(COUNTIF(B$1:B3485,B3485)=1,MAX(A$1:A3484)+1,"")</f>
        <v/>
      </c>
      <c r="B3485" s="11"/>
      <c r="C3485" s="11" t="str">
        <f>IF(COUNTIF(D$1:D3485,D3485)=1,MAX(C$1:C3484)+1,"")</f>
        <v/>
      </c>
      <c r="D3485" s="12"/>
    </row>
    <row r="3486" spans="1:4" x14ac:dyDescent="0.25">
      <c r="A3486" t="str">
        <f>IF(COUNTIF(B$1:B3486,B3486)=1,MAX(A$1:A3485)+1,"")</f>
        <v/>
      </c>
      <c r="B3486" s="11"/>
      <c r="C3486" s="11" t="str">
        <f>IF(COUNTIF(D$1:D3486,D3486)=1,MAX(C$1:C3485)+1,"")</f>
        <v/>
      </c>
      <c r="D3486" s="12"/>
    </row>
    <row r="3487" spans="1:4" x14ac:dyDescent="0.25">
      <c r="A3487" t="str">
        <f>IF(COUNTIF(B$1:B3487,B3487)=1,MAX(A$1:A3486)+1,"")</f>
        <v/>
      </c>
      <c r="B3487" s="11"/>
      <c r="C3487" s="11" t="str">
        <f>IF(COUNTIF(D$1:D3487,D3487)=1,MAX(C$1:C3486)+1,"")</f>
        <v/>
      </c>
      <c r="D3487" s="12"/>
    </row>
    <row r="3488" spans="1:4" x14ac:dyDescent="0.25">
      <c r="A3488" t="str">
        <f>IF(COUNTIF(B$1:B3488,B3488)=1,MAX(A$1:A3487)+1,"")</f>
        <v/>
      </c>
      <c r="B3488" s="11"/>
      <c r="C3488" s="11" t="str">
        <f>IF(COUNTIF(D$1:D3488,D3488)=1,MAX(C$1:C3487)+1,"")</f>
        <v/>
      </c>
      <c r="D3488" s="12"/>
    </row>
    <row r="3489" spans="1:4" x14ac:dyDescent="0.25">
      <c r="A3489" t="str">
        <f>IF(COUNTIF(B$1:B3489,B3489)=1,MAX(A$1:A3488)+1,"")</f>
        <v/>
      </c>
      <c r="B3489" s="11"/>
      <c r="C3489" s="11" t="str">
        <f>IF(COUNTIF(D$1:D3489,D3489)=1,MAX(C$1:C3488)+1,"")</f>
        <v/>
      </c>
      <c r="D3489" s="12"/>
    </row>
    <row r="3490" spans="1:4" x14ac:dyDescent="0.25">
      <c r="A3490" t="str">
        <f>IF(COUNTIF(B$1:B3490,B3490)=1,MAX(A$1:A3489)+1,"")</f>
        <v/>
      </c>
      <c r="B3490" s="11"/>
      <c r="C3490" s="11" t="str">
        <f>IF(COUNTIF(D$1:D3490,D3490)=1,MAX(C$1:C3489)+1,"")</f>
        <v/>
      </c>
      <c r="D3490" s="12"/>
    </row>
    <row r="3491" spans="1:4" x14ac:dyDescent="0.25">
      <c r="A3491" t="str">
        <f>IF(COUNTIF(B$1:B3491,B3491)=1,MAX(A$1:A3490)+1,"")</f>
        <v/>
      </c>
      <c r="B3491" s="11"/>
      <c r="C3491" s="11" t="str">
        <f>IF(COUNTIF(D$1:D3491,D3491)=1,MAX(C$1:C3490)+1,"")</f>
        <v/>
      </c>
      <c r="D3491" s="12"/>
    </row>
    <row r="3492" spans="1:4" x14ac:dyDescent="0.25">
      <c r="A3492" t="str">
        <f>IF(COUNTIF(B$1:B3492,B3492)=1,MAX(A$1:A3491)+1,"")</f>
        <v/>
      </c>
      <c r="B3492" s="11"/>
      <c r="C3492" s="11" t="str">
        <f>IF(COUNTIF(D$1:D3492,D3492)=1,MAX(C$1:C3491)+1,"")</f>
        <v/>
      </c>
      <c r="D3492" s="12"/>
    </row>
    <row r="3493" spans="1:4" x14ac:dyDescent="0.25">
      <c r="A3493" t="str">
        <f>IF(COUNTIF(B$1:B3493,B3493)=1,MAX(A$1:A3492)+1,"")</f>
        <v/>
      </c>
      <c r="B3493" s="11"/>
      <c r="C3493" s="11" t="str">
        <f>IF(COUNTIF(D$1:D3493,D3493)=1,MAX(C$1:C3492)+1,"")</f>
        <v/>
      </c>
      <c r="D3493" s="12"/>
    </row>
    <row r="3494" spans="1:4" x14ac:dyDescent="0.25">
      <c r="A3494" t="str">
        <f>IF(COUNTIF(B$1:B3494,B3494)=1,MAX(A$1:A3493)+1,"")</f>
        <v/>
      </c>
      <c r="B3494" s="11"/>
      <c r="C3494" s="11" t="str">
        <f>IF(COUNTIF(D$1:D3494,D3494)=1,MAX(C$1:C3493)+1,"")</f>
        <v/>
      </c>
      <c r="D3494" s="12"/>
    </row>
    <row r="3495" spans="1:4" x14ac:dyDescent="0.25">
      <c r="A3495" t="str">
        <f>IF(COUNTIF(B$1:B3495,B3495)=1,MAX(A$1:A3494)+1,"")</f>
        <v/>
      </c>
      <c r="B3495" s="11"/>
      <c r="C3495" s="11" t="str">
        <f>IF(COUNTIF(D$1:D3495,D3495)=1,MAX(C$1:C3494)+1,"")</f>
        <v/>
      </c>
      <c r="D3495" s="12"/>
    </row>
    <row r="3496" spans="1:4" x14ac:dyDescent="0.25">
      <c r="A3496" t="str">
        <f>IF(COUNTIF(B$1:B3496,B3496)=1,MAX(A$1:A3495)+1,"")</f>
        <v/>
      </c>
      <c r="B3496" s="11"/>
      <c r="C3496" s="11" t="str">
        <f>IF(COUNTIF(D$1:D3496,D3496)=1,MAX(C$1:C3495)+1,"")</f>
        <v/>
      </c>
      <c r="D3496" s="12"/>
    </row>
    <row r="3497" spans="1:4" x14ac:dyDescent="0.25">
      <c r="A3497" t="str">
        <f>IF(COUNTIF(B$1:B3497,B3497)=1,MAX(A$1:A3496)+1,"")</f>
        <v/>
      </c>
      <c r="B3497" s="11"/>
      <c r="C3497" s="11" t="str">
        <f>IF(COUNTIF(D$1:D3497,D3497)=1,MAX(C$1:C3496)+1,"")</f>
        <v/>
      </c>
      <c r="D3497" s="12"/>
    </row>
    <row r="3498" spans="1:4" x14ac:dyDescent="0.25">
      <c r="A3498" t="str">
        <f>IF(COUNTIF(B$1:B3498,B3498)=1,MAX(A$1:A3497)+1,"")</f>
        <v/>
      </c>
      <c r="B3498" s="11"/>
      <c r="C3498" s="11" t="str">
        <f>IF(COUNTIF(D$1:D3498,D3498)=1,MAX(C$1:C3497)+1,"")</f>
        <v/>
      </c>
      <c r="D3498" s="12"/>
    </row>
    <row r="3499" spans="1:4" x14ac:dyDescent="0.25">
      <c r="A3499" t="str">
        <f>IF(COUNTIF(B$1:B3499,B3499)=1,MAX(A$1:A3498)+1,"")</f>
        <v/>
      </c>
      <c r="B3499" s="11"/>
      <c r="C3499" s="11" t="str">
        <f>IF(COUNTIF(D$1:D3499,D3499)=1,MAX(C$1:C3498)+1,"")</f>
        <v/>
      </c>
      <c r="D3499" s="12"/>
    </row>
    <row r="3500" spans="1:4" x14ac:dyDescent="0.25">
      <c r="A3500" t="str">
        <f>IF(COUNTIF(B$1:B3500,B3500)=1,MAX(A$1:A3499)+1,"")</f>
        <v/>
      </c>
      <c r="B3500" s="11"/>
      <c r="C3500" s="11" t="str">
        <f>IF(COUNTIF(D$1:D3500,D3500)=1,MAX(C$1:C3499)+1,"")</f>
        <v/>
      </c>
      <c r="D3500" s="12"/>
    </row>
    <row r="3501" spans="1:4" x14ac:dyDescent="0.25">
      <c r="A3501" t="str">
        <f>IF(COUNTIF(B$1:B3501,B3501)=1,MAX(A$1:A3500)+1,"")</f>
        <v/>
      </c>
      <c r="B3501" s="11"/>
      <c r="C3501" s="11" t="str">
        <f>IF(COUNTIF(D$1:D3501,D3501)=1,MAX(C$1:C3500)+1,"")</f>
        <v/>
      </c>
      <c r="D3501" s="12"/>
    </row>
    <row r="3502" spans="1:4" x14ac:dyDescent="0.25">
      <c r="A3502" t="str">
        <f>IF(COUNTIF(B$1:B3502,B3502)=1,MAX(A$1:A3501)+1,"")</f>
        <v/>
      </c>
      <c r="B3502" s="11"/>
      <c r="C3502" s="11" t="str">
        <f>IF(COUNTIF(D$1:D3502,D3502)=1,MAX(C$1:C3501)+1,"")</f>
        <v/>
      </c>
      <c r="D3502" s="12"/>
    </row>
    <row r="3503" spans="1:4" x14ac:dyDescent="0.25">
      <c r="A3503" t="str">
        <f>IF(COUNTIF(B$1:B3503,B3503)=1,MAX(A$1:A3502)+1,"")</f>
        <v/>
      </c>
      <c r="B3503" s="11"/>
      <c r="C3503" s="11" t="str">
        <f>IF(COUNTIF(D$1:D3503,D3503)=1,MAX(C$1:C3502)+1,"")</f>
        <v/>
      </c>
      <c r="D3503" s="12"/>
    </row>
    <row r="3504" spans="1:4" x14ac:dyDescent="0.25">
      <c r="A3504" t="str">
        <f>IF(COUNTIF(B$1:B3504,B3504)=1,MAX(A$1:A3503)+1,"")</f>
        <v/>
      </c>
      <c r="B3504" s="11"/>
      <c r="C3504" s="11" t="str">
        <f>IF(COUNTIF(D$1:D3504,D3504)=1,MAX(C$1:C3503)+1,"")</f>
        <v/>
      </c>
      <c r="D3504" s="12"/>
    </row>
    <row r="3505" spans="1:4" x14ac:dyDescent="0.25">
      <c r="A3505" t="str">
        <f>IF(COUNTIF(B$1:B3505,B3505)=1,MAX(A$1:A3504)+1,"")</f>
        <v/>
      </c>
      <c r="B3505" s="11"/>
      <c r="C3505" s="11" t="str">
        <f>IF(COUNTIF(D$1:D3505,D3505)=1,MAX(C$1:C3504)+1,"")</f>
        <v/>
      </c>
      <c r="D3505" s="12"/>
    </row>
    <row r="3506" spans="1:4" x14ac:dyDescent="0.25">
      <c r="A3506" t="str">
        <f>IF(COUNTIF(B$1:B3506,B3506)=1,MAX(A$1:A3505)+1,"")</f>
        <v/>
      </c>
      <c r="B3506" s="11"/>
      <c r="C3506" s="11" t="str">
        <f>IF(COUNTIF(D$1:D3506,D3506)=1,MAX(C$1:C3505)+1,"")</f>
        <v/>
      </c>
      <c r="D3506" s="12"/>
    </row>
    <row r="3507" spans="1:4" x14ac:dyDescent="0.25">
      <c r="A3507" t="str">
        <f>IF(COUNTIF(B$1:B3507,B3507)=1,MAX(A$1:A3506)+1,"")</f>
        <v/>
      </c>
      <c r="B3507" s="11"/>
      <c r="C3507" s="11" t="str">
        <f>IF(COUNTIF(D$1:D3507,D3507)=1,MAX(C$1:C3506)+1,"")</f>
        <v/>
      </c>
      <c r="D3507" s="12"/>
    </row>
    <row r="3508" spans="1:4" x14ac:dyDescent="0.25">
      <c r="A3508" t="str">
        <f>IF(COUNTIF(B$1:B3508,B3508)=1,MAX(A$1:A3507)+1,"")</f>
        <v/>
      </c>
      <c r="B3508" s="11"/>
      <c r="C3508" s="11" t="str">
        <f>IF(COUNTIF(D$1:D3508,D3508)=1,MAX(C$1:C3507)+1,"")</f>
        <v/>
      </c>
      <c r="D3508" s="12"/>
    </row>
    <row r="3509" spans="1:4" x14ac:dyDescent="0.25">
      <c r="A3509" t="str">
        <f>IF(COUNTIF(B$1:B3509,B3509)=1,MAX(A$1:A3508)+1,"")</f>
        <v/>
      </c>
      <c r="B3509" s="11"/>
      <c r="C3509" s="11" t="str">
        <f>IF(COUNTIF(D$1:D3509,D3509)=1,MAX(C$1:C3508)+1,"")</f>
        <v/>
      </c>
      <c r="D3509" s="12"/>
    </row>
    <row r="3510" spans="1:4" x14ac:dyDescent="0.25">
      <c r="A3510" t="str">
        <f>IF(COUNTIF(B$1:B3510,B3510)=1,MAX(A$1:A3509)+1,"")</f>
        <v/>
      </c>
      <c r="B3510" s="11"/>
      <c r="C3510" s="11" t="str">
        <f>IF(COUNTIF(D$1:D3510,D3510)=1,MAX(C$1:C3509)+1,"")</f>
        <v/>
      </c>
      <c r="D3510" s="12"/>
    </row>
    <row r="3511" spans="1:4" x14ac:dyDescent="0.25">
      <c r="A3511" t="str">
        <f>IF(COUNTIF(B$1:B3511,B3511)=1,MAX(A$1:A3510)+1,"")</f>
        <v/>
      </c>
      <c r="B3511" s="11"/>
      <c r="C3511" s="11" t="str">
        <f>IF(COUNTIF(D$1:D3511,D3511)=1,MAX(C$1:C3510)+1,"")</f>
        <v/>
      </c>
      <c r="D3511" s="12"/>
    </row>
    <row r="3512" spans="1:4" x14ac:dyDescent="0.25">
      <c r="A3512" t="str">
        <f>IF(COUNTIF(B$1:B3512,B3512)=1,MAX(A$1:A3511)+1,"")</f>
        <v/>
      </c>
      <c r="B3512" s="11"/>
      <c r="C3512" s="11" t="str">
        <f>IF(COUNTIF(D$1:D3512,D3512)=1,MAX(C$1:C3511)+1,"")</f>
        <v/>
      </c>
      <c r="D3512" s="12"/>
    </row>
    <row r="3513" spans="1:4" x14ac:dyDescent="0.25">
      <c r="A3513" t="str">
        <f>IF(COUNTIF(B$1:B3513,B3513)=1,MAX(A$1:A3512)+1,"")</f>
        <v/>
      </c>
      <c r="B3513" s="11"/>
      <c r="C3513" s="11" t="str">
        <f>IF(COUNTIF(D$1:D3513,D3513)=1,MAX(C$1:C3512)+1,"")</f>
        <v/>
      </c>
      <c r="D3513" s="12"/>
    </row>
    <row r="3514" spans="1:4" x14ac:dyDescent="0.25">
      <c r="A3514" t="str">
        <f>IF(COUNTIF(B$1:B3514,B3514)=1,MAX(A$1:A3513)+1,"")</f>
        <v/>
      </c>
      <c r="B3514" s="11"/>
      <c r="C3514" s="11" t="str">
        <f>IF(COUNTIF(D$1:D3514,D3514)=1,MAX(C$1:C3513)+1,"")</f>
        <v/>
      </c>
      <c r="D3514" s="12"/>
    </row>
    <row r="3515" spans="1:4" x14ac:dyDescent="0.25">
      <c r="A3515" t="str">
        <f>IF(COUNTIF(B$1:B3515,B3515)=1,MAX(A$1:A3514)+1,"")</f>
        <v/>
      </c>
      <c r="B3515" s="11"/>
      <c r="C3515" s="11" t="str">
        <f>IF(COUNTIF(D$1:D3515,D3515)=1,MAX(C$1:C3514)+1,"")</f>
        <v/>
      </c>
      <c r="D3515" s="12"/>
    </row>
    <row r="3516" spans="1:4" x14ac:dyDescent="0.25">
      <c r="A3516" t="str">
        <f>IF(COUNTIF(B$1:B3516,B3516)=1,MAX(A$1:A3515)+1,"")</f>
        <v/>
      </c>
      <c r="B3516" s="11"/>
      <c r="C3516" s="11" t="str">
        <f>IF(COUNTIF(D$1:D3516,D3516)=1,MAX(C$1:C3515)+1,"")</f>
        <v/>
      </c>
      <c r="D3516" s="12"/>
    </row>
    <row r="3517" spans="1:4" x14ac:dyDescent="0.25">
      <c r="A3517" t="str">
        <f>IF(COUNTIF(B$1:B3517,B3517)=1,MAX(A$1:A3516)+1,"")</f>
        <v/>
      </c>
      <c r="B3517" s="11"/>
      <c r="C3517" s="11" t="str">
        <f>IF(COUNTIF(D$1:D3517,D3517)=1,MAX(C$1:C3516)+1,"")</f>
        <v/>
      </c>
      <c r="D3517" s="12"/>
    </row>
    <row r="3518" spans="1:4" x14ac:dyDescent="0.25">
      <c r="A3518" t="str">
        <f>IF(COUNTIF(B$1:B3518,B3518)=1,MAX(A$1:A3517)+1,"")</f>
        <v/>
      </c>
      <c r="B3518" s="11"/>
      <c r="C3518" s="11" t="str">
        <f>IF(COUNTIF(D$1:D3518,D3518)=1,MAX(C$1:C3517)+1,"")</f>
        <v/>
      </c>
      <c r="D3518" s="12"/>
    </row>
    <row r="3519" spans="1:4" x14ac:dyDescent="0.25">
      <c r="A3519" t="str">
        <f>IF(COUNTIF(B$1:B3519,B3519)=1,MAX(A$1:A3518)+1,"")</f>
        <v/>
      </c>
      <c r="B3519" s="11"/>
      <c r="C3519" s="11" t="str">
        <f>IF(COUNTIF(D$1:D3519,D3519)=1,MAX(C$1:C3518)+1,"")</f>
        <v/>
      </c>
      <c r="D3519" s="12"/>
    </row>
    <row r="3520" spans="1:4" x14ac:dyDescent="0.25">
      <c r="A3520" t="str">
        <f>IF(COUNTIF(B$1:B3520,B3520)=1,MAX(A$1:A3519)+1,"")</f>
        <v/>
      </c>
      <c r="B3520" s="11"/>
      <c r="C3520" s="11" t="str">
        <f>IF(COUNTIF(D$1:D3520,D3520)=1,MAX(C$1:C3519)+1,"")</f>
        <v/>
      </c>
      <c r="D3520" s="12"/>
    </row>
    <row r="3521" spans="1:4" x14ac:dyDescent="0.25">
      <c r="A3521" t="str">
        <f>IF(COUNTIF(B$1:B3521,B3521)=1,MAX(A$1:A3520)+1,"")</f>
        <v/>
      </c>
      <c r="B3521" s="11"/>
      <c r="C3521" s="11" t="str">
        <f>IF(COUNTIF(D$1:D3521,D3521)=1,MAX(C$1:C3520)+1,"")</f>
        <v/>
      </c>
      <c r="D3521" s="12"/>
    </row>
    <row r="3522" spans="1:4" x14ac:dyDescent="0.25">
      <c r="A3522" t="str">
        <f>IF(COUNTIF(B$1:B3522,B3522)=1,MAX(A$1:A3521)+1,"")</f>
        <v/>
      </c>
      <c r="B3522" s="11"/>
      <c r="C3522" s="11" t="str">
        <f>IF(COUNTIF(D$1:D3522,D3522)=1,MAX(C$1:C3521)+1,"")</f>
        <v/>
      </c>
      <c r="D3522" s="12"/>
    </row>
    <row r="3523" spans="1:4" x14ac:dyDescent="0.25">
      <c r="A3523" t="str">
        <f>IF(COUNTIF(B$1:B3523,B3523)=1,MAX(A$1:A3522)+1,"")</f>
        <v/>
      </c>
      <c r="B3523" s="11"/>
      <c r="C3523" s="11" t="str">
        <f>IF(COUNTIF(D$1:D3523,D3523)=1,MAX(C$1:C3522)+1,"")</f>
        <v/>
      </c>
      <c r="D3523" s="12"/>
    </row>
    <row r="3524" spans="1:4" x14ac:dyDescent="0.25">
      <c r="A3524" t="str">
        <f>IF(COUNTIF(B$1:B3524,B3524)=1,MAX(A$1:A3523)+1,"")</f>
        <v/>
      </c>
      <c r="B3524" s="11"/>
      <c r="C3524" s="11" t="str">
        <f>IF(COUNTIF(D$1:D3524,D3524)=1,MAX(C$1:C3523)+1,"")</f>
        <v/>
      </c>
      <c r="D3524" s="12"/>
    </row>
    <row r="3525" spans="1:4" x14ac:dyDescent="0.25">
      <c r="A3525" t="str">
        <f>IF(COUNTIF(B$1:B3525,B3525)=1,MAX(A$1:A3524)+1,"")</f>
        <v/>
      </c>
      <c r="B3525" s="11"/>
      <c r="C3525" s="11" t="str">
        <f>IF(COUNTIF(D$1:D3525,D3525)=1,MAX(C$1:C3524)+1,"")</f>
        <v/>
      </c>
      <c r="D3525" s="12"/>
    </row>
    <row r="3526" spans="1:4" x14ac:dyDescent="0.25">
      <c r="A3526" t="str">
        <f>IF(COUNTIF(B$1:B3526,B3526)=1,MAX(A$1:A3525)+1,"")</f>
        <v/>
      </c>
      <c r="B3526" s="11"/>
      <c r="C3526" s="11" t="str">
        <f>IF(COUNTIF(D$1:D3526,D3526)=1,MAX(C$1:C3525)+1,"")</f>
        <v/>
      </c>
      <c r="D3526" s="12"/>
    </row>
    <row r="3527" spans="1:4" x14ac:dyDescent="0.25">
      <c r="A3527" t="str">
        <f>IF(COUNTIF(B$1:B3527,B3527)=1,MAX(A$1:A3526)+1,"")</f>
        <v/>
      </c>
      <c r="B3527" s="11"/>
      <c r="C3527" s="11" t="str">
        <f>IF(COUNTIF(D$1:D3527,D3527)=1,MAX(C$1:C3526)+1,"")</f>
        <v/>
      </c>
      <c r="D3527" s="12"/>
    </row>
    <row r="3528" spans="1:4" x14ac:dyDescent="0.25">
      <c r="A3528" t="str">
        <f>IF(COUNTIF(B$1:B3528,B3528)=1,MAX(A$1:A3527)+1,"")</f>
        <v/>
      </c>
      <c r="B3528" s="11"/>
      <c r="C3528" s="11" t="str">
        <f>IF(COUNTIF(D$1:D3528,D3528)=1,MAX(C$1:C3527)+1,"")</f>
        <v/>
      </c>
      <c r="D3528" s="12"/>
    </row>
    <row r="3529" spans="1:4" x14ac:dyDescent="0.25">
      <c r="A3529" t="str">
        <f>IF(COUNTIF(B$1:B3529,B3529)=1,MAX(A$1:A3528)+1,"")</f>
        <v/>
      </c>
      <c r="B3529" s="11"/>
      <c r="C3529" s="11" t="str">
        <f>IF(COUNTIF(D$1:D3529,D3529)=1,MAX(C$1:C3528)+1,"")</f>
        <v/>
      </c>
      <c r="D3529" s="12"/>
    </row>
    <row r="3530" spans="1:4" x14ac:dyDescent="0.25">
      <c r="A3530" t="str">
        <f>IF(COUNTIF(B$1:B3530,B3530)=1,MAX(A$1:A3529)+1,"")</f>
        <v/>
      </c>
      <c r="B3530" s="11"/>
      <c r="C3530" s="11" t="str">
        <f>IF(COUNTIF(D$1:D3530,D3530)=1,MAX(C$1:C3529)+1,"")</f>
        <v/>
      </c>
      <c r="D3530" s="12"/>
    </row>
    <row r="3531" spans="1:4" x14ac:dyDescent="0.25">
      <c r="A3531" t="str">
        <f>IF(COUNTIF(B$1:B3531,B3531)=1,MAX(A$1:A3530)+1,"")</f>
        <v/>
      </c>
      <c r="B3531" s="11"/>
      <c r="C3531" s="11" t="str">
        <f>IF(COUNTIF(D$1:D3531,D3531)=1,MAX(C$1:C3530)+1,"")</f>
        <v/>
      </c>
      <c r="D3531" s="12"/>
    </row>
    <row r="3532" spans="1:4" x14ac:dyDescent="0.25">
      <c r="A3532" t="str">
        <f>IF(COUNTIF(B$1:B3532,B3532)=1,MAX(A$1:A3531)+1,"")</f>
        <v/>
      </c>
      <c r="B3532" s="11"/>
      <c r="C3532" s="11" t="str">
        <f>IF(COUNTIF(D$1:D3532,D3532)=1,MAX(C$1:C3531)+1,"")</f>
        <v/>
      </c>
      <c r="D3532" s="12"/>
    </row>
    <row r="3533" spans="1:4" x14ac:dyDescent="0.25">
      <c r="A3533" t="str">
        <f>IF(COUNTIF(B$1:B3533,B3533)=1,MAX(A$1:A3532)+1,"")</f>
        <v/>
      </c>
      <c r="B3533" s="11"/>
      <c r="C3533" s="11" t="str">
        <f>IF(COUNTIF(D$1:D3533,D3533)=1,MAX(C$1:C3532)+1,"")</f>
        <v/>
      </c>
      <c r="D3533" s="12"/>
    </row>
    <row r="3534" spans="1:4" x14ac:dyDescent="0.25">
      <c r="A3534" t="str">
        <f>IF(COUNTIF(B$1:B3534,B3534)=1,MAX(A$1:A3533)+1,"")</f>
        <v/>
      </c>
      <c r="B3534" s="11"/>
      <c r="C3534" s="11" t="str">
        <f>IF(COUNTIF(D$1:D3534,D3534)=1,MAX(C$1:C3533)+1,"")</f>
        <v/>
      </c>
      <c r="D3534" s="12"/>
    </row>
    <row r="3535" spans="1:4" x14ac:dyDescent="0.25">
      <c r="A3535" t="str">
        <f>IF(COUNTIF(B$1:B3535,B3535)=1,MAX(A$1:A3534)+1,"")</f>
        <v/>
      </c>
      <c r="B3535" s="11"/>
      <c r="C3535" s="11" t="str">
        <f>IF(COUNTIF(D$1:D3535,D3535)=1,MAX(C$1:C3534)+1,"")</f>
        <v/>
      </c>
      <c r="D3535" s="12"/>
    </row>
    <row r="3536" spans="1:4" x14ac:dyDescent="0.25">
      <c r="A3536" t="str">
        <f>IF(COUNTIF(B$1:B3536,B3536)=1,MAX(A$1:A3535)+1,"")</f>
        <v/>
      </c>
      <c r="B3536" s="11"/>
      <c r="C3536" s="11" t="str">
        <f>IF(COUNTIF(D$1:D3536,D3536)=1,MAX(C$1:C3535)+1,"")</f>
        <v/>
      </c>
      <c r="D3536" s="12"/>
    </row>
    <row r="3537" spans="1:4" x14ac:dyDescent="0.25">
      <c r="A3537" t="str">
        <f>IF(COUNTIF(B$1:B3537,B3537)=1,MAX(A$1:A3536)+1,"")</f>
        <v/>
      </c>
      <c r="B3537" s="11"/>
      <c r="C3537" s="11" t="str">
        <f>IF(COUNTIF(D$1:D3537,D3537)=1,MAX(C$1:C3536)+1,"")</f>
        <v/>
      </c>
      <c r="D3537" s="12"/>
    </row>
    <row r="3538" spans="1:4" x14ac:dyDescent="0.25">
      <c r="A3538" t="str">
        <f>IF(COUNTIF(B$1:B3538,B3538)=1,MAX(A$1:A3537)+1,"")</f>
        <v/>
      </c>
      <c r="B3538" s="11"/>
      <c r="C3538" s="11" t="str">
        <f>IF(COUNTIF(D$1:D3538,D3538)=1,MAX(C$1:C3537)+1,"")</f>
        <v/>
      </c>
      <c r="D3538" s="12"/>
    </row>
    <row r="3539" spans="1:4" x14ac:dyDescent="0.25">
      <c r="A3539" t="str">
        <f>IF(COUNTIF(B$1:B3539,B3539)=1,MAX(A$1:A3538)+1,"")</f>
        <v/>
      </c>
      <c r="B3539" s="11"/>
      <c r="C3539" s="11" t="str">
        <f>IF(COUNTIF(D$1:D3539,D3539)=1,MAX(C$1:C3538)+1,"")</f>
        <v/>
      </c>
      <c r="D3539" s="12"/>
    </row>
    <row r="3540" spans="1:4" x14ac:dyDescent="0.25">
      <c r="A3540" t="str">
        <f>IF(COUNTIF(B$1:B3540,B3540)=1,MAX(A$1:A3539)+1,"")</f>
        <v/>
      </c>
      <c r="B3540" s="11"/>
      <c r="C3540" s="11" t="str">
        <f>IF(COUNTIF(D$1:D3540,D3540)=1,MAX(C$1:C3539)+1,"")</f>
        <v/>
      </c>
      <c r="D3540" s="12"/>
    </row>
    <row r="3541" spans="1:4" x14ac:dyDescent="0.25">
      <c r="A3541" t="str">
        <f>IF(COUNTIF(B$1:B3541,B3541)=1,MAX(A$1:A3540)+1,"")</f>
        <v/>
      </c>
      <c r="B3541" s="11"/>
      <c r="C3541" s="11" t="str">
        <f>IF(COUNTIF(D$1:D3541,D3541)=1,MAX(C$1:C3540)+1,"")</f>
        <v/>
      </c>
      <c r="D3541" s="12"/>
    </row>
    <row r="3542" spans="1:4" x14ac:dyDescent="0.25">
      <c r="A3542" t="str">
        <f>IF(COUNTIF(B$1:B3542,B3542)=1,MAX(A$1:A3541)+1,"")</f>
        <v/>
      </c>
      <c r="B3542" s="11"/>
      <c r="C3542" s="11" t="str">
        <f>IF(COUNTIF(D$1:D3542,D3542)=1,MAX(C$1:C3541)+1,"")</f>
        <v/>
      </c>
      <c r="D3542" s="12"/>
    </row>
    <row r="3543" spans="1:4" x14ac:dyDescent="0.25">
      <c r="A3543" t="str">
        <f>IF(COUNTIF(B$1:B3543,B3543)=1,MAX(A$1:A3542)+1,"")</f>
        <v/>
      </c>
      <c r="B3543" s="11"/>
      <c r="C3543" s="11" t="str">
        <f>IF(COUNTIF(D$1:D3543,D3543)=1,MAX(C$1:C3542)+1,"")</f>
        <v/>
      </c>
      <c r="D3543" s="12"/>
    </row>
    <row r="3544" spans="1:4" x14ac:dyDescent="0.25">
      <c r="A3544" t="str">
        <f>IF(COUNTIF(B$1:B3544,B3544)=1,MAX(A$1:A3543)+1,"")</f>
        <v/>
      </c>
      <c r="B3544" s="11"/>
      <c r="C3544" s="11" t="str">
        <f>IF(COUNTIF(D$1:D3544,D3544)=1,MAX(C$1:C3543)+1,"")</f>
        <v/>
      </c>
      <c r="D3544" s="12"/>
    </row>
    <row r="3545" spans="1:4" x14ac:dyDescent="0.25">
      <c r="A3545" t="str">
        <f>IF(COUNTIF(B$1:B3545,B3545)=1,MAX(A$1:A3544)+1,"")</f>
        <v/>
      </c>
      <c r="B3545" s="11"/>
      <c r="C3545" s="11" t="str">
        <f>IF(COUNTIF(D$1:D3545,D3545)=1,MAX(C$1:C3544)+1,"")</f>
        <v/>
      </c>
      <c r="D3545" s="12"/>
    </row>
    <row r="3546" spans="1:4" x14ac:dyDescent="0.25">
      <c r="A3546" t="str">
        <f>IF(COUNTIF(B$1:B3546,B3546)=1,MAX(A$1:A3545)+1,"")</f>
        <v/>
      </c>
      <c r="B3546" s="11"/>
      <c r="C3546" s="11" t="str">
        <f>IF(COUNTIF(D$1:D3546,D3546)=1,MAX(C$1:C3545)+1,"")</f>
        <v/>
      </c>
      <c r="D3546" s="12"/>
    </row>
    <row r="3547" spans="1:4" x14ac:dyDescent="0.25">
      <c r="A3547" t="str">
        <f>IF(COUNTIF(B$1:B3547,B3547)=1,MAX(A$1:A3546)+1,"")</f>
        <v/>
      </c>
      <c r="B3547" s="11"/>
      <c r="C3547" s="11" t="str">
        <f>IF(COUNTIF(D$1:D3547,D3547)=1,MAX(C$1:C3546)+1,"")</f>
        <v/>
      </c>
      <c r="D3547" s="12"/>
    </row>
    <row r="3548" spans="1:4" x14ac:dyDescent="0.25">
      <c r="A3548" t="str">
        <f>IF(COUNTIF(B$1:B3548,B3548)=1,MAX(A$1:A3547)+1,"")</f>
        <v/>
      </c>
      <c r="B3548" s="11"/>
      <c r="C3548" s="11" t="str">
        <f>IF(COUNTIF(D$1:D3548,D3548)=1,MAX(C$1:C3547)+1,"")</f>
        <v/>
      </c>
      <c r="D3548" s="12"/>
    </row>
    <row r="3549" spans="1:4" x14ac:dyDescent="0.25">
      <c r="A3549" t="str">
        <f>IF(COUNTIF(B$1:B3549,B3549)=1,MAX(A$1:A3548)+1,"")</f>
        <v/>
      </c>
      <c r="B3549" s="11"/>
      <c r="C3549" s="11" t="str">
        <f>IF(COUNTIF(D$1:D3549,D3549)=1,MAX(C$1:C3548)+1,"")</f>
        <v/>
      </c>
      <c r="D3549" s="12"/>
    </row>
    <row r="3550" spans="1:4" x14ac:dyDescent="0.25">
      <c r="A3550" t="str">
        <f>IF(COUNTIF(B$1:B3550,B3550)=1,MAX(A$1:A3549)+1,"")</f>
        <v/>
      </c>
      <c r="B3550" s="11"/>
      <c r="C3550" s="11" t="str">
        <f>IF(COUNTIF(D$1:D3550,D3550)=1,MAX(C$1:C3549)+1,"")</f>
        <v/>
      </c>
      <c r="D3550" s="12"/>
    </row>
    <row r="3551" spans="1:4" x14ac:dyDescent="0.25">
      <c r="A3551" t="str">
        <f>IF(COUNTIF(B$1:B3551,B3551)=1,MAX(A$1:A3550)+1,"")</f>
        <v/>
      </c>
      <c r="B3551" s="11"/>
      <c r="C3551" s="11" t="str">
        <f>IF(COUNTIF(D$1:D3551,D3551)=1,MAX(C$1:C3550)+1,"")</f>
        <v/>
      </c>
      <c r="D3551" s="12"/>
    </row>
    <row r="3552" spans="1:4" x14ac:dyDescent="0.25">
      <c r="A3552" t="str">
        <f>IF(COUNTIF(B$1:B3552,B3552)=1,MAX(A$1:A3551)+1,"")</f>
        <v/>
      </c>
      <c r="B3552" s="11"/>
      <c r="C3552" s="11" t="str">
        <f>IF(COUNTIF(D$1:D3552,D3552)=1,MAX(C$1:C3551)+1,"")</f>
        <v/>
      </c>
      <c r="D3552" s="12"/>
    </row>
    <row r="3553" spans="1:4" x14ac:dyDescent="0.25">
      <c r="A3553" t="str">
        <f>IF(COUNTIF(B$1:B3553,B3553)=1,MAX(A$1:A3552)+1,"")</f>
        <v/>
      </c>
      <c r="B3553" s="11"/>
      <c r="C3553" s="11" t="str">
        <f>IF(COUNTIF(D$1:D3553,D3553)=1,MAX(C$1:C3552)+1,"")</f>
        <v/>
      </c>
      <c r="D3553" s="12"/>
    </row>
    <row r="3554" spans="1:4" x14ac:dyDescent="0.25">
      <c r="A3554" t="str">
        <f>IF(COUNTIF(B$1:B3554,B3554)=1,MAX(A$1:A3553)+1,"")</f>
        <v/>
      </c>
      <c r="B3554" s="11"/>
      <c r="C3554" s="11" t="str">
        <f>IF(COUNTIF(D$1:D3554,D3554)=1,MAX(C$1:C3553)+1,"")</f>
        <v/>
      </c>
      <c r="D3554" s="12"/>
    </row>
    <row r="3555" spans="1:4" x14ac:dyDescent="0.25">
      <c r="A3555" t="str">
        <f>IF(COUNTIF(B$1:B3555,B3555)=1,MAX(A$1:A3554)+1,"")</f>
        <v/>
      </c>
      <c r="B3555" s="11"/>
      <c r="C3555" s="11" t="str">
        <f>IF(COUNTIF(D$1:D3555,D3555)=1,MAX(C$1:C3554)+1,"")</f>
        <v/>
      </c>
      <c r="D3555" s="12"/>
    </row>
    <row r="3556" spans="1:4" x14ac:dyDescent="0.25">
      <c r="A3556" t="str">
        <f>IF(COUNTIF(B$1:B3556,B3556)=1,MAX(A$1:A3555)+1,"")</f>
        <v/>
      </c>
      <c r="B3556" s="11"/>
      <c r="C3556" s="11" t="str">
        <f>IF(COUNTIF(D$1:D3556,D3556)=1,MAX(C$1:C3555)+1,"")</f>
        <v/>
      </c>
      <c r="D3556" s="12"/>
    </row>
    <row r="3557" spans="1:4" x14ac:dyDescent="0.25">
      <c r="A3557" t="str">
        <f>IF(COUNTIF(B$1:B3557,B3557)=1,MAX(A$1:A3556)+1,"")</f>
        <v/>
      </c>
      <c r="B3557" s="11"/>
      <c r="C3557" s="11" t="str">
        <f>IF(COUNTIF(D$1:D3557,D3557)=1,MAX(C$1:C3556)+1,"")</f>
        <v/>
      </c>
      <c r="D3557" s="12"/>
    </row>
    <row r="3558" spans="1:4" x14ac:dyDescent="0.25">
      <c r="A3558" t="str">
        <f>IF(COUNTIF(B$1:B3558,B3558)=1,MAX(A$1:A3557)+1,"")</f>
        <v/>
      </c>
      <c r="B3558" s="11"/>
      <c r="C3558" s="11" t="str">
        <f>IF(COUNTIF(D$1:D3558,D3558)=1,MAX(C$1:C3557)+1,"")</f>
        <v/>
      </c>
      <c r="D3558" s="12"/>
    </row>
    <row r="3559" spans="1:4" x14ac:dyDescent="0.25">
      <c r="A3559" t="str">
        <f>IF(COUNTIF(B$1:B3559,B3559)=1,MAX(A$1:A3558)+1,"")</f>
        <v/>
      </c>
      <c r="B3559" s="11"/>
      <c r="C3559" s="11" t="str">
        <f>IF(COUNTIF(D$1:D3559,D3559)=1,MAX(C$1:C3558)+1,"")</f>
        <v/>
      </c>
      <c r="D3559" s="12"/>
    </row>
    <row r="3560" spans="1:4" x14ac:dyDescent="0.25">
      <c r="A3560" t="str">
        <f>IF(COUNTIF(B$1:B3560,B3560)=1,MAX(A$1:A3559)+1,"")</f>
        <v/>
      </c>
      <c r="B3560" s="11"/>
      <c r="C3560" s="11" t="str">
        <f>IF(COUNTIF(D$1:D3560,D3560)=1,MAX(C$1:C3559)+1,"")</f>
        <v/>
      </c>
      <c r="D3560" s="12"/>
    </row>
    <row r="3561" spans="1:4" x14ac:dyDescent="0.25">
      <c r="A3561" t="str">
        <f>IF(COUNTIF(B$1:B3561,B3561)=1,MAX(A$1:A3560)+1,"")</f>
        <v/>
      </c>
      <c r="B3561" s="11"/>
      <c r="C3561" s="11" t="str">
        <f>IF(COUNTIF(D$1:D3561,D3561)=1,MAX(C$1:C3560)+1,"")</f>
        <v/>
      </c>
      <c r="D3561" s="12"/>
    </row>
    <row r="3562" spans="1:4" x14ac:dyDescent="0.25">
      <c r="A3562" t="str">
        <f>IF(COUNTIF(B$1:B3562,B3562)=1,MAX(A$1:A3561)+1,"")</f>
        <v/>
      </c>
      <c r="B3562" s="11"/>
      <c r="C3562" s="11" t="str">
        <f>IF(COUNTIF(D$1:D3562,D3562)=1,MAX(C$1:C3561)+1,"")</f>
        <v/>
      </c>
      <c r="D3562" s="12"/>
    </row>
    <row r="3563" spans="1:4" x14ac:dyDescent="0.25">
      <c r="A3563" t="str">
        <f>IF(COUNTIF(B$1:B3563,B3563)=1,MAX(A$1:A3562)+1,"")</f>
        <v/>
      </c>
      <c r="B3563" s="11"/>
      <c r="C3563" s="11" t="str">
        <f>IF(COUNTIF(D$1:D3563,D3563)=1,MAX(C$1:C3562)+1,"")</f>
        <v/>
      </c>
      <c r="D3563" s="12"/>
    </row>
    <row r="3564" spans="1:4" x14ac:dyDescent="0.25">
      <c r="A3564" t="str">
        <f>IF(COUNTIF(B$1:B3564,B3564)=1,MAX(A$1:A3563)+1,"")</f>
        <v/>
      </c>
      <c r="B3564" s="11"/>
      <c r="C3564" s="11" t="str">
        <f>IF(COUNTIF(D$1:D3564,D3564)=1,MAX(C$1:C3563)+1,"")</f>
        <v/>
      </c>
      <c r="D3564" s="12"/>
    </row>
    <row r="3565" spans="1:4" x14ac:dyDescent="0.25">
      <c r="A3565" t="str">
        <f>IF(COUNTIF(B$1:B3565,B3565)=1,MAX(A$1:A3564)+1,"")</f>
        <v/>
      </c>
      <c r="B3565" s="11"/>
      <c r="C3565" s="11" t="str">
        <f>IF(COUNTIF(D$1:D3565,D3565)=1,MAX(C$1:C3564)+1,"")</f>
        <v/>
      </c>
      <c r="D3565" s="12"/>
    </row>
    <row r="3566" spans="1:4" x14ac:dyDescent="0.25">
      <c r="A3566" t="str">
        <f>IF(COUNTIF(B$1:B3566,B3566)=1,MAX(A$1:A3565)+1,"")</f>
        <v/>
      </c>
      <c r="B3566" s="11"/>
      <c r="C3566" s="11" t="str">
        <f>IF(COUNTIF(D$1:D3566,D3566)=1,MAX(C$1:C3565)+1,"")</f>
        <v/>
      </c>
      <c r="D3566" s="12"/>
    </row>
    <row r="3567" spans="1:4" x14ac:dyDescent="0.25">
      <c r="A3567" t="str">
        <f>IF(COUNTIF(B$1:B3567,B3567)=1,MAX(A$1:A3566)+1,"")</f>
        <v/>
      </c>
      <c r="B3567" s="11"/>
      <c r="C3567" s="11" t="str">
        <f>IF(COUNTIF(D$1:D3567,D3567)=1,MAX(C$1:C3566)+1,"")</f>
        <v/>
      </c>
      <c r="D3567" s="12"/>
    </row>
    <row r="3568" spans="1:4" x14ac:dyDescent="0.25">
      <c r="A3568" t="str">
        <f>IF(COUNTIF(B$1:B3568,B3568)=1,MAX(A$1:A3567)+1,"")</f>
        <v/>
      </c>
      <c r="B3568" s="11"/>
      <c r="C3568" s="11" t="str">
        <f>IF(COUNTIF(D$1:D3568,D3568)=1,MAX(C$1:C3567)+1,"")</f>
        <v/>
      </c>
      <c r="D3568" s="12"/>
    </row>
    <row r="3569" spans="1:4" x14ac:dyDescent="0.25">
      <c r="A3569" t="str">
        <f>IF(COUNTIF(B$1:B3569,B3569)=1,MAX(A$1:A3568)+1,"")</f>
        <v/>
      </c>
      <c r="B3569" s="11"/>
      <c r="C3569" s="11" t="str">
        <f>IF(COUNTIF(D$1:D3569,D3569)=1,MAX(C$1:C3568)+1,"")</f>
        <v/>
      </c>
      <c r="D3569" s="12"/>
    </row>
    <row r="3570" spans="1:4" x14ac:dyDescent="0.25">
      <c r="A3570" t="str">
        <f>IF(COUNTIF(B$1:B3570,B3570)=1,MAX(A$1:A3569)+1,"")</f>
        <v/>
      </c>
      <c r="B3570" s="11"/>
      <c r="C3570" s="11" t="str">
        <f>IF(COUNTIF(D$1:D3570,D3570)=1,MAX(C$1:C3569)+1,"")</f>
        <v/>
      </c>
      <c r="D3570" s="12"/>
    </row>
    <row r="3571" spans="1:4" x14ac:dyDescent="0.25">
      <c r="A3571" t="str">
        <f>IF(COUNTIF(B$1:B3571,B3571)=1,MAX(A$1:A3570)+1,"")</f>
        <v/>
      </c>
      <c r="B3571" s="11"/>
      <c r="C3571" s="11" t="str">
        <f>IF(COUNTIF(D$1:D3571,D3571)=1,MAX(C$1:C3570)+1,"")</f>
        <v/>
      </c>
      <c r="D3571" s="12"/>
    </row>
    <row r="3572" spans="1:4" x14ac:dyDescent="0.25">
      <c r="A3572" t="str">
        <f>IF(COUNTIF(B$1:B3572,B3572)=1,MAX(A$1:A3571)+1,"")</f>
        <v/>
      </c>
      <c r="B3572" s="11"/>
      <c r="C3572" s="11" t="str">
        <f>IF(COUNTIF(D$1:D3572,D3572)=1,MAX(C$1:C3571)+1,"")</f>
        <v/>
      </c>
      <c r="D3572" s="12"/>
    </row>
    <row r="3573" spans="1:4" x14ac:dyDescent="0.25">
      <c r="A3573" t="str">
        <f>IF(COUNTIF(B$1:B3573,B3573)=1,MAX(A$1:A3572)+1,"")</f>
        <v/>
      </c>
      <c r="B3573" s="11"/>
      <c r="C3573" s="11" t="str">
        <f>IF(COUNTIF(D$1:D3573,D3573)=1,MAX(C$1:C3572)+1,"")</f>
        <v/>
      </c>
      <c r="D3573" s="12"/>
    </row>
    <row r="3574" spans="1:4" x14ac:dyDescent="0.25">
      <c r="A3574" t="str">
        <f>IF(COUNTIF(B$1:B3574,B3574)=1,MAX(A$1:A3573)+1,"")</f>
        <v/>
      </c>
      <c r="B3574" s="11"/>
      <c r="C3574" s="11" t="str">
        <f>IF(COUNTIF(D$1:D3574,D3574)=1,MAX(C$1:C3573)+1,"")</f>
        <v/>
      </c>
      <c r="D3574" s="12"/>
    </row>
    <row r="3575" spans="1:4" x14ac:dyDescent="0.25">
      <c r="A3575" t="str">
        <f>IF(COUNTIF(B$1:B3575,B3575)=1,MAX(A$1:A3574)+1,"")</f>
        <v/>
      </c>
      <c r="B3575" s="11"/>
      <c r="C3575" s="11" t="str">
        <f>IF(COUNTIF(D$1:D3575,D3575)=1,MAX(C$1:C3574)+1,"")</f>
        <v/>
      </c>
      <c r="D3575" s="12"/>
    </row>
    <row r="3576" spans="1:4" x14ac:dyDescent="0.25">
      <c r="A3576" t="str">
        <f>IF(COUNTIF(B$1:B3576,B3576)=1,MAX(A$1:A3575)+1,"")</f>
        <v/>
      </c>
      <c r="B3576" s="11"/>
      <c r="C3576" s="11" t="str">
        <f>IF(COUNTIF(D$1:D3576,D3576)=1,MAX(C$1:C3575)+1,"")</f>
        <v/>
      </c>
      <c r="D3576" s="12"/>
    </row>
    <row r="3577" spans="1:4" x14ac:dyDescent="0.25">
      <c r="A3577" t="str">
        <f>IF(COUNTIF(B$1:B3577,B3577)=1,MAX(A$1:A3576)+1,"")</f>
        <v/>
      </c>
      <c r="B3577" s="11"/>
      <c r="C3577" s="11" t="str">
        <f>IF(COUNTIF(D$1:D3577,D3577)=1,MAX(C$1:C3576)+1,"")</f>
        <v/>
      </c>
      <c r="D3577" s="12"/>
    </row>
    <row r="3578" spans="1:4" x14ac:dyDescent="0.25">
      <c r="A3578" t="str">
        <f>IF(COUNTIF(B$1:B3578,B3578)=1,MAX(A$1:A3577)+1,"")</f>
        <v/>
      </c>
      <c r="B3578" s="11"/>
      <c r="C3578" s="11" t="str">
        <f>IF(COUNTIF(D$1:D3578,D3578)=1,MAX(C$1:C3577)+1,"")</f>
        <v/>
      </c>
      <c r="D3578" s="12"/>
    </row>
    <row r="3579" spans="1:4" x14ac:dyDescent="0.25">
      <c r="A3579" t="str">
        <f>IF(COUNTIF(B$1:B3579,B3579)=1,MAX(A$1:A3578)+1,"")</f>
        <v/>
      </c>
      <c r="B3579" s="11"/>
      <c r="C3579" s="11" t="str">
        <f>IF(COUNTIF(D$1:D3579,D3579)=1,MAX(C$1:C3578)+1,"")</f>
        <v/>
      </c>
      <c r="D3579" s="12"/>
    </row>
    <row r="3580" spans="1:4" x14ac:dyDescent="0.25">
      <c r="A3580" t="str">
        <f>IF(COUNTIF(B$1:B3580,B3580)=1,MAX(A$1:A3579)+1,"")</f>
        <v/>
      </c>
      <c r="B3580" s="11"/>
      <c r="C3580" s="11" t="str">
        <f>IF(COUNTIF(D$1:D3580,D3580)=1,MAX(C$1:C3579)+1,"")</f>
        <v/>
      </c>
      <c r="D3580" s="12"/>
    </row>
    <row r="3581" spans="1:4" x14ac:dyDescent="0.25">
      <c r="A3581" t="str">
        <f>IF(COUNTIF(B$1:B3581,B3581)=1,MAX(A$1:A3580)+1,"")</f>
        <v/>
      </c>
      <c r="B3581" s="11"/>
      <c r="C3581" s="11" t="str">
        <f>IF(COUNTIF(D$1:D3581,D3581)=1,MAX(C$1:C3580)+1,"")</f>
        <v/>
      </c>
      <c r="D3581" s="12"/>
    </row>
    <row r="3582" spans="1:4" x14ac:dyDescent="0.25">
      <c r="A3582" t="str">
        <f>IF(COUNTIF(B$1:B3582,B3582)=1,MAX(A$1:A3581)+1,"")</f>
        <v/>
      </c>
      <c r="B3582" s="11"/>
      <c r="C3582" s="11" t="str">
        <f>IF(COUNTIF(D$1:D3582,D3582)=1,MAX(C$1:C3581)+1,"")</f>
        <v/>
      </c>
      <c r="D3582" s="12"/>
    </row>
    <row r="3583" spans="1:4" x14ac:dyDescent="0.25">
      <c r="A3583" t="str">
        <f>IF(COUNTIF(B$1:B3583,B3583)=1,MAX(A$1:A3582)+1,"")</f>
        <v/>
      </c>
      <c r="B3583" s="11"/>
      <c r="C3583" s="11" t="str">
        <f>IF(COUNTIF(D$1:D3583,D3583)=1,MAX(C$1:C3582)+1,"")</f>
        <v/>
      </c>
      <c r="D3583" s="12"/>
    </row>
    <row r="3584" spans="1:4" x14ac:dyDescent="0.25">
      <c r="A3584" t="str">
        <f>IF(COUNTIF(B$1:B3584,B3584)=1,MAX(A$1:A3583)+1,"")</f>
        <v/>
      </c>
      <c r="B3584" s="11"/>
      <c r="C3584" s="11" t="str">
        <f>IF(COUNTIF(D$1:D3584,D3584)=1,MAX(C$1:C3583)+1,"")</f>
        <v/>
      </c>
      <c r="D3584" s="12"/>
    </row>
    <row r="3585" spans="1:4" x14ac:dyDescent="0.25">
      <c r="A3585" t="str">
        <f>IF(COUNTIF(B$1:B3585,B3585)=1,MAX(A$1:A3584)+1,"")</f>
        <v/>
      </c>
      <c r="B3585" s="11"/>
      <c r="C3585" s="11" t="str">
        <f>IF(COUNTIF(D$1:D3585,D3585)=1,MAX(C$1:C3584)+1,"")</f>
        <v/>
      </c>
      <c r="D3585" s="12"/>
    </row>
    <row r="3586" spans="1:4" x14ac:dyDescent="0.25">
      <c r="A3586" t="str">
        <f>IF(COUNTIF(B$1:B3586,B3586)=1,MAX(A$1:A3585)+1,"")</f>
        <v/>
      </c>
      <c r="B3586" s="11"/>
      <c r="C3586" s="11" t="str">
        <f>IF(COUNTIF(D$1:D3586,D3586)=1,MAX(C$1:C3585)+1,"")</f>
        <v/>
      </c>
      <c r="D3586" s="12"/>
    </row>
    <row r="3587" spans="1:4" x14ac:dyDescent="0.25">
      <c r="A3587" t="str">
        <f>IF(COUNTIF(B$1:B3587,B3587)=1,MAX(A$1:A3586)+1,"")</f>
        <v/>
      </c>
      <c r="B3587" s="11"/>
      <c r="C3587" s="11" t="str">
        <f>IF(COUNTIF(D$1:D3587,D3587)=1,MAX(C$1:C3586)+1,"")</f>
        <v/>
      </c>
      <c r="D3587" s="12"/>
    </row>
    <row r="3588" spans="1:4" x14ac:dyDescent="0.25">
      <c r="A3588" t="str">
        <f>IF(COUNTIF(B$1:B3588,B3588)=1,MAX(A$1:A3587)+1,"")</f>
        <v/>
      </c>
      <c r="B3588" s="11"/>
      <c r="C3588" s="11" t="str">
        <f>IF(COUNTIF(D$1:D3588,D3588)=1,MAX(C$1:C3587)+1,"")</f>
        <v/>
      </c>
      <c r="D3588" s="12"/>
    </row>
    <row r="3589" spans="1:4" x14ac:dyDescent="0.25">
      <c r="A3589" t="str">
        <f>IF(COUNTIF(B$1:B3589,B3589)=1,MAX(A$1:A3588)+1,"")</f>
        <v/>
      </c>
      <c r="B3589" s="11"/>
      <c r="C3589" s="11" t="str">
        <f>IF(COUNTIF(D$1:D3589,D3589)=1,MAX(C$1:C3588)+1,"")</f>
        <v/>
      </c>
      <c r="D3589" s="12"/>
    </row>
    <row r="3590" spans="1:4" x14ac:dyDescent="0.25">
      <c r="A3590" t="str">
        <f>IF(COUNTIF(B$1:B3590,B3590)=1,MAX(A$1:A3589)+1,"")</f>
        <v/>
      </c>
      <c r="B3590" s="11"/>
      <c r="C3590" s="11" t="str">
        <f>IF(COUNTIF(D$1:D3590,D3590)=1,MAX(C$1:C3589)+1,"")</f>
        <v/>
      </c>
      <c r="D3590" s="12"/>
    </row>
    <row r="3591" spans="1:4" x14ac:dyDescent="0.25">
      <c r="A3591" t="str">
        <f>IF(COUNTIF(B$1:B3591,B3591)=1,MAX(A$1:A3590)+1,"")</f>
        <v/>
      </c>
      <c r="B3591" s="11"/>
      <c r="C3591" s="11" t="str">
        <f>IF(COUNTIF(D$1:D3591,D3591)=1,MAX(C$1:C3590)+1,"")</f>
        <v/>
      </c>
      <c r="D3591" s="12"/>
    </row>
    <row r="3592" spans="1:4" x14ac:dyDescent="0.25">
      <c r="A3592" t="str">
        <f>IF(COUNTIF(B$1:B3592,B3592)=1,MAX(A$1:A3591)+1,"")</f>
        <v/>
      </c>
      <c r="B3592" s="11"/>
      <c r="C3592" s="11" t="str">
        <f>IF(COUNTIF(D$1:D3592,D3592)=1,MAX(C$1:C3591)+1,"")</f>
        <v/>
      </c>
      <c r="D3592" s="12"/>
    </row>
    <row r="3593" spans="1:4" x14ac:dyDescent="0.25">
      <c r="A3593" t="str">
        <f>IF(COUNTIF(B$1:B3593,B3593)=1,MAX(A$1:A3592)+1,"")</f>
        <v/>
      </c>
      <c r="B3593" s="11"/>
      <c r="C3593" s="11" t="str">
        <f>IF(COUNTIF(D$1:D3593,D3593)=1,MAX(C$1:C3592)+1,"")</f>
        <v/>
      </c>
      <c r="D3593" s="12"/>
    </row>
    <row r="3594" spans="1:4" x14ac:dyDescent="0.25">
      <c r="A3594" t="str">
        <f>IF(COUNTIF(B$1:B3594,B3594)=1,MAX(A$1:A3593)+1,"")</f>
        <v/>
      </c>
      <c r="B3594" s="11"/>
      <c r="C3594" s="11" t="str">
        <f>IF(COUNTIF(D$1:D3594,D3594)=1,MAX(C$1:C3593)+1,"")</f>
        <v/>
      </c>
      <c r="D3594" s="12"/>
    </row>
    <row r="3595" spans="1:4" x14ac:dyDescent="0.25">
      <c r="A3595" t="str">
        <f>IF(COUNTIF(B$1:B3595,B3595)=1,MAX(A$1:A3594)+1,"")</f>
        <v/>
      </c>
      <c r="B3595" s="11"/>
      <c r="C3595" s="11" t="str">
        <f>IF(COUNTIF(D$1:D3595,D3595)=1,MAX(C$1:C3594)+1,"")</f>
        <v/>
      </c>
      <c r="D3595" s="12"/>
    </row>
    <row r="3596" spans="1:4" x14ac:dyDescent="0.25">
      <c r="A3596" t="str">
        <f>IF(COUNTIF(B$1:B3596,B3596)=1,MAX(A$1:A3595)+1,"")</f>
        <v/>
      </c>
      <c r="B3596" s="11"/>
      <c r="C3596" s="11" t="str">
        <f>IF(COUNTIF(D$1:D3596,D3596)=1,MAX(C$1:C3595)+1,"")</f>
        <v/>
      </c>
      <c r="D3596" s="12"/>
    </row>
    <row r="3597" spans="1:4" x14ac:dyDescent="0.25">
      <c r="A3597" t="str">
        <f>IF(COUNTIF(B$1:B3597,B3597)=1,MAX(A$1:A3596)+1,"")</f>
        <v/>
      </c>
      <c r="B3597" s="11"/>
      <c r="C3597" s="11" t="str">
        <f>IF(COUNTIF(D$1:D3597,D3597)=1,MAX(C$1:C3596)+1,"")</f>
        <v/>
      </c>
      <c r="D3597" s="12"/>
    </row>
    <row r="3598" spans="1:4" x14ac:dyDescent="0.25">
      <c r="A3598" t="str">
        <f>IF(COUNTIF(B$1:B3598,B3598)=1,MAX(A$1:A3597)+1,"")</f>
        <v/>
      </c>
      <c r="B3598" s="11"/>
      <c r="C3598" s="11" t="str">
        <f>IF(COUNTIF(D$1:D3598,D3598)=1,MAX(C$1:C3597)+1,"")</f>
        <v/>
      </c>
      <c r="D3598" s="12"/>
    </row>
    <row r="3599" spans="1:4" x14ac:dyDescent="0.25">
      <c r="A3599" t="str">
        <f>IF(COUNTIF(B$1:B3599,B3599)=1,MAX(A$1:A3598)+1,"")</f>
        <v/>
      </c>
      <c r="B3599" s="11"/>
      <c r="C3599" s="11" t="str">
        <f>IF(COUNTIF(D$1:D3599,D3599)=1,MAX(C$1:C3598)+1,"")</f>
        <v/>
      </c>
      <c r="D3599" s="12"/>
    </row>
    <row r="3600" spans="1:4" x14ac:dyDescent="0.25">
      <c r="A3600" t="str">
        <f>IF(COUNTIF(B$1:B3600,B3600)=1,MAX(A$1:A3599)+1,"")</f>
        <v/>
      </c>
      <c r="B3600" s="11"/>
      <c r="C3600" s="11" t="str">
        <f>IF(COUNTIF(D$1:D3600,D3600)=1,MAX(C$1:C3599)+1,"")</f>
        <v/>
      </c>
      <c r="D3600" s="12"/>
    </row>
    <row r="3601" spans="1:4" x14ac:dyDescent="0.25">
      <c r="A3601" t="str">
        <f>IF(COUNTIF(B$1:B3601,B3601)=1,MAX(A$1:A3600)+1,"")</f>
        <v/>
      </c>
      <c r="B3601" s="11"/>
      <c r="C3601" s="11" t="str">
        <f>IF(COUNTIF(D$1:D3601,D3601)=1,MAX(C$1:C3600)+1,"")</f>
        <v/>
      </c>
      <c r="D3601" s="12"/>
    </row>
    <row r="3602" spans="1:4" x14ac:dyDescent="0.25">
      <c r="A3602" t="str">
        <f>IF(COUNTIF(B$1:B3602,B3602)=1,MAX(A$1:A3601)+1,"")</f>
        <v/>
      </c>
      <c r="B3602" s="11"/>
      <c r="C3602" s="11" t="str">
        <f>IF(COUNTIF(D$1:D3602,D3602)=1,MAX(C$1:C3601)+1,"")</f>
        <v/>
      </c>
      <c r="D3602" s="12"/>
    </row>
    <row r="3603" spans="1:4" x14ac:dyDescent="0.25">
      <c r="A3603" t="str">
        <f>IF(COUNTIF(B$1:B3603,B3603)=1,MAX(A$1:A3602)+1,"")</f>
        <v/>
      </c>
      <c r="B3603" s="11"/>
      <c r="C3603" s="11" t="str">
        <f>IF(COUNTIF(D$1:D3603,D3603)=1,MAX(C$1:C3602)+1,"")</f>
        <v/>
      </c>
      <c r="D3603" s="12"/>
    </row>
    <row r="3604" spans="1:4" x14ac:dyDescent="0.25">
      <c r="A3604" t="str">
        <f>IF(COUNTIF(B$1:B3604,B3604)=1,MAX(A$1:A3603)+1,"")</f>
        <v/>
      </c>
      <c r="B3604" s="11"/>
      <c r="C3604" s="11" t="str">
        <f>IF(COUNTIF(D$1:D3604,D3604)=1,MAX(C$1:C3603)+1,"")</f>
        <v/>
      </c>
      <c r="D3604" s="12"/>
    </row>
    <row r="3605" spans="1:4" x14ac:dyDescent="0.25">
      <c r="A3605" t="str">
        <f>IF(COUNTIF(B$1:B3605,B3605)=1,MAX(A$1:A3604)+1,"")</f>
        <v/>
      </c>
      <c r="B3605" s="11"/>
      <c r="C3605" s="11" t="str">
        <f>IF(COUNTIF(D$1:D3605,D3605)=1,MAX(C$1:C3604)+1,"")</f>
        <v/>
      </c>
      <c r="D3605" s="12"/>
    </row>
    <row r="3606" spans="1:4" x14ac:dyDescent="0.25">
      <c r="A3606" t="str">
        <f>IF(COUNTIF(B$1:B3606,B3606)=1,MAX(A$1:A3605)+1,"")</f>
        <v/>
      </c>
      <c r="B3606" s="11"/>
      <c r="C3606" s="11" t="str">
        <f>IF(COUNTIF(D$1:D3606,D3606)=1,MAX(C$1:C3605)+1,"")</f>
        <v/>
      </c>
      <c r="D3606" s="12"/>
    </row>
    <row r="3607" spans="1:4" x14ac:dyDescent="0.25">
      <c r="A3607" t="str">
        <f>IF(COUNTIF(B$1:B3607,B3607)=1,MAX(A$1:A3606)+1,"")</f>
        <v/>
      </c>
      <c r="B3607" s="11"/>
      <c r="C3607" s="11" t="str">
        <f>IF(COUNTIF(D$1:D3607,D3607)=1,MAX(C$1:C3606)+1,"")</f>
        <v/>
      </c>
      <c r="D3607" s="12"/>
    </row>
    <row r="3608" spans="1:4" x14ac:dyDescent="0.25">
      <c r="A3608" t="str">
        <f>IF(COUNTIF(B$1:B3608,B3608)=1,MAX(A$1:A3607)+1,"")</f>
        <v/>
      </c>
      <c r="B3608" s="11"/>
      <c r="C3608" s="11" t="str">
        <f>IF(COUNTIF(D$1:D3608,D3608)=1,MAX(C$1:C3607)+1,"")</f>
        <v/>
      </c>
      <c r="D3608" s="12"/>
    </row>
    <row r="3609" spans="1:4" x14ac:dyDescent="0.25">
      <c r="A3609" t="str">
        <f>IF(COUNTIF(B$1:B3609,B3609)=1,MAX(A$1:A3608)+1,"")</f>
        <v/>
      </c>
      <c r="B3609" s="11"/>
      <c r="C3609" s="11" t="str">
        <f>IF(COUNTIF(D$1:D3609,D3609)=1,MAX(C$1:C3608)+1,"")</f>
        <v/>
      </c>
      <c r="D3609" s="12"/>
    </row>
    <row r="3610" spans="1:4" x14ac:dyDescent="0.25">
      <c r="A3610" t="str">
        <f>IF(COUNTIF(B$1:B3610,B3610)=1,MAX(A$1:A3609)+1,"")</f>
        <v/>
      </c>
      <c r="B3610" s="11"/>
      <c r="C3610" s="11" t="str">
        <f>IF(COUNTIF(D$1:D3610,D3610)=1,MAX(C$1:C3609)+1,"")</f>
        <v/>
      </c>
      <c r="D3610" s="12"/>
    </row>
    <row r="3611" spans="1:4" x14ac:dyDescent="0.25">
      <c r="A3611" t="str">
        <f>IF(COUNTIF(B$1:B3611,B3611)=1,MAX(A$1:A3610)+1,"")</f>
        <v/>
      </c>
      <c r="B3611" s="11"/>
      <c r="C3611" s="11" t="str">
        <f>IF(COUNTIF(D$1:D3611,D3611)=1,MAX(C$1:C3610)+1,"")</f>
        <v/>
      </c>
      <c r="D3611" s="12"/>
    </row>
    <row r="3612" spans="1:4" x14ac:dyDescent="0.25">
      <c r="A3612" t="str">
        <f>IF(COUNTIF(B$1:B3612,B3612)=1,MAX(A$1:A3611)+1,"")</f>
        <v/>
      </c>
      <c r="B3612" s="11"/>
      <c r="C3612" s="11" t="str">
        <f>IF(COUNTIF(D$1:D3612,D3612)=1,MAX(C$1:C3611)+1,"")</f>
        <v/>
      </c>
      <c r="D3612" s="12"/>
    </row>
    <row r="3613" spans="1:4" x14ac:dyDescent="0.25">
      <c r="A3613" t="str">
        <f>IF(COUNTIF(B$1:B3613,B3613)=1,MAX(A$1:A3612)+1,"")</f>
        <v/>
      </c>
      <c r="B3613" s="11"/>
      <c r="C3613" s="11" t="str">
        <f>IF(COUNTIF(D$1:D3613,D3613)=1,MAX(C$1:C3612)+1,"")</f>
        <v/>
      </c>
      <c r="D3613" s="12"/>
    </row>
    <row r="3614" spans="1:4" x14ac:dyDescent="0.25">
      <c r="A3614" t="str">
        <f>IF(COUNTIF(B$1:B3614,B3614)=1,MAX(A$1:A3613)+1,"")</f>
        <v/>
      </c>
      <c r="B3614" s="11"/>
      <c r="C3614" s="11" t="str">
        <f>IF(COUNTIF(D$1:D3614,D3614)=1,MAX(C$1:C3613)+1,"")</f>
        <v/>
      </c>
      <c r="D3614" s="12"/>
    </row>
    <row r="3615" spans="1:4" x14ac:dyDescent="0.25">
      <c r="A3615" t="str">
        <f>IF(COUNTIF(B$1:B3615,B3615)=1,MAX(A$1:A3614)+1,"")</f>
        <v/>
      </c>
      <c r="B3615" s="11"/>
      <c r="C3615" s="11" t="str">
        <f>IF(COUNTIF(D$1:D3615,D3615)=1,MAX(C$1:C3614)+1,"")</f>
        <v/>
      </c>
      <c r="D3615" s="12"/>
    </row>
    <row r="3616" spans="1:4" x14ac:dyDescent="0.25">
      <c r="A3616" t="str">
        <f>IF(COUNTIF(B$1:B3616,B3616)=1,MAX(A$1:A3615)+1,"")</f>
        <v/>
      </c>
      <c r="B3616" s="11"/>
      <c r="C3616" s="11" t="str">
        <f>IF(COUNTIF(D$1:D3616,D3616)=1,MAX(C$1:C3615)+1,"")</f>
        <v/>
      </c>
      <c r="D3616" s="12"/>
    </row>
    <row r="3617" spans="1:4" x14ac:dyDescent="0.25">
      <c r="A3617" t="str">
        <f>IF(COUNTIF(B$1:B3617,B3617)=1,MAX(A$1:A3616)+1,"")</f>
        <v/>
      </c>
      <c r="B3617" s="11"/>
      <c r="C3617" s="11" t="str">
        <f>IF(COUNTIF(D$1:D3617,D3617)=1,MAX(C$1:C3616)+1,"")</f>
        <v/>
      </c>
      <c r="D3617" s="12"/>
    </row>
    <row r="3618" spans="1:4" x14ac:dyDescent="0.25">
      <c r="A3618" t="str">
        <f>IF(COUNTIF(B$1:B3618,B3618)=1,MAX(A$1:A3617)+1,"")</f>
        <v/>
      </c>
      <c r="B3618" s="11"/>
      <c r="C3618" s="11" t="str">
        <f>IF(COUNTIF(D$1:D3618,D3618)=1,MAX(C$1:C3617)+1,"")</f>
        <v/>
      </c>
      <c r="D3618" s="12"/>
    </row>
    <row r="3619" spans="1:4" x14ac:dyDescent="0.25">
      <c r="A3619" t="str">
        <f>IF(COUNTIF(B$1:B3619,B3619)=1,MAX(A$1:A3618)+1,"")</f>
        <v/>
      </c>
      <c r="B3619" s="11"/>
      <c r="C3619" s="11" t="str">
        <f>IF(COUNTIF(D$1:D3619,D3619)=1,MAX(C$1:C3618)+1,"")</f>
        <v/>
      </c>
      <c r="D3619" s="12"/>
    </row>
    <row r="3620" spans="1:4" x14ac:dyDescent="0.25">
      <c r="A3620" t="str">
        <f>IF(COUNTIF(B$1:B3620,B3620)=1,MAX(A$1:A3619)+1,"")</f>
        <v/>
      </c>
      <c r="B3620" s="11"/>
      <c r="C3620" s="11" t="str">
        <f>IF(COUNTIF(D$1:D3620,D3620)=1,MAX(C$1:C3619)+1,"")</f>
        <v/>
      </c>
      <c r="D3620" s="12"/>
    </row>
    <row r="3621" spans="1:4" x14ac:dyDescent="0.25">
      <c r="A3621" t="str">
        <f>IF(COUNTIF(B$1:B3621,B3621)=1,MAX(A$1:A3620)+1,"")</f>
        <v/>
      </c>
      <c r="B3621" s="11"/>
      <c r="C3621" s="11" t="str">
        <f>IF(COUNTIF(D$1:D3621,D3621)=1,MAX(C$1:C3620)+1,"")</f>
        <v/>
      </c>
      <c r="D3621" s="12"/>
    </row>
    <row r="3622" spans="1:4" x14ac:dyDescent="0.25">
      <c r="A3622" t="str">
        <f>IF(COUNTIF(B$1:B3622,B3622)=1,MAX(A$1:A3621)+1,"")</f>
        <v/>
      </c>
      <c r="B3622" s="11"/>
      <c r="C3622" s="11" t="str">
        <f>IF(COUNTIF(D$1:D3622,D3622)=1,MAX(C$1:C3621)+1,"")</f>
        <v/>
      </c>
      <c r="D3622" s="12"/>
    </row>
    <row r="3623" spans="1:4" x14ac:dyDescent="0.25">
      <c r="A3623" t="str">
        <f>IF(COUNTIF(B$1:B3623,B3623)=1,MAX(A$1:A3622)+1,"")</f>
        <v/>
      </c>
      <c r="B3623" s="11"/>
      <c r="C3623" s="11" t="str">
        <f>IF(COUNTIF(D$1:D3623,D3623)=1,MAX(C$1:C3622)+1,"")</f>
        <v/>
      </c>
      <c r="D3623" s="12"/>
    </row>
    <row r="3624" spans="1:4" x14ac:dyDescent="0.25">
      <c r="A3624" t="str">
        <f>IF(COUNTIF(B$1:B3624,B3624)=1,MAX(A$1:A3623)+1,"")</f>
        <v/>
      </c>
      <c r="B3624" s="11"/>
      <c r="C3624" s="11" t="str">
        <f>IF(COUNTIF(D$1:D3624,D3624)=1,MAX(C$1:C3623)+1,"")</f>
        <v/>
      </c>
      <c r="D3624" s="12"/>
    </row>
    <row r="3625" spans="1:4" x14ac:dyDescent="0.25">
      <c r="A3625" t="str">
        <f>IF(COUNTIF(B$1:B3625,B3625)=1,MAX(A$1:A3624)+1,"")</f>
        <v/>
      </c>
      <c r="B3625" s="11"/>
      <c r="C3625" s="11" t="str">
        <f>IF(COUNTIF(D$1:D3625,D3625)=1,MAX(C$1:C3624)+1,"")</f>
        <v/>
      </c>
      <c r="D3625" s="12"/>
    </row>
    <row r="3626" spans="1:4" x14ac:dyDescent="0.25">
      <c r="A3626" t="str">
        <f>IF(COUNTIF(B$1:B3626,B3626)=1,MAX(A$1:A3625)+1,"")</f>
        <v/>
      </c>
      <c r="B3626" s="11"/>
      <c r="C3626" s="11" t="str">
        <f>IF(COUNTIF(D$1:D3626,D3626)=1,MAX(C$1:C3625)+1,"")</f>
        <v/>
      </c>
      <c r="D3626" s="12"/>
    </row>
    <row r="3627" spans="1:4" x14ac:dyDescent="0.25">
      <c r="A3627" t="str">
        <f>IF(COUNTIF(B$1:B3627,B3627)=1,MAX(A$1:A3626)+1,"")</f>
        <v/>
      </c>
      <c r="B3627" s="11"/>
      <c r="C3627" s="11" t="str">
        <f>IF(COUNTIF(D$1:D3627,D3627)=1,MAX(C$1:C3626)+1,"")</f>
        <v/>
      </c>
      <c r="D3627" s="12"/>
    </row>
    <row r="3628" spans="1:4" x14ac:dyDescent="0.25">
      <c r="A3628" t="str">
        <f>IF(COUNTIF(B$1:B3628,B3628)=1,MAX(A$1:A3627)+1,"")</f>
        <v/>
      </c>
      <c r="B3628" s="11"/>
      <c r="C3628" s="11" t="str">
        <f>IF(COUNTIF(D$1:D3628,D3628)=1,MAX(C$1:C3627)+1,"")</f>
        <v/>
      </c>
      <c r="D3628" s="12"/>
    </row>
    <row r="3629" spans="1:4" x14ac:dyDescent="0.25">
      <c r="A3629" t="str">
        <f>IF(COUNTIF(B$1:B3629,B3629)=1,MAX(A$1:A3628)+1,"")</f>
        <v/>
      </c>
      <c r="B3629" s="11"/>
      <c r="C3629" s="11" t="str">
        <f>IF(COUNTIF(D$1:D3629,D3629)=1,MAX(C$1:C3628)+1,"")</f>
        <v/>
      </c>
      <c r="D3629" s="12"/>
    </row>
    <row r="3630" spans="1:4" x14ac:dyDescent="0.25">
      <c r="A3630" t="str">
        <f>IF(COUNTIF(B$1:B3630,B3630)=1,MAX(A$1:A3629)+1,"")</f>
        <v/>
      </c>
      <c r="B3630" s="11"/>
      <c r="C3630" s="11" t="str">
        <f>IF(COUNTIF(D$1:D3630,D3630)=1,MAX(C$1:C3629)+1,"")</f>
        <v/>
      </c>
      <c r="D3630" s="12"/>
    </row>
    <row r="3631" spans="1:4" x14ac:dyDescent="0.25">
      <c r="A3631" t="str">
        <f>IF(COUNTIF(B$1:B3631,B3631)=1,MAX(A$1:A3630)+1,"")</f>
        <v/>
      </c>
      <c r="B3631" s="11"/>
      <c r="C3631" s="11" t="str">
        <f>IF(COUNTIF(D$1:D3631,D3631)=1,MAX(C$1:C3630)+1,"")</f>
        <v/>
      </c>
      <c r="D3631" s="12"/>
    </row>
    <row r="3632" spans="1:4" x14ac:dyDescent="0.25">
      <c r="A3632" t="str">
        <f>IF(COUNTIF(B$1:B3632,B3632)=1,MAX(A$1:A3631)+1,"")</f>
        <v/>
      </c>
      <c r="B3632" s="11"/>
      <c r="C3632" s="11" t="str">
        <f>IF(COUNTIF(D$1:D3632,D3632)=1,MAX(C$1:C3631)+1,"")</f>
        <v/>
      </c>
      <c r="D3632" s="12"/>
    </row>
    <row r="3633" spans="1:4" x14ac:dyDescent="0.25">
      <c r="A3633" t="str">
        <f>IF(COUNTIF(B$1:B3633,B3633)=1,MAX(A$1:A3632)+1,"")</f>
        <v/>
      </c>
      <c r="B3633" s="11"/>
      <c r="C3633" s="11" t="str">
        <f>IF(COUNTIF(D$1:D3633,D3633)=1,MAX(C$1:C3632)+1,"")</f>
        <v/>
      </c>
      <c r="D3633" s="12"/>
    </row>
    <row r="3634" spans="1:4" x14ac:dyDescent="0.25">
      <c r="A3634" t="str">
        <f>IF(COUNTIF(B$1:B3634,B3634)=1,MAX(A$1:A3633)+1,"")</f>
        <v/>
      </c>
      <c r="B3634" s="11"/>
      <c r="C3634" s="11" t="str">
        <f>IF(COUNTIF(D$1:D3634,D3634)=1,MAX(C$1:C3633)+1,"")</f>
        <v/>
      </c>
      <c r="D3634" s="12"/>
    </row>
    <row r="3635" spans="1:4" x14ac:dyDescent="0.25">
      <c r="A3635" t="str">
        <f>IF(COUNTIF(B$1:B3635,B3635)=1,MAX(A$1:A3634)+1,"")</f>
        <v/>
      </c>
      <c r="B3635" s="11"/>
      <c r="C3635" s="11" t="str">
        <f>IF(COUNTIF(D$1:D3635,D3635)=1,MAX(C$1:C3634)+1,"")</f>
        <v/>
      </c>
      <c r="D3635" s="12"/>
    </row>
    <row r="3636" spans="1:4" x14ac:dyDescent="0.25">
      <c r="A3636" t="str">
        <f>IF(COUNTIF(B$1:B3636,B3636)=1,MAX(A$1:A3635)+1,"")</f>
        <v/>
      </c>
      <c r="B3636" s="11"/>
      <c r="C3636" s="11" t="str">
        <f>IF(COUNTIF(D$1:D3636,D3636)=1,MAX(C$1:C3635)+1,"")</f>
        <v/>
      </c>
      <c r="D3636" s="12"/>
    </row>
    <row r="3637" spans="1:4" x14ac:dyDescent="0.25">
      <c r="A3637" t="str">
        <f>IF(COUNTIF(B$1:B3637,B3637)=1,MAX(A$1:A3636)+1,"")</f>
        <v/>
      </c>
      <c r="B3637" s="11"/>
      <c r="C3637" s="11" t="str">
        <f>IF(COUNTIF(D$1:D3637,D3637)=1,MAX(C$1:C3636)+1,"")</f>
        <v/>
      </c>
      <c r="D3637" s="12"/>
    </row>
    <row r="3638" spans="1:4" x14ac:dyDescent="0.25">
      <c r="A3638" t="str">
        <f>IF(COUNTIF(B$1:B3638,B3638)=1,MAX(A$1:A3637)+1,"")</f>
        <v/>
      </c>
      <c r="B3638" s="11"/>
      <c r="C3638" s="11" t="str">
        <f>IF(COUNTIF(D$1:D3638,D3638)=1,MAX(C$1:C3637)+1,"")</f>
        <v/>
      </c>
      <c r="D3638" s="12"/>
    </row>
    <row r="3639" spans="1:4" x14ac:dyDescent="0.25">
      <c r="A3639" t="str">
        <f>IF(COUNTIF(B$1:B3639,B3639)=1,MAX(A$1:A3638)+1,"")</f>
        <v/>
      </c>
      <c r="B3639" s="11"/>
      <c r="C3639" s="11" t="str">
        <f>IF(COUNTIF(D$1:D3639,D3639)=1,MAX(C$1:C3638)+1,"")</f>
        <v/>
      </c>
      <c r="D3639" s="12"/>
    </row>
    <row r="3640" spans="1:4" x14ac:dyDescent="0.25">
      <c r="A3640" t="str">
        <f>IF(COUNTIF(B$1:B3640,B3640)=1,MAX(A$1:A3639)+1,"")</f>
        <v/>
      </c>
      <c r="B3640" s="11"/>
      <c r="C3640" s="11" t="str">
        <f>IF(COUNTIF(D$1:D3640,D3640)=1,MAX(C$1:C3639)+1,"")</f>
        <v/>
      </c>
      <c r="D3640" s="12"/>
    </row>
    <row r="3641" spans="1:4" x14ac:dyDescent="0.25">
      <c r="A3641" t="str">
        <f>IF(COUNTIF(B$1:B3641,B3641)=1,MAX(A$1:A3640)+1,"")</f>
        <v/>
      </c>
      <c r="B3641" s="11"/>
      <c r="C3641" s="11" t="str">
        <f>IF(COUNTIF(D$1:D3641,D3641)=1,MAX(C$1:C3640)+1,"")</f>
        <v/>
      </c>
      <c r="D3641" s="12"/>
    </row>
    <row r="3642" spans="1:4" x14ac:dyDescent="0.25">
      <c r="A3642" t="str">
        <f>IF(COUNTIF(B$1:B3642,B3642)=1,MAX(A$1:A3641)+1,"")</f>
        <v/>
      </c>
      <c r="B3642" s="11"/>
      <c r="C3642" s="11" t="str">
        <f>IF(COUNTIF(D$1:D3642,D3642)=1,MAX(C$1:C3641)+1,"")</f>
        <v/>
      </c>
      <c r="D3642" s="12"/>
    </row>
    <row r="3643" spans="1:4" x14ac:dyDescent="0.25">
      <c r="A3643" t="str">
        <f>IF(COUNTIF(B$1:B3643,B3643)=1,MAX(A$1:A3642)+1,"")</f>
        <v/>
      </c>
      <c r="B3643" s="11"/>
      <c r="C3643" s="11" t="str">
        <f>IF(COUNTIF(D$1:D3643,D3643)=1,MAX(C$1:C3642)+1,"")</f>
        <v/>
      </c>
      <c r="D3643" s="12"/>
    </row>
    <row r="3644" spans="1:4" x14ac:dyDescent="0.25">
      <c r="A3644" t="str">
        <f>IF(COUNTIF(B$1:B3644,B3644)=1,MAX(A$1:A3643)+1,"")</f>
        <v/>
      </c>
      <c r="B3644" s="11"/>
      <c r="C3644" s="11" t="str">
        <f>IF(COUNTIF(D$1:D3644,D3644)=1,MAX(C$1:C3643)+1,"")</f>
        <v/>
      </c>
      <c r="D3644" s="12"/>
    </row>
    <row r="3645" spans="1:4" x14ac:dyDescent="0.25">
      <c r="A3645" t="str">
        <f>IF(COUNTIF(B$1:B3645,B3645)=1,MAX(A$1:A3644)+1,"")</f>
        <v/>
      </c>
      <c r="B3645" s="11"/>
      <c r="C3645" s="11" t="str">
        <f>IF(COUNTIF(D$1:D3645,D3645)=1,MAX(C$1:C3644)+1,"")</f>
        <v/>
      </c>
      <c r="D3645" s="12"/>
    </row>
    <row r="3646" spans="1:4" x14ac:dyDescent="0.25">
      <c r="A3646" t="str">
        <f>IF(COUNTIF(B$1:B3646,B3646)=1,MAX(A$1:A3645)+1,"")</f>
        <v/>
      </c>
      <c r="B3646" s="11"/>
      <c r="C3646" s="11" t="str">
        <f>IF(COUNTIF(D$1:D3646,D3646)=1,MAX(C$1:C3645)+1,"")</f>
        <v/>
      </c>
      <c r="D3646" s="12"/>
    </row>
    <row r="3647" spans="1:4" x14ac:dyDescent="0.25">
      <c r="A3647" t="str">
        <f>IF(COUNTIF(B$1:B3647,B3647)=1,MAX(A$1:A3646)+1,"")</f>
        <v/>
      </c>
      <c r="B3647" s="11"/>
      <c r="C3647" s="11" t="str">
        <f>IF(COUNTIF(D$1:D3647,D3647)=1,MAX(C$1:C3646)+1,"")</f>
        <v/>
      </c>
      <c r="D3647" s="12"/>
    </row>
    <row r="3648" spans="1:4" x14ac:dyDescent="0.25">
      <c r="A3648" t="str">
        <f>IF(COUNTIF(B$1:B3648,B3648)=1,MAX(A$1:A3647)+1,"")</f>
        <v/>
      </c>
      <c r="B3648" s="11"/>
      <c r="C3648" s="11" t="str">
        <f>IF(COUNTIF(D$1:D3648,D3648)=1,MAX(C$1:C3647)+1,"")</f>
        <v/>
      </c>
      <c r="D3648" s="12"/>
    </row>
    <row r="3649" spans="1:4" x14ac:dyDescent="0.25">
      <c r="A3649" t="str">
        <f>IF(COUNTIF(B$1:B3649,B3649)=1,MAX(A$1:A3648)+1,"")</f>
        <v/>
      </c>
      <c r="B3649" s="11"/>
      <c r="C3649" s="11" t="str">
        <f>IF(COUNTIF(D$1:D3649,D3649)=1,MAX(C$1:C3648)+1,"")</f>
        <v/>
      </c>
      <c r="D3649" s="12"/>
    </row>
    <row r="3650" spans="1:4" x14ac:dyDescent="0.25">
      <c r="A3650" t="str">
        <f>IF(COUNTIF(B$1:B3650,B3650)=1,MAX(A$1:A3649)+1,"")</f>
        <v/>
      </c>
      <c r="B3650" s="11"/>
      <c r="C3650" s="11" t="str">
        <f>IF(COUNTIF(D$1:D3650,D3650)=1,MAX(C$1:C3649)+1,"")</f>
        <v/>
      </c>
      <c r="D3650" s="12"/>
    </row>
    <row r="3651" spans="1:4" x14ac:dyDescent="0.25">
      <c r="A3651" t="str">
        <f>IF(COUNTIF(B$1:B3651,B3651)=1,MAX(A$1:A3650)+1,"")</f>
        <v/>
      </c>
      <c r="B3651" s="11"/>
      <c r="C3651" s="11" t="str">
        <f>IF(COUNTIF(D$1:D3651,D3651)=1,MAX(C$1:C3650)+1,"")</f>
        <v/>
      </c>
      <c r="D3651" s="12"/>
    </row>
    <row r="3652" spans="1:4" x14ac:dyDescent="0.25">
      <c r="A3652" t="str">
        <f>IF(COUNTIF(B$1:B3652,B3652)=1,MAX(A$1:A3651)+1,"")</f>
        <v/>
      </c>
      <c r="B3652" s="11"/>
      <c r="C3652" s="11" t="str">
        <f>IF(COUNTIF(D$1:D3652,D3652)=1,MAX(C$1:C3651)+1,"")</f>
        <v/>
      </c>
      <c r="D3652" s="12"/>
    </row>
    <row r="3653" spans="1:4" x14ac:dyDescent="0.25">
      <c r="A3653" t="str">
        <f>IF(COUNTIF(B$1:B3653,B3653)=1,MAX(A$1:A3652)+1,"")</f>
        <v/>
      </c>
      <c r="B3653" s="11"/>
      <c r="C3653" s="11" t="str">
        <f>IF(COUNTIF(D$1:D3653,D3653)=1,MAX(C$1:C3652)+1,"")</f>
        <v/>
      </c>
      <c r="D3653" s="12"/>
    </row>
    <row r="3654" spans="1:4" x14ac:dyDescent="0.25">
      <c r="A3654" t="str">
        <f>IF(COUNTIF(B$1:B3654,B3654)=1,MAX(A$1:A3653)+1,"")</f>
        <v/>
      </c>
      <c r="B3654" s="11"/>
      <c r="C3654" s="11" t="str">
        <f>IF(COUNTIF(D$1:D3654,D3654)=1,MAX(C$1:C3653)+1,"")</f>
        <v/>
      </c>
      <c r="D3654" s="12"/>
    </row>
    <row r="3655" spans="1:4" x14ac:dyDescent="0.25">
      <c r="A3655" t="str">
        <f>IF(COUNTIF(B$1:B3655,B3655)=1,MAX(A$1:A3654)+1,"")</f>
        <v/>
      </c>
      <c r="B3655" s="11"/>
      <c r="C3655" s="11" t="str">
        <f>IF(COUNTIF(D$1:D3655,D3655)=1,MAX(C$1:C3654)+1,"")</f>
        <v/>
      </c>
      <c r="D3655" s="12"/>
    </row>
    <row r="3656" spans="1:4" x14ac:dyDescent="0.25">
      <c r="A3656" t="str">
        <f>IF(COUNTIF(B$1:B3656,B3656)=1,MAX(A$1:A3655)+1,"")</f>
        <v/>
      </c>
      <c r="B3656" s="11"/>
      <c r="C3656" s="11" t="str">
        <f>IF(COUNTIF(D$1:D3656,D3656)=1,MAX(C$1:C3655)+1,"")</f>
        <v/>
      </c>
      <c r="D3656" s="12"/>
    </row>
    <row r="3657" spans="1:4" x14ac:dyDescent="0.25">
      <c r="A3657" t="str">
        <f>IF(COUNTIF(B$1:B3657,B3657)=1,MAX(A$1:A3656)+1,"")</f>
        <v/>
      </c>
      <c r="B3657" s="11"/>
      <c r="C3657" s="11" t="str">
        <f>IF(COUNTIF(D$1:D3657,D3657)=1,MAX(C$1:C3656)+1,"")</f>
        <v/>
      </c>
      <c r="D3657" s="12"/>
    </row>
    <row r="3658" spans="1:4" x14ac:dyDescent="0.25">
      <c r="A3658" t="str">
        <f>IF(COUNTIF(B$1:B3658,B3658)=1,MAX(A$1:A3657)+1,"")</f>
        <v/>
      </c>
      <c r="B3658" s="11"/>
      <c r="C3658" s="11" t="str">
        <f>IF(COUNTIF(D$1:D3658,D3658)=1,MAX(C$1:C3657)+1,"")</f>
        <v/>
      </c>
      <c r="D3658" s="12"/>
    </row>
    <row r="3659" spans="1:4" x14ac:dyDescent="0.25">
      <c r="A3659" t="str">
        <f>IF(COUNTIF(B$1:B3659,B3659)=1,MAX(A$1:A3658)+1,"")</f>
        <v/>
      </c>
      <c r="B3659" s="11"/>
      <c r="C3659" s="11" t="str">
        <f>IF(COUNTIF(D$1:D3659,D3659)=1,MAX(C$1:C3658)+1,"")</f>
        <v/>
      </c>
      <c r="D3659" s="12"/>
    </row>
    <row r="3660" spans="1:4" x14ac:dyDescent="0.25">
      <c r="A3660" t="str">
        <f>IF(COUNTIF(B$1:B3660,B3660)=1,MAX(A$1:A3659)+1,"")</f>
        <v/>
      </c>
      <c r="B3660" s="11"/>
      <c r="C3660" s="11" t="str">
        <f>IF(COUNTIF(D$1:D3660,D3660)=1,MAX(C$1:C3659)+1,"")</f>
        <v/>
      </c>
      <c r="D3660" s="12"/>
    </row>
    <row r="3661" spans="1:4" x14ac:dyDescent="0.25">
      <c r="A3661" t="str">
        <f>IF(COUNTIF(B$1:B3661,B3661)=1,MAX(A$1:A3660)+1,"")</f>
        <v/>
      </c>
      <c r="B3661" s="11"/>
      <c r="C3661" s="11" t="str">
        <f>IF(COUNTIF(D$1:D3661,D3661)=1,MAX(C$1:C3660)+1,"")</f>
        <v/>
      </c>
      <c r="D3661" s="12"/>
    </row>
    <row r="3662" spans="1:4" x14ac:dyDescent="0.25">
      <c r="A3662" t="str">
        <f>IF(COUNTIF(B$1:B3662,B3662)=1,MAX(A$1:A3661)+1,"")</f>
        <v/>
      </c>
      <c r="B3662" s="11"/>
      <c r="C3662" s="11" t="str">
        <f>IF(COUNTIF(D$1:D3662,D3662)=1,MAX(C$1:C3661)+1,"")</f>
        <v/>
      </c>
      <c r="D3662" s="12"/>
    </row>
    <row r="3663" spans="1:4" x14ac:dyDescent="0.25">
      <c r="A3663" t="str">
        <f>IF(COUNTIF(B$1:B3663,B3663)=1,MAX(A$1:A3662)+1,"")</f>
        <v/>
      </c>
      <c r="B3663" s="11"/>
      <c r="C3663" s="11" t="str">
        <f>IF(COUNTIF(D$1:D3663,D3663)=1,MAX(C$1:C3662)+1,"")</f>
        <v/>
      </c>
      <c r="D3663" s="12"/>
    </row>
    <row r="3664" spans="1:4" x14ac:dyDescent="0.25">
      <c r="A3664" t="str">
        <f>IF(COUNTIF(B$1:B3664,B3664)=1,MAX(A$1:A3663)+1,"")</f>
        <v/>
      </c>
      <c r="B3664" s="11"/>
      <c r="C3664" s="11" t="str">
        <f>IF(COUNTIF(D$1:D3664,D3664)=1,MAX(C$1:C3663)+1,"")</f>
        <v/>
      </c>
      <c r="D3664" s="12"/>
    </row>
    <row r="3665" spans="1:4" x14ac:dyDescent="0.25">
      <c r="A3665" t="str">
        <f>IF(COUNTIF(B$1:B3665,B3665)=1,MAX(A$1:A3664)+1,"")</f>
        <v/>
      </c>
      <c r="B3665" s="11"/>
      <c r="C3665" s="11" t="str">
        <f>IF(COUNTIF(D$1:D3665,D3665)=1,MAX(C$1:C3664)+1,"")</f>
        <v/>
      </c>
      <c r="D3665" s="12"/>
    </row>
    <row r="3666" spans="1:4" x14ac:dyDescent="0.25">
      <c r="A3666" t="str">
        <f>IF(COUNTIF(B$1:B3666,B3666)=1,MAX(A$1:A3665)+1,"")</f>
        <v/>
      </c>
      <c r="B3666" s="11"/>
      <c r="C3666" s="11" t="str">
        <f>IF(COUNTIF(D$1:D3666,D3666)=1,MAX(C$1:C3665)+1,"")</f>
        <v/>
      </c>
      <c r="D3666" s="12"/>
    </row>
    <row r="3667" spans="1:4" x14ac:dyDescent="0.25">
      <c r="A3667" t="str">
        <f>IF(COUNTIF(B$1:B3667,B3667)=1,MAX(A$1:A3666)+1,"")</f>
        <v/>
      </c>
      <c r="B3667" s="11"/>
      <c r="C3667" s="11" t="str">
        <f>IF(COUNTIF(D$1:D3667,D3667)=1,MAX(C$1:C3666)+1,"")</f>
        <v/>
      </c>
      <c r="D3667" s="12"/>
    </row>
    <row r="3668" spans="1:4" x14ac:dyDescent="0.25">
      <c r="A3668" t="str">
        <f>IF(COUNTIF(B$1:B3668,B3668)=1,MAX(A$1:A3667)+1,"")</f>
        <v/>
      </c>
      <c r="B3668" s="11"/>
      <c r="C3668" s="11" t="str">
        <f>IF(COUNTIF(D$1:D3668,D3668)=1,MAX(C$1:C3667)+1,"")</f>
        <v/>
      </c>
      <c r="D3668" s="12"/>
    </row>
    <row r="3669" spans="1:4" x14ac:dyDescent="0.25">
      <c r="A3669" t="str">
        <f>IF(COUNTIF(B$1:B3669,B3669)=1,MAX(A$1:A3668)+1,"")</f>
        <v/>
      </c>
      <c r="B3669" s="11"/>
      <c r="C3669" s="11" t="str">
        <f>IF(COUNTIF(D$1:D3669,D3669)=1,MAX(C$1:C3668)+1,"")</f>
        <v/>
      </c>
      <c r="D3669" s="12"/>
    </row>
    <row r="3670" spans="1:4" x14ac:dyDescent="0.25">
      <c r="A3670" t="str">
        <f>IF(COUNTIF(B$1:B3670,B3670)=1,MAX(A$1:A3669)+1,"")</f>
        <v/>
      </c>
      <c r="B3670" s="11"/>
      <c r="C3670" s="11" t="str">
        <f>IF(COUNTIF(D$1:D3670,D3670)=1,MAX(C$1:C3669)+1,"")</f>
        <v/>
      </c>
      <c r="D3670" s="12"/>
    </row>
    <row r="3671" spans="1:4" x14ac:dyDescent="0.25">
      <c r="A3671" t="str">
        <f>IF(COUNTIF(B$1:B3671,B3671)=1,MAX(A$1:A3670)+1,"")</f>
        <v/>
      </c>
      <c r="B3671" s="11"/>
      <c r="C3671" s="11" t="str">
        <f>IF(COUNTIF(D$1:D3671,D3671)=1,MAX(C$1:C3670)+1,"")</f>
        <v/>
      </c>
      <c r="D3671" s="12"/>
    </row>
    <row r="3672" spans="1:4" x14ac:dyDescent="0.25">
      <c r="A3672" t="str">
        <f>IF(COUNTIF(B$1:B3672,B3672)=1,MAX(A$1:A3671)+1,"")</f>
        <v/>
      </c>
      <c r="B3672" s="11"/>
      <c r="C3672" s="11" t="str">
        <f>IF(COUNTIF(D$1:D3672,D3672)=1,MAX(C$1:C3671)+1,"")</f>
        <v/>
      </c>
      <c r="D3672" s="12"/>
    </row>
    <row r="3673" spans="1:4" x14ac:dyDescent="0.25">
      <c r="A3673" t="str">
        <f>IF(COUNTIF(B$1:B3673,B3673)=1,MAX(A$1:A3672)+1,"")</f>
        <v/>
      </c>
      <c r="B3673" s="11"/>
      <c r="C3673" s="11" t="str">
        <f>IF(COUNTIF(D$1:D3673,D3673)=1,MAX(C$1:C3672)+1,"")</f>
        <v/>
      </c>
      <c r="D3673" s="12"/>
    </row>
    <row r="3674" spans="1:4" x14ac:dyDescent="0.25">
      <c r="A3674" t="str">
        <f>IF(COUNTIF(B$1:B3674,B3674)=1,MAX(A$1:A3673)+1,"")</f>
        <v/>
      </c>
      <c r="B3674" s="11"/>
      <c r="C3674" s="11" t="str">
        <f>IF(COUNTIF(D$1:D3674,D3674)=1,MAX(C$1:C3673)+1,"")</f>
        <v/>
      </c>
      <c r="D3674" s="12"/>
    </row>
    <row r="3675" spans="1:4" x14ac:dyDescent="0.25">
      <c r="A3675" t="str">
        <f>IF(COUNTIF(B$1:B3675,B3675)=1,MAX(A$1:A3674)+1,"")</f>
        <v/>
      </c>
      <c r="B3675" s="11"/>
      <c r="C3675" s="11" t="str">
        <f>IF(COUNTIF(D$1:D3675,D3675)=1,MAX(C$1:C3674)+1,"")</f>
        <v/>
      </c>
      <c r="D3675" s="12"/>
    </row>
    <row r="3676" spans="1:4" x14ac:dyDescent="0.25">
      <c r="A3676" t="str">
        <f>IF(COUNTIF(B$1:B3676,B3676)=1,MAX(A$1:A3675)+1,"")</f>
        <v/>
      </c>
      <c r="B3676" s="11"/>
      <c r="C3676" s="11" t="str">
        <f>IF(COUNTIF(D$1:D3676,D3676)=1,MAX(C$1:C3675)+1,"")</f>
        <v/>
      </c>
      <c r="D3676" s="12"/>
    </row>
    <row r="3677" spans="1:4" x14ac:dyDescent="0.25">
      <c r="A3677" t="str">
        <f>IF(COUNTIF(B$1:B3677,B3677)=1,MAX(A$1:A3676)+1,"")</f>
        <v/>
      </c>
      <c r="B3677" s="11"/>
      <c r="C3677" s="11" t="str">
        <f>IF(COUNTIF(D$1:D3677,D3677)=1,MAX(C$1:C3676)+1,"")</f>
        <v/>
      </c>
      <c r="D3677" s="12"/>
    </row>
    <row r="3678" spans="1:4" x14ac:dyDescent="0.25">
      <c r="A3678" t="str">
        <f>IF(COUNTIF(B$1:B3678,B3678)=1,MAX(A$1:A3677)+1,"")</f>
        <v/>
      </c>
      <c r="B3678" s="11"/>
      <c r="C3678" s="11" t="str">
        <f>IF(COUNTIF(D$1:D3678,D3678)=1,MAX(C$1:C3677)+1,"")</f>
        <v/>
      </c>
      <c r="D3678" s="12"/>
    </row>
    <row r="3679" spans="1:4" x14ac:dyDescent="0.25">
      <c r="A3679" t="str">
        <f>IF(COUNTIF(B$1:B3679,B3679)=1,MAX(A$1:A3678)+1,"")</f>
        <v/>
      </c>
      <c r="B3679" s="11"/>
      <c r="C3679" s="11" t="str">
        <f>IF(COUNTIF(D$1:D3679,D3679)=1,MAX(C$1:C3678)+1,"")</f>
        <v/>
      </c>
      <c r="D3679" s="12"/>
    </row>
    <row r="3680" spans="1:4" x14ac:dyDescent="0.25">
      <c r="A3680" t="str">
        <f>IF(COUNTIF(B$1:B3680,B3680)=1,MAX(A$1:A3679)+1,"")</f>
        <v/>
      </c>
      <c r="B3680" s="11"/>
      <c r="C3680" s="11" t="str">
        <f>IF(COUNTIF(D$1:D3680,D3680)=1,MAX(C$1:C3679)+1,"")</f>
        <v/>
      </c>
      <c r="D3680" s="12"/>
    </row>
    <row r="3681" spans="1:4" x14ac:dyDescent="0.25">
      <c r="A3681" t="str">
        <f>IF(COUNTIF(B$1:B3681,B3681)=1,MAX(A$1:A3680)+1,"")</f>
        <v/>
      </c>
      <c r="B3681" s="11"/>
      <c r="C3681" s="11" t="str">
        <f>IF(COUNTIF(D$1:D3681,D3681)=1,MAX(C$1:C3680)+1,"")</f>
        <v/>
      </c>
      <c r="D3681" s="12"/>
    </row>
    <row r="3682" spans="1:4" x14ac:dyDescent="0.25">
      <c r="A3682" t="str">
        <f>IF(COUNTIF(B$1:B3682,B3682)=1,MAX(A$1:A3681)+1,"")</f>
        <v/>
      </c>
      <c r="B3682" s="11"/>
      <c r="C3682" s="11" t="str">
        <f>IF(COUNTIF(D$1:D3682,D3682)=1,MAX(C$1:C3681)+1,"")</f>
        <v/>
      </c>
      <c r="D3682" s="12"/>
    </row>
    <row r="3683" spans="1:4" x14ac:dyDescent="0.25">
      <c r="A3683" t="str">
        <f>IF(COUNTIF(B$1:B3683,B3683)=1,MAX(A$1:A3682)+1,"")</f>
        <v/>
      </c>
      <c r="B3683" s="11"/>
      <c r="C3683" s="11" t="str">
        <f>IF(COUNTIF(D$1:D3683,D3683)=1,MAX(C$1:C3682)+1,"")</f>
        <v/>
      </c>
      <c r="D3683" s="12"/>
    </row>
    <row r="3684" spans="1:4" x14ac:dyDescent="0.25">
      <c r="A3684" t="str">
        <f>IF(COUNTIF(B$1:B3684,B3684)=1,MAX(A$1:A3683)+1,"")</f>
        <v/>
      </c>
      <c r="B3684" s="11"/>
      <c r="C3684" s="11" t="str">
        <f>IF(COUNTIF(D$1:D3684,D3684)=1,MAX(C$1:C3683)+1,"")</f>
        <v/>
      </c>
      <c r="D3684" s="12"/>
    </row>
    <row r="3685" spans="1:4" x14ac:dyDescent="0.25">
      <c r="A3685" t="str">
        <f>IF(COUNTIF(B$1:B3685,B3685)=1,MAX(A$1:A3684)+1,"")</f>
        <v/>
      </c>
      <c r="B3685" s="11"/>
      <c r="C3685" s="11" t="str">
        <f>IF(COUNTIF(D$1:D3685,D3685)=1,MAX(C$1:C3684)+1,"")</f>
        <v/>
      </c>
      <c r="D3685" s="12"/>
    </row>
    <row r="3686" spans="1:4" x14ac:dyDescent="0.25">
      <c r="A3686" t="str">
        <f>IF(COUNTIF(B$1:B3686,B3686)=1,MAX(A$1:A3685)+1,"")</f>
        <v/>
      </c>
      <c r="B3686" s="11"/>
      <c r="C3686" s="11" t="str">
        <f>IF(COUNTIF(D$1:D3686,D3686)=1,MAX(C$1:C3685)+1,"")</f>
        <v/>
      </c>
      <c r="D3686" s="12"/>
    </row>
    <row r="3687" spans="1:4" x14ac:dyDescent="0.25">
      <c r="A3687" t="str">
        <f>IF(COUNTIF(B$1:B3687,B3687)=1,MAX(A$1:A3686)+1,"")</f>
        <v/>
      </c>
      <c r="B3687" s="11"/>
      <c r="C3687" s="11" t="str">
        <f>IF(COUNTIF(D$1:D3687,D3687)=1,MAX(C$1:C3686)+1,"")</f>
        <v/>
      </c>
      <c r="D3687" s="12"/>
    </row>
    <row r="3688" spans="1:4" x14ac:dyDescent="0.25">
      <c r="A3688" t="str">
        <f>IF(COUNTIF(B$1:B3688,B3688)=1,MAX(A$1:A3687)+1,"")</f>
        <v/>
      </c>
      <c r="B3688" s="11"/>
      <c r="C3688" s="11" t="str">
        <f>IF(COUNTIF(D$1:D3688,D3688)=1,MAX(C$1:C3687)+1,"")</f>
        <v/>
      </c>
      <c r="D3688" s="12"/>
    </row>
    <row r="3689" spans="1:4" x14ac:dyDescent="0.25">
      <c r="A3689" t="str">
        <f>IF(COUNTIF(B$1:B3689,B3689)=1,MAX(A$1:A3688)+1,"")</f>
        <v/>
      </c>
      <c r="B3689" s="11"/>
      <c r="C3689" s="11" t="str">
        <f>IF(COUNTIF(D$1:D3689,D3689)=1,MAX(C$1:C3688)+1,"")</f>
        <v/>
      </c>
      <c r="D3689" s="12"/>
    </row>
    <row r="3690" spans="1:4" x14ac:dyDescent="0.25">
      <c r="A3690" t="str">
        <f>IF(COUNTIF(B$1:B3690,B3690)=1,MAX(A$1:A3689)+1,"")</f>
        <v/>
      </c>
      <c r="B3690" s="11"/>
      <c r="C3690" s="11" t="str">
        <f>IF(COUNTIF(D$1:D3690,D3690)=1,MAX(C$1:C3689)+1,"")</f>
        <v/>
      </c>
      <c r="D3690" s="12"/>
    </row>
    <row r="3691" spans="1:4" x14ac:dyDescent="0.25">
      <c r="A3691" t="str">
        <f>IF(COUNTIF(B$1:B3691,B3691)=1,MAX(A$1:A3690)+1,"")</f>
        <v/>
      </c>
      <c r="B3691" s="11"/>
      <c r="C3691" s="11" t="str">
        <f>IF(COUNTIF(D$1:D3691,D3691)=1,MAX(C$1:C3690)+1,"")</f>
        <v/>
      </c>
      <c r="D3691" s="12"/>
    </row>
    <row r="3692" spans="1:4" x14ac:dyDescent="0.25">
      <c r="A3692" t="str">
        <f>IF(COUNTIF(B$1:B3692,B3692)=1,MAX(A$1:A3691)+1,"")</f>
        <v/>
      </c>
      <c r="B3692" s="11"/>
      <c r="C3692" s="11" t="str">
        <f>IF(COUNTIF(D$1:D3692,D3692)=1,MAX(C$1:C3691)+1,"")</f>
        <v/>
      </c>
      <c r="D3692" s="12"/>
    </row>
    <row r="3693" spans="1:4" x14ac:dyDescent="0.25">
      <c r="A3693" t="str">
        <f>IF(COUNTIF(B$1:B3693,B3693)=1,MAX(A$1:A3692)+1,"")</f>
        <v/>
      </c>
      <c r="B3693" s="11"/>
      <c r="C3693" s="11" t="str">
        <f>IF(COUNTIF(D$1:D3693,D3693)=1,MAX(C$1:C3692)+1,"")</f>
        <v/>
      </c>
      <c r="D3693" s="12"/>
    </row>
    <row r="3694" spans="1:4" x14ac:dyDescent="0.25">
      <c r="A3694" t="str">
        <f>IF(COUNTIF(B$1:B3694,B3694)=1,MAX(A$1:A3693)+1,"")</f>
        <v/>
      </c>
      <c r="B3694" s="11"/>
      <c r="C3694" s="11" t="str">
        <f>IF(COUNTIF(D$1:D3694,D3694)=1,MAX(C$1:C3693)+1,"")</f>
        <v/>
      </c>
      <c r="D3694" s="12"/>
    </row>
    <row r="3695" spans="1:4" x14ac:dyDescent="0.25">
      <c r="A3695" t="str">
        <f>IF(COUNTIF(B$1:B3695,B3695)=1,MAX(A$1:A3694)+1,"")</f>
        <v/>
      </c>
      <c r="B3695" s="11"/>
      <c r="C3695" s="11" t="str">
        <f>IF(COUNTIF(D$1:D3695,D3695)=1,MAX(C$1:C3694)+1,"")</f>
        <v/>
      </c>
      <c r="D3695" s="12"/>
    </row>
    <row r="3696" spans="1:4" x14ac:dyDescent="0.25">
      <c r="A3696" t="str">
        <f>IF(COUNTIF(B$1:B3696,B3696)=1,MAX(A$1:A3695)+1,"")</f>
        <v/>
      </c>
      <c r="B3696" s="11"/>
      <c r="C3696" s="11" t="str">
        <f>IF(COUNTIF(D$1:D3696,D3696)=1,MAX(C$1:C3695)+1,"")</f>
        <v/>
      </c>
      <c r="D3696" s="12"/>
    </row>
    <row r="3697" spans="1:4" x14ac:dyDescent="0.25">
      <c r="A3697" t="str">
        <f>IF(COUNTIF(B$1:B3697,B3697)=1,MAX(A$1:A3696)+1,"")</f>
        <v/>
      </c>
      <c r="B3697" s="11"/>
      <c r="C3697" s="11" t="str">
        <f>IF(COUNTIF(D$1:D3697,D3697)=1,MAX(C$1:C3696)+1,"")</f>
        <v/>
      </c>
      <c r="D3697" s="12"/>
    </row>
    <row r="3698" spans="1:4" x14ac:dyDescent="0.25">
      <c r="A3698" t="str">
        <f>IF(COUNTIF(B$1:B3698,B3698)=1,MAX(A$1:A3697)+1,"")</f>
        <v/>
      </c>
      <c r="B3698" s="11"/>
      <c r="C3698" s="11" t="str">
        <f>IF(COUNTIF(D$1:D3698,D3698)=1,MAX(C$1:C3697)+1,"")</f>
        <v/>
      </c>
      <c r="D3698" s="12"/>
    </row>
    <row r="3699" spans="1:4" x14ac:dyDescent="0.25">
      <c r="A3699" t="str">
        <f>IF(COUNTIF(B$1:B3699,B3699)=1,MAX(A$1:A3698)+1,"")</f>
        <v/>
      </c>
      <c r="B3699" s="11"/>
      <c r="C3699" s="11" t="str">
        <f>IF(COUNTIF(D$1:D3699,D3699)=1,MAX(C$1:C3698)+1,"")</f>
        <v/>
      </c>
      <c r="D3699" s="12"/>
    </row>
    <row r="3700" spans="1:4" x14ac:dyDescent="0.25">
      <c r="A3700" t="str">
        <f>IF(COUNTIF(B$1:B3700,B3700)=1,MAX(A$1:A3699)+1,"")</f>
        <v/>
      </c>
      <c r="B3700" s="11"/>
      <c r="C3700" s="11" t="str">
        <f>IF(COUNTIF(D$1:D3700,D3700)=1,MAX(C$1:C3699)+1,"")</f>
        <v/>
      </c>
      <c r="D3700" s="12"/>
    </row>
    <row r="3701" spans="1:4" x14ac:dyDescent="0.25">
      <c r="A3701" t="str">
        <f>IF(COUNTIF(B$1:B3701,B3701)=1,MAX(A$1:A3700)+1,"")</f>
        <v/>
      </c>
      <c r="B3701" s="11"/>
      <c r="C3701" s="11" t="str">
        <f>IF(COUNTIF(D$1:D3701,D3701)=1,MAX(C$1:C3700)+1,"")</f>
        <v/>
      </c>
      <c r="D3701" s="12"/>
    </row>
    <row r="3702" spans="1:4" x14ac:dyDescent="0.25">
      <c r="A3702" t="str">
        <f>IF(COUNTIF(B$1:B3702,B3702)=1,MAX(A$1:A3701)+1,"")</f>
        <v/>
      </c>
      <c r="B3702" s="11"/>
      <c r="C3702" s="11" t="str">
        <f>IF(COUNTIF(D$1:D3702,D3702)=1,MAX(C$1:C3701)+1,"")</f>
        <v/>
      </c>
      <c r="D3702" s="12"/>
    </row>
    <row r="3703" spans="1:4" x14ac:dyDescent="0.25">
      <c r="A3703" t="str">
        <f>IF(COUNTIF(B$1:B3703,B3703)=1,MAX(A$1:A3702)+1,"")</f>
        <v/>
      </c>
      <c r="B3703" s="11"/>
      <c r="C3703" s="11" t="str">
        <f>IF(COUNTIF(D$1:D3703,D3703)=1,MAX(C$1:C3702)+1,"")</f>
        <v/>
      </c>
      <c r="D3703" s="12"/>
    </row>
    <row r="3704" spans="1:4" x14ac:dyDescent="0.25">
      <c r="A3704" t="str">
        <f>IF(COUNTIF(B$1:B3704,B3704)=1,MAX(A$1:A3703)+1,"")</f>
        <v/>
      </c>
      <c r="B3704" s="11"/>
      <c r="C3704" s="11" t="str">
        <f>IF(COUNTIF(D$1:D3704,D3704)=1,MAX(C$1:C3703)+1,"")</f>
        <v/>
      </c>
      <c r="D3704" s="12"/>
    </row>
    <row r="3705" spans="1:4" x14ac:dyDescent="0.25">
      <c r="A3705" t="str">
        <f>IF(COUNTIF(B$1:B3705,B3705)=1,MAX(A$1:A3704)+1,"")</f>
        <v/>
      </c>
      <c r="B3705" s="11"/>
      <c r="C3705" s="11" t="str">
        <f>IF(COUNTIF(D$1:D3705,D3705)=1,MAX(C$1:C3704)+1,"")</f>
        <v/>
      </c>
      <c r="D3705" s="12"/>
    </row>
    <row r="3706" spans="1:4" x14ac:dyDescent="0.25">
      <c r="A3706" t="str">
        <f>IF(COUNTIF(B$1:B3706,B3706)=1,MAX(A$1:A3705)+1,"")</f>
        <v/>
      </c>
      <c r="B3706" s="11"/>
      <c r="C3706" s="11" t="str">
        <f>IF(COUNTIF(D$1:D3706,D3706)=1,MAX(C$1:C3705)+1,"")</f>
        <v/>
      </c>
      <c r="D3706" s="12"/>
    </row>
    <row r="3707" spans="1:4" x14ac:dyDescent="0.25">
      <c r="A3707" t="str">
        <f>IF(COUNTIF(B$1:B3707,B3707)=1,MAX(A$1:A3706)+1,"")</f>
        <v/>
      </c>
      <c r="B3707" s="11"/>
      <c r="C3707" s="11" t="str">
        <f>IF(COUNTIF(D$1:D3707,D3707)=1,MAX(C$1:C3706)+1,"")</f>
        <v/>
      </c>
      <c r="D3707" s="12"/>
    </row>
    <row r="3708" spans="1:4" x14ac:dyDescent="0.25">
      <c r="A3708" t="str">
        <f>IF(COUNTIF(B$1:B3708,B3708)=1,MAX(A$1:A3707)+1,"")</f>
        <v/>
      </c>
      <c r="B3708" s="11"/>
      <c r="C3708" s="11" t="str">
        <f>IF(COUNTIF(D$1:D3708,D3708)=1,MAX(C$1:C3707)+1,"")</f>
        <v/>
      </c>
      <c r="D3708" s="12"/>
    </row>
    <row r="3709" spans="1:4" x14ac:dyDescent="0.25">
      <c r="A3709" t="str">
        <f>IF(COUNTIF(B$1:B3709,B3709)=1,MAX(A$1:A3708)+1,"")</f>
        <v/>
      </c>
      <c r="B3709" s="11"/>
      <c r="C3709" s="11" t="str">
        <f>IF(COUNTIF(D$1:D3709,D3709)=1,MAX(C$1:C3708)+1,"")</f>
        <v/>
      </c>
      <c r="D3709" s="12"/>
    </row>
    <row r="3710" spans="1:4" x14ac:dyDescent="0.25">
      <c r="A3710" t="str">
        <f>IF(COUNTIF(B$1:B3710,B3710)=1,MAX(A$1:A3709)+1,"")</f>
        <v/>
      </c>
      <c r="B3710" s="11"/>
      <c r="C3710" s="11" t="str">
        <f>IF(COUNTIF(D$1:D3710,D3710)=1,MAX(C$1:C3709)+1,"")</f>
        <v/>
      </c>
      <c r="D3710" s="12"/>
    </row>
    <row r="3711" spans="1:4" x14ac:dyDescent="0.25">
      <c r="A3711" t="str">
        <f>IF(COUNTIF(B$1:B3711,B3711)=1,MAX(A$1:A3710)+1,"")</f>
        <v/>
      </c>
      <c r="B3711" s="11"/>
      <c r="C3711" s="11" t="str">
        <f>IF(COUNTIF(D$1:D3711,D3711)=1,MAX(C$1:C3710)+1,"")</f>
        <v/>
      </c>
      <c r="D3711" s="12"/>
    </row>
    <row r="3712" spans="1:4" x14ac:dyDescent="0.25">
      <c r="A3712" t="str">
        <f>IF(COUNTIF(B$1:B3712,B3712)=1,MAX(A$1:A3711)+1,"")</f>
        <v/>
      </c>
      <c r="B3712" s="11"/>
      <c r="C3712" s="11" t="str">
        <f>IF(COUNTIF(D$1:D3712,D3712)=1,MAX(C$1:C3711)+1,"")</f>
        <v/>
      </c>
      <c r="D3712" s="12"/>
    </row>
    <row r="3713" spans="1:4" x14ac:dyDescent="0.25">
      <c r="A3713" t="str">
        <f>IF(COUNTIF(B$1:B3713,B3713)=1,MAX(A$1:A3712)+1,"")</f>
        <v/>
      </c>
      <c r="B3713" s="11"/>
      <c r="C3713" s="11" t="str">
        <f>IF(COUNTIF(D$1:D3713,D3713)=1,MAX(C$1:C3712)+1,"")</f>
        <v/>
      </c>
      <c r="D3713" s="12"/>
    </row>
    <row r="3714" spans="1:4" x14ac:dyDescent="0.25">
      <c r="A3714" t="str">
        <f>IF(COUNTIF(B$1:B3714,B3714)=1,MAX(A$1:A3713)+1,"")</f>
        <v/>
      </c>
      <c r="B3714" s="11"/>
      <c r="C3714" s="11" t="str">
        <f>IF(COUNTIF(D$1:D3714,D3714)=1,MAX(C$1:C3713)+1,"")</f>
        <v/>
      </c>
      <c r="D3714" s="12"/>
    </row>
    <row r="3715" spans="1:4" x14ac:dyDescent="0.25">
      <c r="A3715" t="str">
        <f>IF(COUNTIF(B$1:B3715,B3715)=1,MAX(A$1:A3714)+1,"")</f>
        <v/>
      </c>
      <c r="B3715" s="11"/>
      <c r="C3715" s="11" t="str">
        <f>IF(COUNTIF(D$1:D3715,D3715)=1,MAX(C$1:C3714)+1,"")</f>
        <v/>
      </c>
      <c r="D3715" s="12"/>
    </row>
    <row r="3716" spans="1:4" x14ac:dyDescent="0.25">
      <c r="A3716" t="str">
        <f>IF(COUNTIF(B$1:B3716,B3716)=1,MAX(A$1:A3715)+1,"")</f>
        <v/>
      </c>
      <c r="B3716" s="11"/>
      <c r="C3716" s="11" t="str">
        <f>IF(COUNTIF(D$1:D3716,D3716)=1,MAX(C$1:C3715)+1,"")</f>
        <v/>
      </c>
      <c r="D3716" s="12"/>
    </row>
    <row r="3717" spans="1:4" x14ac:dyDescent="0.25">
      <c r="A3717" t="str">
        <f>IF(COUNTIF(B$1:B3717,B3717)=1,MAX(A$1:A3716)+1,"")</f>
        <v/>
      </c>
      <c r="B3717" s="11"/>
      <c r="C3717" s="11" t="str">
        <f>IF(COUNTIF(D$1:D3717,D3717)=1,MAX(C$1:C3716)+1,"")</f>
        <v/>
      </c>
      <c r="D3717" s="12"/>
    </row>
    <row r="3718" spans="1:4" x14ac:dyDescent="0.25">
      <c r="A3718" t="str">
        <f>IF(COUNTIF(B$1:B3718,B3718)=1,MAX(A$1:A3717)+1,"")</f>
        <v/>
      </c>
      <c r="B3718" s="11"/>
      <c r="C3718" s="11" t="str">
        <f>IF(COUNTIF(D$1:D3718,D3718)=1,MAX(C$1:C3717)+1,"")</f>
        <v/>
      </c>
      <c r="D3718" s="12"/>
    </row>
    <row r="3719" spans="1:4" x14ac:dyDescent="0.25">
      <c r="A3719" t="str">
        <f>IF(COUNTIF(B$1:B3719,B3719)=1,MAX(A$1:A3718)+1,"")</f>
        <v/>
      </c>
      <c r="B3719" s="11"/>
      <c r="C3719" s="11" t="str">
        <f>IF(COUNTIF(D$1:D3719,D3719)=1,MAX(C$1:C3718)+1,"")</f>
        <v/>
      </c>
      <c r="D3719" s="12"/>
    </row>
    <row r="3720" spans="1:4" x14ac:dyDescent="0.25">
      <c r="A3720" t="str">
        <f>IF(COUNTIF(B$1:B3720,B3720)=1,MAX(A$1:A3719)+1,"")</f>
        <v/>
      </c>
      <c r="B3720" s="11"/>
      <c r="C3720" s="11" t="str">
        <f>IF(COUNTIF(D$1:D3720,D3720)=1,MAX(C$1:C3719)+1,"")</f>
        <v/>
      </c>
      <c r="D3720" s="12"/>
    </row>
    <row r="3721" spans="1:4" x14ac:dyDescent="0.25">
      <c r="A3721" t="str">
        <f>IF(COUNTIF(B$1:B3721,B3721)=1,MAX(A$1:A3720)+1,"")</f>
        <v/>
      </c>
      <c r="B3721" s="11"/>
      <c r="C3721" s="11" t="str">
        <f>IF(COUNTIF(D$1:D3721,D3721)=1,MAX(C$1:C3720)+1,"")</f>
        <v/>
      </c>
      <c r="D3721" s="12"/>
    </row>
    <row r="3722" spans="1:4" x14ac:dyDescent="0.25">
      <c r="A3722" t="str">
        <f>IF(COUNTIF(B$1:B3722,B3722)=1,MAX(A$1:A3721)+1,"")</f>
        <v/>
      </c>
      <c r="B3722" s="11"/>
      <c r="C3722" s="11" t="str">
        <f>IF(COUNTIF(D$1:D3722,D3722)=1,MAX(C$1:C3721)+1,"")</f>
        <v/>
      </c>
      <c r="D3722" s="12"/>
    </row>
    <row r="3723" spans="1:4" x14ac:dyDescent="0.25">
      <c r="A3723" t="str">
        <f>IF(COUNTIF(B$1:B3723,B3723)=1,MAX(A$1:A3722)+1,"")</f>
        <v/>
      </c>
      <c r="B3723" s="11"/>
      <c r="C3723" s="11" t="str">
        <f>IF(COUNTIF(D$1:D3723,D3723)=1,MAX(C$1:C3722)+1,"")</f>
        <v/>
      </c>
      <c r="D3723" s="12"/>
    </row>
    <row r="3724" spans="1:4" x14ac:dyDescent="0.25">
      <c r="A3724" t="str">
        <f>IF(COUNTIF(B$1:B3724,B3724)=1,MAX(A$1:A3723)+1,"")</f>
        <v/>
      </c>
      <c r="B3724" s="11"/>
      <c r="C3724" s="11" t="str">
        <f>IF(COUNTIF(D$1:D3724,D3724)=1,MAX(C$1:C3723)+1,"")</f>
        <v/>
      </c>
      <c r="D3724" s="12"/>
    </row>
    <row r="3725" spans="1:4" x14ac:dyDescent="0.25">
      <c r="A3725" t="str">
        <f>IF(COUNTIF(B$1:B3725,B3725)=1,MAX(A$1:A3724)+1,"")</f>
        <v/>
      </c>
      <c r="B3725" s="11"/>
      <c r="C3725" s="11" t="str">
        <f>IF(COUNTIF(D$1:D3725,D3725)=1,MAX(C$1:C3724)+1,"")</f>
        <v/>
      </c>
      <c r="D3725" s="12"/>
    </row>
    <row r="3726" spans="1:4" x14ac:dyDescent="0.25">
      <c r="A3726" t="str">
        <f>IF(COUNTIF(B$1:B3726,B3726)=1,MAX(A$1:A3725)+1,"")</f>
        <v/>
      </c>
      <c r="B3726" s="11"/>
      <c r="C3726" s="11" t="str">
        <f>IF(COUNTIF(D$1:D3726,D3726)=1,MAX(C$1:C3725)+1,"")</f>
        <v/>
      </c>
      <c r="D3726" s="12"/>
    </row>
    <row r="3727" spans="1:4" x14ac:dyDescent="0.25">
      <c r="A3727" t="str">
        <f>IF(COUNTIF(B$1:B3727,B3727)=1,MAX(A$1:A3726)+1,"")</f>
        <v/>
      </c>
      <c r="B3727" s="11"/>
      <c r="C3727" s="11" t="str">
        <f>IF(COUNTIF(D$1:D3727,D3727)=1,MAX(C$1:C3726)+1,"")</f>
        <v/>
      </c>
      <c r="D3727" s="12"/>
    </row>
    <row r="3728" spans="1:4" x14ac:dyDescent="0.25">
      <c r="A3728" t="str">
        <f>IF(COUNTIF(B$1:B3728,B3728)=1,MAX(A$1:A3727)+1,"")</f>
        <v/>
      </c>
      <c r="B3728" s="11"/>
      <c r="C3728" s="11" t="str">
        <f>IF(COUNTIF(D$1:D3728,D3728)=1,MAX(C$1:C3727)+1,"")</f>
        <v/>
      </c>
      <c r="D3728" s="12"/>
    </row>
    <row r="3729" spans="1:4" x14ac:dyDescent="0.25">
      <c r="A3729" t="str">
        <f>IF(COUNTIF(B$1:B3729,B3729)=1,MAX(A$1:A3728)+1,"")</f>
        <v/>
      </c>
      <c r="B3729" s="11"/>
      <c r="C3729" s="11" t="str">
        <f>IF(COUNTIF(D$1:D3729,D3729)=1,MAX(C$1:C3728)+1,"")</f>
        <v/>
      </c>
      <c r="D3729" s="12"/>
    </row>
    <row r="3730" spans="1:4" x14ac:dyDescent="0.25">
      <c r="A3730" t="str">
        <f>IF(COUNTIF(B$1:B3730,B3730)=1,MAX(A$1:A3729)+1,"")</f>
        <v/>
      </c>
      <c r="B3730" s="11"/>
      <c r="C3730" s="11" t="str">
        <f>IF(COUNTIF(D$1:D3730,D3730)=1,MAX(C$1:C3729)+1,"")</f>
        <v/>
      </c>
      <c r="D3730" s="12"/>
    </row>
    <row r="3731" spans="1:4" x14ac:dyDescent="0.25">
      <c r="A3731" t="str">
        <f>IF(COUNTIF(B$1:B3731,B3731)=1,MAX(A$1:A3730)+1,"")</f>
        <v/>
      </c>
      <c r="B3731" s="11"/>
      <c r="C3731" s="11" t="str">
        <f>IF(COUNTIF(D$1:D3731,D3731)=1,MAX(C$1:C3730)+1,"")</f>
        <v/>
      </c>
      <c r="D3731" s="12"/>
    </row>
    <row r="3732" spans="1:4" x14ac:dyDescent="0.25">
      <c r="A3732" t="str">
        <f>IF(COUNTIF(B$1:B3732,B3732)=1,MAX(A$1:A3731)+1,"")</f>
        <v/>
      </c>
      <c r="B3732" s="11"/>
      <c r="C3732" s="11" t="str">
        <f>IF(COUNTIF(D$1:D3732,D3732)=1,MAX(C$1:C3731)+1,"")</f>
        <v/>
      </c>
      <c r="D3732" s="12"/>
    </row>
    <row r="3733" spans="1:4" x14ac:dyDescent="0.25">
      <c r="A3733" t="str">
        <f>IF(COUNTIF(B$1:B3733,B3733)=1,MAX(A$1:A3732)+1,"")</f>
        <v/>
      </c>
      <c r="B3733" s="11"/>
      <c r="C3733" s="11" t="str">
        <f>IF(COUNTIF(D$1:D3733,D3733)=1,MAX(C$1:C3732)+1,"")</f>
        <v/>
      </c>
      <c r="D3733" s="12"/>
    </row>
    <row r="3734" spans="1:4" x14ac:dyDescent="0.25">
      <c r="A3734" t="str">
        <f>IF(COUNTIF(B$1:B3734,B3734)=1,MAX(A$1:A3733)+1,"")</f>
        <v/>
      </c>
      <c r="B3734" s="11"/>
      <c r="C3734" s="11" t="str">
        <f>IF(COUNTIF(D$1:D3734,D3734)=1,MAX(C$1:C3733)+1,"")</f>
        <v/>
      </c>
      <c r="D3734" s="12"/>
    </row>
    <row r="3735" spans="1:4" x14ac:dyDescent="0.25">
      <c r="A3735" t="str">
        <f>IF(COUNTIF(B$1:B3735,B3735)=1,MAX(A$1:A3734)+1,"")</f>
        <v/>
      </c>
      <c r="B3735" s="11"/>
      <c r="C3735" s="11" t="str">
        <f>IF(COUNTIF(D$1:D3735,D3735)=1,MAX(C$1:C3734)+1,"")</f>
        <v/>
      </c>
      <c r="D3735" s="12"/>
    </row>
    <row r="3736" spans="1:4" x14ac:dyDescent="0.25">
      <c r="A3736" t="str">
        <f>IF(COUNTIF(B$1:B3736,B3736)=1,MAX(A$1:A3735)+1,"")</f>
        <v/>
      </c>
      <c r="B3736" s="11"/>
      <c r="C3736" s="11" t="str">
        <f>IF(COUNTIF(D$1:D3736,D3736)=1,MAX(C$1:C3735)+1,"")</f>
        <v/>
      </c>
      <c r="D3736" s="12"/>
    </row>
    <row r="3737" spans="1:4" x14ac:dyDescent="0.25">
      <c r="A3737" t="str">
        <f>IF(COUNTIF(B$1:B3737,B3737)=1,MAX(A$1:A3736)+1,"")</f>
        <v/>
      </c>
      <c r="B3737" s="11"/>
      <c r="C3737" s="11" t="str">
        <f>IF(COUNTIF(D$1:D3737,D3737)=1,MAX(C$1:C3736)+1,"")</f>
        <v/>
      </c>
      <c r="D3737" s="12"/>
    </row>
    <row r="3738" spans="1:4" x14ac:dyDescent="0.25">
      <c r="A3738" t="str">
        <f>IF(COUNTIF(B$1:B3738,B3738)=1,MAX(A$1:A3737)+1,"")</f>
        <v/>
      </c>
      <c r="B3738" s="11"/>
      <c r="C3738" s="11" t="str">
        <f>IF(COUNTIF(D$1:D3738,D3738)=1,MAX(C$1:C3737)+1,"")</f>
        <v/>
      </c>
      <c r="D3738" s="12"/>
    </row>
    <row r="3739" spans="1:4" x14ac:dyDescent="0.25">
      <c r="A3739" t="str">
        <f>IF(COUNTIF(B$1:B3739,B3739)=1,MAX(A$1:A3738)+1,"")</f>
        <v/>
      </c>
      <c r="B3739" s="11"/>
      <c r="C3739" s="11" t="str">
        <f>IF(COUNTIF(D$1:D3739,D3739)=1,MAX(C$1:C3738)+1,"")</f>
        <v/>
      </c>
      <c r="D3739" s="12"/>
    </row>
    <row r="3740" spans="1:4" x14ac:dyDescent="0.25">
      <c r="A3740" t="str">
        <f>IF(COUNTIF(B$1:B3740,B3740)=1,MAX(A$1:A3739)+1,"")</f>
        <v/>
      </c>
      <c r="B3740" s="11"/>
      <c r="C3740" s="11" t="str">
        <f>IF(COUNTIF(D$1:D3740,D3740)=1,MAX(C$1:C3739)+1,"")</f>
        <v/>
      </c>
      <c r="D3740" s="12"/>
    </row>
    <row r="3741" spans="1:4" x14ac:dyDescent="0.25">
      <c r="A3741" t="str">
        <f>IF(COUNTIF(B$1:B3741,B3741)=1,MAX(A$1:A3740)+1,"")</f>
        <v/>
      </c>
      <c r="B3741" s="11"/>
      <c r="C3741" s="11" t="str">
        <f>IF(COUNTIF(D$1:D3741,D3741)=1,MAX(C$1:C3740)+1,"")</f>
        <v/>
      </c>
      <c r="D3741" s="12"/>
    </row>
    <row r="3742" spans="1:4" x14ac:dyDescent="0.25">
      <c r="A3742" t="str">
        <f>IF(COUNTIF(B$1:B3742,B3742)=1,MAX(A$1:A3741)+1,"")</f>
        <v/>
      </c>
      <c r="B3742" s="11"/>
      <c r="C3742" s="11" t="str">
        <f>IF(COUNTIF(D$1:D3742,D3742)=1,MAX(C$1:C3741)+1,"")</f>
        <v/>
      </c>
      <c r="D3742" s="12"/>
    </row>
    <row r="3743" spans="1:4" x14ac:dyDescent="0.25">
      <c r="A3743" t="str">
        <f>IF(COUNTIF(B$1:B3743,B3743)=1,MAX(A$1:A3742)+1,"")</f>
        <v/>
      </c>
      <c r="B3743" s="11"/>
      <c r="C3743" s="11" t="str">
        <f>IF(COUNTIF(D$1:D3743,D3743)=1,MAX(C$1:C3742)+1,"")</f>
        <v/>
      </c>
      <c r="D3743" s="12"/>
    </row>
    <row r="3744" spans="1:4" x14ac:dyDescent="0.25">
      <c r="A3744" t="str">
        <f>IF(COUNTIF(B$1:B3744,B3744)=1,MAX(A$1:A3743)+1,"")</f>
        <v/>
      </c>
      <c r="B3744" s="11"/>
      <c r="C3744" s="11" t="str">
        <f>IF(COUNTIF(D$1:D3744,D3744)=1,MAX(C$1:C3743)+1,"")</f>
        <v/>
      </c>
      <c r="D3744" s="12"/>
    </row>
    <row r="3745" spans="1:4" x14ac:dyDescent="0.25">
      <c r="A3745" t="str">
        <f>IF(COUNTIF(B$1:B3745,B3745)=1,MAX(A$1:A3744)+1,"")</f>
        <v/>
      </c>
      <c r="B3745" s="11"/>
      <c r="C3745" s="11" t="str">
        <f>IF(COUNTIF(D$1:D3745,D3745)=1,MAX(C$1:C3744)+1,"")</f>
        <v/>
      </c>
      <c r="D3745" s="12"/>
    </row>
    <row r="3746" spans="1:4" x14ac:dyDescent="0.25">
      <c r="A3746" t="str">
        <f>IF(COUNTIF(B$1:B3746,B3746)=1,MAX(A$1:A3745)+1,"")</f>
        <v/>
      </c>
      <c r="B3746" s="11"/>
      <c r="C3746" s="11" t="str">
        <f>IF(COUNTIF(D$1:D3746,D3746)=1,MAX(C$1:C3745)+1,"")</f>
        <v/>
      </c>
      <c r="D3746" s="12"/>
    </row>
    <row r="3747" spans="1:4" x14ac:dyDescent="0.25">
      <c r="A3747" t="str">
        <f>IF(COUNTIF(B$1:B3747,B3747)=1,MAX(A$1:A3746)+1,"")</f>
        <v/>
      </c>
      <c r="B3747" s="11"/>
      <c r="C3747" s="11" t="str">
        <f>IF(COUNTIF(D$1:D3747,D3747)=1,MAX(C$1:C3746)+1,"")</f>
        <v/>
      </c>
      <c r="D3747" s="12"/>
    </row>
    <row r="3748" spans="1:4" x14ac:dyDescent="0.25">
      <c r="A3748" t="str">
        <f>IF(COUNTIF(B$1:B3748,B3748)=1,MAX(A$1:A3747)+1,"")</f>
        <v/>
      </c>
      <c r="B3748" s="11"/>
      <c r="C3748" s="11" t="str">
        <f>IF(COUNTIF(D$1:D3748,D3748)=1,MAX(C$1:C3747)+1,"")</f>
        <v/>
      </c>
      <c r="D3748" s="12"/>
    </row>
    <row r="3749" spans="1:4" x14ac:dyDescent="0.25">
      <c r="A3749" t="str">
        <f>IF(COUNTIF(B$1:B3749,B3749)=1,MAX(A$1:A3748)+1,"")</f>
        <v/>
      </c>
      <c r="B3749" s="11"/>
      <c r="C3749" s="11" t="str">
        <f>IF(COUNTIF(D$1:D3749,D3749)=1,MAX(C$1:C3748)+1,"")</f>
        <v/>
      </c>
      <c r="D3749" s="12"/>
    </row>
    <row r="3750" spans="1:4" x14ac:dyDescent="0.25">
      <c r="A3750" t="str">
        <f>IF(COUNTIF(B$1:B3750,B3750)=1,MAX(A$1:A3749)+1,"")</f>
        <v/>
      </c>
      <c r="B3750" s="11"/>
      <c r="C3750" s="11" t="str">
        <f>IF(COUNTIF(D$1:D3750,D3750)=1,MAX(C$1:C3749)+1,"")</f>
        <v/>
      </c>
      <c r="D3750" s="12"/>
    </row>
    <row r="3751" spans="1:4" x14ac:dyDescent="0.25">
      <c r="A3751" t="str">
        <f>IF(COUNTIF(B$1:B3751,B3751)=1,MAX(A$1:A3750)+1,"")</f>
        <v/>
      </c>
      <c r="B3751" s="11"/>
      <c r="C3751" s="11" t="str">
        <f>IF(COUNTIF(D$1:D3751,D3751)=1,MAX(C$1:C3750)+1,"")</f>
        <v/>
      </c>
      <c r="D3751" s="12"/>
    </row>
    <row r="3752" spans="1:4" x14ac:dyDescent="0.25">
      <c r="A3752" t="str">
        <f>IF(COUNTIF(B$1:B3752,B3752)=1,MAX(A$1:A3751)+1,"")</f>
        <v/>
      </c>
      <c r="B3752" s="11"/>
      <c r="C3752" s="11" t="str">
        <f>IF(COUNTIF(D$1:D3752,D3752)=1,MAX(C$1:C3751)+1,"")</f>
        <v/>
      </c>
      <c r="D3752" s="12"/>
    </row>
    <row r="3753" spans="1:4" x14ac:dyDescent="0.25">
      <c r="A3753" t="str">
        <f>IF(COUNTIF(B$1:B3753,B3753)=1,MAX(A$1:A3752)+1,"")</f>
        <v/>
      </c>
      <c r="B3753" s="11"/>
      <c r="C3753" s="11" t="str">
        <f>IF(COUNTIF(D$1:D3753,D3753)=1,MAX(C$1:C3752)+1,"")</f>
        <v/>
      </c>
      <c r="D3753" s="12"/>
    </row>
    <row r="3754" spans="1:4" x14ac:dyDescent="0.25">
      <c r="A3754" t="str">
        <f>IF(COUNTIF(B$1:B3754,B3754)=1,MAX(A$1:A3753)+1,"")</f>
        <v/>
      </c>
      <c r="B3754" s="11"/>
      <c r="C3754" s="11" t="str">
        <f>IF(COUNTIF(D$1:D3754,D3754)=1,MAX(C$1:C3753)+1,"")</f>
        <v/>
      </c>
      <c r="D3754" s="12"/>
    </row>
    <row r="3755" spans="1:4" x14ac:dyDescent="0.25">
      <c r="A3755" t="str">
        <f>IF(COUNTIF(B$1:B3755,B3755)=1,MAX(A$1:A3754)+1,"")</f>
        <v/>
      </c>
      <c r="B3755" s="11"/>
      <c r="C3755" s="11" t="str">
        <f>IF(COUNTIF(D$1:D3755,D3755)=1,MAX(C$1:C3754)+1,"")</f>
        <v/>
      </c>
      <c r="D3755" s="12"/>
    </row>
    <row r="3756" spans="1:4" x14ac:dyDescent="0.25">
      <c r="A3756" t="str">
        <f>IF(COUNTIF(B$1:B3756,B3756)=1,MAX(A$1:A3755)+1,"")</f>
        <v/>
      </c>
      <c r="B3756" s="11"/>
      <c r="C3756" s="11" t="str">
        <f>IF(COUNTIF(D$1:D3756,D3756)=1,MAX(C$1:C3755)+1,"")</f>
        <v/>
      </c>
      <c r="D3756" s="12"/>
    </row>
    <row r="3757" spans="1:4" x14ac:dyDescent="0.25">
      <c r="A3757" t="str">
        <f>IF(COUNTIF(B$1:B3757,B3757)=1,MAX(A$1:A3756)+1,"")</f>
        <v/>
      </c>
      <c r="B3757" s="11"/>
      <c r="C3757" s="11" t="str">
        <f>IF(COUNTIF(D$1:D3757,D3757)=1,MAX(C$1:C3756)+1,"")</f>
        <v/>
      </c>
      <c r="D3757" s="12"/>
    </row>
    <row r="3758" spans="1:4" x14ac:dyDescent="0.25">
      <c r="A3758" t="str">
        <f>IF(COUNTIF(B$1:B3758,B3758)=1,MAX(A$1:A3757)+1,"")</f>
        <v/>
      </c>
      <c r="B3758" s="11"/>
      <c r="C3758" s="11" t="str">
        <f>IF(COUNTIF(D$1:D3758,D3758)=1,MAX(C$1:C3757)+1,"")</f>
        <v/>
      </c>
      <c r="D3758" s="12"/>
    </row>
    <row r="3759" spans="1:4" x14ac:dyDescent="0.25">
      <c r="A3759" t="str">
        <f>IF(COUNTIF(B$1:B3759,B3759)=1,MAX(A$1:A3758)+1,"")</f>
        <v/>
      </c>
      <c r="B3759" s="11"/>
      <c r="C3759" s="11" t="str">
        <f>IF(COUNTIF(D$1:D3759,D3759)=1,MAX(C$1:C3758)+1,"")</f>
        <v/>
      </c>
      <c r="D3759" s="12"/>
    </row>
    <row r="3760" spans="1:4" x14ac:dyDescent="0.25">
      <c r="A3760" t="str">
        <f>IF(COUNTIF(B$1:B3760,B3760)=1,MAX(A$1:A3759)+1,"")</f>
        <v/>
      </c>
      <c r="B3760" s="11"/>
      <c r="C3760" s="11" t="str">
        <f>IF(COUNTIF(D$1:D3760,D3760)=1,MAX(C$1:C3759)+1,"")</f>
        <v/>
      </c>
      <c r="D3760" s="12"/>
    </row>
    <row r="3761" spans="1:4" x14ac:dyDescent="0.25">
      <c r="A3761" t="str">
        <f>IF(COUNTIF(B$1:B3761,B3761)=1,MAX(A$1:A3760)+1,"")</f>
        <v/>
      </c>
      <c r="B3761" s="11"/>
      <c r="C3761" s="11" t="str">
        <f>IF(COUNTIF(D$1:D3761,D3761)=1,MAX(C$1:C3760)+1,"")</f>
        <v/>
      </c>
      <c r="D3761" s="12"/>
    </row>
    <row r="3762" spans="1:4" x14ac:dyDescent="0.25">
      <c r="A3762" t="str">
        <f>IF(COUNTIF(B$1:B3762,B3762)=1,MAX(A$1:A3761)+1,"")</f>
        <v/>
      </c>
      <c r="B3762" s="11"/>
      <c r="C3762" s="11" t="str">
        <f>IF(COUNTIF(D$1:D3762,D3762)=1,MAX(C$1:C3761)+1,"")</f>
        <v/>
      </c>
      <c r="D3762" s="12"/>
    </row>
    <row r="3763" spans="1:4" x14ac:dyDescent="0.25">
      <c r="A3763" t="str">
        <f>IF(COUNTIF(B$1:B3763,B3763)=1,MAX(A$1:A3762)+1,"")</f>
        <v/>
      </c>
      <c r="B3763" s="11"/>
      <c r="C3763" s="11" t="str">
        <f>IF(COUNTIF(D$1:D3763,D3763)=1,MAX(C$1:C3762)+1,"")</f>
        <v/>
      </c>
      <c r="D3763" s="12"/>
    </row>
    <row r="3764" spans="1:4" x14ac:dyDescent="0.25">
      <c r="A3764" t="str">
        <f>IF(COUNTIF(B$1:B3764,B3764)=1,MAX(A$1:A3763)+1,"")</f>
        <v/>
      </c>
      <c r="B3764" s="11"/>
      <c r="C3764" s="11" t="str">
        <f>IF(COUNTIF(D$1:D3764,D3764)=1,MAX(C$1:C3763)+1,"")</f>
        <v/>
      </c>
      <c r="D3764" s="12"/>
    </row>
    <row r="3765" spans="1:4" x14ac:dyDescent="0.25">
      <c r="A3765" t="str">
        <f>IF(COUNTIF(B$1:B3765,B3765)=1,MAX(A$1:A3764)+1,"")</f>
        <v/>
      </c>
      <c r="B3765" s="11"/>
      <c r="C3765" s="11" t="str">
        <f>IF(COUNTIF(D$1:D3765,D3765)=1,MAX(C$1:C3764)+1,"")</f>
        <v/>
      </c>
      <c r="D3765" s="12"/>
    </row>
    <row r="3766" spans="1:4" x14ac:dyDescent="0.25">
      <c r="A3766" t="str">
        <f>IF(COUNTIF(B$1:B3766,B3766)=1,MAX(A$1:A3765)+1,"")</f>
        <v/>
      </c>
      <c r="B3766" s="11"/>
      <c r="C3766" s="11" t="str">
        <f>IF(COUNTIF(D$1:D3766,D3766)=1,MAX(C$1:C3765)+1,"")</f>
        <v/>
      </c>
      <c r="D3766" s="12"/>
    </row>
    <row r="3767" spans="1:4" x14ac:dyDescent="0.25">
      <c r="A3767" t="str">
        <f>IF(COUNTIF(B$1:B3767,B3767)=1,MAX(A$1:A3766)+1,"")</f>
        <v/>
      </c>
      <c r="B3767" s="11"/>
      <c r="C3767" s="11" t="str">
        <f>IF(COUNTIF(D$1:D3767,D3767)=1,MAX(C$1:C3766)+1,"")</f>
        <v/>
      </c>
      <c r="D3767" s="12"/>
    </row>
    <row r="3768" spans="1:4" x14ac:dyDescent="0.25">
      <c r="A3768" t="str">
        <f>IF(COUNTIF(B$1:B3768,B3768)=1,MAX(A$1:A3767)+1,"")</f>
        <v/>
      </c>
      <c r="B3768" s="11"/>
      <c r="C3768" s="11" t="str">
        <f>IF(COUNTIF(D$1:D3768,D3768)=1,MAX(C$1:C3767)+1,"")</f>
        <v/>
      </c>
      <c r="D3768" s="12"/>
    </row>
    <row r="3769" spans="1:4" x14ac:dyDescent="0.25">
      <c r="A3769" t="str">
        <f>IF(COUNTIF(B$1:B3769,B3769)=1,MAX(A$1:A3768)+1,"")</f>
        <v/>
      </c>
      <c r="B3769" s="11"/>
      <c r="C3769" s="11" t="str">
        <f>IF(COUNTIF(D$1:D3769,D3769)=1,MAX(C$1:C3768)+1,"")</f>
        <v/>
      </c>
      <c r="D3769" s="12"/>
    </row>
    <row r="3770" spans="1:4" x14ac:dyDescent="0.25">
      <c r="A3770" t="str">
        <f>IF(COUNTIF(B$1:B3770,B3770)=1,MAX(A$1:A3769)+1,"")</f>
        <v/>
      </c>
      <c r="B3770" s="11"/>
      <c r="C3770" s="11" t="str">
        <f>IF(COUNTIF(D$1:D3770,D3770)=1,MAX(C$1:C3769)+1,"")</f>
        <v/>
      </c>
      <c r="D3770" s="12"/>
    </row>
    <row r="3771" spans="1:4" x14ac:dyDescent="0.25">
      <c r="A3771" t="str">
        <f>IF(COUNTIF(B$1:B3771,B3771)=1,MAX(A$1:A3770)+1,"")</f>
        <v/>
      </c>
      <c r="B3771" s="11"/>
      <c r="C3771" s="11" t="str">
        <f>IF(COUNTIF(D$1:D3771,D3771)=1,MAX(C$1:C3770)+1,"")</f>
        <v/>
      </c>
      <c r="D3771" s="12"/>
    </row>
    <row r="3772" spans="1:4" x14ac:dyDescent="0.25">
      <c r="A3772" t="str">
        <f>IF(COUNTIF(B$1:B3772,B3772)=1,MAX(A$1:A3771)+1,"")</f>
        <v/>
      </c>
      <c r="B3772" s="11"/>
      <c r="C3772" s="11" t="str">
        <f>IF(COUNTIF(D$1:D3772,D3772)=1,MAX(C$1:C3771)+1,"")</f>
        <v/>
      </c>
      <c r="D3772" s="12"/>
    </row>
    <row r="3773" spans="1:4" x14ac:dyDescent="0.25">
      <c r="A3773" t="str">
        <f>IF(COUNTIF(B$1:B3773,B3773)=1,MAX(A$1:A3772)+1,"")</f>
        <v/>
      </c>
      <c r="B3773" s="11"/>
      <c r="C3773" s="11" t="str">
        <f>IF(COUNTIF(D$1:D3773,D3773)=1,MAX(C$1:C3772)+1,"")</f>
        <v/>
      </c>
      <c r="D3773" s="12"/>
    </row>
    <row r="3774" spans="1:4" x14ac:dyDescent="0.25">
      <c r="A3774" t="str">
        <f>IF(COUNTIF(B$1:B3774,B3774)=1,MAX(A$1:A3773)+1,"")</f>
        <v/>
      </c>
      <c r="B3774" s="11"/>
      <c r="C3774" s="11" t="str">
        <f>IF(COUNTIF(D$1:D3774,D3774)=1,MAX(C$1:C3773)+1,"")</f>
        <v/>
      </c>
      <c r="D3774" s="12"/>
    </row>
    <row r="3775" spans="1:4" x14ac:dyDescent="0.25">
      <c r="A3775" t="str">
        <f>IF(COUNTIF(B$1:B3775,B3775)=1,MAX(A$1:A3774)+1,"")</f>
        <v/>
      </c>
      <c r="B3775" s="11"/>
      <c r="C3775" s="11" t="str">
        <f>IF(COUNTIF(D$1:D3775,D3775)=1,MAX(C$1:C3774)+1,"")</f>
        <v/>
      </c>
      <c r="D3775" s="12"/>
    </row>
    <row r="3776" spans="1:4" x14ac:dyDescent="0.25">
      <c r="A3776" t="str">
        <f>IF(COUNTIF(B$1:B3776,B3776)=1,MAX(A$1:A3775)+1,"")</f>
        <v/>
      </c>
      <c r="B3776" s="11"/>
      <c r="C3776" s="11" t="str">
        <f>IF(COUNTIF(D$1:D3776,D3776)=1,MAX(C$1:C3775)+1,"")</f>
        <v/>
      </c>
      <c r="D3776" s="12"/>
    </row>
    <row r="3777" spans="1:4" x14ac:dyDescent="0.25">
      <c r="A3777" t="str">
        <f>IF(COUNTIF(B$1:B3777,B3777)=1,MAX(A$1:A3776)+1,"")</f>
        <v/>
      </c>
      <c r="B3777" s="11"/>
      <c r="C3777" s="11" t="str">
        <f>IF(COUNTIF(D$1:D3777,D3777)=1,MAX(C$1:C3776)+1,"")</f>
        <v/>
      </c>
      <c r="D3777" s="12"/>
    </row>
    <row r="3778" spans="1:4" x14ac:dyDescent="0.25">
      <c r="A3778" t="str">
        <f>IF(COUNTIF(B$1:B3778,B3778)=1,MAX(A$1:A3777)+1,"")</f>
        <v/>
      </c>
      <c r="B3778" s="11"/>
      <c r="C3778" s="11" t="str">
        <f>IF(COUNTIF(D$1:D3778,D3778)=1,MAX(C$1:C3777)+1,"")</f>
        <v/>
      </c>
      <c r="D3778" s="12"/>
    </row>
    <row r="3779" spans="1:4" x14ac:dyDescent="0.25">
      <c r="A3779" t="str">
        <f>IF(COUNTIF(B$1:B3779,B3779)=1,MAX(A$1:A3778)+1,"")</f>
        <v/>
      </c>
      <c r="B3779" s="11"/>
      <c r="C3779" s="11" t="str">
        <f>IF(COUNTIF(D$1:D3779,D3779)=1,MAX(C$1:C3778)+1,"")</f>
        <v/>
      </c>
      <c r="D3779" s="12"/>
    </row>
    <row r="3780" spans="1:4" x14ac:dyDescent="0.25">
      <c r="A3780" t="str">
        <f>IF(COUNTIF(B$1:B3780,B3780)=1,MAX(A$1:A3779)+1,"")</f>
        <v/>
      </c>
      <c r="B3780" s="11"/>
      <c r="C3780" s="11" t="str">
        <f>IF(COUNTIF(D$1:D3780,D3780)=1,MAX(C$1:C3779)+1,"")</f>
        <v/>
      </c>
      <c r="D3780" s="12"/>
    </row>
    <row r="3781" spans="1:4" x14ac:dyDescent="0.25">
      <c r="A3781" t="str">
        <f>IF(COUNTIF(B$1:B3781,B3781)=1,MAX(A$1:A3780)+1,"")</f>
        <v/>
      </c>
      <c r="B3781" s="11"/>
      <c r="C3781" s="11" t="str">
        <f>IF(COUNTIF(D$1:D3781,D3781)=1,MAX(C$1:C3780)+1,"")</f>
        <v/>
      </c>
      <c r="D3781" s="12"/>
    </row>
    <row r="3782" spans="1:4" x14ac:dyDescent="0.25">
      <c r="A3782" t="str">
        <f>IF(COUNTIF(B$1:B3782,B3782)=1,MAX(A$1:A3781)+1,"")</f>
        <v/>
      </c>
      <c r="B3782" s="11"/>
      <c r="C3782" s="11" t="str">
        <f>IF(COUNTIF(D$1:D3782,D3782)=1,MAX(C$1:C3781)+1,"")</f>
        <v/>
      </c>
      <c r="D3782" s="12"/>
    </row>
    <row r="3783" spans="1:4" x14ac:dyDescent="0.25">
      <c r="A3783" t="str">
        <f>IF(COUNTIF(B$1:B3783,B3783)=1,MAX(A$1:A3782)+1,"")</f>
        <v/>
      </c>
      <c r="B3783" s="11"/>
      <c r="C3783" s="11" t="str">
        <f>IF(COUNTIF(D$1:D3783,D3783)=1,MAX(C$1:C3782)+1,"")</f>
        <v/>
      </c>
      <c r="D3783" s="12"/>
    </row>
    <row r="3784" spans="1:4" x14ac:dyDescent="0.25">
      <c r="A3784" t="str">
        <f>IF(COUNTIF(B$1:B3784,B3784)=1,MAX(A$1:A3783)+1,"")</f>
        <v/>
      </c>
      <c r="B3784" s="11"/>
      <c r="C3784" s="11" t="str">
        <f>IF(COUNTIF(D$1:D3784,D3784)=1,MAX(C$1:C3783)+1,"")</f>
        <v/>
      </c>
      <c r="D3784" s="12"/>
    </row>
    <row r="3785" spans="1:4" x14ac:dyDescent="0.25">
      <c r="A3785" t="str">
        <f>IF(COUNTIF(B$1:B3785,B3785)=1,MAX(A$1:A3784)+1,"")</f>
        <v/>
      </c>
      <c r="B3785" s="11"/>
      <c r="C3785" s="11" t="str">
        <f>IF(COUNTIF(D$1:D3785,D3785)=1,MAX(C$1:C3784)+1,"")</f>
        <v/>
      </c>
      <c r="D3785" s="12"/>
    </row>
    <row r="3786" spans="1:4" x14ac:dyDescent="0.25">
      <c r="A3786" t="str">
        <f>IF(COUNTIF(B$1:B3786,B3786)=1,MAX(A$1:A3785)+1,"")</f>
        <v/>
      </c>
      <c r="B3786" s="11"/>
      <c r="C3786" s="11" t="str">
        <f>IF(COUNTIF(D$1:D3786,D3786)=1,MAX(C$1:C3785)+1,"")</f>
        <v/>
      </c>
      <c r="D3786" s="12"/>
    </row>
    <row r="3787" spans="1:4" x14ac:dyDescent="0.25">
      <c r="A3787" t="str">
        <f>IF(COUNTIF(B$1:B3787,B3787)=1,MAX(A$1:A3786)+1,"")</f>
        <v/>
      </c>
      <c r="B3787" s="11"/>
      <c r="C3787" s="11" t="str">
        <f>IF(COUNTIF(D$1:D3787,D3787)=1,MAX(C$1:C3786)+1,"")</f>
        <v/>
      </c>
      <c r="D3787" s="12"/>
    </row>
    <row r="3788" spans="1:4" x14ac:dyDescent="0.25">
      <c r="A3788" t="str">
        <f>IF(COUNTIF(B$1:B3788,B3788)=1,MAX(A$1:A3787)+1,"")</f>
        <v/>
      </c>
      <c r="B3788" s="11"/>
      <c r="C3788" s="11" t="str">
        <f>IF(COUNTIF(D$1:D3788,D3788)=1,MAX(C$1:C3787)+1,"")</f>
        <v/>
      </c>
      <c r="D3788" s="12"/>
    </row>
    <row r="3789" spans="1:4" x14ac:dyDescent="0.25">
      <c r="A3789" t="str">
        <f>IF(COUNTIF(B$1:B3789,B3789)=1,MAX(A$1:A3788)+1,"")</f>
        <v/>
      </c>
      <c r="B3789" s="11"/>
      <c r="C3789" s="11" t="str">
        <f>IF(COUNTIF(D$1:D3789,D3789)=1,MAX(C$1:C3788)+1,"")</f>
        <v/>
      </c>
      <c r="D3789" s="12"/>
    </row>
    <row r="3790" spans="1:4" x14ac:dyDescent="0.25">
      <c r="A3790" t="str">
        <f>IF(COUNTIF(B$1:B3790,B3790)=1,MAX(A$1:A3789)+1,"")</f>
        <v/>
      </c>
      <c r="B3790" s="11"/>
      <c r="C3790" s="11" t="str">
        <f>IF(COUNTIF(D$1:D3790,D3790)=1,MAX(C$1:C3789)+1,"")</f>
        <v/>
      </c>
      <c r="D3790" s="12"/>
    </row>
    <row r="3791" spans="1:4" x14ac:dyDescent="0.25">
      <c r="A3791" t="str">
        <f>IF(COUNTIF(B$1:B3791,B3791)=1,MAX(A$1:A3790)+1,"")</f>
        <v/>
      </c>
      <c r="B3791" s="11"/>
      <c r="C3791" s="11" t="str">
        <f>IF(COUNTIF(D$1:D3791,D3791)=1,MAX(C$1:C3790)+1,"")</f>
        <v/>
      </c>
      <c r="D3791" s="12"/>
    </row>
    <row r="3792" spans="1:4" x14ac:dyDescent="0.25">
      <c r="A3792" t="str">
        <f>IF(COUNTIF(B$1:B3792,B3792)=1,MAX(A$1:A3791)+1,"")</f>
        <v/>
      </c>
      <c r="B3792" s="11"/>
      <c r="C3792" s="11" t="str">
        <f>IF(COUNTIF(D$1:D3792,D3792)=1,MAX(C$1:C3791)+1,"")</f>
        <v/>
      </c>
      <c r="D3792" s="12"/>
    </row>
    <row r="3793" spans="1:4" x14ac:dyDescent="0.25">
      <c r="A3793" t="str">
        <f>IF(COUNTIF(B$1:B3793,B3793)=1,MAX(A$1:A3792)+1,"")</f>
        <v/>
      </c>
      <c r="B3793" s="11"/>
      <c r="C3793" s="11" t="str">
        <f>IF(COUNTIF(D$1:D3793,D3793)=1,MAX(C$1:C3792)+1,"")</f>
        <v/>
      </c>
      <c r="D3793" s="12"/>
    </row>
    <row r="3794" spans="1:4" x14ac:dyDescent="0.25">
      <c r="A3794" t="str">
        <f>IF(COUNTIF(B$1:B3794,B3794)=1,MAX(A$1:A3793)+1,"")</f>
        <v/>
      </c>
      <c r="B3794" s="11"/>
      <c r="C3794" s="11" t="str">
        <f>IF(COUNTIF(D$1:D3794,D3794)=1,MAX(C$1:C3793)+1,"")</f>
        <v/>
      </c>
      <c r="D3794" s="12"/>
    </row>
    <row r="3795" spans="1:4" x14ac:dyDescent="0.25">
      <c r="A3795" t="str">
        <f>IF(COUNTIF(B$1:B3795,B3795)=1,MAX(A$1:A3794)+1,"")</f>
        <v/>
      </c>
      <c r="B3795" s="11"/>
      <c r="C3795" s="11" t="str">
        <f>IF(COUNTIF(D$1:D3795,D3795)=1,MAX(C$1:C3794)+1,"")</f>
        <v/>
      </c>
      <c r="D3795" s="12"/>
    </row>
    <row r="3796" spans="1:4" x14ac:dyDescent="0.25">
      <c r="A3796" t="str">
        <f>IF(COUNTIF(B$1:B3796,B3796)=1,MAX(A$1:A3795)+1,"")</f>
        <v/>
      </c>
      <c r="B3796" s="11"/>
      <c r="C3796" s="11" t="str">
        <f>IF(COUNTIF(D$1:D3796,D3796)=1,MAX(C$1:C3795)+1,"")</f>
        <v/>
      </c>
      <c r="D3796" s="12"/>
    </row>
    <row r="3797" spans="1:4" x14ac:dyDescent="0.25">
      <c r="A3797" t="str">
        <f>IF(COUNTIF(B$1:B3797,B3797)=1,MAX(A$1:A3796)+1,"")</f>
        <v/>
      </c>
      <c r="B3797" s="11"/>
      <c r="C3797" s="11" t="str">
        <f>IF(COUNTIF(D$1:D3797,D3797)=1,MAX(C$1:C3796)+1,"")</f>
        <v/>
      </c>
      <c r="D3797" s="12"/>
    </row>
    <row r="3798" spans="1:4" x14ac:dyDescent="0.25">
      <c r="A3798" t="str">
        <f>IF(COUNTIF(B$1:B3798,B3798)=1,MAX(A$1:A3797)+1,"")</f>
        <v/>
      </c>
      <c r="B3798" s="11"/>
      <c r="C3798" s="11" t="str">
        <f>IF(COUNTIF(D$1:D3798,D3798)=1,MAX(C$1:C3797)+1,"")</f>
        <v/>
      </c>
      <c r="D3798" s="12"/>
    </row>
    <row r="3799" spans="1:4" x14ac:dyDescent="0.25">
      <c r="A3799" t="str">
        <f>IF(COUNTIF(B$1:B3799,B3799)=1,MAX(A$1:A3798)+1,"")</f>
        <v/>
      </c>
      <c r="B3799" s="11"/>
      <c r="C3799" s="11" t="str">
        <f>IF(COUNTIF(D$1:D3799,D3799)=1,MAX(C$1:C3798)+1,"")</f>
        <v/>
      </c>
      <c r="D3799" s="12"/>
    </row>
    <row r="3800" spans="1:4" x14ac:dyDescent="0.25">
      <c r="A3800" t="str">
        <f>IF(COUNTIF(B$1:B3800,B3800)=1,MAX(A$1:A3799)+1,"")</f>
        <v/>
      </c>
      <c r="B3800" s="11"/>
      <c r="C3800" s="11" t="str">
        <f>IF(COUNTIF(D$1:D3800,D3800)=1,MAX(C$1:C3799)+1,"")</f>
        <v/>
      </c>
      <c r="D3800" s="12"/>
    </row>
    <row r="3801" spans="1:4" x14ac:dyDescent="0.25">
      <c r="A3801" t="str">
        <f>IF(COUNTIF(B$1:B3801,B3801)=1,MAX(A$1:A3800)+1,"")</f>
        <v/>
      </c>
      <c r="B3801" s="11"/>
      <c r="C3801" s="11" t="str">
        <f>IF(COUNTIF(D$1:D3801,D3801)=1,MAX(C$1:C3800)+1,"")</f>
        <v/>
      </c>
      <c r="D3801" s="12"/>
    </row>
    <row r="3802" spans="1:4" x14ac:dyDescent="0.25">
      <c r="A3802" t="str">
        <f>IF(COUNTIF(B$1:B3802,B3802)=1,MAX(A$1:A3801)+1,"")</f>
        <v/>
      </c>
      <c r="B3802" s="11"/>
      <c r="C3802" s="11" t="str">
        <f>IF(COUNTIF(D$1:D3802,D3802)=1,MAX(C$1:C3801)+1,"")</f>
        <v/>
      </c>
      <c r="D3802" s="12"/>
    </row>
    <row r="3803" spans="1:4" x14ac:dyDescent="0.25">
      <c r="A3803" t="str">
        <f>IF(COUNTIF(B$1:B3803,B3803)=1,MAX(A$1:A3802)+1,"")</f>
        <v/>
      </c>
      <c r="B3803" s="11"/>
      <c r="C3803" s="11" t="str">
        <f>IF(COUNTIF(D$1:D3803,D3803)=1,MAX(C$1:C3802)+1,"")</f>
        <v/>
      </c>
      <c r="D3803" s="12"/>
    </row>
    <row r="3804" spans="1:4" x14ac:dyDescent="0.25">
      <c r="A3804" t="str">
        <f>IF(COUNTIF(B$1:B3804,B3804)=1,MAX(A$1:A3803)+1,"")</f>
        <v/>
      </c>
      <c r="B3804" s="11"/>
      <c r="C3804" s="11" t="str">
        <f>IF(COUNTIF(D$1:D3804,D3804)=1,MAX(C$1:C3803)+1,"")</f>
        <v/>
      </c>
      <c r="D3804" s="12"/>
    </row>
    <row r="3805" spans="1:4" x14ac:dyDescent="0.25">
      <c r="A3805" t="str">
        <f>IF(COUNTIF(B$1:B3805,B3805)=1,MAX(A$1:A3804)+1,"")</f>
        <v/>
      </c>
      <c r="B3805" s="11"/>
      <c r="C3805" s="11" t="str">
        <f>IF(COUNTIF(D$1:D3805,D3805)=1,MAX(C$1:C3804)+1,"")</f>
        <v/>
      </c>
      <c r="D3805" s="12"/>
    </row>
    <row r="3806" spans="1:4" x14ac:dyDescent="0.25">
      <c r="A3806" t="str">
        <f>IF(COUNTIF(B$1:B3806,B3806)=1,MAX(A$1:A3805)+1,"")</f>
        <v/>
      </c>
      <c r="B3806" s="11"/>
      <c r="C3806" s="11" t="str">
        <f>IF(COUNTIF(D$1:D3806,D3806)=1,MAX(C$1:C3805)+1,"")</f>
        <v/>
      </c>
      <c r="D3806" s="12"/>
    </row>
    <row r="3807" spans="1:4" x14ac:dyDescent="0.25">
      <c r="A3807" t="str">
        <f>IF(COUNTIF(B$1:B3807,B3807)=1,MAX(A$1:A3806)+1,"")</f>
        <v/>
      </c>
      <c r="B3807" s="11"/>
      <c r="C3807" s="11" t="str">
        <f>IF(COUNTIF(D$1:D3807,D3807)=1,MAX(C$1:C3806)+1,"")</f>
        <v/>
      </c>
      <c r="D3807" s="12"/>
    </row>
    <row r="3808" spans="1:4" x14ac:dyDescent="0.25">
      <c r="A3808" t="str">
        <f>IF(COUNTIF(B$1:B3808,B3808)=1,MAX(A$1:A3807)+1,"")</f>
        <v/>
      </c>
      <c r="B3808" s="11"/>
      <c r="C3808" s="11" t="str">
        <f>IF(COUNTIF(D$1:D3808,D3808)=1,MAX(C$1:C3807)+1,"")</f>
        <v/>
      </c>
      <c r="D3808" s="12"/>
    </row>
    <row r="3809" spans="1:4" x14ac:dyDescent="0.25">
      <c r="A3809" t="str">
        <f>IF(COUNTIF(B$1:B3809,B3809)=1,MAX(A$1:A3808)+1,"")</f>
        <v/>
      </c>
      <c r="B3809" s="11"/>
      <c r="C3809" s="11" t="str">
        <f>IF(COUNTIF(D$1:D3809,D3809)=1,MAX(C$1:C3808)+1,"")</f>
        <v/>
      </c>
      <c r="D3809" s="12"/>
    </row>
    <row r="3810" spans="1:4" x14ac:dyDescent="0.25">
      <c r="A3810" t="str">
        <f>IF(COUNTIF(B$1:B3810,B3810)=1,MAX(A$1:A3809)+1,"")</f>
        <v/>
      </c>
      <c r="B3810" s="11"/>
      <c r="C3810" s="11" t="str">
        <f>IF(COUNTIF(D$1:D3810,D3810)=1,MAX(C$1:C3809)+1,"")</f>
        <v/>
      </c>
      <c r="D3810" s="12"/>
    </row>
    <row r="3811" spans="1:4" x14ac:dyDescent="0.25">
      <c r="A3811" t="str">
        <f>IF(COUNTIF(B$1:B3811,B3811)=1,MAX(A$1:A3810)+1,"")</f>
        <v/>
      </c>
      <c r="B3811" s="11"/>
      <c r="C3811" s="11" t="str">
        <f>IF(COUNTIF(D$1:D3811,D3811)=1,MAX(C$1:C3810)+1,"")</f>
        <v/>
      </c>
      <c r="D3811" s="12"/>
    </row>
    <row r="3812" spans="1:4" x14ac:dyDescent="0.25">
      <c r="A3812" t="str">
        <f>IF(COUNTIF(B$1:B3812,B3812)=1,MAX(A$1:A3811)+1,"")</f>
        <v/>
      </c>
      <c r="B3812" s="11"/>
      <c r="C3812" s="11" t="str">
        <f>IF(COUNTIF(D$1:D3812,D3812)=1,MAX(C$1:C3811)+1,"")</f>
        <v/>
      </c>
      <c r="D3812" s="12"/>
    </row>
    <row r="3813" spans="1:4" x14ac:dyDescent="0.25">
      <c r="A3813" t="str">
        <f>IF(COUNTIF(B$1:B3813,B3813)=1,MAX(A$1:A3812)+1,"")</f>
        <v/>
      </c>
      <c r="B3813" s="11"/>
      <c r="C3813" s="11" t="str">
        <f>IF(COUNTIF(D$1:D3813,D3813)=1,MAX(C$1:C3812)+1,"")</f>
        <v/>
      </c>
      <c r="D3813" s="12"/>
    </row>
    <row r="3814" spans="1:4" x14ac:dyDescent="0.25">
      <c r="A3814" t="str">
        <f>IF(COUNTIF(B$1:B3814,B3814)=1,MAX(A$1:A3813)+1,"")</f>
        <v/>
      </c>
      <c r="B3814" s="11"/>
      <c r="C3814" s="11" t="str">
        <f>IF(COUNTIF(D$1:D3814,D3814)=1,MAX(C$1:C3813)+1,"")</f>
        <v/>
      </c>
      <c r="D3814" s="12"/>
    </row>
    <row r="3815" spans="1:4" x14ac:dyDescent="0.25">
      <c r="A3815" t="str">
        <f>IF(COUNTIF(B$1:B3815,B3815)=1,MAX(A$1:A3814)+1,"")</f>
        <v/>
      </c>
      <c r="B3815" s="11"/>
      <c r="C3815" s="11" t="str">
        <f>IF(COUNTIF(D$1:D3815,D3815)=1,MAX(C$1:C3814)+1,"")</f>
        <v/>
      </c>
      <c r="D3815" s="12"/>
    </row>
    <row r="3816" spans="1:4" x14ac:dyDescent="0.25">
      <c r="A3816" t="str">
        <f>IF(COUNTIF(B$1:B3816,B3816)=1,MAX(A$1:A3815)+1,"")</f>
        <v/>
      </c>
      <c r="B3816" s="11"/>
      <c r="C3816" s="11" t="str">
        <f>IF(COUNTIF(D$1:D3816,D3816)=1,MAX(C$1:C3815)+1,"")</f>
        <v/>
      </c>
      <c r="D3816" s="12"/>
    </row>
    <row r="3817" spans="1:4" x14ac:dyDescent="0.25">
      <c r="A3817" t="str">
        <f>IF(COUNTIF(B$1:B3817,B3817)=1,MAX(A$1:A3816)+1,"")</f>
        <v/>
      </c>
      <c r="B3817" s="11"/>
      <c r="C3817" s="11" t="str">
        <f>IF(COUNTIF(D$1:D3817,D3817)=1,MAX(C$1:C3816)+1,"")</f>
        <v/>
      </c>
      <c r="D3817" s="12"/>
    </row>
    <row r="3818" spans="1:4" x14ac:dyDescent="0.25">
      <c r="A3818" t="str">
        <f>IF(COUNTIF(B$1:B3818,B3818)=1,MAX(A$1:A3817)+1,"")</f>
        <v/>
      </c>
      <c r="B3818" s="11"/>
      <c r="C3818" s="11" t="str">
        <f>IF(COUNTIF(D$1:D3818,D3818)=1,MAX(C$1:C3817)+1,"")</f>
        <v/>
      </c>
      <c r="D3818" s="12"/>
    </row>
    <row r="3819" spans="1:4" x14ac:dyDescent="0.25">
      <c r="A3819" t="str">
        <f>IF(COUNTIF(B$1:B3819,B3819)=1,MAX(A$1:A3818)+1,"")</f>
        <v/>
      </c>
      <c r="B3819" s="11"/>
      <c r="C3819" s="11" t="str">
        <f>IF(COUNTIF(D$1:D3819,D3819)=1,MAX(C$1:C3818)+1,"")</f>
        <v/>
      </c>
      <c r="D3819" s="12"/>
    </row>
    <row r="3820" spans="1:4" x14ac:dyDescent="0.25">
      <c r="A3820" t="str">
        <f>IF(COUNTIF(B$1:B3820,B3820)=1,MAX(A$1:A3819)+1,"")</f>
        <v/>
      </c>
      <c r="B3820" s="11"/>
      <c r="C3820" s="11" t="str">
        <f>IF(COUNTIF(D$1:D3820,D3820)=1,MAX(C$1:C3819)+1,"")</f>
        <v/>
      </c>
      <c r="D3820" s="12"/>
    </row>
    <row r="3821" spans="1:4" x14ac:dyDescent="0.25">
      <c r="A3821" t="str">
        <f>IF(COUNTIF(B$1:B3821,B3821)=1,MAX(A$1:A3820)+1,"")</f>
        <v/>
      </c>
      <c r="B3821" s="11"/>
      <c r="C3821" s="11" t="str">
        <f>IF(COUNTIF(D$1:D3821,D3821)=1,MAX(C$1:C3820)+1,"")</f>
        <v/>
      </c>
      <c r="D3821" s="12"/>
    </row>
    <row r="3822" spans="1:4" x14ac:dyDescent="0.25">
      <c r="A3822" t="str">
        <f>IF(COUNTIF(B$1:B3822,B3822)=1,MAX(A$1:A3821)+1,"")</f>
        <v/>
      </c>
      <c r="B3822" s="11"/>
      <c r="C3822" s="11" t="str">
        <f>IF(COUNTIF(D$1:D3822,D3822)=1,MAX(C$1:C3821)+1,"")</f>
        <v/>
      </c>
      <c r="D3822" s="12"/>
    </row>
    <row r="3823" spans="1:4" x14ac:dyDescent="0.25">
      <c r="A3823" t="str">
        <f>IF(COUNTIF(B$1:B3823,B3823)=1,MAX(A$1:A3822)+1,"")</f>
        <v/>
      </c>
      <c r="B3823" s="11"/>
      <c r="C3823" s="11" t="str">
        <f>IF(COUNTIF(D$1:D3823,D3823)=1,MAX(C$1:C3822)+1,"")</f>
        <v/>
      </c>
      <c r="D3823" s="12"/>
    </row>
    <row r="3824" spans="1:4" x14ac:dyDescent="0.25">
      <c r="A3824" t="str">
        <f>IF(COUNTIF(B$1:B3824,B3824)=1,MAX(A$1:A3823)+1,"")</f>
        <v/>
      </c>
      <c r="B3824" s="11"/>
      <c r="C3824" s="11" t="str">
        <f>IF(COUNTIF(D$1:D3824,D3824)=1,MAX(C$1:C3823)+1,"")</f>
        <v/>
      </c>
      <c r="D3824" s="12"/>
    </row>
    <row r="3825" spans="1:4" x14ac:dyDescent="0.25">
      <c r="A3825" t="str">
        <f>IF(COUNTIF(B$1:B3825,B3825)=1,MAX(A$1:A3824)+1,"")</f>
        <v/>
      </c>
      <c r="B3825" s="11"/>
      <c r="C3825" s="11" t="str">
        <f>IF(COUNTIF(D$1:D3825,D3825)=1,MAX(C$1:C3824)+1,"")</f>
        <v/>
      </c>
      <c r="D3825" s="12"/>
    </row>
    <row r="3826" spans="1:4" x14ac:dyDescent="0.25">
      <c r="A3826" t="str">
        <f>IF(COUNTIF(B$1:B3826,B3826)=1,MAX(A$1:A3825)+1,"")</f>
        <v/>
      </c>
      <c r="B3826" s="11"/>
      <c r="C3826" s="11" t="str">
        <f>IF(COUNTIF(D$1:D3826,D3826)=1,MAX(C$1:C3825)+1,"")</f>
        <v/>
      </c>
      <c r="D3826" s="12"/>
    </row>
    <row r="3827" spans="1:4" x14ac:dyDescent="0.25">
      <c r="A3827" t="str">
        <f>IF(COUNTIF(B$1:B3827,B3827)=1,MAX(A$1:A3826)+1,"")</f>
        <v/>
      </c>
      <c r="B3827" s="11"/>
      <c r="C3827" s="11" t="str">
        <f>IF(COUNTIF(D$1:D3827,D3827)=1,MAX(C$1:C3826)+1,"")</f>
        <v/>
      </c>
      <c r="D3827" s="12"/>
    </row>
    <row r="3828" spans="1:4" x14ac:dyDescent="0.25">
      <c r="A3828" t="str">
        <f>IF(COUNTIF(B$1:B3828,B3828)=1,MAX(A$1:A3827)+1,"")</f>
        <v/>
      </c>
      <c r="B3828" s="11"/>
      <c r="C3828" s="11" t="str">
        <f>IF(COUNTIF(D$1:D3828,D3828)=1,MAX(C$1:C3827)+1,"")</f>
        <v/>
      </c>
      <c r="D3828" s="12"/>
    </row>
    <row r="3829" spans="1:4" x14ac:dyDescent="0.25">
      <c r="A3829" t="str">
        <f>IF(COUNTIF(B$1:B3829,B3829)=1,MAX(A$1:A3828)+1,"")</f>
        <v/>
      </c>
      <c r="B3829" s="11"/>
      <c r="C3829" s="11" t="str">
        <f>IF(COUNTIF(D$1:D3829,D3829)=1,MAX(C$1:C3828)+1,"")</f>
        <v/>
      </c>
      <c r="D3829" s="12"/>
    </row>
    <row r="3830" spans="1:4" x14ac:dyDescent="0.25">
      <c r="A3830" t="str">
        <f>IF(COUNTIF(B$1:B3830,B3830)=1,MAX(A$1:A3829)+1,"")</f>
        <v/>
      </c>
      <c r="B3830" s="11"/>
      <c r="C3830" s="11" t="str">
        <f>IF(COUNTIF(D$1:D3830,D3830)=1,MAX(C$1:C3829)+1,"")</f>
        <v/>
      </c>
      <c r="D3830" s="12"/>
    </row>
    <row r="3831" spans="1:4" x14ac:dyDescent="0.25">
      <c r="A3831" t="str">
        <f>IF(COUNTIF(B$1:B3831,B3831)=1,MAX(A$1:A3830)+1,"")</f>
        <v/>
      </c>
      <c r="B3831" s="11"/>
      <c r="C3831" s="11" t="str">
        <f>IF(COUNTIF(D$1:D3831,D3831)=1,MAX(C$1:C3830)+1,"")</f>
        <v/>
      </c>
      <c r="D3831" s="12"/>
    </row>
    <row r="3832" spans="1:4" x14ac:dyDescent="0.25">
      <c r="A3832" t="str">
        <f>IF(COUNTIF(B$1:B3832,B3832)=1,MAX(A$1:A3831)+1,"")</f>
        <v/>
      </c>
      <c r="B3832" s="11"/>
      <c r="C3832" s="11" t="str">
        <f>IF(COUNTIF(D$1:D3832,D3832)=1,MAX(C$1:C3831)+1,"")</f>
        <v/>
      </c>
      <c r="D3832" s="12"/>
    </row>
    <row r="3833" spans="1:4" x14ac:dyDescent="0.25">
      <c r="A3833" t="str">
        <f>IF(COUNTIF(B$1:B3833,B3833)=1,MAX(A$1:A3832)+1,"")</f>
        <v/>
      </c>
      <c r="B3833" s="11"/>
      <c r="C3833" s="11" t="str">
        <f>IF(COUNTIF(D$1:D3833,D3833)=1,MAX(C$1:C3832)+1,"")</f>
        <v/>
      </c>
      <c r="D3833" s="12"/>
    </row>
    <row r="3834" spans="1:4" x14ac:dyDescent="0.25">
      <c r="A3834" t="str">
        <f>IF(COUNTIF(B$1:B3834,B3834)=1,MAX(A$1:A3833)+1,"")</f>
        <v/>
      </c>
      <c r="B3834" s="11"/>
      <c r="C3834" s="11" t="str">
        <f>IF(COUNTIF(D$1:D3834,D3834)=1,MAX(C$1:C3833)+1,"")</f>
        <v/>
      </c>
      <c r="D3834" s="12"/>
    </row>
    <row r="3835" spans="1:4" x14ac:dyDescent="0.25">
      <c r="A3835" t="str">
        <f>IF(COUNTIF(B$1:B3835,B3835)=1,MAX(A$1:A3834)+1,"")</f>
        <v/>
      </c>
      <c r="B3835" s="11"/>
      <c r="C3835" s="11" t="str">
        <f>IF(COUNTIF(D$1:D3835,D3835)=1,MAX(C$1:C3834)+1,"")</f>
        <v/>
      </c>
      <c r="D3835" s="12"/>
    </row>
    <row r="3836" spans="1:4" x14ac:dyDescent="0.25">
      <c r="A3836" t="str">
        <f>IF(COUNTIF(B$1:B3836,B3836)=1,MAX(A$1:A3835)+1,"")</f>
        <v/>
      </c>
      <c r="B3836" s="11"/>
      <c r="C3836" s="11" t="str">
        <f>IF(COUNTIF(D$1:D3836,D3836)=1,MAX(C$1:C3835)+1,"")</f>
        <v/>
      </c>
      <c r="D3836" s="12"/>
    </row>
    <row r="3837" spans="1:4" x14ac:dyDescent="0.25">
      <c r="A3837" t="str">
        <f>IF(COUNTIF(B$1:B3837,B3837)=1,MAX(A$1:A3836)+1,"")</f>
        <v/>
      </c>
      <c r="B3837" s="11"/>
      <c r="C3837" s="11" t="str">
        <f>IF(COUNTIF(D$1:D3837,D3837)=1,MAX(C$1:C3836)+1,"")</f>
        <v/>
      </c>
      <c r="D3837" s="12"/>
    </row>
    <row r="3838" spans="1:4" x14ac:dyDescent="0.25">
      <c r="A3838" t="str">
        <f>IF(COUNTIF(B$1:B3838,B3838)=1,MAX(A$1:A3837)+1,"")</f>
        <v/>
      </c>
      <c r="B3838" s="11"/>
      <c r="C3838" s="11" t="str">
        <f>IF(COUNTIF(D$1:D3838,D3838)=1,MAX(C$1:C3837)+1,"")</f>
        <v/>
      </c>
      <c r="D3838" s="12"/>
    </row>
    <row r="3839" spans="1:4" x14ac:dyDescent="0.25">
      <c r="A3839" t="str">
        <f>IF(COUNTIF(B$1:B3839,B3839)=1,MAX(A$1:A3838)+1,"")</f>
        <v/>
      </c>
      <c r="B3839" s="11"/>
      <c r="C3839" s="11" t="str">
        <f>IF(COUNTIF(D$1:D3839,D3839)=1,MAX(C$1:C3838)+1,"")</f>
        <v/>
      </c>
      <c r="D3839" s="12"/>
    </row>
    <row r="3840" spans="1:4" x14ac:dyDescent="0.25">
      <c r="A3840" t="str">
        <f>IF(COUNTIF(B$1:B3840,B3840)=1,MAX(A$1:A3839)+1,"")</f>
        <v/>
      </c>
      <c r="B3840" s="11"/>
      <c r="C3840" s="11" t="str">
        <f>IF(COUNTIF(D$1:D3840,D3840)=1,MAX(C$1:C3839)+1,"")</f>
        <v/>
      </c>
      <c r="D3840" s="12"/>
    </row>
    <row r="3841" spans="1:4" x14ac:dyDescent="0.25">
      <c r="A3841" t="str">
        <f>IF(COUNTIF(B$1:B3841,B3841)=1,MAX(A$1:A3840)+1,"")</f>
        <v/>
      </c>
      <c r="B3841" s="11"/>
      <c r="C3841" s="11" t="str">
        <f>IF(COUNTIF(D$1:D3841,D3841)=1,MAX(C$1:C3840)+1,"")</f>
        <v/>
      </c>
      <c r="D3841" s="12"/>
    </row>
    <row r="3842" spans="1:4" x14ac:dyDescent="0.25">
      <c r="A3842" t="str">
        <f>IF(COUNTIF(B$1:B3842,B3842)=1,MAX(A$1:A3841)+1,"")</f>
        <v/>
      </c>
      <c r="B3842" s="11"/>
      <c r="C3842" s="11" t="str">
        <f>IF(COUNTIF(D$1:D3842,D3842)=1,MAX(C$1:C3841)+1,"")</f>
        <v/>
      </c>
      <c r="D3842" s="12"/>
    </row>
    <row r="3843" spans="1:4" x14ac:dyDescent="0.25">
      <c r="A3843" t="str">
        <f>IF(COUNTIF(B$1:B3843,B3843)=1,MAX(A$1:A3842)+1,"")</f>
        <v/>
      </c>
      <c r="B3843" s="11"/>
      <c r="C3843" s="11" t="str">
        <f>IF(COUNTIF(D$1:D3843,D3843)=1,MAX(C$1:C3842)+1,"")</f>
        <v/>
      </c>
      <c r="D3843" s="12"/>
    </row>
    <row r="3844" spans="1:4" x14ac:dyDescent="0.25">
      <c r="A3844" t="str">
        <f>IF(COUNTIF(B$1:B3844,B3844)=1,MAX(A$1:A3843)+1,"")</f>
        <v/>
      </c>
      <c r="B3844" s="11"/>
      <c r="C3844" s="11" t="str">
        <f>IF(COUNTIF(D$1:D3844,D3844)=1,MAX(C$1:C3843)+1,"")</f>
        <v/>
      </c>
      <c r="D3844" s="12"/>
    </row>
    <row r="3845" spans="1:4" x14ac:dyDescent="0.25">
      <c r="A3845" t="str">
        <f>IF(COUNTIF(B$1:B3845,B3845)=1,MAX(A$1:A3844)+1,"")</f>
        <v/>
      </c>
      <c r="B3845" s="11"/>
      <c r="C3845" s="11" t="str">
        <f>IF(COUNTIF(D$1:D3845,D3845)=1,MAX(C$1:C3844)+1,"")</f>
        <v/>
      </c>
      <c r="D3845" s="12"/>
    </row>
    <row r="3846" spans="1:4" x14ac:dyDescent="0.25">
      <c r="A3846" t="str">
        <f>IF(COUNTIF(B$1:B3846,B3846)=1,MAX(A$1:A3845)+1,"")</f>
        <v/>
      </c>
      <c r="B3846" s="11"/>
      <c r="C3846" s="11" t="str">
        <f>IF(COUNTIF(D$1:D3846,D3846)=1,MAX(C$1:C3845)+1,"")</f>
        <v/>
      </c>
      <c r="D3846" s="12"/>
    </row>
    <row r="3847" spans="1:4" x14ac:dyDescent="0.25">
      <c r="A3847" t="str">
        <f>IF(COUNTIF(B$1:B3847,B3847)=1,MAX(A$1:A3846)+1,"")</f>
        <v/>
      </c>
      <c r="B3847" s="11"/>
      <c r="C3847" s="11" t="str">
        <f>IF(COUNTIF(D$1:D3847,D3847)=1,MAX(C$1:C3846)+1,"")</f>
        <v/>
      </c>
      <c r="D3847" s="12"/>
    </row>
    <row r="3848" spans="1:4" x14ac:dyDescent="0.25">
      <c r="A3848" t="str">
        <f>IF(COUNTIF(B$1:B3848,B3848)=1,MAX(A$1:A3847)+1,"")</f>
        <v/>
      </c>
      <c r="B3848" s="11"/>
      <c r="C3848" s="11" t="str">
        <f>IF(COUNTIF(D$1:D3848,D3848)=1,MAX(C$1:C3847)+1,"")</f>
        <v/>
      </c>
      <c r="D3848" s="12"/>
    </row>
    <row r="3849" spans="1:4" x14ac:dyDescent="0.25">
      <c r="A3849" t="str">
        <f>IF(COUNTIF(B$1:B3849,B3849)=1,MAX(A$1:A3848)+1,"")</f>
        <v/>
      </c>
      <c r="B3849" s="11"/>
      <c r="C3849" s="11" t="str">
        <f>IF(COUNTIF(D$1:D3849,D3849)=1,MAX(C$1:C3848)+1,"")</f>
        <v/>
      </c>
      <c r="D3849" s="12"/>
    </row>
    <row r="3850" spans="1:4" x14ac:dyDescent="0.25">
      <c r="A3850" t="str">
        <f>IF(COUNTIF(B$1:B3850,B3850)=1,MAX(A$1:A3849)+1,"")</f>
        <v/>
      </c>
      <c r="B3850" s="11"/>
      <c r="C3850" s="11" t="str">
        <f>IF(COUNTIF(D$1:D3850,D3850)=1,MAX(C$1:C3849)+1,"")</f>
        <v/>
      </c>
      <c r="D3850" s="12"/>
    </row>
    <row r="3851" spans="1:4" x14ac:dyDescent="0.25">
      <c r="A3851" t="str">
        <f>IF(COUNTIF(B$1:B3851,B3851)=1,MAX(A$1:A3850)+1,"")</f>
        <v/>
      </c>
      <c r="B3851" s="11"/>
      <c r="C3851" s="11" t="str">
        <f>IF(COUNTIF(D$1:D3851,D3851)=1,MAX(C$1:C3850)+1,"")</f>
        <v/>
      </c>
      <c r="D3851" s="12"/>
    </row>
    <row r="3852" spans="1:4" x14ac:dyDescent="0.25">
      <c r="A3852" t="str">
        <f>IF(COUNTIF(B$1:B3852,B3852)=1,MAX(A$1:A3851)+1,"")</f>
        <v/>
      </c>
      <c r="B3852" s="11"/>
      <c r="C3852" s="11" t="str">
        <f>IF(COUNTIF(D$1:D3852,D3852)=1,MAX(C$1:C3851)+1,"")</f>
        <v/>
      </c>
      <c r="D3852" s="12"/>
    </row>
    <row r="3853" spans="1:4" x14ac:dyDescent="0.25">
      <c r="A3853" t="str">
        <f>IF(COUNTIF(B$1:B3853,B3853)=1,MAX(A$1:A3852)+1,"")</f>
        <v/>
      </c>
      <c r="B3853" s="11"/>
      <c r="C3853" s="11" t="str">
        <f>IF(COUNTIF(D$1:D3853,D3853)=1,MAX(C$1:C3852)+1,"")</f>
        <v/>
      </c>
      <c r="D3853" s="12"/>
    </row>
    <row r="3854" spans="1:4" x14ac:dyDescent="0.25">
      <c r="A3854" t="str">
        <f>IF(COUNTIF(B$1:B3854,B3854)=1,MAX(A$1:A3853)+1,"")</f>
        <v/>
      </c>
      <c r="B3854" s="11"/>
      <c r="C3854" s="11" t="str">
        <f>IF(COUNTIF(D$1:D3854,D3854)=1,MAX(C$1:C3853)+1,"")</f>
        <v/>
      </c>
      <c r="D3854" s="12"/>
    </row>
    <row r="3855" spans="1:4" x14ac:dyDescent="0.25">
      <c r="A3855" t="str">
        <f>IF(COUNTIF(B$1:B3855,B3855)=1,MAX(A$1:A3854)+1,"")</f>
        <v/>
      </c>
      <c r="B3855" s="11"/>
      <c r="C3855" s="11" t="str">
        <f>IF(COUNTIF(D$1:D3855,D3855)=1,MAX(C$1:C3854)+1,"")</f>
        <v/>
      </c>
      <c r="D3855" s="12"/>
    </row>
    <row r="3856" spans="1:4" x14ac:dyDescent="0.25">
      <c r="A3856" t="str">
        <f>IF(COUNTIF(B$1:B3856,B3856)=1,MAX(A$1:A3855)+1,"")</f>
        <v/>
      </c>
      <c r="B3856" s="11"/>
      <c r="C3856" s="11" t="str">
        <f>IF(COUNTIF(D$1:D3856,D3856)=1,MAX(C$1:C3855)+1,"")</f>
        <v/>
      </c>
      <c r="D3856" s="12"/>
    </row>
    <row r="3857" spans="1:4" x14ac:dyDescent="0.25">
      <c r="A3857" t="str">
        <f>IF(COUNTIF(B$1:B3857,B3857)=1,MAX(A$1:A3856)+1,"")</f>
        <v/>
      </c>
      <c r="B3857" s="11"/>
      <c r="C3857" s="11" t="str">
        <f>IF(COUNTIF(D$1:D3857,D3857)=1,MAX(C$1:C3856)+1,"")</f>
        <v/>
      </c>
      <c r="D3857" s="12"/>
    </row>
    <row r="3858" spans="1:4" x14ac:dyDescent="0.25">
      <c r="A3858" t="str">
        <f>IF(COUNTIF(B$1:B3858,B3858)=1,MAX(A$1:A3857)+1,"")</f>
        <v/>
      </c>
      <c r="B3858" s="11"/>
      <c r="C3858" s="11" t="str">
        <f>IF(COUNTIF(D$1:D3858,D3858)=1,MAX(C$1:C3857)+1,"")</f>
        <v/>
      </c>
      <c r="D3858" s="12"/>
    </row>
    <row r="3859" spans="1:4" x14ac:dyDescent="0.25">
      <c r="A3859" t="str">
        <f>IF(COUNTIF(B$1:B3859,B3859)=1,MAX(A$1:A3858)+1,"")</f>
        <v/>
      </c>
      <c r="B3859" s="11"/>
      <c r="C3859" s="11" t="str">
        <f>IF(COUNTIF(D$1:D3859,D3859)=1,MAX(C$1:C3858)+1,"")</f>
        <v/>
      </c>
      <c r="D3859" s="12"/>
    </row>
    <row r="3860" spans="1:4" x14ac:dyDescent="0.25">
      <c r="A3860" t="str">
        <f>IF(COUNTIF(B$1:B3860,B3860)=1,MAX(A$1:A3859)+1,"")</f>
        <v/>
      </c>
      <c r="B3860" s="11"/>
      <c r="C3860" s="11" t="str">
        <f>IF(COUNTIF(D$1:D3860,D3860)=1,MAX(C$1:C3859)+1,"")</f>
        <v/>
      </c>
      <c r="D3860" s="12"/>
    </row>
    <row r="3861" spans="1:4" x14ac:dyDescent="0.25">
      <c r="A3861" t="str">
        <f>IF(COUNTIF(B$1:B3861,B3861)=1,MAX(A$1:A3860)+1,"")</f>
        <v/>
      </c>
      <c r="B3861" s="11"/>
      <c r="C3861" s="11" t="str">
        <f>IF(COUNTIF(D$1:D3861,D3861)=1,MAX(C$1:C3860)+1,"")</f>
        <v/>
      </c>
      <c r="D3861" s="12"/>
    </row>
    <row r="3862" spans="1:4" x14ac:dyDescent="0.25">
      <c r="A3862" t="str">
        <f>IF(COUNTIF(B$1:B3862,B3862)=1,MAX(A$1:A3861)+1,"")</f>
        <v/>
      </c>
      <c r="B3862" s="11"/>
      <c r="C3862" s="11" t="str">
        <f>IF(COUNTIF(D$1:D3862,D3862)=1,MAX(C$1:C3861)+1,"")</f>
        <v/>
      </c>
      <c r="D3862" s="12"/>
    </row>
    <row r="3863" spans="1:4" x14ac:dyDescent="0.25">
      <c r="A3863" t="str">
        <f>IF(COUNTIF(B$1:B3863,B3863)=1,MAX(A$1:A3862)+1,"")</f>
        <v/>
      </c>
      <c r="B3863" s="11"/>
      <c r="C3863" s="11" t="str">
        <f>IF(COUNTIF(D$1:D3863,D3863)=1,MAX(C$1:C3862)+1,"")</f>
        <v/>
      </c>
      <c r="D3863" s="12"/>
    </row>
    <row r="3864" spans="1:4" x14ac:dyDescent="0.25">
      <c r="A3864" t="str">
        <f>IF(COUNTIF(B$1:B3864,B3864)=1,MAX(A$1:A3863)+1,"")</f>
        <v/>
      </c>
      <c r="B3864" s="11"/>
      <c r="C3864" s="11" t="str">
        <f>IF(COUNTIF(D$1:D3864,D3864)=1,MAX(C$1:C3863)+1,"")</f>
        <v/>
      </c>
      <c r="D3864" s="12"/>
    </row>
    <row r="3865" spans="1:4" x14ac:dyDescent="0.25">
      <c r="A3865" t="str">
        <f>IF(COUNTIF(B$1:B3865,B3865)=1,MAX(A$1:A3864)+1,"")</f>
        <v/>
      </c>
      <c r="B3865" s="11"/>
      <c r="C3865" s="11" t="str">
        <f>IF(COUNTIF(D$1:D3865,D3865)=1,MAX(C$1:C3864)+1,"")</f>
        <v/>
      </c>
      <c r="D3865" s="12"/>
    </row>
    <row r="3866" spans="1:4" x14ac:dyDescent="0.25">
      <c r="A3866" t="str">
        <f>IF(COUNTIF(B$1:B3866,B3866)=1,MAX(A$1:A3865)+1,"")</f>
        <v/>
      </c>
      <c r="B3866" s="11"/>
      <c r="C3866" s="11" t="str">
        <f>IF(COUNTIF(D$1:D3866,D3866)=1,MAX(C$1:C3865)+1,"")</f>
        <v/>
      </c>
      <c r="D3866" s="12"/>
    </row>
    <row r="3867" spans="1:4" x14ac:dyDescent="0.25">
      <c r="A3867" t="str">
        <f>IF(COUNTIF(B$1:B3867,B3867)=1,MAX(A$1:A3866)+1,"")</f>
        <v/>
      </c>
      <c r="B3867" s="11"/>
      <c r="C3867" s="11" t="str">
        <f>IF(COUNTIF(D$1:D3867,D3867)=1,MAX(C$1:C3866)+1,"")</f>
        <v/>
      </c>
      <c r="D3867" s="12"/>
    </row>
    <row r="3868" spans="1:4" x14ac:dyDescent="0.25">
      <c r="A3868" t="str">
        <f>IF(COUNTIF(B$1:B3868,B3868)=1,MAX(A$1:A3867)+1,"")</f>
        <v/>
      </c>
      <c r="B3868" s="11"/>
      <c r="C3868" s="11" t="str">
        <f>IF(COUNTIF(D$1:D3868,D3868)=1,MAX(C$1:C3867)+1,"")</f>
        <v/>
      </c>
      <c r="D3868" s="12"/>
    </row>
    <row r="3869" spans="1:4" x14ac:dyDescent="0.25">
      <c r="A3869" t="str">
        <f>IF(COUNTIF(B$1:B3869,B3869)=1,MAX(A$1:A3868)+1,"")</f>
        <v/>
      </c>
      <c r="B3869" s="11"/>
      <c r="C3869" s="11" t="str">
        <f>IF(COUNTIF(D$1:D3869,D3869)=1,MAX(C$1:C3868)+1,"")</f>
        <v/>
      </c>
      <c r="D3869" s="12"/>
    </row>
    <row r="3870" spans="1:4" x14ac:dyDescent="0.25">
      <c r="A3870" t="str">
        <f>IF(COUNTIF(B$1:B3870,B3870)=1,MAX(A$1:A3869)+1,"")</f>
        <v/>
      </c>
      <c r="B3870" s="11"/>
      <c r="C3870" s="11" t="str">
        <f>IF(COUNTIF(D$1:D3870,D3870)=1,MAX(C$1:C3869)+1,"")</f>
        <v/>
      </c>
      <c r="D3870" s="12"/>
    </row>
    <row r="3871" spans="1:4" x14ac:dyDescent="0.25">
      <c r="A3871" t="str">
        <f>IF(COUNTIF(B$1:B3871,B3871)=1,MAX(A$1:A3870)+1,"")</f>
        <v/>
      </c>
      <c r="B3871" s="11"/>
      <c r="C3871" s="11" t="str">
        <f>IF(COUNTIF(D$1:D3871,D3871)=1,MAX(C$1:C3870)+1,"")</f>
        <v/>
      </c>
      <c r="D3871" s="12"/>
    </row>
    <row r="3872" spans="1:4" x14ac:dyDescent="0.25">
      <c r="A3872" t="str">
        <f>IF(COUNTIF(B$1:B3872,B3872)=1,MAX(A$1:A3871)+1,"")</f>
        <v/>
      </c>
      <c r="B3872" s="11"/>
      <c r="C3872" s="11" t="str">
        <f>IF(COUNTIF(D$1:D3872,D3872)=1,MAX(C$1:C3871)+1,"")</f>
        <v/>
      </c>
      <c r="D3872" s="12"/>
    </row>
    <row r="3873" spans="1:4" x14ac:dyDescent="0.25">
      <c r="A3873" t="str">
        <f>IF(COUNTIF(B$1:B3873,B3873)=1,MAX(A$1:A3872)+1,"")</f>
        <v/>
      </c>
      <c r="B3873" s="11"/>
      <c r="C3873" s="11" t="str">
        <f>IF(COUNTIF(D$1:D3873,D3873)=1,MAX(C$1:C3872)+1,"")</f>
        <v/>
      </c>
      <c r="D3873" s="12"/>
    </row>
    <row r="3874" spans="1:4" x14ac:dyDescent="0.25">
      <c r="A3874" t="str">
        <f>IF(COUNTIF(B$1:B3874,B3874)=1,MAX(A$1:A3873)+1,"")</f>
        <v/>
      </c>
      <c r="B3874" s="11"/>
      <c r="C3874" s="11" t="str">
        <f>IF(COUNTIF(D$1:D3874,D3874)=1,MAX(C$1:C3873)+1,"")</f>
        <v/>
      </c>
      <c r="D3874" s="12"/>
    </row>
    <row r="3875" spans="1:4" x14ac:dyDescent="0.25">
      <c r="A3875" t="str">
        <f>IF(COUNTIF(B$1:B3875,B3875)=1,MAX(A$1:A3874)+1,"")</f>
        <v/>
      </c>
      <c r="B3875" s="11"/>
      <c r="C3875" s="11" t="str">
        <f>IF(COUNTIF(D$1:D3875,D3875)=1,MAX(C$1:C3874)+1,"")</f>
        <v/>
      </c>
      <c r="D3875" s="12"/>
    </row>
    <row r="3876" spans="1:4" x14ac:dyDescent="0.25">
      <c r="A3876" t="str">
        <f>IF(COUNTIF(B$1:B3876,B3876)=1,MAX(A$1:A3875)+1,"")</f>
        <v/>
      </c>
      <c r="B3876" s="11"/>
      <c r="C3876" s="11" t="str">
        <f>IF(COUNTIF(D$1:D3876,D3876)=1,MAX(C$1:C3875)+1,"")</f>
        <v/>
      </c>
      <c r="D3876" s="12"/>
    </row>
    <row r="3877" spans="1:4" x14ac:dyDescent="0.25">
      <c r="A3877" t="str">
        <f>IF(COUNTIF(B$1:B3877,B3877)=1,MAX(A$1:A3876)+1,"")</f>
        <v/>
      </c>
      <c r="B3877" s="11"/>
      <c r="C3877" s="11" t="str">
        <f>IF(COUNTIF(D$1:D3877,D3877)=1,MAX(C$1:C3876)+1,"")</f>
        <v/>
      </c>
      <c r="D3877" s="12"/>
    </row>
    <row r="3878" spans="1:4" x14ac:dyDescent="0.25">
      <c r="A3878" t="str">
        <f>IF(COUNTIF(B$1:B3878,B3878)=1,MAX(A$1:A3877)+1,"")</f>
        <v/>
      </c>
      <c r="B3878" s="11"/>
      <c r="C3878" s="11" t="str">
        <f>IF(COUNTIF(D$1:D3878,D3878)=1,MAX(C$1:C3877)+1,"")</f>
        <v/>
      </c>
      <c r="D3878" s="12"/>
    </row>
    <row r="3879" spans="1:4" x14ac:dyDescent="0.25">
      <c r="A3879" t="str">
        <f>IF(COUNTIF(B$1:B3879,B3879)=1,MAX(A$1:A3878)+1,"")</f>
        <v/>
      </c>
      <c r="B3879" s="11"/>
      <c r="C3879" s="11" t="str">
        <f>IF(COUNTIF(D$1:D3879,D3879)=1,MAX(C$1:C3878)+1,"")</f>
        <v/>
      </c>
      <c r="D3879" s="12"/>
    </row>
    <row r="3880" spans="1:4" x14ac:dyDescent="0.25">
      <c r="A3880" t="str">
        <f>IF(COUNTIF(B$1:B3880,B3880)=1,MAX(A$1:A3879)+1,"")</f>
        <v/>
      </c>
      <c r="B3880" s="11"/>
      <c r="C3880" s="11" t="str">
        <f>IF(COUNTIF(D$1:D3880,D3880)=1,MAX(C$1:C3879)+1,"")</f>
        <v/>
      </c>
      <c r="D3880" s="12"/>
    </row>
    <row r="3881" spans="1:4" x14ac:dyDescent="0.25">
      <c r="A3881" t="str">
        <f>IF(COUNTIF(B$1:B3881,B3881)=1,MAX(A$1:A3880)+1,"")</f>
        <v/>
      </c>
      <c r="B3881" s="11"/>
      <c r="C3881" s="11" t="str">
        <f>IF(COUNTIF(D$1:D3881,D3881)=1,MAX(C$1:C3880)+1,"")</f>
        <v/>
      </c>
      <c r="D3881" s="12"/>
    </row>
    <row r="3882" spans="1:4" x14ac:dyDescent="0.25">
      <c r="A3882" t="str">
        <f>IF(COUNTIF(B$1:B3882,B3882)=1,MAX(A$1:A3881)+1,"")</f>
        <v/>
      </c>
      <c r="B3882" s="11"/>
      <c r="C3882" s="11" t="str">
        <f>IF(COUNTIF(D$1:D3882,D3882)=1,MAX(C$1:C3881)+1,"")</f>
        <v/>
      </c>
      <c r="D3882" s="12"/>
    </row>
    <row r="3883" spans="1:4" x14ac:dyDescent="0.25">
      <c r="A3883" t="str">
        <f>IF(COUNTIF(B$1:B3883,B3883)=1,MAX(A$1:A3882)+1,"")</f>
        <v/>
      </c>
      <c r="B3883" s="11"/>
      <c r="C3883" s="11" t="str">
        <f>IF(COUNTIF(D$1:D3883,D3883)=1,MAX(C$1:C3882)+1,"")</f>
        <v/>
      </c>
      <c r="D3883" s="12"/>
    </row>
    <row r="3884" spans="1:4" x14ac:dyDescent="0.25">
      <c r="A3884" t="str">
        <f>IF(COUNTIF(B$1:B3884,B3884)=1,MAX(A$1:A3883)+1,"")</f>
        <v/>
      </c>
      <c r="B3884" s="11"/>
      <c r="C3884" s="11" t="str">
        <f>IF(COUNTIF(D$1:D3884,D3884)=1,MAX(C$1:C3883)+1,"")</f>
        <v/>
      </c>
      <c r="D3884" s="12"/>
    </row>
    <row r="3885" spans="1:4" x14ac:dyDescent="0.25">
      <c r="A3885" t="str">
        <f>IF(COUNTIF(B$1:B3885,B3885)=1,MAX(A$1:A3884)+1,"")</f>
        <v/>
      </c>
      <c r="B3885" s="11"/>
      <c r="C3885" s="11" t="str">
        <f>IF(COUNTIF(D$1:D3885,D3885)=1,MAX(C$1:C3884)+1,"")</f>
        <v/>
      </c>
      <c r="D3885" s="12"/>
    </row>
    <row r="3886" spans="1:4" x14ac:dyDescent="0.25">
      <c r="A3886" t="str">
        <f>IF(COUNTIF(B$1:B3886,B3886)=1,MAX(A$1:A3885)+1,"")</f>
        <v/>
      </c>
      <c r="B3886" s="11"/>
      <c r="C3886" s="11" t="str">
        <f>IF(COUNTIF(D$1:D3886,D3886)=1,MAX(C$1:C3885)+1,"")</f>
        <v/>
      </c>
      <c r="D3886" s="12"/>
    </row>
    <row r="3887" spans="1:4" x14ac:dyDescent="0.25">
      <c r="A3887" t="str">
        <f>IF(COUNTIF(B$1:B3887,B3887)=1,MAX(A$1:A3886)+1,"")</f>
        <v/>
      </c>
      <c r="B3887" s="11"/>
      <c r="C3887" s="11" t="str">
        <f>IF(COUNTIF(D$1:D3887,D3887)=1,MAX(C$1:C3886)+1,"")</f>
        <v/>
      </c>
      <c r="D3887" s="12"/>
    </row>
    <row r="3888" spans="1:4" x14ac:dyDescent="0.25">
      <c r="A3888" t="str">
        <f>IF(COUNTIF(B$1:B3888,B3888)=1,MAX(A$1:A3887)+1,"")</f>
        <v/>
      </c>
      <c r="B3888" s="11"/>
      <c r="C3888" s="11" t="str">
        <f>IF(COUNTIF(D$1:D3888,D3888)=1,MAX(C$1:C3887)+1,"")</f>
        <v/>
      </c>
      <c r="D3888" s="12"/>
    </row>
    <row r="3889" spans="1:4" x14ac:dyDescent="0.25">
      <c r="A3889" t="str">
        <f>IF(COUNTIF(B$1:B3889,B3889)=1,MAX(A$1:A3888)+1,"")</f>
        <v/>
      </c>
      <c r="B3889" s="11"/>
      <c r="C3889" s="11" t="str">
        <f>IF(COUNTIF(D$1:D3889,D3889)=1,MAX(C$1:C3888)+1,"")</f>
        <v/>
      </c>
      <c r="D3889" s="12"/>
    </row>
    <row r="3890" spans="1:4" x14ac:dyDescent="0.25">
      <c r="A3890" t="str">
        <f>IF(COUNTIF(B$1:B3890,B3890)=1,MAX(A$1:A3889)+1,"")</f>
        <v/>
      </c>
      <c r="B3890" s="11"/>
      <c r="C3890" s="11" t="str">
        <f>IF(COUNTIF(D$1:D3890,D3890)=1,MAX(C$1:C3889)+1,"")</f>
        <v/>
      </c>
      <c r="D3890" s="12"/>
    </row>
    <row r="3891" spans="1:4" x14ac:dyDescent="0.25">
      <c r="A3891" t="str">
        <f>IF(COUNTIF(B$1:B3891,B3891)=1,MAX(A$1:A3890)+1,"")</f>
        <v/>
      </c>
      <c r="B3891" s="11"/>
      <c r="C3891" s="11" t="str">
        <f>IF(COUNTIF(D$1:D3891,D3891)=1,MAX(C$1:C3890)+1,"")</f>
        <v/>
      </c>
      <c r="D3891" s="12"/>
    </row>
    <row r="3892" spans="1:4" x14ac:dyDescent="0.25">
      <c r="A3892" t="str">
        <f>IF(COUNTIF(B$1:B3892,B3892)=1,MAX(A$1:A3891)+1,"")</f>
        <v/>
      </c>
      <c r="B3892" s="11"/>
      <c r="C3892" s="11" t="str">
        <f>IF(COUNTIF(D$1:D3892,D3892)=1,MAX(C$1:C3891)+1,"")</f>
        <v/>
      </c>
      <c r="D3892" s="12"/>
    </row>
    <row r="3893" spans="1:4" x14ac:dyDescent="0.25">
      <c r="A3893" t="str">
        <f>IF(COUNTIF(B$1:B3893,B3893)=1,MAX(A$1:A3892)+1,"")</f>
        <v/>
      </c>
      <c r="B3893" s="11"/>
      <c r="C3893" s="11" t="str">
        <f>IF(COUNTIF(D$1:D3893,D3893)=1,MAX(C$1:C3892)+1,"")</f>
        <v/>
      </c>
      <c r="D3893" s="12"/>
    </row>
    <row r="3894" spans="1:4" x14ac:dyDescent="0.25">
      <c r="A3894" t="str">
        <f>IF(COUNTIF(B$1:B3894,B3894)=1,MAX(A$1:A3893)+1,"")</f>
        <v/>
      </c>
      <c r="B3894" s="11"/>
      <c r="C3894" s="11" t="str">
        <f>IF(COUNTIF(D$1:D3894,D3894)=1,MAX(C$1:C3893)+1,"")</f>
        <v/>
      </c>
      <c r="D3894" s="12"/>
    </row>
    <row r="3895" spans="1:4" x14ac:dyDescent="0.25">
      <c r="A3895" t="str">
        <f>IF(COUNTIF(B$1:B3895,B3895)=1,MAX(A$1:A3894)+1,"")</f>
        <v/>
      </c>
      <c r="B3895" s="11"/>
      <c r="C3895" s="11" t="str">
        <f>IF(COUNTIF(D$1:D3895,D3895)=1,MAX(C$1:C3894)+1,"")</f>
        <v/>
      </c>
      <c r="D3895" s="12"/>
    </row>
    <row r="3896" spans="1:4" x14ac:dyDescent="0.25">
      <c r="A3896" t="str">
        <f>IF(COUNTIF(B$1:B3896,B3896)=1,MAX(A$1:A3895)+1,"")</f>
        <v/>
      </c>
      <c r="B3896" s="11"/>
      <c r="C3896" s="11" t="str">
        <f>IF(COUNTIF(D$1:D3896,D3896)=1,MAX(C$1:C3895)+1,"")</f>
        <v/>
      </c>
      <c r="D3896" s="12"/>
    </row>
    <row r="3897" spans="1:4" x14ac:dyDescent="0.25">
      <c r="A3897" t="str">
        <f>IF(COUNTIF(B$1:B3897,B3897)=1,MAX(A$1:A3896)+1,"")</f>
        <v/>
      </c>
      <c r="B3897" s="11"/>
      <c r="C3897" s="11" t="str">
        <f>IF(COUNTIF(D$1:D3897,D3897)=1,MAX(C$1:C3896)+1,"")</f>
        <v/>
      </c>
      <c r="D3897" s="12"/>
    </row>
    <row r="3898" spans="1:4" x14ac:dyDescent="0.25">
      <c r="A3898" t="str">
        <f>IF(COUNTIF(B$1:B3898,B3898)=1,MAX(A$1:A3897)+1,"")</f>
        <v/>
      </c>
      <c r="B3898" s="11"/>
      <c r="C3898" s="11" t="str">
        <f>IF(COUNTIF(D$1:D3898,D3898)=1,MAX(C$1:C3897)+1,"")</f>
        <v/>
      </c>
      <c r="D3898" s="12"/>
    </row>
    <row r="3899" spans="1:4" x14ac:dyDescent="0.25">
      <c r="A3899" t="str">
        <f>IF(COUNTIF(B$1:B3899,B3899)=1,MAX(A$1:A3898)+1,"")</f>
        <v/>
      </c>
      <c r="B3899" s="11"/>
      <c r="C3899" s="11" t="str">
        <f>IF(COUNTIF(D$1:D3899,D3899)=1,MAX(C$1:C3898)+1,"")</f>
        <v/>
      </c>
      <c r="D3899" s="12"/>
    </row>
    <row r="3900" spans="1:4" x14ac:dyDescent="0.25">
      <c r="A3900" t="str">
        <f>IF(COUNTIF(B$1:B3900,B3900)=1,MAX(A$1:A3899)+1,"")</f>
        <v/>
      </c>
      <c r="B3900" s="11"/>
      <c r="C3900" s="11" t="str">
        <f>IF(COUNTIF(D$1:D3900,D3900)=1,MAX(C$1:C3899)+1,"")</f>
        <v/>
      </c>
      <c r="D3900" s="12"/>
    </row>
    <row r="3901" spans="1:4" x14ac:dyDescent="0.25">
      <c r="A3901" t="str">
        <f>IF(COUNTIF(B$1:B3901,B3901)=1,MAX(A$1:A3900)+1,"")</f>
        <v/>
      </c>
      <c r="B3901" s="11"/>
      <c r="C3901" s="11" t="str">
        <f>IF(COUNTIF(D$1:D3901,D3901)=1,MAX(C$1:C3900)+1,"")</f>
        <v/>
      </c>
      <c r="D3901" s="12"/>
    </row>
    <row r="3902" spans="1:4" x14ac:dyDescent="0.25">
      <c r="A3902" t="str">
        <f>IF(COUNTIF(B$1:B3902,B3902)=1,MAX(A$1:A3901)+1,"")</f>
        <v/>
      </c>
      <c r="B3902" s="11"/>
      <c r="C3902" s="11" t="str">
        <f>IF(COUNTIF(D$1:D3902,D3902)=1,MAX(C$1:C3901)+1,"")</f>
        <v/>
      </c>
      <c r="D3902" s="12"/>
    </row>
    <row r="3903" spans="1:4" x14ac:dyDescent="0.25">
      <c r="A3903" t="str">
        <f>IF(COUNTIF(B$1:B3903,B3903)=1,MAX(A$1:A3902)+1,"")</f>
        <v/>
      </c>
      <c r="B3903" s="11"/>
      <c r="C3903" s="11" t="str">
        <f>IF(COUNTIF(D$1:D3903,D3903)=1,MAX(C$1:C3902)+1,"")</f>
        <v/>
      </c>
      <c r="D3903" s="12"/>
    </row>
    <row r="3904" spans="1:4" x14ac:dyDescent="0.25">
      <c r="A3904" t="str">
        <f>IF(COUNTIF(B$1:B3904,B3904)=1,MAX(A$1:A3903)+1,"")</f>
        <v/>
      </c>
      <c r="B3904" s="11"/>
      <c r="C3904" s="11" t="str">
        <f>IF(COUNTIF(D$1:D3904,D3904)=1,MAX(C$1:C3903)+1,"")</f>
        <v/>
      </c>
      <c r="D3904" s="12"/>
    </row>
    <row r="3905" spans="1:4" x14ac:dyDescent="0.25">
      <c r="A3905" t="str">
        <f>IF(COUNTIF(B$1:B3905,B3905)=1,MAX(A$1:A3904)+1,"")</f>
        <v/>
      </c>
      <c r="B3905" s="11"/>
      <c r="C3905" s="11" t="str">
        <f>IF(COUNTIF(D$1:D3905,D3905)=1,MAX(C$1:C3904)+1,"")</f>
        <v/>
      </c>
      <c r="D3905" s="12"/>
    </row>
    <row r="3906" spans="1:4" x14ac:dyDescent="0.25">
      <c r="A3906" t="str">
        <f>IF(COUNTIF(B$1:B3906,B3906)=1,MAX(A$1:A3905)+1,"")</f>
        <v/>
      </c>
      <c r="B3906" s="11"/>
      <c r="C3906" s="11" t="str">
        <f>IF(COUNTIF(D$1:D3906,D3906)=1,MAX(C$1:C3905)+1,"")</f>
        <v/>
      </c>
      <c r="D3906" s="12"/>
    </row>
    <row r="3907" spans="1:4" x14ac:dyDescent="0.25">
      <c r="A3907" t="str">
        <f>IF(COUNTIF(B$1:B3907,B3907)=1,MAX(A$1:A3906)+1,"")</f>
        <v/>
      </c>
      <c r="B3907" s="11"/>
      <c r="C3907" s="11" t="str">
        <f>IF(COUNTIF(D$1:D3907,D3907)=1,MAX(C$1:C3906)+1,"")</f>
        <v/>
      </c>
      <c r="D3907" s="12"/>
    </row>
    <row r="3908" spans="1:4" x14ac:dyDescent="0.25">
      <c r="A3908" t="str">
        <f>IF(COUNTIF(B$1:B3908,B3908)=1,MAX(A$1:A3907)+1,"")</f>
        <v/>
      </c>
      <c r="B3908" s="11"/>
      <c r="C3908" s="11" t="str">
        <f>IF(COUNTIF(D$1:D3908,D3908)=1,MAX(C$1:C3907)+1,"")</f>
        <v/>
      </c>
      <c r="D3908" s="12"/>
    </row>
    <row r="3909" spans="1:4" x14ac:dyDescent="0.25">
      <c r="A3909" t="str">
        <f>IF(COUNTIF(B$1:B3909,B3909)=1,MAX(A$1:A3908)+1,"")</f>
        <v/>
      </c>
      <c r="B3909" s="11"/>
      <c r="C3909" s="11" t="str">
        <f>IF(COUNTIF(D$1:D3909,D3909)=1,MAX(C$1:C3908)+1,"")</f>
        <v/>
      </c>
      <c r="D3909" s="12"/>
    </row>
    <row r="3910" spans="1:4" x14ac:dyDescent="0.25">
      <c r="A3910" t="str">
        <f>IF(COUNTIF(B$1:B3910,B3910)=1,MAX(A$1:A3909)+1,"")</f>
        <v/>
      </c>
      <c r="B3910" s="11"/>
      <c r="C3910" s="11" t="str">
        <f>IF(COUNTIF(D$1:D3910,D3910)=1,MAX(C$1:C3909)+1,"")</f>
        <v/>
      </c>
      <c r="D3910" s="12"/>
    </row>
    <row r="3911" spans="1:4" x14ac:dyDescent="0.25">
      <c r="A3911" t="str">
        <f>IF(COUNTIF(B$1:B3911,B3911)=1,MAX(A$1:A3910)+1,"")</f>
        <v/>
      </c>
      <c r="B3911" s="11"/>
      <c r="C3911" s="11" t="str">
        <f>IF(COUNTIF(D$1:D3911,D3911)=1,MAX(C$1:C3910)+1,"")</f>
        <v/>
      </c>
      <c r="D3911" s="12"/>
    </row>
    <row r="3912" spans="1:4" x14ac:dyDescent="0.25">
      <c r="A3912" t="str">
        <f>IF(COUNTIF(B$1:B3912,B3912)=1,MAX(A$1:A3911)+1,"")</f>
        <v/>
      </c>
      <c r="B3912" s="11"/>
      <c r="C3912" s="11" t="str">
        <f>IF(COUNTIF(D$1:D3912,D3912)=1,MAX(C$1:C3911)+1,"")</f>
        <v/>
      </c>
      <c r="D3912" s="12"/>
    </row>
    <row r="3913" spans="1:4" x14ac:dyDescent="0.25">
      <c r="A3913" t="str">
        <f>IF(COUNTIF(B$1:B3913,B3913)=1,MAX(A$1:A3912)+1,"")</f>
        <v/>
      </c>
      <c r="B3913" s="11"/>
      <c r="C3913" s="11" t="str">
        <f>IF(COUNTIF(D$1:D3913,D3913)=1,MAX(C$1:C3912)+1,"")</f>
        <v/>
      </c>
      <c r="D3913" s="12"/>
    </row>
    <row r="3914" spans="1:4" x14ac:dyDescent="0.25">
      <c r="A3914" t="str">
        <f>IF(COUNTIF(B$1:B3914,B3914)=1,MAX(A$1:A3913)+1,"")</f>
        <v/>
      </c>
      <c r="B3914" s="11"/>
      <c r="C3914" s="11" t="str">
        <f>IF(COUNTIF(D$1:D3914,D3914)=1,MAX(C$1:C3913)+1,"")</f>
        <v/>
      </c>
      <c r="D3914" s="12"/>
    </row>
    <row r="3915" spans="1:4" x14ac:dyDescent="0.25">
      <c r="A3915" t="str">
        <f>IF(COUNTIF(B$1:B3915,B3915)=1,MAX(A$1:A3914)+1,"")</f>
        <v/>
      </c>
      <c r="B3915" s="11"/>
      <c r="C3915" s="11" t="str">
        <f>IF(COUNTIF(D$1:D3915,D3915)=1,MAX(C$1:C3914)+1,"")</f>
        <v/>
      </c>
      <c r="D3915" s="12"/>
    </row>
    <row r="3916" spans="1:4" x14ac:dyDescent="0.25">
      <c r="A3916" t="str">
        <f>IF(COUNTIF(B$1:B3916,B3916)=1,MAX(A$1:A3915)+1,"")</f>
        <v/>
      </c>
      <c r="B3916" s="11"/>
      <c r="C3916" s="11" t="str">
        <f>IF(COUNTIF(D$1:D3916,D3916)=1,MAX(C$1:C3915)+1,"")</f>
        <v/>
      </c>
      <c r="D3916" s="12"/>
    </row>
    <row r="3917" spans="1:4" x14ac:dyDescent="0.25">
      <c r="A3917" t="str">
        <f>IF(COUNTIF(B$1:B3917,B3917)=1,MAX(A$1:A3916)+1,"")</f>
        <v/>
      </c>
      <c r="B3917" s="11"/>
      <c r="C3917" s="11" t="str">
        <f>IF(COUNTIF(D$1:D3917,D3917)=1,MAX(C$1:C3916)+1,"")</f>
        <v/>
      </c>
      <c r="D3917" s="12"/>
    </row>
    <row r="3918" spans="1:4" x14ac:dyDescent="0.25">
      <c r="A3918" t="str">
        <f>IF(COUNTIF(B$1:B3918,B3918)=1,MAX(A$1:A3917)+1,"")</f>
        <v/>
      </c>
      <c r="B3918" s="11"/>
      <c r="C3918" s="11" t="str">
        <f>IF(COUNTIF(D$1:D3918,D3918)=1,MAX(C$1:C3917)+1,"")</f>
        <v/>
      </c>
      <c r="D3918" s="12"/>
    </row>
    <row r="3919" spans="1:4" x14ac:dyDescent="0.25">
      <c r="A3919" t="str">
        <f>IF(COUNTIF(B$1:B3919,B3919)=1,MAX(A$1:A3918)+1,"")</f>
        <v/>
      </c>
      <c r="B3919" s="11"/>
      <c r="C3919" s="11" t="str">
        <f>IF(COUNTIF(D$1:D3919,D3919)=1,MAX(C$1:C3918)+1,"")</f>
        <v/>
      </c>
      <c r="D3919" s="12"/>
    </row>
    <row r="3920" spans="1:4" x14ac:dyDescent="0.25">
      <c r="A3920" t="str">
        <f>IF(COUNTIF(B$1:B3920,B3920)=1,MAX(A$1:A3919)+1,"")</f>
        <v/>
      </c>
      <c r="B3920" s="11"/>
      <c r="C3920" s="11" t="str">
        <f>IF(COUNTIF(D$1:D3920,D3920)=1,MAX(C$1:C3919)+1,"")</f>
        <v/>
      </c>
      <c r="D3920" s="12"/>
    </row>
    <row r="3921" spans="1:4" x14ac:dyDescent="0.25">
      <c r="A3921" t="str">
        <f>IF(COUNTIF(B$1:B3921,B3921)=1,MAX(A$1:A3920)+1,"")</f>
        <v/>
      </c>
      <c r="B3921" s="11"/>
      <c r="C3921" s="11" t="str">
        <f>IF(COUNTIF(D$1:D3921,D3921)=1,MAX(C$1:C3920)+1,"")</f>
        <v/>
      </c>
      <c r="D3921" s="12"/>
    </row>
    <row r="3922" spans="1:4" x14ac:dyDescent="0.25">
      <c r="A3922" t="str">
        <f>IF(COUNTIF(B$1:B3922,B3922)=1,MAX(A$1:A3921)+1,"")</f>
        <v/>
      </c>
      <c r="B3922" s="11"/>
      <c r="C3922" s="11" t="str">
        <f>IF(COUNTIF(D$1:D3922,D3922)=1,MAX(C$1:C3921)+1,"")</f>
        <v/>
      </c>
      <c r="D3922" s="12"/>
    </row>
    <row r="3923" spans="1:4" x14ac:dyDescent="0.25">
      <c r="A3923" t="str">
        <f>IF(COUNTIF(B$1:B3923,B3923)=1,MAX(A$1:A3922)+1,"")</f>
        <v/>
      </c>
      <c r="B3923" s="11"/>
      <c r="C3923" s="11" t="str">
        <f>IF(COUNTIF(D$1:D3923,D3923)=1,MAX(C$1:C3922)+1,"")</f>
        <v/>
      </c>
      <c r="D3923" s="12"/>
    </row>
    <row r="3924" spans="1:4" x14ac:dyDescent="0.25">
      <c r="A3924" t="str">
        <f>IF(COUNTIF(B$1:B3924,B3924)=1,MAX(A$1:A3923)+1,"")</f>
        <v/>
      </c>
      <c r="B3924" s="11"/>
      <c r="C3924" s="11" t="str">
        <f>IF(COUNTIF(D$1:D3924,D3924)=1,MAX(C$1:C3923)+1,"")</f>
        <v/>
      </c>
      <c r="D3924" s="12"/>
    </row>
    <row r="3925" spans="1:4" x14ac:dyDescent="0.25">
      <c r="A3925" t="str">
        <f>IF(COUNTIF(B$1:B3925,B3925)=1,MAX(A$1:A3924)+1,"")</f>
        <v/>
      </c>
      <c r="B3925" s="11"/>
      <c r="C3925" s="11" t="str">
        <f>IF(COUNTIF(D$1:D3925,D3925)=1,MAX(C$1:C3924)+1,"")</f>
        <v/>
      </c>
      <c r="D3925" s="12"/>
    </row>
    <row r="3926" spans="1:4" x14ac:dyDescent="0.25">
      <c r="A3926" t="str">
        <f>IF(COUNTIF(B$1:B3926,B3926)=1,MAX(A$1:A3925)+1,"")</f>
        <v/>
      </c>
      <c r="B3926" s="11"/>
      <c r="C3926" s="11" t="str">
        <f>IF(COUNTIF(D$1:D3926,D3926)=1,MAX(C$1:C3925)+1,"")</f>
        <v/>
      </c>
      <c r="D3926" s="12"/>
    </row>
    <row r="3927" spans="1:4" x14ac:dyDescent="0.25">
      <c r="A3927" t="str">
        <f>IF(COUNTIF(B$1:B3927,B3927)=1,MAX(A$1:A3926)+1,"")</f>
        <v/>
      </c>
      <c r="B3927" s="11"/>
      <c r="C3927" s="11" t="str">
        <f>IF(COUNTIF(D$1:D3927,D3927)=1,MAX(C$1:C3926)+1,"")</f>
        <v/>
      </c>
      <c r="D3927" s="12"/>
    </row>
    <row r="3928" spans="1:4" x14ac:dyDescent="0.25">
      <c r="A3928" t="str">
        <f>IF(COUNTIF(B$1:B3928,B3928)=1,MAX(A$1:A3927)+1,"")</f>
        <v/>
      </c>
      <c r="B3928" s="11"/>
      <c r="C3928" s="11" t="str">
        <f>IF(COUNTIF(D$1:D3928,D3928)=1,MAX(C$1:C3927)+1,"")</f>
        <v/>
      </c>
      <c r="D3928" s="12"/>
    </row>
    <row r="3929" spans="1:4" x14ac:dyDescent="0.25">
      <c r="A3929" t="str">
        <f>IF(COUNTIF(B$1:B3929,B3929)=1,MAX(A$1:A3928)+1,"")</f>
        <v/>
      </c>
      <c r="B3929" s="11"/>
      <c r="C3929" s="11" t="str">
        <f>IF(COUNTIF(D$1:D3929,D3929)=1,MAX(C$1:C3928)+1,"")</f>
        <v/>
      </c>
      <c r="D3929" s="12"/>
    </row>
    <row r="3930" spans="1:4" x14ac:dyDescent="0.25">
      <c r="A3930" t="str">
        <f>IF(COUNTIF(B$1:B3930,B3930)=1,MAX(A$1:A3929)+1,"")</f>
        <v/>
      </c>
      <c r="B3930" s="11"/>
      <c r="C3930" s="11" t="str">
        <f>IF(COUNTIF(D$1:D3930,D3930)=1,MAX(C$1:C3929)+1,"")</f>
        <v/>
      </c>
      <c r="D3930" s="12"/>
    </row>
    <row r="3931" spans="1:4" x14ac:dyDescent="0.25">
      <c r="A3931" t="str">
        <f>IF(COUNTIF(B$1:B3931,B3931)=1,MAX(A$1:A3930)+1,"")</f>
        <v/>
      </c>
      <c r="B3931" s="11"/>
      <c r="C3931" s="11" t="str">
        <f>IF(COUNTIF(D$1:D3931,D3931)=1,MAX(C$1:C3930)+1,"")</f>
        <v/>
      </c>
      <c r="D3931" s="12"/>
    </row>
    <row r="3932" spans="1:4" x14ac:dyDescent="0.25">
      <c r="A3932" t="str">
        <f>IF(COUNTIF(B$1:B3932,B3932)=1,MAX(A$1:A3931)+1,"")</f>
        <v/>
      </c>
      <c r="B3932" s="11"/>
      <c r="C3932" s="11" t="str">
        <f>IF(COUNTIF(D$1:D3932,D3932)=1,MAX(C$1:C3931)+1,"")</f>
        <v/>
      </c>
      <c r="D3932" s="12"/>
    </row>
    <row r="3933" spans="1:4" x14ac:dyDescent="0.25">
      <c r="A3933" t="str">
        <f>IF(COUNTIF(B$1:B3933,B3933)=1,MAX(A$1:A3932)+1,"")</f>
        <v/>
      </c>
      <c r="B3933" s="11"/>
      <c r="C3933" s="11" t="str">
        <f>IF(COUNTIF(D$1:D3933,D3933)=1,MAX(C$1:C3932)+1,"")</f>
        <v/>
      </c>
      <c r="D3933" s="12"/>
    </row>
    <row r="3934" spans="1:4" x14ac:dyDescent="0.25">
      <c r="A3934" t="str">
        <f>IF(COUNTIF(B$1:B3934,B3934)=1,MAX(A$1:A3933)+1,"")</f>
        <v/>
      </c>
      <c r="B3934" s="11"/>
      <c r="C3934" s="11" t="str">
        <f>IF(COUNTIF(D$1:D3934,D3934)=1,MAX(C$1:C3933)+1,"")</f>
        <v/>
      </c>
      <c r="D3934" s="12"/>
    </row>
    <row r="3935" spans="1:4" x14ac:dyDescent="0.25">
      <c r="A3935" t="str">
        <f>IF(COUNTIF(B$1:B3935,B3935)=1,MAX(A$1:A3934)+1,"")</f>
        <v/>
      </c>
      <c r="B3935" s="11"/>
      <c r="C3935" s="11" t="str">
        <f>IF(COUNTIF(D$1:D3935,D3935)=1,MAX(C$1:C3934)+1,"")</f>
        <v/>
      </c>
      <c r="D3935" s="12"/>
    </row>
    <row r="3936" spans="1:4" x14ac:dyDescent="0.25">
      <c r="A3936" t="str">
        <f>IF(COUNTIF(B$1:B3936,B3936)=1,MAX(A$1:A3935)+1,"")</f>
        <v/>
      </c>
      <c r="B3936" s="11"/>
      <c r="C3936" s="11" t="str">
        <f>IF(COUNTIF(D$1:D3936,D3936)=1,MAX(C$1:C3935)+1,"")</f>
        <v/>
      </c>
      <c r="D3936" s="12"/>
    </row>
    <row r="3937" spans="1:4" x14ac:dyDescent="0.25">
      <c r="A3937" t="str">
        <f>IF(COUNTIF(B$1:B3937,B3937)=1,MAX(A$1:A3936)+1,"")</f>
        <v/>
      </c>
      <c r="B3937" s="11"/>
      <c r="C3937" s="11" t="str">
        <f>IF(COUNTIF(D$1:D3937,D3937)=1,MAX(C$1:C3936)+1,"")</f>
        <v/>
      </c>
      <c r="D3937" s="12"/>
    </row>
    <row r="3938" spans="1:4" x14ac:dyDescent="0.25">
      <c r="A3938" t="str">
        <f>IF(COUNTIF(B$1:B3938,B3938)=1,MAX(A$1:A3937)+1,"")</f>
        <v/>
      </c>
      <c r="B3938" s="11"/>
      <c r="C3938" s="11" t="str">
        <f>IF(COUNTIF(D$1:D3938,D3938)=1,MAX(C$1:C3937)+1,"")</f>
        <v/>
      </c>
      <c r="D3938" s="12"/>
    </row>
    <row r="3939" spans="1:4" x14ac:dyDescent="0.25">
      <c r="A3939" t="str">
        <f>IF(COUNTIF(B$1:B3939,B3939)=1,MAX(A$1:A3938)+1,"")</f>
        <v/>
      </c>
      <c r="B3939" s="11"/>
      <c r="C3939" s="11" t="str">
        <f>IF(COUNTIF(D$1:D3939,D3939)=1,MAX(C$1:C3938)+1,"")</f>
        <v/>
      </c>
      <c r="D3939" s="12"/>
    </row>
    <row r="3940" spans="1:4" x14ac:dyDescent="0.25">
      <c r="A3940" t="str">
        <f>IF(COUNTIF(B$1:B3940,B3940)=1,MAX(A$1:A3939)+1,"")</f>
        <v/>
      </c>
      <c r="B3940" s="11"/>
      <c r="C3940" s="11" t="str">
        <f>IF(COUNTIF(D$1:D3940,D3940)=1,MAX(C$1:C3939)+1,"")</f>
        <v/>
      </c>
      <c r="D3940" s="12"/>
    </row>
    <row r="3941" spans="1:4" x14ac:dyDescent="0.25">
      <c r="A3941" t="str">
        <f>IF(COUNTIF(B$1:B3941,B3941)=1,MAX(A$1:A3940)+1,"")</f>
        <v/>
      </c>
      <c r="B3941" s="11"/>
      <c r="C3941" s="11" t="str">
        <f>IF(COUNTIF(D$1:D3941,D3941)=1,MAX(C$1:C3940)+1,"")</f>
        <v/>
      </c>
      <c r="D3941" s="12"/>
    </row>
    <row r="3942" spans="1:4" x14ac:dyDescent="0.25">
      <c r="A3942" t="str">
        <f>IF(COUNTIF(B$1:B3942,B3942)=1,MAX(A$1:A3941)+1,"")</f>
        <v/>
      </c>
      <c r="B3942" s="11"/>
      <c r="C3942" s="11" t="str">
        <f>IF(COUNTIF(D$1:D3942,D3942)=1,MAX(C$1:C3941)+1,"")</f>
        <v/>
      </c>
      <c r="D3942" s="12"/>
    </row>
    <row r="3943" spans="1:4" x14ac:dyDescent="0.25">
      <c r="A3943" t="str">
        <f>IF(COUNTIF(B$1:B3943,B3943)=1,MAX(A$1:A3942)+1,"")</f>
        <v/>
      </c>
      <c r="B3943" s="11"/>
      <c r="C3943" s="11" t="str">
        <f>IF(COUNTIF(D$1:D3943,D3943)=1,MAX(C$1:C3942)+1,"")</f>
        <v/>
      </c>
      <c r="D3943" s="12"/>
    </row>
    <row r="3944" spans="1:4" x14ac:dyDescent="0.25">
      <c r="A3944" t="str">
        <f>IF(COUNTIF(B$1:B3944,B3944)=1,MAX(A$1:A3943)+1,"")</f>
        <v/>
      </c>
      <c r="B3944" s="11"/>
      <c r="C3944" s="11" t="str">
        <f>IF(COUNTIF(D$1:D3944,D3944)=1,MAX(C$1:C3943)+1,"")</f>
        <v/>
      </c>
      <c r="D3944" s="12"/>
    </row>
    <row r="3945" spans="1:4" x14ac:dyDescent="0.25">
      <c r="A3945" t="str">
        <f>IF(COUNTIF(B$1:B3945,B3945)=1,MAX(A$1:A3944)+1,"")</f>
        <v/>
      </c>
      <c r="B3945" s="11"/>
      <c r="C3945" s="11" t="str">
        <f>IF(COUNTIF(D$1:D3945,D3945)=1,MAX(C$1:C3944)+1,"")</f>
        <v/>
      </c>
      <c r="D3945" s="12"/>
    </row>
    <row r="3946" spans="1:4" x14ac:dyDescent="0.25">
      <c r="A3946" t="str">
        <f>IF(COUNTIF(B$1:B3946,B3946)=1,MAX(A$1:A3945)+1,"")</f>
        <v/>
      </c>
      <c r="B3946" s="11"/>
      <c r="C3946" s="11" t="str">
        <f>IF(COUNTIF(D$1:D3946,D3946)=1,MAX(C$1:C3945)+1,"")</f>
        <v/>
      </c>
      <c r="D3946" s="12"/>
    </row>
    <row r="3947" spans="1:4" x14ac:dyDescent="0.25">
      <c r="A3947" t="str">
        <f>IF(COUNTIF(B$1:B3947,B3947)=1,MAX(A$1:A3946)+1,"")</f>
        <v/>
      </c>
      <c r="B3947" s="11"/>
      <c r="C3947" s="11" t="str">
        <f>IF(COUNTIF(D$1:D3947,D3947)=1,MAX(C$1:C3946)+1,"")</f>
        <v/>
      </c>
      <c r="D3947" s="12"/>
    </row>
    <row r="3948" spans="1:4" x14ac:dyDescent="0.25">
      <c r="A3948" t="str">
        <f>IF(COUNTIF(B$1:B3948,B3948)=1,MAX(A$1:A3947)+1,"")</f>
        <v/>
      </c>
      <c r="B3948" s="11"/>
      <c r="C3948" s="11" t="str">
        <f>IF(COUNTIF(D$1:D3948,D3948)=1,MAX(C$1:C3947)+1,"")</f>
        <v/>
      </c>
      <c r="D3948" s="12"/>
    </row>
    <row r="3949" spans="1:4" x14ac:dyDescent="0.25">
      <c r="A3949" t="str">
        <f>IF(COUNTIF(B$1:B3949,B3949)=1,MAX(A$1:A3948)+1,"")</f>
        <v/>
      </c>
      <c r="B3949" s="11"/>
      <c r="C3949" s="11" t="str">
        <f>IF(COUNTIF(D$1:D3949,D3949)=1,MAX(C$1:C3948)+1,"")</f>
        <v/>
      </c>
      <c r="D3949" s="12"/>
    </row>
    <row r="3950" spans="1:4" x14ac:dyDescent="0.25">
      <c r="A3950" t="str">
        <f>IF(COUNTIF(B$1:B3950,B3950)=1,MAX(A$1:A3949)+1,"")</f>
        <v/>
      </c>
      <c r="B3950" s="11"/>
      <c r="C3950" s="11" t="str">
        <f>IF(COUNTIF(D$1:D3950,D3950)=1,MAX(C$1:C3949)+1,"")</f>
        <v/>
      </c>
      <c r="D3950" s="12"/>
    </row>
    <row r="3951" spans="1:4" x14ac:dyDescent="0.25">
      <c r="A3951" t="str">
        <f>IF(COUNTIF(B$1:B3951,B3951)=1,MAX(A$1:A3950)+1,"")</f>
        <v/>
      </c>
      <c r="B3951" s="11"/>
      <c r="C3951" s="11" t="str">
        <f>IF(COUNTIF(D$1:D3951,D3951)=1,MAX(C$1:C3950)+1,"")</f>
        <v/>
      </c>
      <c r="D3951" s="12"/>
    </row>
    <row r="3952" spans="1:4" x14ac:dyDescent="0.25">
      <c r="A3952" t="str">
        <f>IF(COUNTIF(B$1:B3952,B3952)=1,MAX(A$1:A3951)+1,"")</f>
        <v/>
      </c>
      <c r="B3952" s="11"/>
      <c r="C3952" s="11" t="str">
        <f>IF(COUNTIF(D$1:D3952,D3952)=1,MAX(C$1:C3951)+1,"")</f>
        <v/>
      </c>
      <c r="D3952" s="12"/>
    </row>
    <row r="3953" spans="1:4" x14ac:dyDescent="0.25">
      <c r="A3953" t="str">
        <f>IF(COUNTIF(B$1:B3953,B3953)=1,MAX(A$1:A3952)+1,"")</f>
        <v/>
      </c>
      <c r="B3953" s="11"/>
      <c r="C3953" s="11" t="str">
        <f>IF(COUNTIF(D$1:D3953,D3953)=1,MAX(C$1:C3952)+1,"")</f>
        <v/>
      </c>
      <c r="D3953" s="12"/>
    </row>
    <row r="3954" spans="1:4" x14ac:dyDescent="0.25">
      <c r="A3954" t="str">
        <f>IF(COUNTIF(B$1:B3954,B3954)=1,MAX(A$1:A3953)+1,"")</f>
        <v/>
      </c>
      <c r="B3954" s="11"/>
      <c r="C3954" s="11" t="str">
        <f>IF(COUNTIF(D$1:D3954,D3954)=1,MAX(C$1:C3953)+1,"")</f>
        <v/>
      </c>
      <c r="D3954" s="12"/>
    </row>
    <row r="3955" spans="1:4" x14ac:dyDescent="0.25">
      <c r="A3955" t="str">
        <f>IF(COUNTIF(B$1:B3955,B3955)=1,MAX(A$1:A3954)+1,"")</f>
        <v/>
      </c>
      <c r="B3955" s="11"/>
      <c r="C3955" s="11" t="str">
        <f>IF(COUNTIF(D$1:D3955,D3955)=1,MAX(C$1:C3954)+1,"")</f>
        <v/>
      </c>
      <c r="D3955" s="12"/>
    </row>
    <row r="3956" spans="1:4" x14ac:dyDescent="0.25">
      <c r="A3956" t="str">
        <f>IF(COUNTIF(B$1:B3956,B3956)=1,MAX(A$1:A3955)+1,"")</f>
        <v/>
      </c>
      <c r="B3956" s="11"/>
      <c r="C3956" s="11" t="str">
        <f>IF(COUNTIF(D$1:D3956,D3956)=1,MAX(C$1:C3955)+1,"")</f>
        <v/>
      </c>
      <c r="D3956" s="12"/>
    </row>
    <row r="3957" spans="1:4" x14ac:dyDescent="0.25">
      <c r="A3957" t="str">
        <f>IF(COUNTIF(B$1:B3957,B3957)=1,MAX(A$1:A3956)+1,"")</f>
        <v/>
      </c>
      <c r="B3957" s="11"/>
      <c r="C3957" s="11" t="str">
        <f>IF(COUNTIF(D$1:D3957,D3957)=1,MAX(C$1:C3956)+1,"")</f>
        <v/>
      </c>
      <c r="D3957" s="12"/>
    </row>
    <row r="3958" spans="1:4" x14ac:dyDescent="0.25">
      <c r="A3958" t="str">
        <f>IF(COUNTIF(B$1:B3958,B3958)=1,MAX(A$1:A3957)+1,"")</f>
        <v/>
      </c>
      <c r="B3958" s="11"/>
      <c r="C3958" s="11" t="str">
        <f>IF(COUNTIF(D$1:D3958,D3958)=1,MAX(C$1:C3957)+1,"")</f>
        <v/>
      </c>
      <c r="D3958" s="12"/>
    </row>
    <row r="3959" spans="1:4" x14ac:dyDescent="0.25">
      <c r="A3959" t="str">
        <f>IF(COUNTIF(B$1:B3959,B3959)=1,MAX(A$1:A3958)+1,"")</f>
        <v/>
      </c>
      <c r="B3959" s="11"/>
      <c r="C3959" s="11" t="str">
        <f>IF(COUNTIF(D$1:D3959,D3959)=1,MAX(C$1:C3958)+1,"")</f>
        <v/>
      </c>
      <c r="D3959" s="12"/>
    </row>
    <row r="3960" spans="1:4" x14ac:dyDescent="0.25">
      <c r="A3960" t="str">
        <f>IF(COUNTIF(B$1:B3960,B3960)=1,MAX(A$1:A3959)+1,"")</f>
        <v/>
      </c>
      <c r="B3960" s="11"/>
      <c r="C3960" s="11" t="str">
        <f>IF(COUNTIF(D$1:D3960,D3960)=1,MAX(C$1:C3959)+1,"")</f>
        <v/>
      </c>
      <c r="D3960" s="12"/>
    </row>
    <row r="3961" spans="1:4" x14ac:dyDescent="0.25">
      <c r="A3961" t="str">
        <f>IF(COUNTIF(B$1:B3961,B3961)=1,MAX(A$1:A3960)+1,"")</f>
        <v/>
      </c>
      <c r="B3961" s="11"/>
      <c r="C3961" s="11" t="str">
        <f>IF(COUNTIF(D$1:D3961,D3961)=1,MAX(C$1:C3960)+1,"")</f>
        <v/>
      </c>
      <c r="D3961" s="12"/>
    </row>
    <row r="3962" spans="1:4" x14ac:dyDescent="0.25">
      <c r="A3962" t="str">
        <f>IF(COUNTIF(B$1:B3962,B3962)=1,MAX(A$1:A3961)+1,"")</f>
        <v/>
      </c>
      <c r="B3962" s="11"/>
      <c r="C3962" s="11" t="str">
        <f>IF(COUNTIF(D$1:D3962,D3962)=1,MAX(C$1:C3961)+1,"")</f>
        <v/>
      </c>
      <c r="D3962" s="12"/>
    </row>
    <row r="3963" spans="1:4" x14ac:dyDescent="0.25">
      <c r="A3963" t="str">
        <f>IF(COUNTIF(B$1:B3963,B3963)=1,MAX(A$1:A3962)+1,"")</f>
        <v/>
      </c>
      <c r="B3963" s="11"/>
      <c r="C3963" s="11" t="str">
        <f>IF(COUNTIF(D$1:D3963,D3963)=1,MAX(C$1:C3962)+1,"")</f>
        <v/>
      </c>
      <c r="D3963" s="12"/>
    </row>
    <row r="3964" spans="1:4" x14ac:dyDescent="0.25">
      <c r="A3964" t="str">
        <f>IF(COUNTIF(B$1:B3964,B3964)=1,MAX(A$1:A3963)+1,"")</f>
        <v/>
      </c>
      <c r="B3964" s="11"/>
      <c r="C3964" s="11" t="str">
        <f>IF(COUNTIF(D$1:D3964,D3964)=1,MAX(C$1:C3963)+1,"")</f>
        <v/>
      </c>
      <c r="D3964" s="12"/>
    </row>
    <row r="3965" spans="1:4" x14ac:dyDescent="0.25">
      <c r="A3965" t="str">
        <f>IF(COUNTIF(B$1:B3965,B3965)=1,MAX(A$1:A3964)+1,"")</f>
        <v/>
      </c>
      <c r="B3965" s="11"/>
      <c r="C3965" s="11" t="str">
        <f>IF(COUNTIF(D$1:D3965,D3965)=1,MAX(C$1:C3964)+1,"")</f>
        <v/>
      </c>
      <c r="D3965" s="12"/>
    </row>
    <row r="3966" spans="1:4" x14ac:dyDescent="0.25">
      <c r="A3966" t="str">
        <f>IF(COUNTIF(B$1:B3966,B3966)=1,MAX(A$1:A3965)+1,"")</f>
        <v/>
      </c>
      <c r="B3966" s="11"/>
      <c r="C3966" s="11" t="str">
        <f>IF(COUNTIF(D$1:D3966,D3966)=1,MAX(C$1:C3965)+1,"")</f>
        <v/>
      </c>
      <c r="D3966" s="12"/>
    </row>
    <row r="3967" spans="1:4" x14ac:dyDescent="0.25">
      <c r="A3967" t="str">
        <f>IF(COUNTIF(B$1:B3967,B3967)=1,MAX(A$1:A3966)+1,"")</f>
        <v/>
      </c>
      <c r="B3967" s="11"/>
      <c r="C3967" s="11" t="str">
        <f>IF(COUNTIF(D$1:D3967,D3967)=1,MAX(C$1:C3966)+1,"")</f>
        <v/>
      </c>
      <c r="D3967" s="12"/>
    </row>
    <row r="3968" spans="1:4" x14ac:dyDescent="0.25">
      <c r="A3968" t="str">
        <f>IF(COUNTIF(B$1:B3968,B3968)=1,MAX(A$1:A3967)+1,"")</f>
        <v/>
      </c>
      <c r="B3968" s="11"/>
      <c r="C3968" s="11" t="str">
        <f>IF(COUNTIF(D$1:D3968,D3968)=1,MAX(C$1:C3967)+1,"")</f>
        <v/>
      </c>
      <c r="D3968" s="12"/>
    </row>
    <row r="3969" spans="1:4" x14ac:dyDescent="0.25">
      <c r="A3969" t="str">
        <f>IF(COUNTIF(B$1:B3969,B3969)=1,MAX(A$1:A3968)+1,"")</f>
        <v/>
      </c>
      <c r="B3969" s="11"/>
      <c r="C3969" s="11" t="str">
        <f>IF(COUNTIF(D$1:D3969,D3969)=1,MAX(C$1:C3968)+1,"")</f>
        <v/>
      </c>
      <c r="D3969" s="12"/>
    </row>
    <row r="3970" spans="1:4" x14ac:dyDescent="0.25">
      <c r="A3970" t="str">
        <f>IF(COUNTIF(B$1:B3970,B3970)=1,MAX(A$1:A3969)+1,"")</f>
        <v/>
      </c>
      <c r="B3970" s="11"/>
      <c r="C3970" s="11" t="str">
        <f>IF(COUNTIF(D$1:D3970,D3970)=1,MAX(C$1:C3969)+1,"")</f>
        <v/>
      </c>
      <c r="D3970" s="12"/>
    </row>
    <row r="3971" spans="1:4" x14ac:dyDescent="0.25">
      <c r="A3971" t="str">
        <f>IF(COUNTIF(B$1:B3971,B3971)=1,MAX(A$1:A3970)+1,"")</f>
        <v/>
      </c>
      <c r="B3971" s="11"/>
      <c r="C3971" s="11" t="str">
        <f>IF(COUNTIF(D$1:D3971,D3971)=1,MAX(C$1:C3970)+1,"")</f>
        <v/>
      </c>
      <c r="D3971" s="12"/>
    </row>
    <row r="3972" spans="1:4" x14ac:dyDescent="0.25">
      <c r="A3972" t="str">
        <f>IF(COUNTIF(B$1:B3972,B3972)=1,MAX(A$1:A3971)+1,"")</f>
        <v/>
      </c>
      <c r="B3972" s="11"/>
      <c r="C3972" s="11" t="str">
        <f>IF(COUNTIF(D$1:D3972,D3972)=1,MAX(C$1:C3971)+1,"")</f>
        <v/>
      </c>
      <c r="D3972" s="12"/>
    </row>
    <row r="3973" spans="1:4" x14ac:dyDescent="0.25">
      <c r="A3973" t="str">
        <f>IF(COUNTIF(B$1:B3973,B3973)=1,MAX(A$1:A3972)+1,"")</f>
        <v/>
      </c>
      <c r="B3973" s="11"/>
      <c r="C3973" s="11" t="str">
        <f>IF(COUNTIF(D$1:D3973,D3973)=1,MAX(C$1:C3972)+1,"")</f>
        <v/>
      </c>
      <c r="D3973" s="12"/>
    </row>
    <row r="3974" spans="1:4" x14ac:dyDescent="0.25">
      <c r="A3974" t="str">
        <f>IF(COUNTIF(B$1:B3974,B3974)=1,MAX(A$1:A3973)+1,"")</f>
        <v/>
      </c>
      <c r="B3974" s="11"/>
      <c r="C3974" s="11" t="str">
        <f>IF(COUNTIF(D$1:D3974,D3974)=1,MAX(C$1:C3973)+1,"")</f>
        <v/>
      </c>
      <c r="D3974" s="12"/>
    </row>
    <row r="3975" spans="1:4" x14ac:dyDescent="0.25">
      <c r="A3975" t="str">
        <f>IF(COUNTIF(B$1:B3975,B3975)=1,MAX(A$1:A3974)+1,"")</f>
        <v/>
      </c>
      <c r="B3975" s="11"/>
      <c r="C3975" s="11" t="str">
        <f>IF(COUNTIF(D$1:D3975,D3975)=1,MAX(C$1:C3974)+1,"")</f>
        <v/>
      </c>
      <c r="D3975" s="12"/>
    </row>
    <row r="3976" spans="1:4" x14ac:dyDescent="0.25">
      <c r="A3976" t="str">
        <f>IF(COUNTIF(B$1:B3976,B3976)=1,MAX(A$1:A3975)+1,"")</f>
        <v/>
      </c>
      <c r="B3976" s="11"/>
      <c r="C3976" s="11" t="str">
        <f>IF(COUNTIF(D$1:D3976,D3976)=1,MAX(C$1:C3975)+1,"")</f>
        <v/>
      </c>
      <c r="D3976" s="12"/>
    </row>
    <row r="3977" spans="1:4" x14ac:dyDescent="0.25">
      <c r="A3977" t="str">
        <f>IF(COUNTIF(B$1:B3977,B3977)=1,MAX(A$1:A3976)+1,"")</f>
        <v/>
      </c>
      <c r="B3977" s="11"/>
      <c r="C3977" s="11" t="str">
        <f>IF(COUNTIF(D$1:D3977,D3977)=1,MAX(C$1:C3976)+1,"")</f>
        <v/>
      </c>
      <c r="D3977" s="12"/>
    </row>
    <row r="3978" spans="1:4" x14ac:dyDescent="0.25">
      <c r="A3978" t="str">
        <f>IF(COUNTIF(B$1:B3978,B3978)=1,MAX(A$1:A3977)+1,"")</f>
        <v/>
      </c>
      <c r="B3978" s="11"/>
      <c r="C3978" s="11" t="str">
        <f>IF(COUNTIF(D$1:D3978,D3978)=1,MAX(C$1:C3977)+1,"")</f>
        <v/>
      </c>
      <c r="D3978" s="12"/>
    </row>
    <row r="3979" spans="1:4" x14ac:dyDescent="0.25">
      <c r="A3979" t="str">
        <f>IF(COUNTIF(B$1:B3979,B3979)=1,MAX(A$1:A3978)+1,"")</f>
        <v/>
      </c>
      <c r="B3979" s="11"/>
      <c r="C3979" s="11" t="str">
        <f>IF(COUNTIF(D$1:D3979,D3979)=1,MAX(C$1:C3978)+1,"")</f>
        <v/>
      </c>
      <c r="D3979" s="12"/>
    </row>
    <row r="3980" spans="1:4" x14ac:dyDescent="0.25">
      <c r="A3980" t="str">
        <f>IF(COUNTIF(B$1:B3980,B3980)=1,MAX(A$1:A3979)+1,"")</f>
        <v/>
      </c>
      <c r="B3980" s="11"/>
      <c r="C3980" s="11" t="str">
        <f>IF(COUNTIF(D$1:D3980,D3980)=1,MAX(C$1:C3979)+1,"")</f>
        <v/>
      </c>
      <c r="D3980" s="12"/>
    </row>
    <row r="3981" spans="1:4" x14ac:dyDescent="0.25">
      <c r="A3981" t="str">
        <f>IF(COUNTIF(B$1:B3981,B3981)=1,MAX(A$1:A3980)+1,"")</f>
        <v/>
      </c>
      <c r="B3981" s="11"/>
      <c r="C3981" s="11" t="str">
        <f>IF(COUNTIF(D$1:D3981,D3981)=1,MAX(C$1:C3980)+1,"")</f>
        <v/>
      </c>
      <c r="D3981" s="12"/>
    </row>
    <row r="3982" spans="1:4" x14ac:dyDescent="0.25">
      <c r="A3982" t="str">
        <f>IF(COUNTIF(B$1:B3982,B3982)=1,MAX(A$1:A3981)+1,"")</f>
        <v/>
      </c>
      <c r="B3982" s="11"/>
      <c r="C3982" s="11" t="str">
        <f>IF(COUNTIF(D$1:D3982,D3982)=1,MAX(C$1:C3981)+1,"")</f>
        <v/>
      </c>
      <c r="D3982" s="12"/>
    </row>
    <row r="3983" spans="1:4" x14ac:dyDescent="0.25">
      <c r="A3983" t="str">
        <f>IF(COUNTIF(B$1:B3983,B3983)=1,MAX(A$1:A3982)+1,"")</f>
        <v/>
      </c>
      <c r="B3983" s="11"/>
      <c r="C3983" s="11" t="str">
        <f>IF(COUNTIF(D$1:D3983,D3983)=1,MAX(C$1:C3982)+1,"")</f>
        <v/>
      </c>
      <c r="D3983" s="12"/>
    </row>
    <row r="3984" spans="1:4" x14ac:dyDescent="0.25">
      <c r="A3984" t="str">
        <f>IF(COUNTIF(B$1:B3984,B3984)=1,MAX(A$1:A3983)+1,"")</f>
        <v/>
      </c>
      <c r="B3984" s="11"/>
      <c r="C3984" s="11" t="str">
        <f>IF(COUNTIF(D$1:D3984,D3984)=1,MAX(C$1:C3983)+1,"")</f>
        <v/>
      </c>
      <c r="D3984" s="12"/>
    </row>
    <row r="3985" spans="1:4" x14ac:dyDescent="0.25">
      <c r="A3985" t="str">
        <f>IF(COUNTIF(B$1:B3985,B3985)=1,MAX(A$1:A3984)+1,"")</f>
        <v/>
      </c>
      <c r="B3985" s="11"/>
      <c r="C3985" s="11" t="str">
        <f>IF(COUNTIF(D$1:D3985,D3985)=1,MAX(C$1:C3984)+1,"")</f>
        <v/>
      </c>
      <c r="D3985" s="12"/>
    </row>
    <row r="3986" spans="1:4" x14ac:dyDescent="0.25">
      <c r="A3986" t="str">
        <f>IF(COUNTIF(B$1:B3986,B3986)=1,MAX(A$1:A3985)+1,"")</f>
        <v/>
      </c>
      <c r="B3986" s="11"/>
      <c r="C3986" s="11" t="str">
        <f>IF(COUNTIF(D$1:D3986,D3986)=1,MAX(C$1:C3985)+1,"")</f>
        <v/>
      </c>
      <c r="D3986" s="12"/>
    </row>
    <row r="3987" spans="1:4" x14ac:dyDescent="0.25">
      <c r="A3987" t="str">
        <f>IF(COUNTIF(B$1:B3987,B3987)=1,MAX(A$1:A3986)+1,"")</f>
        <v/>
      </c>
      <c r="B3987" s="11"/>
      <c r="C3987" s="11" t="str">
        <f>IF(COUNTIF(D$1:D3987,D3987)=1,MAX(C$1:C3986)+1,"")</f>
        <v/>
      </c>
      <c r="D3987" s="12"/>
    </row>
    <row r="3988" spans="1:4" x14ac:dyDescent="0.25">
      <c r="A3988" t="str">
        <f>IF(COUNTIF(B$1:B3988,B3988)=1,MAX(A$1:A3987)+1,"")</f>
        <v/>
      </c>
      <c r="B3988" s="11"/>
      <c r="C3988" s="11" t="str">
        <f>IF(COUNTIF(D$1:D3988,D3988)=1,MAX(C$1:C3987)+1,"")</f>
        <v/>
      </c>
      <c r="D3988" s="12"/>
    </row>
    <row r="3989" spans="1:4" x14ac:dyDescent="0.25">
      <c r="A3989" t="str">
        <f>IF(COUNTIF(B$1:B3989,B3989)=1,MAX(A$1:A3988)+1,"")</f>
        <v/>
      </c>
      <c r="B3989" s="11"/>
      <c r="C3989" s="11" t="str">
        <f>IF(COUNTIF(D$1:D3989,D3989)=1,MAX(C$1:C3988)+1,"")</f>
        <v/>
      </c>
      <c r="D3989" s="12"/>
    </row>
    <row r="3990" spans="1:4" x14ac:dyDescent="0.25">
      <c r="A3990" t="str">
        <f>IF(COUNTIF(B$1:B3990,B3990)=1,MAX(A$1:A3989)+1,"")</f>
        <v/>
      </c>
      <c r="B3990" s="11"/>
      <c r="C3990" s="11" t="str">
        <f>IF(COUNTIF(D$1:D3990,D3990)=1,MAX(C$1:C3989)+1,"")</f>
        <v/>
      </c>
      <c r="D3990" s="12"/>
    </row>
    <row r="3991" spans="1:4" x14ac:dyDescent="0.25">
      <c r="A3991" t="str">
        <f>IF(COUNTIF(B$1:B3991,B3991)=1,MAX(A$1:A3990)+1,"")</f>
        <v/>
      </c>
      <c r="B3991" s="11"/>
      <c r="C3991" s="11" t="str">
        <f>IF(COUNTIF(D$1:D3991,D3991)=1,MAX(C$1:C3990)+1,"")</f>
        <v/>
      </c>
      <c r="D3991" s="12"/>
    </row>
    <row r="3992" spans="1:4" x14ac:dyDescent="0.25">
      <c r="A3992" t="str">
        <f>IF(COUNTIF(B$1:B3992,B3992)=1,MAX(A$1:A3991)+1,"")</f>
        <v/>
      </c>
      <c r="B3992" s="11"/>
      <c r="C3992" s="11" t="str">
        <f>IF(COUNTIF(D$1:D3992,D3992)=1,MAX(C$1:C3991)+1,"")</f>
        <v/>
      </c>
      <c r="D3992" s="12"/>
    </row>
    <row r="3993" spans="1:4" x14ac:dyDescent="0.25">
      <c r="A3993" t="str">
        <f>IF(COUNTIF(B$1:B3993,B3993)=1,MAX(A$1:A3992)+1,"")</f>
        <v/>
      </c>
      <c r="B3993" s="11"/>
      <c r="C3993" s="11" t="str">
        <f>IF(COUNTIF(D$1:D3993,D3993)=1,MAX(C$1:C3992)+1,"")</f>
        <v/>
      </c>
      <c r="D3993" s="12"/>
    </row>
    <row r="3994" spans="1:4" x14ac:dyDescent="0.25">
      <c r="A3994" t="str">
        <f>IF(COUNTIF(B$1:B3994,B3994)=1,MAX(A$1:A3993)+1,"")</f>
        <v/>
      </c>
      <c r="B3994" s="11"/>
      <c r="C3994" s="11" t="str">
        <f>IF(COUNTIF(D$1:D3994,D3994)=1,MAX(C$1:C3993)+1,"")</f>
        <v/>
      </c>
      <c r="D3994" s="12"/>
    </row>
    <row r="3995" spans="1:4" x14ac:dyDescent="0.25">
      <c r="A3995" t="str">
        <f>IF(COUNTIF(B$1:B3995,B3995)=1,MAX(A$1:A3994)+1,"")</f>
        <v/>
      </c>
      <c r="B3995" s="11"/>
      <c r="C3995" s="11" t="str">
        <f>IF(COUNTIF(D$1:D3995,D3995)=1,MAX(C$1:C3994)+1,"")</f>
        <v/>
      </c>
      <c r="D3995" s="12"/>
    </row>
    <row r="3996" spans="1:4" x14ac:dyDescent="0.25">
      <c r="A3996" t="str">
        <f>IF(COUNTIF(B$1:B3996,B3996)=1,MAX(A$1:A3995)+1,"")</f>
        <v/>
      </c>
      <c r="B3996" s="11"/>
      <c r="C3996" s="11" t="str">
        <f>IF(COUNTIF(D$1:D3996,D3996)=1,MAX(C$1:C3995)+1,"")</f>
        <v/>
      </c>
      <c r="D3996" s="12"/>
    </row>
    <row r="3997" spans="1:4" x14ac:dyDescent="0.25">
      <c r="A3997" t="str">
        <f>IF(COUNTIF(B$1:B3997,B3997)=1,MAX(A$1:A3996)+1,"")</f>
        <v/>
      </c>
      <c r="B3997" s="11"/>
      <c r="C3997" s="11" t="str">
        <f>IF(COUNTIF(D$1:D3997,D3997)=1,MAX(C$1:C3996)+1,"")</f>
        <v/>
      </c>
      <c r="D3997" s="12"/>
    </row>
    <row r="3998" spans="1:4" x14ac:dyDescent="0.25">
      <c r="A3998" t="str">
        <f>IF(COUNTIF(B$1:B3998,B3998)=1,MAX(A$1:A3997)+1,"")</f>
        <v/>
      </c>
      <c r="B3998" s="11"/>
      <c r="C3998" s="11" t="str">
        <f>IF(COUNTIF(D$1:D3998,D3998)=1,MAX(C$1:C3997)+1,"")</f>
        <v/>
      </c>
      <c r="D3998" s="12"/>
    </row>
    <row r="3999" spans="1:4" x14ac:dyDescent="0.25">
      <c r="A3999" t="str">
        <f>IF(COUNTIF(B$1:B3999,B3999)=1,MAX(A$1:A3998)+1,"")</f>
        <v/>
      </c>
      <c r="B3999" s="11"/>
      <c r="C3999" s="11" t="str">
        <f>IF(COUNTIF(D$1:D3999,D3999)=1,MAX(C$1:C3998)+1,"")</f>
        <v/>
      </c>
      <c r="D3999" s="12"/>
    </row>
    <row r="4000" spans="1:4" x14ac:dyDescent="0.25">
      <c r="A4000" t="str">
        <f>IF(COUNTIF(B$1:B4000,B4000)=1,MAX(A$1:A3999)+1,"")</f>
        <v/>
      </c>
      <c r="B4000" s="11"/>
      <c r="C4000" s="11" t="str">
        <f>IF(COUNTIF(D$1:D4000,D4000)=1,MAX(C$1:C3999)+1,"")</f>
        <v/>
      </c>
      <c r="D4000" s="12"/>
    </row>
    <row r="4001" spans="1:4" x14ac:dyDescent="0.25">
      <c r="A4001" t="str">
        <f>IF(COUNTIF(B$1:B4001,B4001)=1,MAX(A$1:A4000)+1,"")</f>
        <v/>
      </c>
      <c r="B4001" s="11"/>
      <c r="C4001" s="11" t="str">
        <f>IF(COUNTIF(D$1:D4001,D4001)=1,MAX(C$1:C4000)+1,"")</f>
        <v/>
      </c>
      <c r="D4001" s="12"/>
    </row>
    <row r="4002" spans="1:4" x14ac:dyDescent="0.25">
      <c r="A4002" t="str">
        <f>IF(COUNTIF(B$1:B4002,B4002)=1,MAX(A$1:A4001)+1,"")</f>
        <v/>
      </c>
      <c r="B4002" s="11"/>
      <c r="C4002" s="11" t="str">
        <f>IF(COUNTIF(D$1:D4002,D4002)=1,MAX(C$1:C4001)+1,"")</f>
        <v/>
      </c>
      <c r="D4002" s="12"/>
    </row>
    <row r="4003" spans="1:4" x14ac:dyDescent="0.25">
      <c r="A4003" t="str">
        <f>IF(COUNTIF(B$1:B4003,B4003)=1,MAX(A$1:A4002)+1,"")</f>
        <v/>
      </c>
      <c r="B4003" s="11"/>
      <c r="C4003" s="11" t="str">
        <f>IF(COUNTIF(D$1:D4003,D4003)=1,MAX(C$1:C4002)+1,"")</f>
        <v/>
      </c>
      <c r="D4003" s="12"/>
    </row>
    <row r="4004" spans="1:4" x14ac:dyDescent="0.25">
      <c r="A4004" t="str">
        <f>IF(COUNTIF(B$1:B4004,B4004)=1,MAX(A$1:A4003)+1,"")</f>
        <v/>
      </c>
      <c r="B4004" s="11"/>
      <c r="C4004" s="11" t="str">
        <f>IF(COUNTIF(D$1:D4004,D4004)=1,MAX(C$1:C4003)+1,"")</f>
        <v/>
      </c>
      <c r="D4004" s="12"/>
    </row>
    <row r="4005" spans="1:4" x14ac:dyDescent="0.25">
      <c r="A4005" t="str">
        <f>IF(COUNTIF(B$1:B4005,B4005)=1,MAX(A$1:A4004)+1,"")</f>
        <v/>
      </c>
      <c r="B4005" s="11"/>
      <c r="C4005" s="11" t="str">
        <f>IF(COUNTIF(D$1:D4005,D4005)=1,MAX(C$1:C4004)+1,"")</f>
        <v/>
      </c>
      <c r="D4005" s="12"/>
    </row>
    <row r="4006" spans="1:4" x14ac:dyDescent="0.25">
      <c r="A4006" t="str">
        <f>IF(COUNTIF(B$1:B4006,B4006)=1,MAX(A$1:A4005)+1,"")</f>
        <v/>
      </c>
      <c r="B4006" s="11"/>
      <c r="C4006" s="11" t="str">
        <f>IF(COUNTIF(D$1:D4006,D4006)=1,MAX(C$1:C4005)+1,"")</f>
        <v/>
      </c>
      <c r="D4006" s="12"/>
    </row>
    <row r="4007" spans="1:4" x14ac:dyDescent="0.25">
      <c r="A4007" t="str">
        <f>IF(COUNTIF(B$1:B4007,B4007)=1,MAX(A$1:A4006)+1,"")</f>
        <v/>
      </c>
      <c r="B4007" s="11"/>
      <c r="C4007" s="11" t="str">
        <f>IF(COUNTIF(D$1:D4007,D4007)=1,MAX(C$1:C4006)+1,"")</f>
        <v/>
      </c>
      <c r="D4007" s="12"/>
    </row>
    <row r="4008" spans="1:4" x14ac:dyDescent="0.25">
      <c r="A4008" t="str">
        <f>IF(COUNTIF(B$1:B4008,B4008)=1,MAX(A$1:A4007)+1,"")</f>
        <v/>
      </c>
      <c r="B4008" s="11"/>
      <c r="C4008" s="11" t="str">
        <f>IF(COUNTIF(D$1:D4008,D4008)=1,MAX(C$1:C4007)+1,"")</f>
        <v/>
      </c>
      <c r="D4008" s="12"/>
    </row>
    <row r="4009" spans="1:4" x14ac:dyDescent="0.25">
      <c r="A4009" t="str">
        <f>IF(COUNTIF(B$1:B4009,B4009)=1,MAX(A$1:A4008)+1,"")</f>
        <v/>
      </c>
      <c r="B4009" s="11"/>
      <c r="C4009" s="11" t="str">
        <f>IF(COUNTIF(D$1:D4009,D4009)=1,MAX(C$1:C4008)+1,"")</f>
        <v/>
      </c>
      <c r="D4009" s="12"/>
    </row>
    <row r="4010" spans="1:4" x14ac:dyDescent="0.25">
      <c r="A4010" t="str">
        <f>IF(COUNTIF(B$1:B4010,B4010)=1,MAX(A$1:A4009)+1,"")</f>
        <v/>
      </c>
      <c r="B4010" s="11"/>
      <c r="C4010" s="11" t="str">
        <f>IF(COUNTIF(D$1:D4010,D4010)=1,MAX(C$1:C4009)+1,"")</f>
        <v/>
      </c>
      <c r="D4010" s="12"/>
    </row>
    <row r="4011" spans="1:4" x14ac:dyDescent="0.25">
      <c r="A4011" t="str">
        <f>IF(COUNTIF(B$1:B4011,B4011)=1,MAX(A$1:A4010)+1,"")</f>
        <v/>
      </c>
      <c r="B4011" s="11"/>
      <c r="C4011" s="11" t="str">
        <f>IF(COUNTIF(D$1:D4011,D4011)=1,MAX(C$1:C4010)+1,"")</f>
        <v/>
      </c>
      <c r="D4011" s="12"/>
    </row>
    <row r="4012" spans="1:4" x14ac:dyDescent="0.25">
      <c r="A4012" t="str">
        <f>IF(COUNTIF(B$1:B4012,B4012)=1,MAX(A$1:A4011)+1,"")</f>
        <v/>
      </c>
      <c r="B4012" s="11"/>
      <c r="C4012" s="11" t="str">
        <f>IF(COUNTIF(D$1:D4012,D4012)=1,MAX(C$1:C4011)+1,"")</f>
        <v/>
      </c>
      <c r="D4012" s="12"/>
    </row>
    <row r="4013" spans="1:4" x14ac:dyDescent="0.25">
      <c r="A4013" t="str">
        <f>IF(COUNTIF(B$1:B4013,B4013)=1,MAX(A$1:A4012)+1,"")</f>
        <v/>
      </c>
      <c r="B4013" s="11"/>
      <c r="C4013" s="11" t="str">
        <f>IF(COUNTIF(D$1:D4013,D4013)=1,MAX(C$1:C4012)+1,"")</f>
        <v/>
      </c>
      <c r="D4013" s="12"/>
    </row>
    <row r="4014" spans="1:4" x14ac:dyDescent="0.25">
      <c r="A4014" t="str">
        <f>IF(COUNTIF(B$1:B4014,B4014)=1,MAX(A$1:A4013)+1,"")</f>
        <v/>
      </c>
      <c r="B4014" s="11"/>
      <c r="C4014" s="11" t="str">
        <f>IF(COUNTIF(D$1:D4014,D4014)=1,MAX(C$1:C4013)+1,"")</f>
        <v/>
      </c>
      <c r="D4014" s="12"/>
    </row>
    <row r="4015" spans="1:4" x14ac:dyDescent="0.25">
      <c r="A4015" t="str">
        <f>IF(COUNTIF(B$1:B4015,B4015)=1,MAX(A$1:A4014)+1,"")</f>
        <v/>
      </c>
      <c r="B4015" s="11"/>
      <c r="C4015" s="11" t="str">
        <f>IF(COUNTIF(D$1:D4015,D4015)=1,MAX(C$1:C4014)+1,"")</f>
        <v/>
      </c>
      <c r="D4015" s="12"/>
    </row>
    <row r="4016" spans="1:4" x14ac:dyDescent="0.25">
      <c r="A4016" t="str">
        <f>IF(COUNTIF(B$1:B4016,B4016)=1,MAX(A$1:A4015)+1,"")</f>
        <v/>
      </c>
      <c r="B4016" s="11"/>
      <c r="C4016" s="11" t="str">
        <f>IF(COUNTIF(D$1:D4016,D4016)=1,MAX(C$1:C4015)+1,"")</f>
        <v/>
      </c>
      <c r="D4016" s="12"/>
    </row>
    <row r="4017" spans="1:4" x14ac:dyDescent="0.25">
      <c r="A4017" t="str">
        <f>IF(COUNTIF(B$1:B4017,B4017)=1,MAX(A$1:A4016)+1,"")</f>
        <v/>
      </c>
      <c r="B4017" s="11"/>
      <c r="C4017" s="11" t="str">
        <f>IF(COUNTIF(D$1:D4017,D4017)=1,MAX(C$1:C4016)+1,"")</f>
        <v/>
      </c>
      <c r="D4017" s="12"/>
    </row>
    <row r="4018" spans="1:4" x14ac:dyDescent="0.25">
      <c r="A4018" t="str">
        <f>IF(COUNTIF(B$1:B4018,B4018)=1,MAX(A$1:A4017)+1,"")</f>
        <v/>
      </c>
      <c r="B4018" s="11"/>
      <c r="C4018" s="11" t="str">
        <f>IF(COUNTIF(D$1:D4018,D4018)=1,MAX(C$1:C4017)+1,"")</f>
        <v/>
      </c>
      <c r="D4018" s="12"/>
    </row>
    <row r="4019" spans="1:4" x14ac:dyDescent="0.25">
      <c r="A4019" t="str">
        <f>IF(COUNTIF(B$1:B4019,B4019)=1,MAX(A$1:A4018)+1,"")</f>
        <v/>
      </c>
      <c r="B4019" s="11"/>
      <c r="C4019" s="11" t="str">
        <f>IF(COUNTIF(D$1:D4019,D4019)=1,MAX(C$1:C4018)+1,"")</f>
        <v/>
      </c>
      <c r="D4019" s="12"/>
    </row>
    <row r="4020" spans="1:4" x14ac:dyDescent="0.25">
      <c r="A4020" t="str">
        <f>IF(COUNTIF(B$1:B4020,B4020)=1,MAX(A$1:A4019)+1,"")</f>
        <v/>
      </c>
      <c r="B4020" s="11"/>
      <c r="C4020" s="11" t="str">
        <f>IF(COUNTIF(D$1:D4020,D4020)=1,MAX(C$1:C4019)+1,"")</f>
        <v/>
      </c>
      <c r="D4020" s="12"/>
    </row>
    <row r="4021" spans="1:4" x14ac:dyDescent="0.25">
      <c r="A4021" t="str">
        <f>IF(COUNTIF(B$1:B4021,B4021)=1,MAX(A$1:A4020)+1,"")</f>
        <v/>
      </c>
      <c r="B4021" s="11"/>
      <c r="C4021" s="11" t="str">
        <f>IF(COUNTIF(D$1:D4021,D4021)=1,MAX(C$1:C4020)+1,"")</f>
        <v/>
      </c>
      <c r="D4021" s="12"/>
    </row>
    <row r="4022" spans="1:4" x14ac:dyDescent="0.25">
      <c r="A4022" t="str">
        <f>IF(COUNTIF(B$1:B4022,B4022)=1,MAX(A$1:A4021)+1,"")</f>
        <v/>
      </c>
      <c r="B4022" s="11"/>
      <c r="C4022" s="11" t="str">
        <f>IF(COUNTIF(D$1:D4022,D4022)=1,MAX(C$1:C4021)+1,"")</f>
        <v/>
      </c>
      <c r="D4022" s="12"/>
    </row>
    <row r="4023" spans="1:4" x14ac:dyDescent="0.25">
      <c r="A4023" t="str">
        <f>IF(COUNTIF(B$1:B4023,B4023)=1,MAX(A$1:A4022)+1,"")</f>
        <v/>
      </c>
      <c r="B4023" s="11"/>
      <c r="C4023" s="11" t="str">
        <f>IF(COUNTIF(D$1:D4023,D4023)=1,MAX(C$1:C4022)+1,"")</f>
        <v/>
      </c>
      <c r="D4023" s="12"/>
    </row>
    <row r="4024" spans="1:4" x14ac:dyDescent="0.25">
      <c r="A4024" t="str">
        <f>IF(COUNTIF(B$1:B4024,B4024)=1,MAX(A$1:A4023)+1,"")</f>
        <v/>
      </c>
      <c r="B4024" s="11"/>
      <c r="C4024" s="11" t="str">
        <f>IF(COUNTIF(D$1:D4024,D4024)=1,MAX(C$1:C4023)+1,"")</f>
        <v/>
      </c>
      <c r="D4024" s="12"/>
    </row>
    <row r="4025" spans="1:4" x14ac:dyDescent="0.25">
      <c r="A4025" t="str">
        <f>IF(COUNTIF(B$1:B4025,B4025)=1,MAX(A$1:A4024)+1,"")</f>
        <v/>
      </c>
      <c r="B4025" s="11"/>
      <c r="C4025" s="11" t="str">
        <f>IF(COUNTIF(D$1:D4025,D4025)=1,MAX(C$1:C4024)+1,"")</f>
        <v/>
      </c>
      <c r="D4025" s="12"/>
    </row>
    <row r="4026" spans="1:4" x14ac:dyDescent="0.25">
      <c r="A4026" t="str">
        <f>IF(COUNTIF(B$1:B4026,B4026)=1,MAX(A$1:A4025)+1,"")</f>
        <v/>
      </c>
      <c r="B4026" s="11"/>
      <c r="C4026" s="11" t="str">
        <f>IF(COUNTIF(D$1:D4026,D4026)=1,MAX(C$1:C4025)+1,"")</f>
        <v/>
      </c>
      <c r="D4026" s="12"/>
    </row>
    <row r="4027" spans="1:4" x14ac:dyDescent="0.25">
      <c r="A4027" t="str">
        <f>IF(COUNTIF(B$1:B4027,B4027)=1,MAX(A$1:A4026)+1,"")</f>
        <v/>
      </c>
      <c r="B4027" s="11"/>
      <c r="C4027" s="11" t="str">
        <f>IF(COUNTIF(D$1:D4027,D4027)=1,MAX(C$1:C4026)+1,"")</f>
        <v/>
      </c>
      <c r="D4027" s="12"/>
    </row>
    <row r="4028" spans="1:4" x14ac:dyDescent="0.25">
      <c r="A4028" t="str">
        <f>IF(COUNTIF(B$1:B4028,B4028)=1,MAX(A$1:A4027)+1,"")</f>
        <v/>
      </c>
      <c r="B4028" s="11"/>
      <c r="C4028" s="11" t="str">
        <f>IF(COUNTIF(D$1:D4028,D4028)=1,MAX(C$1:C4027)+1,"")</f>
        <v/>
      </c>
      <c r="D4028" s="12"/>
    </row>
    <row r="4029" spans="1:4" x14ac:dyDescent="0.25">
      <c r="A4029" t="str">
        <f>IF(COUNTIF(B$1:B4029,B4029)=1,MAX(A$1:A4028)+1,"")</f>
        <v/>
      </c>
      <c r="B4029" s="11"/>
      <c r="C4029" s="11" t="str">
        <f>IF(COUNTIF(D$1:D4029,D4029)=1,MAX(C$1:C4028)+1,"")</f>
        <v/>
      </c>
      <c r="D4029" s="12"/>
    </row>
    <row r="4030" spans="1:4" x14ac:dyDescent="0.25">
      <c r="A4030" t="str">
        <f>IF(COUNTIF(B$1:B4030,B4030)=1,MAX(A$1:A4029)+1,"")</f>
        <v/>
      </c>
      <c r="B4030" s="11"/>
      <c r="C4030" s="11" t="str">
        <f>IF(COUNTIF(D$1:D4030,D4030)=1,MAX(C$1:C4029)+1,"")</f>
        <v/>
      </c>
      <c r="D4030" s="12"/>
    </row>
    <row r="4031" spans="1:4" x14ac:dyDescent="0.25">
      <c r="A4031" t="str">
        <f>IF(COUNTIF(B$1:B4031,B4031)=1,MAX(A$1:A4030)+1,"")</f>
        <v/>
      </c>
      <c r="B4031" s="11"/>
      <c r="C4031" s="11" t="str">
        <f>IF(COUNTIF(D$1:D4031,D4031)=1,MAX(C$1:C4030)+1,"")</f>
        <v/>
      </c>
      <c r="D4031" s="12"/>
    </row>
    <row r="4032" spans="1:4" x14ac:dyDescent="0.25">
      <c r="A4032" t="str">
        <f>IF(COUNTIF(B$1:B4032,B4032)=1,MAX(A$1:A4031)+1,"")</f>
        <v/>
      </c>
      <c r="B4032" s="11"/>
      <c r="C4032" s="11" t="str">
        <f>IF(COUNTIF(D$1:D4032,D4032)=1,MAX(C$1:C4031)+1,"")</f>
        <v/>
      </c>
      <c r="D4032" s="12"/>
    </row>
    <row r="4033" spans="1:4" x14ac:dyDescent="0.25">
      <c r="A4033" t="str">
        <f>IF(COUNTIF(B$1:B4033,B4033)=1,MAX(A$1:A4032)+1,"")</f>
        <v/>
      </c>
      <c r="B4033" s="11"/>
      <c r="C4033" s="11" t="str">
        <f>IF(COUNTIF(D$1:D4033,D4033)=1,MAX(C$1:C4032)+1,"")</f>
        <v/>
      </c>
      <c r="D4033" s="12"/>
    </row>
    <row r="4034" spans="1:4" x14ac:dyDescent="0.25">
      <c r="A4034" t="str">
        <f>IF(COUNTIF(B$1:B4034,B4034)=1,MAX(A$1:A4033)+1,"")</f>
        <v/>
      </c>
      <c r="B4034" s="11"/>
      <c r="C4034" s="11" t="str">
        <f>IF(COUNTIF(D$1:D4034,D4034)=1,MAX(C$1:C4033)+1,"")</f>
        <v/>
      </c>
      <c r="D4034" s="12"/>
    </row>
    <row r="4035" spans="1:4" x14ac:dyDescent="0.25">
      <c r="A4035" t="str">
        <f>IF(COUNTIF(B$1:B4035,B4035)=1,MAX(A$1:A4034)+1,"")</f>
        <v/>
      </c>
      <c r="B4035" s="11"/>
      <c r="C4035" s="11" t="str">
        <f>IF(COUNTIF(D$1:D4035,D4035)=1,MAX(C$1:C4034)+1,"")</f>
        <v/>
      </c>
      <c r="D4035" s="12"/>
    </row>
    <row r="4036" spans="1:4" x14ac:dyDescent="0.25">
      <c r="A4036" t="str">
        <f>IF(COUNTIF(B$1:B4036,B4036)=1,MAX(A$1:A4035)+1,"")</f>
        <v/>
      </c>
      <c r="B4036" s="11"/>
      <c r="C4036" s="11" t="str">
        <f>IF(COUNTIF(D$1:D4036,D4036)=1,MAX(C$1:C4035)+1,"")</f>
        <v/>
      </c>
      <c r="D4036" s="12"/>
    </row>
    <row r="4037" spans="1:4" x14ac:dyDescent="0.25">
      <c r="A4037" t="str">
        <f>IF(COUNTIF(B$1:B4037,B4037)=1,MAX(A$1:A4036)+1,"")</f>
        <v/>
      </c>
      <c r="B4037" s="11"/>
      <c r="C4037" s="11" t="str">
        <f>IF(COUNTIF(D$1:D4037,D4037)=1,MAX(C$1:C4036)+1,"")</f>
        <v/>
      </c>
      <c r="D4037" s="12"/>
    </row>
    <row r="4038" spans="1:4" x14ac:dyDescent="0.25">
      <c r="A4038" t="str">
        <f>IF(COUNTIF(B$1:B4038,B4038)=1,MAX(A$1:A4037)+1,"")</f>
        <v/>
      </c>
      <c r="B4038" s="11"/>
      <c r="C4038" s="11" t="str">
        <f>IF(COUNTIF(D$1:D4038,D4038)=1,MAX(C$1:C4037)+1,"")</f>
        <v/>
      </c>
      <c r="D4038" s="12"/>
    </row>
    <row r="4039" spans="1:4" x14ac:dyDescent="0.25">
      <c r="A4039" t="str">
        <f>IF(COUNTIF(B$1:B4039,B4039)=1,MAX(A$1:A4038)+1,"")</f>
        <v/>
      </c>
      <c r="B4039" s="11"/>
      <c r="C4039" s="11" t="str">
        <f>IF(COUNTIF(D$1:D4039,D4039)=1,MAX(C$1:C4038)+1,"")</f>
        <v/>
      </c>
      <c r="D4039" s="12"/>
    </row>
    <row r="4040" spans="1:4" x14ac:dyDescent="0.25">
      <c r="A4040" t="str">
        <f>IF(COUNTIF(B$1:B4040,B4040)=1,MAX(A$1:A4039)+1,"")</f>
        <v/>
      </c>
      <c r="B4040" s="11"/>
      <c r="C4040" s="11" t="str">
        <f>IF(COUNTIF(D$1:D4040,D4040)=1,MAX(C$1:C4039)+1,"")</f>
        <v/>
      </c>
      <c r="D4040" s="12"/>
    </row>
    <row r="4041" spans="1:4" x14ac:dyDescent="0.25">
      <c r="A4041" t="str">
        <f>IF(COUNTIF(B$1:B4041,B4041)=1,MAX(A$1:A4040)+1,"")</f>
        <v/>
      </c>
      <c r="B4041" s="11"/>
      <c r="C4041" s="11" t="str">
        <f>IF(COUNTIF(D$1:D4041,D4041)=1,MAX(C$1:C4040)+1,"")</f>
        <v/>
      </c>
      <c r="D4041" s="12"/>
    </row>
    <row r="4042" spans="1:4" x14ac:dyDescent="0.25">
      <c r="A4042" t="str">
        <f>IF(COUNTIF(B$1:B4042,B4042)=1,MAX(A$1:A4041)+1,"")</f>
        <v/>
      </c>
      <c r="B4042" s="11"/>
      <c r="C4042" s="11" t="str">
        <f>IF(COUNTIF(D$1:D4042,D4042)=1,MAX(C$1:C4041)+1,"")</f>
        <v/>
      </c>
      <c r="D4042" s="12"/>
    </row>
    <row r="4043" spans="1:4" x14ac:dyDescent="0.25">
      <c r="A4043" t="str">
        <f>IF(COUNTIF(B$1:B4043,B4043)=1,MAX(A$1:A4042)+1,"")</f>
        <v/>
      </c>
      <c r="B4043" s="11"/>
      <c r="C4043" s="11" t="str">
        <f>IF(COUNTIF(D$1:D4043,D4043)=1,MAX(C$1:C4042)+1,"")</f>
        <v/>
      </c>
      <c r="D4043" s="12"/>
    </row>
    <row r="4044" spans="1:4" x14ac:dyDescent="0.25">
      <c r="A4044" t="str">
        <f>IF(COUNTIF(B$1:B4044,B4044)=1,MAX(A$1:A4043)+1,"")</f>
        <v/>
      </c>
      <c r="B4044" s="11"/>
      <c r="C4044" s="11" t="str">
        <f>IF(COUNTIF(D$1:D4044,D4044)=1,MAX(C$1:C4043)+1,"")</f>
        <v/>
      </c>
      <c r="D4044" s="12"/>
    </row>
    <row r="4045" spans="1:4" x14ac:dyDescent="0.25">
      <c r="A4045" t="str">
        <f>IF(COUNTIF(B$1:B4045,B4045)=1,MAX(A$1:A4044)+1,"")</f>
        <v/>
      </c>
      <c r="B4045" s="11"/>
      <c r="C4045" s="11" t="str">
        <f>IF(COUNTIF(D$1:D4045,D4045)=1,MAX(C$1:C4044)+1,"")</f>
        <v/>
      </c>
      <c r="D4045" s="12"/>
    </row>
    <row r="4046" spans="1:4" x14ac:dyDescent="0.25">
      <c r="A4046" t="str">
        <f>IF(COUNTIF(B$1:B4046,B4046)=1,MAX(A$1:A4045)+1,"")</f>
        <v/>
      </c>
      <c r="B4046" s="11"/>
      <c r="C4046" s="11" t="str">
        <f>IF(COUNTIF(D$1:D4046,D4046)=1,MAX(C$1:C4045)+1,"")</f>
        <v/>
      </c>
      <c r="D4046" s="12"/>
    </row>
    <row r="4047" spans="1:4" x14ac:dyDescent="0.25">
      <c r="A4047" t="str">
        <f>IF(COUNTIF(B$1:B4047,B4047)=1,MAX(A$1:A4046)+1,"")</f>
        <v/>
      </c>
      <c r="B4047" s="11"/>
      <c r="C4047" s="11" t="str">
        <f>IF(COUNTIF(D$1:D4047,D4047)=1,MAX(C$1:C4046)+1,"")</f>
        <v/>
      </c>
      <c r="D4047" s="12"/>
    </row>
    <row r="4048" spans="1:4" x14ac:dyDescent="0.25">
      <c r="A4048" t="str">
        <f>IF(COUNTIF(B$1:B4048,B4048)=1,MAX(A$1:A4047)+1,"")</f>
        <v/>
      </c>
      <c r="B4048" s="11"/>
      <c r="C4048" s="11" t="str">
        <f>IF(COUNTIF(D$1:D4048,D4048)=1,MAX(C$1:C4047)+1,"")</f>
        <v/>
      </c>
      <c r="D4048" s="12"/>
    </row>
    <row r="4049" spans="1:4" x14ac:dyDescent="0.25">
      <c r="A4049" t="str">
        <f>IF(COUNTIF(B$1:B4049,B4049)=1,MAX(A$1:A4048)+1,"")</f>
        <v/>
      </c>
      <c r="B4049" s="11"/>
      <c r="C4049" s="11" t="str">
        <f>IF(COUNTIF(D$1:D4049,D4049)=1,MAX(C$1:C4048)+1,"")</f>
        <v/>
      </c>
      <c r="D4049" s="12"/>
    </row>
    <row r="4050" spans="1:4" x14ac:dyDescent="0.25">
      <c r="A4050" t="str">
        <f>IF(COUNTIF(B$1:B4050,B4050)=1,MAX(A$1:A4049)+1,"")</f>
        <v/>
      </c>
      <c r="B4050" s="11"/>
      <c r="C4050" s="11" t="str">
        <f>IF(COUNTIF(D$1:D4050,D4050)=1,MAX(C$1:C4049)+1,"")</f>
        <v/>
      </c>
      <c r="D4050" s="12"/>
    </row>
    <row r="4051" spans="1:4" x14ac:dyDescent="0.25">
      <c r="A4051" t="str">
        <f>IF(COUNTIF(B$1:B4051,B4051)=1,MAX(A$1:A4050)+1,"")</f>
        <v/>
      </c>
      <c r="B4051" s="11"/>
      <c r="C4051" s="11" t="str">
        <f>IF(COUNTIF(D$1:D4051,D4051)=1,MAX(C$1:C4050)+1,"")</f>
        <v/>
      </c>
      <c r="D4051" s="12"/>
    </row>
    <row r="4052" spans="1:4" x14ac:dyDescent="0.25">
      <c r="A4052" t="str">
        <f>IF(COUNTIF(B$1:B4052,B4052)=1,MAX(A$1:A4051)+1,"")</f>
        <v/>
      </c>
      <c r="B4052" s="11"/>
      <c r="C4052" s="11" t="str">
        <f>IF(COUNTIF(D$1:D4052,D4052)=1,MAX(C$1:C4051)+1,"")</f>
        <v/>
      </c>
      <c r="D4052" s="12"/>
    </row>
    <row r="4053" spans="1:4" x14ac:dyDescent="0.25">
      <c r="A4053" t="str">
        <f>IF(COUNTIF(B$1:B4053,B4053)=1,MAX(A$1:A4052)+1,"")</f>
        <v/>
      </c>
      <c r="B4053" s="11"/>
      <c r="C4053" s="11" t="str">
        <f>IF(COUNTIF(D$1:D4053,D4053)=1,MAX(C$1:C4052)+1,"")</f>
        <v/>
      </c>
      <c r="D4053" s="12"/>
    </row>
    <row r="4054" spans="1:4" x14ac:dyDescent="0.25">
      <c r="A4054" t="str">
        <f>IF(COUNTIF(B$1:B4054,B4054)=1,MAX(A$1:A4053)+1,"")</f>
        <v/>
      </c>
      <c r="B4054" s="11"/>
      <c r="C4054" s="11" t="str">
        <f>IF(COUNTIF(D$1:D4054,D4054)=1,MAX(C$1:C4053)+1,"")</f>
        <v/>
      </c>
      <c r="D4054" s="12"/>
    </row>
    <row r="4055" spans="1:4" x14ac:dyDescent="0.25">
      <c r="A4055" t="str">
        <f>IF(COUNTIF(B$1:B4055,B4055)=1,MAX(A$1:A4054)+1,"")</f>
        <v/>
      </c>
      <c r="B4055" s="11"/>
      <c r="C4055" s="11" t="str">
        <f>IF(COUNTIF(D$1:D4055,D4055)=1,MAX(C$1:C4054)+1,"")</f>
        <v/>
      </c>
      <c r="D4055" s="12"/>
    </row>
    <row r="4056" spans="1:4" x14ac:dyDescent="0.25">
      <c r="A4056" t="str">
        <f>IF(COUNTIF(B$1:B4056,B4056)=1,MAX(A$1:A4055)+1,"")</f>
        <v/>
      </c>
      <c r="B4056" s="11"/>
      <c r="C4056" s="11" t="str">
        <f>IF(COUNTIF(D$1:D4056,D4056)=1,MAX(C$1:C4055)+1,"")</f>
        <v/>
      </c>
      <c r="D4056" s="12"/>
    </row>
    <row r="4057" spans="1:4" x14ac:dyDescent="0.25">
      <c r="A4057" t="str">
        <f>IF(COUNTIF(B$1:B4057,B4057)=1,MAX(A$1:A4056)+1,"")</f>
        <v/>
      </c>
      <c r="B4057" s="11"/>
      <c r="C4057" s="11" t="str">
        <f>IF(COUNTIF(D$1:D4057,D4057)=1,MAX(C$1:C4056)+1,"")</f>
        <v/>
      </c>
      <c r="D4057" s="12"/>
    </row>
    <row r="4058" spans="1:4" x14ac:dyDescent="0.25">
      <c r="A4058" t="str">
        <f>IF(COUNTIF(B$1:B4058,B4058)=1,MAX(A$1:A4057)+1,"")</f>
        <v/>
      </c>
      <c r="B4058" s="11"/>
      <c r="C4058" s="11" t="str">
        <f>IF(COUNTIF(D$1:D4058,D4058)=1,MAX(C$1:C4057)+1,"")</f>
        <v/>
      </c>
      <c r="D4058" s="12"/>
    </row>
    <row r="4059" spans="1:4" x14ac:dyDescent="0.25">
      <c r="A4059" t="str">
        <f>IF(COUNTIF(B$1:B4059,B4059)=1,MAX(A$1:A4058)+1,"")</f>
        <v/>
      </c>
      <c r="B4059" s="11"/>
      <c r="C4059" s="11" t="str">
        <f>IF(COUNTIF(D$1:D4059,D4059)=1,MAX(C$1:C4058)+1,"")</f>
        <v/>
      </c>
      <c r="D4059" s="12"/>
    </row>
    <row r="4060" spans="1:4" x14ac:dyDescent="0.25">
      <c r="A4060" t="str">
        <f>IF(COUNTIF(B$1:B4060,B4060)=1,MAX(A$1:A4059)+1,"")</f>
        <v/>
      </c>
      <c r="B4060" s="11"/>
      <c r="C4060" s="11" t="str">
        <f>IF(COUNTIF(D$1:D4060,D4060)=1,MAX(C$1:C4059)+1,"")</f>
        <v/>
      </c>
      <c r="D4060" s="12"/>
    </row>
    <row r="4061" spans="1:4" x14ac:dyDescent="0.25">
      <c r="A4061" t="str">
        <f>IF(COUNTIF(B$1:B4061,B4061)=1,MAX(A$1:A4060)+1,"")</f>
        <v/>
      </c>
      <c r="B4061" s="11"/>
      <c r="C4061" s="11" t="str">
        <f>IF(COUNTIF(D$1:D4061,D4061)=1,MAX(C$1:C4060)+1,"")</f>
        <v/>
      </c>
      <c r="D4061" s="12"/>
    </row>
    <row r="4062" spans="1:4" x14ac:dyDescent="0.25">
      <c r="A4062" t="str">
        <f>IF(COUNTIF(B$1:B4062,B4062)=1,MAX(A$1:A4061)+1,"")</f>
        <v/>
      </c>
      <c r="B4062" s="11"/>
      <c r="C4062" s="11" t="str">
        <f>IF(COUNTIF(D$1:D4062,D4062)=1,MAX(C$1:C4061)+1,"")</f>
        <v/>
      </c>
      <c r="D4062" s="12"/>
    </row>
    <row r="4063" spans="1:4" x14ac:dyDescent="0.25">
      <c r="A4063" t="str">
        <f>IF(COUNTIF(B$1:B4063,B4063)=1,MAX(A$1:A4062)+1,"")</f>
        <v/>
      </c>
      <c r="B4063" s="11"/>
      <c r="C4063" s="11" t="str">
        <f>IF(COUNTIF(D$1:D4063,D4063)=1,MAX(C$1:C4062)+1,"")</f>
        <v/>
      </c>
      <c r="D4063" s="12"/>
    </row>
    <row r="4064" spans="1:4" x14ac:dyDescent="0.25">
      <c r="A4064" t="str">
        <f>IF(COUNTIF(B$1:B4064,B4064)=1,MAX(A$1:A4063)+1,"")</f>
        <v/>
      </c>
      <c r="B4064" s="11"/>
      <c r="C4064" s="11" t="str">
        <f>IF(COUNTIF(D$1:D4064,D4064)=1,MAX(C$1:C4063)+1,"")</f>
        <v/>
      </c>
      <c r="D4064" s="12"/>
    </row>
    <row r="4065" spans="1:4" x14ac:dyDescent="0.25">
      <c r="A4065" t="str">
        <f>IF(COUNTIF(B$1:B4065,B4065)=1,MAX(A$1:A4064)+1,"")</f>
        <v/>
      </c>
      <c r="B4065" s="11"/>
      <c r="C4065" s="11" t="str">
        <f>IF(COUNTIF(D$1:D4065,D4065)=1,MAX(C$1:C4064)+1,"")</f>
        <v/>
      </c>
      <c r="D4065" s="12"/>
    </row>
    <row r="4066" spans="1:4" x14ac:dyDescent="0.25">
      <c r="A4066" t="str">
        <f>IF(COUNTIF(B$1:B4066,B4066)=1,MAX(A$1:A4065)+1,"")</f>
        <v/>
      </c>
      <c r="B4066" s="11"/>
      <c r="C4066" s="11" t="str">
        <f>IF(COUNTIF(D$1:D4066,D4066)=1,MAX(C$1:C4065)+1,"")</f>
        <v/>
      </c>
      <c r="D4066" s="12"/>
    </row>
    <row r="4067" spans="1:4" x14ac:dyDescent="0.25">
      <c r="A4067" t="str">
        <f>IF(COUNTIF(B$1:B4067,B4067)=1,MAX(A$1:A4066)+1,"")</f>
        <v/>
      </c>
      <c r="B4067" s="11"/>
      <c r="C4067" s="11" t="str">
        <f>IF(COUNTIF(D$1:D4067,D4067)=1,MAX(C$1:C4066)+1,"")</f>
        <v/>
      </c>
      <c r="D4067" s="12"/>
    </row>
    <row r="4068" spans="1:4" x14ac:dyDescent="0.25">
      <c r="A4068" t="str">
        <f>IF(COUNTIF(B$1:B4068,B4068)=1,MAX(A$1:A4067)+1,"")</f>
        <v/>
      </c>
      <c r="B4068" s="11"/>
      <c r="C4068" s="11" t="str">
        <f>IF(COUNTIF(D$1:D4068,D4068)=1,MAX(C$1:C4067)+1,"")</f>
        <v/>
      </c>
      <c r="D4068" s="12"/>
    </row>
    <row r="4069" spans="1:4" x14ac:dyDescent="0.25">
      <c r="A4069" t="str">
        <f>IF(COUNTIF(B$1:B4069,B4069)=1,MAX(A$1:A4068)+1,"")</f>
        <v/>
      </c>
      <c r="B4069" s="11"/>
      <c r="C4069" s="11" t="str">
        <f>IF(COUNTIF(D$1:D4069,D4069)=1,MAX(C$1:C4068)+1,"")</f>
        <v/>
      </c>
      <c r="D4069" s="12"/>
    </row>
    <row r="4070" spans="1:4" x14ac:dyDescent="0.25">
      <c r="A4070" t="str">
        <f>IF(COUNTIF(B$1:B4070,B4070)=1,MAX(A$1:A4069)+1,"")</f>
        <v/>
      </c>
      <c r="B4070" s="11"/>
      <c r="C4070" s="11" t="str">
        <f>IF(COUNTIF(D$1:D4070,D4070)=1,MAX(C$1:C4069)+1,"")</f>
        <v/>
      </c>
      <c r="D4070" s="12"/>
    </row>
    <row r="4071" spans="1:4" x14ac:dyDescent="0.25">
      <c r="A4071" t="str">
        <f>IF(COUNTIF(B$1:B4071,B4071)=1,MAX(A$1:A4070)+1,"")</f>
        <v/>
      </c>
      <c r="B4071" s="11"/>
      <c r="C4071" s="11" t="str">
        <f>IF(COUNTIF(D$1:D4071,D4071)=1,MAX(C$1:C4070)+1,"")</f>
        <v/>
      </c>
      <c r="D4071" s="12"/>
    </row>
    <row r="4072" spans="1:4" x14ac:dyDescent="0.25">
      <c r="A4072" t="str">
        <f>IF(COUNTIF(B$1:B4072,B4072)=1,MAX(A$1:A4071)+1,"")</f>
        <v/>
      </c>
      <c r="B4072" s="11"/>
      <c r="C4072" s="11" t="str">
        <f>IF(COUNTIF(D$1:D4072,D4072)=1,MAX(C$1:C4071)+1,"")</f>
        <v/>
      </c>
      <c r="D4072" s="12"/>
    </row>
    <row r="4073" spans="1:4" x14ac:dyDescent="0.25">
      <c r="A4073" t="str">
        <f>IF(COUNTIF(B$1:B4073,B4073)=1,MAX(A$1:A4072)+1,"")</f>
        <v/>
      </c>
      <c r="B4073" s="11"/>
      <c r="C4073" s="11" t="str">
        <f>IF(COUNTIF(D$1:D4073,D4073)=1,MAX(C$1:C4072)+1,"")</f>
        <v/>
      </c>
      <c r="D4073" s="12"/>
    </row>
    <row r="4074" spans="1:4" x14ac:dyDescent="0.25">
      <c r="A4074" t="str">
        <f>IF(COUNTIF(B$1:B4074,B4074)=1,MAX(A$1:A4073)+1,"")</f>
        <v/>
      </c>
      <c r="B4074" s="11"/>
      <c r="C4074" s="11" t="str">
        <f>IF(COUNTIF(D$1:D4074,D4074)=1,MAX(C$1:C4073)+1,"")</f>
        <v/>
      </c>
      <c r="D4074" s="12"/>
    </row>
    <row r="4075" spans="1:4" x14ac:dyDescent="0.25">
      <c r="A4075" t="str">
        <f>IF(COUNTIF(B$1:B4075,B4075)=1,MAX(A$1:A4074)+1,"")</f>
        <v/>
      </c>
      <c r="B4075" s="11"/>
      <c r="C4075" s="11" t="str">
        <f>IF(COUNTIF(D$1:D4075,D4075)=1,MAX(C$1:C4074)+1,"")</f>
        <v/>
      </c>
      <c r="D4075" s="12"/>
    </row>
    <row r="4076" spans="1:4" x14ac:dyDescent="0.25">
      <c r="A4076" t="str">
        <f>IF(COUNTIF(B$1:B4076,B4076)=1,MAX(A$1:A4075)+1,"")</f>
        <v/>
      </c>
      <c r="B4076" s="11"/>
      <c r="C4076" s="11" t="str">
        <f>IF(COUNTIF(D$1:D4076,D4076)=1,MAX(C$1:C4075)+1,"")</f>
        <v/>
      </c>
      <c r="D4076" s="12"/>
    </row>
    <row r="4077" spans="1:4" x14ac:dyDescent="0.25">
      <c r="A4077" t="str">
        <f>IF(COUNTIF(B$1:B4077,B4077)=1,MAX(A$1:A4076)+1,"")</f>
        <v/>
      </c>
      <c r="B4077" s="11"/>
      <c r="C4077" s="11" t="str">
        <f>IF(COUNTIF(D$1:D4077,D4077)=1,MAX(C$1:C4076)+1,"")</f>
        <v/>
      </c>
      <c r="D4077" s="12"/>
    </row>
    <row r="4078" spans="1:4" x14ac:dyDescent="0.25">
      <c r="A4078" t="str">
        <f>IF(COUNTIF(B$1:B4078,B4078)=1,MAX(A$1:A4077)+1,"")</f>
        <v/>
      </c>
      <c r="B4078" s="11"/>
      <c r="C4078" s="11" t="str">
        <f>IF(COUNTIF(D$1:D4078,D4078)=1,MAX(C$1:C4077)+1,"")</f>
        <v/>
      </c>
      <c r="D4078" s="12"/>
    </row>
    <row r="4079" spans="1:4" x14ac:dyDescent="0.25">
      <c r="A4079" t="str">
        <f>IF(COUNTIF(B$1:B4079,B4079)=1,MAX(A$1:A4078)+1,"")</f>
        <v/>
      </c>
      <c r="B4079" s="11"/>
      <c r="C4079" s="11" t="str">
        <f>IF(COUNTIF(D$1:D4079,D4079)=1,MAX(C$1:C4078)+1,"")</f>
        <v/>
      </c>
      <c r="D4079" s="12"/>
    </row>
    <row r="4080" spans="1:4" x14ac:dyDescent="0.25">
      <c r="A4080" t="str">
        <f>IF(COUNTIF(B$1:B4080,B4080)=1,MAX(A$1:A4079)+1,"")</f>
        <v/>
      </c>
      <c r="B4080" s="11"/>
      <c r="C4080" s="11" t="str">
        <f>IF(COUNTIF(D$1:D4080,D4080)=1,MAX(C$1:C4079)+1,"")</f>
        <v/>
      </c>
      <c r="D4080" s="12"/>
    </row>
    <row r="4081" spans="1:4" x14ac:dyDescent="0.25">
      <c r="A4081" t="str">
        <f>IF(COUNTIF(B$1:B4081,B4081)=1,MAX(A$1:A4080)+1,"")</f>
        <v/>
      </c>
      <c r="B4081" s="11"/>
      <c r="C4081" s="11" t="str">
        <f>IF(COUNTIF(D$1:D4081,D4081)=1,MAX(C$1:C4080)+1,"")</f>
        <v/>
      </c>
      <c r="D4081" s="12"/>
    </row>
    <row r="4082" spans="1:4" x14ac:dyDescent="0.25">
      <c r="A4082" t="str">
        <f>IF(COUNTIF(B$1:B4082,B4082)=1,MAX(A$1:A4081)+1,"")</f>
        <v/>
      </c>
      <c r="B4082" s="11"/>
      <c r="C4082" s="11" t="str">
        <f>IF(COUNTIF(D$1:D4082,D4082)=1,MAX(C$1:C4081)+1,"")</f>
        <v/>
      </c>
      <c r="D4082" s="12"/>
    </row>
    <row r="4083" spans="1:4" x14ac:dyDescent="0.25">
      <c r="A4083" t="str">
        <f>IF(COUNTIF(B$1:B4083,B4083)=1,MAX(A$1:A4082)+1,"")</f>
        <v/>
      </c>
      <c r="B4083" s="11"/>
      <c r="C4083" s="11" t="str">
        <f>IF(COUNTIF(D$1:D4083,D4083)=1,MAX(C$1:C4082)+1,"")</f>
        <v/>
      </c>
      <c r="D4083" s="12"/>
    </row>
    <row r="4084" spans="1:4" x14ac:dyDescent="0.25">
      <c r="A4084" t="str">
        <f>IF(COUNTIF(B$1:B4084,B4084)=1,MAX(A$1:A4083)+1,"")</f>
        <v/>
      </c>
      <c r="B4084" s="11"/>
      <c r="C4084" s="11" t="str">
        <f>IF(COUNTIF(D$1:D4084,D4084)=1,MAX(C$1:C4083)+1,"")</f>
        <v/>
      </c>
      <c r="D4084" s="12"/>
    </row>
    <row r="4085" spans="1:4" x14ac:dyDescent="0.25">
      <c r="A4085" t="str">
        <f>IF(COUNTIF(B$1:B4085,B4085)=1,MAX(A$1:A4084)+1,"")</f>
        <v/>
      </c>
      <c r="B4085" s="11"/>
      <c r="C4085" s="11" t="str">
        <f>IF(COUNTIF(D$1:D4085,D4085)=1,MAX(C$1:C4084)+1,"")</f>
        <v/>
      </c>
      <c r="D4085" s="12"/>
    </row>
    <row r="4086" spans="1:4" x14ac:dyDescent="0.25">
      <c r="A4086" t="str">
        <f>IF(COUNTIF(B$1:B4086,B4086)=1,MAX(A$1:A4085)+1,"")</f>
        <v/>
      </c>
      <c r="B4086" s="11"/>
      <c r="C4086" s="11" t="str">
        <f>IF(COUNTIF(D$1:D4086,D4086)=1,MAX(C$1:C4085)+1,"")</f>
        <v/>
      </c>
      <c r="D4086" s="12"/>
    </row>
    <row r="4087" spans="1:4" x14ac:dyDescent="0.25">
      <c r="A4087" t="str">
        <f>IF(COUNTIF(B$1:B4087,B4087)=1,MAX(A$1:A4086)+1,"")</f>
        <v/>
      </c>
      <c r="B4087" s="11"/>
      <c r="C4087" s="11" t="str">
        <f>IF(COUNTIF(D$1:D4087,D4087)=1,MAX(C$1:C4086)+1,"")</f>
        <v/>
      </c>
      <c r="D4087" s="12"/>
    </row>
    <row r="4088" spans="1:4" x14ac:dyDescent="0.25">
      <c r="A4088" t="str">
        <f>IF(COUNTIF(B$1:B4088,B4088)=1,MAX(A$1:A4087)+1,"")</f>
        <v/>
      </c>
      <c r="B4088" s="11"/>
      <c r="C4088" s="11" t="str">
        <f>IF(COUNTIF(D$1:D4088,D4088)=1,MAX(C$1:C4087)+1,"")</f>
        <v/>
      </c>
      <c r="D4088" s="12"/>
    </row>
    <row r="4089" spans="1:4" x14ac:dyDescent="0.25">
      <c r="A4089" t="str">
        <f>IF(COUNTIF(B$1:B4089,B4089)=1,MAX(A$1:A4088)+1,"")</f>
        <v/>
      </c>
      <c r="B4089" s="11"/>
      <c r="C4089" s="11" t="str">
        <f>IF(COUNTIF(D$1:D4089,D4089)=1,MAX(C$1:C4088)+1,"")</f>
        <v/>
      </c>
      <c r="D4089" s="12"/>
    </row>
    <row r="4090" spans="1:4" x14ac:dyDescent="0.25">
      <c r="A4090" t="str">
        <f>IF(COUNTIF(B$1:B4090,B4090)=1,MAX(A$1:A4089)+1,"")</f>
        <v/>
      </c>
      <c r="B4090" s="11"/>
      <c r="C4090" s="11" t="str">
        <f>IF(COUNTIF(D$1:D4090,D4090)=1,MAX(C$1:C4089)+1,"")</f>
        <v/>
      </c>
      <c r="D4090" s="12"/>
    </row>
    <row r="4091" spans="1:4" x14ac:dyDescent="0.25">
      <c r="A4091" t="str">
        <f>IF(COUNTIF(B$1:B4091,B4091)=1,MAX(A$1:A4090)+1,"")</f>
        <v/>
      </c>
      <c r="B4091" s="11"/>
      <c r="C4091" s="11" t="str">
        <f>IF(COUNTIF(D$1:D4091,D4091)=1,MAX(C$1:C4090)+1,"")</f>
        <v/>
      </c>
      <c r="D4091" s="12"/>
    </row>
    <row r="4092" spans="1:4" x14ac:dyDescent="0.25">
      <c r="A4092" t="str">
        <f>IF(COUNTIF(B$1:B4092,B4092)=1,MAX(A$1:A4091)+1,"")</f>
        <v/>
      </c>
      <c r="B4092" s="11"/>
      <c r="C4092" s="11" t="str">
        <f>IF(COUNTIF(D$1:D4092,D4092)=1,MAX(C$1:C4091)+1,"")</f>
        <v/>
      </c>
      <c r="D4092" s="12"/>
    </row>
    <row r="4093" spans="1:4" x14ac:dyDescent="0.25">
      <c r="A4093" t="str">
        <f>IF(COUNTIF(B$1:B4093,B4093)=1,MAX(A$1:A4092)+1,"")</f>
        <v/>
      </c>
      <c r="B4093" s="11"/>
      <c r="C4093" s="11" t="str">
        <f>IF(COUNTIF(D$1:D4093,D4093)=1,MAX(C$1:C4092)+1,"")</f>
        <v/>
      </c>
      <c r="D4093" s="12"/>
    </row>
    <row r="4094" spans="1:4" x14ac:dyDescent="0.25">
      <c r="A4094" t="str">
        <f>IF(COUNTIF(B$1:B4094,B4094)=1,MAX(A$1:A4093)+1,"")</f>
        <v/>
      </c>
      <c r="B4094" s="11"/>
      <c r="C4094" s="11" t="str">
        <f>IF(COUNTIF(D$1:D4094,D4094)=1,MAX(C$1:C4093)+1,"")</f>
        <v/>
      </c>
      <c r="D4094" s="12"/>
    </row>
    <row r="4095" spans="1:4" x14ac:dyDescent="0.25">
      <c r="A4095" t="str">
        <f>IF(COUNTIF(B$1:B4095,B4095)=1,MAX(A$1:A4094)+1,"")</f>
        <v/>
      </c>
      <c r="B4095" s="11"/>
      <c r="C4095" s="11" t="str">
        <f>IF(COUNTIF(D$1:D4095,D4095)=1,MAX(C$1:C4094)+1,"")</f>
        <v/>
      </c>
      <c r="D4095" s="12"/>
    </row>
    <row r="4096" spans="1:4" x14ac:dyDescent="0.25">
      <c r="A4096" t="str">
        <f>IF(COUNTIF(B$1:B4096,B4096)=1,MAX(A$1:A4095)+1,"")</f>
        <v/>
      </c>
      <c r="B4096" s="11"/>
      <c r="C4096" s="11" t="str">
        <f>IF(COUNTIF(D$1:D4096,D4096)=1,MAX(C$1:C4095)+1,"")</f>
        <v/>
      </c>
      <c r="D4096" s="12"/>
    </row>
    <row r="4097" spans="1:4" x14ac:dyDescent="0.25">
      <c r="A4097" t="str">
        <f>IF(COUNTIF(B$1:B4097,B4097)=1,MAX(A$1:A4096)+1,"")</f>
        <v/>
      </c>
      <c r="B4097" s="11"/>
      <c r="C4097" s="11" t="str">
        <f>IF(COUNTIF(D$1:D4097,D4097)=1,MAX(C$1:C4096)+1,"")</f>
        <v/>
      </c>
      <c r="D4097" s="12"/>
    </row>
    <row r="4098" spans="1:4" x14ac:dyDescent="0.25">
      <c r="A4098" t="str">
        <f>IF(COUNTIF(B$1:B4098,B4098)=1,MAX(A$1:A4097)+1,"")</f>
        <v/>
      </c>
      <c r="B4098" s="11"/>
      <c r="C4098" s="11" t="str">
        <f>IF(COUNTIF(D$1:D4098,D4098)=1,MAX(C$1:C4097)+1,"")</f>
        <v/>
      </c>
      <c r="D4098" s="12"/>
    </row>
    <row r="4099" spans="1:4" x14ac:dyDescent="0.25">
      <c r="A4099" t="str">
        <f>IF(COUNTIF(B$1:B4099,B4099)=1,MAX(A$1:A4098)+1,"")</f>
        <v/>
      </c>
      <c r="B4099" s="11"/>
      <c r="C4099" s="11" t="str">
        <f>IF(COUNTIF(D$1:D4099,D4099)=1,MAX(C$1:C4098)+1,"")</f>
        <v/>
      </c>
      <c r="D4099" s="12"/>
    </row>
    <row r="4100" spans="1:4" x14ac:dyDescent="0.25">
      <c r="A4100" t="str">
        <f>IF(COUNTIF(B$1:B4100,B4100)=1,MAX(A$1:A4099)+1,"")</f>
        <v/>
      </c>
      <c r="B4100" s="11"/>
      <c r="C4100" s="11" t="str">
        <f>IF(COUNTIF(D$1:D4100,D4100)=1,MAX(C$1:C4099)+1,"")</f>
        <v/>
      </c>
      <c r="D4100" s="12"/>
    </row>
    <row r="4101" spans="1:4" x14ac:dyDescent="0.25">
      <c r="A4101" t="str">
        <f>IF(COUNTIF(B$1:B4101,B4101)=1,MAX(A$1:A4100)+1,"")</f>
        <v/>
      </c>
      <c r="B4101" s="11"/>
      <c r="C4101" s="11" t="str">
        <f>IF(COUNTIF(D$1:D4101,D4101)=1,MAX(C$1:C4100)+1,"")</f>
        <v/>
      </c>
      <c r="D4101" s="12"/>
    </row>
    <row r="4102" spans="1:4" x14ac:dyDescent="0.25">
      <c r="A4102" t="str">
        <f>IF(COUNTIF(B$1:B4102,B4102)=1,MAX(A$1:A4101)+1,"")</f>
        <v/>
      </c>
      <c r="B4102" s="11"/>
      <c r="C4102" s="11" t="str">
        <f>IF(COUNTIF(D$1:D4102,D4102)=1,MAX(C$1:C4101)+1,"")</f>
        <v/>
      </c>
      <c r="D4102" s="12"/>
    </row>
    <row r="4103" spans="1:4" x14ac:dyDescent="0.25">
      <c r="A4103" t="str">
        <f>IF(COUNTIF(B$1:B4103,B4103)=1,MAX(A$1:A4102)+1,"")</f>
        <v/>
      </c>
      <c r="B4103" s="11"/>
      <c r="C4103" s="11" t="str">
        <f>IF(COUNTIF(D$1:D4103,D4103)=1,MAX(C$1:C4102)+1,"")</f>
        <v/>
      </c>
      <c r="D4103" s="12"/>
    </row>
    <row r="4104" spans="1:4" x14ac:dyDescent="0.25">
      <c r="A4104" t="str">
        <f>IF(COUNTIF(B$1:B4104,B4104)=1,MAX(A$1:A4103)+1,"")</f>
        <v/>
      </c>
      <c r="B4104" s="11"/>
      <c r="C4104" s="11" t="str">
        <f>IF(COUNTIF(D$1:D4104,D4104)=1,MAX(C$1:C4103)+1,"")</f>
        <v/>
      </c>
      <c r="D4104" s="12"/>
    </row>
    <row r="4105" spans="1:4" x14ac:dyDescent="0.25">
      <c r="A4105" t="str">
        <f>IF(COUNTIF(B$1:B4105,B4105)=1,MAX(A$1:A4104)+1,"")</f>
        <v/>
      </c>
      <c r="B4105" s="11"/>
      <c r="C4105" s="11" t="str">
        <f>IF(COUNTIF(D$1:D4105,D4105)=1,MAX(C$1:C4104)+1,"")</f>
        <v/>
      </c>
      <c r="D4105" s="12"/>
    </row>
    <row r="4106" spans="1:4" x14ac:dyDescent="0.25">
      <c r="A4106" t="str">
        <f>IF(COUNTIF(B$1:B4106,B4106)=1,MAX(A$1:A4105)+1,"")</f>
        <v/>
      </c>
      <c r="B4106" s="11"/>
      <c r="C4106" s="11" t="str">
        <f>IF(COUNTIF(D$1:D4106,D4106)=1,MAX(C$1:C4105)+1,"")</f>
        <v/>
      </c>
      <c r="D4106" s="12"/>
    </row>
    <row r="4107" spans="1:4" x14ac:dyDescent="0.25">
      <c r="A4107" t="str">
        <f>IF(COUNTIF(B$1:B4107,B4107)=1,MAX(A$1:A4106)+1,"")</f>
        <v/>
      </c>
      <c r="B4107" s="11"/>
      <c r="C4107" s="11" t="str">
        <f>IF(COUNTIF(D$1:D4107,D4107)=1,MAX(C$1:C4106)+1,"")</f>
        <v/>
      </c>
      <c r="D4107" s="12"/>
    </row>
    <row r="4108" spans="1:4" x14ac:dyDescent="0.25">
      <c r="A4108" t="str">
        <f>IF(COUNTIF(B$1:B4108,B4108)=1,MAX(A$1:A4107)+1,"")</f>
        <v/>
      </c>
      <c r="B4108" s="11"/>
      <c r="C4108" s="11" t="str">
        <f>IF(COUNTIF(D$1:D4108,D4108)=1,MAX(C$1:C4107)+1,"")</f>
        <v/>
      </c>
      <c r="D4108" s="12"/>
    </row>
    <row r="4109" spans="1:4" x14ac:dyDescent="0.25">
      <c r="A4109" t="str">
        <f>IF(COUNTIF(B$1:B4109,B4109)=1,MAX(A$1:A4108)+1,"")</f>
        <v/>
      </c>
      <c r="B4109" s="11"/>
      <c r="C4109" s="11" t="str">
        <f>IF(COUNTIF(D$1:D4109,D4109)=1,MAX(C$1:C4108)+1,"")</f>
        <v/>
      </c>
      <c r="D4109" s="12"/>
    </row>
    <row r="4110" spans="1:4" x14ac:dyDescent="0.25">
      <c r="A4110" t="str">
        <f>IF(COUNTIF(B$1:B4110,B4110)=1,MAX(A$1:A4109)+1,"")</f>
        <v/>
      </c>
      <c r="B4110" s="11"/>
      <c r="C4110" s="11" t="str">
        <f>IF(COUNTIF(D$1:D4110,D4110)=1,MAX(C$1:C4109)+1,"")</f>
        <v/>
      </c>
      <c r="D4110" s="12"/>
    </row>
    <row r="4111" spans="1:4" x14ac:dyDescent="0.25">
      <c r="A4111" t="str">
        <f>IF(COUNTIF(B$1:B4111,B4111)=1,MAX(A$1:A4110)+1,"")</f>
        <v/>
      </c>
      <c r="B4111" s="11"/>
      <c r="C4111" s="11" t="str">
        <f>IF(COUNTIF(D$1:D4111,D4111)=1,MAX(C$1:C4110)+1,"")</f>
        <v/>
      </c>
      <c r="D4111" s="12"/>
    </row>
    <row r="4112" spans="1:4" x14ac:dyDescent="0.25">
      <c r="A4112" t="str">
        <f>IF(COUNTIF(B$1:B4112,B4112)=1,MAX(A$1:A4111)+1,"")</f>
        <v/>
      </c>
      <c r="B4112" s="11"/>
      <c r="C4112" s="11" t="str">
        <f>IF(COUNTIF(D$1:D4112,D4112)=1,MAX(C$1:C4111)+1,"")</f>
        <v/>
      </c>
      <c r="D4112" s="12"/>
    </row>
    <row r="4113" spans="1:4" x14ac:dyDescent="0.25">
      <c r="A4113" t="str">
        <f>IF(COUNTIF(B$1:B4113,B4113)=1,MAX(A$1:A4112)+1,"")</f>
        <v/>
      </c>
      <c r="B4113" s="11"/>
      <c r="C4113" s="11" t="str">
        <f>IF(COUNTIF(D$1:D4113,D4113)=1,MAX(C$1:C4112)+1,"")</f>
        <v/>
      </c>
      <c r="D4113" s="12"/>
    </row>
    <row r="4114" spans="1:4" x14ac:dyDescent="0.25">
      <c r="A4114" t="str">
        <f>IF(COUNTIF(B$1:B4114,B4114)=1,MAX(A$1:A4113)+1,"")</f>
        <v/>
      </c>
      <c r="B4114" s="11"/>
      <c r="C4114" s="11" t="str">
        <f>IF(COUNTIF(D$1:D4114,D4114)=1,MAX(C$1:C4113)+1,"")</f>
        <v/>
      </c>
      <c r="D4114" s="12"/>
    </row>
    <row r="4115" spans="1:4" x14ac:dyDescent="0.25">
      <c r="A4115" t="str">
        <f>IF(COUNTIF(B$1:B4115,B4115)=1,MAX(A$1:A4114)+1,"")</f>
        <v/>
      </c>
      <c r="B4115" s="11"/>
      <c r="C4115" s="11" t="str">
        <f>IF(COUNTIF(D$1:D4115,D4115)=1,MAX(C$1:C4114)+1,"")</f>
        <v/>
      </c>
      <c r="D4115" s="12"/>
    </row>
    <row r="4116" spans="1:4" x14ac:dyDescent="0.25">
      <c r="A4116" t="str">
        <f>IF(COUNTIF(B$1:B4116,B4116)=1,MAX(A$1:A4115)+1,"")</f>
        <v/>
      </c>
      <c r="B4116" s="11"/>
      <c r="C4116" s="11" t="str">
        <f>IF(COUNTIF(D$1:D4116,D4116)=1,MAX(C$1:C4115)+1,"")</f>
        <v/>
      </c>
      <c r="D4116" s="12"/>
    </row>
    <row r="4117" spans="1:4" x14ac:dyDescent="0.25">
      <c r="A4117" t="str">
        <f>IF(COUNTIF(B$1:B4117,B4117)=1,MAX(A$1:A4116)+1,"")</f>
        <v/>
      </c>
      <c r="B4117" s="11"/>
      <c r="C4117" s="11" t="str">
        <f>IF(COUNTIF(D$1:D4117,D4117)=1,MAX(C$1:C4116)+1,"")</f>
        <v/>
      </c>
      <c r="D4117" s="12"/>
    </row>
    <row r="4118" spans="1:4" x14ac:dyDescent="0.25">
      <c r="A4118" t="str">
        <f>IF(COUNTIF(B$1:B4118,B4118)=1,MAX(A$1:A4117)+1,"")</f>
        <v/>
      </c>
      <c r="B4118" s="11"/>
      <c r="C4118" s="11" t="str">
        <f>IF(COUNTIF(D$1:D4118,D4118)=1,MAX(C$1:C4117)+1,"")</f>
        <v/>
      </c>
      <c r="D4118" s="12"/>
    </row>
    <row r="4119" spans="1:4" x14ac:dyDescent="0.25">
      <c r="A4119" t="str">
        <f>IF(COUNTIF(B$1:B4119,B4119)=1,MAX(A$1:A4118)+1,"")</f>
        <v/>
      </c>
      <c r="B4119" s="11"/>
      <c r="C4119" s="11" t="str">
        <f>IF(COUNTIF(D$1:D4119,D4119)=1,MAX(C$1:C4118)+1,"")</f>
        <v/>
      </c>
      <c r="D4119" s="12"/>
    </row>
    <row r="4120" spans="1:4" x14ac:dyDescent="0.25">
      <c r="A4120" t="str">
        <f>IF(COUNTIF(B$1:B4120,B4120)=1,MAX(A$1:A4119)+1,"")</f>
        <v/>
      </c>
      <c r="B4120" s="11"/>
      <c r="C4120" s="11" t="str">
        <f>IF(COUNTIF(D$1:D4120,D4120)=1,MAX(C$1:C4119)+1,"")</f>
        <v/>
      </c>
      <c r="D4120" s="12"/>
    </row>
    <row r="4121" spans="1:4" x14ac:dyDescent="0.25">
      <c r="A4121" t="str">
        <f>IF(COUNTIF(B$1:B4121,B4121)=1,MAX(A$1:A4120)+1,"")</f>
        <v/>
      </c>
      <c r="B4121" s="11"/>
      <c r="C4121" s="11" t="str">
        <f>IF(COUNTIF(D$1:D4121,D4121)=1,MAX(C$1:C4120)+1,"")</f>
        <v/>
      </c>
      <c r="D4121" s="12"/>
    </row>
    <row r="4122" spans="1:4" x14ac:dyDescent="0.25">
      <c r="A4122" t="str">
        <f>IF(COUNTIF(B$1:B4122,B4122)=1,MAX(A$1:A4121)+1,"")</f>
        <v/>
      </c>
      <c r="B4122" s="11"/>
      <c r="C4122" s="11" t="str">
        <f>IF(COUNTIF(D$1:D4122,D4122)=1,MAX(C$1:C4121)+1,"")</f>
        <v/>
      </c>
      <c r="D4122" s="12"/>
    </row>
    <row r="4123" spans="1:4" x14ac:dyDescent="0.25">
      <c r="A4123" t="str">
        <f>IF(COUNTIF(B$1:B4123,B4123)=1,MAX(A$1:A4122)+1,"")</f>
        <v/>
      </c>
      <c r="B4123" s="11"/>
      <c r="C4123" s="11" t="str">
        <f>IF(COUNTIF(D$1:D4123,D4123)=1,MAX(C$1:C4122)+1,"")</f>
        <v/>
      </c>
      <c r="D4123" s="12"/>
    </row>
    <row r="4124" spans="1:4" x14ac:dyDescent="0.25">
      <c r="A4124" t="str">
        <f>IF(COUNTIF(B$1:B4124,B4124)=1,MAX(A$1:A4123)+1,"")</f>
        <v/>
      </c>
      <c r="B4124" s="11"/>
      <c r="C4124" s="11" t="str">
        <f>IF(COUNTIF(D$1:D4124,D4124)=1,MAX(C$1:C4123)+1,"")</f>
        <v/>
      </c>
      <c r="D4124" s="12"/>
    </row>
    <row r="4125" spans="1:4" x14ac:dyDescent="0.25">
      <c r="A4125" t="str">
        <f>IF(COUNTIF(B$1:B4125,B4125)=1,MAX(A$1:A4124)+1,"")</f>
        <v/>
      </c>
      <c r="B4125" s="11"/>
      <c r="C4125" s="11" t="str">
        <f>IF(COUNTIF(D$1:D4125,D4125)=1,MAX(C$1:C4124)+1,"")</f>
        <v/>
      </c>
      <c r="D4125" s="12"/>
    </row>
    <row r="4126" spans="1:4" x14ac:dyDescent="0.25">
      <c r="A4126" t="str">
        <f>IF(COUNTIF(B$1:B4126,B4126)=1,MAX(A$1:A4125)+1,"")</f>
        <v/>
      </c>
      <c r="B4126" s="11"/>
      <c r="C4126" s="11" t="str">
        <f>IF(COUNTIF(D$1:D4126,D4126)=1,MAX(C$1:C4125)+1,"")</f>
        <v/>
      </c>
      <c r="D4126" s="12"/>
    </row>
    <row r="4127" spans="1:4" x14ac:dyDescent="0.25">
      <c r="A4127" t="str">
        <f>IF(COUNTIF(B$1:B4127,B4127)=1,MAX(A$1:A4126)+1,"")</f>
        <v/>
      </c>
      <c r="B4127" s="11"/>
      <c r="C4127" s="11" t="str">
        <f>IF(COUNTIF(D$1:D4127,D4127)=1,MAX(C$1:C4126)+1,"")</f>
        <v/>
      </c>
      <c r="D4127" s="12"/>
    </row>
    <row r="4128" spans="1:4" x14ac:dyDescent="0.25">
      <c r="A4128" t="str">
        <f>IF(COUNTIF(B$1:B4128,B4128)=1,MAX(A$1:A4127)+1,"")</f>
        <v/>
      </c>
      <c r="B4128" s="11"/>
      <c r="C4128" s="11" t="str">
        <f>IF(COUNTIF(D$1:D4128,D4128)=1,MAX(C$1:C4127)+1,"")</f>
        <v/>
      </c>
      <c r="D4128" s="12"/>
    </row>
    <row r="4129" spans="1:4" x14ac:dyDescent="0.25">
      <c r="A4129" t="str">
        <f>IF(COUNTIF(B$1:B4129,B4129)=1,MAX(A$1:A4128)+1,"")</f>
        <v/>
      </c>
      <c r="B4129" s="11"/>
      <c r="C4129" s="11" t="str">
        <f>IF(COUNTIF(D$1:D4129,D4129)=1,MAX(C$1:C4128)+1,"")</f>
        <v/>
      </c>
      <c r="D4129" s="12"/>
    </row>
    <row r="4130" spans="1:4" x14ac:dyDescent="0.25">
      <c r="A4130" t="str">
        <f>IF(COUNTIF(B$1:B4130,B4130)=1,MAX(A$1:A4129)+1,"")</f>
        <v/>
      </c>
      <c r="B4130" s="11"/>
      <c r="C4130" s="11" t="str">
        <f>IF(COUNTIF(D$1:D4130,D4130)=1,MAX(C$1:C4129)+1,"")</f>
        <v/>
      </c>
      <c r="D4130" s="12"/>
    </row>
    <row r="4131" spans="1:4" x14ac:dyDescent="0.25">
      <c r="A4131" t="str">
        <f>IF(COUNTIF(B$1:B4131,B4131)=1,MAX(A$1:A4130)+1,"")</f>
        <v/>
      </c>
      <c r="B4131" s="11"/>
      <c r="C4131" s="11" t="str">
        <f>IF(COUNTIF(D$1:D4131,D4131)=1,MAX(C$1:C4130)+1,"")</f>
        <v/>
      </c>
      <c r="D4131" s="12"/>
    </row>
    <row r="4132" spans="1:4" x14ac:dyDescent="0.25">
      <c r="A4132" t="str">
        <f>IF(COUNTIF(B$1:B4132,B4132)=1,MAX(A$1:A4131)+1,"")</f>
        <v/>
      </c>
      <c r="B4132" s="11"/>
      <c r="C4132" s="11" t="str">
        <f>IF(COUNTIF(D$1:D4132,D4132)=1,MAX(C$1:C4131)+1,"")</f>
        <v/>
      </c>
      <c r="D4132" s="12"/>
    </row>
    <row r="4133" spans="1:4" x14ac:dyDescent="0.25">
      <c r="A4133" t="str">
        <f>IF(COUNTIF(B$1:B4133,B4133)=1,MAX(A$1:A4132)+1,"")</f>
        <v/>
      </c>
      <c r="B4133" s="11"/>
      <c r="C4133" s="11" t="str">
        <f>IF(COUNTIF(D$1:D4133,D4133)=1,MAX(C$1:C4132)+1,"")</f>
        <v/>
      </c>
      <c r="D4133" s="12"/>
    </row>
    <row r="4134" spans="1:4" x14ac:dyDescent="0.25">
      <c r="A4134" t="str">
        <f>IF(COUNTIF(B$1:B4134,B4134)=1,MAX(A$1:A4133)+1,"")</f>
        <v/>
      </c>
      <c r="B4134" s="11"/>
      <c r="C4134" s="11" t="str">
        <f>IF(COUNTIF(D$1:D4134,D4134)=1,MAX(C$1:C4133)+1,"")</f>
        <v/>
      </c>
      <c r="D4134" s="12"/>
    </row>
    <row r="4135" spans="1:4" x14ac:dyDescent="0.25">
      <c r="A4135" t="str">
        <f>IF(COUNTIF(B$1:B4135,B4135)=1,MAX(A$1:A4134)+1,"")</f>
        <v/>
      </c>
      <c r="B4135" s="11"/>
      <c r="C4135" s="11" t="str">
        <f>IF(COUNTIF(D$1:D4135,D4135)=1,MAX(C$1:C4134)+1,"")</f>
        <v/>
      </c>
      <c r="D4135" s="12"/>
    </row>
    <row r="4136" spans="1:4" x14ac:dyDescent="0.25">
      <c r="A4136" t="str">
        <f>IF(COUNTIF(B$1:B4136,B4136)=1,MAX(A$1:A4135)+1,"")</f>
        <v/>
      </c>
      <c r="B4136" s="11"/>
      <c r="C4136" s="11" t="str">
        <f>IF(COUNTIF(D$1:D4136,D4136)=1,MAX(C$1:C4135)+1,"")</f>
        <v/>
      </c>
      <c r="D4136" s="12"/>
    </row>
    <row r="4137" spans="1:4" x14ac:dyDescent="0.25">
      <c r="A4137" t="str">
        <f>IF(COUNTIF(B$1:B4137,B4137)=1,MAX(A$1:A4136)+1,"")</f>
        <v/>
      </c>
      <c r="B4137" s="11"/>
      <c r="C4137" s="11" t="str">
        <f>IF(COUNTIF(D$1:D4137,D4137)=1,MAX(C$1:C4136)+1,"")</f>
        <v/>
      </c>
      <c r="D4137" s="12"/>
    </row>
    <row r="4138" spans="1:4" x14ac:dyDescent="0.25">
      <c r="A4138" t="str">
        <f>IF(COUNTIF(B$1:B4138,B4138)=1,MAX(A$1:A4137)+1,"")</f>
        <v/>
      </c>
      <c r="B4138" s="11"/>
      <c r="C4138" s="11" t="str">
        <f>IF(COUNTIF(D$1:D4138,D4138)=1,MAX(C$1:C4137)+1,"")</f>
        <v/>
      </c>
      <c r="D4138" s="12"/>
    </row>
    <row r="4139" spans="1:4" x14ac:dyDescent="0.25">
      <c r="A4139" t="str">
        <f>IF(COUNTIF(B$1:B4139,B4139)=1,MAX(A$1:A4138)+1,"")</f>
        <v/>
      </c>
      <c r="B4139" s="11"/>
      <c r="C4139" s="11" t="str">
        <f>IF(COUNTIF(D$1:D4139,D4139)=1,MAX(C$1:C4138)+1,"")</f>
        <v/>
      </c>
      <c r="D4139" s="12"/>
    </row>
    <row r="4140" spans="1:4" x14ac:dyDescent="0.25">
      <c r="A4140" t="str">
        <f>IF(COUNTIF(B$1:B4140,B4140)=1,MAX(A$1:A4139)+1,"")</f>
        <v/>
      </c>
      <c r="B4140" s="11"/>
      <c r="C4140" s="11" t="str">
        <f>IF(COUNTIF(D$1:D4140,D4140)=1,MAX(C$1:C4139)+1,"")</f>
        <v/>
      </c>
      <c r="D4140" s="12"/>
    </row>
    <row r="4141" spans="1:4" x14ac:dyDescent="0.25">
      <c r="A4141" t="str">
        <f>IF(COUNTIF(B$1:B4141,B4141)=1,MAX(A$1:A4140)+1,"")</f>
        <v/>
      </c>
      <c r="B4141" s="11"/>
      <c r="C4141" s="11" t="str">
        <f>IF(COUNTIF(D$1:D4141,D4141)=1,MAX(C$1:C4140)+1,"")</f>
        <v/>
      </c>
      <c r="D4141" s="12"/>
    </row>
    <row r="4142" spans="1:4" x14ac:dyDescent="0.25">
      <c r="A4142" t="str">
        <f>IF(COUNTIF(B$1:B4142,B4142)=1,MAX(A$1:A4141)+1,"")</f>
        <v/>
      </c>
      <c r="B4142" s="11"/>
      <c r="C4142" s="11" t="str">
        <f>IF(COUNTIF(D$1:D4142,D4142)=1,MAX(C$1:C4141)+1,"")</f>
        <v/>
      </c>
      <c r="D4142" s="12"/>
    </row>
    <row r="4143" spans="1:4" x14ac:dyDescent="0.25">
      <c r="A4143" t="str">
        <f>IF(COUNTIF(B$1:B4143,B4143)=1,MAX(A$1:A4142)+1,"")</f>
        <v/>
      </c>
      <c r="B4143" s="11"/>
      <c r="C4143" s="11" t="str">
        <f>IF(COUNTIF(D$1:D4143,D4143)=1,MAX(C$1:C4142)+1,"")</f>
        <v/>
      </c>
      <c r="D4143" s="12"/>
    </row>
    <row r="4144" spans="1:4" x14ac:dyDescent="0.25">
      <c r="A4144" t="str">
        <f>IF(COUNTIF(B$1:B4144,B4144)=1,MAX(A$1:A4143)+1,"")</f>
        <v/>
      </c>
      <c r="B4144" s="11"/>
      <c r="C4144" s="11" t="str">
        <f>IF(COUNTIF(D$1:D4144,D4144)=1,MAX(C$1:C4143)+1,"")</f>
        <v/>
      </c>
      <c r="D4144" s="12"/>
    </row>
    <row r="4145" spans="1:4" x14ac:dyDescent="0.25">
      <c r="A4145" t="str">
        <f>IF(COUNTIF(B$1:B4145,B4145)=1,MAX(A$1:A4144)+1,"")</f>
        <v/>
      </c>
      <c r="B4145" s="11"/>
      <c r="C4145" s="11" t="str">
        <f>IF(COUNTIF(D$1:D4145,D4145)=1,MAX(C$1:C4144)+1,"")</f>
        <v/>
      </c>
      <c r="D4145" s="12"/>
    </row>
    <row r="4146" spans="1:4" x14ac:dyDescent="0.25">
      <c r="A4146" t="str">
        <f>IF(COUNTIF(B$1:B4146,B4146)=1,MAX(A$1:A4145)+1,"")</f>
        <v/>
      </c>
      <c r="B4146" s="11"/>
      <c r="C4146" s="11" t="str">
        <f>IF(COUNTIF(D$1:D4146,D4146)=1,MAX(C$1:C4145)+1,"")</f>
        <v/>
      </c>
      <c r="D4146" s="12"/>
    </row>
    <row r="4147" spans="1:4" x14ac:dyDescent="0.25">
      <c r="A4147" t="str">
        <f>IF(COUNTIF(B$1:B4147,B4147)=1,MAX(A$1:A4146)+1,"")</f>
        <v/>
      </c>
      <c r="B4147" s="11"/>
      <c r="C4147" s="11" t="str">
        <f>IF(COUNTIF(D$1:D4147,D4147)=1,MAX(C$1:C4146)+1,"")</f>
        <v/>
      </c>
      <c r="D4147" s="12"/>
    </row>
    <row r="4148" spans="1:4" x14ac:dyDescent="0.25">
      <c r="A4148" t="str">
        <f>IF(COUNTIF(B$1:B4148,B4148)=1,MAX(A$1:A4147)+1,"")</f>
        <v/>
      </c>
      <c r="B4148" s="11"/>
      <c r="C4148" s="11" t="str">
        <f>IF(COUNTIF(D$1:D4148,D4148)=1,MAX(C$1:C4147)+1,"")</f>
        <v/>
      </c>
      <c r="D4148" s="12"/>
    </row>
    <row r="4149" spans="1:4" x14ac:dyDescent="0.25">
      <c r="A4149" t="str">
        <f>IF(COUNTIF(B$1:B4149,B4149)=1,MAX(A$1:A4148)+1,"")</f>
        <v/>
      </c>
      <c r="B4149" s="11"/>
      <c r="C4149" s="11" t="str">
        <f>IF(COUNTIF(D$1:D4149,D4149)=1,MAX(C$1:C4148)+1,"")</f>
        <v/>
      </c>
      <c r="D4149" s="12"/>
    </row>
    <row r="4150" spans="1:4" x14ac:dyDescent="0.25">
      <c r="A4150" t="str">
        <f>IF(COUNTIF(B$1:B4150,B4150)=1,MAX(A$1:A4149)+1,"")</f>
        <v/>
      </c>
      <c r="B4150" s="11"/>
      <c r="C4150" s="11" t="str">
        <f>IF(COUNTIF(D$1:D4150,D4150)=1,MAX(C$1:C4149)+1,"")</f>
        <v/>
      </c>
      <c r="D4150" s="12"/>
    </row>
    <row r="4151" spans="1:4" x14ac:dyDescent="0.25">
      <c r="A4151" t="str">
        <f>IF(COUNTIF(B$1:B4151,B4151)=1,MAX(A$1:A4150)+1,"")</f>
        <v/>
      </c>
      <c r="B4151" s="11"/>
      <c r="C4151" s="11" t="str">
        <f>IF(COUNTIF(D$1:D4151,D4151)=1,MAX(C$1:C4150)+1,"")</f>
        <v/>
      </c>
      <c r="D4151" s="12"/>
    </row>
    <row r="4152" spans="1:4" x14ac:dyDescent="0.25">
      <c r="A4152" t="str">
        <f>IF(COUNTIF(B$1:B4152,B4152)=1,MAX(A$1:A4151)+1,"")</f>
        <v/>
      </c>
      <c r="B4152" s="11"/>
      <c r="C4152" s="11" t="str">
        <f>IF(COUNTIF(D$1:D4152,D4152)=1,MAX(C$1:C4151)+1,"")</f>
        <v/>
      </c>
      <c r="D4152" s="12"/>
    </row>
    <row r="4153" spans="1:4" x14ac:dyDescent="0.25">
      <c r="A4153" t="str">
        <f>IF(COUNTIF(B$1:B4153,B4153)=1,MAX(A$1:A4152)+1,"")</f>
        <v/>
      </c>
      <c r="B4153" s="11"/>
      <c r="C4153" s="11" t="str">
        <f>IF(COUNTIF(D$1:D4153,D4153)=1,MAX(C$1:C4152)+1,"")</f>
        <v/>
      </c>
      <c r="D4153" s="12"/>
    </row>
    <row r="4154" spans="1:4" x14ac:dyDescent="0.25">
      <c r="A4154" t="str">
        <f>IF(COUNTIF(B$1:B4154,B4154)=1,MAX(A$1:A4153)+1,"")</f>
        <v/>
      </c>
      <c r="B4154" s="11"/>
      <c r="C4154" s="11" t="str">
        <f>IF(COUNTIF(D$1:D4154,D4154)=1,MAX(C$1:C4153)+1,"")</f>
        <v/>
      </c>
      <c r="D4154" s="12"/>
    </row>
    <row r="4155" spans="1:4" x14ac:dyDescent="0.25">
      <c r="A4155" t="str">
        <f>IF(COUNTIF(B$1:B4155,B4155)=1,MAX(A$1:A4154)+1,"")</f>
        <v/>
      </c>
      <c r="B4155" s="11"/>
      <c r="C4155" s="11" t="str">
        <f>IF(COUNTIF(D$1:D4155,D4155)=1,MAX(C$1:C4154)+1,"")</f>
        <v/>
      </c>
      <c r="D4155" s="12"/>
    </row>
    <row r="4156" spans="1:4" x14ac:dyDescent="0.25">
      <c r="A4156" t="str">
        <f>IF(COUNTIF(B$1:B4156,B4156)=1,MAX(A$1:A4155)+1,"")</f>
        <v/>
      </c>
      <c r="B4156" s="11"/>
      <c r="C4156" s="11" t="str">
        <f>IF(COUNTIF(D$1:D4156,D4156)=1,MAX(C$1:C4155)+1,"")</f>
        <v/>
      </c>
      <c r="D4156" s="12"/>
    </row>
    <row r="4157" spans="1:4" x14ac:dyDescent="0.25">
      <c r="A4157" t="str">
        <f>IF(COUNTIF(B$1:B4157,B4157)=1,MAX(A$1:A4156)+1,"")</f>
        <v/>
      </c>
      <c r="B4157" s="11"/>
      <c r="C4157" s="11" t="str">
        <f>IF(COUNTIF(D$1:D4157,D4157)=1,MAX(C$1:C4156)+1,"")</f>
        <v/>
      </c>
      <c r="D4157" s="12"/>
    </row>
    <row r="4158" spans="1:4" x14ac:dyDescent="0.25">
      <c r="A4158" t="str">
        <f>IF(COUNTIF(B$1:B4158,B4158)=1,MAX(A$1:A4157)+1,"")</f>
        <v/>
      </c>
      <c r="B4158" s="11"/>
      <c r="C4158" s="11" t="str">
        <f>IF(COUNTIF(D$1:D4158,D4158)=1,MAX(C$1:C4157)+1,"")</f>
        <v/>
      </c>
      <c r="D4158" s="12"/>
    </row>
    <row r="4159" spans="1:4" x14ac:dyDescent="0.25">
      <c r="A4159" t="str">
        <f>IF(COUNTIF(B$1:B4159,B4159)=1,MAX(A$1:A4158)+1,"")</f>
        <v/>
      </c>
      <c r="B4159" s="11"/>
      <c r="C4159" s="11" t="str">
        <f>IF(COUNTIF(D$1:D4159,D4159)=1,MAX(C$1:C4158)+1,"")</f>
        <v/>
      </c>
      <c r="D4159" s="12"/>
    </row>
    <row r="4160" spans="1:4" x14ac:dyDescent="0.25">
      <c r="A4160" t="str">
        <f>IF(COUNTIF(B$1:B4160,B4160)=1,MAX(A$1:A4159)+1,"")</f>
        <v/>
      </c>
      <c r="B4160" s="11"/>
      <c r="C4160" s="11" t="str">
        <f>IF(COUNTIF(D$1:D4160,D4160)=1,MAX(C$1:C4159)+1,"")</f>
        <v/>
      </c>
      <c r="D4160" s="12"/>
    </row>
    <row r="4161" spans="1:4" x14ac:dyDescent="0.25">
      <c r="A4161" t="str">
        <f>IF(COUNTIF(B$1:B4161,B4161)=1,MAX(A$1:A4160)+1,"")</f>
        <v/>
      </c>
      <c r="B4161" s="11"/>
      <c r="C4161" s="11" t="str">
        <f>IF(COUNTIF(D$1:D4161,D4161)=1,MAX(C$1:C4160)+1,"")</f>
        <v/>
      </c>
      <c r="D4161" s="12"/>
    </row>
    <row r="4162" spans="1:4" x14ac:dyDescent="0.25">
      <c r="A4162" t="str">
        <f>IF(COUNTIF(B$1:B4162,B4162)=1,MAX(A$1:A4161)+1,"")</f>
        <v/>
      </c>
      <c r="B4162" s="11"/>
      <c r="C4162" s="11" t="str">
        <f>IF(COUNTIF(D$1:D4162,D4162)=1,MAX(C$1:C4161)+1,"")</f>
        <v/>
      </c>
      <c r="D4162" s="12"/>
    </row>
    <row r="4163" spans="1:4" x14ac:dyDescent="0.25">
      <c r="A4163" t="str">
        <f>IF(COUNTIF(B$1:B4163,B4163)=1,MAX(A$1:A4162)+1,"")</f>
        <v/>
      </c>
      <c r="B4163" s="11"/>
      <c r="C4163" s="11" t="str">
        <f>IF(COUNTIF(D$1:D4163,D4163)=1,MAX(C$1:C4162)+1,"")</f>
        <v/>
      </c>
      <c r="D4163" s="12"/>
    </row>
    <row r="4164" spans="1:4" x14ac:dyDescent="0.25">
      <c r="A4164" t="str">
        <f>IF(COUNTIF(B$1:B4164,B4164)=1,MAX(A$1:A4163)+1,"")</f>
        <v/>
      </c>
      <c r="B4164" s="11"/>
      <c r="C4164" s="11" t="str">
        <f>IF(COUNTIF(D$1:D4164,D4164)=1,MAX(C$1:C4163)+1,"")</f>
        <v/>
      </c>
      <c r="D4164" s="12"/>
    </row>
    <row r="4165" spans="1:4" x14ac:dyDescent="0.25">
      <c r="A4165" t="str">
        <f>IF(COUNTIF(B$1:B4165,B4165)=1,MAX(A$1:A4164)+1,"")</f>
        <v/>
      </c>
      <c r="B4165" s="11"/>
      <c r="C4165" s="11" t="str">
        <f>IF(COUNTIF(D$1:D4165,D4165)=1,MAX(C$1:C4164)+1,"")</f>
        <v/>
      </c>
      <c r="D4165" s="12"/>
    </row>
    <row r="4166" spans="1:4" x14ac:dyDescent="0.25">
      <c r="A4166" t="str">
        <f>IF(COUNTIF(B$1:B4166,B4166)=1,MAX(A$1:A4165)+1,"")</f>
        <v/>
      </c>
      <c r="B4166" s="11"/>
      <c r="C4166" s="11" t="str">
        <f>IF(COUNTIF(D$1:D4166,D4166)=1,MAX(C$1:C4165)+1,"")</f>
        <v/>
      </c>
      <c r="D4166" s="12"/>
    </row>
    <row r="4167" spans="1:4" x14ac:dyDescent="0.25">
      <c r="A4167" t="str">
        <f>IF(COUNTIF(B$1:B4167,B4167)=1,MAX(A$1:A4166)+1,"")</f>
        <v/>
      </c>
      <c r="B4167" s="11"/>
      <c r="C4167" s="11" t="str">
        <f>IF(COUNTIF(D$1:D4167,D4167)=1,MAX(C$1:C4166)+1,"")</f>
        <v/>
      </c>
      <c r="D4167" s="12"/>
    </row>
    <row r="4168" spans="1:4" x14ac:dyDescent="0.25">
      <c r="A4168" t="str">
        <f>IF(COUNTIF(B$1:B4168,B4168)=1,MAX(A$1:A4167)+1,"")</f>
        <v/>
      </c>
      <c r="B4168" s="11"/>
      <c r="C4168" s="11" t="str">
        <f>IF(COUNTIF(D$1:D4168,D4168)=1,MAX(C$1:C4167)+1,"")</f>
        <v/>
      </c>
      <c r="D4168" s="12"/>
    </row>
    <row r="4169" spans="1:4" x14ac:dyDescent="0.25">
      <c r="A4169" t="str">
        <f>IF(COUNTIF(B$1:B4169,B4169)=1,MAX(A$1:A4168)+1,"")</f>
        <v/>
      </c>
      <c r="B4169" s="11"/>
      <c r="C4169" s="11" t="str">
        <f>IF(COUNTIF(D$1:D4169,D4169)=1,MAX(C$1:C4168)+1,"")</f>
        <v/>
      </c>
      <c r="D4169" s="12"/>
    </row>
    <row r="4170" spans="1:4" x14ac:dyDescent="0.25">
      <c r="A4170" t="str">
        <f>IF(COUNTIF(B$1:B4170,B4170)=1,MAX(A$1:A4169)+1,"")</f>
        <v/>
      </c>
      <c r="B4170" s="11"/>
      <c r="C4170" s="11" t="str">
        <f>IF(COUNTIF(D$1:D4170,D4170)=1,MAX(C$1:C4169)+1,"")</f>
        <v/>
      </c>
      <c r="D4170" s="12"/>
    </row>
    <row r="4171" spans="1:4" x14ac:dyDescent="0.25">
      <c r="A4171" t="str">
        <f>IF(COUNTIF(B$1:B4171,B4171)=1,MAX(A$1:A4170)+1,"")</f>
        <v/>
      </c>
      <c r="B4171" s="11"/>
      <c r="C4171" s="11" t="str">
        <f>IF(COUNTIF(D$1:D4171,D4171)=1,MAX(C$1:C4170)+1,"")</f>
        <v/>
      </c>
      <c r="D4171" s="12"/>
    </row>
    <row r="4172" spans="1:4" x14ac:dyDescent="0.25">
      <c r="A4172" t="str">
        <f>IF(COUNTIF(B$1:B4172,B4172)=1,MAX(A$1:A4171)+1,"")</f>
        <v/>
      </c>
      <c r="B4172" s="11"/>
      <c r="C4172" s="11" t="str">
        <f>IF(COUNTIF(D$1:D4172,D4172)=1,MAX(C$1:C4171)+1,"")</f>
        <v/>
      </c>
      <c r="D4172" s="12"/>
    </row>
    <row r="4173" spans="1:4" x14ac:dyDescent="0.25">
      <c r="A4173" t="str">
        <f>IF(COUNTIF(B$1:B4173,B4173)=1,MAX(A$1:A4172)+1,"")</f>
        <v/>
      </c>
      <c r="B4173" s="11"/>
      <c r="C4173" s="11" t="str">
        <f>IF(COUNTIF(D$1:D4173,D4173)=1,MAX(C$1:C4172)+1,"")</f>
        <v/>
      </c>
      <c r="D4173" s="12"/>
    </row>
    <row r="4174" spans="1:4" x14ac:dyDescent="0.25">
      <c r="A4174" t="str">
        <f>IF(COUNTIF(B$1:B4174,B4174)=1,MAX(A$1:A4173)+1,"")</f>
        <v/>
      </c>
      <c r="B4174" s="11"/>
      <c r="C4174" s="11" t="str">
        <f>IF(COUNTIF(D$1:D4174,D4174)=1,MAX(C$1:C4173)+1,"")</f>
        <v/>
      </c>
      <c r="D4174" s="12"/>
    </row>
    <row r="4175" spans="1:4" x14ac:dyDescent="0.25">
      <c r="A4175" t="str">
        <f>IF(COUNTIF(B$1:B4175,B4175)=1,MAX(A$1:A4174)+1,"")</f>
        <v/>
      </c>
      <c r="B4175" s="11"/>
      <c r="C4175" s="11" t="str">
        <f>IF(COUNTIF(D$1:D4175,D4175)=1,MAX(C$1:C4174)+1,"")</f>
        <v/>
      </c>
      <c r="D4175" s="12"/>
    </row>
    <row r="4176" spans="1:4" x14ac:dyDescent="0.25">
      <c r="A4176" t="str">
        <f>IF(COUNTIF(B$1:B4176,B4176)=1,MAX(A$1:A4175)+1,"")</f>
        <v/>
      </c>
      <c r="B4176" s="11"/>
      <c r="C4176" s="11" t="str">
        <f>IF(COUNTIF(D$1:D4176,D4176)=1,MAX(C$1:C4175)+1,"")</f>
        <v/>
      </c>
      <c r="D4176" s="12"/>
    </row>
    <row r="4177" spans="1:4" x14ac:dyDescent="0.25">
      <c r="A4177" t="str">
        <f>IF(COUNTIF(B$1:B4177,B4177)=1,MAX(A$1:A4176)+1,"")</f>
        <v/>
      </c>
      <c r="B4177" s="11"/>
      <c r="C4177" s="11" t="str">
        <f>IF(COUNTIF(D$1:D4177,D4177)=1,MAX(C$1:C4176)+1,"")</f>
        <v/>
      </c>
      <c r="D4177" s="12"/>
    </row>
    <row r="4178" spans="1:4" x14ac:dyDescent="0.25">
      <c r="A4178" t="str">
        <f>IF(COUNTIF(B$1:B4178,B4178)=1,MAX(A$1:A4177)+1,"")</f>
        <v/>
      </c>
      <c r="B4178" s="11"/>
      <c r="C4178" s="11" t="str">
        <f>IF(COUNTIF(D$1:D4178,D4178)=1,MAX(C$1:C4177)+1,"")</f>
        <v/>
      </c>
      <c r="D4178" s="12"/>
    </row>
    <row r="4179" spans="1:4" x14ac:dyDescent="0.25">
      <c r="A4179" t="str">
        <f>IF(COUNTIF(B$1:B4179,B4179)=1,MAX(A$1:A4178)+1,"")</f>
        <v/>
      </c>
      <c r="B4179" s="11"/>
      <c r="C4179" s="11" t="str">
        <f>IF(COUNTIF(D$1:D4179,D4179)=1,MAX(C$1:C4178)+1,"")</f>
        <v/>
      </c>
      <c r="D4179" s="12"/>
    </row>
    <row r="4180" spans="1:4" x14ac:dyDescent="0.25">
      <c r="A4180" t="str">
        <f>IF(COUNTIF(B$1:B4180,B4180)=1,MAX(A$1:A4179)+1,"")</f>
        <v/>
      </c>
      <c r="B4180" s="11"/>
      <c r="C4180" s="11" t="str">
        <f>IF(COUNTIF(D$1:D4180,D4180)=1,MAX(C$1:C4179)+1,"")</f>
        <v/>
      </c>
      <c r="D4180" s="12"/>
    </row>
    <row r="4181" spans="1:4" x14ac:dyDescent="0.25">
      <c r="A4181" t="str">
        <f>IF(COUNTIF(B$1:B4181,B4181)=1,MAX(A$1:A4180)+1,"")</f>
        <v/>
      </c>
      <c r="B4181" s="11"/>
      <c r="C4181" s="11" t="str">
        <f>IF(COUNTIF(D$1:D4181,D4181)=1,MAX(C$1:C4180)+1,"")</f>
        <v/>
      </c>
      <c r="D4181" s="12"/>
    </row>
    <row r="4182" spans="1:4" x14ac:dyDescent="0.25">
      <c r="A4182" t="str">
        <f>IF(COUNTIF(B$1:B4182,B4182)=1,MAX(A$1:A4181)+1,"")</f>
        <v/>
      </c>
      <c r="B4182" s="11"/>
      <c r="C4182" s="11" t="str">
        <f>IF(COUNTIF(D$1:D4182,D4182)=1,MAX(C$1:C4181)+1,"")</f>
        <v/>
      </c>
      <c r="D4182" s="12"/>
    </row>
    <row r="4183" spans="1:4" x14ac:dyDescent="0.25">
      <c r="A4183" t="str">
        <f>IF(COUNTIF(B$1:B4183,B4183)=1,MAX(A$1:A4182)+1,"")</f>
        <v/>
      </c>
      <c r="B4183" s="11"/>
      <c r="C4183" s="11" t="str">
        <f>IF(COUNTIF(D$1:D4183,D4183)=1,MAX(C$1:C4182)+1,"")</f>
        <v/>
      </c>
      <c r="D4183" s="12"/>
    </row>
    <row r="4184" spans="1:4" x14ac:dyDescent="0.25">
      <c r="A4184" t="str">
        <f>IF(COUNTIF(B$1:B4184,B4184)=1,MAX(A$1:A4183)+1,"")</f>
        <v/>
      </c>
      <c r="B4184" s="11"/>
      <c r="C4184" s="11" t="str">
        <f>IF(COUNTIF(D$1:D4184,D4184)=1,MAX(C$1:C4183)+1,"")</f>
        <v/>
      </c>
      <c r="D4184" s="12"/>
    </row>
    <row r="4185" spans="1:4" x14ac:dyDescent="0.25">
      <c r="A4185" t="str">
        <f>IF(COUNTIF(B$1:B4185,B4185)=1,MAX(A$1:A4184)+1,"")</f>
        <v/>
      </c>
      <c r="B4185" s="11"/>
      <c r="C4185" s="11" t="str">
        <f>IF(COUNTIF(D$1:D4185,D4185)=1,MAX(C$1:C4184)+1,"")</f>
        <v/>
      </c>
      <c r="D4185" s="12"/>
    </row>
    <row r="4186" spans="1:4" x14ac:dyDescent="0.25">
      <c r="A4186" t="str">
        <f>IF(COUNTIF(B$1:B4186,B4186)=1,MAX(A$1:A4185)+1,"")</f>
        <v/>
      </c>
      <c r="B4186" s="11"/>
      <c r="C4186" s="11" t="str">
        <f>IF(COUNTIF(D$1:D4186,D4186)=1,MAX(C$1:C4185)+1,"")</f>
        <v/>
      </c>
      <c r="D4186" s="12"/>
    </row>
    <row r="4187" spans="1:4" x14ac:dyDescent="0.25">
      <c r="A4187" t="str">
        <f>IF(COUNTIF(B$1:B4187,B4187)=1,MAX(A$1:A4186)+1,"")</f>
        <v/>
      </c>
      <c r="B4187" s="11"/>
      <c r="C4187" s="11" t="str">
        <f>IF(COUNTIF(D$1:D4187,D4187)=1,MAX(C$1:C4186)+1,"")</f>
        <v/>
      </c>
      <c r="D4187" s="12"/>
    </row>
    <row r="4188" spans="1:4" x14ac:dyDescent="0.25">
      <c r="A4188" t="str">
        <f>IF(COUNTIF(B$1:B4188,B4188)=1,MAX(A$1:A4187)+1,"")</f>
        <v/>
      </c>
      <c r="B4188" s="11"/>
      <c r="C4188" s="11" t="str">
        <f>IF(COUNTIF(D$1:D4188,D4188)=1,MAX(C$1:C4187)+1,"")</f>
        <v/>
      </c>
      <c r="D4188" s="12"/>
    </row>
    <row r="4189" spans="1:4" x14ac:dyDescent="0.25">
      <c r="A4189" t="str">
        <f>IF(COUNTIF(B$1:B4189,B4189)=1,MAX(A$1:A4188)+1,"")</f>
        <v/>
      </c>
      <c r="B4189" s="11"/>
      <c r="C4189" s="11" t="str">
        <f>IF(COUNTIF(D$1:D4189,D4189)=1,MAX(C$1:C4188)+1,"")</f>
        <v/>
      </c>
      <c r="D4189" s="12"/>
    </row>
    <row r="4190" spans="1:4" x14ac:dyDescent="0.25">
      <c r="A4190" t="str">
        <f>IF(COUNTIF(B$1:B4190,B4190)=1,MAX(A$1:A4189)+1,"")</f>
        <v/>
      </c>
      <c r="B4190" s="11"/>
      <c r="C4190" s="11" t="str">
        <f>IF(COUNTIF(D$1:D4190,D4190)=1,MAX(C$1:C4189)+1,"")</f>
        <v/>
      </c>
      <c r="D4190" s="12"/>
    </row>
    <row r="4191" spans="1:4" x14ac:dyDescent="0.25">
      <c r="A4191" t="str">
        <f>IF(COUNTIF(B$1:B4191,B4191)=1,MAX(A$1:A4190)+1,"")</f>
        <v/>
      </c>
      <c r="B4191" s="11"/>
      <c r="C4191" s="11" t="str">
        <f>IF(COUNTIF(D$1:D4191,D4191)=1,MAX(C$1:C4190)+1,"")</f>
        <v/>
      </c>
      <c r="D4191" s="12"/>
    </row>
    <row r="4192" spans="1:4" x14ac:dyDescent="0.25">
      <c r="A4192" t="str">
        <f>IF(COUNTIF(B$1:B4192,B4192)=1,MAX(A$1:A4191)+1,"")</f>
        <v/>
      </c>
      <c r="B4192" s="11"/>
      <c r="C4192" s="11" t="str">
        <f>IF(COUNTIF(D$1:D4192,D4192)=1,MAX(C$1:C4191)+1,"")</f>
        <v/>
      </c>
      <c r="D4192" s="12"/>
    </row>
    <row r="4193" spans="1:4" x14ac:dyDescent="0.25">
      <c r="A4193" t="str">
        <f>IF(COUNTIF(B$1:B4193,B4193)=1,MAX(A$1:A4192)+1,"")</f>
        <v/>
      </c>
      <c r="B4193" s="11"/>
      <c r="C4193" s="11" t="str">
        <f>IF(COUNTIF(D$1:D4193,D4193)=1,MAX(C$1:C4192)+1,"")</f>
        <v/>
      </c>
      <c r="D4193" s="12"/>
    </row>
    <row r="4194" spans="1:4" x14ac:dyDescent="0.25">
      <c r="A4194" t="str">
        <f>IF(COUNTIF(B$1:B4194,B4194)=1,MAX(A$1:A4193)+1,"")</f>
        <v/>
      </c>
      <c r="B4194" s="11"/>
      <c r="C4194" s="11" t="str">
        <f>IF(COUNTIF(D$1:D4194,D4194)=1,MAX(C$1:C4193)+1,"")</f>
        <v/>
      </c>
      <c r="D4194" s="12"/>
    </row>
    <row r="4195" spans="1:4" x14ac:dyDescent="0.25">
      <c r="A4195" t="str">
        <f>IF(COUNTIF(B$1:B4195,B4195)=1,MAX(A$1:A4194)+1,"")</f>
        <v/>
      </c>
      <c r="B4195" s="11"/>
      <c r="C4195" s="11" t="str">
        <f>IF(COUNTIF(D$1:D4195,D4195)=1,MAX(C$1:C4194)+1,"")</f>
        <v/>
      </c>
      <c r="D4195" s="12"/>
    </row>
    <row r="4196" spans="1:4" x14ac:dyDescent="0.25">
      <c r="A4196" t="str">
        <f>IF(COUNTIF(B$1:B4196,B4196)=1,MAX(A$1:A4195)+1,"")</f>
        <v/>
      </c>
      <c r="B4196" s="11"/>
      <c r="C4196" s="11" t="str">
        <f>IF(COUNTIF(D$1:D4196,D4196)=1,MAX(C$1:C4195)+1,"")</f>
        <v/>
      </c>
      <c r="D4196" s="12"/>
    </row>
    <row r="4197" spans="1:4" x14ac:dyDescent="0.25">
      <c r="A4197" t="str">
        <f>IF(COUNTIF(B$1:B4197,B4197)=1,MAX(A$1:A4196)+1,"")</f>
        <v/>
      </c>
      <c r="B4197" s="11"/>
      <c r="C4197" s="11" t="str">
        <f>IF(COUNTIF(D$1:D4197,D4197)=1,MAX(C$1:C4196)+1,"")</f>
        <v/>
      </c>
      <c r="D4197" s="12"/>
    </row>
    <row r="4198" spans="1:4" x14ac:dyDescent="0.25">
      <c r="A4198" t="str">
        <f>IF(COUNTIF(B$1:B4198,B4198)=1,MAX(A$1:A4197)+1,"")</f>
        <v/>
      </c>
      <c r="B4198" s="11"/>
      <c r="C4198" s="11" t="str">
        <f>IF(COUNTIF(D$1:D4198,D4198)=1,MAX(C$1:C4197)+1,"")</f>
        <v/>
      </c>
      <c r="D4198" s="12"/>
    </row>
    <row r="4199" spans="1:4" x14ac:dyDescent="0.25">
      <c r="A4199" t="str">
        <f>IF(COUNTIF(B$1:B4199,B4199)=1,MAX(A$1:A4198)+1,"")</f>
        <v/>
      </c>
      <c r="B4199" s="11"/>
      <c r="C4199" s="11" t="str">
        <f>IF(COUNTIF(D$1:D4199,D4199)=1,MAX(C$1:C4198)+1,"")</f>
        <v/>
      </c>
      <c r="D4199" s="12"/>
    </row>
    <row r="4200" spans="1:4" x14ac:dyDescent="0.25">
      <c r="A4200" t="str">
        <f>IF(COUNTIF(B$1:B4200,B4200)=1,MAX(A$1:A4199)+1,"")</f>
        <v/>
      </c>
      <c r="B4200" s="11"/>
      <c r="C4200" s="11" t="str">
        <f>IF(COUNTIF(D$1:D4200,D4200)=1,MAX(C$1:C4199)+1,"")</f>
        <v/>
      </c>
      <c r="D4200" s="12"/>
    </row>
    <row r="4201" spans="1:4" x14ac:dyDescent="0.25">
      <c r="A4201" t="str">
        <f>IF(COUNTIF(B$1:B4201,B4201)=1,MAX(A$1:A4200)+1,"")</f>
        <v/>
      </c>
      <c r="B4201" s="11"/>
      <c r="C4201" s="11" t="str">
        <f>IF(COUNTIF(D$1:D4201,D4201)=1,MAX(C$1:C4200)+1,"")</f>
        <v/>
      </c>
      <c r="D4201" s="12"/>
    </row>
    <row r="4202" spans="1:4" x14ac:dyDescent="0.25">
      <c r="A4202" t="str">
        <f>IF(COUNTIF(B$1:B4202,B4202)=1,MAX(A$1:A4201)+1,"")</f>
        <v/>
      </c>
      <c r="B4202" s="11"/>
      <c r="C4202" s="11" t="str">
        <f>IF(COUNTIF(D$1:D4202,D4202)=1,MAX(C$1:C4201)+1,"")</f>
        <v/>
      </c>
      <c r="D4202" s="12"/>
    </row>
    <row r="4203" spans="1:4" x14ac:dyDescent="0.25">
      <c r="A4203" t="str">
        <f>IF(COUNTIF(B$1:B4203,B4203)=1,MAX(A$1:A4202)+1,"")</f>
        <v/>
      </c>
      <c r="B4203" s="11"/>
      <c r="C4203" s="11" t="str">
        <f>IF(COUNTIF(D$1:D4203,D4203)=1,MAX(C$1:C4202)+1,"")</f>
        <v/>
      </c>
      <c r="D4203" s="12"/>
    </row>
    <row r="4204" spans="1:4" x14ac:dyDescent="0.25">
      <c r="A4204" t="str">
        <f>IF(COUNTIF(B$1:B4204,B4204)=1,MAX(A$1:A4203)+1,"")</f>
        <v/>
      </c>
      <c r="B4204" s="11"/>
      <c r="C4204" s="11" t="str">
        <f>IF(COUNTIF(D$1:D4204,D4204)=1,MAX(C$1:C4203)+1,"")</f>
        <v/>
      </c>
      <c r="D4204" s="12"/>
    </row>
    <row r="4205" spans="1:4" x14ac:dyDescent="0.25">
      <c r="A4205" t="str">
        <f>IF(COUNTIF(B$1:B4205,B4205)=1,MAX(A$1:A4204)+1,"")</f>
        <v/>
      </c>
      <c r="B4205" s="11"/>
      <c r="C4205" s="11" t="str">
        <f>IF(COUNTIF(D$1:D4205,D4205)=1,MAX(C$1:C4204)+1,"")</f>
        <v/>
      </c>
      <c r="D4205" s="12"/>
    </row>
    <row r="4206" spans="1:4" x14ac:dyDescent="0.25">
      <c r="A4206" t="str">
        <f>IF(COUNTIF(B$1:B4206,B4206)=1,MAX(A$1:A4205)+1,"")</f>
        <v/>
      </c>
      <c r="B4206" s="11"/>
      <c r="C4206" s="11" t="str">
        <f>IF(COUNTIF(D$1:D4206,D4206)=1,MAX(C$1:C4205)+1,"")</f>
        <v/>
      </c>
      <c r="D4206" s="12"/>
    </row>
    <row r="4207" spans="1:4" x14ac:dyDescent="0.25">
      <c r="A4207" t="str">
        <f>IF(COUNTIF(B$1:B4207,B4207)=1,MAX(A$1:A4206)+1,"")</f>
        <v/>
      </c>
      <c r="B4207" s="11"/>
      <c r="C4207" s="11" t="str">
        <f>IF(COUNTIF(D$1:D4207,D4207)=1,MAX(C$1:C4206)+1,"")</f>
        <v/>
      </c>
      <c r="D4207" s="12"/>
    </row>
    <row r="4208" spans="1:4" x14ac:dyDescent="0.25">
      <c r="A4208" t="str">
        <f>IF(COUNTIF(B$1:B4208,B4208)=1,MAX(A$1:A4207)+1,"")</f>
        <v/>
      </c>
      <c r="B4208" s="11"/>
      <c r="C4208" s="11" t="str">
        <f>IF(COUNTIF(D$1:D4208,D4208)=1,MAX(C$1:C4207)+1,"")</f>
        <v/>
      </c>
      <c r="D4208" s="12"/>
    </row>
    <row r="4209" spans="1:4" x14ac:dyDescent="0.25">
      <c r="A4209" t="str">
        <f>IF(COUNTIF(B$1:B4209,B4209)=1,MAX(A$1:A4208)+1,"")</f>
        <v/>
      </c>
      <c r="B4209" s="11"/>
      <c r="C4209" s="11" t="str">
        <f>IF(COUNTIF(D$1:D4209,D4209)=1,MAX(C$1:C4208)+1,"")</f>
        <v/>
      </c>
      <c r="D4209" s="12"/>
    </row>
    <row r="4210" spans="1:4" x14ac:dyDescent="0.25">
      <c r="A4210" t="str">
        <f>IF(COUNTIF(B$1:B4210,B4210)=1,MAX(A$1:A4209)+1,"")</f>
        <v/>
      </c>
      <c r="B4210" s="11"/>
      <c r="C4210" s="11" t="str">
        <f>IF(COUNTIF(D$1:D4210,D4210)=1,MAX(C$1:C4209)+1,"")</f>
        <v/>
      </c>
      <c r="D4210" s="12"/>
    </row>
    <row r="4211" spans="1:4" x14ac:dyDescent="0.25">
      <c r="A4211" t="str">
        <f>IF(COUNTIF(B$1:B4211,B4211)=1,MAX(A$1:A4210)+1,"")</f>
        <v/>
      </c>
      <c r="B4211" s="11"/>
      <c r="C4211" s="11" t="str">
        <f>IF(COUNTIF(D$1:D4211,D4211)=1,MAX(C$1:C4210)+1,"")</f>
        <v/>
      </c>
      <c r="D4211" s="12"/>
    </row>
    <row r="4212" spans="1:4" x14ac:dyDescent="0.25">
      <c r="A4212" t="str">
        <f>IF(COUNTIF(B$1:B4212,B4212)=1,MAX(A$1:A4211)+1,"")</f>
        <v/>
      </c>
      <c r="B4212" s="11"/>
      <c r="C4212" s="11" t="str">
        <f>IF(COUNTIF(D$1:D4212,D4212)=1,MAX(C$1:C4211)+1,"")</f>
        <v/>
      </c>
      <c r="D4212" s="12"/>
    </row>
    <row r="4213" spans="1:4" x14ac:dyDescent="0.25">
      <c r="A4213" t="str">
        <f>IF(COUNTIF(B$1:B4213,B4213)=1,MAX(A$1:A4212)+1,"")</f>
        <v/>
      </c>
      <c r="B4213" s="11"/>
      <c r="C4213" s="11" t="str">
        <f>IF(COUNTIF(D$1:D4213,D4213)=1,MAX(C$1:C4212)+1,"")</f>
        <v/>
      </c>
      <c r="D4213" s="12"/>
    </row>
    <row r="4214" spans="1:4" x14ac:dyDescent="0.25">
      <c r="A4214" t="str">
        <f>IF(COUNTIF(B$1:B4214,B4214)=1,MAX(A$1:A4213)+1,"")</f>
        <v/>
      </c>
      <c r="B4214" s="11"/>
      <c r="C4214" s="11" t="str">
        <f>IF(COUNTIF(D$1:D4214,D4214)=1,MAX(C$1:C4213)+1,"")</f>
        <v/>
      </c>
      <c r="D4214" s="12"/>
    </row>
    <row r="4215" spans="1:4" x14ac:dyDescent="0.25">
      <c r="A4215" t="str">
        <f>IF(COUNTIF(B$1:B4215,B4215)=1,MAX(A$1:A4214)+1,"")</f>
        <v/>
      </c>
      <c r="B4215" s="11"/>
      <c r="C4215" s="11" t="str">
        <f>IF(COUNTIF(D$1:D4215,D4215)=1,MAX(C$1:C4214)+1,"")</f>
        <v/>
      </c>
      <c r="D4215" s="12"/>
    </row>
    <row r="4216" spans="1:4" x14ac:dyDescent="0.25">
      <c r="A4216" t="str">
        <f>IF(COUNTIF(B$1:B4216,B4216)=1,MAX(A$1:A4215)+1,"")</f>
        <v/>
      </c>
      <c r="B4216" s="11"/>
      <c r="C4216" s="11" t="str">
        <f>IF(COUNTIF(D$1:D4216,D4216)=1,MAX(C$1:C4215)+1,"")</f>
        <v/>
      </c>
      <c r="D4216" s="12"/>
    </row>
    <row r="4217" spans="1:4" x14ac:dyDescent="0.25">
      <c r="A4217" t="str">
        <f>IF(COUNTIF(B$1:B4217,B4217)=1,MAX(A$1:A4216)+1,"")</f>
        <v/>
      </c>
      <c r="B4217" s="11"/>
      <c r="C4217" s="11" t="str">
        <f>IF(COUNTIF(D$1:D4217,D4217)=1,MAX(C$1:C4216)+1,"")</f>
        <v/>
      </c>
      <c r="D4217" s="12"/>
    </row>
    <row r="4218" spans="1:4" x14ac:dyDescent="0.25">
      <c r="A4218" t="str">
        <f>IF(COUNTIF(B$1:B4218,B4218)=1,MAX(A$1:A4217)+1,"")</f>
        <v/>
      </c>
      <c r="B4218" s="11"/>
      <c r="C4218" s="11" t="str">
        <f>IF(COUNTIF(D$1:D4218,D4218)=1,MAX(C$1:C4217)+1,"")</f>
        <v/>
      </c>
      <c r="D4218" s="12"/>
    </row>
    <row r="4219" spans="1:4" x14ac:dyDescent="0.25">
      <c r="A4219" t="str">
        <f>IF(COUNTIF(B$1:B4219,B4219)=1,MAX(A$1:A4218)+1,"")</f>
        <v/>
      </c>
      <c r="B4219" s="11"/>
      <c r="C4219" s="11" t="str">
        <f>IF(COUNTIF(D$1:D4219,D4219)=1,MAX(C$1:C4218)+1,"")</f>
        <v/>
      </c>
      <c r="D4219" s="12"/>
    </row>
    <row r="4220" spans="1:4" x14ac:dyDescent="0.25">
      <c r="A4220" t="str">
        <f>IF(COUNTIF(B$1:B4220,B4220)=1,MAX(A$1:A4219)+1,"")</f>
        <v/>
      </c>
      <c r="B4220" s="11"/>
      <c r="C4220" s="11" t="str">
        <f>IF(COUNTIF(D$1:D4220,D4220)=1,MAX(C$1:C4219)+1,"")</f>
        <v/>
      </c>
      <c r="D4220" s="12"/>
    </row>
    <row r="4221" spans="1:4" x14ac:dyDescent="0.25">
      <c r="A4221" t="str">
        <f>IF(COUNTIF(B$1:B4221,B4221)=1,MAX(A$1:A4220)+1,"")</f>
        <v/>
      </c>
      <c r="B4221" s="11"/>
      <c r="C4221" s="11" t="str">
        <f>IF(COUNTIF(D$1:D4221,D4221)=1,MAX(C$1:C4220)+1,"")</f>
        <v/>
      </c>
      <c r="D4221" s="12"/>
    </row>
    <row r="4222" spans="1:4" x14ac:dyDescent="0.25">
      <c r="A4222" t="str">
        <f>IF(COUNTIF(B$1:B4222,B4222)=1,MAX(A$1:A4221)+1,"")</f>
        <v/>
      </c>
      <c r="B4222" s="11"/>
      <c r="C4222" s="11" t="str">
        <f>IF(COUNTIF(D$1:D4222,D4222)=1,MAX(C$1:C4221)+1,"")</f>
        <v/>
      </c>
      <c r="D4222" s="12"/>
    </row>
    <row r="4223" spans="1:4" x14ac:dyDescent="0.25">
      <c r="A4223" t="str">
        <f>IF(COUNTIF(B$1:B4223,B4223)=1,MAX(A$1:A4222)+1,"")</f>
        <v/>
      </c>
      <c r="B4223" s="11"/>
      <c r="C4223" s="11" t="str">
        <f>IF(COUNTIF(D$1:D4223,D4223)=1,MAX(C$1:C4222)+1,"")</f>
        <v/>
      </c>
      <c r="D4223" s="12"/>
    </row>
    <row r="4224" spans="1:4" x14ac:dyDescent="0.25">
      <c r="A4224" t="str">
        <f>IF(COUNTIF(B$1:B4224,B4224)=1,MAX(A$1:A4223)+1,"")</f>
        <v/>
      </c>
      <c r="B4224" s="11"/>
      <c r="C4224" s="11" t="str">
        <f>IF(COUNTIF(D$1:D4224,D4224)=1,MAX(C$1:C4223)+1,"")</f>
        <v/>
      </c>
      <c r="D4224" s="12"/>
    </row>
    <row r="4225" spans="1:4" x14ac:dyDescent="0.25">
      <c r="A4225" t="str">
        <f>IF(COUNTIF(B$1:B4225,B4225)=1,MAX(A$1:A4224)+1,"")</f>
        <v/>
      </c>
      <c r="B4225" s="11"/>
      <c r="C4225" s="11" t="str">
        <f>IF(COUNTIF(D$1:D4225,D4225)=1,MAX(C$1:C4224)+1,"")</f>
        <v/>
      </c>
      <c r="D4225" s="12"/>
    </row>
    <row r="4226" spans="1:4" x14ac:dyDescent="0.25">
      <c r="A4226" t="str">
        <f>IF(COUNTIF(B$1:B4226,B4226)=1,MAX(A$1:A4225)+1,"")</f>
        <v/>
      </c>
      <c r="B4226" s="11"/>
      <c r="C4226" s="11" t="str">
        <f>IF(COUNTIF(D$1:D4226,D4226)=1,MAX(C$1:C4225)+1,"")</f>
        <v/>
      </c>
      <c r="D4226" s="12"/>
    </row>
    <row r="4227" spans="1:4" x14ac:dyDescent="0.25">
      <c r="A4227" t="str">
        <f>IF(COUNTIF(B$1:B4227,B4227)=1,MAX(A$1:A4226)+1,"")</f>
        <v/>
      </c>
      <c r="B4227" s="11"/>
      <c r="C4227" s="11" t="str">
        <f>IF(COUNTIF(D$1:D4227,D4227)=1,MAX(C$1:C4226)+1,"")</f>
        <v/>
      </c>
      <c r="D4227" s="12"/>
    </row>
    <row r="4228" spans="1:4" x14ac:dyDescent="0.25">
      <c r="A4228" t="str">
        <f>IF(COUNTIF(B$1:B4228,B4228)=1,MAX(A$1:A4227)+1,"")</f>
        <v/>
      </c>
      <c r="B4228" s="11"/>
      <c r="C4228" s="11" t="str">
        <f>IF(COUNTIF(D$1:D4228,D4228)=1,MAX(C$1:C4227)+1,"")</f>
        <v/>
      </c>
      <c r="D4228" s="12"/>
    </row>
    <row r="4229" spans="1:4" x14ac:dyDescent="0.25">
      <c r="A4229" t="str">
        <f>IF(COUNTIF(B$1:B4229,B4229)=1,MAX(A$1:A4228)+1,"")</f>
        <v/>
      </c>
      <c r="B4229" s="11"/>
      <c r="C4229" s="11" t="str">
        <f>IF(COUNTIF(D$1:D4229,D4229)=1,MAX(C$1:C4228)+1,"")</f>
        <v/>
      </c>
      <c r="D4229" s="12"/>
    </row>
    <row r="4230" spans="1:4" x14ac:dyDescent="0.25">
      <c r="A4230" t="str">
        <f>IF(COUNTIF(B$1:B4230,B4230)=1,MAX(A$1:A4229)+1,"")</f>
        <v/>
      </c>
      <c r="B4230" s="11"/>
      <c r="C4230" s="11" t="str">
        <f>IF(COUNTIF(D$1:D4230,D4230)=1,MAX(C$1:C4229)+1,"")</f>
        <v/>
      </c>
      <c r="D4230" s="12"/>
    </row>
    <row r="4231" spans="1:4" x14ac:dyDescent="0.25">
      <c r="A4231" t="str">
        <f>IF(COUNTIF(B$1:B4231,B4231)=1,MAX(A$1:A4230)+1,"")</f>
        <v/>
      </c>
      <c r="B4231" s="11"/>
      <c r="C4231" s="11" t="str">
        <f>IF(COUNTIF(D$1:D4231,D4231)=1,MAX(C$1:C4230)+1,"")</f>
        <v/>
      </c>
      <c r="D4231" s="12"/>
    </row>
    <row r="4232" spans="1:4" x14ac:dyDescent="0.25">
      <c r="A4232" t="str">
        <f>IF(COUNTIF(B$1:B4232,B4232)=1,MAX(A$1:A4231)+1,"")</f>
        <v/>
      </c>
      <c r="B4232" s="11"/>
      <c r="C4232" s="11" t="str">
        <f>IF(COUNTIF(D$1:D4232,D4232)=1,MAX(C$1:C4231)+1,"")</f>
        <v/>
      </c>
      <c r="D4232" s="12"/>
    </row>
    <row r="4233" spans="1:4" x14ac:dyDescent="0.25">
      <c r="A4233" t="str">
        <f>IF(COUNTIF(B$1:B4233,B4233)=1,MAX(A$1:A4232)+1,"")</f>
        <v/>
      </c>
      <c r="B4233" s="11"/>
      <c r="C4233" s="11" t="str">
        <f>IF(COUNTIF(D$1:D4233,D4233)=1,MAX(C$1:C4232)+1,"")</f>
        <v/>
      </c>
      <c r="D4233" s="12"/>
    </row>
    <row r="4234" spans="1:4" x14ac:dyDescent="0.25">
      <c r="A4234" t="str">
        <f>IF(COUNTIF(B$1:B4234,B4234)=1,MAX(A$1:A4233)+1,"")</f>
        <v/>
      </c>
      <c r="B4234" s="11"/>
      <c r="C4234" s="11" t="str">
        <f>IF(COUNTIF(D$1:D4234,D4234)=1,MAX(C$1:C4233)+1,"")</f>
        <v/>
      </c>
      <c r="D4234" s="12"/>
    </row>
    <row r="4235" spans="1:4" x14ac:dyDescent="0.25">
      <c r="A4235" t="str">
        <f>IF(COUNTIF(B$1:B4235,B4235)=1,MAX(A$1:A4234)+1,"")</f>
        <v/>
      </c>
      <c r="B4235" s="11"/>
      <c r="C4235" s="11" t="str">
        <f>IF(COUNTIF(D$1:D4235,D4235)=1,MAX(C$1:C4234)+1,"")</f>
        <v/>
      </c>
      <c r="D4235" s="12"/>
    </row>
    <row r="4236" spans="1:4" x14ac:dyDescent="0.25">
      <c r="A4236" t="str">
        <f>IF(COUNTIF(B$1:B4236,B4236)=1,MAX(A$1:A4235)+1,"")</f>
        <v/>
      </c>
      <c r="B4236" s="11"/>
      <c r="C4236" s="11" t="str">
        <f>IF(COUNTIF(D$1:D4236,D4236)=1,MAX(C$1:C4235)+1,"")</f>
        <v/>
      </c>
      <c r="D4236" s="12"/>
    </row>
    <row r="4237" spans="1:4" x14ac:dyDescent="0.25">
      <c r="A4237" t="str">
        <f>IF(COUNTIF(B$1:B4237,B4237)=1,MAX(A$1:A4236)+1,"")</f>
        <v/>
      </c>
      <c r="B4237" s="11"/>
      <c r="C4237" s="11" t="str">
        <f>IF(COUNTIF(D$1:D4237,D4237)=1,MAX(C$1:C4236)+1,"")</f>
        <v/>
      </c>
      <c r="D4237" s="12"/>
    </row>
    <row r="4238" spans="1:4" x14ac:dyDescent="0.25">
      <c r="A4238" t="str">
        <f>IF(COUNTIF(B$1:B4238,B4238)=1,MAX(A$1:A4237)+1,"")</f>
        <v/>
      </c>
      <c r="B4238" s="11"/>
      <c r="C4238" s="11" t="str">
        <f>IF(COUNTIF(D$1:D4238,D4238)=1,MAX(C$1:C4237)+1,"")</f>
        <v/>
      </c>
      <c r="D4238" s="12"/>
    </row>
    <row r="4239" spans="1:4" x14ac:dyDescent="0.25">
      <c r="A4239" t="str">
        <f>IF(COUNTIF(B$1:B4239,B4239)=1,MAX(A$1:A4238)+1,"")</f>
        <v/>
      </c>
      <c r="B4239" s="11"/>
      <c r="C4239" s="11" t="str">
        <f>IF(COUNTIF(D$1:D4239,D4239)=1,MAX(C$1:C4238)+1,"")</f>
        <v/>
      </c>
      <c r="D4239" s="12"/>
    </row>
    <row r="4240" spans="1:4" x14ac:dyDescent="0.25">
      <c r="A4240" t="str">
        <f>IF(COUNTIF(B$1:B4240,B4240)=1,MAX(A$1:A4239)+1,"")</f>
        <v/>
      </c>
      <c r="B4240" s="11"/>
      <c r="C4240" s="11" t="str">
        <f>IF(COUNTIF(D$1:D4240,D4240)=1,MAX(C$1:C4239)+1,"")</f>
        <v/>
      </c>
      <c r="D4240" s="12"/>
    </row>
    <row r="4241" spans="1:4" x14ac:dyDescent="0.25">
      <c r="A4241" t="str">
        <f>IF(COUNTIF(B$1:B4241,B4241)=1,MAX(A$1:A4240)+1,"")</f>
        <v/>
      </c>
      <c r="B4241" s="11"/>
      <c r="C4241" s="11" t="str">
        <f>IF(COUNTIF(D$1:D4241,D4241)=1,MAX(C$1:C4240)+1,"")</f>
        <v/>
      </c>
      <c r="D4241" s="12"/>
    </row>
    <row r="4242" spans="1:4" x14ac:dyDescent="0.25">
      <c r="A4242" t="str">
        <f>IF(COUNTIF(B$1:B4242,B4242)=1,MAX(A$1:A4241)+1,"")</f>
        <v/>
      </c>
      <c r="B4242" s="11"/>
      <c r="C4242" s="11" t="str">
        <f>IF(COUNTIF(D$1:D4242,D4242)=1,MAX(C$1:C4241)+1,"")</f>
        <v/>
      </c>
      <c r="D4242" s="12"/>
    </row>
    <row r="4243" spans="1:4" x14ac:dyDescent="0.25">
      <c r="A4243" t="str">
        <f>IF(COUNTIF(B$1:B4243,B4243)=1,MAX(A$1:A4242)+1,"")</f>
        <v/>
      </c>
      <c r="B4243" s="11"/>
      <c r="C4243" s="11" t="str">
        <f>IF(COUNTIF(D$1:D4243,D4243)=1,MAX(C$1:C4242)+1,"")</f>
        <v/>
      </c>
      <c r="D4243" s="12"/>
    </row>
    <row r="4244" spans="1:4" x14ac:dyDescent="0.25">
      <c r="A4244" t="str">
        <f>IF(COUNTIF(B$1:B4244,B4244)=1,MAX(A$1:A4243)+1,"")</f>
        <v/>
      </c>
      <c r="B4244" s="11"/>
      <c r="C4244" s="11" t="str">
        <f>IF(COUNTIF(D$1:D4244,D4244)=1,MAX(C$1:C4243)+1,"")</f>
        <v/>
      </c>
      <c r="D4244" s="12"/>
    </row>
    <row r="4245" spans="1:4" x14ac:dyDescent="0.25">
      <c r="A4245" t="str">
        <f>IF(COUNTIF(B$1:B4245,B4245)=1,MAX(A$1:A4244)+1,"")</f>
        <v/>
      </c>
      <c r="B4245" s="11"/>
      <c r="C4245" s="11" t="str">
        <f>IF(COUNTIF(D$1:D4245,D4245)=1,MAX(C$1:C4244)+1,"")</f>
        <v/>
      </c>
      <c r="D4245" s="12"/>
    </row>
    <row r="4246" spans="1:4" x14ac:dyDescent="0.25">
      <c r="A4246" t="str">
        <f>IF(COUNTIF(B$1:B4246,B4246)=1,MAX(A$1:A4245)+1,"")</f>
        <v/>
      </c>
      <c r="B4246" s="11"/>
      <c r="C4246" s="11" t="str">
        <f>IF(COUNTIF(D$1:D4246,D4246)=1,MAX(C$1:C4245)+1,"")</f>
        <v/>
      </c>
      <c r="D4246" s="12"/>
    </row>
    <row r="4247" spans="1:4" x14ac:dyDescent="0.25">
      <c r="A4247" t="str">
        <f>IF(COUNTIF(B$1:B4247,B4247)=1,MAX(A$1:A4246)+1,"")</f>
        <v/>
      </c>
      <c r="B4247" s="11"/>
      <c r="C4247" s="11" t="str">
        <f>IF(COUNTIF(D$1:D4247,D4247)=1,MAX(C$1:C4246)+1,"")</f>
        <v/>
      </c>
      <c r="D4247" s="12"/>
    </row>
    <row r="4248" spans="1:4" x14ac:dyDescent="0.25">
      <c r="A4248" t="str">
        <f>IF(COUNTIF(B$1:B4248,B4248)=1,MAX(A$1:A4247)+1,"")</f>
        <v/>
      </c>
      <c r="B4248" s="11"/>
      <c r="C4248" s="11" t="str">
        <f>IF(COUNTIF(D$1:D4248,D4248)=1,MAX(C$1:C4247)+1,"")</f>
        <v/>
      </c>
      <c r="D4248" s="12"/>
    </row>
    <row r="4249" spans="1:4" x14ac:dyDescent="0.25">
      <c r="A4249" t="str">
        <f>IF(COUNTIF(B$1:B4249,B4249)=1,MAX(A$1:A4248)+1,"")</f>
        <v/>
      </c>
      <c r="B4249" s="11"/>
      <c r="C4249" s="11" t="str">
        <f>IF(COUNTIF(D$1:D4249,D4249)=1,MAX(C$1:C4248)+1,"")</f>
        <v/>
      </c>
      <c r="D4249" s="12"/>
    </row>
    <row r="4250" spans="1:4" x14ac:dyDescent="0.25">
      <c r="A4250" t="str">
        <f>IF(COUNTIF(B$1:B4250,B4250)=1,MAX(A$1:A4249)+1,"")</f>
        <v/>
      </c>
      <c r="B4250" s="11"/>
      <c r="C4250" s="11" t="str">
        <f>IF(COUNTIF(D$1:D4250,D4250)=1,MAX(C$1:C4249)+1,"")</f>
        <v/>
      </c>
      <c r="D4250" s="12"/>
    </row>
    <row r="4251" spans="1:4" x14ac:dyDescent="0.25">
      <c r="A4251" t="str">
        <f>IF(COUNTIF(B$1:B4251,B4251)=1,MAX(A$1:A4250)+1,"")</f>
        <v/>
      </c>
      <c r="B4251" s="11"/>
      <c r="C4251" s="11" t="str">
        <f>IF(COUNTIF(D$1:D4251,D4251)=1,MAX(C$1:C4250)+1,"")</f>
        <v/>
      </c>
      <c r="D4251" s="12"/>
    </row>
    <row r="4252" spans="1:4" x14ac:dyDescent="0.25">
      <c r="A4252" t="str">
        <f>IF(COUNTIF(B$1:B4252,B4252)=1,MAX(A$1:A4251)+1,"")</f>
        <v/>
      </c>
      <c r="B4252" s="11"/>
      <c r="C4252" s="11" t="str">
        <f>IF(COUNTIF(D$1:D4252,D4252)=1,MAX(C$1:C4251)+1,"")</f>
        <v/>
      </c>
      <c r="D4252" s="12"/>
    </row>
    <row r="4253" spans="1:4" x14ac:dyDescent="0.25">
      <c r="A4253" t="str">
        <f>IF(COUNTIF(B$1:B4253,B4253)=1,MAX(A$1:A4252)+1,"")</f>
        <v/>
      </c>
      <c r="B4253" s="11"/>
      <c r="C4253" s="11" t="str">
        <f>IF(COUNTIF(D$1:D4253,D4253)=1,MAX(C$1:C4252)+1,"")</f>
        <v/>
      </c>
      <c r="D4253" s="12"/>
    </row>
    <row r="4254" spans="1:4" x14ac:dyDescent="0.25">
      <c r="A4254" t="str">
        <f>IF(COUNTIF(B$1:B4254,B4254)=1,MAX(A$1:A4253)+1,"")</f>
        <v/>
      </c>
      <c r="B4254" s="11"/>
      <c r="C4254" s="11" t="str">
        <f>IF(COUNTIF(D$1:D4254,D4254)=1,MAX(C$1:C4253)+1,"")</f>
        <v/>
      </c>
      <c r="D4254" s="12"/>
    </row>
    <row r="4255" spans="1:4" x14ac:dyDescent="0.25">
      <c r="A4255" t="str">
        <f>IF(COUNTIF(B$1:B4255,B4255)=1,MAX(A$1:A4254)+1,"")</f>
        <v/>
      </c>
      <c r="B4255" s="11"/>
      <c r="C4255" s="11" t="str">
        <f>IF(COUNTIF(D$1:D4255,D4255)=1,MAX(C$1:C4254)+1,"")</f>
        <v/>
      </c>
      <c r="D4255" s="12"/>
    </row>
    <row r="4256" spans="1:4" x14ac:dyDescent="0.25">
      <c r="A4256" t="str">
        <f>IF(COUNTIF(B$1:B4256,B4256)=1,MAX(A$1:A4255)+1,"")</f>
        <v/>
      </c>
      <c r="B4256" s="11"/>
      <c r="C4256" s="11" t="str">
        <f>IF(COUNTIF(D$1:D4256,D4256)=1,MAX(C$1:C4255)+1,"")</f>
        <v/>
      </c>
      <c r="D4256" s="12"/>
    </row>
    <row r="4257" spans="1:4" x14ac:dyDescent="0.25">
      <c r="A4257" t="str">
        <f>IF(COUNTIF(B$1:B4257,B4257)=1,MAX(A$1:A4256)+1,"")</f>
        <v/>
      </c>
      <c r="B4257" s="11"/>
      <c r="C4257" s="11" t="str">
        <f>IF(COUNTIF(D$1:D4257,D4257)=1,MAX(C$1:C4256)+1,"")</f>
        <v/>
      </c>
      <c r="D4257" s="12"/>
    </row>
    <row r="4258" spans="1:4" x14ac:dyDescent="0.25">
      <c r="A4258" t="str">
        <f>IF(COUNTIF(B$1:B4258,B4258)=1,MAX(A$1:A4257)+1,"")</f>
        <v/>
      </c>
      <c r="B4258" s="11"/>
      <c r="C4258" s="11" t="str">
        <f>IF(COUNTIF(D$1:D4258,D4258)=1,MAX(C$1:C4257)+1,"")</f>
        <v/>
      </c>
      <c r="D4258" s="12"/>
    </row>
    <row r="4259" spans="1:4" x14ac:dyDescent="0.25">
      <c r="A4259" t="str">
        <f>IF(COUNTIF(B$1:B4259,B4259)=1,MAX(A$1:A4258)+1,"")</f>
        <v/>
      </c>
      <c r="B4259" s="11"/>
      <c r="C4259" s="11" t="str">
        <f>IF(COUNTIF(D$1:D4259,D4259)=1,MAX(C$1:C4258)+1,"")</f>
        <v/>
      </c>
      <c r="D4259" s="12"/>
    </row>
    <row r="4260" spans="1:4" x14ac:dyDescent="0.25">
      <c r="A4260" t="str">
        <f>IF(COUNTIF(B$1:B4260,B4260)=1,MAX(A$1:A4259)+1,"")</f>
        <v/>
      </c>
      <c r="B4260" s="11"/>
      <c r="C4260" s="11" t="str">
        <f>IF(COUNTIF(D$1:D4260,D4260)=1,MAX(C$1:C4259)+1,"")</f>
        <v/>
      </c>
      <c r="D4260" s="12"/>
    </row>
    <row r="4261" spans="1:4" x14ac:dyDescent="0.25">
      <c r="A4261" t="str">
        <f>IF(COUNTIF(B$1:B4261,B4261)=1,MAX(A$1:A4260)+1,"")</f>
        <v/>
      </c>
      <c r="B4261" s="11"/>
      <c r="C4261" s="11" t="str">
        <f>IF(COUNTIF(D$1:D4261,D4261)=1,MAX(C$1:C4260)+1,"")</f>
        <v/>
      </c>
      <c r="D4261" s="12"/>
    </row>
    <row r="4262" spans="1:4" x14ac:dyDescent="0.25">
      <c r="A4262" t="str">
        <f>IF(COUNTIF(B$1:B4262,B4262)=1,MAX(A$1:A4261)+1,"")</f>
        <v/>
      </c>
      <c r="B4262" s="11"/>
      <c r="C4262" s="11" t="str">
        <f>IF(COUNTIF(D$1:D4262,D4262)=1,MAX(C$1:C4261)+1,"")</f>
        <v/>
      </c>
      <c r="D4262" s="12"/>
    </row>
    <row r="4263" spans="1:4" x14ac:dyDescent="0.25">
      <c r="A4263" t="str">
        <f>IF(COUNTIF(B$1:B4263,B4263)=1,MAX(A$1:A4262)+1,"")</f>
        <v/>
      </c>
      <c r="B4263" s="11"/>
      <c r="C4263" s="11" t="str">
        <f>IF(COUNTIF(D$1:D4263,D4263)=1,MAX(C$1:C4262)+1,"")</f>
        <v/>
      </c>
      <c r="D4263" s="12"/>
    </row>
    <row r="4264" spans="1:4" x14ac:dyDescent="0.25">
      <c r="A4264" t="str">
        <f>IF(COUNTIF(B$1:B4264,B4264)=1,MAX(A$1:A4263)+1,"")</f>
        <v/>
      </c>
      <c r="B4264" s="11"/>
      <c r="C4264" s="11" t="str">
        <f>IF(COUNTIF(D$1:D4264,D4264)=1,MAX(C$1:C4263)+1,"")</f>
        <v/>
      </c>
      <c r="D4264" s="12"/>
    </row>
    <row r="4265" spans="1:4" x14ac:dyDescent="0.25">
      <c r="A4265" t="str">
        <f>IF(COUNTIF(B$1:B4265,B4265)=1,MAX(A$1:A4264)+1,"")</f>
        <v/>
      </c>
      <c r="B4265" s="11"/>
      <c r="C4265" s="11" t="str">
        <f>IF(COUNTIF(D$1:D4265,D4265)=1,MAX(C$1:C4264)+1,"")</f>
        <v/>
      </c>
      <c r="D4265" s="12"/>
    </row>
    <row r="4266" spans="1:4" x14ac:dyDescent="0.25">
      <c r="A4266" t="str">
        <f>IF(COUNTIF(B$1:B4266,B4266)=1,MAX(A$1:A4265)+1,"")</f>
        <v/>
      </c>
      <c r="B4266" s="11"/>
      <c r="C4266" s="11" t="str">
        <f>IF(COUNTIF(D$1:D4266,D4266)=1,MAX(C$1:C4265)+1,"")</f>
        <v/>
      </c>
      <c r="D4266" s="12"/>
    </row>
    <row r="4267" spans="1:4" x14ac:dyDescent="0.25">
      <c r="A4267" t="str">
        <f>IF(COUNTIF(B$1:B4267,B4267)=1,MAX(A$1:A4266)+1,"")</f>
        <v/>
      </c>
      <c r="B4267" s="11"/>
      <c r="C4267" s="11" t="str">
        <f>IF(COUNTIF(D$1:D4267,D4267)=1,MAX(C$1:C4266)+1,"")</f>
        <v/>
      </c>
      <c r="D4267" s="12"/>
    </row>
    <row r="4268" spans="1:4" x14ac:dyDescent="0.25">
      <c r="A4268" t="str">
        <f>IF(COUNTIF(B$1:B4268,B4268)=1,MAX(A$1:A4267)+1,"")</f>
        <v/>
      </c>
      <c r="B4268" s="11"/>
      <c r="C4268" s="11" t="str">
        <f>IF(COUNTIF(D$1:D4268,D4268)=1,MAX(C$1:C4267)+1,"")</f>
        <v/>
      </c>
      <c r="D4268" s="12"/>
    </row>
    <row r="4269" spans="1:4" x14ac:dyDescent="0.25">
      <c r="A4269" t="str">
        <f>IF(COUNTIF(B$1:B4269,B4269)=1,MAX(A$1:A4268)+1,"")</f>
        <v/>
      </c>
      <c r="B4269" s="11"/>
      <c r="C4269" s="11" t="str">
        <f>IF(COUNTIF(D$1:D4269,D4269)=1,MAX(C$1:C4268)+1,"")</f>
        <v/>
      </c>
      <c r="D4269" s="12"/>
    </row>
    <row r="4270" spans="1:4" x14ac:dyDescent="0.25">
      <c r="A4270" t="str">
        <f>IF(COUNTIF(B$1:B4270,B4270)=1,MAX(A$1:A4269)+1,"")</f>
        <v/>
      </c>
      <c r="B4270" s="11"/>
      <c r="C4270" s="11" t="str">
        <f>IF(COUNTIF(D$1:D4270,D4270)=1,MAX(C$1:C4269)+1,"")</f>
        <v/>
      </c>
      <c r="D4270" s="12"/>
    </row>
    <row r="4271" spans="1:4" x14ac:dyDescent="0.25">
      <c r="A4271" t="str">
        <f>IF(COUNTIF(B$1:B4271,B4271)=1,MAX(A$1:A4270)+1,"")</f>
        <v/>
      </c>
      <c r="B4271" s="11"/>
      <c r="C4271" s="11" t="str">
        <f>IF(COUNTIF(D$1:D4271,D4271)=1,MAX(C$1:C4270)+1,"")</f>
        <v/>
      </c>
      <c r="D4271" s="12"/>
    </row>
    <row r="4272" spans="1:4" x14ac:dyDescent="0.25">
      <c r="A4272" t="str">
        <f>IF(COUNTIF(B$1:B4272,B4272)=1,MAX(A$1:A4271)+1,"")</f>
        <v/>
      </c>
      <c r="B4272" s="11"/>
      <c r="C4272" s="11" t="str">
        <f>IF(COUNTIF(D$1:D4272,D4272)=1,MAX(C$1:C4271)+1,"")</f>
        <v/>
      </c>
      <c r="D4272" s="12"/>
    </row>
    <row r="4273" spans="1:4" x14ac:dyDescent="0.25">
      <c r="A4273" t="str">
        <f>IF(COUNTIF(B$1:B4273,B4273)=1,MAX(A$1:A4272)+1,"")</f>
        <v/>
      </c>
      <c r="B4273" s="11"/>
      <c r="C4273" s="11" t="str">
        <f>IF(COUNTIF(D$1:D4273,D4273)=1,MAX(C$1:C4272)+1,"")</f>
        <v/>
      </c>
      <c r="D4273" s="12"/>
    </row>
    <row r="4274" spans="1:4" x14ac:dyDescent="0.25">
      <c r="A4274" t="str">
        <f>IF(COUNTIF(B$1:B4274,B4274)=1,MAX(A$1:A4273)+1,"")</f>
        <v/>
      </c>
      <c r="B4274" s="11"/>
      <c r="C4274" s="11" t="str">
        <f>IF(COUNTIF(D$1:D4274,D4274)=1,MAX(C$1:C4273)+1,"")</f>
        <v/>
      </c>
      <c r="D4274" s="12"/>
    </row>
    <row r="4275" spans="1:4" x14ac:dyDescent="0.25">
      <c r="A4275" t="str">
        <f>IF(COUNTIF(B$1:B4275,B4275)=1,MAX(A$1:A4274)+1,"")</f>
        <v/>
      </c>
      <c r="B4275" s="11"/>
      <c r="C4275" s="11" t="str">
        <f>IF(COUNTIF(D$1:D4275,D4275)=1,MAX(C$1:C4274)+1,"")</f>
        <v/>
      </c>
      <c r="D4275" s="12"/>
    </row>
    <row r="4276" spans="1:4" x14ac:dyDescent="0.25">
      <c r="A4276" t="str">
        <f>IF(COUNTIF(B$1:B4276,B4276)=1,MAX(A$1:A4275)+1,"")</f>
        <v/>
      </c>
      <c r="B4276" s="11"/>
      <c r="C4276" s="11" t="str">
        <f>IF(COUNTIF(D$1:D4276,D4276)=1,MAX(C$1:C4275)+1,"")</f>
        <v/>
      </c>
      <c r="D4276" s="12"/>
    </row>
    <row r="4277" spans="1:4" x14ac:dyDescent="0.25">
      <c r="A4277" t="str">
        <f>IF(COUNTIF(B$1:B4277,B4277)=1,MAX(A$1:A4276)+1,"")</f>
        <v/>
      </c>
      <c r="B4277" s="11"/>
      <c r="C4277" s="11" t="str">
        <f>IF(COUNTIF(D$1:D4277,D4277)=1,MAX(C$1:C4276)+1,"")</f>
        <v/>
      </c>
      <c r="D4277" s="12"/>
    </row>
    <row r="4278" spans="1:4" x14ac:dyDescent="0.25">
      <c r="A4278" t="str">
        <f>IF(COUNTIF(B$1:B4278,B4278)=1,MAX(A$1:A4277)+1,"")</f>
        <v/>
      </c>
      <c r="B4278" s="11"/>
      <c r="C4278" s="11" t="str">
        <f>IF(COUNTIF(D$1:D4278,D4278)=1,MAX(C$1:C4277)+1,"")</f>
        <v/>
      </c>
      <c r="D4278" s="12"/>
    </row>
    <row r="4279" spans="1:4" x14ac:dyDescent="0.25">
      <c r="A4279" t="str">
        <f>IF(COUNTIF(B$1:B4279,B4279)=1,MAX(A$1:A4278)+1,"")</f>
        <v/>
      </c>
      <c r="B4279" s="11"/>
      <c r="C4279" s="11" t="str">
        <f>IF(COUNTIF(D$1:D4279,D4279)=1,MAX(C$1:C4278)+1,"")</f>
        <v/>
      </c>
      <c r="D4279" s="12"/>
    </row>
    <row r="4280" spans="1:4" x14ac:dyDescent="0.25">
      <c r="A4280" t="str">
        <f>IF(COUNTIF(B$1:B4280,B4280)=1,MAX(A$1:A4279)+1,"")</f>
        <v/>
      </c>
      <c r="B4280" s="11"/>
      <c r="C4280" s="11" t="str">
        <f>IF(COUNTIF(D$1:D4280,D4280)=1,MAX(C$1:C4279)+1,"")</f>
        <v/>
      </c>
      <c r="D4280" s="12"/>
    </row>
    <row r="4281" spans="1:4" x14ac:dyDescent="0.25">
      <c r="A4281" t="str">
        <f>IF(COUNTIF(B$1:B4281,B4281)=1,MAX(A$1:A4280)+1,"")</f>
        <v/>
      </c>
      <c r="B4281" s="11"/>
      <c r="C4281" s="11" t="str">
        <f>IF(COUNTIF(D$1:D4281,D4281)=1,MAX(C$1:C4280)+1,"")</f>
        <v/>
      </c>
      <c r="D4281" s="12"/>
    </row>
    <row r="4282" spans="1:4" x14ac:dyDescent="0.25">
      <c r="A4282" t="str">
        <f>IF(COUNTIF(B$1:B4282,B4282)=1,MAX(A$1:A4281)+1,"")</f>
        <v/>
      </c>
      <c r="B4282" s="11"/>
      <c r="C4282" s="11" t="str">
        <f>IF(COUNTIF(D$1:D4282,D4282)=1,MAX(C$1:C4281)+1,"")</f>
        <v/>
      </c>
      <c r="D4282" s="12"/>
    </row>
    <row r="4283" spans="1:4" x14ac:dyDescent="0.25">
      <c r="A4283" t="str">
        <f>IF(COUNTIF(B$1:B4283,B4283)=1,MAX(A$1:A4282)+1,"")</f>
        <v/>
      </c>
      <c r="B4283" s="11"/>
      <c r="C4283" s="11" t="str">
        <f>IF(COUNTIF(D$1:D4283,D4283)=1,MAX(C$1:C4282)+1,"")</f>
        <v/>
      </c>
      <c r="D4283" s="12"/>
    </row>
    <row r="4284" spans="1:4" x14ac:dyDescent="0.25">
      <c r="A4284" t="str">
        <f>IF(COUNTIF(B$1:B4284,B4284)=1,MAX(A$1:A4283)+1,"")</f>
        <v/>
      </c>
      <c r="B4284" s="11"/>
      <c r="C4284" s="11" t="str">
        <f>IF(COUNTIF(D$1:D4284,D4284)=1,MAX(C$1:C4283)+1,"")</f>
        <v/>
      </c>
      <c r="D4284" s="12"/>
    </row>
    <row r="4285" spans="1:4" x14ac:dyDescent="0.25">
      <c r="A4285" t="str">
        <f>IF(COUNTIF(B$1:B4285,B4285)=1,MAX(A$1:A4284)+1,"")</f>
        <v/>
      </c>
      <c r="B4285" s="11"/>
      <c r="C4285" s="11" t="str">
        <f>IF(COUNTIF(D$1:D4285,D4285)=1,MAX(C$1:C4284)+1,"")</f>
        <v/>
      </c>
      <c r="D4285" s="12"/>
    </row>
    <row r="4286" spans="1:4" x14ac:dyDescent="0.25">
      <c r="A4286" t="str">
        <f>IF(COUNTIF(B$1:B4286,B4286)=1,MAX(A$1:A4285)+1,"")</f>
        <v/>
      </c>
      <c r="B4286" s="11"/>
      <c r="C4286" s="11" t="str">
        <f>IF(COUNTIF(D$1:D4286,D4286)=1,MAX(C$1:C4285)+1,"")</f>
        <v/>
      </c>
      <c r="D4286" s="12"/>
    </row>
    <row r="4287" spans="1:4" x14ac:dyDescent="0.25">
      <c r="A4287" t="str">
        <f>IF(COUNTIF(B$1:B4287,B4287)=1,MAX(A$1:A4286)+1,"")</f>
        <v/>
      </c>
      <c r="B4287" s="11"/>
      <c r="C4287" s="11" t="str">
        <f>IF(COUNTIF(D$1:D4287,D4287)=1,MAX(C$1:C4286)+1,"")</f>
        <v/>
      </c>
      <c r="D4287" s="12"/>
    </row>
    <row r="4288" spans="1:4" x14ac:dyDescent="0.25">
      <c r="A4288" t="str">
        <f>IF(COUNTIF(B$1:B4288,B4288)=1,MAX(A$1:A4287)+1,"")</f>
        <v/>
      </c>
      <c r="B4288" s="11"/>
      <c r="C4288" s="11" t="str">
        <f>IF(COUNTIF(D$1:D4288,D4288)=1,MAX(C$1:C4287)+1,"")</f>
        <v/>
      </c>
      <c r="D4288" s="12"/>
    </row>
    <row r="4289" spans="1:4" x14ac:dyDescent="0.25">
      <c r="A4289" t="str">
        <f>IF(COUNTIF(B$1:B4289,B4289)=1,MAX(A$1:A4288)+1,"")</f>
        <v/>
      </c>
      <c r="B4289" s="11"/>
      <c r="C4289" s="11" t="str">
        <f>IF(COUNTIF(D$1:D4289,D4289)=1,MAX(C$1:C4288)+1,"")</f>
        <v/>
      </c>
      <c r="D4289" s="12"/>
    </row>
    <row r="4290" spans="1:4" x14ac:dyDescent="0.25">
      <c r="A4290" t="str">
        <f>IF(COUNTIF(B$1:B4290,B4290)=1,MAX(A$1:A4289)+1,"")</f>
        <v/>
      </c>
      <c r="B4290" s="11"/>
      <c r="C4290" s="11" t="str">
        <f>IF(COUNTIF(D$1:D4290,D4290)=1,MAX(C$1:C4289)+1,"")</f>
        <v/>
      </c>
      <c r="D4290" s="12"/>
    </row>
    <row r="4291" spans="1:4" x14ac:dyDescent="0.25">
      <c r="A4291" t="str">
        <f>IF(COUNTIF(B$1:B4291,B4291)=1,MAX(A$1:A4290)+1,"")</f>
        <v/>
      </c>
      <c r="B4291" s="11"/>
      <c r="C4291" s="11" t="str">
        <f>IF(COUNTIF(D$1:D4291,D4291)=1,MAX(C$1:C4290)+1,"")</f>
        <v/>
      </c>
      <c r="D4291" s="12"/>
    </row>
    <row r="4292" spans="1:4" x14ac:dyDescent="0.25">
      <c r="A4292" t="str">
        <f>IF(COUNTIF(B$1:B4292,B4292)=1,MAX(A$1:A4291)+1,"")</f>
        <v/>
      </c>
      <c r="B4292" s="11"/>
      <c r="C4292" s="11" t="str">
        <f>IF(COUNTIF(D$1:D4292,D4292)=1,MAX(C$1:C4291)+1,"")</f>
        <v/>
      </c>
      <c r="D4292" s="12"/>
    </row>
    <row r="4293" spans="1:4" x14ac:dyDescent="0.25">
      <c r="A4293" t="str">
        <f>IF(COUNTIF(B$1:B4293,B4293)=1,MAX(A$1:A4292)+1,"")</f>
        <v/>
      </c>
      <c r="B4293" s="11"/>
      <c r="C4293" s="11" t="str">
        <f>IF(COUNTIF(D$1:D4293,D4293)=1,MAX(C$1:C4292)+1,"")</f>
        <v/>
      </c>
      <c r="D4293" s="12"/>
    </row>
    <row r="4294" spans="1:4" x14ac:dyDescent="0.25">
      <c r="A4294" t="str">
        <f>IF(COUNTIF(B$1:B4294,B4294)=1,MAX(A$1:A4293)+1,"")</f>
        <v/>
      </c>
      <c r="B4294" s="11"/>
      <c r="C4294" s="11" t="str">
        <f>IF(COUNTIF(D$1:D4294,D4294)=1,MAX(C$1:C4293)+1,"")</f>
        <v/>
      </c>
      <c r="D4294" s="12"/>
    </row>
    <row r="4295" spans="1:4" x14ac:dyDescent="0.25">
      <c r="A4295" t="str">
        <f>IF(COUNTIF(B$1:B4295,B4295)=1,MAX(A$1:A4294)+1,"")</f>
        <v/>
      </c>
      <c r="B4295" s="11"/>
      <c r="C4295" s="11" t="str">
        <f>IF(COUNTIF(D$1:D4295,D4295)=1,MAX(C$1:C4294)+1,"")</f>
        <v/>
      </c>
      <c r="D4295" s="12"/>
    </row>
    <row r="4296" spans="1:4" x14ac:dyDescent="0.25">
      <c r="A4296" t="str">
        <f>IF(COUNTIF(B$1:B4296,B4296)=1,MAX(A$1:A4295)+1,"")</f>
        <v/>
      </c>
      <c r="B4296" s="11"/>
      <c r="C4296" s="11" t="str">
        <f>IF(COUNTIF(D$1:D4296,D4296)=1,MAX(C$1:C4295)+1,"")</f>
        <v/>
      </c>
      <c r="D4296" s="12"/>
    </row>
    <row r="4297" spans="1:4" x14ac:dyDescent="0.25">
      <c r="A4297" t="str">
        <f>IF(COUNTIF(B$1:B4297,B4297)=1,MAX(A$1:A4296)+1,"")</f>
        <v/>
      </c>
      <c r="B4297" s="11"/>
      <c r="C4297" s="11" t="str">
        <f>IF(COUNTIF(D$1:D4297,D4297)=1,MAX(C$1:C4296)+1,"")</f>
        <v/>
      </c>
      <c r="D4297" s="12"/>
    </row>
    <row r="4298" spans="1:4" x14ac:dyDescent="0.25">
      <c r="A4298" t="str">
        <f>IF(COUNTIF(B$1:B4298,B4298)=1,MAX(A$1:A4297)+1,"")</f>
        <v/>
      </c>
      <c r="B4298" s="11"/>
      <c r="C4298" s="11" t="str">
        <f>IF(COUNTIF(D$1:D4298,D4298)=1,MAX(C$1:C4297)+1,"")</f>
        <v/>
      </c>
      <c r="D4298" s="12"/>
    </row>
    <row r="4299" spans="1:4" x14ac:dyDescent="0.25">
      <c r="A4299" t="str">
        <f>IF(COUNTIF(B$1:B4299,B4299)=1,MAX(A$1:A4298)+1,"")</f>
        <v/>
      </c>
      <c r="B4299" s="11"/>
      <c r="C4299" s="11" t="str">
        <f>IF(COUNTIF(D$1:D4299,D4299)=1,MAX(C$1:C4298)+1,"")</f>
        <v/>
      </c>
      <c r="D4299" s="12"/>
    </row>
    <row r="4300" spans="1:4" x14ac:dyDescent="0.25">
      <c r="A4300" t="str">
        <f>IF(COUNTIF(B$1:B4300,B4300)=1,MAX(A$1:A4299)+1,"")</f>
        <v/>
      </c>
      <c r="B4300" s="11"/>
      <c r="C4300" s="11" t="str">
        <f>IF(COUNTIF(D$1:D4300,D4300)=1,MAX(C$1:C4299)+1,"")</f>
        <v/>
      </c>
      <c r="D4300" s="12"/>
    </row>
    <row r="4301" spans="1:4" x14ac:dyDescent="0.25">
      <c r="A4301" t="str">
        <f>IF(COUNTIF(B$1:B4301,B4301)=1,MAX(A$1:A4300)+1,"")</f>
        <v/>
      </c>
      <c r="B4301" s="11"/>
      <c r="C4301" s="11" t="str">
        <f>IF(COUNTIF(D$1:D4301,D4301)=1,MAX(C$1:C4300)+1,"")</f>
        <v/>
      </c>
      <c r="D4301" s="12"/>
    </row>
    <row r="4302" spans="1:4" x14ac:dyDescent="0.25">
      <c r="A4302" t="str">
        <f>IF(COUNTIF(B$1:B4302,B4302)=1,MAX(A$1:A4301)+1,"")</f>
        <v/>
      </c>
      <c r="B4302" s="11"/>
      <c r="C4302" s="11" t="str">
        <f>IF(COUNTIF(D$1:D4302,D4302)=1,MAX(C$1:C4301)+1,"")</f>
        <v/>
      </c>
      <c r="D4302" s="12"/>
    </row>
    <row r="4303" spans="1:4" x14ac:dyDescent="0.25">
      <c r="A4303" t="str">
        <f>IF(COUNTIF(B$1:B4303,B4303)=1,MAX(A$1:A4302)+1,"")</f>
        <v/>
      </c>
      <c r="B4303" s="11"/>
      <c r="C4303" s="11" t="str">
        <f>IF(COUNTIF(D$1:D4303,D4303)=1,MAX(C$1:C4302)+1,"")</f>
        <v/>
      </c>
      <c r="D4303" s="12"/>
    </row>
    <row r="4304" spans="1:4" x14ac:dyDescent="0.25">
      <c r="A4304" t="str">
        <f>IF(COUNTIF(B$1:B4304,B4304)=1,MAX(A$1:A4303)+1,"")</f>
        <v/>
      </c>
      <c r="B4304" s="11"/>
      <c r="C4304" s="11" t="str">
        <f>IF(COUNTIF(D$1:D4304,D4304)=1,MAX(C$1:C4303)+1,"")</f>
        <v/>
      </c>
      <c r="D4304" s="12"/>
    </row>
    <row r="4305" spans="1:4" x14ac:dyDescent="0.25">
      <c r="A4305" t="str">
        <f>IF(COUNTIF(B$1:B4305,B4305)=1,MAX(A$1:A4304)+1,"")</f>
        <v/>
      </c>
      <c r="B4305" s="11"/>
      <c r="C4305" s="11" t="str">
        <f>IF(COUNTIF(D$1:D4305,D4305)=1,MAX(C$1:C4304)+1,"")</f>
        <v/>
      </c>
      <c r="D4305" s="12"/>
    </row>
    <row r="4306" spans="1:4" x14ac:dyDescent="0.25">
      <c r="A4306" t="str">
        <f>IF(COUNTIF(B$1:B4306,B4306)=1,MAX(A$1:A4305)+1,"")</f>
        <v/>
      </c>
      <c r="B4306" s="11"/>
      <c r="C4306" s="11" t="str">
        <f>IF(COUNTIF(D$1:D4306,D4306)=1,MAX(C$1:C4305)+1,"")</f>
        <v/>
      </c>
      <c r="D4306" s="12"/>
    </row>
    <row r="4307" spans="1:4" x14ac:dyDescent="0.25">
      <c r="A4307" t="str">
        <f>IF(COUNTIF(B$1:B4307,B4307)=1,MAX(A$1:A4306)+1,"")</f>
        <v/>
      </c>
      <c r="B4307" s="11"/>
      <c r="C4307" s="11" t="str">
        <f>IF(COUNTIF(D$1:D4307,D4307)=1,MAX(C$1:C4306)+1,"")</f>
        <v/>
      </c>
      <c r="D4307" s="12"/>
    </row>
    <row r="4308" spans="1:4" x14ac:dyDescent="0.25">
      <c r="A4308" t="str">
        <f>IF(COUNTIF(B$1:B4308,B4308)=1,MAX(A$1:A4307)+1,"")</f>
        <v/>
      </c>
      <c r="B4308" s="11"/>
      <c r="C4308" s="11" t="str">
        <f>IF(COUNTIF(D$1:D4308,D4308)=1,MAX(C$1:C4307)+1,"")</f>
        <v/>
      </c>
      <c r="D4308" s="12"/>
    </row>
    <row r="4309" spans="1:4" x14ac:dyDescent="0.25">
      <c r="A4309" t="str">
        <f>IF(COUNTIF(B$1:B4309,B4309)=1,MAX(A$1:A4308)+1,"")</f>
        <v/>
      </c>
      <c r="B4309" s="11"/>
      <c r="C4309" s="11" t="str">
        <f>IF(COUNTIF(D$1:D4309,D4309)=1,MAX(C$1:C4308)+1,"")</f>
        <v/>
      </c>
      <c r="D4309" s="12"/>
    </row>
    <row r="4310" spans="1:4" x14ac:dyDescent="0.25">
      <c r="A4310" t="str">
        <f>IF(COUNTIF(B$1:B4310,B4310)=1,MAX(A$1:A4309)+1,"")</f>
        <v/>
      </c>
      <c r="B4310" s="11"/>
      <c r="C4310" s="11" t="str">
        <f>IF(COUNTIF(D$1:D4310,D4310)=1,MAX(C$1:C4309)+1,"")</f>
        <v/>
      </c>
      <c r="D4310" s="12"/>
    </row>
    <row r="4311" spans="1:4" x14ac:dyDescent="0.25">
      <c r="A4311" t="str">
        <f>IF(COUNTIF(B$1:B4311,B4311)=1,MAX(A$1:A4310)+1,"")</f>
        <v/>
      </c>
      <c r="B4311" s="11"/>
      <c r="C4311" s="11" t="str">
        <f>IF(COUNTIF(D$1:D4311,D4311)=1,MAX(C$1:C4310)+1,"")</f>
        <v/>
      </c>
      <c r="D4311" s="12"/>
    </row>
    <row r="4312" spans="1:4" x14ac:dyDescent="0.25">
      <c r="A4312" t="str">
        <f>IF(COUNTIF(B$1:B4312,B4312)=1,MAX(A$1:A4311)+1,"")</f>
        <v/>
      </c>
      <c r="B4312" s="11"/>
      <c r="C4312" s="11" t="str">
        <f>IF(COUNTIF(D$1:D4312,D4312)=1,MAX(C$1:C4311)+1,"")</f>
        <v/>
      </c>
      <c r="D4312" s="12"/>
    </row>
    <row r="4313" spans="1:4" x14ac:dyDescent="0.25">
      <c r="A4313" t="str">
        <f>IF(COUNTIF(B$1:B4313,B4313)=1,MAX(A$1:A4312)+1,"")</f>
        <v/>
      </c>
      <c r="B4313" s="11"/>
      <c r="C4313" s="11" t="str">
        <f>IF(COUNTIF(D$1:D4313,D4313)=1,MAX(C$1:C4312)+1,"")</f>
        <v/>
      </c>
      <c r="D4313" s="12"/>
    </row>
    <row r="4314" spans="1:4" x14ac:dyDescent="0.25">
      <c r="A4314" t="str">
        <f>IF(COUNTIF(B$1:B4314,B4314)=1,MAX(A$1:A4313)+1,"")</f>
        <v/>
      </c>
      <c r="B4314" s="11"/>
      <c r="C4314" s="11" t="str">
        <f>IF(COUNTIF(D$1:D4314,D4314)=1,MAX(C$1:C4313)+1,"")</f>
        <v/>
      </c>
      <c r="D4314" s="12"/>
    </row>
    <row r="4315" spans="1:4" x14ac:dyDescent="0.25">
      <c r="A4315" t="str">
        <f>IF(COUNTIF(B$1:B4315,B4315)=1,MAX(A$1:A4314)+1,"")</f>
        <v/>
      </c>
      <c r="B4315" s="11"/>
      <c r="C4315" s="11" t="str">
        <f>IF(COUNTIF(D$1:D4315,D4315)=1,MAX(C$1:C4314)+1,"")</f>
        <v/>
      </c>
      <c r="D4315" s="12"/>
    </row>
    <row r="4316" spans="1:4" x14ac:dyDescent="0.25">
      <c r="A4316" t="str">
        <f>IF(COUNTIF(B$1:B4316,B4316)=1,MAX(A$1:A4315)+1,"")</f>
        <v/>
      </c>
      <c r="B4316" s="11"/>
      <c r="C4316" s="11" t="str">
        <f>IF(COUNTIF(D$1:D4316,D4316)=1,MAX(C$1:C4315)+1,"")</f>
        <v/>
      </c>
      <c r="D4316" s="12"/>
    </row>
    <row r="4317" spans="1:4" x14ac:dyDescent="0.25">
      <c r="A4317" t="str">
        <f>IF(COUNTIF(B$1:B4317,B4317)=1,MAX(A$1:A4316)+1,"")</f>
        <v/>
      </c>
      <c r="B4317" s="11"/>
      <c r="C4317" s="11" t="str">
        <f>IF(COUNTIF(D$1:D4317,D4317)=1,MAX(C$1:C4316)+1,"")</f>
        <v/>
      </c>
      <c r="D4317" s="12"/>
    </row>
    <row r="4318" spans="1:4" x14ac:dyDescent="0.25">
      <c r="A4318" t="str">
        <f>IF(COUNTIF(B$1:B4318,B4318)=1,MAX(A$1:A4317)+1,"")</f>
        <v/>
      </c>
      <c r="B4318" s="11"/>
      <c r="C4318" s="11" t="str">
        <f>IF(COUNTIF(D$1:D4318,D4318)=1,MAX(C$1:C4317)+1,"")</f>
        <v/>
      </c>
      <c r="D4318" s="12"/>
    </row>
    <row r="4319" spans="1:4" x14ac:dyDescent="0.25">
      <c r="A4319" t="str">
        <f>IF(COUNTIF(B$1:B4319,B4319)=1,MAX(A$1:A4318)+1,"")</f>
        <v/>
      </c>
      <c r="B4319" s="11"/>
      <c r="C4319" s="11" t="str">
        <f>IF(COUNTIF(D$1:D4319,D4319)=1,MAX(C$1:C4318)+1,"")</f>
        <v/>
      </c>
      <c r="D4319" s="12"/>
    </row>
    <row r="4320" spans="1:4" x14ac:dyDescent="0.25">
      <c r="A4320" t="str">
        <f>IF(COUNTIF(B$1:B4320,B4320)=1,MAX(A$1:A4319)+1,"")</f>
        <v/>
      </c>
      <c r="B4320" s="11"/>
      <c r="C4320" s="11" t="str">
        <f>IF(COUNTIF(D$1:D4320,D4320)=1,MAX(C$1:C4319)+1,"")</f>
        <v/>
      </c>
      <c r="D4320" s="12"/>
    </row>
    <row r="4321" spans="1:4" x14ac:dyDescent="0.25">
      <c r="A4321" t="str">
        <f>IF(COUNTIF(B$1:B4321,B4321)=1,MAX(A$1:A4320)+1,"")</f>
        <v/>
      </c>
      <c r="B4321" s="11"/>
      <c r="C4321" s="11" t="str">
        <f>IF(COUNTIF(D$1:D4321,D4321)=1,MAX(C$1:C4320)+1,"")</f>
        <v/>
      </c>
      <c r="D4321" s="12"/>
    </row>
    <row r="4322" spans="1:4" x14ac:dyDescent="0.25">
      <c r="A4322" t="str">
        <f>IF(COUNTIF(B$1:B4322,B4322)=1,MAX(A$1:A4321)+1,"")</f>
        <v/>
      </c>
      <c r="B4322" s="11"/>
      <c r="C4322" s="11" t="str">
        <f>IF(COUNTIF(D$1:D4322,D4322)=1,MAX(C$1:C4321)+1,"")</f>
        <v/>
      </c>
      <c r="D4322" s="12"/>
    </row>
    <row r="4323" spans="1:4" x14ac:dyDescent="0.25">
      <c r="A4323" t="str">
        <f>IF(COUNTIF(B$1:B4323,B4323)=1,MAX(A$1:A4322)+1,"")</f>
        <v/>
      </c>
      <c r="B4323" s="11"/>
      <c r="C4323" s="11" t="str">
        <f>IF(COUNTIF(D$1:D4323,D4323)=1,MAX(C$1:C4322)+1,"")</f>
        <v/>
      </c>
      <c r="D4323" s="12"/>
    </row>
    <row r="4324" spans="1:4" x14ac:dyDescent="0.25">
      <c r="A4324" t="str">
        <f>IF(COUNTIF(B$1:B4324,B4324)=1,MAX(A$1:A4323)+1,"")</f>
        <v/>
      </c>
      <c r="B4324" s="11"/>
      <c r="C4324" s="11" t="str">
        <f>IF(COUNTIF(D$1:D4324,D4324)=1,MAX(C$1:C4323)+1,"")</f>
        <v/>
      </c>
      <c r="D4324" s="12"/>
    </row>
    <row r="4325" spans="1:4" x14ac:dyDescent="0.25">
      <c r="A4325" t="str">
        <f>IF(COUNTIF(B$1:B4325,B4325)=1,MAX(A$1:A4324)+1,"")</f>
        <v/>
      </c>
      <c r="B4325" s="11"/>
      <c r="C4325" s="11" t="str">
        <f>IF(COUNTIF(D$1:D4325,D4325)=1,MAX(C$1:C4324)+1,"")</f>
        <v/>
      </c>
      <c r="D4325" s="12"/>
    </row>
    <row r="4326" spans="1:4" x14ac:dyDescent="0.25">
      <c r="A4326" t="str">
        <f>IF(COUNTIF(B$1:B4326,B4326)=1,MAX(A$1:A4325)+1,"")</f>
        <v/>
      </c>
      <c r="B4326" s="11"/>
      <c r="C4326" s="11" t="str">
        <f>IF(COUNTIF(D$1:D4326,D4326)=1,MAX(C$1:C4325)+1,"")</f>
        <v/>
      </c>
      <c r="D4326" s="12"/>
    </row>
    <row r="4327" spans="1:4" x14ac:dyDescent="0.25">
      <c r="A4327" t="str">
        <f>IF(COUNTIF(B$1:B4327,B4327)=1,MAX(A$1:A4326)+1,"")</f>
        <v/>
      </c>
      <c r="B4327" s="11"/>
      <c r="C4327" s="11" t="str">
        <f>IF(COUNTIF(D$1:D4327,D4327)=1,MAX(C$1:C4326)+1,"")</f>
        <v/>
      </c>
      <c r="D4327" s="12"/>
    </row>
    <row r="4328" spans="1:4" x14ac:dyDescent="0.25">
      <c r="A4328" t="str">
        <f>IF(COUNTIF(B$1:B4328,B4328)=1,MAX(A$1:A4327)+1,"")</f>
        <v/>
      </c>
      <c r="B4328" s="11"/>
      <c r="C4328" s="11" t="str">
        <f>IF(COUNTIF(D$1:D4328,D4328)=1,MAX(C$1:C4327)+1,"")</f>
        <v/>
      </c>
      <c r="D4328" s="12"/>
    </row>
    <row r="4329" spans="1:4" x14ac:dyDescent="0.25">
      <c r="A4329" t="str">
        <f>IF(COUNTIF(B$1:B4329,B4329)=1,MAX(A$1:A4328)+1,"")</f>
        <v/>
      </c>
      <c r="B4329" s="11"/>
      <c r="C4329" s="11" t="str">
        <f>IF(COUNTIF(D$1:D4329,D4329)=1,MAX(C$1:C4328)+1,"")</f>
        <v/>
      </c>
      <c r="D4329" s="12"/>
    </row>
    <row r="4330" spans="1:4" x14ac:dyDescent="0.25">
      <c r="A4330" t="str">
        <f>IF(COUNTIF(B$1:B4330,B4330)=1,MAX(A$1:A4329)+1,"")</f>
        <v/>
      </c>
      <c r="B4330" s="11"/>
      <c r="C4330" s="11" t="str">
        <f>IF(COUNTIF(D$1:D4330,D4330)=1,MAX(C$1:C4329)+1,"")</f>
        <v/>
      </c>
      <c r="D4330" s="12"/>
    </row>
    <row r="4331" spans="1:4" x14ac:dyDescent="0.25">
      <c r="A4331" t="str">
        <f>IF(COUNTIF(B$1:B4331,B4331)=1,MAX(A$1:A4330)+1,"")</f>
        <v/>
      </c>
      <c r="B4331" s="11"/>
      <c r="C4331" s="11" t="str">
        <f>IF(COUNTIF(D$1:D4331,D4331)=1,MAX(C$1:C4330)+1,"")</f>
        <v/>
      </c>
      <c r="D4331" s="12"/>
    </row>
    <row r="4332" spans="1:4" x14ac:dyDescent="0.25">
      <c r="A4332" t="str">
        <f>IF(COUNTIF(B$1:B4332,B4332)=1,MAX(A$1:A4331)+1,"")</f>
        <v/>
      </c>
      <c r="B4332" s="11"/>
      <c r="C4332" s="11" t="str">
        <f>IF(COUNTIF(D$1:D4332,D4332)=1,MAX(C$1:C4331)+1,"")</f>
        <v/>
      </c>
      <c r="D4332" s="12"/>
    </row>
    <row r="4333" spans="1:4" x14ac:dyDescent="0.25">
      <c r="A4333" t="str">
        <f>IF(COUNTIF(B$1:B4333,B4333)=1,MAX(A$1:A4332)+1,"")</f>
        <v/>
      </c>
      <c r="B4333" s="11"/>
      <c r="C4333" s="11" t="str">
        <f>IF(COUNTIF(D$1:D4333,D4333)=1,MAX(C$1:C4332)+1,"")</f>
        <v/>
      </c>
      <c r="D4333" s="12"/>
    </row>
    <row r="4334" spans="1:4" x14ac:dyDescent="0.25">
      <c r="A4334" t="str">
        <f>IF(COUNTIF(B$1:B4334,B4334)=1,MAX(A$1:A4333)+1,"")</f>
        <v/>
      </c>
      <c r="B4334" s="11"/>
      <c r="C4334" s="11" t="str">
        <f>IF(COUNTIF(D$1:D4334,D4334)=1,MAX(C$1:C4333)+1,"")</f>
        <v/>
      </c>
      <c r="D4334" s="12"/>
    </row>
    <row r="4335" spans="1:4" x14ac:dyDescent="0.25">
      <c r="A4335" t="str">
        <f>IF(COUNTIF(B$1:B4335,B4335)=1,MAX(A$1:A4334)+1,"")</f>
        <v/>
      </c>
      <c r="B4335" s="11"/>
      <c r="C4335" s="11" t="str">
        <f>IF(COUNTIF(D$1:D4335,D4335)=1,MAX(C$1:C4334)+1,"")</f>
        <v/>
      </c>
      <c r="D4335" s="12"/>
    </row>
    <row r="4336" spans="1:4" x14ac:dyDescent="0.25">
      <c r="A4336" t="str">
        <f>IF(COUNTIF(B$1:B4336,B4336)=1,MAX(A$1:A4335)+1,"")</f>
        <v/>
      </c>
      <c r="B4336" s="11"/>
      <c r="C4336" s="11" t="str">
        <f>IF(COUNTIF(D$1:D4336,D4336)=1,MAX(C$1:C4335)+1,"")</f>
        <v/>
      </c>
      <c r="D4336" s="12"/>
    </row>
    <row r="4337" spans="1:4" x14ac:dyDescent="0.25">
      <c r="A4337" t="str">
        <f>IF(COUNTIF(B$1:B4337,B4337)=1,MAX(A$1:A4336)+1,"")</f>
        <v/>
      </c>
      <c r="B4337" s="11"/>
      <c r="C4337" s="11" t="str">
        <f>IF(COUNTIF(D$1:D4337,D4337)=1,MAX(C$1:C4336)+1,"")</f>
        <v/>
      </c>
      <c r="D4337" s="12"/>
    </row>
    <row r="4338" spans="1:4" x14ac:dyDescent="0.25">
      <c r="A4338" t="str">
        <f>IF(COUNTIF(B$1:B4338,B4338)=1,MAX(A$1:A4337)+1,"")</f>
        <v/>
      </c>
      <c r="B4338" s="11"/>
      <c r="C4338" s="11" t="str">
        <f>IF(COUNTIF(D$1:D4338,D4338)=1,MAX(C$1:C4337)+1,"")</f>
        <v/>
      </c>
      <c r="D4338" s="12"/>
    </row>
    <row r="4339" spans="1:4" x14ac:dyDescent="0.25">
      <c r="A4339" t="str">
        <f>IF(COUNTIF(B$1:B4339,B4339)=1,MAX(A$1:A4338)+1,"")</f>
        <v/>
      </c>
      <c r="B4339" s="11"/>
      <c r="C4339" s="11" t="str">
        <f>IF(COUNTIF(D$1:D4339,D4339)=1,MAX(C$1:C4338)+1,"")</f>
        <v/>
      </c>
      <c r="D4339" s="12"/>
    </row>
    <row r="4340" spans="1:4" x14ac:dyDescent="0.25">
      <c r="A4340" t="str">
        <f>IF(COUNTIF(B$1:B4340,B4340)=1,MAX(A$1:A4339)+1,"")</f>
        <v/>
      </c>
      <c r="B4340" s="11"/>
      <c r="C4340" s="11" t="str">
        <f>IF(COUNTIF(D$1:D4340,D4340)=1,MAX(C$1:C4339)+1,"")</f>
        <v/>
      </c>
      <c r="D4340" s="12"/>
    </row>
    <row r="4341" spans="1:4" x14ac:dyDescent="0.25">
      <c r="A4341" t="str">
        <f>IF(COUNTIF(B$1:B4341,B4341)=1,MAX(A$1:A4340)+1,"")</f>
        <v/>
      </c>
      <c r="B4341" s="11"/>
      <c r="C4341" s="11" t="str">
        <f>IF(COUNTIF(D$1:D4341,D4341)=1,MAX(C$1:C4340)+1,"")</f>
        <v/>
      </c>
      <c r="D4341" s="12"/>
    </row>
    <row r="4342" spans="1:4" x14ac:dyDescent="0.25">
      <c r="A4342" t="str">
        <f>IF(COUNTIF(B$1:B4342,B4342)=1,MAX(A$1:A4341)+1,"")</f>
        <v/>
      </c>
      <c r="B4342" s="11"/>
      <c r="C4342" s="11" t="str">
        <f>IF(COUNTIF(D$1:D4342,D4342)=1,MAX(C$1:C4341)+1,"")</f>
        <v/>
      </c>
      <c r="D4342" s="12"/>
    </row>
    <row r="4343" spans="1:4" x14ac:dyDescent="0.25">
      <c r="A4343" t="str">
        <f>IF(COUNTIF(B$1:B4343,B4343)=1,MAX(A$1:A4342)+1,"")</f>
        <v/>
      </c>
      <c r="B4343" s="11"/>
      <c r="C4343" s="11" t="str">
        <f>IF(COUNTIF(D$1:D4343,D4343)=1,MAX(C$1:C4342)+1,"")</f>
        <v/>
      </c>
      <c r="D4343" s="12"/>
    </row>
    <row r="4344" spans="1:4" x14ac:dyDescent="0.25">
      <c r="A4344" t="str">
        <f>IF(COUNTIF(B$1:B4344,B4344)=1,MAX(A$1:A4343)+1,"")</f>
        <v/>
      </c>
      <c r="B4344" s="11"/>
      <c r="C4344" s="11" t="str">
        <f>IF(COUNTIF(D$1:D4344,D4344)=1,MAX(C$1:C4343)+1,"")</f>
        <v/>
      </c>
      <c r="D4344" s="12"/>
    </row>
    <row r="4345" spans="1:4" x14ac:dyDescent="0.25">
      <c r="A4345" t="str">
        <f>IF(COUNTIF(B$1:B4345,B4345)=1,MAX(A$1:A4344)+1,"")</f>
        <v/>
      </c>
      <c r="B4345" s="11"/>
      <c r="C4345" s="11" t="str">
        <f>IF(COUNTIF(D$1:D4345,D4345)=1,MAX(C$1:C4344)+1,"")</f>
        <v/>
      </c>
      <c r="D4345" s="12"/>
    </row>
    <row r="4346" spans="1:4" x14ac:dyDescent="0.25">
      <c r="A4346" t="str">
        <f>IF(COUNTIF(B$1:B4346,B4346)=1,MAX(A$1:A4345)+1,"")</f>
        <v/>
      </c>
      <c r="B4346" s="11"/>
      <c r="C4346" s="11" t="str">
        <f>IF(COUNTIF(D$1:D4346,D4346)=1,MAX(C$1:C4345)+1,"")</f>
        <v/>
      </c>
      <c r="D4346" s="12"/>
    </row>
    <row r="4347" spans="1:4" x14ac:dyDescent="0.25">
      <c r="A4347" t="str">
        <f>IF(COUNTIF(B$1:B4347,B4347)=1,MAX(A$1:A4346)+1,"")</f>
        <v/>
      </c>
      <c r="B4347" s="11"/>
      <c r="C4347" s="11" t="str">
        <f>IF(COUNTIF(D$1:D4347,D4347)=1,MAX(C$1:C4346)+1,"")</f>
        <v/>
      </c>
      <c r="D4347" s="12"/>
    </row>
    <row r="4348" spans="1:4" x14ac:dyDescent="0.25">
      <c r="A4348" t="str">
        <f>IF(COUNTIF(B$1:B4348,B4348)=1,MAX(A$1:A4347)+1,"")</f>
        <v/>
      </c>
      <c r="B4348" s="11"/>
      <c r="C4348" s="11" t="str">
        <f>IF(COUNTIF(D$1:D4348,D4348)=1,MAX(C$1:C4347)+1,"")</f>
        <v/>
      </c>
      <c r="D4348" s="12"/>
    </row>
    <row r="4349" spans="1:4" x14ac:dyDescent="0.25">
      <c r="A4349" t="str">
        <f>IF(COUNTIF(B$1:B4349,B4349)=1,MAX(A$1:A4348)+1,"")</f>
        <v/>
      </c>
      <c r="B4349" s="11"/>
      <c r="C4349" s="11" t="str">
        <f>IF(COUNTIF(D$1:D4349,D4349)=1,MAX(C$1:C4348)+1,"")</f>
        <v/>
      </c>
      <c r="D4349" s="12"/>
    </row>
    <row r="4350" spans="1:4" x14ac:dyDescent="0.25">
      <c r="A4350" t="str">
        <f>IF(COUNTIF(B$1:B4350,B4350)=1,MAX(A$1:A4349)+1,"")</f>
        <v/>
      </c>
      <c r="B4350" s="11"/>
      <c r="C4350" s="11" t="str">
        <f>IF(COUNTIF(D$1:D4350,D4350)=1,MAX(C$1:C4349)+1,"")</f>
        <v/>
      </c>
      <c r="D4350" s="12"/>
    </row>
    <row r="4351" spans="1:4" x14ac:dyDescent="0.25">
      <c r="A4351" t="str">
        <f>IF(COUNTIF(B$1:B4351,B4351)=1,MAX(A$1:A4350)+1,"")</f>
        <v/>
      </c>
      <c r="B4351" s="11"/>
      <c r="C4351" s="11" t="str">
        <f>IF(COUNTIF(D$1:D4351,D4351)=1,MAX(C$1:C4350)+1,"")</f>
        <v/>
      </c>
      <c r="D4351" s="12"/>
    </row>
    <row r="4352" spans="1:4" x14ac:dyDescent="0.25">
      <c r="A4352" t="str">
        <f>IF(COUNTIF(B$1:B4352,B4352)=1,MAX(A$1:A4351)+1,"")</f>
        <v/>
      </c>
      <c r="B4352" s="11"/>
      <c r="C4352" s="11" t="str">
        <f>IF(COUNTIF(D$1:D4352,D4352)=1,MAX(C$1:C4351)+1,"")</f>
        <v/>
      </c>
      <c r="D4352" s="12"/>
    </row>
    <row r="4353" spans="1:4" x14ac:dyDescent="0.25">
      <c r="A4353" t="str">
        <f>IF(COUNTIF(B$1:B4353,B4353)=1,MAX(A$1:A4352)+1,"")</f>
        <v/>
      </c>
      <c r="B4353" s="11"/>
      <c r="C4353" s="11" t="str">
        <f>IF(COUNTIF(D$1:D4353,D4353)=1,MAX(C$1:C4352)+1,"")</f>
        <v/>
      </c>
      <c r="D4353" s="12"/>
    </row>
    <row r="4354" spans="1:4" x14ac:dyDescent="0.25">
      <c r="A4354" t="str">
        <f>IF(COUNTIF(B$1:B4354,B4354)=1,MAX(A$1:A4353)+1,"")</f>
        <v/>
      </c>
      <c r="B4354" s="11"/>
      <c r="C4354" s="11" t="str">
        <f>IF(COUNTIF(D$1:D4354,D4354)=1,MAX(C$1:C4353)+1,"")</f>
        <v/>
      </c>
      <c r="D4354" s="12"/>
    </row>
    <row r="4355" spans="1:4" x14ac:dyDescent="0.25">
      <c r="A4355" t="str">
        <f>IF(COUNTIF(B$1:B4355,B4355)=1,MAX(A$1:A4354)+1,"")</f>
        <v/>
      </c>
      <c r="B4355" s="11"/>
      <c r="C4355" s="11" t="str">
        <f>IF(COUNTIF(D$1:D4355,D4355)=1,MAX(C$1:C4354)+1,"")</f>
        <v/>
      </c>
      <c r="D4355" s="12"/>
    </row>
    <row r="4356" spans="1:4" x14ac:dyDescent="0.25">
      <c r="A4356" t="str">
        <f>IF(COUNTIF(B$1:B4356,B4356)=1,MAX(A$1:A4355)+1,"")</f>
        <v/>
      </c>
      <c r="B4356" s="11"/>
      <c r="C4356" s="11" t="str">
        <f>IF(COUNTIF(D$1:D4356,D4356)=1,MAX(C$1:C4355)+1,"")</f>
        <v/>
      </c>
      <c r="D4356" s="12"/>
    </row>
    <row r="4357" spans="1:4" x14ac:dyDescent="0.25">
      <c r="A4357" t="str">
        <f>IF(COUNTIF(B$1:B4357,B4357)=1,MAX(A$1:A4356)+1,"")</f>
        <v/>
      </c>
      <c r="B4357" s="11"/>
      <c r="C4357" s="11" t="str">
        <f>IF(COUNTIF(D$1:D4357,D4357)=1,MAX(C$1:C4356)+1,"")</f>
        <v/>
      </c>
      <c r="D4357" s="12"/>
    </row>
    <row r="4358" spans="1:4" x14ac:dyDescent="0.25">
      <c r="A4358" t="str">
        <f>IF(COUNTIF(B$1:B4358,B4358)=1,MAX(A$1:A4357)+1,"")</f>
        <v/>
      </c>
      <c r="B4358" s="11"/>
      <c r="C4358" s="11" t="str">
        <f>IF(COUNTIF(D$1:D4358,D4358)=1,MAX(C$1:C4357)+1,"")</f>
        <v/>
      </c>
      <c r="D4358" s="12"/>
    </row>
    <row r="4359" spans="1:4" x14ac:dyDescent="0.25">
      <c r="A4359" t="str">
        <f>IF(COUNTIF(B$1:B4359,B4359)=1,MAX(A$1:A4358)+1,"")</f>
        <v/>
      </c>
      <c r="B4359" s="11"/>
      <c r="C4359" s="11" t="str">
        <f>IF(COUNTIF(D$1:D4359,D4359)=1,MAX(C$1:C4358)+1,"")</f>
        <v/>
      </c>
      <c r="D4359" s="12"/>
    </row>
    <row r="4360" spans="1:4" x14ac:dyDescent="0.25">
      <c r="A4360" t="str">
        <f>IF(COUNTIF(B$1:B4360,B4360)=1,MAX(A$1:A4359)+1,"")</f>
        <v/>
      </c>
      <c r="B4360" s="11"/>
      <c r="C4360" s="11" t="str">
        <f>IF(COUNTIF(D$1:D4360,D4360)=1,MAX(C$1:C4359)+1,"")</f>
        <v/>
      </c>
      <c r="D4360" s="12"/>
    </row>
    <row r="4361" spans="1:4" x14ac:dyDescent="0.25">
      <c r="A4361" t="str">
        <f>IF(COUNTIF(B$1:B4361,B4361)=1,MAX(A$1:A4360)+1,"")</f>
        <v/>
      </c>
      <c r="B4361" s="11"/>
      <c r="C4361" s="11" t="str">
        <f>IF(COUNTIF(D$1:D4361,D4361)=1,MAX(C$1:C4360)+1,"")</f>
        <v/>
      </c>
      <c r="D4361" s="12"/>
    </row>
    <row r="4362" spans="1:4" x14ac:dyDescent="0.25">
      <c r="A4362" t="str">
        <f>IF(COUNTIF(B$1:B4362,B4362)=1,MAX(A$1:A4361)+1,"")</f>
        <v/>
      </c>
      <c r="B4362" s="11"/>
      <c r="C4362" s="11" t="str">
        <f>IF(COUNTIF(D$1:D4362,D4362)=1,MAX(C$1:C4361)+1,"")</f>
        <v/>
      </c>
      <c r="D4362" s="12"/>
    </row>
    <row r="4363" spans="1:4" x14ac:dyDescent="0.25">
      <c r="A4363" t="str">
        <f>IF(COUNTIF(B$1:B4363,B4363)=1,MAX(A$1:A4362)+1,"")</f>
        <v/>
      </c>
      <c r="B4363" s="11"/>
      <c r="C4363" s="11" t="str">
        <f>IF(COUNTIF(D$1:D4363,D4363)=1,MAX(C$1:C4362)+1,"")</f>
        <v/>
      </c>
      <c r="D4363" s="12"/>
    </row>
    <row r="4364" spans="1:4" x14ac:dyDescent="0.25">
      <c r="A4364" t="str">
        <f>IF(COUNTIF(B$1:B4364,B4364)=1,MAX(A$1:A4363)+1,"")</f>
        <v/>
      </c>
      <c r="B4364" s="11"/>
      <c r="C4364" s="11" t="str">
        <f>IF(COUNTIF(D$1:D4364,D4364)=1,MAX(C$1:C4363)+1,"")</f>
        <v/>
      </c>
      <c r="D4364" s="12"/>
    </row>
    <row r="4365" spans="1:4" x14ac:dyDescent="0.25">
      <c r="A4365" t="str">
        <f>IF(COUNTIF(B$1:B4365,B4365)=1,MAX(A$1:A4364)+1,"")</f>
        <v/>
      </c>
      <c r="B4365" s="11"/>
      <c r="C4365" s="11" t="str">
        <f>IF(COUNTIF(D$1:D4365,D4365)=1,MAX(C$1:C4364)+1,"")</f>
        <v/>
      </c>
      <c r="D4365" s="12"/>
    </row>
    <row r="4366" spans="1:4" x14ac:dyDescent="0.25">
      <c r="A4366" t="str">
        <f>IF(COUNTIF(B$1:B4366,B4366)=1,MAX(A$1:A4365)+1,"")</f>
        <v/>
      </c>
      <c r="B4366" s="11"/>
      <c r="C4366" s="11" t="str">
        <f>IF(COUNTIF(D$1:D4366,D4366)=1,MAX(C$1:C4365)+1,"")</f>
        <v/>
      </c>
      <c r="D4366" s="12"/>
    </row>
    <row r="4367" spans="1:4" x14ac:dyDescent="0.25">
      <c r="A4367" t="str">
        <f>IF(COUNTIF(B$1:B4367,B4367)=1,MAX(A$1:A4366)+1,"")</f>
        <v/>
      </c>
      <c r="B4367" s="11"/>
      <c r="C4367" s="11" t="str">
        <f>IF(COUNTIF(D$1:D4367,D4367)=1,MAX(C$1:C4366)+1,"")</f>
        <v/>
      </c>
      <c r="D4367" s="12"/>
    </row>
    <row r="4368" spans="1:4" x14ac:dyDescent="0.25">
      <c r="A4368" t="str">
        <f>IF(COUNTIF(B$1:B4368,B4368)=1,MAX(A$1:A4367)+1,"")</f>
        <v/>
      </c>
      <c r="B4368" s="11"/>
      <c r="C4368" s="11" t="str">
        <f>IF(COUNTIF(D$1:D4368,D4368)=1,MAX(C$1:C4367)+1,"")</f>
        <v/>
      </c>
      <c r="D4368" s="12"/>
    </row>
    <row r="4369" spans="1:4" x14ac:dyDescent="0.25">
      <c r="A4369" t="str">
        <f>IF(COUNTIF(B$1:B4369,B4369)=1,MAX(A$1:A4368)+1,"")</f>
        <v/>
      </c>
      <c r="B4369" s="11"/>
      <c r="C4369" s="11" t="str">
        <f>IF(COUNTIF(D$1:D4369,D4369)=1,MAX(C$1:C4368)+1,"")</f>
        <v/>
      </c>
      <c r="D4369" s="12"/>
    </row>
    <row r="4370" spans="1:4" x14ac:dyDescent="0.25">
      <c r="A4370" t="str">
        <f>IF(COUNTIF(B$1:B4370,B4370)=1,MAX(A$1:A4369)+1,"")</f>
        <v/>
      </c>
      <c r="B4370" s="11"/>
      <c r="C4370" s="11" t="str">
        <f>IF(COUNTIF(D$1:D4370,D4370)=1,MAX(C$1:C4369)+1,"")</f>
        <v/>
      </c>
      <c r="D4370" s="12"/>
    </row>
    <row r="4371" spans="1:4" x14ac:dyDescent="0.25">
      <c r="A4371" t="str">
        <f>IF(COUNTIF(B$1:B4371,B4371)=1,MAX(A$1:A4370)+1,"")</f>
        <v/>
      </c>
      <c r="B4371" s="11"/>
      <c r="C4371" s="11" t="str">
        <f>IF(COUNTIF(D$1:D4371,D4371)=1,MAX(C$1:C4370)+1,"")</f>
        <v/>
      </c>
      <c r="D4371" s="12"/>
    </row>
    <row r="4372" spans="1:4" x14ac:dyDescent="0.25">
      <c r="A4372" t="str">
        <f>IF(COUNTIF(B$1:B4372,B4372)=1,MAX(A$1:A4371)+1,"")</f>
        <v/>
      </c>
      <c r="B4372" s="11"/>
      <c r="C4372" s="11" t="str">
        <f>IF(COUNTIF(D$1:D4372,D4372)=1,MAX(C$1:C4371)+1,"")</f>
        <v/>
      </c>
      <c r="D4372" s="12"/>
    </row>
    <row r="4373" spans="1:4" x14ac:dyDescent="0.25">
      <c r="A4373" t="str">
        <f>IF(COUNTIF(B$1:B4373,B4373)=1,MAX(A$1:A4372)+1,"")</f>
        <v/>
      </c>
      <c r="B4373" s="11"/>
      <c r="C4373" s="11" t="str">
        <f>IF(COUNTIF(D$1:D4373,D4373)=1,MAX(C$1:C4372)+1,"")</f>
        <v/>
      </c>
      <c r="D4373" s="12"/>
    </row>
    <row r="4374" spans="1:4" x14ac:dyDescent="0.25">
      <c r="A4374" t="str">
        <f>IF(COUNTIF(B$1:B4374,B4374)=1,MAX(A$1:A4373)+1,"")</f>
        <v/>
      </c>
      <c r="B4374" s="11"/>
      <c r="C4374" s="11" t="str">
        <f>IF(COUNTIF(D$1:D4374,D4374)=1,MAX(C$1:C4373)+1,"")</f>
        <v/>
      </c>
      <c r="D4374" s="12"/>
    </row>
    <row r="4375" spans="1:4" x14ac:dyDescent="0.25">
      <c r="A4375" t="str">
        <f>IF(COUNTIF(B$1:B4375,B4375)=1,MAX(A$1:A4374)+1,"")</f>
        <v/>
      </c>
      <c r="B4375" s="11"/>
      <c r="C4375" s="11" t="str">
        <f>IF(COUNTIF(D$1:D4375,D4375)=1,MAX(C$1:C4374)+1,"")</f>
        <v/>
      </c>
      <c r="D4375" s="12"/>
    </row>
    <row r="4376" spans="1:4" x14ac:dyDescent="0.25">
      <c r="A4376" t="str">
        <f>IF(COUNTIF(B$1:B4376,B4376)=1,MAX(A$1:A4375)+1,"")</f>
        <v/>
      </c>
      <c r="B4376" s="11"/>
      <c r="C4376" s="11" t="str">
        <f>IF(COUNTIF(D$1:D4376,D4376)=1,MAX(C$1:C4375)+1,"")</f>
        <v/>
      </c>
      <c r="D4376" s="12"/>
    </row>
    <row r="4377" spans="1:4" x14ac:dyDescent="0.25">
      <c r="A4377" t="str">
        <f>IF(COUNTIF(B$1:B4377,B4377)=1,MAX(A$1:A4376)+1,"")</f>
        <v/>
      </c>
      <c r="B4377" s="11"/>
      <c r="C4377" s="11" t="str">
        <f>IF(COUNTIF(D$1:D4377,D4377)=1,MAX(C$1:C4376)+1,"")</f>
        <v/>
      </c>
      <c r="D4377" s="12"/>
    </row>
    <row r="4378" spans="1:4" x14ac:dyDescent="0.25">
      <c r="A4378" t="str">
        <f>IF(COUNTIF(B$1:B4378,B4378)=1,MAX(A$1:A4377)+1,"")</f>
        <v/>
      </c>
      <c r="B4378" s="11"/>
      <c r="C4378" s="11" t="str">
        <f>IF(COUNTIF(D$1:D4378,D4378)=1,MAX(C$1:C4377)+1,"")</f>
        <v/>
      </c>
      <c r="D4378" s="12"/>
    </row>
    <row r="4379" spans="1:4" x14ac:dyDescent="0.25">
      <c r="A4379" t="str">
        <f>IF(COUNTIF(B$1:B4379,B4379)=1,MAX(A$1:A4378)+1,"")</f>
        <v/>
      </c>
      <c r="B4379" s="11"/>
      <c r="C4379" s="11" t="str">
        <f>IF(COUNTIF(D$1:D4379,D4379)=1,MAX(C$1:C4378)+1,"")</f>
        <v/>
      </c>
      <c r="D4379" s="12"/>
    </row>
    <row r="4380" spans="1:4" x14ac:dyDescent="0.25">
      <c r="A4380" t="str">
        <f>IF(COUNTIF(B$1:B4380,B4380)=1,MAX(A$1:A4379)+1,"")</f>
        <v/>
      </c>
      <c r="B4380" s="11"/>
      <c r="C4380" s="11" t="str">
        <f>IF(COUNTIF(D$1:D4380,D4380)=1,MAX(C$1:C4379)+1,"")</f>
        <v/>
      </c>
      <c r="D4380" s="12"/>
    </row>
    <row r="4381" spans="1:4" x14ac:dyDescent="0.25">
      <c r="A4381" t="str">
        <f>IF(COUNTIF(B$1:B4381,B4381)=1,MAX(A$1:A4380)+1,"")</f>
        <v/>
      </c>
      <c r="B4381" s="11"/>
      <c r="C4381" s="11" t="str">
        <f>IF(COUNTIF(D$1:D4381,D4381)=1,MAX(C$1:C4380)+1,"")</f>
        <v/>
      </c>
      <c r="D4381" s="12"/>
    </row>
    <row r="4382" spans="1:4" x14ac:dyDescent="0.25">
      <c r="A4382" t="str">
        <f>IF(COUNTIF(B$1:B4382,B4382)=1,MAX(A$1:A4381)+1,"")</f>
        <v/>
      </c>
      <c r="B4382" s="11"/>
      <c r="C4382" s="11" t="str">
        <f>IF(COUNTIF(D$1:D4382,D4382)=1,MAX(C$1:C4381)+1,"")</f>
        <v/>
      </c>
      <c r="D4382" s="12"/>
    </row>
    <row r="4383" spans="1:4" x14ac:dyDescent="0.25">
      <c r="A4383" t="str">
        <f>IF(COUNTIF(B$1:B4383,B4383)=1,MAX(A$1:A4382)+1,"")</f>
        <v/>
      </c>
      <c r="B4383" s="11"/>
      <c r="C4383" s="11" t="str">
        <f>IF(COUNTIF(D$1:D4383,D4383)=1,MAX(C$1:C4382)+1,"")</f>
        <v/>
      </c>
      <c r="D4383" s="12"/>
    </row>
    <row r="4384" spans="1:4" x14ac:dyDescent="0.25">
      <c r="A4384" t="str">
        <f>IF(COUNTIF(B$1:B4384,B4384)=1,MAX(A$1:A4383)+1,"")</f>
        <v/>
      </c>
      <c r="B4384" s="11"/>
      <c r="C4384" s="11" t="str">
        <f>IF(COUNTIF(D$1:D4384,D4384)=1,MAX(C$1:C4383)+1,"")</f>
        <v/>
      </c>
      <c r="D4384" s="12"/>
    </row>
    <row r="4385" spans="1:4" x14ac:dyDescent="0.25">
      <c r="A4385" t="str">
        <f>IF(COUNTIF(B$1:B4385,B4385)=1,MAX(A$1:A4384)+1,"")</f>
        <v/>
      </c>
      <c r="B4385" s="11"/>
      <c r="C4385" s="11" t="str">
        <f>IF(COUNTIF(D$1:D4385,D4385)=1,MAX(C$1:C4384)+1,"")</f>
        <v/>
      </c>
      <c r="D4385" s="12"/>
    </row>
    <row r="4386" spans="1:4" x14ac:dyDescent="0.25">
      <c r="A4386" t="str">
        <f>IF(COUNTIF(B$1:B4386,B4386)=1,MAX(A$1:A4385)+1,"")</f>
        <v/>
      </c>
      <c r="B4386" s="11"/>
      <c r="C4386" s="11" t="str">
        <f>IF(COUNTIF(D$1:D4386,D4386)=1,MAX(C$1:C4385)+1,"")</f>
        <v/>
      </c>
      <c r="D4386" s="12"/>
    </row>
    <row r="4387" spans="1:4" x14ac:dyDescent="0.25">
      <c r="A4387" t="str">
        <f>IF(COUNTIF(B$1:B4387,B4387)=1,MAX(A$1:A4386)+1,"")</f>
        <v/>
      </c>
      <c r="B4387" s="11"/>
      <c r="C4387" s="11" t="str">
        <f>IF(COUNTIF(D$1:D4387,D4387)=1,MAX(C$1:C4386)+1,"")</f>
        <v/>
      </c>
      <c r="D4387" s="12"/>
    </row>
    <row r="4388" spans="1:4" x14ac:dyDescent="0.25">
      <c r="A4388" t="str">
        <f>IF(COUNTIF(B$1:B4388,B4388)=1,MAX(A$1:A4387)+1,"")</f>
        <v/>
      </c>
      <c r="B4388" s="11"/>
      <c r="C4388" s="11" t="str">
        <f>IF(COUNTIF(D$1:D4388,D4388)=1,MAX(C$1:C4387)+1,"")</f>
        <v/>
      </c>
      <c r="D4388" s="12"/>
    </row>
    <row r="4389" spans="1:4" x14ac:dyDescent="0.25">
      <c r="A4389" t="str">
        <f>IF(COUNTIF(B$1:B4389,B4389)=1,MAX(A$1:A4388)+1,"")</f>
        <v/>
      </c>
      <c r="B4389" s="11"/>
      <c r="C4389" s="11" t="str">
        <f>IF(COUNTIF(D$1:D4389,D4389)=1,MAX(C$1:C4388)+1,"")</f>
        <v/>
      </c>
      <c r="D4389" s="12"/>
    </row>
    <row r="4390" spans="1:4" x14ac:dyDescent="0.25">
      <c r="A4390" t="str">
        <f>IF(COUNTIF(B$1:B4390,B4390)=1,MAX(A$1:A4389)+1,"")</f>
        <v/>
      </c>
      <c r="B4390" s="11"/>
      <c r="C4390" s="11" t="str">
        <f>IF(COUNTIF(D$1:D4390,D4390)=1,MAX(C$1:C4389)+1,"")</f>
        <v/>
      </c>
      <c r="D4390" s="12"/>
    </row>
    <row r="4391" spans="1:4" x14ac:dyDescent="0.25">
      <c r="A4391" t="str">
        <f>IF(COUNTIF(B$1:B4391,B4391)=1,MAX(A$1:A4390)+1,"")</f>
        <v/>
      </c>
      <c r="B4391" s="11"/>
      <c r="C4391" s="11" t="str">
        <f>IF(COUNTIF(D$1:D4391,D4391)=1,MAX(C$1:C4390)+1,"")</f>
        <v/>
      </c>
      <c r="D4391" s="12"/>
    </row>
    <row r="4392" spans="1:4" x14ac:dyDescent="0.25">
      <c r="A4392" t="str">
        <f>IF(COUNTIF(B$1:B4392,B4392)=1,MAX(A$1:A4391)+1,"")</f>
        <v/>
      </c>
      <c r="B4392" s="11"/>
      <c r="C4392" s="11" t="str">
        <f>IF(COUNTIF(D$1:D4392,D4392)=1,MAX(C$1:C4391)+1,"")</f>
        <v/>
      </c>
      <c r="D4392" s="12"/>
    </row>
    <row r="4393" spans="1:4" x14ac:dyDescent="0.25">
      <c r="A4393" t="str">
        <f>IF(COUNTIF(B$1:B4393,B4393)=1,MAX(A$1:A4392)+1,"")</f>
        <v/>
      </c>
      <c r="B4393" s="11"/>
      <c r="C4393" s="11" t="str">
        <f>IF(COUNTIF(D$1:D4393,D4393)=1,MAX(C$1:C4392)+1,"")</f>
        <v/>
      </c>
      <c r="D4393" s="12"/>
    </row>
    <row r="4394" spans="1:4" x14ac:dyDescent="0.25">
      <c r="A4394" t="str">
        <f>IF(COUNTIF(B$1:B4394,B4394)=1,MAX(A$1:A4393)+1,"")</f>
        <v/>
      </c>
      <c r="B4394" s="11"/>
      <c r="C4394" s="11" t="str">
        <f>IF(COUNTIF(D$1:D4394,D4394)=1,MAX(C$1:C4393)+1,"")</f>
        <v/>
      </c>
      <c r="D4394" s="12"/>
    </row>
    <row r="4395" spans="1:4" x14ac:dyDescent="0.25">
      <c r="A4395" t="str">
        <f>IF(COUNTIF(B$1:B4395,B4395)=1,MAX(A$1:A4394)+1,"")</f>
        <v/>
      </c>
      <c r="B4395" s="11"/>
      <c r="C4395" s="11" t="str">
        <f>IF(COUNTIF(D$1:D4395,D4395)=1,MAX(C$1:C4394)+1,"")</f>
        <v/>
      </c>
      <c r="D4395" s="12"/>
    </row>
    <row r="4396" spans="1:4" x14ac:dyDescent="0.25">
      <c r="A4396" t="str">
        <f>IF(COUNTIF(B$1:B4396,B4396)=1,MAX(A$1:A4395)+1,"")</f>
        <v/>
      </c>
      <c r="B4396" s="11"/>
      <c r="C4396" s="11" t="str">
        <f>IF(COUNTIF(D$1:D4396,D4396)=1,MAX(C$1:C4395)+1,"")</f>
        <v/>
      </c>
      <c r="D4396" s="12"/>
    </row>
    <row r="4397" spans="1:4" x14ac:dyDescent="0.25">
      <c r="A4397" t="str">
        <f>IF(COUNTIF(B$1:B4397,B4397)=1,MAX(A$1:A4396)+1,"")</f>
        <v/>
      </c>
      <c r="B4397" s="11"/>
      <c r="C4397" s="11" t="str">
        <f>IF(COUNTIF(D$1:D4397,D4397)=1,MAX(C$1:C4396)+1,"")</f>
        <v/>
      </c>
      <c r="D4397" s="12"/>
    </row>
    <row r="4398" spans="1:4" x14ac:dyDescent="0.25">
      <c r="A4398" t="str">
        <f>IF(COUNTIF(B$1:B4398,B4398)=1,MAX(A$1:A4397)+1,"")</f>
        <v/>
      </c>
      <c r="B4398" s="11"/>
      <c r="C4398" s="11" t="str">
        <f>IF(COUNTIF(D$1:D4398,D4398)=1,MAX(C$1:C4397)+1,"")</f>
        <v/>
      </c>
      <c r="D4398" s="12"/>
    </row>
    <row r="4399" spans="1:4" x14ac:dyDescent="0.25">
      <c r="A4399" t="str">
        <f>IF(COUNTIF(B$1:B4399,B4399)=1,MAX(A$1:A4398)+1,"")</f>
        <v/>
      </c>
      <c r="B4399" s="11"/>
      <c r="C4399" s="11" t="str">
        <f>IF(COUNTIF(D$1:D4399,D4399)=1,MAX(C$1:C4398)+1,"")</f>
        <v/>
      </c>
      <c r="D4399" s="12"/>
    </row>
    <row r="4400" spans="1:4" x14ac:dyDescent="0.25">
      <c r="A4400" t="str">
        <f>IF(COUNTIF(B$1:B4400,B4400)=1,MAX(A$1:A4399)+1,"")</f>
        <v/>
      </c>
      <c r="B4400" s="11"/>
      <c r="C4400" s="11" t="str">
        <f>IF(COUNTIF(D$1:D4400,D4400)=1,MAX(C$1:C4399)+1,"")</f>
        <v/>
      </c>
      <c r="D4400" s="12"/>
    </row>
    <row r="4401" spans="1:4" x14ac:dyDescent="0.25">
      <c r="A4401" t="str">
        <f>IF(COUNTIF(B$1:B4401,B4401)=1,MAX(A$1:A4400)+1,"")</f>
        <v/>
      </c>
      <c r="B4401" s="11"/>
      <c r="C4401" s="11" t="str">
        <f>IF(COUNTIF(D$1:D4401,D4401)=1,MAX(C$1:C4400)+1,"")</f>
        <v/>
      </c>
      <c r="D4401" s="12"/>
    </row>
    <row r="4402" spans="1:4" x14ac:dyDescent="0.25">
      <c r="A4402" t="str">
        <f>IF(COUNTIF(B$1:B4402,B4402)=1,MAX(A$1:A4401)+1,"")</f>
        <v/>
      </c>
      <c r="B4402" s="11"/>
      <c r="C4402" s="11" t="str">
        <f>IF(COUNTIF(D$1:D4402,D4402)=1,MAX(C$1:C4401)+1,"")</f>
        <v/>
      </c>
      <c r="D4402" s="12"/>
    </row>
    <row r="4403" spans="1:4" x14ac:dyDescent="0.25">
      <c r="A4403" t="str">
        <f>IF(COUNTIF(B$1:B4403,B4403)=1,MAX(A$1:A4402)+1,"")</f>
        <v/>
      </c>
      <c r="B4403" s="11"/>
      <c r="C4403" s="11" t="str">
        <f>IF(COUNTIF(D$1:D4403,D4403)=1,MAX(C$1:C4402)+1,"")</f>
        <v/>
      </c>
      <c r="D4403" s="12"/>
    </row>
    <row r="4404" spans="1:4" x14ac:dyDescent="0.25">
      <c r="A4404" t="str">
        <f>IF(COUNTIF(B$1:B4404,B4404)=1,MAX(A$1:A4403)+1,"")</f>
        <v/>
      </c>
      <c r="B4404" s="11"/>
      <c r="C4404" s="11" t="str">
        <f>IF(COUNTIF(D$1:D4404,D4404)=1,MAX(C$1:C4403)+1,"")</f>
        <v/>
      </c>
      <c r="D4404" s="12"/>
    </row>
    <row r="4405" spans="1:4" x14ac:dyDescent="0.25">
      <c r="A4405" t="str">
        <f>IF(COUNTIF(B$1:B4405,B4405)=1,MAX(A$1:A4404)+1,"")</f>
        <v/>
      </c>
      <c r="B4405" s="11"/>
      <c r="C4405" s="11" t="str">
        <f>IF(COUNTIF(D$1:D4405,D4405)=1,MAX(C$1:C4404)+1,"")</f>
        <v/>
      </c>
      <c r="D4405" s="12"/>
    </row>
    <row r="4406" spans="1:4" x14ac:dyDescent="0.25">
      <c r="A4406" t="str">
        <f>IF(COUNTIF(B$1:B4406,B4406)=1,MAX(A$1:A4405)+1,"")</f>
        <v/>
      </c>
      <c r="B4406" s="11"/>
      <c r="C4406" s="11" t="str">
        <f>IF(COUNTIF(D$1:D4406,D4406)=1,MAX(C$1:C4405)+1,"")</f>
        <v/>
      </c>
      <c r="D4406" s="12"/>
    </row>
    <row r="4407" spans="1:4" x14ac:dyDescent="0.25">
      <c r="A4407" t="str">
        <f>IF(COUNTIF(B$1:B4407,B4407)=1,MAX(A$1:A4406)+1,"")</f>
        <v/>
      </c>
      <c r="B4407" s="11"/>
      <c r="C4407" s="11" t="str">
        <f>IF(COUNTIF(D$1:D4407,D4407)=1,MAX(C$1:C4406)+1,"")</f>
        <v/>
      </c>
      <c r="D4407" s="12"/>
    </row>
    <row r="4408" spans="1:4" x14ac:dyDescent="0.25">
      <c r="A4408" t="str">
        <f>IF(COUNTIF(B$1:B4408,B4408)=1,MAX(A$1:A4407)+1,"")</f>
        <v/>
      </c>
      <c r="B4408" s="11"/>
      <c r="C4408" s="11" t="str">
        <f>IF(COUNTIF(D$1:D4408,D4408)=1,MAX(C$1:C4407)+1,"")</f>
        <v/>
      </c>
      <c r="D4408" s="12"/>
    </row>
    <row r="4409" spans="1:4" x14ac:dyDescent="0.25">
      <c r="A4409" t="str">
        <f>IF(COUNTIF(B$1:B4409,B4409)=1,MAX(A$1:A4408)+1,"")</f>
        <v/>
      </c>
      <c r="B4409" s="11"/>
      <c r="C4409" s="11" t="str">
        <f>IF(COUNTIF(D$1:D4409,D4409)=1,MAX(C$1:C4408)+1,"")</f>
        <v/>
      </c>
      <c r="D4409" s="12"/>
    </row>
    <row r="4410" spans="1:4" x14ac:dyDescent="0.25">
      <c r="A4410" t="str">
        <f>IF(COUNTIF(B$1:B4410,B4410)=1,MAX(A$1:A4409)+1,"")</f>
        <v/>
      </c>
      <c r="B4410" s="11"/>
      <c r="C4410" s="11" t="str">
        <f>IF(COUNTIF(D$1:D4410,D4410)=1,MAX(C$1:C4409)+1,"")</f>
        <v/>
      </c>
      <c r="D4410" s="12"/>
    </row>
    <row r="4411" spans="1:4" x14ac:dyDescent="0.25">
      <c r="A4411" t="str">
        <f>IF(COUNTIF(B$1:B4411,B4411)=1,MAX(A$1:A4410)+1,"")</f>
        <v/>
      </c>
      <c r="B4411" s="11"/>
      <c r="C4411" s="11" t="str">
        <f>IF(COUNTIF(D$1:D4411,D4411)=1,MAX(C$1:C4410)+1,"")</f>
        <v/>
      </c>
      <c r="D4411" s="12"/>
    </row>
    <row r="4412" spans="1:4" x14ac:dyDescent="0.25">
      <c r="A4412" t="str">
        <f>IF(COUNTIF(B$1:B4412,B4412)=1,MAX(A$1:A4411)+1,"")</f>
        <v/>
      </c>
      <c r="B4412" s="11"/>
      <c r="C4412" s="11" t="str">
        <f>IF(COUNTIF(D$1:D4412,D4412)=1,MAX(C$1:C4411)+1,"")</f>
        <v/>
      </c>
      <c r="D4412" s="12"/>
    </row>
    <row r="4413" spans="1:4" x14ac:dyDescent="0.25">
      <c r="A4413" t="str">
        <f>IF(COUNTIF(B$1:B4413,B4413)=1,MAX(A$1:A4412)+1,"")</f>
        <v/>
      </c>
      <c r="B4413" s="11"/>
      <c r="C4413" s="11" t="str">
        <f>IF(COUNTIF(D$1:D4413,D4413)=1,MAX(C$1:C4412)+1,"")</f>
        <v/>
      </c>
      <c r="D4413" s="12"/>
    </row>
    <row r="4414" spans="1:4" x14ac:dyDescent="0.25">
      <c r="A4414" t="str">
        <f>IF(COUNTIF(B$1:B4414,B4414)=1,MAX(A$1:A4413)+1,"")</f>
        <v/>
      </c>
      <c r="B4414" s="11"/>
      <c r="C4414" s="11" t="str">
        <f>IF(COUNTIF(D$1:D4414,D4414)=1,MAX(C$1:C4413)+1,"")</f>
        <v/>
      </c>
      <c r="D4414" s="12"/>
    </row>
    <row r="4415" spans="1:4" x14ac:dyDescent="0.25">
      <c r="A4415" t="str">
        <f>IF(COUNTIF(B$1:B4415,B4415)=1,MAX(A$1:A4414)+1,"")</f>
        <v/>
      </c>
      <c r="B4415" s="11"/>
      <c r="C4415" s="11" t="str">
        <f>IF(COUNTIF(D$1:D4415,D4415)=1,MAX(C$1:C4414)+1,"")</f>
        <v/>
      </c>
      <c r="D4415" s="12"/>
    </row>
    <row r="4416" spans="1:4" x14ac:dyDescent="0.25">
      <c r="A4416" t="str">
        <f>IF(COUNTIF(B$1:B4416,B4416)=1,MAX(A$1:A4415)+1,"")</f>
        <v/>
      </c>
      <c r="B4416" s="11"/>
      <c r="C4416" s="11" t="str">
        <f>IF(COUNTIF(D$1:D4416,D4416)=1,MAX(C$1:C4415)+1,"")</f>
        <v/>
      </c>
      <c r="D4416" s="12"/>
    </row>
    <row r="4417" spans="1:4" x14ac:dyDescent="0.25">
      <c r="A4417" t="str">
        <f>IF(COUNTIF(B$1:B4417,B4417)=1,MAX(A$1:A4416)+1,"")</f>
        <v/>
      </c>
      <c r="B4417" s="11"/>
      <c r="C4417" s="11" t="str">
        <f>IF(COUNTIF(D$1:D4417,D4417)=1,MAX(C$1:C4416)+1,"")</f>
        <v/>
      </c>
      <c r="D4417" s="12"/>
    </row>
    <row r="4418" spans="1:4" x14ac:dyDescent="0.25">
      <c r="A4418" t="str">
        <f>IF(COUNTIF(B$1:B4418,B4418)=1,MAX(A$1:A4417)+1,"")</f>
        <v/>
      </c>
      <c r="B4418" s="11"/>
      <c r="C4418" s="11" t="str">
        <f>IF(COUNTIF(D$1:D4418,D4418)=1,MAX(C$1:C4417)+1,"")</f>
        <v/>
      </c>
      <c r="D4418" s="12"/>
    </row>
    <row r="4419" spans="1:4" x14ac:dyDescent="0.25">
      <c r="A4419" t="str">
        <f>IF(COUNTIF(B$1:B4419,B4419)=1,MAX(A$1:A4418)+1,"")</f>
        <v/>
      </c>
      <c r="B4419" s="11"/>
      <c r="C4419" s="11" t="str">
        <f>IF(COUNTIF(D$1:D4419,D4419)=1,MAX(C$1:C4418)+1,"")</f>
        <v/>
      </c>
      <c r="D4419" s="12"/>
    </row>
    <row r="4420" spans="1:4" x14ac:dyDescent="0.25">
      <c r="A4420" t="str">
        <f>IF(COUNTIF(B$1:B4420,B4420)=1,MAX(A$1:A4419)+1,"")</f>
        <v/>
      </c>
      <c r="B4420" s="11"/>
      <c r="C4420" s="11" t="str">
        <f>IF(COUNTIF(D$1:D4420,D4420)=1,MAX(C$1:C4419)+1,"")</f>
        <v/>
      </c>
      <c r="D4420" s="12"/>
    </row>
    <row r="4421" spans="1:4" x14ac:dyDescent="0.25">
      <c r="A4421" t="str">
        <f>IF(COUNTIF(B$1:B4421,B4421)=1,MAX(A$1:A4420)+1,"")</f>
        <v/>
      </c>
      <c r="B4421" s="11"/>
      <c r="C4421" s="11" t="str">
        <f>IF(COUNTIF(D$1:D4421,D4421)=1,MAX(C$1:C4420)+1,"")</f>
        <v/>
      </c>
      <c r="D4421" s="12"/>
    </row>
    <row r="4422" spans="1:4" x14ac:dyDescent="0.25">
      <c r="A4422" t="str">
        <f>IF(COUNTIF(B$1:B4422,B4422)=1,MAX(A$1:A4421)+1,"")</f>
        <v/>
      </c>
      <c r="B4422" s="11"/>
      <c r="C4422" s="11" t="str">
        <f>IF(COUNTIF(D$1:D4422,D4422)=1,MAX(C$1:C4421)+1,"")</f>
        <v/>
      </c>
      <c r="D4422" s="12"/>
    </row>
    <row r="4423" spans="1:4" x14ac:dyDescent="0.25">
      <c r="A4423" t="str">
        <f>IF(COUNTIF(B$1:B4423,B4423)=1,MAX(A$1:A4422)+1,"")</f>
        <v/>
      </c>
      <c r="B4423" s="11"/>
      <c r="C4423" s="11" t="str">
        <f>IF(COUNTIF(D$1:D4423,D4423)=1,MAX(C$1:C4422)+1,"")</f>
        <v/>
      </c>
      <c r="D4423" s="12"/>
    </row>
    <row r="4424" spans="1:4" x14ac:dyDescent="0.25">
      <c r="A4424" t="str">
        <f>IF(COUNTIF(B$1:B4424,B4424)=1,MAX(A$1:A4423)+1,"")</f>
        <v/>
      </c>
      <c r="B4424" s="11"/>
      <c r="C4424" s="11" t="str">
        <f>IF(COUNTIF(D$1:D4424,D4424)=1,MAX(C$1:C4423)+1,"")</f>
        <v/>
      </c>
      <c r="D4424" s="12"/>
    </row>
    <row r="4425" spans="1:4" x14ac:dyDescent="0.25">
      <c r="A4425" t="str">
        <f>IF(COUNTIF(B$1:B4425,B4425)=1,MAX(A$1:A4424)+1,"")</f>
        <v/>
      </c>
      <c r="B4425" s="11"/>
      <c r="C4425" s="11" t="str">
        <f>IF(COUNTIF(D$1:D4425,D4425)=1,MAX(C$1:C4424)+1,"")</f>
        <v/>
      </c>
      <c r="D4425" s="12"/>
    </row>
    <row r="4426" spans="1:4" x14ac:dyDescent="0.25">
      <c r="A4426" t="str">
        <f>IF(COUNTIF(B$1:B4426,B4426)=1,MAX(A$1:A4425)+1,"")</f>
        <v/>
      </c>
      <c r="B4426" s="11"/>
      <c r="C4426" s="11" t="str">
        <f>IF(COUNTIF(D$1:D4426,D4426)=1,MAX(C$1:C4425)+1,"")</f>
        <v/>
      </c>
      <c r="D4426" s="12"/>
    </row>
    <row r="4427" spans="1:4" x14ac:dyDescent="0.25">
      <c r="A4427" t="str">
        <f>IF(COUNTIF(B$1:B4427,B4427)=1,MAX(A$1:A4426)+1,"")</f>
        <v/>
      </c>
      <c r="B4427" s="11"/>
      <c r="C4427" s="11" t="str">
        <f>IF(COUNTIF(D$1:D4427,D4427)=1,MAX(C$1:C4426)+1,"")</f>
        <v/>
      </c>
      <c r="D4427" s="12"/>
    </row>
    <row r="4428" spans="1:4" x14ac:dyDescent="0.25">
      <c r="A4428" t="str">
        <f>IF(COUNTIF(B$1:B4428,B4428)=1,MAX(A$1:A4427)+1,"")</f>
        <v/>
      </c>
      <c r="B4428" s="11"/>
      <c r="C4428" s="11" t="str">
        <f>IF(COUNTIF(D$1:D4428,D4428)=1,MAX(C$1:C4427)+1,"")</f>
        <v/>
      </c>
      <c r="D4428" s="12"/>
    </row>
    <row r="4429" spans="1:4" x14ac:dyDescent="0.25">
      <c r="A4429" t="str">
        <f>IF(COUNTIF(B$1:B4429,B4429)=1,MAX(A$1:A4428)+1,"")</f>
        <v/>
      </c>
      <c r="B4429" s="11"/>
      <c r="C4429" s="11" t="str">
        <f>IF(COUNTIF(D$1:D4429,D4429)=1,MAX(C$1:C4428)+1,"")</f>
        <v/>
      </c>
      <c r="D4429" s="12"/>
    </row>
    <row r="4430" spans="1:4" x14ac:dyDescent="0.25">
      <c r="A4430" t="str">
        <f>IF(COUNTIF(B$1:B4430,B4430)=1,MAX(A$1:A4429)+1,"")</f>
        <v/>
      </c>
      <c r="B4430" s="11"/>
      <c r="C4430" s="11" t="str">
        <f>IF(COUNTIF(D$1:D4430,D4430)=1,MAX(C$1:C4429)+1,"")</f>
        <v/>
      </c>
      <c r="D4430" s="12"/>
    </row>
    <row r="4431" spans="1:4" x14ac:dyDescent="0.25">
      <c r="A4431" t="str">
        <f>IF(COUNTIF(B$1:B4431,B4431)=1,MAX(A$1:A4430)+1,"")</f>
        <v/>
      </c>
      <c r="B4431" s="11"/>
      <c r="C4431" s="11" t="str">
        <f>IF(COUNTIF(D$1:D4431,D4431)=1,MAX(C$1:C4430)+1,"")</f>
        <v/>
      </c>
      <c r="D4431" s="12"/>
    </row>
    <row r="4432" spans="1:4" x14ac:dyDescent="0.25">
      <c r="A4432" t="str">
        <f>IF(COUNTIF(B$1:B4432,B4432)=1,MAX(A$1:A4431)+1,"")</f>
        <v/>
      </c>
      <c r="B4432" s="11"/>
      <c r="C4432" s="11" t="str">
        <f>IF(COUNTIF(D$1:D4432,D4432)=1,MAX(C$1:C4431)+1,"")</f>
        <v/>
      </c>
      <c r="D4432" s="12"/>
    </row>
    <row r="4433" spans="1:4" x14ac:dyDescent="0.25">
      <c r="A4433" t="str">
        <f>IF(COUNTIF(B$1:B4433,B4433)=1,MAX(A$1:A4432)+1,"")</f>
        <v/>
      </c>
      <c r="B4433" s="11"/>
      <c r="C4433" s="11" t="str">
        <f>IF(COUNTIF(D$1:D4433,D4433)=1,MAX(C$1:C4432)+1,"")</f>
        <v/>
      </c>
      <c r="D4433" s="12"/>
    </row>
    <row r="4434" spans="1:4" x14ac:dyDescent="0.25">
      <c r="A4434" t="str">
        <f>IF(COUNTIF(B$1:B4434,B4434)=1,MAX(A$1:A4433)+1,"")</f>
        <v/>
      </c>
      <c r="B4434" s="11"/>
      <c r="C4434" s="11" t="str">
        <f>IF(COUNTIF(D$1:D4434,D4434)=1,MAX(C$1:C4433)+1,"")</f>
        <v/>
      </c>
      <c r="D4434" s="12"/>
    </row>
    <row r="4435" spans="1:4" x14ac:dyDescent="0.25">
      <c r="A4435" t="str">
        <f>IF(COUNTIF(B$1:B4435,B4435)=1,MAX(A$1:A4434)+1,"")</f>
        <v/>
      </c>
      <c r="B4435" s="11"/>
      <c r="C4435" s="11" t="str">
        <f>IF(COUNTIF(D$1:D4435,D4435)=1,MAX(C$1:C4434)+1,"")</f>
        <v/>
      </c>
      <c r="D4435" s="12"/>
    </row>
    <row r="4436" spans="1:4" x14ac:dyDescent="0.25">
      <c r="A4436" t="str">
        <f>IF(COUNTIF(B$1:B4436,B4436)=1,MAX(A$1:A4435)+1,"")</f>
        <v/>
      </c>
      <c r="B4436" s="11"/>
      <c r="C4436" s="11" t="str">
        <f>IF(COUNTIF(D$1:D4436,D4436)=1,MAX(C$1:C4435)+1,"")</f>
        <v/>
      </c>
      <c r="D4436" s="12"/>
    </row>
    <row r="4437" spans="1:4" x14ac:dyDescent="0.25">
      <c r="A4437" t="str">
        <f>IF(COUNTIF(B$1:B4437,B4437)=1,MAX(A$1:A4436)+1,"")</f>
        <v/>
      </c>
      <c r="B4437" s="11"/>
      <c r="C4437" s="11" t="str">
        <f>IF(COUNTIF(D$1:D4437,D4437)=1,MAX(C$1:C4436)+1,"")</f>
        <v/>
      </c>
      <c r="D4437" s="12"/>
    </row>
    <row r="4438" spans="1:4" x14ac:dyDescent="0.25">
      <c r="A4438" t="str">
        <f>IF(COUNTIF(B$1:B4438,B4438)=1,MAX(A$1:A4437)+1,"")</f>
        <v/>
      </c>
      <c r="B4438" s="11"/>
      <c r="C4438" s="11" t="str">
        <f>IF(COUNTIF(D$1:D4438,D4438)=1,MAX(C$1:C4437)+1,"")</f>
        <v/>
      </c>
      <c r="D4438" s="12"/>
    </row>
    <row r="4439" spans="1:4" x14ac:dyDescent="0.25">
      <c r="A4439" t="str">
        <f>IF(COUNTIF(B$1:B4439,B4439)=1,MAX(A$1:A4438)+1,"")</f>
        <v/>
      </c>
      <c r="B4439" s="11"/>
      <c r="C4439" s="11" t="str">
        <f>IF(COUNTIF(D$1:D4439,D4439)=1,MAX(C$1:C4438)+1,"")</f>
        <v/>
      </c>
      <c r="D4439" s="12"/>
    </row>
    <row r="4440" spans="1:4" x14ac:dyDescent="0.25">
      <c r="A4440" t="str">
        <f>IF(COUNTIF(B$1:B4440,B4440)=1,MAX(A$1:A4439)+1,"")</f>
        <v/>
      </c>
      <c r="B4440" s="11"/>
      <c r="C4440" s="11" t="str">
        <f>IF(COUNTIF(D$1:D4440,D4440)=1,MAX(C$1:C4439)+1,"")</f>
        <v/>
      </c>
      <c r="D4440" s="12"/>
    </row>
    <row r="4441" spans="1:4" x14ac:dyDescent="0.25">
      <c r="A4441" t="str">
        <f>IF(COUNTIF(B$1:B4441,B4441)=1,MAX(A$1:A4440)+1,"")</f>
        <v/>
      </c>
      <c r="B4441" s="11"/>
      <c r="C4441" s="11" t="str">
        <f>IF(COUNTIF(D$1:D4441,D4441)=1,MAX(C$1:C4440)+1,"")</f>
        <v/>
      </c>
      <c r="D4441" s="12"/>
    </row>
    <row r="4442" spans="1:4" x14ac:dyDescent="0.25">
      <c r="A4442" t="str">
        <f>IF(COUNTIF(B$1:B4442,B4442)=1,MAX(A$1:A4441)+1,"")</f>
        <v/>
      </c>
      <c r="B4442" s="11"/>
      <c r="C4442" s="11" t="str">
        <f>IF(COUNTIF(D$1:D4442,D4442)=1,MAX(C$1:C4441)+1,"")</f>
        <v/>
      </c>
      <c r="D4442" s="12"/>
    </row>
    <row r="4443" spans="1:4" x14ac:dyDescent="0.25">
      <c r="A4443" t="str">
        <f>IF(COUNTIF(B$1:B4443,B4443)=1,MAX(A$1:A4442)+1,"")</f>
        <v/>
      </c>
      <c r="B4443" s="11"/>
      <c r="C4443" s="11" t="str">
        <f>IF(COUNTIF(D$1:D4443,D4443)=1,MAX(C$1:C4442)+1,"")</f>
        <v/>
      </c>
      <c r="D4443" s="12"/>
    </row>
    <row r="4444" spans="1:4" x14ac:dyDescent="0.25">
      <c r="A4444" t="str">
        <f>IF(COUNTIF(B$1:B4444,B4444)=1,MAX(A$1:A4443)+1,"")</f>
        <v/>
      </c>
      <c r="B4444" s="11"/>
      <c r="C4444" s="11" t="str">
        <f>IF(COUNTIF(D$1:D4444,D4444)=1,MAX(C$1:C4443)+1,"")</f>
        <v/>
      </c>
      <c r="D4444" s="12"/>
    </row>
    <row r="4445" spans="1:4" x14ac:dyDescent="0.25">
      <c r="A4445" t="str">
        <f>IF(COUNTIF(B$1:B4445,B4445)=1,MAX(A$1:A4444)+1,"")</f>
        <v/>
      </c>
      <c r="B4445" s="11"/>
      <c r="C4445" s="11" t="str">
        <f>IF(COUNTIF(D$1:D4445,D4445)=1,MAX(C$1:C4444)+1,"")</f>
        <v/>
      </c>
      <c r="D4445" s="12"/>
    </row>
    <row r="4446" spans="1:4" x14ac:dyDescent="0.25">
      <c r="A4446" t="str">
        <f>IF(COUNTIF(B$1:B4446,B4446)=1,MAX(A$1:A4445)+1,"")</f>
        <v/>
      </c>
      <c r="B4446" s="11"/>
      <c r="C4446" s="11" t="str">
        <f>IF(COUNTIF(D$1:D4446,D4446)=1,MAX(C$1:C4445)+1,"")</f>
        <v/>
      </c>
      <c r="D4446" s="12"/>
    </row>
    <row r="4447" spans="1:4" x14ac:dyDescent="0.25">
      <c r="A4447" t="str">
        <f>IF(COUNTIF(B$1:B4447,B4447)=1,MAX(A$1:A4446)+1,"")</f>
        <v/>
      </c>
      <c r="B4447" s="11"/>
      <c r="C4447" s="11" t="str">
        <f>IF(COUNTIF(D$1:D4447,D4447)=1,MAX(C$1:C4446)+1,"")</f>
        <v/>
      </c>
      <c r="D4447" s="12"/>
    </row>
    <row r="4448" spans="1:4" x14ac:dyDescent="0.25">
      <c r="A4448" t="str">
        <f>IF(COUNTIF(B$1:B4448,B4448)=1,MAX(A$1:A4447)+1,"")</f>
        <v/>
      </c>
      <c r="B4448" s="11"/>
      <c r="C4448" s="11" t="str">
        <f>IF(COUNTIF(D$1:D4448,D4448)=1,MAX(C$1:C4447)+1,"")</f>
        <v/>
      </c>
      <c r="D4448" s="12"/>
    </row>
    <row r="4449" spans="1:4" x14ac:dyDescent="0.25">
      <c r="A4449" t="str">
        <f>IF(COUNTIF(B$1:B4449,B4449)=1,MAX(A$1:A4448)+1,"")</f>
        <v/>
      </c>
      <c r="B4449" s="11"/>
      <c r="C4449" s="11" t="str">
        <f>IF(COUNTIF(D$1:D4449,D4449)=1,MAX(C$1:C4448)+1,"")</f>
        <v/>
      </c>
      <c r="D4449" s="12"/>
    </row>
    <row r="4450" spans="1:4" x14ac:dyDescent="0.25">
      <c r="A4450" t="str">
        <f>IF(COUNTIF(B$1:B4450,B4450)=1,MAX(A$1:A4449)+1,"")</f>
        <v/>
      </c>
      <c r="B4450" s="11"/>
      <c r="C4450" s="11" t="str">
        <f>IF(COUNTIF(D$1:D4450,D4450)=1,MAX(C$1:C4449)+1,"")</f>
        <v/>
      </c>
      <c r="D4450" s="12"/>
    </row>
    <row r="4451" spans="1:4" x14ac:dyDescent="0.25">
      <c r="A4451" t="str">
        <f>IF(COUNTIF(B$1:B4451,B4451)=1,MAX(A$1:A4450)+1,"")</f>
        <v/>
      </c>
      <c r="B4451" s="11"/>
      <c r="C4451" s="11" t="str">
        <f>IF(COUNTIF(D$1:D4451,D4451)=1,MAX(C$1:C4450)+1,"")</f>
        <v/>
      </c>
      <c r="D4451" s="12"/>
    </row>
    <row r="4452" spans="1:4" x14ac:dyDescent="0.25">
      <c r="A4452" t="str">
        <f>IF(COUNTIF(B$1:B4452,B4452)=1,MAX(A$1:A4451)+1,"")</f>
        <v/>
      </c>
      <c r="B4452" s="11"/>
      <c r="C4452" s="11" t="str">
        <f>IF(COUNTIF(D$1:D4452,D4452)=1,MAX(C$1:C4451)+1,"")</f>
        <v/>
      </c>
      <c r="D4452" s="12"/>
    </row>
    <row r="4453" spans="1:4" x14ac:dyDescent="0.25">
      <c r="A4453" t="str">
        <f>IF(COUNTIF(B$1:B4453,B4453)=1,MAX(A$1:A4452)+1,"")</f>
        <v/>
      </c>
      <c r="B4453" s="11"/>
      <c r="C4453" s="11" t="str">
        <f>IF(COUNTIF(D$1:D4453,D4453)=1,MAX(C$1:C4452)+1,"")</f>
        <v/>
      </c>
      <c r="D4453" s="12"/>
    </row>
    <row r="4454" spans="1:4" x14ac:dyDescent="0.25">
      <c r="A4454" t="str">
        <f>IF(COUNTIF(B$1:B4454,B4454)=1,MAX(A$1:A4453)+1,"")</f>
        <v/>
      </c>
      <c r="B4454" s="11"/>
      <c r="C4454" s="11" t="str">
        <f>IF(COUNTIF(D$1:D4454,D4454)=1,MAX(C$1:C4453)+1,"")</f>
        <v/>
      </c>
      <c r="D4454" s="12"/>
    </row>
    <row r="4455" spans="1:4" x14ac:dyDescent="0.25">
      <c r="A4455" t="str">
        <f>IF(COUNTIF(B$1:B4455,B4455)=1,MAX(A$1:A4454)+1,"")</f>
        <v/>
      </c>
      <c r="B4455" s="11"/>
      <c r="C4455" s="11" t="str">
        <f>IF(COUNTIF(D$1:D4455,D4455)=1,MAX(C$1:C4454)+1,"")</f>
        <v/>
      </c>
      <c r="D4455" s="12"/>
    </row>
    <row r="4456" spans="1:4" x14ac:dyDescent="0.25">
      <c r="A4456" t="str">
        <f>IF(COUNTIF(B$1:B4456,B4456)=1,MAX(A$1:A4455)+1,"")</f>
        <v/>
      </c>
      <c r="B4456" s="11"/>
      <c r="C4456" s="11" t="str">
        <f>IF(COUNTIF(D$1:D4456,D4456)=1,MAX(C$1:C4455)+1,"")</f>
        <v/>
      </c>
      <c r="D4456" s="12"/>
    </row>
    <row r="4457" spans="1:4" x14ac:dyDescent="0.25">
      <c r="A4457" t="str">
        <f>IF(COUNTIF(B$1:B4457,B4457)=1,MAX(A$1:A4456)+1,"")</f>
        <v/>
      </c>
      <c r="B4457" s="11"/>
      <c r="C4457" s="11" t="str">
        <f>IF(COUNTIF(D$1:D4457,D4457)=1,MAX(C$1:C4456)+1,"")</f>
        <v/>
      </c>
      <c r="D4457" s="12"/>
    </row>
    <row r="4458" spans="1:4" x14ac:dyDescent="0.25">
      <c r="A4458" t="str">
        <f>IF(COUNTIF(B$1:B4458,B4458)=1,MAX(A$1:A4457)+1,"")</f>
        <v/>
      </c>
      <c r="B4458" s="11"/>
      <c r="C4458" s="11" t="str">
        <f>IF(COUNTIF(D$1:D4458,D4458)=1,MAX(C$1:C4457)+1,"")</f>
        <v/>
      </c>
      <c r="D4458" s="12"/>
    </row>
    <row r="4459" spans="1:4" x14ac:dyDescent="0.25">
      <c r="A4459" t="str">
        <f>IF(COUNTIF(B$1:B4459,B4459)=1,MAX(A$1:A4458)+1,"")</f>
        <v/>
      </c>
      <c r="B4459" s="11"/>
      <c r="C4459" s="11" t="str">
        <f>IF(COUNTIF(D$1:D4459,D4459)=1,MAX(C$1:C4458)+1,"")</f>
        <v/>
      </c>
      <c r="D4459" s="12"/>
    </row>
    <row r="4460" spans="1:4" x14ac:dyDescent="0.25">
      <c r="A4460" t="str">
        <f>IF(COUNTIF(B$1:B4460,B4460)=1,MAX(A$1:A4459)+1,"")</f>
        <v/>
      </c>
      <c r="B4460" s="11"/>
      <c r="C4460" s="11" t="str">
        <f>IF(COUNTIF(D$1:D4460,D4460)=1,MAX(C$1:C4459)+1,"")</f>
        <v/>
      </c>
      <c r="D4460" s="12"/>
    </row>
    <row r="4461" spans="1:4" x14ac:dyDescent="0.25">
      <c r="A4461" t="str">
        <f>IF(COUNTIF(B$1:B4461,B4461)=1,MAX(A$1:A4460)+1,"")</f>
        <v/>
      </c>
      <c r="B4461" s="11"/>
      <c r="C4461" s="11" t="str">
        <f>IF(COUNTIF(D$1:D4461,D4461)=1,MAX(C$1:C4460)+1,"")</f>
        <v/>
      </c>
      <c r="D4461" s="12"/>
    </row>
    <row r="4462" spans="1:4" x14ac:dyDescent="0.25">
      <c r="A4462" t="str">
        <f>IF(COUNTIF(B$1:B4462,B4462)=1,MAX(A$1:A4461)+1,"")</f>
        <v/>
      </c>
      <c r="B4462" s="11"/>
      <c r="C4462" s="11" t="str">
        <f>IF(COUNTIF(D$1:D4462,D4462)=1,MAX(C$1:C4461)+1,"")</f>
        <v/>
      </c>
      <c r="D4462" s="12"/>
    </row>
    <row r="4463" spans="1:4" x14ac:dyDescent="0.25">
      <c r="A4463" t="str">
        <f>IF(COUNTIF(B$1:B4463,B4463)=1,MAX(A$1:A4462)+1,"")</f>
        <v/>
      </c>
      <c r="B4463" s="11"/>
      <c r="C4463" s="11" t="str">
        <f>IF(COUNTIF(D$1:D4463,D4463)=1,MAX(C$1:C4462)+1,"")</f>
        <v/>
      </c>
      <c r="D4463" s="12"/>
    </row>
    <row r="4464" spans="1:4" x14ac:dyDescent="0.25">
      <c r="A4464" t="str">
        <f>IF(COUNTIF(B$1:B4464,B4464)=1,MAX(A$1:A4463)+1,"")</f>
        <v/>
      </c>
      <c r="B4464" s="11"/>
      <c r="C4464" s="11" t="str">
        <f>IF(COUNTIF(D$1:D4464,D4464)=1,MAX(C$1:C4463)+1,"")</f>
        <v/>
      </c>
      <c r="D4464" s="12"/>
    </row>
    <row r="4465" spans="1:4" x14ac:dyDescent="0.25">
      <c r="A4465" t="str">
        <f>IF(COUNTIF(B$1:B4465,B4465)=1,MAX(A$1:A4464)+1,"")</f>
        <v/>
      </c>
      <c r="B4465" s="11"/>
      <c r="C4465" s="11" t="str">
        <f>IF(COUNTIF(D$1:D4465,D4465)=1,MAX(C$1:C4464)+1,"")</f>
        <v/>
      </c>
      <c r="D4465" s="12"/>
    </row>
    <row r="4466" spans="1:4" x14ac:dyDescent="0.25">
      <c r="A4466" t="str">
        <f>IF(COUNTIF(B$1:B4466,B4466)=1,MAX(A$1:A4465)+1,"")</f>
        <v/>
      </c>
      <c r="B4466" s="11"/>
      <c r="C4466" s="11" t="str">
        <f>IF(COUNTIF(D$1:D4466,D4466)=1,MAX(C$1:C4465)+1,"")</f>
        <v/>
      </c>
      <c r="D4466" s="12"/>
    </row>
    <row r="4467" spans="1:4" x14ac:dyDescent="0.25">
      <c r="A4467" t="str">
        <f>IF(COUNTIF(B$1:B4467,B4467)=1,MAX(A$1:A4466)+1,"")</f>
        <v/>
      </c>
      <c r="B4467" s="11"/>
      <c r="C4467" s="11" t="str">
        <f>IF(COUNTIF(D$1:D4467,D4467)=1,MAX(C$1:C4466)+1,"")</f>
        <v/>
      </c>
      <c r="D4467" s="12"/>
    </row>
    <row r="4468" spans="1:4" x14ac:dyDescent="0.25">
      <c r="A4468" t="str">
        <f>IF(COUNTIF(B$1:B4468,B4468)=1,MAX(A$1:A4467)+1,"")</f>
        <v/>
      </c>
      <c r="B4468" s="11"/>
      <c r="C4468" s="11" t="str">
        <f>IF(COUNTIF(D$1:D4468,D4468)=1,MAX(C$1:C4467)+1,"")</f>
        <v/>
      </c>
      <c r="D4468" s="12"/>
    </row>
    <row r="4469" spans="1:4" x14ac:dyDescent="0.25">
      <c r="A4469" t="str">
        <f>IF(COUNTIF(B$1:B4469,B4469)=1,MAX(A$1:A4468)+1,"")</f>
        <v/>
      </c>
      <c r="B4469" s="11"/>
      <c r="C4469" s="11" t="str">
        <f>IF(COUNTIF(D$1:D4469,D4469)=1,MAX(C$1:C4468)+1,"")</f>
        <v/>
      </c>
      <c r="D4469" s="12"/>
    </row>
    <row r="4470" spans="1:4" x14ac:dyDescent="0.25">
      <c r="A4470" t="str">
        <f>IF(COUNTIF(B$1:B4470,B4470)=1,MAX(A$1:A4469)+1,"")</f>
        <v/>
      </c>
      <c r="B4470" s="11"/>
      <c r="C4470" s="11" t="str">
        <f>IF(COUNTIF(D$1:D4470,D4470)=1,MAX(C$1:C4469)+1,"")</f>
        <v/>
      </c>
      <c r="D4470" s="12"/>
    </row>
    <row r="4471" spans="1:4" x14ac:dyDescent="0.25">
      <c r="A4471" t="str">
        <f>IF(COUNTIF(B$1:B4471,B4471)=1,MAX(A$1:A4470)+1,"")</f>
        <v/>
      </c>
      <c r="B4471" s="11"/>
      <c r="C4471" s="11" t="str">
        <f>IF(COUNTIF(D$1:D4471,D4471)=1,MAX(C$1:C4470)+1,"")</f>
        <v/>
      </c>
      <c r="D4471" s="12"/>
    </row>
    <row r="4472" spans="1:4" x14ac:dyDescent="0.25">
      <c r="A4472" t="str">
        <f>IF(COUNTIF(B$1:B4472,B4472)=1,MAX(A$1:A4471)+1,"")</f>
        <v/>
      </c>
      <c r="B4472" s="11"/>
      <c r="C4472" s="11" t="str">
        <f>IF(COUNTIF(D$1:D4472,D4472)=1,MAX(C$1:C4471)+1,"")</f>
        <v/>
      </c>
      <c r="D4472" s="12"/>
    </row>
    <row r="4473" spans="1:4" x14ac:dyDescent="0.25">
      <c r="A4473" t="str">
        <f>IF(COUNTIF(B$1:B4473,B4473)=1,MAX(A$1:A4472)+1,"")</f>
        <v/>
      </c>
      <c r="B4473" s="11"/>
      <c r="C4473" s="11" t="str">
        <f>IF(COUNTIF(D$1:D4473,D4473)=1,MAX(C$1:C4472)+1,"")</f>
        <v/>
      </c>
      <c r="D4473" s="12"/>
    </row>
    <row r="4474" spans="1:4" x14ac:dyDescent="0.25">
      <c r="A4474" t="str">
        <f>IF(COUNTIF(B$1:B4474,B4474)=1,MAX(A$1:A4473)+1,"")</f>
        <v/>
      </c>
      <c r="B4474" s="11"/>
      <c r="C4474" s="11" t="str">
        <f>IF(COUNTIF(D$1:D4474,D4474)=1,MAX(C$1:C4473)+1,"")</f>
        <v/>
      </c>
      <c r="D4474" s="12"/>
    </row>
    <row r="4475" spans="1:4" x14ac:dyDescent="0.25">
      <c r="A4475" t="str">
        <f>IF(COUNTIF(B$1:B4475,B4475)=1,MAX(A$1:A4474)+1,"")</f>
        <v/>
      </c>
      <c r="B4475" s="11"/>
      <c r="C4475" s="11" t="str">
        <f>IF(COUNTIF(D$1:D4475,D4475)=1,MAX(C$1:C4474)+1,"")</f>
        <v/>
      </c>
      <c r="D4475" s="12"/>
    </row>
    <row r="4476" spans="1:4" x14ac:dyDescent="0.25">
      <c r="A4476" t="str">
        <f>IF(COUNTIF(B$1:B4476,B4476)=1,MAX(A$1:A4475)+1,"")</f>
        <v/>
      </c>
      <c r="B4476" s="11"/>
      <c r="C4476" s="11" t="str">
        <f>IF(COUNTIF(D$1:D4476,D4476)=1,MAX(C$1:C4475)+1,"")</f>
        <v/>
      </c>
      <c r="D4476" s="12"/>
    </row>
    <row r="4477" spans="1:4" x14ac:dyDescent="0.25">
      <c r="A4477" t="str">
        <f>IF(COUNTIF(B$1:B4477,B4477)=1,MAX(A$1:A4476)+1,"")</f>
        <v/>
      </c>
      <c r="B4477" s="11"/>
      <c r="C4477" s="11" t="str">
        <f>IF(COUNTIF(D$1:D4477,D4477)=1,MAX(C$1:C4476)+1,"")</f>
        <v/>
      </c>
      <c r="D4477" s="12"/>
    </row>
    <row r="4478" spans="1:4" x14ac:dyDescent="0.25">
      <c r="A4478" t="str">
        <f>IF(COUNTIF(B$1:B4478,B4478)=1,MAX(A$1:A4477)+1,"")</f>
        <v/>
      </c>
      <c r="B4478" s="11"/>
      <c r="C4478" s="11" t="str">
        <f>IF(COUNTIF(D$1:D4478,D4478)=1,MAX(C$1:C4477)+1,"")</f>
        <v/>
      </c>
      <c r="D4478" s="12"/>
    </row>
    <row r="4479" spans="1:4" x14ac:dyDescent="0.25">
      <c r="A4479" t="str">
        <f>IF(COUNTIF(B$1:B4479,B4479)=1,MAX(A$1:A4478)+1,"")</f>
        <v/>
      </c>
      <c r="B4479" s="11"/>
      <c r="C4479" s="11" t="str">
        <f>IF(COUNTIF(D$1:D4479,D4479)=1,MAX(C$1:C4478)+1,"")</f>
        <v/>
      </c>
      <c r="D4479" s="12"/>
    </row>
    <row r="4480" spans="1:4" x14ac:dyDescent="0.25">
      <c r="A4480" t="str">
        <f>IF(COUNTIF(B$1:B4480,B4480)=1,MAX(A$1:A4479)+1,"")</f>
        <v/>
      </c>
      <c r="B4480" s="11"/>
      <c r="C4480" s="11" t="str">
        <f>IF(COUNTIF(D$1:D4480,D4480)=1,MAX(C$1:C4479)+1,"")</f>
        <v/>
      </c>
      <c r="D4480" s="12"/>
    </row>
    <row r="4481" spans="1:4" x14ac:dyDescent="0.25">
      <c r="A4481" t="str">
        <f>IF(COUNTIF(B$1:B4481,B4481)=1,MAX(A$1:A4480)+1,"")</f>
        <v/>
      </c>
      <c r="B4481" s="11"/>
      <c r="C4481" s="11" t="str">
        <f>IF(COUNTIF(D$1:D4481,D4481)=1,MAX(C$1:C4480)+1,"")</f>
        <v/>
      </c>
      <c r="D4481" s="12"/>
    </row>
    <row r="4482" spans="1:4" x14ac:dyDescent="0.25">
      <c r="A4482" t="str">
        <f>IF(COUNTIF(B$1:B4482,B4482)=1,MAX(A$1:A4481)+1,"")</f>
        <v/>
      </c>
      <c r="B4482" s="11"/>
      <c r="C4482" s="11" t="str">
        <f>IF(COUNTIF(D$1:D4482,D4482)=1,MAX(C$1:C4481)+1,"")</f>
        <v/>
      </c>
      <c r="D4482" s="12"/>
    </row>
    <row r="4483" spans="1:4" x14ac:dyDescent="0.25">
      <c r="A4483" t="str">
        <f>IF(COUNTIF(B$1:B4483,B4483)=1,MAX(A$1:A4482)+1,"")</f>
        <v/>
      </c>
      <c r="B4483" s="11"/>
      <c r="C4483" s="11" t="str">
        <f>IF(COUNTIF(D$1:D4483,D4483)=1,MAX(C$1:C4482)+1,"")</f>
        <v/>
      </c>
      <c r="D4483" s="12"/>
    </row>
    <row r="4484" spans="1:4" x14ac:dyDescent="0.25">
      <c r="A4484" t="str">
        <f>IF(COUNTIF(B$1:B4484,B4484)=1,MAX(A$1:A4483)+1,"")</f>
        <v/>
      </c>
      <c r="B4484" s="11"/>
      <c r="C4484" s="11" t="str">
        <f>IF(COUNTIF(D$1:D4484,D4484)=1,MAX(C$1:C4483)+1,"")</f>
        <v/>
      </c>
      <c r="D4484" s="12"/>
    </row>
    <row r="4485" spans="1:4" x14ac:dyDescent="0.25">
      <c r="A4485" t="str">
        <f>IF(COUNTIF(B$1:B4485,B4485)=1,MAX(A$1:A4484)+1,"")</f>
        <v/>
      </c>
      <c r="B4485" s="11"/>
      <c r="C4485" s="11" t="str">
        <f>IF(COUNTIF(D$1:D4485,D4485)=1,MAX(C$1:C4484)+1,"")</f>
        <v/>
      </c>
      <c r="D4485" s="12"/>
    </row>
    <row r="4486" spans="1:4" x14ac:dyDescent="0.25">
      <c r="A4486" t="str">
        <f>IF(COUNTIF(B$1:B4486,B4486)=1,MAX(A$1:A4485)+1,"")</f>
        <v/>
      </c>
      <c r="B4486" s="11"/>
      <c r="C4486" s="11" t="str">
        <f>IF(COUNTIF(D$1:D4486,D4486)=1,MAX(C$1:C4485)+1,"")</f>
        <v/>
      </c>
      <c r="D4486" s="12"/>
    </row>
    <row r="4487" spans="1:4" x14ac:dyDescent="0.25">
      <c r="A4487" t="str">
        <f>IF(COUNTIF(B$1:B4487,B4487)=1,MAX(A$1:A4486)+1,"")</f>
        <v/>
      </c>
      <c r="B4487" s="11"/>
      <c r="C4487" s="11" t="str">
        <f>IF(COUNTIF(D$1:D4487,D4487)=1,MAX(C$1:C4486)+1,"")</f>
        <v/>
      </c>
      <c r="D4487" s="12"/>
    </row>
    <row r="4488" spans="1:4" x14ac:dyDescent="0.25">
      <c r="A4488" t="str">
        <f>IF(COUNTIF(B$1:B4488,B4488)=1,MAX(A$1:A4487)+1,"")</f>
        <v/>
      </c>
      <c r="B4488" s="11"/>
      <c r="C4488" s="11" t="str">
        <f>IF(COUNTIF(D$1:D4488,D4488)=1,MAX(C$1:C4487)+1,"")</f>
        <v/>
      </c>
      <c r="D4488" s="12"/>
    </row>
    <row r="4489" spans="1:4" x14ac:dyDescent="0.25">
      <c r="A4489" t="str">
        <f>IF(COUNTIF(B$1:B4489,B4489)=1,MAX(A$1:A4488)+1,"")</f>
        <v/>
      </c>
      <c r="B4489" s="11"/>
      <c r="C4489" s="11" t="str">
        <f>IF(COUNTIF(D$1:D4489,D4489)=1,MAX(C$1:C4488)+1,"")</f>
        <v/>
      </c>
      <c r="D4489" s="12"/>
    </row>
    <row r="4490" spans="1:4" x14ac:dyDescent="0.25">
      <c r="A4490" t="str">
        <f>IF(COUNTIF(B$1:B4490,B4490)=1,MAX(A$1:A4489)+1,"")</f>
        <v/>
      </c>
      <c r="B4490" s="11"/>
      <c r="C4490" s="11" t="str">
        <f>IF(COUNTIF(D$1:D4490,D4490)=1,MAX(C$1:C4489)+1,"")</f>
        <v/>
      </c>
      <c r="D4490" s="12"/>
    </row>
    <row r="4491" spans="1:4" x14ac:dyDescent="0.25">
      <c r="A4491" t="str">
        <f>IF(COUNTIF(B$1:B4491,B4491)=1,MAX(A$1:A4490)+1,"")</f>
        <v/>
      </c>
      <c r="B4491" s="11"/>
      <c r="C4491" s="11" t="str">
        <f>IF(COUNTIF(D$1:D4491,D4491)=1,MAX(C$1:C4490)+1,"")</f>
        <v/>
      </c>
      <c r="D4491" s="12"/>
    </row>
    <row r="4492" spans="1:4" x14ac:dyDescent="0.25">
      <c r="A4492" t="str">
        <f>IF(COUNTIF(B$1:B4492,B4492)=1,MAX(A$1:A4491)+1,"")</f>
        <v/>
      </c>
      <c r="B4492" s="11"/>
      <c r="C4492" s="11" t="str">
        <f>IF(COUNTIF(D$1:D4492,D4492)=1,MAX(C$1:C4491)+1,"")</f>
        <v/>
      </c>
      <c r="D4492" s="12"/>
    </row>
    <row r="4493" spans="1:4" x14ac:dyDescent="0.25">
      <c r="A4493" t="str">
        <f>IF(COUNTIF(B$1:B4493,B4493)=1,MAX(A$1:A4492)+1,"")</f>
        <v/>
      </c>
      <c r="B4493" s="11"/>
      <c r="C4493" s="11" t="str">
        <f>IF(COUNTIF(D$1:D4493,D4493)=1,MAX(C$1:C4492)+1,"")</f>
        <v/>
      </c>
      <c r="D4493" s="12"/>
    </row>
    <row r="4494" spans="1:4" x14ac:dyDescent="0.25">
      <c r="A4494" t="str">
        <f>IF(COUNTIF(B$1:B4494,B4494)=1,MAX(A$1:A4493)+1,"")</f>
        <v/>
      </c>
      <c r="B4494" s="11"/>
      <c r="C4494" s="11" t="str">
        <f>IF(COUNTIF(D$1:D4494,D4494)=1,MAX(C$1:C4493)+1,"")</f>
        <v/>
      </c>
      <c r="D4494" s="12"/>
    </row>
    <row r="4495" spans="1:4" x14ac:dyDescent="0.25">
      <c r="A4495" t="str">
        <f>IF(COUNTIF(B$1:B4495,B4495)=1,MAX(A$1:A4494)+1,"")</f>
        <v/>
      </c>
      <c r="B4495" s="11"/>
      <c r="C4495" s="11" t="str">
        <f>IF(COUNTIF(D$1:D4495,D4495)=1,MAX(C$1:C4494)+1,"")</f>
        <v/>
      </c>
      <c r="D4495" s="12"/>
    </row>
    <row r="4496" spans="1:4" x14ac:dyDescent="0.25">
      <c r="A4496" t="str">
        <f>IF(COUNTIF(B$1:B4496,B4496)=1,MAX(A$1:A4495)+1,"")</f>
        <v/>
      </c>
      <c r="B4496" s="11"/>
      <c r="C4496" s="11" t="str">
        <f>IF(COUNTIF(D$1:D4496,D4496)=1,MAX(C$1:C4495)+1,"")</f>
        <v/>
      </c>
      <c r="D4496" s="12"/>
    </row>
    <row r="4497" spans="1:4" x14ac:dyDescent="0.25">
      <c r="A4497" t="str">
        <f>IF(COUNTIF(B$1:B4497,B4497)=1,MAX(A$1:A4496)+1,"")</f>
        <v/>
      </c>
      <c r="B4497" s="11"/>
      <c r="C4497" s="11" t="str">
        <f>IF(COUNTIF(D$1:D4497,D4497)=1,MAX(C$1:C4496)+1,"")</f>
        <v/>
      </c>
      <c r="D4497" s="12"/>
    </row>
    <row r="4498" spans="1:4" x14ac:dyDescent="0.25">
      <c r="A4498" t="str">
        <f>IF(COUNTIF(B$1:B4498,B4498)=1,MAX(A$1:A4497)+1,"")</f>
        <v/>
      </c>
      <c r="B4498" s="11"/>
      <c r="C4498" s="11" t="str">
        <f>IF(COUNTIF(D$1:D4498,D4498)=1,MAX(C$1:C4497)+1,"")</f>
        <v/>
      </c>
      <c r="D4498" s="12"/>
    </row>
    <row r="4499" spans="1:4" x14ac:dyDescent="0.25">
      <c r="A4499" t="str">
        <f>IF(COUNTIF(B$1:B4499,B4499)=1,MAX(A$1:A4498)+1,"")</f>
        <v/>
      </c>
      <c r="B4499" s="11"/>
      <c r="C4499" s="11" t="str">
        <f>IF(COUNTIF(D$1:D4499,D4499)=1,MAX(C$1:C4498)+1,"")</f>
        <v/>
      </c>
      <c r="D4499" s="12"/>
    </row>
    <row r="4500" spans="1:4" x14ac:dyDescent="0.25">
      <c r="A4500" t="str">
        <f>IF(COUNTIF(B$1:B4500,B4500)=1,MAX(A$1:A4499)+1,"")</f>
        <v/>
      </c>
      <c r="B4500" s="11"/>
      <c r="C4500" s="11" t="str">
        <f>IF(COUNTIF(D$1:D4500,D4500)=1,MAX(C$1:C4499)+1,"")</f>
        <v/>
      </c>
      <c r="D4500" s="12"/>
    </row>
    <row r="4501" spans="1:4" x14ac:dyDescent="0.25">
      <c r="A4501" t="str">
        <f>IF(COUNTIF(B$1:B4501,B4501)=1,MAX(A$1:A4500)+1,"")</f>
        <v/>
      </c>
      <c r="B4501" s="11"/>
      <c r="C4501" s="11" t="str">
        <f>IF(COUNTIF(D$1:D4501,D4501)=1,MAX(C$1:C4500)+1,"")</f>
        <v/>
      </c>
      <c r="D4501" s="12"/>
    </row>
    <row r="4502" spans="1:4" x14ac:dyDescent="0.25">
      <c r="A4502" t="str">
        <f>IF(COUNTIF(B$1:B4502,B4502)=1,MAX(A$1:A4501)+1,"")</f>
        <v/>
      </c>
      <c r="B4502" s="11"/>
      <c r="C4502" s="11" t="str">
        <f>IF(COUNTIF(D$1:D4502,D4502)=1,MAX(C$1:C4501)+1,"")</f>
        <v/>
      </c>
      <c r="D4502" s="12"/>
    </row>
    <row r="4503" spans="1:4" x14ac:dyDescent="0.25">
      <c r="A4503" t="str">
        <f>IF(COUNTIF(B$1:B4503,B4503)=1,MAX(A$1:A4502)+1,"")</f>
        <v/>
      </c>
      <c r="B4503" s="11"/>
      <c r="C4503" s="11" t="str">
        <f>IF(COUNTIF(D$1:D4503,D4503)=1,MAX(C$1:C4502)+1,"")</f>
        <v/>
      </c>
      <c r="D4503" s="12"/>
    </row>
    <row r="4504" spans="1:4" x14ac:dyDescent="0.25">
      <c r="A4504" t="str">
        <f>IF(COUNTIF(B$1:B4504,B4504)=1,MAX(A$1:A4503)+1,"")</f>
        <v/>
      </c>
      <c r="B4504" s="11"/>
      <c r="C4504" s="11" t="str">
        <f>IF(COUNTIF(D$1:D4504,D4504)=1,MAX(C$1:C4503)+1,"")</f>
        <v/>
      </c>
      <c r="D4504" s="12"/>
    </row>
    <row r="4505" spans="1:4" x14ac:dyDescent="0.25">
      <c r="A4505" t="str">
        <f>IF(COUNTIF(B$1:B4505,B4505)=1,MAX(A$1:A4504)+1,"")</f>
        <v/>
      </c>
      <c r="B4505" s="11"/>
      <c r="C4505" s="11" t="str">
        <f>IF(COUNTIF(D$1:D4505,D4505)=1,MAX(C$1:C4504)+1,"")</f>
        <v/>
      </c>
      <c r="D4505" s="12"/>
    </row>
    <row r="4506" spans="1:4" x14ac:dyDescent="0.25">
      <c r="A4506" t="str">
        <f>IF(COUNTIF(B$1:B4506,B4506)=1,MAX(A$1:A4505)+1,"")</f>
        <v/>
      </c>
      <c r="B4506" s="11"/>
      <c r="C4506" s="11" t="str">
        <f>IF(COUNTIF(D$1:D4506,D4506)=1,MAX(C$1:C4505)+1,"")</f>
        <v/>
      </c>
      <c r="D4506" s="12"/>
    </row>
    <row r="4507" spans="1:4" x14ac:dyDescent="0.25">
      <c r="A4507" t="str">
        <f>IF(COUNTIF(B$1:B4507,B4507)=1,MAX(A$1:A4506)+1,"")</f>
        <v/>
      </c>
      <c r="B4507" s="11"/>
      <c r="C4507" s="11" t="str">
        <f>IF(COUNTIF(D$1:D4507,D4507)=1,MAX(C$1:C4506)+1,"")</f>
        <v/>
      </c>
      <c r="D4507" s="12"/>
    </row>
    <row r="4508" spans="1:4" x14ac:dyDescent="0.25">
      <c r="A4508" t="str">
        <f>IF(COUNTIF(B$1:B4508,B4508)=1,MAX(A$1:A4507)+1,"")</f>
        <v/>
      </c>
      <c r="B4508" s="11"/>
      <c r="C4508" s="11" t="str">
        <f>IF(COUNTIF(D$1:D4508,D4508)=1,MAX(C$1:C4507)+1,"")</f>
        <v/>
      </c>
      <c r="D4508" s="12"/>
    </row>
    <row r="4509" spans="1:4" x14ac:dyDescent="0.25">
      <c r="A4509" t="str">
        <f>IF(COUNTIF(B$1:B4509,B4509)=1,MAX(A$1:A4508)+1,"")</f>
        <v/>
      </c>
      <c r="B4509" s="11"/>
      <c r="C4509" s="11" t="str">
        <f>IF(COUNTIF(D$1:D4509,D4509)=1,MAX(C$1:C4508)+1,"")</f>
        <v/>
      </c>
      <c r="D4509" s="12"/>
    </row>
    <row r="4510" spans="1:4" x14ac:dyDescent="0.25">
      <c r="A4510" t="str">
        <f>IF(COUNTIF(B$1:B4510,B4510)=1,MAX(A$1:A4509)+1,"")</f>
        <v/>
      </c>
      <c r="B4510" s="11"/>
      <c r="C4510" s="11" t="str">
        <f>IF(COUNTIF(D$1:D4510,D4510)=1,MAX(C$1:C4509)+1,"")</f>
        <v/>
      </c>
      <c r="D4510" s="12"/>
    </row>
    <row r="4511" spans="1:4" x14ac:dyDescent="0.25">
      <c r="A4511" t="str">
        <f>IF(COUNTIF(B$1:B4511,B4511)=1,MAX(A$1:A4510)+1,"")</f>
        <v/>
      </c>
      <c r="B4511" s="11"/>
      <c r="C4511" s="11" t="str">
        <f>IF(COUNTIF(D$1:D4511,D4511)=1,MAX(C$1:C4510)+1,"")</f>
        <v/>
      </c>
      <c r="D4511" s="12"/>
    </row>
    <row r="4512" spans="1:4" x14ac:dyDescent="0.25">
      <c r="A4512" t="str">
        <f>IF(COUNTIF(B$1:B4512,B4512)=1,MAX(A$1:A4511)+1,"")</f>
        <v/>
      </c>
      <c r="B4512" s="11"/>
      <c r="C4512" s="11" t="str">
        <f>IF(COUNTIF(D$1:D4512,D4512)=1,MAX(C$1:C4511)+1,"")</f>
        <v/>
      </c>
      <c r="D4512" s="12"/>
    </row>
    <row r="4513" spans="1:4" x14ac:dyDescent="0.25">
      <c r="A4513" t="str">
        <f>IF(COUNTIF(B$1:B4513,B4513)=1,MAX(A$1:A4512)+1,"")</f>
        <v/>
      </c>
      <c r="B4513" s="11"/>
      <c r="C4513" s="11" t="str">
        <f>IF(COUNTIF(D$1:D4513,D4513)=1,MAX(C$1:C4512)+1,"")</f>
        <v/>
      </c>
      <c r="D4513" s="12"/>
    </row>
    <row r="4514" spans="1:4" x14ac:dyDescent="0.25">
      <c r="A4514" t="str">
        <f>IF(COUNTIF(B$1:B4514,B4514)=1,MAX(A$1:A4513)+1,"")</f>
        <v/>
      </c>
      <c r="B4514" s="11"/>
      <c r="C4514" s="11" t="str">
        <f>IF(COUNTIF(D$1:D4514,D4514)=1,MAX(C$1:C4513)+1,"")</f>
        <v/>
      </c>
      <c r="D4514" s="12"/>
    </row>
    <row r="4515" spans="1:4" x14ac:dyDescent="0.25">
      <c r="A4515" t="str">
        <f>IF(COUNTIF(B$1:B4515,B4515)=1,MAX(A$1:A4514)+1,"")</f>
        <v/>
      </c>
      <c r="B4515" s="11"/>
      <c r="C4515" s="11" t="str">
        <f>IF(COUNTIF(D$1:D4515,D4515)=1,MAX(C$1:C4514)+1,"")</f>
        <v/>
      </c>
      <c r="D4515" s="12"/>
    </row>
    <row r="4516" spans="1:4" x14ac:dyDescent="0.25">
      <c r="A4516" t="str">
        <f>IF(COUNTIF(B$1:B4516,B4516)=1,MAX(A$1:A4515)+1,"")</f>
        <v/>
      </c>
      <c r="B4516" s="11"/>
      <c r="C4516" s="11" t="str">
        <f>IF(COUNTIF(D$1:D4516,D4516)=1,MAX(C$1:C4515)+1,"")</f>
        <v/>
      </c>
      <c r="D4516" s="12"/>
    </row>
    <row r="4517" spans="1:4" x14ac:dyDescent="0.25">
      <c r="A4517" t="str">
        <f>IF(COUNTIF(B$1:B4517,B4517)=1,MAX(A$1:A4516)+1,"")</f>
        <v/>
      </c>
      <c r="B4517" s="11"/>
      <c r="C4517" s="11" t="str">
        <f>IF(COUNTIF(D$1:D4517,D4517)=1,MAX(C$1:C4516)+1,"")</f>
        <v/>
      </c>
      <c r="D4517" s="12"/>
    </row>
    <row r="4518" spans="1:4" x14ac:dyDescent="0.25">
      <c r="A4518" t="str">
        <f>IF(COUNTIF(B$1:B4518,B4518)=1,MAX(A$1:A4517)+1,"")</f>
        <v/>
      </c>
      <c r="B4518" s="11"/>
      <c r="C4518" s="11" t="str">
        <f>IF(COUNTIF(D$1:D4518,D4518)=1,MAX(C$1:C4517)+1,"")</f>
        <v/>
      </c>
      <c r="D4518" s="12"/>
    </row>
    <row r="4519" spans="1:4" x14ac:dyDescent="0.25">
      <c r="A4519" t="str">
        <f>IF(COUNTIF(B$1:B4519,B4519)=1,MAX(A$1:A4518)+1,"")</f>
        <v/>
      </c>
      <c r="B4519" s="11"/>
      <c r="C4519" s="11" t="str">
        <f>IF(COUNTIF(D$1:D4519,D4519)=1,MAX(C$1:C4518)+1,"")</f>
        <v/>
      </c>
      <c r="D4519" s="12"/>
    </row>
    <row r="4520" spans="1:4" x14ac:dyDescent="0.25">
      <c r="A4520" t="str">
        <f>IF(COUNTIF(B$1:B4520,B4520)=1,MAX(A$1:A4519)+1,"")</f>
        <v/>
      </c>
      <c r="B4520" s="11"/>
      <c r="C4520" s="11" t="str">
        <f>IF(COUNTIF(D$1:D4520,D4520)=1,MAX(C$1:C4519)+1,"")</f>
        <v/>
      </c>
      <c r="D4520" s="12"/>
    </row>
    <row r="4521" spans="1:4" x14ac:dyDescent="0.25">
      <c r="A4521" t="str">
        <f>IF(COUNTIF(B$1:B4521,B4521)=1,MAX(A$1:A4520)+1,"")</f>
        <v/>
      </c>
      <c r="B4521" s="11"/>
      <c r="C4521" s="11" t="str">
        <f>IF(COUNTIF(D$1:D4521,D4521)=1,MAX(C$1:C4520)+1,"")</f>
        <v/>
      </c>
      <c r="D4521" s="12"/>
    </row>
    <row r="4522" spans="1:4" x14ac:dyDescent="0.25">
      <c r="A4522" t="str">
        <f>IF(COUNTIF(B$1:B4522,B4522)=1,MAX(A$1:A4521)+1,"")</f>
        <v/>
      </c>
      <c r="B4522" s="11"/>
      <c r="C4522" s="11" t="str">
        <f>IF(COUNTIF(D$1:D4522,D4522)=1,MAX(C$1:C4521)+1,"")</f>
        <v/>
      </c>
      <c r="D4522" s="12"/>
    </row>
    <row r="4523" spans="1:4" x14ac:dyDescent="0.25">
      <c r="A4523" t="str">
        <f>IF(COUNTIF(B$1:B4523,B4523)=1,MAX(A$1:A4522)+1,"")</f>
        <v/>
      </c>
      <c r="B4523" s="11"/>
      <c r="C4523" s="11" t="str">
        <f>IF(COUNTIF(D$1:D4523,D4523)=1,MAX(C$1:C4522)+1,"")</f>
        <v/>
      </c>
      <c r="D4523" s="12"/>
    </row>
    <row r="4524" spans="1:4" x14ac:dyDescent="0.25">
      <c r="A4524" t="str">
        <f>IF(COUNTIF(B$1:B4524,B4524)=1,MAX(A$1:A4523)+1,"")</f>
        <v/>
      </c>
      <c r="B4524" s="11"/>
      <c r="C4524" s="11" t="str">
        <f>IF(COUNTIF(D$1:D4524,D4524)=1,MAX(C$1:C4523)+1,"")</f>
        <v/>
      </c>
      <c r="D4524" s="12"/>
    </row>
    <row r="4525" spans="1:4" x14ac:dyDescent="0.25">
      <c r="A4525" t="str">
        <f>IF(COUNTIF(B$1:B4525,B4525)=1,MAX(A$1:A4524)+1,"")</f>
        <v/>
      </c>
      <c r="B4525" s="11"/>
      <c r="C4525" s="11" t="str">
        <f>IF(COUNTIF(D$1:D4525,D4525)=1,MAX(C$1:C4524)+1,"")</f>
        <v/>
      </c>
      <c r="D4525" s="12"/>
    </row>
    <row r="4526" spans="1:4" x14ac:dyDescent="0.25">
      <c r="A4526" t="str">
        <f>IF(COUNTIF(B$1:B4526,B4526)=1,MAX(A$1:A4525)+1,"")</f>
        <v/>
      </c>
      <c r="B4526" s="11"/>
      <c r="C4526" s="11" t="str">
        <f>IF(COUNTIF(D$1:D4526,D4526)=1,MAX(C$1:C4525)+1,"")</f>
        <v/>
      </c>
      <c r="D4526" s="12"/>
    </row>
    <row r="4527" spans="1:4" x14ac:dyDescent="0.25">
      <c r="A4527" t="str">
        <f>IF(COUNTIF(B$1:B4527,B4527)=1,MAX(A$1:A4526)+1,"")</f>
        <v/>
      </c>
      <c r="B4527" s="11"/>
      <c r="C4527" s="11" t="str">
        <f>IF(COUNTIF(D$1:D4527,D4527)=1,MAX(C$1:C4526)+1,"")</f>
        <v/>
      </c>
      <c r="D4527" s="12"/>
    </row>
    <row r="4528" spans="1:4" x14ac:dyDescent="0.25">
      <c r="A4528" t="str">
        <f>IF(COUNTIF(B$1:B4528,B4528)=1,MAX(A$1:A4527)+1,"")</f>
        <v/>
      </c>
      <c r="B4528" s="11"/>
      <c r="C4528" s="11" t="str">
        <f>IF(COUNTIF(D$1:D4528,D4528)=1,MAX(C$1:C4527)+1,"")</f>
        <v/>
      </c>
      <c r="D4528" s="12"/>
    </row>
    <row r="4529" spans="1:4" x14ac:dyDescent="0.25">
      <c r="A4529" t="str">
        <f>IF(COUNTIF(B$1:B4529,B4529)=1,MAX(A$1:A4528)+1,"")</f>
        <v/>
      </c>
      <c r="B4529" s="11"/>
      <c r="C4529" s="11" t="str">
        <f>IF(COUNTIF(D$1:D4529,D4529)=1,MAX(C$1:C4528)+1,"")</f>
        <v/>
      </c>
      <c r="D4529" s="12"/>
    </row>
    <row r="4530" spans="1:4" x14ac:dyDescent="0.25">
      <c r="A4530" t="str">
        <f>IF(COUNTIF(B$1:B4530,B4530)=1,MAX(A$1:A4529)+1,"")</f>
        <v/>
      </c>
      <c r="B4530" s="11"/>
      <c r="C4530" s="11" t="str">
        <f>IF(COUNTIF(D$1:D4530,D4530)=1,MAX(C$1:C4529)+1,"")</f>
        <v/>
      </c>
      <c r="D4530" s="12"/>
    </row>
    <row r="4531" spans="1:4" x14ac:dyDescent="0.25">
      <c r="A4531" t="str">
        <f>IF(COUNTIF(B$1:B4531,B4531)=1,MAX(A$1:A4530)+1,"")</f>
        <v/>
      </c>
      <c r="B4531" s="11"/>
      <c r="C4531" s="11" t="str">
        <f>IF(COUNTIF(D$1:D4531,D4531)=1,MAX(C$1:C4530)+1,"")</f>
        <v/>
      </c>
      <c r="D4531" s="12"/>
    </row>
    <row r="4532" spans="1:4" x14ac:dyDescent="0.25">
      <c r="A4532" t="str">
        <f>IF(COUNTIF(B$1:B4532,B4532)=1,MAX(A$1:A4531)+1,"")</f>
        <v/>
      </c>
      <c r="B4532" s="11"/>
      <c r="C4532" s="11" t="str">
        <f>IF(COUNTIF(D$1:D4532,D4532)=1,MAX(C$1:C4531)+1,"")</f>
        <v/>
      </c>
      <c r="D4532" s="12"/>
    </row>
    <row r="4533" spans="1:4" x14ac:dyDescent="0.25">
      <c r="A4533" t="str">
        <f>IF(COUNTIF(B$1:B4533,B4533)=1,MAX(A$1:A4532)+1,"")</f>
        <v/>
      </c>
      <c r="B4533" s="11"/>
      <c r="C4533" s="11" t="str">
        <f>IF(COUNTIF(D$1:D4533,D4533)=1,MAX(C$1:C4532)+1,"")</f>
        <v/>
      </c>
      <c r="D4533" s="12"/>
    </row>
    <row r="4534" spans="1:4" x14ac:dyDescent="0.25">
      <c r="A4534" t="str">
        <f>IF(COUNTIF(B$1:B4534,B4534)=1,MAX(A$1:A4533)+1,"")</f>
        <v/>
      </c>
      <c r="B4534" s="11"/>
      <c r="C4534" s="11" t="str">
        <f>IF(COUNTIF(D$1:D4534,D4534)=1,MAX(C$1:C4533)+1,"")</f>
        <v/>
      </c>
      <c r="D4534" s="12"/>
    </row>
    <row r="4535" spans="1:4" x14ac:dyDescent="0.25">
      <c r="A4535" t="str">
        <f>IF(COUNTIF(B$1:B4535,B4535)=1,MAX(A$1:A4534)+1,"")</f>
        <v/>
      </c>
      <c r="B4535" s="11"/>
      <c r="C4535" s="11" t="str">
        <f>IF(COUNTIF(D$1:D4535,D4535)=1,MAX(C$1:C4534)+1,"")</f>
        <v/>
      </c>
      <c r="D4535" s="12"/>
    </row>
    <row r="4536" spans="1:4" x14ac:dyDescent="0.25">
      <c r="A4536" t="str">
        <f>IF(COUNTIF(B$1:B4536,B4536)=1,MAX(A$1:A4535)+1,"")</f>
        <v/>
      </c>
      <c r="B4536" s="11"/>
      <c r="C4536" s="11" t="str">
        <f>IF(COUNTIF(D$1:D4536,D4536)=1,MAX(C$1:C4535)+1,"")</f>
        <v/>
      </c>
      <c r="D4536" s="12"/>
    </row>
    <row r="4537" spans="1:4" x14ac:dyDescent="0.25">
      <c r="A4537" t="str">
        <f>IF(COUNTIF(B$1:B4537,B4537)=1,MAX(A$1:A4536)+1,"")</f>
        <v/>
      </c>
      <c r="B4537" s="11"/>
      <c r="C4537" s="11" t="str">
        <f>IF(COUNTIF(D$1:D4537,D4537)=1,MAX(C$1:C4536)+1,"")</f>
        <v/>
      </c>
      <c r="D4537" s="12"/>
    </row>
    <row r="4538" spans="1:4" x14ac:dyDescent="0.25">
      <c r="A4538" t="str">
        <f>IF(COUNTIF(B$1:B4538,B4538)=1,MAX(A$1:A4537)+1,"")</f>
        <v/>
      </c>
      <c r="B4538" s="11"/>
      <c r="C4538" s="11" t="str">
        <f>IF(COUNTIF(D$1:D4538,D4538)=1,MAX(C$1:C4537)+1,"")</f>
        <v/>
      </c>
      <c r="D4538" s="12"/>
    </row>
    <row r="4539" spans="1:4" x14ac:dyDescent="0.25">
      <c r="A4539" t="str">
        <f>IF(COUNTIF(B$1:B4539,B4539)=1,MAX(A$1:A4538)+1,"")</f>
        <v/>
      </c>
      <c r="B4539" s="11"/>
      <c r="C4539" s="11" t="str">
        <f>IF(COUNTIF(D$1:D4539,D4539)=1,MAX(C$1:C4538)+1,"")</f>
        <v/>
      </c>
      <c r="D4539" s="12"/>
    </row>
    <row r="4540" spans="1:4" x14ac:dyDescent="0.25">
      <c r="A4540" t="str">
        <f>IF(COUNTIF(B$1:B4540,B4540)=1,MAX(A$1:A4539)+1,"")</f>
        <v/>
      </c>
      <c r="B4540" s="11"/>
      <c r="C4540" s="11" t="str">
        <f>IF(COUNTIF(D$1:D4540,D4540)=1,MAX(C$1:C4539)+1,"")</f>
        <v/>
      </c>
      <c r="D4540" s="12"/>
    </row>
    <row r="4541" spans="1:4" x14ac:dyDescent="0.25">
      <c r="A4541" t="str">
        <f>IF(COUNTIF(B$1:B4541,B4541)=1,MAX(A$1:A4540)+1,"")</f>
        <v/>
      </c>
      <c r="B4541" s="11"/>
      <c r="C4541" s="11" t="str">
        <f>IF(COUNTIF(D$1:D4541,D4541)=1,MAX(C$1:C4540)+1,"")</f>
        <v/>
      </c>
      <c r="D4541" s="12"/>
    </row>
    <row r="4542" spans="1:4" x14ac:dyDescent="0.25">
      <c r="A4542" t="str">
        <f>IF(COUNTIF(B$1:B4542,B4542)=1,MAX(A$1:A4541)+1,"")</f>
        <v/>
      </c>
      <c r="B4542" s="11"/>
      <c r="C4542" s="11" t="str">
        <f>IF(COUNTIF(D$1:D4542,D4542)=1,MAX(C$1:C4541)+1,"")</f>
        <v/>
      </c>
      <c r="D4542" s="12"/>
    </row>
    <row r="4543" spans="1:4" x14ac:dyDescent="0.25">
      <c r="A4543" t="str">
        <f>IF(COUNTIF(B$1:B4543,B4543)=1,MAX(A$1:A4542)+1,"")</f>
        <v/>
      </c>
      <c r="B4543" s="11"/>
      <c r="C4543" s="11" t="str">
        <f>IF(COUNTIF(D$1:D4543,D4543)=1,MAX(C$1:C4542)+1,"")</f>
        <v/>
      </c>
      <c r="D4543" s="12"/>
    </row>
    <row r="4544" spans="1:4" x14ac:dyDescent="0.25">
      <c r="A4544" t="str">
        <f>IF(COUNTIF(B$1:B4544,B4544)=1,MAX(A$1:A4543)+1,"")</f>
        <v/>
      </c>
      <c r="B4544" s="11"/>
      <c r="C4544" s="11" t="str">
        <f>IF(COUNTIF(D$1:D4544,D4544)=1,MAX(C$1:C4543)+1,"")</f>
        <v/>
      </c>
      <c r="D4544" s="12"/>
    </row>
    <row r="4545" spans="1:4" x14ac:dyDescent="0.25">
      <c r="A4545" t="str">
        <f>IF(COUNTIF(B$1:B4545,B4545)=1,MAX(A$1:A4544)+1,"")</f>
        <v/>
      </c>
      <c r="B4545" s="11"/>
      <c r="C4545" s="11" t="str">
        <f>IF(COUNTIF(D$1:D4545,D4545)=1,MAX(C$1:C4544)+1,"")</f>
        <v/>
      </c>
      <c r="D4545" s="12"/>
    </row>
    <row r="4546" spans="1:4" x14ac:dyDescent="0.25">
      <c r="A4546" t="str">
        <f>IF(COUNTIF(B$1:B4546,B4546)=1,MAX(A$1:A4545)+1,"")</f>
        <v/>
      </c>
      <c r="B4546" s="11"/>
      <c r="C4546" s="11" t="str">
        <f>IF(COUNTIF(D$1:D4546,D4546)=1,MAX(C$1:C4545)+1,"")</f>
        <v/>
      </c>
      <c r="D4546" s="12"/>
    </row>
    <row r="4547" spans="1:4" x14ac:dyDescent="0.25">
      <c r="A4547" t="str">
        <f>IF(COUNTIF(B$1:B4547,B4547)=1,MAX(A$1:A4546)+1,"")</f>
        <v/>
      </c>
      <c r="B4547" s="11"/>
      <c r="C4547" s="11" t="str">
        <f>IF(COUNTIF(D$1:D4547,D4547)=1,MAX(C$1:C4546)+1,"")</f>
        <v/>
      </c>
      <c r="D4547" s="12"/>
    </row>
    <row r="4548" spans="1:4" x14ac:dyDescent="0.25">
      <c r="A4548" t="str">
        <f>IF(COUNTIF(B$1:B4548,B4548)=1,MAX(A$1:A4547)+1,"")</f>
        <v/>
      </c>
      <c r="B4548" s="11"/>
      <c r="C4548" s="11" t="str">
        <f>IF(COUNTIF(D$1:D4548,D4548)=1,MAX(C$1:C4547)+1,"")</f>
        <v/>
      </c>
      <c r="D4548" s="12"/>
    </row>
    <row r="4549" spans="1:4" x14ac:dyDescent="0.25">
      <c r="A4549" t="str">
        <f>IF(COUNTIF(B$1:B4549,B4549)=1,MAX(A$1:A4548)+1,"")</f>
        <v/>
      </c>
      <c r="B4549" s="11"/>
      <c r="C4549" s="11" t="str">
        <f>IF(COUNTIF(D$1:D4549,D4549)=1,MAX(C$1:C4548)+1,"")</f>
        <v/>
      </c>
      <c r="D4549" s="12"/>
    </row>
    <row r="4550" spans="1:4" x14ac:dyDescent="0.25">
      <c r="A4550" t="str">
        <f>IF(COUNTIF(B$1:B4550,B4550)=1,MAX(A$1:A4549)+1,"")</f>
        <v/>
      </c>
      <c r="B4550" s="11"/>
      <c r="C4550" s="11" t="str">
        <f>IF(COUNTIF(D$1:D4550,D4550)=1,MAX(C$1:C4549)+1,"")</f>
        <v/>
      </c>
      <c r="D4550" s="12"/>
    </row>
    <row r="4551" spans="1:4" x14ac:dyDescent="0.25">
      <c r="A4551" t="str">
        <f>IF(COUNTIF(B$1:B4551,B4551)=1,MAX(A$1:A4550)+1,"")</f>
        <v/>
      </c>
      <c r="B4551" s="11"/>
      <c r="C4551" s="11" t="str">
        <f>IF(COUNTIF(D$1:D4551,D4551)=1,MAX(C$1:C4550)+1,"")</f>
        <v/>
      </c>
      <c r="D4551" s="12"/>
    </row>
    <row r="4552" spans="1:4" x14ac:dyDescent="0.25">
      <c r="A4552" t="str">
        <f>IF(COUNTIF(B$1:B4552,B4552)=1,MAX(A$1:A4551)+1,"")</f>
        <v/>
      </c>
      <c r="B4552" s="11"/>
      <c r="C4552" s="11" t="str">
        <f>IF(COUNTIF(D$1:D4552,D4552)=1,MAX(C$1:C4551)+1,"")</f>
        <v/>
      </c>
      <c r="D4552" s="12"/>
    </row>
    <row r="4553" spans="1:4" x14ac:dyDescent="0.25">
      <c r="A4553" t="str">
        <f>IF(COUNTIF(B$1:B4553,B4553)=1,MAX(A$1:A4552)+1,"")</f>
        <v/>
      </c>
      <c r="B4553" s="11"/>
      <c r="C4553" s="11" t="str">
        <f>IF(COUNTIF(D$1:D4553,D4553)=1,MAX(C$1:C4552)+1,"")</f>
        <v/>
      </c>
      <c r="D4553" s="12"/>
    </row>
    <row r="4554" spans="1:4" x14ac:dyDescent="0.25">
      <c r="A4554" t="str">
        <f>IF(COUNTIF(B$1:B4554,B4554)=1,MAX(A$1:A4553)+1,"")</f>
        <v/>
      </c>
      <c r="B4554" s="11"/>
      <c r="C4554" s="11" t="str">
        <f>IF(COUNTIF(D$1:D4554,D4554)=1,MAX(C$1:C4553)+1,"")</f>
        <v/>
      </c>
      <c r="D4554" s="12"/>
    </row>
    <row r="4555" spans="1:4" x14ac:dyDescent="0.25">
      <c r="A4555" t="str">
        <f>IF(COUNTIF(B$1:B4555,B4555)=1,MAX(A$1:A4554)+1,"")</f>
        <v/>
      </c>
      <c r="B4555" s="11"/>
      <c r="C4555" s="11" t="str">
        <f>IF(COUNTIF(D$1:D4555,D4555)=1,MAX(C$1:C4554)+1,"")</f>
        <v/>
      </c>
      <c r="D4555" s="12"/>
    </row>
    <row r="4556" spans="1:4" x14ac:dyDescent="0.25">
      <c r="A4556" t="str">
        <f>IF(COUNTIF(B$1:B4556,B4556)=1,MAX(A$1:A4555)+1,"")</f>
        <v/>
      </c>
      <c r="B4556" s="11"/>
      <c r="C4556" s="11" t="str">
        <f>IF(COUNTIF(D$1:D4556,D4556)=1,MAX(C$1:C4555)+1,"")</f>
        <v/>
      </c>
      <c r="D4556" s="12"/>
    </row>
    <row r="4557" spans="1:4" x14ac:dyDescent="0.25">
      <c r="A4557" t="str">
        <f>IF(COUNTIF(B$1:B4557,B4557)=1,MAX(A$1:A4556)+1,"")</f>
        <v/>
      </c>
      <c r="B4557" s="11"/>
      <c r="C4557" s="11" t="str">
        <f>IF(COUNTIF(D$1:D4557,D4557)=1,MAX(C$1:C4556)+1,"")</f>
        <v/>
      </c>
      <c r="D4557" s="12"/>
    </row>
    <row r="4558" spans="1:4" x14ac:dyDescent="0.25">
      <c r="A4558" t="str">
        <f>IF(COUNTIF(B$1:B4558,B4558)=1,MAX(A$1:A4557)+1,"")</f>
        <v/>
      </c>
      <c r="B4558" s="11"/>
      <c r="C4558" s="11" t="str">
        <f>IF(COUNTIF(D$1:D4558,D4558)=1,MAX(C$1:C4557)+1,"")</f>
        <v/>
      </c>
      <c r="D4558" s="12"/>
    </row>
    <row r="4559" spans="1:4" x14ac:dyDescent="0.25">
      <c r="A4559" t="str">
        <f>IF(COUNTIF(B$1:B4559,B4559)=1,MAX(A$1:A4558)+1,"")</f>
        <v/>
      </c>
      <c r="B4559" s="11"/>
      <c r="C4559" s="11" t="str">
        <f>IF(COUNTIF(D$1:D4559,D4559)=1,MAX(C$1:C4558)+1,"")</f>
        <v/>
      </c>
      <c r="D4559" s="12"/>
    </row>
    <row r="4560" spans="1:4" x14ac:dyDescent="0.25">
      <c r="A4560" t="str">
        <f>IF(COUNTIF(B$1:B4560,B4560)=1,MAX(A$1:A4559)+1,"")</f>
        <v/>
      </c>
      <c r="B4560" s="11"/>
      <c r="C4560" s="11" t="str">
        <f>IF(COUNTIF(D$1:D4560,D4560)=1,MAX(C$1:C4559)+1,"")</f>
        <v/>
      </c>
      <c r="D4560" s="12"/>
    </row>
    <row r="4561" spans="1:4" x14ac:dyDescent="0.25">
      <c r="A4561" t="str">
        <f>IF(COUNTIF(B$1:B4561,B4561)=1,MAX(A$1:A4560)+1,"")</f>
        <v/>
      </c>
      <c r="B4561" s="11"/>
      <c r="C4561" s="11" t="str">
        <f>IF(COUNTIF(D$1:D4561,D4561)=1,MAX(C$1:C4560)+1,"")</f>
        <v/>
      </c>
      <c r="D4561" s="12"/>
    </row>
    <row r="4562" spans="1:4" x14ac:dyDescent="0.25">
      <c r="A4562" t="str">
        <f>IF(COUNTIF(B$1:B4562,B4562)=1,MAX(A$1:A4561)+1,"")</f>
        <v/>
      </c>
      <c r="B4562" s="11"/>
      <c r="C4562" s="11" t="str">
        <f>IF(COUNTIF(D$1:D4562,D4562)=1,MAX(C$1:C4561)+1,"")</f>
        <v/>
      </c>
      <c r="D4562" s="12"/>
    </row>
    <row r="4563" spans="1:4" x14ac:dyDescent="0.25">
      <c r="A4563" t="str">
        <f>IF(COUNTIF(B$1:B4563,B4563)=1,MAX(A$1:A4562)+1,"")</f>
        <v/>
      </c>
      <c r="B4563" s="11"/>
      <c r="C4563" s="11" t="str">
        <f>IF(COUNTIF(D$1:D4563,D4563)=1,MAX(C$1:C4562)+1,"")</f>
        <v/>
      </c>
      <c r="D4563" s="12"/>
    </row>
    <row r="4564" spans="1:4" x14ac:dyDescent="0.25">
      <c r="A4564" t="str">
        <f>IF(COUNTIF(B$1:B4564,B4564)=1,MAX(A$1:A4563)+1,"")</f>
        <v/>
      </c>
      <c r="B4564" s="11"/>
      <c r="C4564" s="11" t="str">
        <f>IF(COUNTIF(D$1:D4564,D4564)=1,MAX(C$1:C4563)+1,"")</f>
        <v/>
      </c>
      <c r="D4564" s="12"/>
    </row>
    <row r="4565" spans="1:4" x14ac:dyDescent="0.25">
      <c r="A4565" t="str">
        <f>IF(COUNTIF(B$1:B4565,B4565)=1,MAX(A$1:A4564)+1,"")</f>
        <v/>
      </c>
      <c r="B4565" s="11"/>
      <c r="C4565" s="11" t="str">
        <f>IF(COUNTIF(D$1:D4565,D4565)=1,MAX(C$1:C4564)+1,"")</f>
        <v/>
      </c>
      <c r="D4565" s="12"/>
    </row>
    <row r="4566" spans="1:4" x14ac:dyDescent="0.25">
      <c r="A4566" t="str">
        <f>IF(COUNTIF(B$1:B4566,B4566)=1,MAX(A$1:A4565)+1,"")</f>
        <v/>
      </c>
      <c r="B4566" s="11"/>
      <c r="C4566" s="11" t="str">
        <f>IF(COUNTIF(D$1:D4566,D4566)=1,MAX(C$1:C4565)+1,"")</f>
        <v/>
      </c>
      <c r="D4566" s="12"/>
    </row>
    <row r="4567" spans="1:4" x14ac:dyDescent="0.25">
      <c r="A4567" t="str">
        <f>IF(COUNTIF(B$1:B4567,B4567)=1,MAX(A$1:A4566)+1,"")</f>
        <v/>
      </c>
      <c r="B4567" s="11"/>
      <c r="C4567" s="11" t="str">
        <f>IF(COUNTIF(D$1:D4567,D4567)=1,MAX(C$1:C4566)+1,"")</f>
        <v/>
      </c>
      <c r="D4567" s="12"/>
    </row>
    <row r="4568" spans="1:4" x14ac:dyDescent="0.25">
      <c r="A4568" t="str">
        <f>IF(COUNTIF(B$1:B4568,B4568)=1,MAX(A$1:A4567)+1,"")</f>
        <v/>
      </c>
      <c r="B4568" s="11"/>
      <c r="C4568" s="11" t="str">
        <f>IF(COUNTIF(D$1:D4568,D4568)=1,MAX(C$1:C4567)+1,"")</f>
        <v/>
      </c>
      <c r="D4568" s="12"/>
    </row>
    <row r="4569" spans="1:4" x14ac:dyDescent="0.25">
      <c r="A4569" t="str">
        <f>IF(COUNTIF(B$1:B4569,B4569)=1,MAX(A$1:A4568)+1,"")</f>
        <v/>
      </c>
      <c r="B4569" s="11"/>
      <c r="C4569" s="11" t="str">
        <f>IF(COUNTIF(D$1:D4569,D4569)=1,MAX(C$1:C4568)+1,"")</f>
        <v/>
      </c>
      <c r="D4569" s="12"/>
    </row>
    <row r="4570" spans="1:4" x14ac:dyDescent="0.25">
      <c r="A4570" t="str">
        <f>IF(COUNTIF(B$1:B4570,B4570)=1,MAX(A$1:A4569)+1,"")</f>
        <v/>
      </c>
      <c r="B4570" s="11"/>
      <c r="C4570" s="11" t="str">
        <f>IF(COUNTIF(D$1:D4570,D4570)=1,MAX(C$1:C4569)+1,"")</f>
        <v/>
      </c>
      <c r="D4570" s="12"/>
    </row>
    <row r="4571" spans="1:4" x14ac:dyDescent="0.25">
      <c r="A4571" t="str">
        <f>IF(COUNTIF(B$1:B4571,B4571)=1,MAX(A$1:A4570)+1,"")</f>
        <v/>
      </c>
      <c r="B4571" s="11"/>
      <c r="C4571" s="11" t="str">
        <f>IF(COUNTIF(D$1:D4571,D4571)=1,MAX(C$1:C4570)+1,"")</f>
        <v/>
      </c>
      <c r="D4571" s="12"/>
    </row>
    <row r="4572" spans="1:4" x14ac:dyDescent="0.25">
      <c r="A4572" t="str">
        <f>IF(COUNTIF(B$1:B4572,B4572)=1,MAX(A$1:A4571)+1,"")</f>
        <v/>
      </c>
      <c r="B4572" s="11"/>
      <c r="C4572" s="11" t="str">
        <f>IF(COUNTIF(D$1:D4572,D4572)=1,MAX(C$1:C4571)+1,"")</f>
        <v/>
      </c>
      <c r="D4572" s="12"/>
    </row>
    <row r="4573" spans="1:4" x14ac:dyDescent="0.25">
      <c r="A4573" t="str">
        <f>IF(COUNTIF(B$1:B4573,B4573)=1,MAX(A$1:A4572)+1,"")</f>
        <v/>
      </c>
      <c r="B4573" s="11"/>
      <c r="C4573" s="11" t="str">
        <f>IF(COUNTIF(D$1:D4573,D4573)=1,MAX(C$1:C4572)+1,"")</f>
        <v/>
      </c>
      <c r="D4573" s="12"/>
    </row>
    <row r="4574" spans="1:4" x14ac:dyDescent="0.25">
      <c r="A4574" t="str">
        <f>IF(COUNTIF(B$1:B4574,B4574)=1,MAX(A$1:A4573)+1,"")</f>
        <v/>
      </c>
      <c r="B4574" s="11"/>
      <c r="C4574" s="11" t="str">
        <f>IF(COUNTIF(D$1:D4574,D4574)=1,MAX(C$1:C4573)+1,"")</f>
        <v/>
      </c>
      <c r="D4574" s="12"/>
    </row>
    <row r="4575" spans="1:4" x14ac:dyDescent="0.25">
      <c r="A4575" t="str">
        <f>IF(COUNTIF(B$1:B4575,B4575)=1,MAX(A$1:A4574)+1,"")</f>
        <v/>
      </c>
      <c r="B4575" s="11"/>
      <c r="C4575" s="11" t="str">
        <f>IF(COUNTIF(D$1:D4575,D4575)=1,MAX(C$1:C4574)+1,"")</f>
        <v/>
      </c>
      <c r="D4575" s="12"/>
    </row>
    <row r="4576" spans="1:4" x14ac:dyDescent="0.25">
      <c r="A4576" t="str">
        <f>IF(COUNTIF(B$1:B4576,B4576)=1,MAX(A$1:A4575)+1,"")</f>
        <v/>
      </c>
      <c r="B4576" s="11"/>
      <c r="C4576" s="11" t="str">
        <f>IF(COUNTIF(D$1:D4576,D4576)=1,MAX(C$1:C4575)+1,"")</f>
        <v/>
      </c>
      <c r="D4576" s="12"/>
    </row>
    <row r="4577" spans="1:4" x14ac:dyDescent="0.25">
      <c r="A4577" t="str">
        <f>IF(COUNTIF(B$1:B4577,B4577)=1,MAX(A$1:A4576)+1,"")</f>
        <v/>
      </c>
      <c r="B4577" s="11"/>
      <c r="C4577" s="11" t="str">
        <f>IF(COUNTIF(D$1:D4577,D4577)=1,MAX(C$1:C4576)+1,"")</f>
        <v/>
      </c>
      <c r="D4577" s="12"/>
    </row>
    <row r="4578" spans="1:4" x14ac:dyDescent="0.25">
      <c r="A4578" t="str">
        <f>IF(COUNTIF(B$1:B4578,B4578)=1,MAX(A$1:A4577)+1,"")</f>
        <v/>
      </c>
      <c r="B4578" s="11"/>
      <c r="C4578" s="11" t="str">
        <f>IF(COUNTIF(D$1:D4578,D4578)=1,MAX(C$1:C4577)+1,"")</f>
        <v/>
      </c>
      <c r="D4578" s="12"/>
    </row>
    <row r="4579" spans="1:4" x14ac:dyDescent="0.25">
      <c r="A4579" t="str">
        <f>IF(COUNTIF(B$1:B4579,B4579)=1,MAX(A$1:A4578)+1,"")</f>
        <v/>
      </c>
      <c r="B4579" s="11"/>
      <c r="C4579" s="11" t="str">
        <f>IF(COUNTIF(D$1:D4579,D4579)=1,MAX(C$1:C4578)+1,"")</f>
        <v/>
      </c>
      <c r="D4579" s="12"/>
    </row>
    <row r="4580" spans="1:4" x14ac:dyDescent="0.25">
      <c r="A4580" t="str">
        <f>IF(COUNTIF(B$1:B4580,B4580)=1,MAX(A$1:A4579)+1,"")</f>
        <v/>
      </c>
      <c r="B4580" s="11"/>
      <c r="C4580" s="11" t="str">
        <f>IF(COUNTIF(D$1:D4580,D4580)=1,MAX(C$1:C4579)+1,"")</f>
        <v/>
      </c>
      <c r="D4580" s="12"/>
    </row>
    <row r="4581" spans="1:4" x14ac:dyDescent="0.25">
      <c r="A4581" t="str">
        <f>IF(COUNTIF(B$1:B4581,B4581)=1,MAX(A$1:A4580)+1,"")</f>
        <v/>
      </c>
      <c r="B4581" s="11"/>
      <c r="C4581" s="11" t="str">
        <f>IF(COUNTIF(D$1:D4581,D4581)=1,MAX(C$1:C4580)+1,"")</f>
        <v/>
      </c>
      <c r="D4581" s="12"/>
    </row>
    <row r="4582" spans="1:4" x14ac:dyDescent="0.25">
      <c r="A4582" t="str">
        <f>IF(COUNTIF(B$1:B4582,B4582)=1,MAX(A$1:A4581)+1,"")</f>
        <v/>
      </c>
      <c r="B4582" s="11"/>
      <c r="C4582" s="11" t="str">
        <f>IF(COUNTIF(D$1:D4582,D4582)=1,MAX(C$1:C4581)+1,"")</f>
        <v/>
      </c>
      <c r="D4582" s="12"/>
    </row>
    <row r="4583" spans="1:4" x14ac:dyDescent="0.25">
      <c r="A4583" t="str">
        <f>IF(COUNTIF(B$1:B4583,B4583)=1,MAX(A$1:A4582)+1,"")</f>
        <v/>
      </c>
      <c r="B4583" s="11"/>
      <c r="C4583" s="11" t="str">
        <f>IF(COUNTIF(D$1:D4583,D4583)=1,MAX(C$1:C4582)+1,"")</f>
        <v/>
      </c>
      <c r="D4583" s="12"/>
    </row>
    <row r="4584" spans="1:4" x14ac:dyDescent="0.25">
      <c r="A4584" t="str">
        <f>IF(COUNTIF(B$1:B4584,B4584)=1,MAX(A$1:A4583)+1,"")</f>
        <v/>
      </c>
      <c r="B4584" s="11"/>
      <c r="C4584" s="11" t="str">
        <f>IF(COUNTIF(D$1:D4584,D4584)=1,MAX(C$1:C4583)+1,"")</f>
        <v/>
      </c>
      <c r="D4584" s="12"/>
    </row>
    <row r="4585" spans="1:4" x14ac:dyDescent="0.25">
      <c r="A4585" t="str">
        <f>IF(COUNTIF(B$1:B4585,B4585)=1,MAX(A$1:A4584)+1,"")</f>
        <v/>
      </c>
      <c r="B4585" s="11"/>
      <c r="C4585" s="11" t="str">
        <f>IF(COUNTIF(D$1:D4585,D4585)=1,MAX(C$1:C4584)+1,"")</f>
        <v/>
      </c>
      <c r="D4585" s="12"/>
    </row>
    <row r="4586" spans="1:4" x14ac:dyDescent="0.25">
      <c r="A4586" t="str">
        <f>IF(COUNTIF(B$1:B4586,B4586)=1,MAX(A$1:A4585)+1,"")</f>
        <v/>
      </c>
      <c r="B4586" s="11"/>
      <c r="C4586" s="11" t="str">
        <f>IF(COUNTIF(D$1:D4586,D4586)=1,MAX(C$1:C4585)+1,"")</f>
        <v/>
      </c>
      <c r="D4586" s="12"/>
    </row>
    <row r="4587" spans="1:4" x14ac:dyDescent="0.25">
      <c r="A4587" t="str">
        <f>IF(COUNTIF(B$1:B4587,B4587)=1,MAX(A$1:A4586)+1,"")</f>
        <v/>
      </c>
      <c r="B4587" s="11"/>
      <c r="C4587" s="11" t="str">
        <f>IF(COUNTIF(D$1:D4587,D4587)=1,MAX(C$1:C4586)+1,"")</f>
        <v/>
      </c>
      <c r="D4587" s="12"/>
    </row>
    <row r="4588" spans="1:4" x14ac:dyDescent="0.25">
      <c r="A4588" t="str">
        <f>IF(COUNTIF(B$1:B4588,B4588)=1,MAX(A$1:A4587)+1,"")</f>
        <v/>
      </c>
      <c r="B4588" s="11"/>
      <c r="C4588" s="11" t="str">
        <f>IF(COUNTIF(D$1:D4588,D4588)=1,MAX(C$1:C4587)+1,"")</f>
        <v/>
      </c>
      <c r="D4588" s="12"/>
    </row>
    <row r="4589" spans="1:4" x14ac:dyDescent="0.25">
      <c r="A4589" t="str">
        <f>IF(COUNTIF(B$1:B4589,B4589)=1,MAX(A$1:A4588)+1,"")</f>
        <v/>
      </c>
      <c r="B4589" s="11"/>
      <c r="C4589" s="11" t="str">
        <f>IF(COUNTIF(D$1:D4589,D4589)=1,MAX(C$1:C4588)+1,"")</f>
        <v/>
      </c>
      <c r="D4589" s="12"/>
    </row>
    <row r="4590" spans="1:4" x14ac:dyDescent="0.25">
      <c r="A4590" t="str">
        <f>IF(COUNTIF(B$1:B4590,B4590)=1,MAX(A$1:A4589)+1,"")</f>
        <v/>
      </c>
      <c r="B4590" s="11"/>
      <c r="C4590" s="11" t="str">
        <f>IF(COUNTIF(D$1:D4590,D4590)=1,MAX(C$1:C4589)+1,"")</f>
        <v/>
      </c>
      <c r="D4590" s="12"/>
    </row>
    <row r="4591" spans="1:4" x14ac:dyDescent="0.25">
      <c r="A4591" t="str">
        <f>IF(COUNTIF(B$1:B4591,B4591)=1,MAX(A$1:A4590)+1,"")</f>
        <v/>
      </c>
      <c r="B4591" s="11"/>
      <c r="C4591" s="11" t="str">
        <f>IF(COUNTIF(D$1:D4591,D4591)=1,MAX(C$1:C4590)+1,"")</f>
        <v/>
      </c>
      <c r="D4591" s="12"/>
    </row>
    <row r="4592" spans="1:4" x14ac:dyDescent="0.25">
      <c r="A4592" t="str">
        <f>IF(COUNTIF(B$1:B4592,B4592)=1,MAX(A$1:A4591)+1,"")</f>
        <v/>
      </c>
      <c r="B4592" s="11"/>
      <c r="C4592" s="11" t="str">
        <f>IF(COUNTIF(D$1:D4592,D4592)=1,MAX(C$1:C4591)+1,"")</f>
        <v/>
      </c>
      <c r="D4592" s="12"/>
    </row>
    <row r="4593" spans="1:4" x14ac:dyDescent="0.25">
      <c r="A4593" t="str">
        <f>IF(COUNTIF(B$1:B4593,B4593)=1,MAX(A$1:A4592)+1,"")</f>
        <v/>
      </c>
      <c r="B4593" s="11"/>
      <c r="C4593" s="11" t="str">
        <f>IF(COUNTIF(D$1:D4593,D4593)=1,MAX(C$1:C4592)+1,"")</f>
        <v/>
      </c>
      <c r="D4593" s="12"/>
    </row>
    <row r="4594" spans="1:4" x14ac:dyDescent="0.25">
      <c r="A4594" t="str">
        <f>IF(COUNTIF(B$1:B4594,B4594)=1,MAX(A$1:A4593)+1,"")</f>
        <v/>
      </c>
      <c r="B4594" s="11"/>
      <c r="C4594" s="11" t="str">
        <f>IF(COUNTIF(D$1:D4594,D4594)=1,MAX(C$1:C4593)+1,"")</f>
        <v/>
      </c>
      <c r="D4594" s="12"/>
    </row>
    <row r="4595" spans="1:4" x14ac:dyDescent="0.25">
      <c r="A4595" t="str">
        <f>IF(COUNTIF(B$1:B4595,B4595)=1,MAX(A$1:A4594)+1,"")</f>
        <v/>
      </c>
      <c r="B4595" s="11"/>
      <c r="C4595" s="11" t="str">
        <f>IF(COUNTIF(D$1:D4595,D4595)=1,MAX(C$1:C4594)+1,"")</f>
        <v/>
      </c>
      <c r="D4595" s="12"/>
    </row>
    <row r="4596" spans="1:4" x14ac:dyDescent="0.25">
      <c r="A4596" t="str">
        <f>IF(COUNTIF(B$1:B4596,B4596)=1,MAX(A$1:A4595)+1,"")</f>
        <v/>
      </c>
      <c r="B4596" s="11"/>
      <c r="C4596" s="11" t="str">
        <f>IF(COUNTIF(D$1:D4596,D4596)=1,MAX(C$1:C4595)+1,"")</f>
        <v/>
      </c>
      <c r="D4596" s="12"/>
    </row>
    <row r="4597" spans="1:4" x14ac:dyDescent="0.25">
      <c r="A4597" t="str">
        <f>IF(COUNTIF(B$1:B4597,B4597)=1,MAX(A$1:A4596)+1,"")</f>
        <v/>
      </c>
      <c r="B4597" s="11"/>
      <c r="C4597" s="11" t="str">
        <f>IF(COUNTIF(D$1:D4597,D4597)=1,MAX(C$1:C4596)+1,"")</f>
        <v/>
      </c>
      <c r="D4597" s="12"/>
    </row>
    <row r="4598" spans="1:4" x14ac:dyDescent="0.25">
      <c r="A4598" t="str">
        <f>IF(COUNTIF(B$1:B4598,B4598)=1,MAX(A$1:A4597)+1,"")</f>
        <v/>
      </c>
      <c r="B4598" s="11"/>
      <c r="C4598" s="11" t="str">
        <f>IF(COUNTIF(D$1:D4598,D4598)=1,MAX(C$1:C4597)+1,"")</f>
        <v/>
      </c>
      <c r="D4598" s="12"/>
    </row>
    <row r="4599" spans="1:4" x14ac:dyDescent="0.25">
      <c r="A4599" t="str">
        <f>IF(COUNTIF(B$1:B4599,B4599)=1,MAX(A$1:A4598)+1,"")</f>
        <v/>
      </c>
      <c r="B4599" s="11"/>
      <c r="C4599" s="11" t="str">
        <f>IF(COUNTIF(D$1:D4599,D4599)=1,MAX(C$1:C4598)+1,"")</f>
        <v/>
      </c>
      <c r="D4599" s="12"/>
    </row>
    <row r="4600" spans="1:4" x14ac:dyDescent="0.25">
      <c r="A4600" t="str">
        <f>IF(COUNTIF(B$1:B4600,B4600)=1,MAX(A$1:A4599)+1,"")</f>
        <v/>
      </c>
      <c r="B4600" s="11"/>
      <c r="C4600" s="11" t="str">
        <f>IF(COUNTIF(D$1:D4600,D4600)=1,MAX(C$1:C4599)+1,"")</f>
        <v/>
      </c>
      <c r="D4600" s="12"/>
    </row>
    <row r="4601" spans="1:4" x14ac:dyDescent="0.25">
      <c r="A4601" t="str">
        <f>IF(COUNTIF(B$1:B4601,B4601)=1,MAX(A$1:A4600)+1,"")</f>
        <v/>
      </c>
      <c r="B4601" s="11"/>
      <c r="C4601" s="11" t="str">
        <f>IF(COUNTIF(D$1:D4601,D4601)=1,MAX(C$1:C4600)+1,"")</f>
        <v/>
      </c>
      <c r="D4601" s="12"/>
    </row>
    <row r="4602" spans="1:4" x14ac:dyDescent="0.25">
      <c r="A4602" t="str">
        <f>IF(COUNTIF(B$1:B4602,B4602)=1,MAX(A$1:A4601)+1,"")</f>
        <v/>
      </c>
      <c r="B4602" s="11"/>
      <c r="C4602" s="11" t="str">
        <f>IF(COUNTIF(D$1:D4602,D4602)=1,MAX(C$1:C4601)+1,"")</f>
        <v/>
      </c>
      <c r="D4602" s="12"/>
    </row>
    <row r="4603" spans="1:4" x14ac:dyDescent="0.25">
      <c r="A4603" t="str">
        <f>IF(COUNTIF(B$1:B4603,B4603)=1,MAX(A$1:A4602)+1,"")</f>
        <v/>
      </c>
      <c r="B4603" s="11"/>
      <c r="C4603" s="11" t="str">
        <f>IF(COUNTIF(D$1:D4603,D4603)=1,MAX(C$1:C4602)+1,"")</f>
        <v/>
      </c>
      <c r="D4603" s="12"/>
    </row>
    <row r="4604" spans="1:4" x14ac:dyDescent="0.25">
      <c r="A4604" t="str">
        <f>IF(COUNTIF(B$1:B4604,B4604)=1,MAX(A$1:A4603)+1,"")</f>
        <v/>
      </c>
      <c r="B4604" s="11"/>
      <c r="C4604" s="11" t="str">
        <f>IF(COUNTIF(D$1:D4604,D4604)=1,MAX(C$1:C4603)+1,"")</f>
        <v/>
      </c>
      <c r="D4604" s="12"/>
    </row>
    <row r="4605" spans="1:4" x14ac:dyDescent="0.25">
      <c r="A4605" t="str">
        <f>IF(COUNTIF(B$1:B4605,B4605)=1,MAX(A$1:A4604)+1,"")</f>
        <v/>
      </c>
      <c r="B4605" s="11"/>
      <c r="C4605" s="11" t="str">
        <f>IF(COUNTIF(D$1:D4605,D4605)=1,MAX(C$1:C4604)+1,"")</f>
        <v/>
      </c>
      <c r="D4605" s="12"/>
    </row>
    <row r="4606" spans="1:4" x14ac:dyDescent="0.25">
      <c r="A4606" t="str">
        <f>IF(COUNTIF(B$1:B4606,B4606)=1,MAX(A$1:A4605)+1,"")</f>
        <v/>
      </c>
      <c r="B4606" s="11"/>
      <c r="C4606" s="11" t="str">
        <f>IF(COUNTIF(D$1:D4606,D4606)=1,MAX(C$1:C4605)+1,"")</f>
        <v/>
      </c>
      <c r="D4606" s="12"/>
    </row>
    <row r="4607" spans="1:4" x14ac:dyDescent="0.25">
      <c r="A4607" t="str">
        <f>IF(COUNTIF(B$1:B4607,B4607)=1,MAX(A$1:A4606)+1,"")</f>
        <v/>
      </c>
      <c r="B4607" s="11"/>
      <c r="C4607" s="11" t="str">
        <f>IF(COUNTIF(D$1:D4607,D4607)=1,MAX(C$1:C4606)+1,"")</f>
        <v/>
      </c>
      <c r="D4607" s="12"/>
    </row>
    <row r="4608" spans="1:4" x14ac:dyDescent="0.25">
      <c r="A4608" t="str">
        <f>IF(COUNTIF(B$1:B4608,B4608)=1,MAX(A$1:A4607)+1,"")</f>
        <v/>
      </c>
      <c r="B4608" s="11"/>
      <c r="C4608" s="11" t="str">
        <f>IF(COUNTIF(D$1:D4608,D4608)=1,MAX(C$1:C4607)+1,"")</f>
        <v/>
      </c>
      <c r="D4608" s="12"/>
    </row>
    <row r="4609" spans="1:4" x14ac:dyDescent="0.25">
      <c r="A4609" t="str">
        <f>IF(COUNTIF(B$1:B4609,B4609)=1,MAX(A$1:A4608)+1,"")</f>
        <v/>
      </c>
      <c r="B4609" s="11"/>
      <c r="C4609" s="11" t="str">
        <f>IF(COUNTIF(D$1:D4609,D4609)=1,MAX(C$1:C4608)+1,"")</f>
        <v/>
      </c>
      <c r="D4609" s="12"/>
    </row>
    <row r="4610" spans="1:4" x14ac:dyDescent="0.25">
      <c r="A4610" t="str">
        <f>IF(COUNTIF(B$1:B4610,B4610)=1,MAX(A$1:A4609)+1,"")</f>
        <v/>
      </c>
      <c r="B4610" s="11"/>
      <c r="C4610" s="11" t="str">
        <f>IF(COUNTIF(D$1:D4610,D4610)=1,MAX(C$1:C4609)+1,"")</f>
        <v/>
      </c>
      <c r="D4610" s="12"/>
    </row>
    <row r="4611" spans="1:4" x14ac:dyDescent="0.25">
      <c r="A4611" t="str">
        <f>IF(COUNTIF(B$1:B4611,B4611)=1,MAX(A$1:A4610)+1,"")</f>
        <v/>
      </c>
      <c r="B4611" s="11"/>
      <c r="C4611" s="11" t="str">
        <f>IF(COUNTIF(D$1:D4611,D4611)=1,MAX(C$1:C4610)+1,"")</f>
        <v/>
      </c>
      <c r="D4611" s="12"/>
    </row>
    <row r="4612" spans="1:4" x14ac:dyDescent="0.25">
      <c r="A4612" t="str">
        <f>IF(COUNTIF(B$1:B4612,B4612)=1,MAX(A$1:A4611)+1,"")</f>
        <v/>
      </c>
      <c r="B4612" s="11"/>
      <c r="C4612" s="11" t="str">
        <f>IF(COUNTIF(D$1:D4612,D4612)=1,MAX(C$1:C4611)+1,"")</f>
        <v/>
      </c>
      <c r="D4612" s="12"/>
    </row>
    <row r="4613" spans="1:4" x14ac:dyDescent="0.25">
      <c r="A4613" t="str">
        <f>IF(COUNTIF(B$1:B4613,B4613)=1,MAX(A$1:A4612)+1,"")</f>
        <v/>
      </c>
      <c r="B4613" s="11"/>
      <c r="C4613" s="11" t="str">
        <f>IF(COUNTIF(D$1:D4613,D4613)=1,MAX(C$1:C4612)+1,"")</f>
        <v/>
      </c>
      <c r="D4613" s="12"/>
    </row>
    <row r="4614" spans="1:4" x14ac:dyDescent="0.25">
      <c r="A4614" t="str">
        <f>IF(COUNTIF(B$1:B4614,B4614)=1,MAX(A$1:A4613)+1,"")</f>
        <v/>
      </c>
      <c r="B4614" s="11"/>
      <c r="C4614" s="11" t="str">
        <f>IF(COUNTIF(D$1:D4614,D4614)=1,MAX(C$1:C4613)+1,"")</f>
        <v/>
      </c>
      <c r="D4614" s="12"/>
    </row>
    <row r="4615" spans="1:4" x14ac:dyDescent="0.25">
      <c r="A4615" t="str">
        <f>IF(COUNTIF(B$1:B4615,B4615)=1,MAX(A$1:A4614)+1,"")</f>
        <v/>
      </c>
      <c r="B4615" s="11"/>
      <c r="C4615" s="11" t="str">
        <f>IF(COUNTIF(D$1:D4615,D4615)=1,MAX(C$1:C4614)+1,"")</f>
        <v/>
      </c>
      <c r="D4615" s="12"/>
    </row>
    <row r="4616" spans="1:4" x14ac:dyDescent="0.25">
      <c r="A4616" t="str">
        <f>IF(COUNTIF(B$1:B4616,B4616)=1,MAX(A$1:A4615)+1,"")</f>
        <v/>
      </c>
      <c r="B4616" s="11"/>
      <c r="C4616" s="11" t="str">
        <f>IF(COUNTIF(D$1:D4616,D4616)=1,MAX(C$1:C4615)+1,"")</f>
        <v/>
      </c>
      <c r="D4616" s="12"/>
    </row>
    <row r="4617" spans="1:4" x14ac:dyDescent="0.25">
      <c r="A4617" t="str">
        <f>IF(COUNTIF(B$1:B4617,B4617)=1,MAX(A$1:A4616)+1,"")</f>
        <v/>
      </c>
      <c r="B4617" s="11"/>
      <c r="C4617" s="11" t="str">
        <f>IF(COUNTIF(D$1:D4617,D4617)=1,MAX(C$1:C4616)+1,"")</f>
        <v/>
      </c>
      <c r="D4617" s="12"/>
    </row>
    <row r="4618" spans="1:4" x14ac:dyDescent="0.25">
      <c r="A4618" t="str">
        <f>IF(COUNTIF(B$1:B4618,B4618)=1,MAX(A$1:A4617)+1,"")</f>
        <v/>
      </c>
      <c r="B4618" s="11"/>
      <c r="C4618" s="11" t="str">
        <f>IF(COUNTIF(D$1:D4618,D4618)=1,MAX(C$1:C4617)+1,"")</f>
        <v/>
      </c>
      <c r="D4618" s="12"/>
    </row>
    <row r="4619" spans="1:4" x14ac:dyDescent="0.25">
      <c r="A4619" t="str">
        <f>IF(COUNTIF(B$1:B4619,B4619)=1,MAX(A$1:A4618)+1,"")</f>
        <v/>
      </c>
      <c r="B4619" s="11"/>
      <c r="C4619" s="11" t="str">
        <f>IF(COUNTIF(D$1:D4619,D4619)=1,MAX(C$1:C4618)+1,"")</f>
        <v/>
      </c>
      <c r="D4619" s="12"/>
    </row>
    <row r="4620" spans="1:4" x14ac:dyDescent="0.25">
      <c r="A4620" t="str">
        <f>IF(COUNTIF(B$1:B4620,B4620)=1,MAX(A$1:A4619)+1,"")</f>
        <v/>
      </c>
      <c r="B4620" s="11"/>
      <c r="C4620" s="11" t="str">
        <f>IF(COUNTIF(D$1:D4620,D4620)=1,MAX(C$1:C4619)+1,"")</f>
        <v/>
      </c>
      <c r="D4620" s="12"/>
    </row>
    <row r="4621" spans="1:4" x14ac:dyDescent="0.25">
      <c r="A4621" t="str">
        <f>IF(COUNTIF(B$1:B4621,B4621)=1,MAX(A$1:A4620)+1,"")</f>
        <v/>
      </c>
      <c r="B4621" s="11"/>
      <c r="C4621" s="11" t="str">
        <f>IF(COUNTIF(D$1:D4621,D4621)=1,MAX(C$1:C4620)+1,"")</f>
        <v/>
      </c>
      <c r="D4621" s="12"/>
    </row>
    <row r="4622" spans="1:4" x14ac:dyDescent="0.25">
      <c r="A4622" t="str">
        <f>IF(COUNTIF(B$1:B4622,B4622)=1,MAX(A$1:A4621)+1,"")</f>
        <v/>
      </c>
      <c r="B4622" s="11"/>
      <c r="C4622" s="11" t="str">
        <f>IF(COUNTIF(D$1:D4622,D4622)=1,MAX(C$1:C4621)+1,"")</f>
        <v/>
      </c>
      <c r="D4622" s="12"/>
    </row>
    <row r="4623" spans="1:4" x14ac:dyDescent="0.25">
      <c r="A4623" t="str">
        <f>IF(COUNTIF(B$1:B4623,B4623)=1,MAX(A$1:A4622)+1,"")</f>
        <v/>
      </c>
      <c r="B4623" s="11"/>
      <c r="C4623" s="11" t="str">
        <f>IF(COUNTIF(D$1:D4623,D4623)=1,MAX(C$1:C4622)+1,"")</f>
        <v/>
      </c>
      <c r="D4623" s="12"/>
    </row>
    <row r="4624" spans="1:4" x14ac:dyDescent="0.25">
      <c r="A4624" t="str">
        <f>IF(COUNTIF(B$1:B4624,B4624)=1,MAX(A$1:A4623)+1,"")</f>
        <v/>
      </c>
      <c r="B4624" s="11"/>
      <c r="C4624" s="11" t="str">
        <f>IF(COUNTIF(D$1:D4624,D4624)=1,MAX(C$1:C4623)+1,"")</f>
        <v/>
      </c>
      <c r="D4624" s="12"/>
    </row>
    <row r="4625" spans="1:4" x14ac:dyDescent="0.25">
      <c r="A4625" t="str">
        <f>IF(COUNTIF(B$1:B4625,B4625)=1,MAX(A$1:A4624)+1,"")</f>
        <v/>
      </c>
      <c r="B4625" s="11"/>
      <c r="C4625" s="11" t="str">
        <f>IF(COUNTIF(D$1:D4625,D4625)=1,MAX(C$1:C4624)+1,"")</f>
        <v/>
      </c>
      <c r="D4625" s="12"/>
    </row>
    <row r="4626" spans="1:4" x14ac:dyDescent="0.25">
      <c r="A4626" t="str">
        <f>IF(COUNTIF(B$1:B4626,B4626)=1,MAX(A$1:A4625)+1,"")</f>
        <v/>
      </c>
      <c r="B4626" s="11"/>
      <c r="C4626" s="11" t="str">
        <f>IF(COUNTIF(D$1:D4626,D4626)=1,MAX(C$1:C4625)+1,"")</f>
        <v/>
      </c>
      <c r="D4626" s="12"/>
    </row>
    <row r="4627" spans="1:4" x14ac:dyDescent="0.25">
      <c r="A4627" t="str">
        <f>IF(COUNTIF(B$1:B4627,B4627)=1,MAX(A$1:A4626)+1,"")</f>
        <v/>
      </c>
      <c r="B4627" s="11"/>
      <c r="C4627" s="11" t="str">
        <f>IF(COUNTIF(D$1:D4627,D4627)=1,MAX(C$1:C4626)+1,"")</f>
        <v/>
      </c>
      <c r="D4627" s="12"/>
    </row>
    <row r="4628" spans="1:4" x14ac:dyDescent="0.25">
      <c r="A4628" t="str">
        <f>IF(COUNTIF(B$1:B4628,B4628)=1,MAX(A$1:A4627)+1,"")</f>
        <v/>
      </c>
      <c r="B4628" s="11"/>
      <c r="C4628" s="11" t="str">
        <f>IF(COUNTIF(D$1:D4628,D4628)=1,MAX(C$1:C4627)+1,"")</f>
        <v/>
      </c>
      <c r="D4628" s="12"/>
    </row>
    <row r="4629" spans="1:4" x14ac:dyDescent="0.25">
      <c r="A4629" t="str">
        <f>IF(COUNTIF(B$1:B4629,B4629)=1,MAX(A$1:A4628)+1,"")</f>
        <v/>
      </c>
      <c r="B4629" s="11"/>
      <c r="C4629" s="11" t="str">
        <f>IF(COUNTIF(D$1:D4629,D4629)=1,MAX(C$1:C4628)+1,"")</f>
        <v/>
      </c>
      <c r="D4629" s="12"/>
    </row>
    <row r="4630" spans="1:4" x14ac:dyDescent="0.25">
      <c r="A4630" t="str">
        <f>IF(COUNTIF(B$1:B4630,B4630)=1,MAX(A$1:A4629)+1,"")</f>
        <v/>
      </c>
      <c r="B4630" s="11"/>
      <c r="C4630" s="11" t="str">
        <f>IF(COUNTIF(D$1:D4630,D4630)=1,MAX(C$1:C4629)+1,"")</f>
        <v/>
      </c>
      <c r="D4630" s="12"/>
    </row>
    <row r="4631" spans="1:4" x14ac:dyDescent="0.25">
      <c r="A4631" t="str">
        <f>IF(COUNTIF(B$1:B4631,B4631)=1,MAX(A$1:A4630)+1,"")</f>
        <v/>
      </c>
      <c r="B4631" s="11"/>
      <c r="C4631" s="11" t="str">
        <f>IF(COUNTIF(D$1:D4631,D4631)=1,MAX(C$1:C4630)+1,"")</f>
        <v/>
      </c>
      <c r="D4631" s="12"/>
    </row>
    <row r="4632" spans="1:4" x14ac:dyDescent="0.25">
      <c r="A4632" t="str">
        <f>IF(COUNTIF(B$1:B4632,B4632)=1,MAX(A$1:A4631)+1,"")</f>
        <v/>
      </c>
      <c r="B4632" s="11"/>
      <c r="C4632" s="11" t="str">
        <f>IF(COUNTIF(D$1:D4632,D4632)=1,MAX(C$1:C4631)+1,"")</f>
        <v/>
      </c>
      <c r="D4632" s="12"/>
    </row>
    <row r="4633" spans="1:4" x14ac:dyDescent="0.25">
      <c r="A4633" t="str">
        <f>IF(COUNTIF(B$1:B4633,B4633)=1,MAX(A$1:A4632)+1,"")</f>
        <v/>
      </c>
      <c r="B4633" s="11"/>
      <c r="C4633" s="11" t="str">
        <f>IF(COUNTIF(D$1:D4633,D4633)=1,MAX(C$1:C4632)+1,"")</f>
        <v/>
      </c>
      <c r="D4633" s="12"/>
    </row>
    <row r="4634" spans="1:4" x14ac:dyDescent="0.25">
      <c r="A4634" t="str">
        <f>IF(COUNTIF(B$1:B4634,B4634)=1,MAX(A$1:A4633)+1,"")</f>
        <v/>
      </c>
      <c r="B4634" s="11"/>
      <c r="C4634" s="11" t="str">
        <f>IF(COUNTIF(D$1:D4634,D4634)=1,MAX(C$1:C4633)+1,"")</f>
        <v/>
      </c>
      <c r="D4634" s="12"/>
    </row>
    <row r="4635" spans="1:4" x14ac:dyDescent="0.25">
      <c r="A4635" t="str">
        <f>IF(COUNTIF(B$1:B4635,B4635)=1,MAX(A$1:A4634)+1,"")</f>
        <v/>
      </c>
      <c r="B4635" s="11"/>
      <c r="C4635" s="11" t="str">
        <f>IF(COUNTIF(D$1:D4635,D4635)=1,MAX(C$1:C4634)+1,"")</f>
        <v/>
      </c>
      <c r="D4635" s="12"/>
    </row>
    <row r="4636" spans="1:4" x14ac:dyDescent="0.25">
      <c r="A4636" t="str">
        <f>IF(COUNTIF(B$1:B4636,B4636)=1,MAX(A$1:A4635)+1,"")</f>
        <v/>
      </c>
      <c r="B4636" s="11"/>
      <c r="C4636" s="11" t="str">
        <f>IF(COUNTIF(D$1:D4636,D4636)=1,MAX(C$1:C4635)+1,"")</f>
        <v/>
      </c>
      <c r="D4636" s="12"/>
    </row>
    <row r="4637" spans="1:4" x14ac:dyDescent="0.25">
      <c r="A4637" t="str">
        <f>IF(COUNTIF(B$1:B4637,B4637)=1,MAX(A$1:A4636)+1,"")</f>
        <v/>
      </c>
      <c r="B4637" s="11"/>
      <c r="C4637" s="11" t="str">
        <f>IF(COUNTIF(D$1:D4637,D4637)=1,MAX(C$1:C4636)+1,"")</f>
        <v/>
      </c>
      <c r="D4637" s="12"/>
    </row>
    <row r="4638" spans="1:4" x14ac:dyDescent="0.25">
      <c r="A4638" t="str">
        <f>IF(COUNTIF(B$1:B4638,B4638)=1,MAX(A$1:A4637)+1,"")</f>
        <v/>
      </c>
      <c r="B4638" s="11"/>
      <c r="C4638" s="11" t="str">
        <f>IF(COUNTIF(D$1:D4638,D4638)=1,MAX(C$1:C4637)+1,"")</f>
        <v/>
      </c>
      <c r="D4638" s="12"/>
    </row>
    <row r="4639" spans="1:4" x14ac:dyDescent="0.25">
      <c r="A4639" t="str">
        <f>IF(COUNTIF(B$1:B4639,B4639)=1,MAX(A$1:A4638)+1,"")</f>
        <v/>
      </c>
      <c r="B4639" s="11"/>
      <c r="C4639" s="11" t="str">
        <f>IF(COUNTIF(D$1:D4639,D4639)=1,MAX(C$1:C4638)+1,"")</f>
        <v/>
      </c>
      <c r="D4639" s="12"/>
    </row>
    <row r="4640" spans="1:4" x14ac:dyDescent="0.25">
      <c r="A4640" t="str">
        <f>IF(COUNTIF(B$1:B4640,B4640)=1,MAX(A$1:A4639)+1,"")</f>
        <v/>
      </c>
      <c r="B4640" s="11"/>
      <c r="C4640" s="11" t="str">
        <f>IF(COUNTIF(D$1:D4640,D4640)=1,MAX(C$1:C4639)+1,"")</f>
        <v/>
      </c>
      <c r="D4640" s="12"/>
    </row>
    <row r="4641" spans="1:4" x14ac:dyDescent="0.25">
      <c r="A4641" t="str">
        <f>IF(COUNTIF(B$1:B4641,B4641)=1,MAX(A$1:A4640)+1,"")</f>
        <v/>
      </c>
      <c r="B4641" s="11"/>
      <c r="C4641" s="11" t="str">
        <f>IF(COUNTIF(D$1:D4641,D4641)=1,MAX(C$1:C4640)+1,"")</f>
        <v/>
      </c>
      <c r="D4641" s="12"/>
    </row>
    <row r="4642" spans="1:4" x14ac:dyDescent="0.25">
      <c r="A4642" t="str">
        <f>IF(COUNTIF(B$1:B4642,B4642)=1,MAX(A$1:A4641)+1,"")</f>
        <v/>
      </c>
      <c r="B4642" s="11"/>
      <c r="C4642" s="11" t="str">
        <f>IF(COUNTIF(D$1:D4642,D4642)=1,MAX(C$1:C4641)+1,"")</f>
        <v/>
      </c>
      <c r="D4642" s="12"/>
    </row>
    <row r="4643" spans="1:4" x14ac:dyDescent="0.25">
      <c r="A4643" t="str">
        <f>IF(COUNTIF(B$1:B4643,B4643)=1,MAX(A$1:A4642)+1,"")</f>
        <v/>
      </c>
      <c r="B4643" s="11"/>
      <c r="C4643" s="11" t="str">
        <f>IF(COUNTIF(D$1:D4643,D4643)=1,MAX(C$1:C4642)+1,"")</f>
        <v/>
      </c>
      <c r="D4643" s="12"/>
    </row>
    <row r="4644" spans="1:4" x14ac:dyDescent="0.25">
      <c r="A4644" t="str">
        <f>IF(COUNTIF(B$1:B4644,B4644)=1,MAX(A$1:A4643)+1,"")</f>
        <v/>
      </c>
      <c r="B4644" s="11"/>
      <c r="C4644" s="11" t="str">
        <f>IF(COUNTIF(D$1:D4644,D4644)=1,MAX(C$1:C4643)+1,"")</f>
        <v/>
      </c>
      <c r="D4644" s="12"/>
    </row>
    <row r="4645" spans="1:4" x14ac:dyDescent="0.25">
      <c r="A4645" t="str">
        <f>IF(COUNTIF(B$1:B4645,B4645)=1,MAX(A$1:A4644)+1,"")</f>
        <v/>
      </c>
      <c r="B4645" s="11"/>
      <c r="C4645" s="11" t="str">
        <f>IF(COUNTIF(D$1:D4645,D4645)=1,MAX(C$1:C4644)+1,"")</f>
        <v/>
      </c>
      <c r="D4645" s="12"/>
    </row>
    <row r="4646" spans="1:4" x14ac:dyDescent="0.25">
      <c r="A4646" t="str">
        <f>IF(COUNTIF(B$1:B4646,B4646)=1,MAX(A$1:A4645)+1,"")</f>
        <v/>
      </c>
      <c r="B4646" s="11"/>
      <c r="C4646" s="11" t="str">
        <f>IF(COUNTIF(D$1:D4646,D4646)=1,MAX(C$1:C4645)+1,"")</f>
        <v/>
      </c>
      <c r="D4646" s="12"/>
    </row>
    <row r="4647" spans="1:4" x14ac:dyDescent="0.25">
      <c r="A4647" t="str">
        <f>IF(COUNTIF(B$1:B4647,B4647)=1,MAX(A$1:A4646)+1,"")</f>
        <v/>
      </c>
      <c r="B4647" s="11"/>
      <c r="C4647" s="11" t="str">
        <f>IF(COUNTIF(D$1:D4647,D4647)=1,MAX(C$1:C4646)+1,"")</f>
        <v/>
      </c>
      <c r="D4647" s="12"/>
    </row>
    <row r="4648" spans="1:4" x14ac:dyDescent="0.25">
      <c r="A4648" t="str">
        <f>IF(COUNTIF(B$1:B4648,B4648)=1,MAX(A$1:A4647)+1,"")</f>
        <v/>
      </c>
      <c r="B4648" s="11"/>
      <c r="C4648" s="11" t="str">
        <f>IF(COUNTIF(D$1:D4648,D4648)=1,MAX(C$1:C4647)+1,"")</f>
        <v/>
      </c>
      <c r="D4648" s="12"/>
    </row>
    <row r="4649" spans="1:4" x14ac:dyDescent="0.25">
      <c r="A4649" t="str">
        <f>IF(COUNTIF(B$1:B4649,B4649)=1,MAX(A$1:A4648)+1,"")</f>
        <v/>
      </c>
      <c r="B4649" s="11"/>
      <c r="C4649" s="11" t="str">
        <f>IF(COUNTIF(D$1:D4649,D4649)=1,MAX(C$1:C4648)+1,"")</f>
        <v/>
      </c>
      <c r="D4649" s="12"/>
    </row>
    <row r="4650" spans="1:4" x14ac:dyDescent="0.25">
      <c r="A4650" t="str">
        <f>IF(COUNTIF(B$1:B4650,B4650)=1,MAX(A$1:A4649)+1,"")</f>
        <v/>
      </c>
      <c r="B4650" s="11"/>
      <c r="C4650" s="11" t="str">
        <f>IF(COUNTIF(D$1:D4650,D4650)=1,MAX(C$1:C4649)+1,"")</f>
        <v/>
      </c>
      <c r="D4650" s="12"/>
    </row>
    <row r="4651" spans="1:4" x14ac:dyDescent="0.25">
      <c r="A4651" t="str">
        <f>IF(COUNTIF(B$1:B4651,B4651)=1,MAX(A$1:A4650)+1,"")</f>
        <v/>
      </c>
      <c r="B4651" s="11"/>
      <c r="C4651" s="11" t="str">
        <f>IF(COUNTIF(D$1:D4651,D4651)=1,MAX(C$1:C4650)+1,"")</f>
        <v/>
      </c>
      <c r="D4651" s="12"/>
    </row>
    <row r="4652" spans="1:4" x14ac:dyDescent="0.25">
      <c r="A4652" t="str">
        <f>IF(COUNTIF(B$1:B4652,B4652)=1,MAX(A$1:A4651)+1,"")</f>
        <v/>
      </c>
      <c r="B4652" s="11"/>
      <c r="C4652" s="11" t="str">
        <f>IF(COUNTIF(D$1:D4652,D4652)=1,MAX(C$1:C4651)+1,"")</f>
        <v/>
      </c>
      <c r="D4652" s="12"/>
    </row>
    <row r="4653" spans="1:4" x14ac:dyDescent="0.25">
      <c r="A4653" t="str">
        <f>IF(COUNTIF(B$1:B4653,B4653)=1,MAX(A$1:A4652)+1,"")</f>
        <v/>
      </c>
      <c r="B4653" s="11"/>
      <c r="C4653" s="11" t="str">
        <f>IF(COUNTIF(D$1:D4653,D4653)=1,MAX(C$1:C4652)+1,"")</f>
        <v/>
      </c>
      <c r="D4653" s="12"/>
    </row>
    <row r="4654" spans="1:4" x14ac:dyDescent="0.25">
      <c r="A4654" t="str">
        <f>IF(COUNTIF(B$1:B4654,B4654)=1,MAX(A$1:A4653)+1,"")</f>
        <v/>
      </c>
      <c r="B4654" s="11"/>
      <c r="C4654" s="11" t="str">
        <f>IF(COUNTIF(D$1:D4654,D4654)=1,MAX(C$1:C4653)+1,"")</f>
        <v/>
      </c>
      <c r="D4654" s="12"/>
    </row>
    <row r="4655" spans="1:4" x14ac:dyDescent="0.25">
      <c r="A4655" t="str">
        <f>IF(COUNTIF(B$1:B4655,B4655)=1,MAX(A$1:A4654)+1,"")</f>
        <v/>
      </c>
      <c r="B4655" s="11"/>
      <c r="C4655" s="11" t="str">
        <f>IF(COUNTIF(D$1:D4655,D4655)=1,MAX(C$1:C4654)+1,"")</f>
        <v/>
      </c>
      <c r="D4655" s="12"/>
    </row>
    <row r="4656" spans="1:4" x14ac:dyDescent="0.25">
      <c r="A4656" t="str">
        <f>IF(COUNTIF(B$1:B4656,B4656)=1,MAX(A$1:A4655)+1,"")</f>
        <v/>
      </c>
      <c r="B4656" s="11"/>
      <c r="C4656" s="11" t="str">
        <f>IF(COUNTIF(D$1:D4656,D4656)=1,MAX(C$1:C4655)+1,"")</f>
        <v/>
      </c>
      <c r="D4656" s="12"/>
    </row>
    <row r="4657" spans="1:4" x14ac:dyDescent="0.25">
      <c r="A4657" t="str">
        <f>IF(COUNTIF(B$1:B4657,B4657)=1,MAX(A$1:A4656)+1,"")</f>
        <v/>
      </c>
      <c r="B4657" s="11"/>
      <c r="C4657" s="11" t="str">
        <f>IF(COUNTIF(D$1:D4657,D4657)=1,MAX(C$1:C4656)+1,"")</f>
        <v/>
      </c>
      <c r="D4657" s="12"/>
    </row>
    <row r="4658" spans="1:4" x14ac:dyDescent="0.25">
      <c r="A4658" t="str">
        <f>IF(COUNTIF(B$1:B4658,B4658)=1,MAX(A$1:A4657)+1,"")</f>
        <v/>
      </c>
      <c r="B4658" s="11"/>
      <c r="C4658" s="11" t="str">
        <f>IF(COUNTIF(D$1:D4658,D4658)=1,MAX(C$1:C4657)+1,"")</f>
        <v/>
      </c>
      <c r="D4658" s="12"/>
    </row>
    <row r="4659" spans="1:4" x14ac:dyDescent="0.25">
      <c r="A4659" t="str">
        <f>IF(COUNTIF(B$1:B4659,B4659)=1,MAX(A$1:A4658)+1,"")</f>
        <v/>
      </c>
      <c r="B4659" s="11"/>
      <c r="C4659" s="11" t="str">
        <f>IF(COUNTIF(D$1:D4659,D4659)=1,MAX(C$1:C4658)+1,"")</f>
        <v/>
      </c>
      <c r="D4659" s="12"/>
    </row>
    <row r="4660" spans="1:4" x14ac:dyDescent="0.25">
      <c r="A4660" t="str">
        <f>IF(COUNTIF(B$1:B4660,B4660)=1,MAX(A$1:A4659)+1,"")</f>
        <v/>
      </c>
      <c r="B4660" s="11"/>
      <c r="C4660" s="11" t="str">
        <f>IF(COUNTIF(D$1:D4660,D4660)=1,MAX(C$1:C4659)+1,"")</f>
        <v/>
      </c>
      <c r="D4660" s="12"/>
    </row>
    <row r="4661" spans="1:4" x14ac:dyDescent="0.25">
      <c r="A4661" t="str">
        <f>IF(COUNTIF(B$1:B4661,B4661)=1,MAX(A$1:A4660)+1,"")</f>
        <v/>
      </c>
      <c r="B4661" s="11"/>
      <c r="C4661" s="11" t="str">
        <f>IF(COUNTIF(D$1:D4661,D4661)=1,MAX(C$1:C4660)+1,"")</f>
        <v/>
      </c>
      <c r="D4661" s="12"/>
    </row>
    <row r="4662" spans="1:4" x14ac:dyDescent="0.25">
      <c r="A4662" t="str">
        <f>IF(COUNTIF(B$1:B4662,B4662)=1,MAX(A$1:A4661)+1,"")</f>
        <v/>
      </c>
      <c r="B4662" s="11"/>
      <c r="C4662" s="11" t="str">
        <f>IF(COUNTIF(D$1:D4662,D4662)=1,MAX(C$1:C4661)+1,"")</f>
        <v/>
      </c>
      <c r="D4662" s="12"/>
    </row>
    <row r="4663" spans="1:4" x14ac:dyDescent="0.25">
      <c r="A4663" t="str">
        <f>IF(COUNTIF(B$1:B4663,B4663)=1,MAX(A$1:A4662)+1,"")</f>
        <v/>
      </c>
      <c r="B4663" s="11"/>
      <c r="C4663" s="11" t="str">
        <f>IF(COUNTIF(D$1:D4663,D4663)=1,MAX(C$1:C4662)+1,"")</f>
        <v/>
      </c>
      <c r="D4663" s="12"/>
    </row>
    <row r="4664" spans="1:4" x14ac:dyDescent="0.25">
      <c r="A4664" t="str">
        <f>IF(COUNTIF(B$1:B4664,B4664)=1,MAX(A$1:A4663)+1,"")</f>
        <v/>
      </c>
      <c r="B4664" s="11"/>
      <c r="C4664" s="11" t="str">
        <f>IF(COUNTIF(D$1:D4664,D4664)=1,MAX(C$1:C4663)+1,"")</f>
        <v/>
      </c>
      <c r="D4664" s="12"/>
    </row>
    <row r="4665" spans="1:4" x14ac:dyDescent="0.25">
      <c r="A4665" t="str">
        <f>IF(COUNTIF(B$1:B4665,B4665)=1,MAX(A$1:A4664)+1,"")</f>
        <v/>
      </c>
      <c r="B4665" s="11"/>
      <c r="C4665" s="11" t="str">
        <f>IF(COUNTIF(D$1:D4665,D4665)=1,MAX(C$1:C4664)+1,"")</f>
        <v/>
      </c>
      <c r="D4665" s="12"/>
    </row>
    <row r="4666" spans="1:4" x14ac:dyDescent="0.25">
      <c r="A4666" t="str">
        <f>IF(COUNTIF(B$1:B4666,B4666)=1,MAX(A$1:A4665)+1,"")</f>
        <v/>
      </c>
      <c r="B4666" s="11"/>
      <c r="C4666" s="11" t="str">
        <f>IF(COUNTIF(D$1:D4666,D4666)=1,MAX(C$1:C4665)+1,"")</f>
        <v/>
      </c>
      <c r="D4666" s="12"/>
    </row>
    <row r="4667" spans="1:4" x14ac:dyDescent="0.25">
      <c r="A4667" t="str">
        <f>IF(COUNTIF(B$1:B4667,B4667)=1,MAX(A$1:A4666)+1,"")</f>
        <v/>
      </c>
      <c r="B4667" s="11"/>
      <c r="C4667" s="11" t="str">
        <f>IF(COUNTIF(D$1:D4667,D4667)=1,MAX(C$1:C4666)+1,"")</f>
        <v/>
      </c>
      <c r="D4667" s="12"/>
    </row>
    <row r="4668" spans="1:4" x14ac:dyDescent="0.25">
      <c r="A4668" t="str">
        <f>IF(COUNTIF(B$1:B4668,B4668)=1,MAX(A$1:A4667)+1,"")</f>
        <v/>
      </c>
      <c r="B4668" s="11"/>
      <c r="C4668" s="11" t="str">
        <f>IF(COUNTIF(D$1:D4668,D4668)=1,MAX(C$1:C4667)+1,"")</f>
        <v/>
      </c>
      <c r="D4668" s="12"/>
    </row>
    <row r="4669" spans="1:4" x14ac:dyDescent="0.25">
      <c r="A4669" t="str">
        <f>IF(COUNTIF(B$1:B4669,B4669)=1,MAX(A$1:A4668)+1,"")</f>
        <v/>
      </c>
      <c r="B4669" s="11"/>
      <c r="C4669" s="11" t="str">
        <f>IF(COUNTIF(D$1:D4669,D4669)=1,MAX(C$1:C4668)+1,"")</f>
        <v/>
      </c>
      <c r="D4669" s="12"/>
    </row>
    <row r="4670" spans="1:4" x14ac:dyDescent="0.25">
      <c r="A4670" t="str">
        <f>IF(COUNTIF(B$1:B4670,B4670)=1,MAX(A$1:A4669)+1,"")</f>
        <v/>
      </c>
      <c r="B4670" s="11"/>
      <c r="C4670" s="11" t="str">
        <f>IF(COUNTIF(D$1:D4670,D4670)=1,MAX(C$1:C4669)+1,"")</f>
        <v/>
      </c>
      <c r="D4670" s="12"/>
    </row>
    <row r="4671" spans="1:4" x14ac:dyDescent="0.25">
      <c r="A4671" t="str">
        <f>IF(COUNTIF(B$1:B4671,B4671)=1,MAX(A$1:A4670)+1,"")</f>
        <v/>
      </c>
      <c r="B4671" s="11"/>
      <c r="C4671" s="11" t="str">
        <f>IF(COUNTIF(D$1:D4671,D4671)=1,MAX(C$1:C4670)+1,"")</f>
        <v/>
      </c>
      <c r="D4671" s="12"/>
    </row>
    <row r="4672" spans="1:4" x14ac:dyDescent="0.25">
      <c r="A4672" t="str">
        <f>IF(COUNTIF(B$1:B4672,B4672)=1,MAX(A$1:A4671)+1,"")</f>
        <v/>
      </c>
      <c r="B4672" s="11"/>
      <c r="C4672" s="11" t="str">
        <f>IF(COUNTIF(D$1:D4672,D4672)=1,MAX(C$1:C4671)+1,"")</f>
        <v/>
      </c>
      <c r="D4672" s="12"/>
    </row>
    <row r="4673" spans="1:4" x14ac:dyDescent="0.25">
      <c r="A4673" t="str">
        <f>IF(COUNTIF(B$1:B4673,B4673)=1,MAX(A$1:A4672)+1,"")</f>
        <v/>
      </c>
      <c r="B4673" s="11"/>
      <c r="C4673" s="11" t="str">
        <f>IF(COUNTIF(D$1:D4673,D4673)=1,MAX(C$1:C4672)+1,"")</f>
        <v/>
      </c>
      <c r="D4673" s="12"/>
    </row>
    <row r="4674" spans="1:4" x14ac:dyDescent="0.25">
      <c r="A4674" t="str">
        <f>IF(COUNTIF(B$1:B4674,B4674)=1,MAX(A$1:A4673)+1,"")</f>
        <v/>
      </c>
      <c r="B4674" s="11"/>
      <c r="C4674" s="11" t="str">
        <f>IF(COUNTIF(D$1:D4674,D4674)=1,MAX(C$1:C4673)+1,"")</f>
        <v/>
      </c>
      <c r="D4674" s="12"/>
    </row>
    <row r="4675" spans="1:4" x14ac:dyDescent="0.25">
      <c r="A4675" t="str">
        <f>IF(COUNTIF(B$1:B4675,B4675)=1,MAX(A$1:A4674)+1,"")</f>
        <v/>
      </c>
      <c r="B4675" s="11"/>
      <c r="C4675" s="11" t="str">
        <f>IF(COUNTIF(D$1:D4675,D4675)=1,MAX(C$1:C4674)+1,"")</f>
        <v/>
      </c>
      <c r="D4675" s="12"/>
    </row>
    <row r="4676" spans="1:4" x14ac:dyDescent="0.25">
      <c r="A4676" t="str">
        <f>IF(COUNTIF(B$1:B4676,B4676)=1,MAX(A$1:A4675)+1,"")</f>
        <v/>
      </c>
      <c r="B4676" s="11"/>
      <c r="C4676" s="11" t="str">
        <f>IF(COUNTIF(D$1:D4676,D4676)=1,MAX(C$1:C4675)+1,"")</f>
        <v/>
      </c>
      <c r="D4676" s="12"/>
    </row>
    <row r="4677" spans="1:4" x14ac:dyDescent="0.25">
      <c r="A4677" t="str">
        <f>IF(COUNTIF(B$1:B4677,B4677)=1,MAX(A$1:A4676)+1,"")</f>
        <v/>
      </c>
      <c r="B4677" s="11"/>
      <c r="C4677" s="11" t="str">
        <f>IF(COUNTIF(D$1:D4677,D4677)=1,MAX(C$1:C4676)+1,"")</f>
        <v/>
      </c>
      <c r="D4677" s="12"/>
    </row>
    <row r="4678" spans="1:4" x14ac:dyDescent="0.25">
      <c r="A4678" t="str">
        <f>IF(COUNTIF(B$1:B4678,B4678)=1,MAX(A$1:A4677)+1,"")</f>
        <v/>
      </c>
      <c r="B4678" s="11"/>
      <c r="C4678" s="11" t="str">
        <f>IF(COUNTIF(D$1:D4678,D4678)=1,MAX(C$1:C4677)+1,"")</f>
        <v/>
      </c>
      <c r="D4678" s="12"/>
    </row>
    <row r="4679" spans="1:4" x14ac:dyDescent="0.25">
      <c r="A4679" t="str">
        <f>IF(COUNTIF(B$1:B4679,B4679)=1,MAX(A$1:A4678)+1,"")</f>
        <v/>
      </c>
      <c r="B4679" s="11"/>
      <c r="C4679" s="11" t="str">
        <f>IF(COUNTIF(D$1:D4679,D4679)=1,MAX(C$1:C4678)+1,"")</f>
        <v/>
      </c>
      <c r="D4679" s="12"/>
    </row>
    <row r="4680" spans="1:4" x14ac:dyDescent="0.25">
      <c r="A4680" t="str">
        <f>IF(COUNTIF(B$1:B4680,B4680)=1,MAX(A$1:A4679)+1,"")</f>
        <v/>
      </c>
      <c r="B4680" s="11"/>
      <c r="C4680" s="11" t="str">
        <f>IF(COUNTIF(D$1:D4680,D4680)=1,MAX(C$1:C4679)+1,"")</f>
        <v/>
      </c>
      <c r="D4680" s="12"/>
    </row>
    <row r="4681" spans="1:4" x14ac:dyDescent="0.25">
      <c r="A4681" t="str">
        <f>IF(COUNTIF(B$1:B4681,B4681)=1,MAX(A$1:A4680)+1,"")</f>
        <v/>
      </c>
      <c r="B4681" s="11"/>
      <c r="C4681" s="11" t="str">
        <f>IF(COUNTIF(D$1:D4681,D4681)=1,MAX(C$1:C4680)+1,"")</f>
        <v/>
      </c>
      <c r="D4681" s="12"/>
    </row>
    <row r="4682" spans="1:4" x14ac:dyDescent="0.25">
      <c r="A4682" t="str">
        <f>IF(COUNTIF(B$1:B4682,B4682)=1,MAX(A$1:A4681)+1,"")</f>
        <v/>
      </c>
      <c r="B4682" s="11"/>
      <c r="C4682" s="11" t="str">
        <f>IF(COUNTIF(D$1:D4682,D4682)=1,MAX(C$1:C4681)+1,"")</f>
        <v/>
      </c>
      <c r="D4682" s="12"/>
    </row>
    <row r="4683" spans="1:4" x14ac:dyDescent="0.25">
      <c r="A4683" t="str">
        <f>IF(COUNTIF(B$1:B4683,B4683)=1,MAX(A$1:A4682)+1,"")</f>
        <v/>
      </c>
      <c r="B4683" s="11"/>
      <c r="C4683" s="11" t="str">
        <f>IF(COUNTIF(D$1:D4683,D4683)=1,MAX(C$1:C4682)+1,"")</f>
        <v/>
      </c>
      <c r="D4683" s="12"/>
    </row>
    <row r="4684" spans="1:4" x14ac:dyDescent="0.25">
      <c r="A4684" t="str">
        <f>IF(COUNTIF(B$1:B4684,B4684)=1,MAX(A$1:A4683)+1,"")</f>
        <v/>
      </c>
      <c r="B4684" s="11"/>
      <c r="C4684" s="11" t="str">
        <f>IF(COUNTIF(D$1:D4684,D4684)=1,MAX(C$1:C4683)+1,"")</f>
        <v/>
      </c>
      <c r="D4684" s="12"/>
    </row>
    <row r="4685" spans="1:4" x14ac:dyDescent="0.25">
      <c r="A4685" t="str">
        <f>IF(COUNTIF(B$1:B4685,B4685)=1,MAX(A$1:A4684)+1,"")</f>
        <v/>
      </c>
      <c r="B4685" s="11"/>
      <c r="C4685" s="11" t="str">
        <f>IF(COUNTIF(D$1:D4685,D4685)=1,MAX(C$1:C4684)+1,"")</f>
        <v/>
      </c>
      <c r="D4685" s="12"/>
    </row>
    <row r="4686" spans="1:4" x14ac:dyDescent="0.25">
      <c r="A4686" t="str">
        <f>IF(COUNTIF(B$1:B4686,B4686)=1,MAX(A$1:A4685)+1,"")</f>
        <v/>
      </c>
      <c r="B4686" s="11"/>
      <c r="C4686" s="11" t="str">
        <f>IF(COUNTIF(D$1:D4686,D4686)=1,MAX(C$1:C4685)+1,"")</f>
        <v/>
      </c>
      <c r="D4686" s="12"/>
    </row>
    <row r="4687" spans="1:4" x14ac:dyDescent="0.25">
      <c r="A4687" t="str">
        <f>IF(COUNTIF(B$1:B4687,B4687)=1,MAX(A$1:A4686)+1,"")</f>
        <v/>
      </c>
      <c r="B4687" s="11"/>
      <c r="C4687" s="11" t="str">
        <f>IF(COUNTIF(D$1:D4687,D4687)=1,MAX(C$1:C4686)+1,"")</f>
        <v/>
      </c>
      <c r="D4687" s="12"/>
    </row>
    <row r="4688" spans="1:4" x14ac:dyDescent="0.25">
      <c r="A4688" t="str">
        <f>IF(COUNTIF(B$1:B4688,B4688)=1,MAX(A$1:A4687)+1,"")</f>
        <v/>
      </c>
      <c r="B4688" s="11"/>
      <c r="C4688" s="11" t="str">
        <f>IF(COUNTIF(D$1:D4688,D4688)=1,MAX(C$1:C4687)+1,"")</f>
        <v/>
      </c>
      <c r="D4688" s="12"/>
    </row>
    <row r="4689" spans="1:4" x14ac:dyDescent="0.25">
      <c r="A4689" t="str">
        <f>IF(COUNTIF(B$1:B4689,B4689)=1,MAX(A$1:A4688)+1,"")</f>
        <v/>
      </c>
      <c r="B4689" s="11"/>
      <c r="C4689" s="11" t="str">
        <f>IF(COUNTIF(D$1:D4689,D4689)=1,MAX(C$1:C4688)+1,"")</f>
        <v/>
      </c>
      <c r="D4689" s="12"/>
    </row>
    <row r="4690" spans="1:4" x14ac:dyDescent="0.25">
      <c r="A4690" t="str">
        <f>IF(COUNTIF(B$1:B4690,B4690)=1,MAX(A$1:A4689)+1,"")</f>
        <v/>
      </c>
      <c r="B4690" s="11"/>
      <c r="C4690" s="11" t="str">
        <f>IF(COUNTIF(D$1:D4690,D4690)=1,MAX(C$1:C4689)+1,"")</f>
        <v/>
      </c>
      <c r="D4690" s="12"/>
    </row>
    <row r="4691" spans="1:4" x14ac:dyDescent="0.25">
      <c r="A4691" t="str">
        <f>IF(COUNTIF(B$1:B4691,B4691)=1,MAX(A$1:A4690)+1,"")</f>
        <v/>
      </c>
      <c r="B4691" s="11"/>
      <c r="C4691" s="11" t="str">
        <f>IF(COUNTIF(D$1:D4691,D4691)=1,MAX(C$1:C4690)+1,"")</f>
        <v/>
      </c>
      <c r="D4691" s="12"/>
    </row>
    <row r="4692" spans="1:4" x14ac:dyDescent="0.25">
      <c r="A4692" t="str">
        <f>IF(COUNTIF(B$1:B4692,B4692)=1,MAX(A$1:A4691)+1,"")</f>
        <v/>
      </c>
      <c r="B4692" s="11"/>
      <c r="C4692" s="11" t="str">
        <f>IF(COUNTIF(D$1:D4692,D4692)=1,MAX(C$1:C4691)+1,"")</f>
        <v/>
      </c>
      <c r="D4692" s="12"/>
    </row>
    <row r="4693" spans="1:4" x14ac:dyDescent="0.25">
      <c r="A4693" t="str">
        <f>IF(COUNTIF(B$1:B4693,B4693)=1,MAX(A$1:A4692)+1,"")</f>
        <v/>
      </c>
      <c r="B4693" s="11"/>
      <c r="C4693" s="11" t="str">
        <f>IF(COUNTIF(D$1:D4693,D4693)=1,MAX(C$1:C4692)+1,"")</f>
        <v/>
      </c>
      <c r="D4693" s="12"/>
    </row>
    <row r="4694" spans="1:4" x14ac:dyDescent="0.25">
      <c r="A4694" t="str">
        <f>IF(COUNTIF(B$1:B4694,B4694)=1,MAX(A$1:A4693)+1,"")</f>
        <v/>
      </c>
      <c r="B4694" s="11"/>
      <c r="C4694" s="11" t="str">
        <f>IF(COUNTIF(D$1:D4694,D4694)=1,MAX(C$1:C4693)+1,"")</f>
        <v/>
      </c>
      <c r="D4694" s="12"/>
    </row>
    <row r="4695" spans="1:4" x14ac:dyDescent="0.25">
      <c r="A4695" t="str">
        <f>IF(COUNTIF(B$1:B4695,B4695)=1,MAX(A$1:A4694)+1,"")</f>
        <v/>
      </c>
      <c r="B4695" s="11"/>
      <c r="C4695" s="11" t="str">
        <f>IF(COUNTIF(D$1:D4695,D4695)=1,MAX(C$1:C4694)+1,"")</f>
        <v/>
      </c>
      <c r="D4695" s="12"/>
    </row>
    <row r="4696" spans="1:4" x14ac:dyDescent="0.25">
      <c r="A4696" t="str">
        <f>IF(COUNTIF(B$1:B4696,B4696)=1,MAX(A$1:A4695)+1,"")</f>
        <v/>
      </c>
      <c r="B4696" s="11"/>
      <c r="C4696" s="11" t="str">
        <f>IF(COUNTIF(D$1:D4696,D4696)=1,MAX(C$1:C4695)+1,"")</f>
        <v/>
      </c>
      <c r="D4696" s="12"/>
    </row>
    <row r="4697" spans="1:4" x14ac:dyDescent="0.25">
      <c r="A4697" t="str">
        <f>IF(COUNTIF(B$1:B4697,B4697)=1,MAX(A$1:A4696)+1,"")</f>
        <v/>
      </c>
      <c r="B4697" s="11"/>
      <c r="C4697" s="11" t="str">
        <f>IF(COUNTIF(D$1:D4697,D4697)=1,MAX(C$1:C4696)+1,"")</f>
        <v/>
      </c>
      <c r="D4697" s="12"/>
    </row>
    <row r="4698" spans="1:4" x14ac:dyDescent="0.25">
      <c r="A4698" t="str">
        <f>IF(COUNTIF(B$1:B4698,B4698)=1,MAX(A$1:A4697)+1,"")</f>
        <v/>
      </c>
      <c r="B4698" s="11"/>
      <c r="C4698" s="11" t="str">
        <f>IF(COUNTIF(D$1:D4698,D4698)=1,MAX(C$1:C4697)+1,"")</f>
        <v/>
      </c>
      <c r="D4698" s="12"/>
    </row>
    <row r="4699" spans="1:4" x14ac:dyDescent="0.25">
      <c r="A4699" t="str">
        <f>IF(COUNTIF(B$1:B4699,B4699)=1,MAX(A$1:A4698)+1,"")</f>
        <v/>
      </c>
      <c r="B4699" s="11"/>
      <c r="C4699" s="11" t="str">
        <f>IF(COUNTIF(D$1:D4699,D4699)=1,MAX(C$1:C4698)+1,"")</f>
        <v/>
      </c>
      <c r="D4699" s="12"/>
    </row>
    <row r="4700" spans="1:4" x14ac:dyDescent="0.25">
      <c r="A4700" t="str">
        <f>IF(COUNTIF(B$1:B4700,B4700)=1,MAX(A$1:A4699)+1,"")</f>
        <v/>
      </c>
      <c r="B4700" s="11"/>
      <c r="C4700" s="11" t="str">
        <f>IF(COUNTIF(D$1:D4700,D4700)=1,MAX(C$1:C4699)+1,"")</f>
        <v/>
      </c>
      <c r="D4700" s="12"/>
    </row>
    <row r="4701" spans="1:4" x14ac:dyDescent="0.25">
      <c r="A4701" t="str">
        <f>IF(COUNTIF(B$1:B4701,B4701)=1,MAX(A$1:A4700)+1,"")</f>
        <v/>
      </c>
      <c r="B4701" s="11"/>
      <c r="C4701" s="11" t="str">
        <f>IF(COUNTIF(D$1:D4701,D4701)=1,MAX(C$1:C4700)+1,"")</f>
        <v/>
      </c>
      <c r="D4701" s="12"/>
    </row>
    <row r="4702" spans="1:4" x14ac:dyDescent="0.25">
      <c r="A4702" t="str">
        <f>IF(COUNTIF(B$1:B4702,B4702)=1,MAX(A$1:A4701)+1,"")</f>
        <v/>
      </c>
      <c r="B4702" s="11"/>
      <c r="C4702" s="11" t="str">
        <f>IF(COUNTIF(D$1:D4702,D4702)=1,MAX(C$1:C4701)+1,"")</f>
        <v/>
      </c>
      <c r="D4702" s="12"/>
    </row>
    <row r="4703" spans="1:4" x14ac:dyDescent="0.25">
      <c r="A4703" t="str">
        <f>IF(COUNTIF(B$1:B4703,B4703)=1,MAX(A$1:A4702)+1,"")</f>
        <v/>
      </c>
      <c r="B4703" s="11"/>
      <c r="C4703" s="11" t="str">
        <f>IF(COUNTIF(D$1:D4703,D4703)=1,MAX(C$1:C4702)+1,"")</f>
        <v/>
      </c>
      <c r="D4703" s="12"/>
    </row>
    <row r="4704" spans="1:4" x14ac:dyDescent="0.25">
      <c r="A4704" t="str">
        <f>IF(COUNTIF(B$1:B4704,B4704)=1,MAX(A$1:A4703)+1,"")</f>
        <v/>
      </c>
      <c r="B4704" s="11"/>
      <c r="C4704" s="11" t="str">
        <f>IF(COUNTIF(D$1:D4704,D4704)=1,MAX(C$1:C4703)+1,"")</f>
        <v/>
      </c>
      <c r="D4704" s="12"/>
    </row>
    <row r="4705" spans="1:4" x14ac:dyDescent="0.25">
      <c r="A4705" t="str">
        <f>IF(COUNTIF(B$1:B4705,B4705)=1,MAX(A$1:A4704)+1,"")</f>
        <v/>
      </c>
      <c r="B4705" s="11"/>
      <c r="C4705" s="11" t="str">
        <f>IF(COUNTIF(D$1:D4705,D4705)=1,MAX(C$1:C4704)+1,"")</f>
        <v/>
      </c>
      <c r="D4705" s="12"/>
    </row>
    <row r="4706" spans="1:4" x14ac:dyDescent="0.25">
      <c r="A4706" t="str">
        <f>IF(COUNTIF(B$1:B4706,B4706)=1,MAX(A$1:A4705)+1,"")</f>
        <v/>
      </c>
      <c r="B4706" s="11"/>
      <c r="C4706" s="11" t="str">
        <f>IF(COUNTIF(D$1:D4706,D4706)=1,MAX(C$1:C4705)+1,"")</f>
        <v/>
      </c>
      <c r="D4706" s="12"/>
    </row>
    <row r="4707" spans="1:4" x14ac:dyDescent="0.25">
      <c r="A4707" t="str">
        <f>IF(COUNTIF(B$1:B4707,B4707)=1,MAX(A$1:A4706)+1,"")</f>
        <v/>
      </c>
      <c r="B4707" s="11"/>
      <c r="C4707" s="11" t="str">
        <f>IF(COUNTIF(D$1:D4707,D4707)=1,MAX(C$1:C4706)+1,"")</f>
        <v/>
      </c>
      <c r="D4707" s="12"/>
    </row>
    <row r="4708" spans="1:4" x14ac:dyDescent="0.25">
      <c r="A4708" t="str">
        <f>IF(COUNTIF(B$1:B4708,B4708)=1,MAX(A$1:A4707)+1,"")</f>
        <v/>
      </c>
      <c r="B4708" s="11"/>
      <c r="C4708" s="11" t="str">
        <f>IF(COUNTIF(D$1:D4708,D4708)=1,MAX(C$1:C4707)+1,"")</f>
        <v/>
      </c>
      <c r="D4708" s="12"/>
    </row>
    <row r="4709" spans="1:4" x14ac:dyDescent="0.25">
      <c r="A4709" t="str">
        <f>IF(COUNTIF(B$1:B4709,B4709)=1,MAX(A$1:A4708)+1,"")</f>
        <v/>
      </c>
      <c r="B4709" s="11"/>
      <c r="C4709" s="11" t="str">
        <f>IF(COUNTIF(D$1:D4709,D4709)=1,MAX(C$1:C4708)+1,"")</f>
        <v/>
      </c>
      <c r="D4709" s="12"/>
    </row>
    <row r="4710" spans="1:4" x14ac:dyDescent="0.25">
      <c r="A4710" t="str">
        <f>IF(COUNTIF(B$1:B4710,B4710)=1,MAX(A$1:A4709)+1,"")</f>
        <v/>
      </c>
      <c r="B4710" s="11"/>
      <c r="C4710" s="11" t="str">
        <f>IF(COUNTIF(D$1:D4710,D4710)=1,MAX(C$1:C4709)+1,"")</f>
        <v/>
      </c>
      <c r="D4710" s="12"/>
    </row>
    <row r="4711" spans="1:4" x14ac:dyDescent="0.25">
      <c r="A4711" t="str">
        <f>IF(COUNTIF(B$1:B4711,B4711)=1,MAX(A$1:A4710)+1,"")</f>
        <v/>
      </c>
      <c r="B4711" s="11"/>
      <c r="C4711" s="11" t="str">
        <f>IF(COUNTIF(D$1:D4711,D4711)=1,MAX(C$1:C4710)+1,"")</f>
        <v/>
      </c>
      <c r="D4711" s="12"/>
    </row>
    <row r="4712" spans="1:4" x14ac:dyDescent="0.25">
      <c r="A4712" t="str">
        <f>IF(COUNTIF(B$1:B4712,B4712)=1,MAX(A$1:A4711)+1,"")</f>
        <v/>
      </c>
      <c r="B4712" s="11"/>
      <c r="C4712" s="11" t="str">
        <f>IF(COUNTIF(D$1:D4712,D4712)=1,MAX(C$1:C4711)+1,"")</f>
        <v/>
      </c>
      <c r="D4712" s="12"/>
    </row>
    <row r="4713" spans="1:4" x14ac:dyDescent="0.25">
      <c r="A4713" t="str">
        <f>IF(COUNTIF(B$1:B4713,B4713)=1,MAX(A$1:A4712)+1,"")</f>
        <v/>
      </c>
      <c r="B4713" s="11"/>
      <c r="C4713" s="11" t="str">
        <f>IF(COUNTIF(D$1:D4713,D4713)=1,MAX(C$1:C4712)+1,"")</f>
        <v/>
      </c>
      <c r="D4713" s="12"/>
    </row>
    <row r="4714" spans="1:4" x14ac:dyDescent="0.25">
      <c r="A4714" t="str">
        <f>IF(COUNTIF(B$1:B4714,B4714)=1,MAX(A$1:A4713)+1,"")</f>
        <v/>
      </c>
      <c r="B4714" s="11"/>
      <c r="C4714" s="11" t="str">
        <f>IF(COUNTIF(D$1:D4714,D4714)=1,MAX(C$1:C4713)+1,"")</f>
        <v/>
      </c>
      <c r="D4714" s="12"/>
    </row>
    <row r="4715" spans="1:4" x14ac:dyDescent="0.25">
      <c r="A4715" t="str">
        <f>IF(COUNTIF(B$1:B4715,B4715)=1,MAX(A$1:A4714)+1,"")</f>
        <v/>
      </c>
      <c r="B4715" s="11"/>
      <c r="C4715" s="11" t="str">
        <f>IF(COUNTIF(D$1:D4715,D4715)=1,MAX(C$1:C4714)+1,"")</f>
        <v/>
      </c>
      <c r="D4715" s="12"/>
    </row>
    <row r="4716" spans="1:4" x14ac:dyDescent="0.25">
      <c r="A4716" t="str">
        <f>IF(COUNTIF(B$1:B4716,B4716)=1,MAX(A$1:A4715)+1,"")</f>
        <v/>
      </c>
      <c r="B4716" s="11"/>
      <c r="C4716" s="11" t="str">
        <f>IF(COUNTIF(D$1:D4716,D4716)=1,MAX(C$1:C4715)+1,"")</f>
        <v/>
      </c>
      <c r="D4716" s="12"/>
    </row>
    <row r="4717" spans="1:4" x14ac:dyDescent="0.25">
      <c r="A4717" t="str">
        <f>IF(COUNTIF(B$1:B4717,B4717)=1,MAX(A$1:A4716)+1,"")</f>
        <v/>
      </c>
      <c r="B4717" s="11"/>
      <c r="C4717" s="11" t="str">
        <f>IF(COUNTIF(D$1:D4717,D4717)=1,MAX(C$1:C4716)+1,"")</f>
        <v/>
      </c>
      <c r="D4717" s="12"/>
    </row>
    <row r="4718" spans="1:4" x14ac:dyDescent="0.25">
      <c r="A4718" t="str">
        <f>IF(COUNTIF(B$1:B4718,B4718)=1,MAX(A$1:A4717)+1,"")</f>
        <v/>
      </c>
      <c r="B4718" s="11"/>
      <c r="C4718" s="11" t="str">
        <f>IF(COUNTIF(D$1:D4718,D4718)=1,MAX(C$1:C4717)+1,"")</f>
        <v/>
      </c>
      <c r="D4718" s="12"/>
    </row>
    <row r="4719" spans="1:4" x14ac:dyDescent="0.25">
      <c r="A4719" t="str">
        <f>IF(COUNTIF(B$1:B4719,B4719)=1,MAX(A$1:A4718)+1,"")</f>
        <v/>
      </c>
      <c r="B4719" s="11"/>
      <c r="C4719" s="11" t="str">
        <f>IF(COUNTIF(D$1:D4719,D4719)=1,MAX(C$1:C4718)+1,"")</f>
        <v/>
      </c>
      <c r="D4719" s="12"/>
    </row>
    <row r="4720" spans="1:4" x14ac:dyDescent="0.25">
      <c r="A4720" t="str">
        <f>IF(COUNTIF(B$1:B4720,B4720)=1,MAX(A$1:A4719)+1,"")</f>
        <v/>
      </c>
      <c r="B4720" s="11"/>
      <c r="C4720" s="11" t="str">
        <f>IF(COUNTIF(D$1:D4720,D4720)=1,MAX(C$1:C4719)+1,"")</f>
        <v/>
      </c>
      <c r="D4720" s="12"/>
    </row>
    <row r="4721" spans="1:4" x14ac:dyDescent="0.25">
      <c r="A4721" t="str">
        <f>IF(COUNTIF(B$1:B4721,B4721)=1,MAX(A$1:A4720)+1,"")</f>
        <v/>
      </c>
      <c r="B4721" s="11"/>
      <c r="C4721" s="11" t="str">
        <f>IF(COUNTIF(D$1:D4721,D4721)=1,MAX(C$1:C4720)+1,"")</f>
        <v/>
      </c>
      <c r="D4721" s="12"/>
    </row>
    <row r="4722" spans="1:4" x14ac:dyDescent="0.25">
      <c r="A4722" t="str">
        <f>IF(COUNTIF(B$1:B4722,B4722)=1,MAX(A$1:A4721)+1,"")</f>
        <v/>
      </c>
      <c r="B4722" s="11"/>
      <c r="C4722" s="11" t="str">
        <f>IF(COUNTIF(D$1:D4722,D4722)=1,MAX(C$1:C4721)+1,"")</f>
        <v/>
      </c>
      <c r="D4722" s="12"/>
    </row>
    <row r="4723" spans="1:4" x14ac:dyDescent="0.25">
      <c r="A4723" t="str">
        <f>IF(COUNTIF(B$1:B4723,B4723)=1,MAX(A$1:A4722)+1,"")</f>
        <v/>
      </c>
      <c r="B4723" s="11"/>
      <c r="C4723" s="11" t="str">
        <f>IF(COUNTIF(D$1:D4723,D4723)=1,MAX(C$1:C4722)+1,"")</f>
        <v/>
      </c>
      <c r="D4723" s="12"/>
    </row>
    <row r="4724" spans="1:4" x14ac:dyDescent="0.25">
      <c r="A4724" t="str">
        <f>IF(COUNTIF(B$1:B4724,B4724)=1,MAX(A$1:A4723)+1,"")</f>
        <v/>
      </c>
      <c r="B4724" s="11"/>
      <c r="C4724" s="11" t="str">
        <f>IF(COUNTIF(D$1:D4724,D4724)=1,MAX(C$1:C4723)+1,"")</f>
        <v/>
      </c>
      <c r="D4724" s="12"/>
    </row>
    <row r="4725" spans="1:4" x14ac:dyDescent="0.25">
      <c r="A4725" t="str">
        <f>IF(COUNTIF(B$1:B4725,B4725)=1,MAX(A$1:A4724)+1,"")</f>
        <v/>
      </c>
      <c r="B4725" s="11"/>
      <c r="C4725" s="11" t="str">
        <f>IF(COUNTIF(D$1:D4725,D4725)=1,MAX(C$1:C4724)+1,"")</f>
        <v/>
      </c>
      <c r="D4725" s="12"/>
    </row>
    <row r="4726" spans="1:4" x14ac:dyDescent="0.25">
      <c r="A4726" t="str">
        <f>IF(COUNTIF(B$1:B4726,B4726)=1,MAX(A$1:A4725)+1,"")</f>
        <v/>
      </c>
      <c r="B4726" s="11"/>
      <c r="C4726" s="11" t="str">
        <f>IF(COUNTIF(D$1:D4726,D4726)=1,MAX(C$1:C4725)+1,"")</f>
        <v/>
      </c>
      <c r="D4726" s="12"/>
    </row>
    <row r="4727" spans="1:4" x14ac:dyDescent="0.25">
      <c r="A4727" t="str">
        <f>IF(COUNTIF(B$1:B4727,B4727)=1,MAX(A$1:A4726)+1,"")</f>
        <v/>
      </c>
      <c r="B4727" s="11"/>
      <c r="C4727" s="11" t="str">
        <f>IF(COUNTIF(D$1:D4727,D4727)=1,MAX(C$1:C4726)+1,"")</f>
        <v/>
      </c>
      <c r="D4727" s="12"/>
    </row>
    <row r="4728" spans="1:4" x14ac:dyDescent="0.25">
      <c r="A4728" t="str">
        <f>IF(COUNTIF(B$1:B4728,B4728)=1,MAX(A$1:A4727)+1,"")</f>
        <v/>
      </c>
      <c r="B4728" s="11"/>
      <c r="C4728" s="11" t="str">
        <f>IF(COUNTIF(D$1:D4728,D4728)=1,MAX(C$1:C4727)+1,"")</f>
        <v/>
      </c>
      <c r="D4728" s="12"/>
    </row>
    <row r="4729" spans="1:4" x14ac:dyDescent="0.25">
      <c r="A4729" t="str">
        <f>IF(COUNTIF(B$1:B4729,B4729)=1,MAX(A$1:A4728)+1,"")</f>
        <v/>
      </c>
      <c r="B4729" s="11"/>
      <c r="C4729" s="11" t="str">
        <f>IF(COUNTIF(D$1:D4729,D4729)=1,MAX(C$1:C4728)+1,"")</f>
        <v/>
      </c>
      <c r="D4729" s="12"/>
    </row>
    <row r="4730" spans="1:4" x14ac:dyDescent="0.25">
      <c r="A4730" t="str">
        <f>IF(COUNTIF(B$1:B4730,B4730)=1,MAX(A$1:A4729)+1,"")</f>
        <v/>
      </c>
      <c r="B4730" s="11"/>
      <c r="C4730" s="11" t="str">
        <f>IF(COUNTIF(D$1:D4730,D4730)=1,MAX(C$1:C4729)+1,"")</f>
        <v/>
      </c>
      <c r="D4730" s="12"/>
    </row>
    <row r="4731" spans="1:4" x14ac:dyDescent="0.25">
      <c r="A4731" t="str">
        <f>IF(COUNTIF(B$1:B4731,B4731)=1,MAX(A$1:A4730)+1,"")</f>
        <v/>
      </c>
      <c r="B4731" s="11"/>
      <c r="C4731" s="11" t="str">
        <f>IF(COUNTIF(D$1:D4731,D4731)=1,MAX(C$1:C4730)+1,"")</f>
        <v/>
      </c>
      <c r="D4731" s="12"/>
    </row>
    <row r="4732" spans="1:4" x14ac:dyDescent="0.25">
      <c r="A4732" t="str">
        <f>IF(COUNTIF(B$1:B4732,B4732)=1,MAX(A$1:A4731)+1,"")</f>
        <v/>
      </c>
      <c r="B4732" s="11"/>
      <c r="C4732" s="11" t="str">
        <f>IF(COUNTIF(D$1:D4732,D4732)=1,MAX(C$1:C4731)+1,"")</f>
        <v/>
      </c>
      <c r="D4732" s="12"/>
    </row>
    <row r="4733" spans="1:4" x14ac:dyDescent="0.25">
      <c r="A4733" t="str">
        <f>IF(COUNTIF(B$1:B4733,B4733)=1,MAX(A$1:A4732)+1,"")</f>
        <v/>
      </c>
      <c r="B4733" s="11"/>
      <c r="C4733" s="11" t="str">
        <f>IF(COUNTIF(D$1:D4733,D4733)=1,MAX(C$1:C4732)+1,"")</f>
        <v/>
      </c>
      <c r="D4733" s="12"/>
    </row>
    <row r="4734" spans="1:4" x14ac:dyDescent="0.25">
      <c r="A4734" t="str">
        <f>IF(COUNTIF(B$1:B4734,B4734)=1,MAX(A$1:A4733)+1,"")</f>
        <v/>
      </c>
      <c r="B4734" s="11"/>
      <c r="C4734" s="11" t="str">
        <f>IF(COUNTIF(D$1:D4734,D4734)=1,MAX(C$1:C4733)+1,"")</f>
        <v/>
      </c>
      <c r="D4734" s="12"/>
    </row>
    <row r="4735" spans="1:4" x14ac:dyDescent="0.25">
      <c r="A4735" t="str">
        <f>IF(COUNTIF(B$1:B4735,B4735)=1,MAX(A$1:A4734)+1,"")</f>
        <v/>
      </c>
      <c r="B4735" s="11"/>
      <c r="C4735" s="11" t="str">
        <f>IF(COUNTIF(D$1:D4735,D4735)=1,MAX(C$1:C4734)+1,"")</f>
        <v/>
      </c>
      <c r="D4735" s="12"/>
    </row>
    <row r="4736" spans="1:4" x14ac:dyDescent="0.25">
      <c r="A4736" t="str">
        <f>IF(COUNTIF(B$1:B4736,B4736)=1,MAX(A$1:A4735)+1,"")</f>
        <v/>
      </c>
      <c r="B4736" s="11"/>
      <c r="C4736" s="11" t="str">
        <f>IF(COUNTIF(D$1:D4736,D4736)=1,MAX(C$1:C4735)+1,"")</f>
        <v/>
      </c>
      <c r="D4736" s="12"/>
    </row>
    <row r="4737" spans="1:4" x14ac:dyDescent="0.25">
      <c r="A4737" t="str">
        <f>IF(COUNTIF(B$1:B4737,B4737)=1,MAX(A$1:A4736)+1,"")</f>
        <v/>
      </c>
      <c r="B4737" s="11"/>
      <c r="C4737" s="11" t="str">
        <f>IF(COUNTIF(D$1:D4737,D4737)=1,MAX(C$1:C4736)+1,"")</f>
        <v/>
      </c>
      <c r="D4737" s="12"/>
    </row>
    <row r="4738" spans="1:4" x14ac:dyDescent="0.25">
      <c r="A4738" t="str">
        <f>IF(COUNTIF(B$1:B4738,B4738)=1,MAX(A$1:A4737)+1,"")</f>
        <v/>
      </c>
      <c r="B4738" s="11"/>
      <c r="C4738" s="11" t="str">
        <f>IF(COUNTIF(D$1:D4738,D4738)=1,MAX(C$1:C4737)+1,"")</f>
        <v/>
      </c>
      <c r="D4738" s="12"/>
    </row>
    <row r="4739" spans="1:4" x14ac:dyDescent="0.25">
      <c r="A4739" t="str">
        <f>IF(COUNTIF(B$1:B4739,B4739)=1,MAX(A$1:A4738)+1,"")</f>
        <v/>
      </c>
      <c r="B4739" s="11"/>
      <c r="C4739" s="11" t="str">
        <f>IF(COUNTIF(D$1:D4739,D4739)=1,MAX(C$1:C4738)+1,"")</f>
        <v/>
      </c>
      <c r="D4739" s="12"/>
    </row>
    <row r="4740" spans="1:4" x14ac:dyDescent="0.25">
      <c r="A4740" t="str">
        <f>IF(COUNTIF(B$1:B4740,B4740)=1,MAX(A$1:A4739)+1,"")</f>
        <v/>
      </c>
      <c r="B4740" s="11"/>
      <c r="C4740" s="11" t="str">
        <f>IF(COUNTIF(D$1:D4740,D4740)=1,MAX(C$1:C4739)+1,"")</f>
        <v/>
      </c>
      <c r="D4740" s="12"/>
    </row>
    <row r="4741" spans="1:4" x14ac:dyDescent="0.25">
      <c r="A4741" t="str">
        <f>IF(COUNTIF(B$1:B4741,B4741)=1,MAX(A$1:A4740)+1,"")</f>
        <v/>
      </c>
      <c r="B4741" s="11"/>
      <c r="C4741" s="11" t="str">
        <f>IF(COUNTIF(D$1:D4741,D4741)=1,MAX(C$1:C4740)+1,"")</f>
        <v/>
      </c>
      <c r="D4741" s="12"/>
    </row>
    <row r="4742" spans="1:4" x14ac:dyDescent="0.25">
      <c r="A4742" t="str">
        <f>IF(COUNTIF(B$1:B4742,B4742)=1,MAX(A$1:A4741)+1,"")</f>
        <v/>
      </c>
      <c r="B4742" s="11"/>
      <c r="C4742" s="11" t="str">
        <f>IF(COUNTIF(D$1:D4742,D4742)=1,MAX(C$1:C4741)+1,"")</f>
        <v/>
      </c>
      <c r="D4742" s="12"/>
    </row>
    <row r="4743" spans="1:4" x14ac:dyDescent="0.25">
      <c r="A4743" t="str">
        <f>IF(COUNTIF(B$1:B4743,B4743)=1,MAX(A$1:A4742)+1,"")</f>
        <v/>
      </c>
      <c r="B4743" s="11"/>
      <c r="C4743" s="11" t="str">
        <f>IF(COUNTIF(D$1:D4743,D4743)=1,MAX(C$1:C4742)+1,"")</f>
        <v/>
      </c>
      <c r="D4743" s="12"/>
    </row>
    <row r="4744" spans="1:4" x14ac:dyDescent="0.25">
      <c r="A4744" t="str">
        <f>IF(COUNTIF(B$1:B4744,B4744)=1,MAX(A$1:A4743)+1,"")</f>
        <v/>
      </c>
      <c r="B4744" s="11"/>
      <c r="C4744" s="11" t="str">
        <f>IF(COUNTIF(D$1:D4744,D4744)=1,MAX(C$1:C4743)+1,"")</f>
        <v/>
      </c>
      <c r="D4744" s="12"/>
    </row>
    <row r="4745" spans="1:4" x14ac:dyDescent="0.25">
      <c r="A4745" t="str">
        <f>IF(COUNTIF(B$1:B4745,B4745)=1,MAX(A$1:A4744)+1,"")</f>
        <v/>
      </c>
      <c r="B4745" s="11"/>
      <c r="C4745" s="11" t="str">
        <f>IF(COUNTIF(D$1:D4745,D4745)=1,MAX(C$1:C4744)+1,"")</f>
        <v/>
      </c>
      <c r="D4745" s="12"/>
    </row>
    <row r="4746" spans="1:4" x14ac:dyDescent="0.25">
      <c r="A4746" t="str">
        <f>IF(COUNTIF(B$1:B4746,B4746)=1,MAX(A$1:A4745)+1,"")</f>
        <v/>
      </c>
      <c r="B4746" s="11"/>
      <c r="C4746" s="11" t="str">
        <f>IF(COUNTIF(D$1:D4746,D4746)=1,MAX(C$1:C4745)+1,"")</f>
        <v/>
      </c>
      <c r="D4746" s="12"/>
    </row>
    <row r="4747" spans="1:4" x14ac:dyDescent="0.25">
      <c r="A4747" t="str">
        <f>IF(COUNTIF(B$1:B4747,B4747)=1,MAX(A$1:A4746)+1,"")</f>
        <v/>
      </c>
      <c r="B4747" s="11"/>
      <c r="C4747" s="11" t="str">
        <f>IF(COUNTIF(D$1:D4747,D4747)=1,MAX(C$1:C4746)+1,"")</f>
        <v/>
      </c>
      <c r="D4747" s="12"/>
    </row>
    <row r="4748" spans="1:4" x14ac:dyDescent="0.25">
      <c r="A4748" t="str">
        <f>IF(COUNTIF(B$1:B4748,B4748)=1,MAX(A$1:A4747)+1,"")</f>
        <v/>
      </c>
      <c r="B4748" s="11"/>
      <c r="C4748" s="11" t="str">
        <f>IF(COUNTIF(D$1:D4748,D4748)=1,MAX(C$1:C4747)+1,"")</f>
        <v/>
      </c>
      <c r="D4748" s="12"/>
    </row>
    <row r="4749" spans="1:4" x14ac:dyDescent="0.25">
      <c r="A4749" t="str">
        <f>IF(COUNTIF(B$1:B4749,B4749)=1,MAX(A$1:A4748)+1,"")</f>
        <v/>
      </c>
      <c r="B4749" s="11"/>
      <c r="C4749" s="11" t="str">
        <f>IF(COUNTIF(D$1:D4749,D4749)=1,MAX(C$1:C4748)+1,"")</f>
        <v/>
      </c>
      <c r="D4749" s="12"/>
    </row>
    <row r="4750" spans="1:4" x14ac:dyDescent="0.25">
      <c r="A4750" t="str">
        <f>IF(COUNTIF(B$1:B4750,B4750)=1,MAX(A$1:A4749)+1,"")</f>
        <v/>
      </c>
      <c r="B4750" s="11"/>
      <c r="C4750" s="11" t="str">
        <f>IF(COUNTIF(D$1:D4750,D4750)=1,MAX(C$1:C4749)+1,"")</f>
        <v/>
      </c>
      <c r="D4750" s="12"/>
    </row>
    <row r="4751" spans="1:4" x14ac:dyDescent="0.25">
      <c r="A4751" t="str">
        <f>IF(COUNTIF(B$1:B4751,B4751)=1,MAX(A$1:A4750)+1,"")</f>
        <v/>
      </c>
      <c r="B4751" s="11"/>
      <c r="C4751" s="11" t="str">
        <f>IF(COUNTIF(D$1:D4751,D4751)=1,MAX(C$1:C4750)+1,"")</f>
        <v/>
      </c>
      <c r="D4751" s="12"/>
    </row>
    <row r="4752" spans="1:4" x14ac:dyDescent="0.25">
      <c r="A4752" t="str">
        <f>IF(COUNTIF(B$1:B4752,B4752)=1,MAX(A$1:A4751)+1,"")</f>
        <v/>
      </c>
      <c r="B4752" s="11"/>
      <c r="C4752" s="11" t="str">
        <f>IF(COUNTIF(D$1:D4752,D4752)=1,MAX(C$1:C4751)+1,"")</f>
        <v/>
      </c>
      <c r="D4752" s="12"/>
    </row>
    <row r="4753" spans="1:4" x14ac:dyDescent="0.25">
      <c r="A4753" t="str">
        <f>IF(COUNTIF(B$1:B4753,B4753)=1,MAX(A$1:A4752)+1,"")</f>
        <v/>
      </c>
      <c r="B4753" s="11"/>
      <c r="C4753" s="11" t="str">
        <f>IF(COUNTIF(D$1:D4753,D4753)=1,MAX(C$1:C4752)+1,"")</f>
        <v/>
      </c>
      <c r="D4753" s="12"/>
    </row>
    <row r="4754" spans="1:4" x14ac:dyDescent="0.25">
      <c r="A4754" t="str">
        <f>IF(COUNTIF(B$1:B4754,B4754)=1,MAX(A$1:A4753)+1,"")</f>
        <v/>
      </c>
      <c r="B4754" s="11"/>
      <c r="C4754" s="11" t="str">
        <f>IF(COUNTIF(D$1:D4754,D4754)=1,MAX(C$1:C4753)+1,"")</f>
        <v/>
      </c>
      <c r="D4754" s="12"/>
    </row>
    <row r="4755" spans="1:4" x14ac:dyDescent="0.25">
      <c r="A4755" t="str">
        <f>IF(COUNTIF(B$1:B4755,B4755)=1,MAX(A$1:A4754)+1,"")</f>
        <v/>
      </c>
      <c r="B4755" s="11"/>
      <c r="C4755" s="11" t="str">
        <f>IF(COUNTIF(D$1:D4755,D4755)=1,MAX(C$1:C4754)+1,"")</f>
        <v/>
      </c>
      <c r="D4755" s="12"/>
    </row>
    <row r="4756" spans="1:4" x14ac:dyDescent="0.25">
      <c r="A4756" t="str">
        <f>IF(COUNTIF(B$1:B4756,B4756)=1,MAX(A$1:A4755)+1,"")</f>
        <v/>
      </c>
      <c r="B4756" s="11"/>
      <c r="C4756" s="11" t="str">
        <f>IF(COUNTIF(D$1:D4756,D4756)=1,MAX(C$1:C4755)+1,"")</f>
        <v/>
      </c>
      <c r="D4756" s="12"/>
    </row>
    <row r="4757" spans="1:4" x14ac:dyDescent="0.25">
      <c r="A4757" t="str">
        <f>IF(COUNTIF(B$1:B4757,B4757)=1,MAX(A$1:A4756)+1,"")</f>
        <v/>
      </c>
      <c r="B4757" s="11"/>
      <c r="C4757" s="11" t="str">
        <f>IF(COUNTIF(D$1:D4757,D4757)=1,MAX(C$1:C4756)+1,"")</f>
        <v/>
      </c>
      <c r="D4757" s="12"/>
    </row>
    <row r="4758" spans="1:4" x14ac:dyDescent="0.25">
      <c r="A4758" t="str">
        <f>IF(COUNTIF(B$1:B4758,B4758)=1,MAX(A$1:A4757)+1,"")</f>
        <v/>
      </c>
      <c r="B4758" s="11"/>
      <c r="C4758" s="11" t="str">
        <f>IF(COUNTIF(D$1:D4758,D4758)=1,MAX(C$1:C4757)+1,"")</f>
        <v/>
      </c>
      <c r="D4758" s="12"/>
    </row>
    <row r="4759" spans="1:4" x14ac:dyDescent="0.25">
      <c r="A4759" t="str">
        <f>IF(COUNTIF(B$1:B4759,B4759)=1,MAX(A$1:A4758)+1,"")</f>
        <v/>
      </c>
      <c r="B4759" s="11"/>
      <c r="C4759" s="11" t="str">
        <f>IF(COUNTIF(D$1:D4759,D4759)=1,MAX(C$1:C4758)+1,"")</f>
        <v/>
      </c>
      <c r="D4759" s="12"/>
    </row>
    <row r="4760" spans="1:4" x14ac:dyDescent="0.25">
      <c r="A4760" t="str">
        <f>IF(COUNTIF(B$1:B4760,B4760)=1,MAX(A$1:A4759)+1,"")</f>
        <v/>
      </c>
      <c r="B4760" s="11"/>
      <c r="C4760" s="11" t="str">
        <f>IF(COUNTIF(D$1:D4760,D4760)=1,MAX(C$1:C4759)+1,"")</f>
        <v/>
      </c>
      <c r="D4760" s="12"/>
    </row>
    <row r="4761" spans="1:4" x14ac:dyDescent="0.25">
      <c r="A4761" t="str">
        <f>IF(COUNTIF(B$1:B4761,B4761)=1,MAX(A$1:A4760)+1,"")</f>
        <v/>
      </c>
      <c r="B4761" s="11"/>
      <c r="C4761" s="11" t="str">
        <f>IF(COUNTIF(D$1:D4761,D4761)=1,MAX(C$1:C4760)+1,"")</f>
        <v/>
      </c>
      <c r="D4761" s="12"/>
    </row>
    <row r="4762" spans="1:4" x14ac:dyDescent="0.25">
      <c r="A4762" t="str">
        <f>IF(COUNTIF(B$1:B4762,B4762)=1,MAX(A$1:A4761)+1,"")</f>
        <v/>
      </c>
      <c r="B4762" s="11"/>
      <c r="C4762" s="11" t="str">
        <f>IF(COUNTIF(D$1:D4762,D4762)=1,MAX(C$1:C4761)+1,"")</f>
        <v/>
      </c>
      <c r="D4762" s="12"/>
    </row>
    <row r="4763" spans="1:4" x14ac:dyDescent="0.25">
      <c r="A4763" t="str">
        <f>IF(COUNTIF(B$1:B4763,B4763)=1,MAX(A$1:A4762)+1,"")</f>
        <v/>
      </c>
      <c r="B4763" s="11"/>
      <c r="C4763" s="11" t="str">
        <f>IF(COUNTIF(D$1:D4763,D4763)=1,MAX(C$1:C4762)+1,"")</f>
        <v/>
      </c>
      <c r="D4763" s="12"/>
    </row>
    <row r="4764" spans="1:4" x14ac:dyDescent="0.25">
      <c r="A4764" t="str">
        <f>IF(COUNTIF(B$1:B4764,B4764)=1,MAX(A$1:A4763)+1,"")</f>
        <v/>
      </c>
      <c r="B4764" s="11"/>
      <c r="C4764" s="11" t="str">
        <f>IF(COUNTIF(D$1:D4764,D4764)=1,MAX(C$1:C4763)+1,"")</f>
        <v/>
      </c>
      <c r="D4764" s="12"/>
    </row>
    <row r="4765" spans="1:4" x14ac:dyDescent="0.25">
      <c r="A4765" t="str">
        <f>IF(COUNTIF(B$1:B4765,B4765)=1,MAX(A$1:A4764)+1,"")</f>
        <v/>
      </c>
      <c r="B4765" s="11"/>
      <c r="C4765" s="11" t="str">
        <f>IF(COUNTIF(D$1:D4765,D4765)=1,MAX(C$1:C4764)+1,"")</f>
        <v/>
      </c>
      <c r="D4765" s="12"/>
    </row>
    <row r="4766" spans="1:4" x14ac:dyDescent="0.25">
      <c r="A4766" t="str">
        <f>IF(COUNTIF(B$1:B4766,B4766)=1,MAX(A$1:A4765)+1,"")</f>
        <v/>
      </c>
      <c r="B4766" s="11"/>
      <c r="C4766" s="11" t="str">
        <f>IF(COUNTIF(D$1:D4766,D4766)=1,MAX(C$1:C4765)+1,"")</f>
        <v/>
      </c>
      <c r="D4766" s="12"/>
    </row>
    <row r="4767" spans="1:4" x14ac:dyDescent="0.25">
      <c r="A4767" t="str">
        <f>IF(COUNTIF(B$1:B4767,B4767)=1,MAX(A$1:A4766)+1,"")</f>
        <v/>
      </c>
      <c r="B4767" s="11"/>
      <c r="C4767" s="11" t="str">
        <f>IF(COUNTIF(D$1:D4767,D4767)=1,MAX(C$1:C4766)+1,"")</f>
        <v/>
      </c>
      <c r="D4767" s="12"/>
    </row>
    <row r="4768" spans="1:4" x14ac:dyDescent="0.25">
      <c r="A4768" t="str">
        <f>IF(COUNTIF(B$1:B4768,B4768)=1,MAX(A$1:A4767)+1,"")</f>
        <v/>
      </c>
      <c r="B4768" s="11"/>
      <c r="C4768" s="11" t="str">
        <f>IF(COUNTIF(D$1:D4768,D4768)=1,MAX(C$1:C4767)+1,"")</f>
        <v/>
      </c>
      <c r="D4768" s="12"/>
    </row>
    <row r="4769" spans="1:4" x14ac:dyDescent="0.25">
      <c r="A4769" t="str">
        <f>IF(COUNTIF(B$1:B4769,B4769)=1,MAX(A$1:A4768)+1,"")</f>
        <v/>
      </c>
      <c r="B4769" s="11"/>
      <c r="C4769" s="11" t="str">
        <f>IF(COUNTIF(D$1:D4769,D4769)=1,MAX(C$1:C4768)+1,"")</f>
        <v/>
      </c>
      <c r="D4769" s="12"/>
    </row>
    <row r="4770" spans="1:4" x14ac:dyDescent="0.25">
      <c r="A4770" t="str">
        <f>IF(COUNTIF(B$1:B4770,B4770)=1,MAX(A$1:A4769)+1,"")</f>
        <v/>
      </c>
      <c r="B4770" s="11"/>
      <c r="C4770" s="11" t="str">
        <f>IF(COUNTIF(D$1:D4770,D4770)=1,MAX(C$1:C4769)+1,"")</f>
        <v/>
      </c>
      <c r="D4770" s="12"/>
    </row>
    <row r="4771" spans="1:4" x14ac:dyDescent="0.25">
      <c r="A4771" t="str">
        <f>IF(COUNTIF(B$1:B4771,B4771)=1,MAX(A$1:A4770)+1,"")</f>
        <v/>
      </c>
      <c r="B4771" s="11"/>
      <c r="C4771" s="11" t="str">
        <f>IF(COUNTIF(D$1:D4771,D4771)=1,MAX(C$1:C4770)+1,"")</f>
        <v/>
      </c>
      <c r="D4771" s="12"/>
    </row>
    <row r="4772" spans="1:4" x14ac:dyDescent="0.25">
      <c r="A4772" t="str">
        <f>IF(COUNTIF(B$1:B4772,B4772)=1,MAX(A$1:A4771)+1,"")</f>
        <v/>
      </c>
      <c r="B4772" s="11"/>
      <c r="C4772" s="11" t="str">
        <f>IF(COUNTIF(D$1:D4772,D4772)=1,MAX(C$1:C4771)+1,"")</f>
        <v/>
      </c>
      <c r="D4772" s="12"/>
    </row>
    <row r="4773" spans="1:4" x14ac:dyDescent="0.25">
      <c r="A4773" t="str">
        <f>IF(COUNTIF(B$1:B4773,B4773)=1,MAX(A$1:A4772)+1,"")</f>
        <v/>
      </c>
      <c r="B4773" s="11"/>
      <c r="C4773" s="11" t="str">
        <f>IF(COUNTIF(D$1:D4773,D4773)=1,MAX(C$1:C4772)+1,"")</f>
        <v/>
      </c>
      <c r="D4773" s="12"/>
    </row>
    <row r="4774" spans="1:4" x14ac:dyDescent="0.25">
      <c r="A4774" t="str">
        <f>IF(COUNTIF(B$1:B4774,B4774)=1,MAX(A$1:A4773)+1,"")</f>
        <v/>
      </c>
      <c r="B4774" s="11"/>
      <c r="C4774" s="11" t="str">
        <f>IF(COUNTIF(D$1:D4774,D4774)=1,MAX(C$1:C4773)+1,"")</f>
        <v/>
      </c>
      <c r="D4774" s="12"/>
    </row>
    <row r="4775" spans="1:4" x14ac:dyDescent="0.25">
      <c r="A4775" t="str">
        <f>IF(COUNTIF(B$1:B4775,B4775)=1,MAX(A$1:A4774)+1,"")</f>
        <v/>
      </c>
      <c r="B4775" s="11"/>
      <c r="C4775" s="11" t="str">
        <f>IF(COUNTIF(D$1:D4775,D4775)=1,MAX(C$1:C4774)+1,"")</f>
        <v/>
      </c>
      <c r="D4775" s="12"/>
    </row>
    <row r="4776" spans="1:4" x14ac:dyDescent="0.25">
      <c r="A4776" t="str">
        <f>IF(COUNTIF(B$1:B4776,B4776)=1,MAX(A$1:A4775)+1,"")</f>
        <v/>
      </c>
      <c r="B4776" s="11"/>
      <c r="C4776" s="11" t="str">
        <f>IF(COUNTIF(D$1:D4776,D4776)=1,MAX(C$1:C4775)+1,"")</f>
        <v/>
      </c>
      <c r="D4776" s="12"/>
    </row>
    <row r="4777" spans="1:4" x14ac:dyDescent="0.25">
      <c r="A4777" t="str">
        <f>IF(COUNTIF(B$1:B4777,B4777)=1,MAX(A$1:A4776)+1,"")</f>
        <v/>
      </c>
      <c r="B4777" s="11"/>
      <c r="C4777" s="11" t="str">
        <f>IF(COUNTIF(D$1:D4777,D4777)=1,MAX(C$1:C4776)+1,"")</f>
        <v/>
      </c>
      <c r="D4777" s="12"/>
    </row>
    <row r="4778" spans="1:4" x14ac:dyDescent="0.25">
      <c r="A4778" t="str">
        <f>IF(COUNTIF(B$1:B4778,B4778)=1,MAX(A$1:A4777)+1,"")</f>
        <v/>
      </c>
      <c r="B4778" s="11"/>
      <c r="C4778" s="11" t="str">
        <f>IF(COUNTIF(D$1:D4778,D4778)=1,MAX(C$1:C4777)+1,"")</f>
        <v/>
      </c>
      <c r="D4778" s="12"/>
    </row>
    <row r="4779" spans="1:4" x14ac:dyDescent="0.25">
      <c r="A4779" t="str">
        <f>IF(COUNTIF(B$1:B4779,B4779)=1,MAX(A$1:A4778)+1,"")</f>
        <v/>
      </c>
      <c r="B4779" s="11"/>
      <c r="C4779" s="11" t="str">
        <f>IF(COUNTIF(D$1:D4779,D4779)=1,MAX(C$1:C4778)+1,"")</f>
        <v/>
      </c>
      <c r="D4779" s="12"/>
    </row>
    <row r="4780" spans="1:4" x14ac:dyDescent="0.25">
      <c r="A4780" t="str">
        <f>IF(COUNTIF(B$1:B4780,B4780)=1,MAX(A$1:A4779)+1,"")</f>
        <v/>
      </c>
      <c r="B4780" s="11"/>
      <c r="C4780" s="11" t="str">
        <f>IF(COUNTIF(D$1:D4780,D4780)=1,MAX(C$1:C4779)+1,"")</f>
        <v/>
      </c>
      <c r="D4780" s="12"/>
    </row>
    <row r="4781" spans="1:4" x14ac:dyDescent="0.25">
      <c r="A4781" t="str">
        <f>IF(COUNTIF(B$1:B4781,B4781)=1,MAX(A$1:A4780)+1,"")</f>
        <v/>
      </c>
      <c r="B4781" s="11"/>
      <c r="C4781" s="11" t="str">
        <f>IF(COUNTIF(D$1:D4781,D4781)=1,MAX(C$1:C4780)+1,"")</f>
        <v/>
      </c>
      <c r="D4781" s="12"/>
    </row>
    <row r="4782" spans="1:4" x14ac:dyDescent="0.25">
      <c r="A4782" t="str">
        <f>IF(COUNTIF(B$1:B4782,B4782)=1,MAX(A$1:A4781)+1,"")</f>
        <v/>
      </c>
      <c r="B4782" s="11"/>
      <c r="C4782" s="11" t="str">
        <f>IF(COUNTIF(D$1:D4782,D4782)=1,MAX(C$1:C4781)+1,"")</f>
        <v/>
      </c>
      <c r="D4782" s="12"/>
    </row>
    <row r="4783" spans="1:4" x14ac:dyDescent="0.25">
      <c r="A4783" t="str">
        <f>IF(COUNTIF(B$1:B4783,B4783)=1,MAX(A$1:A4782)+1,"")</f>
        <v/>
      </c>
      <c r="B4783" s="11"/>
      <c r="C4783" s="11" t="str">
        <f>IF(COUNTIF(D$1:D4783,D4783)=1,MAX(C$1:C4782)+1,"")</f>
        <v/>
      </c>
      <c r="D4783" s="12"/>
    </row>
    <row r="4784" spans="1:4" x14ac:dyDescent="0.25">
      <c r="A4784" t="str">
        <f>IF(COUNTIF(B$1:B4784,B4784)=1,MAX(A$1:A4783)+1,"")</f>
        <v/>
      </c>
      <c r="B4784" s="11"/>
      <c r="C4784" s="11" t="str">
        <f>IF(COUNTIF(D$1:D4784,D4784)=1,MAX(C$1:C4783)+1,"")</f>
        <v/>
      </c>
      <c r="D4784" s="12"/>
    </row>
    <row r="4785" spans="1:4" x14ac:dyDescent="0.25">
      <c r="A4785" t="str">
        <f>IF(COUNTIF(B$1:B4785,B4785)=1,MAX(A$1:A4784)+1,"")</f>
        <v/>
      </c>
      <c r="B4785" s="11"/>
      <c r="C4785" s="11" t="str">
        <f>IF(COUNTIF(D$1:D4785,D4785)=1,MAX(C$1:C4784)+1,"")</f>
        <v/>
      </c>
      <c r="D4785" s="12"/>
    </row>
    <row r="4786" spans="1:4" x14ac:dyDescent="0.25">
      <c r="A4786" t="str">
        <f>IF(COUNTIF(B$1:B4786,B4786)=1,MAX(A$1:A4785)+1,"")</f>
        <v/>
      </c>
      <c r="B4786" s="11"/>
      <c r="C4786" s="11" t="str">
        <f>IF(COUNTIF(D$1:D4786,D4786)=1,MAX(C$1:C4785)+1,"")</f>
        <v/>
      </c>
      <c r="D4786" s="12"/>
    </row>
    <row r="4787" spans="1:4" x14ac:dyDescent="0.25">
      <c r="A4787" t="str">
        <f>IF(COUNTIF(B$1:B4787,B4787)=1,MAX(A$1:A4786)+1,"")</f>
        <v/>
      </c>
      <c r="B4787" s="11"/>
      <c r="C4787" s="11" t="str">
        <f>IF(COUNTIF(D$1:D4787,D4787)=1,MAX(C$1:C4786)+1,"")</f>
        <v/>
      </c>
      <c r="D4787" s="12"/>
    </row>
    <row r="4788" spans="1:4" x14ac:dyDescent="0.25">
      <c r="A4788" t="str">
        <f>IF(COUNTIF(B$1:B4788,B4788)=1,MAX(A$1:A4787)+1,"")</f>
        <v/>
      </c>
      <c r="B4788" s="11"/>
      <c r="C4788" s="11" t="str">
        <f>IF(COUNTIF(D$1:D4788,D4788)=1,MAX(C$1:C4787)+1,"")</f>
        <v/>
      </c>
      <c r="D4788" s="12"/>
    </row>
    <row r="4789" spans="1:4" x14ac:dyDescent="0.25">
      <c r="A4789" t="str">
        <f>IF(COUNTIF(B$1:B4789,B4789)=1,MAX(A$1:A4788)+1,"")</f>
        <v/>
      </c>
      <c r="B4789" s="11"/>
      <c r="C4789" s="11" t="str">
        <f>IF(COUNTIF(D$1:D4789,D4789)=1,MAX(C$1:C4788)+1,"")</f>
        <v/>
      </c>
      <c r="D4789" s="12"/>
    </row>
    <row r="4790" spans="1:4" x14ac:dyDescent="0.25">
      <c r="A4790" t="str">
        <f>IF(COUNTIF(B$1:B4790,B4790)=1,MAX(A$1:A4789)+1,"")</f>
        <v/>
      </c>
      <c r="B4790" s="11"/>
      <c r="C4790" s="11" t="str">
        <f>IF(COUNTIF(D$1:D4790,D4790)=1,MAX(C$1:C4789)+1,"")</f>
        <v/>
      </c>
      <c r="D4790" s="12"/>
    </row>
    <row r="4791" spans="1:4" x14ac:dyDescent="0.25">
      <c r="A4791" t="str">
        <f>IF(COUNTIF(B$1:B4791,B4791)=1,MAX(A$1:A4790)+1,"")</f>
        <v/>
      </c>
      <c r="B4791" s="11"/>
      <c r="C4791" s="11" t="str">
        <f>IF(COUNTIF(D$1:D4791,D4791)=1,MAX(C$1:C4790)+1,"")</f>
        <v/>
      </c>
      <c r="D4791" s="12"/>
    </row>
    <row r="4792" spans="1:4" x14ac:dyDescent="0.25">
      <c r="A4792" t="str">
        <f>IF(COUNTIF(B$1:B4792,B4792)=1,MAX(A$1:A4791)+1,"")</f>
        <v/>
      </c>
      <c r="B4792" s="11"/>
      <c r="C4792" s="11" t="str">
        <f>IF(COUNTIF(D$1:D4792,D4792)=1,MAX(C$1:C4791)+1,"")</f>
        <v/>
      </c>
      <c r="D4792" s="12"/>
    </row>
    <row r="4793" spans="1:4" x14ac:dyDescent="0.25">
      <c r="A4793" t="str">
        <f>IF(COUNTIF(B$1:B4793,B4793)=1,MAX(A$1:A4792)+1,"")</f>
        <v/>
      </c>
      <c r="B4793" s="11"/>
      <c r="C4793" s="11" t="str">
        <f>IF(COUNTIF(D$1:D4793,D4793)=1,MAX(C$1:C4792)+1,"")</f>
        <v/>
      </c>
      <c r="D4793" s="12"/>
    </row>
    <row r="4794" spans="1:4" x14ac:dyDescent="0.25">
      <c r="A4794" t="str">
        <f>IF(COUNTIF(B$1:B4794,B4794)=1,MAX(A$1:A4793)+1,"")</f>
        <v/>
      </c>
      <c r="B4794" s="11"/>
      <c r="C4794" s="11" t="str">
        <f>IF(COUNTIF(D$1:D4794,D4794)=1,MAX(C$1:C4793)+1,"")</f>
        <v/>
      </c>
      <c r="D4794" s="12"/>
    </row>
    <row r="4795" spans="1:4" x14ac:dyDescent="0.25">
      <c r="A4795" t="str">
        <f>IF(COUNTIF(B$1:B4795,B4795)=1,MAX(A$1:A4794)+1,"")</f>
        <v/>
      </c>
      <c r="B4795" s="11"/>
      <c r="C4795" s="11" t="str">
        <f>IF(COUNTIF(D$1:D4795,D4795)=1,MAX(C$1:C4794)+1,"")</f>
        <v/>
      </c>
      <c r="D4795" s="12"/>
    </row>
    <row r="4796" spans="1:4" x14ac:dyDescent="0.25">
      <c r="A4796" t="str">
        <f>IF(COUNTIF(B$1:B4796,B4796)=1,MAX(A$1:A4795)+1,"")</f>
        <v/>
      </c>
      <c r="B4796" s="11"/>
      <c r="C4796" s="11" t="str">
        <f>IF(COUNTIF(D$1:D4796,D4796)=1,MAX(C$1:C4795)+1,"")</f>
        <v/>
      </c>
      <c r="D4796" s="12"/>
    </row>
    <row r="4797" spans="1:4" x14ac:dyDescent="0.25">
      <c r="A4797" t="str">
        <f>IF(COUNTIF(B$1:B4797,B4797)=1,MAX(A$1:A4796)+1,"")</f>
        <v/>
      </c>
      <c r="B4797" s="11"/>
      <c r="C4797" s="11" t="str">
        <f>IF(COUNTIF(D$1:D4797,D4797)=1,MAX(C$1:C4796)+1,"")</f>
        <v/>
      </c>
      <c r="D4797" s="12"/>
    </row>
    <row r="4798" spans="1:4" x14ac:dyDescent="0.25">
      <c r="A4798" t="str">
        <f>IF(COUNTIF(B$1:B4798,B4798)=1,MAX(A$1:A4797)+1,"")</f>
        <v/>
      </c>
      <c r="B4798" s="11"/>
      <c r="C4798" s="11" t="str">
        <f>IF(COUNTIF(D$1:D4798,D4798)=1,MAX(C$1:C4797)+1,"")</f>
        <v/>
      </c>
      <c r="D4798" s="12"/>
    </row>
    <row r="4799" spans="1:4" x14ac:dyDescent="0.25">
      <c r="A4799" t="str">
        <f>IF(COUNTIF(B$1:B4799,B4799)=1,MAX(A$1:A4798)+1,"")</f>
        <v/>
      </c>
      <c r="B4799" s="11"/>
      <c r="C4799" s="11" t="str">
        <f>IF(COUNTIF(D$1:D4799,D4799)=1,MAX(C$1:C4798)+1,"")</f>
        <v/>
      </c>
      <c r="D4799" s="12"/>
    </row>
    <row r="4800" spans="1:4" x14ac:dyDescent="0.25">
      <c r="A4800" t="str">
        <f>IF(COUNTIF(B$1:B4800,B4800)=1,MAX(A$1:A4799)+1,"")</f>
        <v/>
      </c>
      <c r="B4800" s="11"/>
      <c r="C4800" s="11" t="str">
        <f>IF(COUNTIF(D$1:D4800,D4800)=1,MAX(C$1:C4799)+1,"")</f>
        <v/>
      </c>
      <c r="D4800" s="12"/>
    </row>
    <row r="4801" spans="1:4" x14ac:dyDescent="0.25">
      <c r="A4801" t="str">
        <f>IF(COUNTIF(B$1:B4801,B4801)=1,MAX(A$1:A4800)+1,"")</f>
        <v/>
      </c>
      <c r="B4801" s="11"/>
      <c r="C4801" s="11" t="str">
        <f>IF(COUNTIF(D$1:D4801,D4801)=1,MAX(C$1:C4800)+1,"")</f>
        <v/>
      </c>
      <c r="D4801" s="12"/>
    </row>
    <row r="4802" spans="1:4" x14ac:dyDescent="0.25">
      <c r="A4802" t="str">
        <f>IF(COUNTIF(B$1:B4802,B4802)=1,MAX(A$1:A4801)+1,"")</f>
        <v/>
      </c>
      <c r="B4802" s="11"/>
      <c r="C4802" s="11" t="str">
        <f>IF(COUNTIF(D$1:D4802,D4802)=1,MAX(C$1:C4801)+1,"")</f>
        <v/>
      </c>
      <c r="D4802" s="12"/>
    </row>
    <row r="4803" spans="1:4" x14ac:dyDescent="0.25">
      <c r="A4803" t="str">
        <f>IF(COUNTIF(B$1:B4803,B4803)=1,MAX(A$1:A4802)+1,"")</f>
        <v/>
      </c>
      <c r="B4803" s="11"/>
      <c r="C4803" s="11" t="str">
        <f>IF(COUNTIF(D$1:D4803,D4803)=1,MAX(C$1:C4802)+1,"")</f>
        <v/>
      </c>
      <c r="D4803" s="12"/>
    </row>
    <row r="4804" spans="1:4" x14ac:dyDescent="0.25">
      <c r="A4804" t="str">
        <f>IF(COUNTIF(B$1:B4804,B4804)=1,MAX(A$1:A4803)+1,"")</f>
        <v/>
      </c>
      <c r="B4804" s="11"/>
      <c r="C4804" s="11" t="str">
        <f>IF(COUNTIF(D$1:D4804,D4804)=1,MAX(C$1:C4803)+1,"")</f>
        <v/>
      </c>
      <c r="D4804" s="12"/>
    </row>
    <row r="4805" spans="1:4" x14ac:dyDescent="0.25">
      <c r="A4805" t="str">
        <f>IF(COUNTIF(B$1:B4805,B4805)=1,MAX(A$1:A4804)+1,"")</f>
        <v/>
      </c>
      <c r="B4805" s="11"/>
      <c r="C4805" s="11" t="str">
        <f>IF(COUNTIF(D$1:D4805,D4805)=1,MAX(C$1:C4804)+1,"")</f>
        <v/>
      </c>
      <c r="D4805" s="12"/>
    </row>
    <row r="4806" spans="1:4" x14ac:dyDescent="0.25">
      <c r="A4806" t="str">
        <f>IF(COUNTIF(B$1:B4806,B4806)=1,MAX(A$1:A4805)+1,"")</f>
        <v/>
      </c>
      <c r="B4806" s="11"/>
      <c r="C4806" s="11" t="str">
        <f>IF(COUNTIF(D$1:D4806,D4806)=1,MAX(C$1:C4805)+1,"")</f>
        <v/>
      </c>
      <c r="D4806" s="12"/>
    </row>
    <row r="4807" spans="1:4" x14ac:dyDescent="0.25">
      <c r="A4807" t="str">
        <f>IF(COUNTIF(B$1:B4807,B4807)=1,MAX(A$1:A4806)+1,"")</f>
        <v/>
      </c>
      <c r="B4807" s="11"/>
      <c r="C4807" s="11" t="str">
        <f>IF(COUNTIF(D$1:D4807,D4807)=1,MAX(C$1:C4806)+1,"")</f>
        <v/>
      </c>
      <c r="D4807" s="12"/>
    </row>
    <row r="4808" spans="1:4" x14ac:dyDescent="0.25">
      <c r="A4808" t="str">
        <f>IF(COUNTIF(B$1:B4808,B4808)=1,MAX(A$1:A4807)+1,"")</f>
        <v/>
      </c>
      <c r="B4808" s="11"/>
      <c r="C4808" s="11" t="str">
        <f>IF(COUNTIF(D$1:D4808,D4808)=1,MAX(C$1:C4807)+1,"")</f>
        <v/>
      </c>
      <c r="D4808" s="12"/>
    </row>
    <row r="4809" spans="1:4" x14ac:dyDescent="0.25">
      <c r="A4809" t="str">
        <f>IF(COUNTIF(B$1:B4809,B4809)=1,MAX(A$1:A4808)+1,"")</f>
        <v/>
      </c>
      <c r="B4809" s="11"/>
      <c r="C4809" s="11" t="str">
        <f>IF(COUNTIF(D$1:D4809,D4809)=1,MAX(C$1:C4808)+1,"")</f>
        <v/>
      </c>
      <c r="D4809" s="12"/>
    </row>
    <row r="4810" spans="1:4" x14ac:dyDescent="0.25">
      <c r="A4810" t="str">
        <f>IF(COUNTIF(B$1:B4810,B4810)=1,MAX(A$1:A4809)+1,"")</f>
        <v/>
      </c>
      <c r="B4810" s="11"/>
      <c r="C4810" s="11" t="str">
        <f>IF(COUNTIF(D$1:D4810,D4810)=1,MAX(C$1:C4809)+1,"")</f>
        <v/>
      </c>
      <c r="D4810" s="12"/>
    </row>
    <row r="4811" spans="1:4" x14ac:dyDescent="0.25">
      <c r="A4811" t="str">
        <f>IF(COUNTIF(B$1:B4811,B4811)=1,MAX(A$1:A4810)+1,"")</f>
        <v/>
      </c>
      <c r="B4811" s="11"/>
      <c r="C4811" s="11" t="str">
        <f>IF(COUNTIF(D$1:D4811,D4811)=1,MAX(C$1:C4810)+1,"")</f>
        <v/>
      </c>
      <c r="D4811" s="12"/>
    </row>
    <row r="4812" spans="1:4" x14ac:dyDescent="0.25">
      <c r="A4812" t="str">
        <f>IF(COUNTIF(B$1:B4812,B4812)=1,MAX(A$1:A4811)+1,"")</f>
        <v/>
      </c>
      <c r="B4812" s="11"/>
      <c r="C4812" s="11" t="str">
        <f>IF(COUNTIF(D$1:D4812,D4812)=1,MAX(C$1:C4811)+1,"")</f>
        <v/>
      </c>
      <c r="D4812" s="12"/>
    </row>
    <row r="4813" spans="1:4" x14ac:dyDescent="0.25">
      <c r="A4813" t="str">
        <f>IF(COUNTIF(B$1:B4813,B4813)=1,MAX(A$1:A4812)+1,"")</f>
        <v/>
      </c>
      <c r="B4813" s="11"/>
      <c r="C4813" s="11" t="str">
        <f>IF(COUNTIF(D$1:D4813,D4813)=1,MAX(C$1:C4812)+1,"")</f>
        <v/>
      </c>
      <c r="D4813" s="12"/>
    </row>
    <row r="4814" spans="1:4" x14ac:dyDescent="0.25">
      <c r="A4814" t="str">
        <f>IF(COUNTIF(B$1:B4814,B4814)=1,MAX(A$1:A4813)+1,"")</f>
        <v/>
      </c>
      <c r="B4814" s="11"/>
      <c r="C4814" s="11" t="str">
        <f>IF(COUNTIF(D$1:D4814,D4814)=1,MAX(C$1:C4813)+1,"")</f>
        <v/>
      </c>
      <c r="D4814" s="12"/>
    </row>
    <row r="4815" spans="1:4" x14ac:dyDescent="0.25">
      <c r="A4815" t="str">
        <f>IF(COUNTIF(B$1:B4815,B4815)=1,MAX(A$1:A4814)+1,"")</f>
        <v/>
      </c>
      <c r="B4815" s="11"/>
      <c r="C4815" s="11" t="str">
        <f>IF(COUNTIF(D$1:D4815,D4815)=1,MAX(C$1:C4814)+1,"")</f>
        <v/>
      </c>
      <c r="D4815" s="12"/>
    </row>
    <row r="4816" spans="1:4" x14ac:dyDescent="0.25">
      <c r="A4816" t="str">
        <f>IF(COUNTIF(B$1:B4816,B4816)=1,MAX(A$1:A4815)+1,"")</f>
        <v/>
      </c>
      <c r="B4816" s="11"/>
      <c r="C4816" s="11" t="str">
        <f>IF(COUNTIF(D$1:D4816,D4816)=1,MAX(C$1:C4815)+1,"")</f>
        <v/>
      </c>
      <c r="D4816" s="12"/>
    </row>
    <row r="4817" spans="1:4" x14ac:dyDescent="0.25">
      <c r="A4817" t="str">
        <f>IF(COUNTIF(B$1:B4817,B4817)=1,MAX(A$1:A4816)+1,"")</f>
        <v/>
      </c>
      <c r="B4817" s="11"/>
      <c r="C4817" s="11" t="str">
        <f>IF(COUNTIF(D$1:D4817,D4817)=1,MAX(C$1:C4816)+1,"")</f>
        <v/>
      </c>
      <c r="D4817" s="12"/>
    </row>
    <row r="4818" spans="1:4" x14ac:dyDescent="0.25">
      <c r="A4818" t="str">
        <f>IF(COUNTIF(B$1:B4818,B4818)=1,MAX(A$1:A4817)+1,"")</f>
        <v/>
      </c>
      <c r="B4818" s="11"/>
      <c r="C4818" s="11" t="str">
        <f>IF(COUNTIF(D$1:D4818,D4818)=1,MAX(C$1:C4817)+1,"")</f>
        <v/>
      </c>
      <c r="D4818" s="12"/>
    </row>
    <row r="4819" spans="1:4" x14ac:dyDescent="0.25">
      <c r="A4819" t="str">
        <f>IF(COUNTIF(B$1:B4819,B4819)=1,MAX(A$1:A4818)+1,"")</f>
        <v/>
      </c>
      <c r="B4819" s="11"/>
      <c r="C4819" s="11" t="str">
        <f>IF(COUNTIF(D$1:D4819,D4819)=1,MAX(C$1:C4818)+1,"")</f>
        <v/>
      </c>
      <c r="D4819" s="12"/>
    </row>
    <row r="4820" spans="1:4" x14ac:dyDescent="0.25">
      <c r="A4820" t="str">
        <f>IF(COUNTIF(B$1:B4820,B4820)=1,MAX(A$1:A4819)+1,"")</f>
        <v/>
      </c>
      <c r="B4820" s="11"/>
      <c r="C4820" s="11" t="str">
        <f>IF(COUNTIF(D$1:D4820,D4820)=1,MAX(C$1:C4819)+1,"")</f>
        <v/>
      </c>
      <c r="D4820" s="12"/>
    </row>
    <row r="4821" spans="1:4" x14ac:dyDescent="0.25">
      <c r="A4821" t="str">
        <f>IF(COUNTIF(B$1:B4821,B4821)=1,MAX(A$1:A4820)+1,"")</f>
        <v/>
      </c>
      <c r="B4821" s="11"/>
      <c r="C4821" s="11" t="str">
        <f>IF(COUNTIF(D$1:D4821,D4821)=1,MAX(C$1:C4820)+1,"")</f>
        <v/>
      </c>
      <c r="D4821" s="12"/>
    </row>
    <row r="4822" spans="1:4" x14ac:dyDescent="0.25">
      <c r="A4822" t="str">
        <f>IF(COUNTIF(B$1:B4822,B4822)=1,MAX(A$1:A4821)+1,"")</f>
        <v/>
      </c>
      <c r="B4822" s="11"/>
      <c r="C4822" s="11" t="str">
        <f>IF(COUNTIF(D$1:D4822,D4822)=1,MAX(C$1:C4821)+1,"")</f>
        <v/>
      </c>
      <c r="D4822" s="12"/>
    </row>
    <row r="4823" spans="1:4" x14ac:dyDescent="0.25">
      <c r="A4823" t="str">
        <f>IF(COUNTIF(B$1:B4823,B4823)=1,MAX(A$1:A4822)+1,"")</f>
        <v/>
      </c>
      <c r="B4823" s="11"/>
      <c r="C4823" s="11" t="str">
        <f>IF(COUNTIF(D$1:D4823,D4823)=1,MAX(C$1:C4822)+1,"")</f>
        <v/>
      </c>
      <c r="D4823" s="12"/>
    </row>
    <row r="4824" spans="1:4" x14ac:dyDescent="0.25">
      <c r="A4824" t="str">
        <f>IF(COUNTIF(B$1:B4824,B4824)=1,MAX(A$1:A4823)+1,"")</f>
        <v/>
      </c>
      <c r="B4824" s="11"/>
      <c r="C4824" s="11" t="str">
        <f>IF(COUNTIF(D$1:D4824,D4824)=1,MAX(C$1:C4823)+1,"")</f>
        <v/>
      </c>
      <c r="D4824" s="12"/>
    </row>
    <row r="4825" spans="1:4" x14ac:dyDescent="0.25">
      <c r="A4825" t="str">
        <f>IF(COUNTIF(B$1:B4825,B4825)=1,MAX(A$1:A4824)+1,"")</f>
        <v/>
      </c>
      <c r="B4825" s="11"/>
      <c r="C4825" s="11" t="str">
        <f>IF(COUNTIF(D$1:D4825,D4825)=1,MAX(C$1:C4824)+1,"")</f>
        <v/>
      </c>
      <c r="D4825" s="12"/>
    </row>
    <row r="4826" spans="1:4" x14ac:dyDescent="0.25">
      <c r="A4826" t="str">
        <f>IF(COUNTIF(B$1:B4826,B4826)=1,MAX(A$1:A4825)+1,"")</f>
        <v/>
      </c>
      <c r="B4826" s="11"/>
      <c r="C4826" s="11" t="str">
        <f>IF(COUNTIF(D$1:D4826,D4826)=1,MAX(C$1:C4825)+1,"")</f>
        <v/>
      </c>
      <c r="D4826" s="12"/>
    </row>
    <row r="4827" spans="1:4" x14ac:dyDescent="0.25">
      <c r="A4827" t="str">
        <f>IF(COUNTIF(B$1:B4827,B4827)=1,MAX(A$1:A4826)+1,"")</f>
        <v/>
      </c>
      <c r="B4827" s="11"/>
      <c r="C4827" s="11" t="str">
        <f>IF(COUNTIF(D$1:D4827,D4827)=1,MAX(C$1:C4826)+1,"")</f>
        <v/>
      </c>
      <c r="D4827" s="12"/>
    </row>
    <row r="4828" spans="1:4" x14ac:dyDescent="0.25">
      <c r="A4828" t="str">
        <f>IF(COUNTIF(B$1:B4828,B4828)=1,MAX(A$1:A4827)+1,"")</f>
        <v/>
      </c>
      <c r="B4828" s="11"/>
      <c r="C4828" s="11" t="str">
        <f>IF(COUNTIF(D$1:D4828,D4828)=1,MAX(C$1:C4827)+1,"")</f>
        <v/>
      </c>
      <c r="D4828" s="12"/>
    </row>
    <row r="4829" spans="1:4" x14ac:dyDescent="0.25">
      <c r="A4829" t="str">
        <f>IF(COUNTIF(B$1:B4829,B4829)=1,MAX(A$1:A4828)+1,"")</f>
        <v/>
      </c>
      <c r="B4829" s="11"/>
      <c r="C4829" s="11" t="str">
        <f>IF(COUNTIF(D$1:D4829,D4829)=1,MAX(C$1:C4828)+1,"")</f>
        <v/>
      </c>
      <c r="D4829" s="12"/>
    </row>
    <row r="4830" spans="1:4" x14ac:dyDescent="0.25">
      <c r="A4830" t="str">
        <f>IF(COUNTIF(B$1:B4830,B4830)=1,MAX(A$1:A4829)+1,"")</f>
        <v/>
      </c>
      <c r="B4830" s="11"/>
      <c r="C4830" s="11" t="str">
        <f>IF(COUNTIF(D$1:D4830,D4830)=1,MAX(C$1:C4829)+1,"")</f>
        <v/>
      </c>
      <c r="D4830" s="12"/>
    </row>
    <row r="4831" spans="1:4" x14ac:dyDescent="0.25">
      <c r="A4831" t="str">
        <f>IF(COUNTIF(B$1:B4831,B4831)=1,MAX(A$1:A4830)+1,"")</f>
        <v/>
      </c>
      <c r="B4831" s="11"/>
      <c r="C4831" s="11" t="str">
        <f>IF(COUNTIF(D$1:D4831,D4831)=1,MAX(C$1:C4830)+1,"")</f>
        <v/>
      </c>
      <c r="D4831" s="12"/>
    </row>
    <row r="4832" spans="1:4" x14ac:dyDescent="0.25">
      <c r="A4832" t="str">
        <f>IF(COUNTIF(B$1:B4832,B4832)=1,MAX(A$1:A4831)+1,"")</f>
        <v/>
      </c>
      <c r="B4832" s="11"/>
      <c r="C4832" s="11" t="str">
        <f>IF(COUNTIF(D$1:D4832,D4832)=1,MAX(C$1:C4831)+1,"")</f>
        <v/>
      </c>
      <c r="D4832" s="12"/>
    </row>
    <row r="4833" spans="1:4" x14ac:dyDescent="0.25">
      <c r="A4833" t="str">
        <f>IF(COUNTIF(B$1:B4833,B4833)=1,MAX(A$1:A4832)+1,"")</f>
        <v/>
      </c>
      <c r="B4833" s="11"/>
      <c r="C4833" s="11" t="str">
        <f>IF(COUNTIF(D$1:D4833,D4833)=1,MAX(C$1:C4832)+1,"")</f>
        <v/>
      </c>
      <c r="D4833" s="12"/>
    </row>
    <row r="4834" spans="1:4" x14ac:dyDescent="0.25">
      <c r="A4834" t="str">
        <f>IF(COUNTIF(B$1:B4834,B4834)=1,MAX(A$1:A4833)+1,"")</f>
        <v/>
      </c>
      <c r="B4834" s="11"/>
      <c r="C4834" s="11" t="str">
        <f>IF(COUNTIF(D$1:D4834,D4834)=1,MAX(C$1:C4833)+1,"")</f>
        <v/>
      </c>
      <c r="D4834" s="12"/>
    </row>
    <row r="4835" spans="1:4" x14ac:dyDescent="0.25">
      <c r="A4835" t="str">
        <f>IF(COUNTIF(B$1:B4835,B4835)=1,MAX(A$1:A4834)+1,"")</f>
        <v/>
      </c>
      <c r="B4835" s="11"/>
      <c r="C4835" s="11" t="str">
        <f>IF(COUNTIF(D$1:D4835,D4835)=1,MAX(C$1:C4834)+1,"")</f>
        <v/>
      </c>
      <c r="D4835" s="12"/>
    </row>
    <row r="4836" spans="1:4" x14ac:dyDescent="0.25">
      <c r="A4836" t="str">
        <f>IF(COUNTIF(B$1:B4836,B4836)=1,MAX(A$1:A4835)+1,"")</f>
        <v/>
      </c>
      <c r="B4836" s="11"/>
      <c r="C4836" s="11" t="str">
        <f>IF(COUNTIF(D$1:D4836,D4836)=1,MAX(C$1:C4835)+1,"")</f>
        <v/>
      </c>
      <c r="D4836" s="12"/>
    </row>
    <row r="4837" spans="1:4" x14ac:dyDescent="0.25">
      <c r="A4837" t="str">
        <f>IF(COUNTIF(B$1:B4837,B4837)=1,MAX(A$1:A4836)+1,"")</f>
        <v/>
      </c>
      <c r="B4837" s="11"/>
      <c r="C4837" s="11" t="str">
        <f>IF(COUNTIF(D$1:D4837,D4837)=1,MAX(C$1:C4836)+1,"")</f>
        <v/>
      </c>
      <c r="D4837" s="12"/>
    </row>
    <row r="4838" spans="1:4" x14ac:dyDescent="0.25">
      <c r="A4838" t="str">
        <f>IF(COUNTIF(B$1:B4838,B4838)=1,MAX(A$1:A4837)+1,"")</f>
        <v/>
      </c>
      <c r="B4838" s="11"/>
      <c r="C4838" s="11" t="str">
        <f>IF(COUNTIF(D$1:D4838,D4838)=1,MAX(C$1:C4837)+1,"")</f>
        <v/>
      </c>
      <c r="D4838" s="12"/>
    </row>
    <row r="4839" spans="1:4" x14ac:dyDescent="0.25">
      <c r="A4839" t="str">
        <f>IF(COUNTIF(B$1:B4839,B4839)=1,MAX(A$1:A4838)+1,"")</f>
        <v/>
      </c>
      <c r="B4839" s="11"/>
      <c r="C4839" s="11" t="str">
        <f>IF(COUNTIF(D$1:D4839,D4839)=1,MAX(C$1:C4838)+1,"")</f>
        <v/>
      </c>
      <c r="D4839" s="12"/>
    </row>
    <row r="4840" spans="1:4" x14ac:dyDescent="0.25">
      <c r="A4840" t="str">
        <f>IF(COUNTIF(B$1:B4840,B4840)=1,MAX(A$1:A4839)+1,"")</f>
        <v/>
      </c>
      <c r="B4840" s="11"/>
      <c r="C4840" s="11" t="str">
        <f>IF(COUNTIF(D$1:D4840,D4840)=1,MAX(C$1:C4839)+1,"")</f>
        <v/>
      </c>
      <c r="D4840" s="12"/>
    </row>
    <row r="4841" spans="1:4" x14ac:dyDescent="0.25">
      <c r="A4841" t="str">
        <f>IF(COUNTIF(B$1:B4841,B4841)=1,MAX(A$1:A4840)+1,"")</f>
        <v/>
      </c>
      <c r="B4841" s="11"/>
      <c r="C4841" s="11" t="str">
        <f>IF(COUNTIF(D$1:D4841,D4841)=1,MAX(C$1:C4840)+1,"")</f>
        <v/>
      </c>
      <c r="D4841" s="12"/>
    </row>
    <row r="4842" spans="1:4" x14ac:dyDescent="0.25">
      <c r="A4842" t="str">
        <f>IF(COUNTIF(B$1:B4842,B4842)=1,MAX(A$1:A4841)+1,"")</f>
        <v/>
      </c>
      <c r="B4842" s="11"/>
      <c r="C4842" s="11" t="str">
        <f>IF(COUNTIF(D$1:D4842,D4842)=1,MAX(C$1:C4841)+1,"")</f>
        <v/>
      </c>
      <c r="D4842" s="12"/>
    </row>
    <row r="4843" spans="1:4" x14ac:dyDescent="0.25">
      <c r="A4843" t="str">
        <f>IF(COUNTIF(B$1:B4843,B4843)=1,MAX(A$1:A4842)+1,"")</f>
        <v/>
      </c>
      <c r="B4843" s="11"/>
      <c r="C4843" s="11" t="str">
        <f>IF(COUNTIF(D$1:D4843,D4843)=1,MAX(C$1:C4842)+1,"")</f>
        <v/>
      </c>
      <c r="D4843" s="12"/>
    </row>
    <row r="4844" spans="1:4" x14ac:dyDescent="0.25">
      <c r="A4844" t="str">
        <f>IF(COUNTIF(B$1:B4844,B4844)=1,MAX(A$1:A4843)+1,"")</f>
        <v/>
      </c>
      <c r="B4844" s="11"/>
      <c r="C4844" s="11" t="str">
        <f>IF(COUNTIF(D$1:D4844,D4844)=1,MAX(C$1:C4843)+1,"")</f>
        <v/>
      </c>
      <c r="D4844" s="12"/>
    </row>
    <row r="4845" spans="1:4" x14ac:dyDescent="0.25">
      <c r="A4845" t="str">
        <f>IF(COUNTIF(B$1:B4845,B4845)=1,MAX(A$1:A4844)+1,"")</f>
        <v/>
      </c>
      <c r="B4845" s="11"/>
      <c r="C4845" s="11" t="str">
        <f>IF(COUNTIF(D$1:D4845,D4845)=1,MAX(C$1:C4844)+1,"")</f>
        <v/>
      </c>
      <c r="D4845" s="12"/>
    </row>
    <row r="4846" spans="1:4" x14ac:dyDescent="0.25">
      <c r="A4846" t="str">
        <f>IF(COUNTIF(B$1:B4846,B4846)=1,MAX(A$1:A4845)+1,"")</f>
        <v/>
      </c>
      <c r="B4846" s="11"/>
      <c r="C4846" s="11" t="str">
        <f>IF(COUNTIF(D$1:D4846,D4846)=1,MAX(C$1:C4845)+1,"")</f>
        <v/>
      </c>
      <c r="D4846" s="12"/>
    </row>
    <row r="4847" spans="1:4" x14ac:dyDescent="0.25">
      <c r="A4847" t="str">
        <f>IF(COUNTIF(B$1:B4847,B4847)=1,MAX(A$1:A4846)+1,"")</f>
        <v/>
      </c>
      <c r="B4847" s="11"/>
      <c r="C4847" s="11" t="str">
        <f>IF(COUNTIF(D$1:D4847,D4847)=1,MAX(C$1:C4846)+1,"")</f>
        <v/>
      </c>
      <c r="D4847" s="12"/>
    </row>
    <row r="4848" spans="1:4" x14ac:dyDescent="0.25">
      <c r="A4848" t="str">
        <f>IF(COUNTIF(B$1:B4848,B4848)=1,MAX(A$1:A4847)+1,"")</f>
        <v/>
      </c>
      <c r="B4848" s="11"/>
      <c r="C4848" s="11" t="str">
        <f>IF(COUNTIF(D$1:D4848,D4848)=1,MAX(C$1:C4847)+1,"")</f>
        <v/>
      </c>
      <c r="D4848" s="12"/>
    </row>
    <row r="4849" spans="1:4" x14ac:dyDescent="0.25">
      <c r="A4849" t="str">
        <f>IF(COUNTIF(B$1:B4849,B4849)=1,MAX(A$1:A4848)+1,"")</f>
        <v/>
      </c>
      <c r="B4849" s="11"/>
      <c r="C4849" s="11" t="str">
        <f>IF(COUNTIF(D$1:D4849,D4849)=1,MAX(C$1:C4848)+1,"")</f>
        <v/>
      </c>
      <c r="D4849" s="12"/>
    </row>
    <row r="4850" spans="1:4" x14ac:dyDescent="0.25">
      <c r="A4850" t="str">
        <f>IF(COUNTIF(B$1:B4850,B4850)=1,MAX(A$1:A4849)+1,"")</f>
        <v/>
      </c>
      <c r="B4850" s="11"/>
      <c r="C4850" s="11" t="str">
        <f>IF(COUNTIF(D$1:D4850,D4850)=1,MAX(C$1:C4849)+1,"")</f>
        <v/>
      </c>
      <c r="D4850" s="12"/>
    </row>
    <row r="4851" spans="1:4" x14ac:dyDescent="0.25">
      <c r="A4851" t="str">
        <f>IF(COUNTIF(B$1:B4851,B4851)=1,MAX(A$1:A4850)+1,"")</f>
        <v/>
      </c>
      <c r="B4851" s="11"/>
      <c r="C4851" s="11" t="str">
        <f>IF(COUNTIF(D$1:D4851,D4851)=1,MAX(C$1:C4850)+1,"")</f>
        <v/>
      </c>
      <c r="D4851" s="12"/>
    </row>
    <row r="4852" spans="1:4" x14ac:dyDescent="0.25">
      <c r="A4852" t="str">
        <f>IF(COUNTIF(B$1:B4852,B4852)=1,MAX(A$1:A4851)+1,"")</f>
        <v/>
      </c>
      <c r="B4852" s="11"/>
      <c r="C4852" s="11" t="str">
        <f>IF(COUNTIF(D$1:D4852,D4852)=1,MAX(C$1:C4851)+1,"")</f>
        <v/>
      </c>
      <c r="D4852" s="12"/>
    </row>
    <row r="4853" spans="1:4" x14ac:dyDescent="0.25">
      <c r="A4853" t="str">
        <f>IF(COUNTIF(B$1:B4853,B4853)=1,MAX(A$1:A4852)+1,"")</f>
        <v/>
      </c>
      <c r="B4853" s="11"/>
      <c r="C4853" s="11" t="str">
        <f>IF(COUNTIF(D$1:D4853,D4853)=1,MAX(C$1:C4852)+1,"")</f>
        <v/>
      </c>
      <c r="D4853" s="12"/>
    </row>
    <row r="4854" spans="1:4" x14ac:dyDescent="0.25">
      <c r="A4854" t="str">
        <f>IF(COUNTIF(B$1:B4854,B4854)=1,MAX(A$1:A4853)+1,"")</f>
        <v/>
      </c>
      <c r="B4854" s="11"/>
      <c r="C4854" s="11" t="str">
        <f>IF(COUNTIF(D$1:D4854,D4854)=1,MAX(C$1:C4853)+1,"")</f>
        <v/>
      </c>
      <c r="D4854" s="12"/>
    </row>
    <row r="4855" spans="1:4" x14ac:dyDescent="0.25">
      <c r="A4855" t="str">
        <f>IF(COUNTIF(B$1:B4855,B4855)=1,MAX(A$1:A4854)+1,"")</f>
        <v/>
      </c>
      <c r="B4855" s="11"/>
      <c r="C4855" s="11" t="str">
        <f>IF(COUNTIF(D$1:D4855,D4855)=1,MAX(C$1:C4854)+1,"")</f>
        <v/>
      </c>
      <c r="D4855" s="12"/>
    </row>
    <row r="4856" spans="1:4" x14ac:dyDescent="0.25">
      <c r="A4856" t="str">
        <f>IF(COUNTIF(B$1:B4856,B4856)=1,MAX(A$1:A4855)+1,"")</f>
        <v/>
      </c>
      <c r="B4856" s="11"/>
      <c r="C4856" s="11" t="str">
        <f>IF(COUNTIF(D$1:D4856,D4856)=1,MAX(C$1:C4855)+1,"")</f>
        <v/>
      </c>
      <c r="D4856" s="12"/>
    </row>
    <row r="4857" spans="1:4" x14ac:dyDescent="0.25">
      <c r="A4857" t="str">
        <f>IF(COUNTIF(B$1:B4857,B4857)=1,MAX(A$1:A4856)+1,"")</f>
        <v/>
      </c>
      <c r="B4857" s="11"/>
      <c r="C4857" s="11" t="str">
        <f>IF(COUNTIF(D$1:D4857,D4857)=1,MAX(C$1:C4856)+1,"")</f>
        <v/>
      </c>
      <c r="D4857" s="12"/>
    </row>
    <row r="4858" spans="1:4" x14ac:dyDescent="0.25">
      <c r="A4858" t="str">
        <f>IF(COUNTIF(B$1:B4858,B4858)=1,MAX(A$1:A4857)+1,"")</f>
        <v/>
      </c>
      <c r="B4858" s="11"/>
      <c r="C4858" s="11" t="str">
        <f>IF(COUNTIF(D$1:D4858,D4858)=1,MAX(C$1:C4857)+1,"")</f>
        <v/>
      </c>
      <c r="D4858" s="12"/>
    </row>
    <row r="4859" spans="1:4" x14ac:dyDescent="0.25">
      <c r="A4859" t="str">
        <f>IF(COUNTIF(B$1:B4859,B4859)=1,MAX(A$1:A4858)+1,"")</f>
        <v/>
      </c>
      <c r="B4859" s="11"/>
      <c r="C4859" s="11" t="str">
        <f>IF(COUNTIF(D$1:D4859,D4859)=1,MAX(C$1:C4858)+1,"")</f>
        <v/>
      </c>
      <c r="D4859" s="12"/>
    </row>
    <row r="4860" spans="1:4" x14ac:dyDescent="0.25">
      <c r="A4860" t="str">
        <f>IF(COUNTIF(B$1:B4860,B4860)=1,MAX(A$1:A4859)+1,"")</f>
        <v/>
      </c>
      <c r="B4860" s="11"/>
      <c r="C4860" s="11" t="str">
        <f>IF(COUNTIF(D$1:D4860,D4860)=1,MAX(C$1:C4859)+1,"")</f>
        <v/>
      </c>
      <c r="D4860" s="12"/>
    </row>
    <row r="4861" spans="1:4" x14ac:dyDescent="0.25">
      <c r="A4861" t="str">
        <f>IF(COUNTIF(B$1:B4861,B4861)=1,MAX(A$1:A4860)+1,"")</f>
        <v/>
      </c>
      <c r="B4861" s="11"/>
      <c r="C4861" s="11" t="str">
        <f>IF(COUNTIF(D$1:D4861,D4861)=1,MAX(C$1:C4860)+1,"")</f>
        <v/>
      </c>
      <c r="D4861" s="12"/>
    </row>
    <row r="4862" spans="1:4" x14ac:dyDescent="0.25">
      <c r="A4862" t="str">
        <f>IF(COUNTIF(B$1:B4862,B4862)=1,MAX(A$1:A4861)+1,"")</f>
        <v/>
      </c>
      <c r="B4862" s="11"/>
      <c r="C4862" s="11" t="str">
        <f>IF(COUNTIF(D$1:D4862,D4862)=1,MAX(C$1:C4861)+1,"")</f>
        <v/>
      </c>
      <c r="D4862" s="12"/>
    </row>
    <row r="4863" spans="1:4" x14ac:dyDescent="0.25">
      <c r="A4863" t="str">
        <f>IF(COUNTIF(B$1:B4863,B4863)=1,MAX(A$1:A4862)+1,"")</f>
        <v/>
      </c>
      <c r="B4863" s="11"/>
      <c r="C4863" s="11" t="str">
        <f>IF(COUNTIF(D$1:D4863,D4863)=1,MAX(C$1:C4862)+1,"")</f>
        <v/>
      </c>
      <c r="D4863" s="12"/>
    </row>
    <row r="4864" spans="1:4" x14ac:dyDescent="0.25">
      <c r="A4864" t="str">
        <f>IF(COUNTIF(B$1:B4864,B4864)=1,MAX(A$1:A4863)+1,"")</f>
        <v/>
      </c>
      <c r="B4864" s="11"/>
      <c r="C4864" s="11" t="str">
        <f>IF(COUNTIF(D$1:D4864,D4864)=1,MAX(C$1:C4863)+1,"")</f>
        <v/>
      </c>
      <c r="D4864" s="12"/>
    </row>
    <row r="4865" spans="1:4" x14ac:dyDescent="0.25">
      <c r="A4865" t="str">
        <f>IF(COUNTIF(B$1:B4865,B4865)=1,MAX(A$1:A4864)+1,"")</f>
        <v/>
      </c>
      <c r="B4865" s="11"/>
      <c r="C4865" s="11" t="str">
        <f>IF(COUNTIF(D$1:D4865,D4865)=1,MAX(C$1:C4864)+1,"")</f>
        <v/>
      </c>
      <c r="D4865" s="12"/>
    </row>
    <row r="4866" spans="1:4" x14ac:dyDescent="0.25">
      <c r="A4866" t="str">
        <f>IF(COUNTIF(B$1:B4866,B4866)=1,MAX(A$1:A4865)+1,"")</f>
        <v/>
      </c>
      <c r="B4866" s="11"/>
      <c r="C4866" s="11" t="str">
        <f>IF(COUNTIF(D$1:D4866,D4866)=1,MAX(C$1:C4865)+1,"")</f>
        <v/>
      </c>
      <c r="D4866" s="12"/>
    </row>
    <row r="4867" spans="1:4" x14ac:dyDescent="0.25">
      <c r="A4867" t="str">
        <f>IF(COUNTIF(B$1:B4867,B4867)=1,MAX(A$1:A4866)+1,"")</f>
        <v/>
      </c>
      <c r="B4867" s="11"/>
      <c r="C4867" s="11" t="str">
        <f>IF(COUNTIF(D$1:D4867,D4867)=1,MAX(C$1:C4866)+1,"")</f>
        <v/>
      </c>
      <c r="D4867" s="12"/>
    </row>
    <row r="4868" spans="1:4" x14ac:dyDescent="0.25">
      <c r="A4868" t="str">
        <f>IF(COUNTIF(B$1:B4868,B4868)=1,MAX(A$1:A4867)+1,"")</f>
        <v/>
      </c>
      <c r="B4868" s="11"/>
      <c r="C4868" s="11" t="str">
        <f>IF(COUNTIF(D$1:D4868,D4868)=1,MAX(C$1:C4867)+1,"")</f>
        <v/>
      </c>
      <c r="D4868" s="12"/>
    </row>
    <row r="4869" spans="1:4" x14ac:dyDescent="0.25">
      <c r="A4869" t="str">
        <f>IF(COUNTIF(B$1:B4869,B4869)=1,MAX(A$1:A4868)+1,"")</f>
        <v/>
      </c>
      <c r="B4869" s="11"/>
      <c r="C4869" s="11" t="str">
        <f>IF(COUNTIF(D$1:D4869,D4869)=1,MAX(C$1:C4868)+1,"")</f>
        <v/>
      </c>
      <c r="D4869" s="12"/>
    </row>
    <row r="4870" spans="1:4" x14ac:dyDescent="0.25">
      <c r="A4870" t="str">
        <f>IF(COUNTIF(B$1:B4870,B4870)=1,MAX(A$1:A4869)+1,"")</f>
        <v/>
      </c>
      <c r="B4870" s="11"/>
      <c r="C4870" s="11" t="str">
        <f>IF(COUNTIF(D$1:D4870,D4870)=1,MAX(C$1:C4869)+1,"")</f>
        <v/>
      </c>
      <c r="D4870" s="12"/>
    </row>
    <row r="4871" spans="1:4" x14ac:dyDescent="0.25">
      <c r="A4871" t="str">
        <f>IF(COUNTIF(B$1:B4871,B4871)=1,MAX(A$1:A4870)+1,"")</f>
        <v/>
      </c>
      <c r="B4871" s="11"/>
      <c r="C4871" s="11" t="str">
        <f>IF(COUNTIF(D$1:D4871,D4871)=1,MAX(C$1:C4870)+1,"")</f>
        <v/>
      </c>
      <c r="D4871" s="12"/>
    </row>
    <row r="4872" spans="1:4" x14ac:dyDescent="0.25">
      <c r="A4872" t="str">
        <f>IF(COUNTIF(B$1:B4872,B4872)=1,MAX(A$1:A4871)+1,"")</f>
        <v/>
      </c>
      <c r="B4872" s="11"/>
      <c r="C4872" s="11" t="str">
        <f>IF(COUNTIF(D$1:D4872,D4872)=1,MAX(C$1:C4871)+1,"")</f>
        <v/>
      </c>
      <c r="D4872" s="12"/>
    </row>
    <row r="4873" spans="1:4" x14ac:dyDescent="0.25">
      <c r="A4873" t="str">
        <f>IF(COUNTIF(B$1:B4873,B4873)=1,MAX(A$1:A4872)+1,"")</f>
        <v/>
      </c>
      <c r="B4873" s="11"/>
      <c r="C4873" s="11" t="str">
        <f>IF(COUNTIF(D$1:D4873,D4873)=1,MAX(C$1:C4872)+1,"")</f>
        <v/>
      </c>
      <c r="D4873" s="12"/>
    </row>
    <row r="4874" spans="1:4" x14ac:dyDescent="0.25">
      <c r="A4874" t="str">
        <f>IF(COUNTIF(B$1:B4874,B4874)=1,MAX(A$1:A4873)+1,"")</f>
        <v/>
      </c>
      <c r="B4874" s="11"/>
      <c r="C4874" s="11" t="str">
        <f>IF(COUNTIF(D$1:D4874,D4874)=1,MAX(C$1:C4873)+1,"")</f>
        <v/>
      </c>
      <c r="D4874" s="12"/>
    </row>
    <row r="4875" spans="1:4" x14ac:dyDescent="0.25">
      <c r="A4875" t="str">
        <f>IF(COUNTIF(B$1:B4875,B4875)=1,MAX(A$1:A4874)+1,"")</f>
        <v/>
      </c>
      <c r="B4875" s="11"/>
      <c r="C4875" s="11" t="str">
        <f>IF(COUNTIF(D$1:D4875,D4875)=1,MAX(C$1:C4874)+1,"")</f>
        <v/>
      </c>
      <c r="D4875" s="12"/>
    </row>
    <row r="4876" spans="1:4" x14ac:dyDescent="0.25">
      <c r="A4876" t="str">
        <f>IF(COUNTIF(B$1:B4876,B4876)=1,MAX(A$1:A4875)+1,"")</f>
        <v/>
      </c>
      <c r="B4876" s="11"/>
      <c r="C4876" s="11" t="str">
        <f>IF(COUNTIF(D$1:D4876,D4876)=1,MAX(C$1:C4875)+1,"")</f>
        <v/>
      </c>
      <c r="D4876" s="12"/>
    </row>
    <row r="4877" spans="1:4" x14ac:dyDescent="0.25">
      <c r="A4877" t="str">
        <f>IF(COUNTIF(B$1:B4877,B4877)=1,MAX(A$1:A4876)+1,"")</f>
        <v/>
      </c>
      <c r="B4877" s="11"/>
      <c r="C4877" s="11" t="str">
        <f>IF(COUNTIF(D$1:D4877,D4877)=1,MAX(C$1:C4876)+1,"")</f>
        <v/>
      </c>
      <c r="D4877" s="12"/>
    </row>
    <row r="4878" spans="1:4" x14ac:dyDescent="0.25">
      <c r="A4878" t="str">
        <f>IF(COUNTIF(B$1:B4878,B4878)=1,MAX(A$1:A4877)+1,"")</f>
        <v/>
      </c>
      <c r="B4878" s="11"/>
      <c r="C4878" s="11" t="str">
        <f>IF(COUNTIF(D$1:D4878,D4878)=1,MAX(C$1:C4877)+1,"")</f>
        <v/>
      </c>
      <c r="D4878" s="12"/>
    </row>
    <row r="4879" spans="1:4" x14ac:dyDescent="0.25">
      <c r="A4879" t="str">
        <f>IF(COUNTIF(B$1:B4879,B4879)=1,MAX(A$1:A4878)+1,"")</f>
        <v/>
      </c>
      <c r="B4879" s="11"/>
      <c r="C4879" s="11" t="str">
        <f>IF(COUNTIF(D$1:D4879,D4879)=1,MAX(C$1:C4878)+1,"")</f>
        <v/>
      </c>
      <c r="D4879" s="12"/>
    </row>
    <row r="4880" spans="1:4" x14ac:dyDescent="0.25">
      <c r="A4880" t="str">
        <f>IF(COUNTIF(B$1:B4880,B4880)=1,MAX(A$1:A4879)+1,"")</f>
        <v/>
      </c>
      <c r="B4880" s="11"/>
      <c r="C4880" s="11" t="str">
        <f>IF(COUNTIF(D$1:D4880,D4880)=1,MAX(C$1:C4879)+1,"")</f>
        <v/>
      </c>
      <c r="D4880" s="12"/>
    </row>
    <row r="4881" spans="1:4" x14ac:dyDescent="0.25">
      <c r="A4881" t="str">
        <f>IF(COUNTIF(B$1:B4881,B4881)=1,MAX(A$1:A4880)+1,"")</f>
        <v/>
      </c>
      <c r="B4881" s="11"/>
      <c r="C4881" s="11" t="str">
        <f>IF(COUNTIF(D$1:D4881,D4881)=1,MAX(C$1:C4880)+1,"")</f>
        <v/>
      </c>
      <c r="D4881" s="12"/>
    </row>
    <row r="4882" spans="1:4" x14ac:dyDescent="0.25">
      <c r="A4882" t="str">
        <f>IF(COUNTIF(B$1:B4882,B4882)=1,MAX(A$1:A4881)+1,"")</f>
        <v/>
      </c>
      <c r="B4882" s="11"/>
      <c r="C4882" s="11" t="str">
        <f>IF(COUNTIF(D$1:D4882,D4882)=1,MAX(C$1:C4881)+1,"")</f>
        <v/>
      </c>
      <c r="D4882" s="12"/>
    </row>
    <row r="4883" spans="1:4" x14ac:dyDescent="0.25">
      <c r="A4883" t="str">
        <f>IF(COUNTIF(B$1:B4883,B4883)=1,MAX(A$1:A4882)+1,"")</f>
        <v/>
      </c>
      <c r="B4883" s="11"/>
      <c r="C4883" s="11" t="str">
        <f>IF(COUNTIF(D$1:D4883,D4883)=1,MAX(C$1:C4882)+1,"")</f>
        <v/>
      </c>
      <c r="D4883" s="12"/>
    </row>
    <row r="4884" spans="1:4" x14ac:dyDescent="0.25">
      <c r="A4884" t="str">
        <f>IF(COUNTIF(B$1:B4884,B4884)=1,MAX(A$1:A4883)+1,"")</f>
        <v/>
      </c>
      <c r="B4884" s="11"/>
      <c r="C4884" s="11" t="str">
        <f>IF(COUNTIF(D$1:D4884,D4884)=1,MAX(C$1:C4883)+1,"")</f>
        <v/>
      </c>
      <c r="D4884" s="12"/>
    </row>
    <row r="4885" spans="1:4" x14ac:dyDescent="0.25">
      <c r="A4885" t="str">
        <f>IF(COUNTIF(B$1:B4885,B4885)=1,MAX(A$1:A4884)+1,"")</f>
        <v/>
      </c>
      <c r="B4885" s="11"/>
      <c r="C4885" s="11" t="str">
        <f>IF(COUNTIF(D$1:D4885,D4885)=1,MAX(C$1:C4884)+1,"")</f>
        <v/>
      </c>
      <c r="D4885" s="12"/>
    </row>
    <row r="4886" spans="1:4" x14ac:dyDescent="0.25">
      <c r="A4886" t="str">
        <f>IF(COUNTIF(B$1:B4886,B4886)=1,MAX(A$1:A4885)+1,"")</f>
        <v/>
      </c>
      <c r="B4886" s="11"/>
      <c r="C4886" s="11" t="str">
        <f>IF(COUNTIF(D$1:D4886,D4886)=1,MAX(C$1:C4885)+1,"")</f>
        <v/>
      </c>
      <c r="D4886" s="12"/>
    </row>
    <row r="4887" spans="1:4" x14ac:dyDescent="0.25">
      <c r="A4887" t="str">
        <f>IF(COUNTIF(B$1:B4887,B4887)=1,MAX(A$1:A4886)+1,"")</f>
        <v/>
      </c>
      <c r="B4887" s="11"/>
      <c r="C4887" s="11" t="str">
        <f>IF(COUNTIF(D$1:D4887,D4887)=1,MAX(C$1:C4886)+1,"")</f>
        <v/>
      </c>
      <c r="D4887" s="12"/>
    </row>
    <row r="4888" spans="1:4" x14ac:dyDescent="0.25">
      <c r="A4888" t="str">
        <f>IF(COUNTIF(B$1:B4888,B4888)=1,MAX(A$1:A4887)+1,"")</f>
        <v/>
      </c>
      <c r="B4888" s="11"/>
      <c r="C4888" s="11" t="str">
        <f>IF(COUNTIF(D$1:D4888,D4888)=1,MAX(C$1:C4887)+1,"")</f>
        <v/>
      </c>
      <c r="D4888" s="12"/>
    </row>
    <row r="4889" spans="1:4" x14ac:dyDescent="0.25">
      <c r="A4889" t="str">
        <f>IF(COUNTIF(B$1:B4889,B4889)=1,MAX(A$1:A4888)+1,"")</f>
        <v/>
      </c>
      <c r="B4889" s="11"/>
      <c r="C4889" s="11" t="str">
        <f>IF(COUNTIF(D$1:D4889,D4889)=1,MAX(C$1:C4888)+1,"")</f>
        <v/>
      </c>
      <c r="D4889" s="12"/>
    </row>
    <row r="4890" spans="1:4" x14ac:dyDescent="0.25">
      <c r="A4890" t="str">
        <f>IF(COUNTIF(B$1:B4890,B4890)=1,MAX(A$1:A4889)+1,"")</f>
        <v/>
      </c>
      <c r="B4890" s="11"/>
      <c r="C4890" s="11" t="str">
        <f>IF(COUNTIF(D$1:D4890,D4890)=1,MAX(C$1:C4889)+1,"")</f>
        <v/>
      </c>
      <c r="D4890" s="12"/>
    </row>
    <row r="4891" spans="1:4" x14ac:dyDescent="0.25">
      <c r="A4891" t="str">
        <f>IF(COUNTIF(B$1:B4891,B4891)=1,MAX(A$1:A4890)+1,"")</f>
        <v/>
      </c>
      <c r="B4891" s="11"/>
      <c r="C4891" s="11" t="str">
        <f>IF(COUNTIF(D$1:D4891,D4891)=1,MAX(C$1:C4890)+1,"")</f>
        <v/>
      </c>
      <c r="D4891" s="12"/>
    </row>
    <row r="4892" spans="1:4" x14ac:dyDescent="0.25">
      <c r="A4892" t="str">
        <f>IF(COUNTIF(B$1:B4892,B4892)=1,MAX(A$1:A4891)+1,"")</f>
        <v/>
      </c>
      <c r="B4892" s="11"/>
      <c r="C4892" s="11" t="str">
        <f>IF(COUNTIF(D$1:D4892,D4892)=1,MAX(C$1:C4891)+1,"")</f>
        <v/>
      </c>
      <c r="D4892" s="12"/>
    </row>
    <row r="4893" spans="1:4" x14ac:dyDescent="0.25">
      <c r="A4893" t="str">
        <f>IF(COUNTIF(B$1:B4893,B4893)=1,MAX(A$1:A4892)+1,"")</f>
        <v/>
      </c>
      <c r="B4893" s="11"/>
      <c r="C4893" s="11" t="str">
        <f>IF(COUNTIF(D$1:D4893,D4893)=1,MAX(C$1:C4892)+1,"")</f>
        <v/>
      </c>
      <c r="D4893" s="12"/>
    </row>
    <row r="4894" spans="1:4" x14ac:dyDescent="0.25">
      <c r="A4894" t="str">
        <f>IF(COUNTIF(B$1:B4894,B4894)=1,MAX(A$1:A4893)+1,"")</f>
        <v/>
      </c>
      <c r="B4894" s="11"/>
      <c r="C4894" s="11" t="str">
        <f>IF(COUNTIF(D$1:D4894,D4894)=1,MAX(C$1:C4893)+1,"")</f>
        <v/>
      </c>
      <c r="D4894" s="12"/>
    </row>
    <row r="4895" spans="1:4" x14ac:dyDescent="0.25">
      <c r="A4895" t="str">
        <f>IF(COUNTIF(B$1:B4895,B4895)=1,MAX(A$1:A4894)+1,"")</f>
        <v/>
      </c>
      <c r="B4895" s="11"/>
      <c r="C4895" s="11" t="str">
        <f>IF(COUNTIF(D$1:D4895,D4895)=1,MAX(C$1:C4894)+1,"")</f>
        <v/>
      </c>
      <c r="D4895" s="12"/>
    </row>
    <row r="4896" spans="1:4" x14ac:dyDescent="0.25">
      <c r="A4896" t="str">
        <f>IF(COUNTIF(B$1:B4896,B4896)=1,MAX(A$1:A4895)+1,"")</f>
        <v/>
      </c>
      <c r="B4896" s="11"/>
      <c r="C4896" s="11" t="str">
        <f>IF(COUNTIF(D$1:D4896,D4896)=1,MAX(C$1:C4895)+1,"")</f>
        <v/>
      </c>
      <c r="D4896" s="12"/>
    </row>
    <row r="4897" spans="1:4" x14ac:dyDescent="0.25">
      <c r="A4897" t="str">
        <f>IF(COUNTIF(B$1:B4897,B4897)=1,MAX(A$1:A4896)+1,"")</f>
        <v/>
      </c>
      <c r="B4897" s="11"/>
      <c r="C4897" s="11" t="str">
        <f>IF(COUNTIF(D$1:D4897,D4897)=1,MAX(C$1:C4896)+1,"")</f>
        <v/>
      </c>
      <c r="D4897" s="12"/>
    </row>
    <row r="4898" spans="1:4" x14ac:dyDescent="0.25">
      <c r="A4898" t="str">
        <f>IF(COUNTIF(B$1:B4898,B4898)=1,MAX(A$1:A4897)+1,"")</f>
        <v/>
      </c>
      <c r="B4898" s="11"/>
      <c r="C4898" s="11" t="str">
        <f>IF(COUNTIF(D$1:D4898,D4898)=1,MAX(C$1:C4897)+1,"")</f>
        <v/>
      </c>
      <c r="D4898" s="12"/>
    </row>
    <row r="4899" spans="1:4" x14ac:dyDescent="0.25">
      <c r="A4899" t="str">
        <f>IF(COUNTIF(B$1:B4899,B4899)=1,MAX(A$1:A4898)+1,"")</f>
        <v/>
      </c>
      <c r="B4899" s="11"/>
      <c r="C4899" s="11" t="str">
        <f>IF(COUNTIF(D$1:D4899,D4899)=1,MAX(C$1:C4898)+1,"")</f>
        <v/>
      </c>
      <c r="D4899" s="12"/>
    </row>
    <row r="4900" spans="1:4" x14ac:dyDescent="0.25">
      <c r="A4900" t="str">
        <f>IF(COUNTIF(B$1:B4900,B4900)=1,MAX(A$1:A4899)+1,"")</f>
        <v/>
      </c>
      <c r="B4900" s="11"/>
      <c r="C4900" s="11" t="str">
        <f>IF(COUNTIF(D$1:D4900,D4900)=1,MAX(C$1:C4899)+1,"")</f>
        <v/>
      </c>
      <c r="D4900" s="12"/>
    </row>
    <row r="4901" spans="1:4" x14ac:dyDescent="0.25">
      <c r="A4901" t="str">
        <f>IF(COUNTIF(B$1:B4901,B4901)=1,MAX(A$1:A4900)+1,"")</f>
        <v/>
      </c>
      <c r="B4901" s="11"/>
      <c r="C4901" s="11" t="str">
        <f>IF(COUNTIF(D$1:D4901,D4901)=1,MAX(C$1:C4900)+1,"")</f>
        <v/>
      </c>
      <c r="D4901" s="12"/>
    </row>
    <row r="4902" spans="1:4" x14ac:dyDescent="0.25">
      <c r="A4902" t="str">
        <f>IF(COUNTIF(B$1:B4902,B4902)=1,MAX(A$1:A4901)+1,"")</f>
        <v/>
      </c>
      <c r="B4902" s="11"/>
      <c r="C4902" s="11" t="str">
        <f>IF(COUNTIF(D$1:D4902,D4902)=1,MAX(C$1:C4901)+1,"")</f>
        <v/>
      </c>
      <c r="D4902" s="12"/>
    </row>
    <row r="4903" spans="1:4" x14ac:dyDescent="0.25">
      <c r="A4903" t="str">
        <f>IF(COUNTIF(B$1:B4903,B4903)=1,MAX(A$1:A4902)+1,"")</f>
        <v/>
      </c>
      <c r="B4903" s="11"/>
      <c r="C4903" s="11" t="str">
        <f>IF(COUNTIF(D$1:D4903,D4903)=1,MAX(C$1:C4902)+1,"")</f>
        <v/>
      </c>
      <c r="D4903" s="12"/>
    </row>
    <row r="4904" spans="1:4" x14ac:dyDescent="0.25">
      <c r="A4904" t="str">
        <f>IF(COUNTIF(B$1:B4904,B4904)=1,MAX(A$1:A4903)+1,"")</f>
        <v/>
      </c>
      <c r="B4904" s="11"/>
      <c r="C4904" s="11" t="str">
        <f>IF(COUNTIF(D$1:D4904,D4904)=1,MAX(C$1:C4903)+1,"")</f>
        <v/>
      </c>
      <c r="D4904" s="12"/>
    </row>
    <row r="4905" spans="1:4" x14ac:dyDescent="0.25">
      <c r="A4905" t="str">
        <f>IF(COUNTIF(B$1:B4905,B4905)=1,MAX(A$1:A4904)+1,"")</f>
        <v/>
      </c>
      <c r="B4905" s="11"/>
      <c r="C4905" s="11" t="str">
        <f>IF(COUNTIF(D$1:D4905,D4905)=1,MAX(C$1:C4904)+1,"")</f>
        <v/>
      </c>
      <c r="D4905" s="12"/>
    </row>
    <row r="4906" spans="1:4" x14ac:dyDescent="0.25">
      <c r="A4906" t="str">
        <f>IF(COUNTIF(B$1:B4906,B4906)=1,MAX(A$1:A4905)+1,"")</f>
        <v/>
      </c>
      <c r="B4906" s="11"/>
      <c r="C4906" s="11" t="str">
        <f>IF(COUNTIF(D$1:D4906,D4906)=1,MAX(C$1:C4905)+1,"")</f>
        <v/>
      </c>
      <c r="D4906" s="12"/>
    </row>
    <row r="4907" spans="1:4" x14ac:dyDescent="0.25">
      <c r="A4907" t="str">
        <f>IF(COUNTIF(B$1:B4907,B4907)=1,MAX(A$1:A4906)+1,"")</f>
        <v/>
      </c>
      <c r="B4907" s="11"/>
      <c r="C4907" s="11" t="str">
        <f>IF(COUNTIF(D$1:D4907,D4907)=1,MAX(C$1:C4906)+1,"")</f>
        <v/>
      </c>
      <c r="D4907" s="12"/>
    </row>
    <row r="4908" spans="1:4" x14ac:dyDescent="0.25">
      <c r="A4908" t="str">
        <f>IF(COUNTIF(B$1:B4908,B4908)=1,MAX(A$1:A4907)+1,"")</f>
        <v/>
      </c>
      <c r="B4908" s="11"/>
      <c r="C4908" s="11" t="str">
        <f>IF(COUNTIF(D$1:D4908,D4908)=1,MAX(C$1:C4907)+1,"")</f>
        <v/>
      </c>
      <c r="D4908" s="12"/>
    </row>
    <row r="4909" spans="1:4" x14ac:dyDescent="0.25">
      <c r="A4909" t="str">
        <f>IF(COUNTIF(B$1:B4909,B4909)=1,MAX(A$1:A4908)+1,"")</f>
        <v/>
      </c>
      <c r="B4909" s="11"/>
      <c r="C4909" s="11" t="str">
        <f>IF(COUNTIF(D$1:D4909,D4909)=1,MAX(C$1:C4908)+1,"")</f>
        <v/>
      </c>
      <c r="D4909" s="12"/>
    </row>
    <row r="4910" spans="1:4" x14ac:dyDescent="0.25">
      <c r="A4910" t="str">
        <f>IF(COUNTIF(B$1:B4910,B4910)=1,MAX(A$1:A4909)+1,"")</f>
        <v/>
      </c>
      <c r="B4910" s="11"/>
      <c r="C4910" s="11" t="str">
        <f>IF(COUNTIF(D$1:D4910,D4910)=1,MAX(C$1:C4909)+1,"")</f>
        <v/>
      </c>
      <c r="D4910" s="12"/>
    </row>
    <row r="4911" spans="1:4" x14ac:dyDescent="0.25">
      <c r="A4911" t="str">
        <f>IF(COUNTIF(B$1:B4911,B4911)=1,MAX(A$1:A4910)+1,"")</f>
        <v/>
      </c>
      <c r="B4911" s="11"/>
      <c r="C4911" s="11" t="str">
        <f>IF(COUNTIF(D$1:D4911,D4911)=1,MAX(C$1:C4910)+1,"")</f>
        <v/>
      </c>
      <c r="D4911" s="12"/>
    </row>
    <row r="4912" spans="1:4" x14ac:dyDescent="0.25">
      <c r="A4912" t="str">
        <f>IF(COUNTIF(B$1:B4912,B4912)=1,MAX(A$1:A4911)+1,"")</f>
        <v/>
      </c>
      <c r="B4912" s="11"/>
      <c r="C4912" s="11" t="str">
        <f>IF(COUNTIF(D$1:D4912,D4912)=1,MAX(C$1:C4911)+1,"")</f>
        <v/>
      </c>
      <c r="D4912" s="12"/>
    </row>
    <row r="4913" spans="1:4" x14ac:dyDescent="0.25">
      <c r="A4913" t="str">
        <f>IF(COUNTIF(B$1:B4913,B4913)=1,MAX(A$1:A4912)+1,"")</f>
        <v/>
      </c>
      <c r="B4913" s="11"/>
      <c r="C4913" s="11" t="str">
        <f>IF(COUNTIF(D$1:D4913,D4913)=1,MAX(C$1:C4912)+1,"")</f>
        <v/>
      </c>
      <c r="D4913" s="12"/>
    </row>
    <row r="4914" spans="1:4" x14ac:dyDescent="0.25">
      <c r="A4914" t="str">
        <f>IF(COUNTIF(B$1:B4914,B4914)=1,MAX(A$1:A4913)+1,"")</f>
        <v/>
      </c>
      <c r="B4914" s="11"/>
      <c r="C4914" s="11" t="str">
        <f>IF(COUNTIF(D$1:D4914,D4914)=1,MAX(C$1:C4913)+1,"")</f>
        <v/>
      </c>
      <c r="D4914" s="12"/>
    </row>
    <row r="4915" spans="1:4" x14ac:dyDescent="0.25">
      <c r="A4915" t="str">
        <f>IF(COUNTIF(B$1:B4915,B4915)=1,MAX(A$1:A4914)+1,"")</f>
        <v/>
      </c>
      <c r="B4915" s="11"/>
      <c r="C4915" s="11" t="str">
        <f>IF(COUNTIF(D$1:D4915,D4915)=1,MAX(C$1:C4914)+1,"")</f>
        <v/>
      </c>
      <c r="D4915" s="12"/>
    </row>
    <row r="4916" spans="1:4" x14ac:dyDescent="0.25">
      <c r="A4916" t="str">
        <f>IF(COUNTIF(B$1:B4916,B4916)=1,MAX(A$1:A4915)+1,"")</f>
        <v/>
      </c>
      <c r="B4916" s="11"/>
      <c r="C4916" s="11" t="str">
        <f>IF(COUNTIF(D$1:D4916,D4916)=1,MAX(C$1:C4915)+1,"")</f>
        <v/>
      </c>
      <c r="D4916" s="12"/>
    </row>
    <row r="4917" spans="1:4" x14ac:dyDescent="0.25">
      <c r="A4917" t="str">
        <f>IF(COUNTIF(B$1:B4917,B4917)=1,MAX(A$1:A4916)+1,"")</f>
        <v/>
      </c>
      <c r="B4917" s="11"/>
      <c r="C4917" s="11" t="str">
        <f>IF(COUNTIF(D$1:D4917,D4917)=1,MAX(C$1:C4916)+1,"")</f>
        <v/>
      </c>
      <c r="D4917" s="12"/>
    </row>
    <row r="4918" spans="1:4" x14ac:dyDescent="0.25">
      <c r="A4918" t="str">
        <f>IF(COUNTIF(B$1:B4918,B4918)=1,MAX(A$1:A4917)+1,"")</f>
        <v/>
      </c>
      <c r="B4918" s="11"/>
      <c r="C4918" s="11" t="str">
        <f>IF(COUNTIF(D$1:D4918,D4918)=1,MAX(C$1:C4917)+1,"")</f>
        <v/>
      </c>
      <c r="D4918" s="12"/>
    </row>
    <row r="4919" spans="1:4" x14ac:dyDescent="0.25">
      <c r="A4919" t="str">
        <f>IF(COUNTIF(B$1:B4919,B4919)=1,MAX(A$1:A4918)+1,"")</f>
        <v/>
      </c>
      <c r="B4919" s="11"/>
      <c r="C4919" s="11" t="str">
        <f>IF(COUNTIF(D$1:D4919,D4919)=1,MAX(C$1:C4918)+1,"")</f>
        <v/>
      </c>
      <c r="D4919" s="12"/>
    </row>
    <row r="4920" spans="1:4" x14ac:dyDescent="0.25">
      <c r="A4920" t="str">
        <f>IF(COUNTIF(B$1:B4920,B4920)=1,MAX(A$1:A4919)+1,"")</f>
        <v/>
      </c>
      <c r="B4920" s="11"/>
      <c r="C4920" s="11" t="str">
        <f>IF(COUNTIF(D$1:D4920,D4920)=1,MAX(C$1:C4919)+1,"")</f>
        <v/>
      </c>
      <c r="D4920" s="12"/>
    </row>
    <row r="4921" spans="1:4" x14ac:dyDescent="0.25">
      <c r="A4921" t="str">
        <f>IF(COUNTIF(B$1:B4921,B4921)=1,MAX(A$1:A4920)+1,"")</f>
        <v/>
      </c>
      <c r="B4921" s="11"/>
      <c r="C4921" s="11" t="str">
        <f>IF(COUNTIF(D$1:D4921,D4921)=1,MAX(C$1:C4920)+1,"")</f>
        <v/>
      </c>
      <c r="D4921" s="12"/>
    </row>
    <row r="4922" spans="1:4" x14ac:dyDescent="0.25">
      <c r="A4922" t="str">
        <f>IF(COUNTIF(B$1:B4922,B4922)=1,MAX(A$1:A4921)+1,"")</f>
        <v/>
      </c>
      <c r="B4922" s="11"/>
      <c r="C4922" s="11" t="str">
        <f>IF(COUNTIF(D$1:D4922,D4922)=1,MAX(C$1:C4921)+1,"")</f>
        <v/>
      </c>
      <c r="D4922" s="12"/>
    </row>
    <row r="4923" spans="1:4" x14ac:dyDescent="0.25">
      <c r="A4923" t="str">
        <f>IF(COUNTIF(B$1:B4923,B4923)=1,MAX(A$1:A4922)+1,"")</f>
        <v/>
      </c>
      <c r="B4923" s="11"/>
      <c r="C4923" s="11" t="str">
        <f>IF(COUNTIF(D$1:D4923,D4923)=1,MAX(C$1:C4922)+1,"")</f>
        <v/>
      </c>
      <c r="D4923" s="12"/>
    </row>
    <row r="4924" spans="1:4" x14ac:dyDescent="0.25">
      <c r="A4924" t="str">
        <f>IF(COUNTIF(B$1:B4924,B4924)=1,MAX(A$1:A4923)+1,"")</f>
        <v/>
      </c>
      <c r="B4924" s="11"/>
      <c r="C4924" s="11" t="str">
        <f>IF(COUNTIF(D$1:D4924,D4924)=1,MAX(C$1:C4923)+1,"")</f>
        <v/>
      </c>
      <c r="D4924" s="12"/>
    </row>
    <row r="4925" spans="1:4" x14ac:dyDescent="0.25">
      <c r="A4925" t="str">
        <f>IF(COUNTIF(B$1:B4925,B4925)=1,MAX(A$1:A4924)+1,"")</f>
        <v/>
      </c>
      <c r="B4925" s="11"/>
      <c r="C4925" s="11" t="str">
        <f>IF(COUNTIF(D$1:D4925,D4925)=1,MAX(C$1:C4924)+1,"")</f>
        <v/>
      </c>
      <c r="D4925" s="12"/>
    </row>
    <row r="4926" spans="1:4" x14ac:dyDescent="0.25">
      <c r="A4926" t="str">
        <f>IF(COUNTIF(B$1:B4926,B4926)=1,MAX(A$1:A4925)+1,"")</f>
        <v/>
      </c>
      <c r="B4926" s="11"/>
      <c r="C4926" s="11" t="str">
        <f>IF(COUNTIF(D$1:D4926,D4926)=1,MAX(C$1:C4925)+1,"")</f>
        <v/>
      </c>
      <c r="D4926" s="12"/>
    </row>
    <row r="4927" spans="1:4" x14ac:dyDescent="0.25">
      <c r="A4927" t="str">
        <f>IF(COUNTIF(B$1:B4927,B4927)=1,MAX(A$1:A4926)+1,"")</f>
        <v/>
      </c>
      <c r="B4927" s="11"/>
      <c r="C4927" s="11" t="str">
        <f>IF(COUNTIF(D$1:D4927,D4927)=1,MAX(C$1:C4926)+1,"")</f>
        <v/>
      </c>
      <c r="D4927" s="12"/>
    </row>
    <row r="4928" spans="1:4" x14ac:dyDescent="0.25">
      <c r="A4928" t="str">
        <f>IF(COUNTIF(B$1:B4928,B4928)=1,MAX(A$1:A4927)+1,"")</f>
        <v/>
      </c>
      <c r="B4928" s="11"/>
      <c r="C4928" s="11" t="str">
        <f>IF(COUNTIF(D$1:D4928,D4928)=1,MAX(C$1:C4927)+1,"")</f>
        <v/>
      </c>
      <c r="D4928" s="12"/>
    </row>
    <row r="4929" spans="1:4" x14ac:dyDescent="0.25">
      <c r="A4929" t="str">
        <f>IF(COUNTIF(B$1:B4929,B4929)=1,MAX(A$1:A4928)+1,"")</f>
        <v/>
      </c>
      <c r="B4929" s="11"/>
      <c r="C4929" s="11" t="str">
        <f>IF(COUNTIF(D$1:D4929,D4929)=1,MAX(C$1:C4928)+1,"")</f>
        <v/>
      </c>
      <c r="D4929" s="12"/>
    </row>
    <row r="4930" spans="1:4" x14ac:dyDescent="0.25">
      <c r="A4930" t="str">
        <f>IF(COUNTIF(B$1:B4930,B4930)=1,MAX(A$1:A4929)+1,"")</f>
        <v/>
      </c>
      <c r="B4930" s="11"/>
      <c r="C4930" s="11" t="str">
        <f>IF(COUNTIF(D$1:D4930,D4930)=1,MAX(C$1:C4929)+1,"")</f>
        <v/>
      </c>
      <c r="D4930" s="12"/>
    </row>
    <row r="4931" spans="1:4" x14ac:dyDescent="0.25">
      <c r="A4931" t="str">
        <f>IF(COUNTIF(B$1:B4931,B4931)=1,MAX(A$1:A4930)+1,"")</f>
        <v/>
      </c>
      <c r="B4931" s="11"/>
      <c r="C4931" s="11" t="str">
        <f>IF(COUNTIF(D$1:D4931,D4931)=1,MAX(C$1:C4930)+1,"")</f>
        <v/>
      </c>
      <c r="D4931" s="12"/>
    </row>
    <row r="4932" spans="1:4" x14ac:dyDescent="0.25">
      <c r="A4932" t="str">
        <f>IF(COUNTIF(B$1:B4932,B4932)=1,MAX(A$1:A4931)+1,"")</f>
        <v/>
      </c>
      <c r="B4932" s="11"/>
      <c r="C4932" s="11" t="str">
        <f>IF(COUNTIF(D$1:D4932,D4932)=1,MAX(C$1:C4931)+1,"")</f>
        <v/>
      </c>
      <c r="D4932" s="12"/>
    </row>
    <row r="4933" spans="1:4" x14ac:dyDescent="0.25">
      <c r="A4933" t="str">
        <f>IF(COUNTIF(B$1:B4933,B4933)=1,MAX(A$1:A4932)+1,"")</f>
        <v/>
      </c>
      <c r="B4933" s="11"/>
      <c r="C4933" s="11" t="str">
        <f>IF(COUNTIF(D$1:D4933,D4933)=1,MAX(C$1:C4932)+1,"")</f>
        <v/>
      </c>
      <c r="D4933" s="12"/>
    </row>
    <row r="4934" spans="1:4" x14ac:dyDescent="0.25">
      <c r="A4934" t="str">
        <f>IF(COUNTIF(B$1:B4934,B4934)=1,MAX(A$1:A4933)+1,"")</f>
        <v/>
      </c>
      <c r="B4934" s="11"/>
      <c r="C4934" s="11" t="str">
        <f>IF(COUNTIF(D$1:D4934,D4934)=1,MAX(C$1:C4933)+1,"")</f>
        <v/>
      </c>
      <c r="D4934" s="12"/>
    </row>
    <row r="4935" spans="1:4" x14ac:dyDescent="0.25">
      <c r="A4935" t="str">
        <f>IF(COUNTIF(B$1:B4935,B4935)=1,MAX(A$1:A4934)+1,"")</f>
        <v/>
      </c>
      <c r="B4935" s="11"/>
      <c r="C4935" s="11" t="str">
        <f>IF(COUNTIF(D$1:D4935,D4935)=1,MAX(C$1:C4934)+1,"")</f>
        <v/>
      </c>
      <c r="D4935" s="12"/>
    </row>
    <row r="4936" spans="1:4" x14ac:dyDescent="0.25">
      <c r="A4936" t="str">
        <f>IF(COUNTIF(B$1:B4936,B4936)=1,MAX(A$1:A4935)+1,"")</f>
        <v/>
      </c>
      <c r="B4936" s="11"/>
      <c r="C4936" s="11" t="str">
        <f>IF(COUNTIF(D$1:D4936,D4936)=1,MAX(C$1:C4935)+1,"")</f>
        <v/>
      </c>
      <c r="D4936" s="12"/>
    </row>
    <row r="4937" spans="1:4" x14ac:dyDescent="0.25">
      <c r="A4937" t="str">
        <f>IF(COUNTIF(B$1:B4937,B4937)=1,MAX(A$1:A4936)+1,"")</f>
        <v/>
      </c>
      <c r="B4937" s="11"/>
      <c r="C4937" s="11" t="str">
        <f>IF(COUNTIF(D$1:D4937,D4937)=1,MAX(C$1:C4936)+1,"")</f>
        <v/>
      </c>
      <c r="D4937" s="12"/>
    </row>
    <row r="4938" spans="1:4" x14ac:dyDescent="0.25">
      <c r="A4938" t="str">
        <f>IF(COUNTIF(B$1:B4938,B4938)=1,MAX(A$1:A4937)+1,"")</f>
        <v/>
      </c>
      <c r="B4938" s="11"/>
      <c r="C4938" s="11" t="str">
        <f>IF(COUNTIF(D$1:D4938,D4938)=1,MAX(C$1:C4937)+1,"")</f>
        <v/>
      </c>
      <c r="D4938" s="12"/>
    </row>
    <row r="4939" spans="1:4" x14ac:dyDescent="0.25">
      <c r="A4939" t="str">
        <f>IF(COUNTIF(B$1:B4939,B4939)=1,MAX(A$1:A4938)+1,"")</f>
        <v/>
      </c>
      <c r="B4939" s="11"/>
      <c r="C4939" s="11" t="str">
        <f>IF(COUNTIF(D$1:D4939,D4939)=1,MAX(C$1:C4938)+1,"")</f>
        <v/>
      </c>
      <c r="D4939" s="12"/>
    </row>
    <row r="4940" spans="1:4" x14ac:dyDescent="0.25">
      <c r="A4940" t="str">
        <f>IF(COUNTIF(B$1:B4940,B4940)=1,MAX(A$1:A4939)+1,"")</f>
        <v/>
      </c>
      <c r="B4940" s="11"/>
      <c r="C4940" s="11" t="str">
        <f>IF(COUNTIF(D$1:D4940,D4940)=1,MAX(C$1:C4939)+1,"")</f>
        <v/>
      </c>
      <c r="D4940" s="12"/>
    </row>
    <row r="4941" spans="1:4" x14ac:dyDescent="0.25">
      <c r="A4941" t="str">
        <f>IF(COUNTIF(B$1:B4941,B4941)=1,MAX(A$1:A4940)+1,"")</f>
        <v/>
      </c>
      <c r="B4941" s="11"/>
      <c r="C4941" s="11" t="str">
        <f>IF(COUNTIF(D$1:D4941,D4941)=1,MAX(C$1:C4940)+1,"")</f>
        <v/>
      </c>
      <c r="D4941" s="12"/>
    </row>
    <row r="4942" spans="1:4" x14ac:dyDescent="0.25">
      <c r="A4942" t="str">
        <f>IF(COUNTIF(B$1:B4942,B4942)=1,MAX(A$1:A4941)+1,"")</f>
        <v/>
      </c>
      <c r="B4942" s="11"/>
      <c r="C4942" s="11" t="str">
        <f>IF(COUNTIF(D$1:D4942,D4942)=1,MAX(C$1:C4941)+1,"")</f>
        <v/>
      </c>
      <c r="D4942" s="12"/>
    </row>
    <row r="4943" spans="1:4" x14ac:dyDescent="0.25">
      <c r="A4943" t="str">
        <f>IF(COUNTIF(B$1:B4943,B4943)=1,MAX(A$1:A4942)+1,"")</f>
        <v/>
      </c>
      <c r="B4943" s="11"/>
      <c r="C4943" s="11" t="str">
        <f>IF(COUNTIF(D$1:D4943,D4943)=1,MAX(C$1:C4942)+1,"")</f>
        <v/>
      </c>
      <c r="D4943" s="12"/>
    </row>
    <row r="4944" spans="1:4" x14ac:dyDescent="0.25">
      <c r="A4944" t="str">
        <f>IF(COUNTIF(B$1:B4944,B4944)=1,MAX(A$1:A4943)+1,"")</f>
        <v/>
      </c>
      <c r="B4944" s="11"/>
      <c r="C4944" s="11" t="str">
        <f>IF(COUNTIF(D$1:D4944,D4944)=1,MAX(C$1:C4943)+1,"")</f>
        <v/>
      </c>
      <c r="D4944" s="12"/>
    </row>
    <row r="4945" spans="1:4" x14ac:dyDescent="0.25">
      <c r="A4945" t="str">
        <f>IF(COUNTIF(B$1:B4945,B4945)=1,MAX(A$1:A4944)+1,"")</f>
        <v/>
      </c>
      <c r="B4945" s="11"/>
      <c r="C4945" s="11" t="str">
        <f>IF(COUNTIF(D$1:D4945,D4945)=1,MAX(C$1:C4944)+1,"")</f>
        <v/>
      </c>
      <c r="D4945" s="12"/>
    </row>
    <row r="4946" spans="1:4" x14ac:dyDescent="0.25">
      <c r="A4946" t="str">
        <f>IF(COUNTIF(B$1:B4946,B4946)=1,MAX(A$1:A4945)+1,"")</f>
        <v/>
      </c>
      <c r="B4946" s="11"/>
      <c r="C4946" s="11" t="str">
        <f>IF(COUNTIF(D$1:D4946,D4946)=1,MAX(C$1:C4945)+1,"")</f>
        <v/>
      </c>
      <c r="D4946" s="12"/>
    </row>
    <row r="4947" spans="1:4" x14ac:dyDescent="0.25">
      <c r="A4947" t="str">
        <f>IF(COUNTIF(B$1:B4947,B4947)=1,MAX(A$1:A4946)+1,"")</f>
        <v/>
      </c>
      <c r="B4947" s="11"/>
      <c r="C4947" s="11" t="str">
        <f>IF(COUNTIF(D$1:D4947,D4947)=1,MAX(C$1:C4946)+1,"")</f>
        <v/>
      </c>
      <c r="D4947" s="12"/>
    </row>
    <row r="4948" spans="1:4" x14ac:dyDescent="0.25">
      <c r="A4948" t="str">
        <f>IF(COUNTIF(B$1:B4948,B4948)=1,MAX(A$1:A4947)+1,"")</f>
        <v/>
      </c>
      <c r="B4948" s="11"/>
      <c r="C4948" s="11" t="str">
        <f>IF(COUNTIF(D$1:D4948,D4948)=1,MAX(C$1:C4947)+1,"")</f>
        <v/>
      </c>
      <c r="D4948" s="12"/>
    </row>
    <row r="4949" spans="1:4" x14ac:dyDescent="0.25">
      <c r="A4949" t="str">
        <f>IF(COUNTIF(B$1:B4949,B4949)=1,MAX(A$1:A4948)+1,"")</f>
        <v/>
      </c>
      <c r="B4949" s="11"/>
      <c r="C4949" s="11" t="str">
        <f>IF(COUNTIF(D$1:D4949,D4949)=1,MAX(C$1:C4948)+1,"")</f>
        <v/>
      </c>
      <c r="D4949" s="12"/>
    </row>
    <row r="4950" spans="1:4" x14ac:dyDescent="0.25">
      <c r="A4950" t="str">
        <f>IF(COUNTIF(B$1:B4950,B4950)=1,MAX(A$1:A4949)+1,"")</f>
        <v/>
      </c>
      <c r="B4950" s="11"/>
      <c r="C4950" s="11" t="str">
        <f>IF(COUNTIF(D$1:D4950,D4950)=1,MAX(C$1:C4949)+1,"")</f>
        <v/>
      </c>
      <c r="D4950" s="12"/>
    </row>
    <row r="4951" spans="1:4" x14ac:dyDescent="0.25">
      <c r="A4951" t="str">
        <f>IF(COUNTIF(B$1:B4951,B4951)=1,MAX(A$1:A4950)+1,"")</f>
        <v/>
      </c>
      <c r="B4951" s="11"/>
      <c r="C4951" s="11" t="str">
        <f>IF(COUNTIF(D$1:D4951,D4951)=1,MAX(C$1:C4950)+1,"")</f>
        <v/>
      </c>
      <c r="D4951" s="12"/>
    </row>
    <row r="4952" spans="1:4" x14ac:dyDescent="0.25">
      <c r="A4952" t="str">
        <f>IF(COUNTIF(B$1:B4952,B4952)=1,MAX(A$1:A4951)+1,"")</f>
        <v/>
      </c>
      <c r="B4952" s="11"/>
      <c r="C4952" s="11" t="str">
        <f>IF(COUNTIF(D$1:D4952,D4952)=1,MAX(C$1:C4951)+1,"")</f>
        <v/>
      </c>
      <c r="D4952" s="12"/>
    </row>
    <row r="4953" spans="1:4" x14ac:dyDescent="0.25">
      <c r="A4953" t="str">
        <f>IF(COUNTIF(B$1:B4953,B4953)=1,MAX(A$1:A4952)+1,"")</f>
        <v/>
      </c>
      <c r="B4953" s="11"/>
      <c r="C4953" s="11" t="str">
        <f>IF(COUNTIF(D$1:D4953,D4953)=1,MAX(C$1:C4952)+1,"")</f>
        <v/>
      </c>
      <c r="D4953" s="12"/>
    </row>
    <row r="4954" spans="1:4" x14ac:dyDescent="0.25">
      <c r="A4954" t="str">
        <f>IF(COUNTIF(B$1:B4954,B4954)=1,MAX(A$1:A4953)+1,"")</f>
        <v/>
      </c>
      <c r="B4954" s="11"/>
      <c r="C4954" s="11" t="str">
        <f>IF(COUNTIF(D$1:D4954,D4954)=1,MAX(C$1:C4953)+1,"")</f>
        <v/>
      </c>
      <c r="D4954" s="12"/>
    </row>
    <row r="4955" spans="1:4" x14ac:dyDescent="0.25">
      <c r="A4955" t="str">
        <f>IF(COUNTIF(B$1:B4955,B4955)=1,MAX(A$1:A4954)+1,"")</f>
        <v/>
      </c>
      <c r="B4955" s="11"/>
      <c r="C4955" s="11" t="str">
        <f>IF(COUNTIF(D$1:D4955,D4955)=1,MAX(C$1:C4954)+1,"")</f>
        <v/>
      </c>
      <c r="D4955" s="12"/>
    </row>
    <row r="4956" spans="1:4" x14ac:dyDescent="0.25">
      <c r="A4956" t="str">
        <f>IF(COUNTIF(B$1:B4956,B4956)=1,MAX(A$1:A4955)+1,"")</f>
        <v/>
      </c>
      <c r="B4956" s="11"/>
      <c r="C4956" s="11" t="str">
        <f>IF(COUNTIF(D$1:D4956,D4956)=1,MAX(C$1:C4955)+1,"")</f>
        <v/>
      </c>
      <c r="D4956" s="12"/>
    </row>
    <row r="4957" spans="1:4" x14ac:dyDescent="0.25">
      <c r="A4957" t="str">
        <f>IF(COUNTIF(B$1:B4957,B4957)=1,MAX(A$1:A4956)+1,"")</f>
        <v/>
      </c>
      <c r="B4957" s="11"/>
      <c r="C4957" s="11" t="str">
        <f>IF(COUNTIF(D$1:D4957,D4957)=1,MAX(C$1:C4956)+1,"")</f>
        <v/>
      </c>
      <c r="D4957" s="12"/>
    </row>
    <row r="4958" spans="1:4" x14ac:dyDescent="0.25">
      <c r="A4958" t="str">
        <f>IF(COUNTIF(B$1:B4958,B4958)=1,MAX(A$1:A4957)+1,"")</f>
        <v/>
      </c>
      <c r="B4958" s="11"/>
      <c r="C4958" s="11" t="str">
        <f>IF(COUNTIF(D$1:D4958,D4958)=1,MAX(C$1:C4957)+1,"")</f>
        <v/>
      </c>
      <c r="D4958" s="12"/>
    </row>
    <row r="4959" spans="1:4" x14ac:dyDescent="0.25">
      <c r="A4959" t="str">
        <f>IF(COUNTIF(B$1:B4959,B4959)=1,MAX(A$1:A4958)+1,"")</f>
        <v/>
      </c>
      <c r="B4959" s="11"/>
      <c r="C4959" s="11" t="str">
        <f>IF(COUNTIF(D$1:D4959,D4959)=1,MAX(C$1:C4958)+1,"")</f>
        <v/>
      </c>
      <c r="D4959" s="12"/>
    </row>
    <row r="4960" spans="1:4" x14ac:dyDescent="0.25">
      <c r="A4960" t="str">
        <f>IF(COUNTIF(B$1:B4960,B4960)=1,MAX(A$1:A4959)+1,"")</f>
        <v/>
      </c>
      <c r="B4960" s="11"/>
      <c r="C4960" s="11" t="str">
        <f>IF(COUNTIF(D$1:D4960,D4960)=1,MAX(C$1:C4959)+1,"")</f>
        <v/>
      </c>
      <c r="D4960" s="12"/>
    </row>
    <row r="4961" spans="1:4" x14ac:dyDescent="0.25">
      <c r="A4961" t="str">
        <f>IF(COUNTIF(B$1:B4961,B4961)=1,MAX(A$1:A4960)+1,"")</f>
        <v/>
      </c>
      <c r="B4961" s="11"/>
      <c r="C4961" s="11" t="str">
        <f>IF(COUNTIF(D$1:D4961,D4961)=1,MAX(C$1:C4960)+1,"")</f>
        <v/>
      </c>
      <c r="D4961" s="12"/>
    </row>
    <row r="4962" spans="1:4" x14ac:dyDescent="0.25">
      <c r="A4962" t="str">
        <f>IF(COUNTIF(B$1:B4962,B4962)=1,MAX(A$1:A4961)+1,"")</f>
        <v/>
      </c>
      <c r="B4962" s="11"/>
      <c r="C4962" s="11" t="str">
        <f>IF(COUNTIF(D$1:D4962,D4962)=1,MAX(C$1:C4961)+1,"")</f>
        <v/>
      </c>
      <c r="D4962" s="12"/>
    </row>
    <row r="4963" spans="1:4" x14ac:dyDescent="0.25">
      <c r="A4963" t="str">
        <f>IF(COUNTIF(B$1:B4963,B4963)=1,MAX(A$1:A4962)+1,"")</f>
        <v/>
      </c>
      <c r="B4963" s="11"/>
      <c r="C4963" s="11" t="str">
        <f>IF(COUNTIF(D$1:D4963,D4963)=1,MAX(C$1:C4962)+1,"")</f>
        <v/>
      </c>
      <c r="D4963" s="12"/>
    </row>
    <row r="4964" spans="1:4" x14ac:dyDescent="0.25">
      <c r="A4964" t="str">
        <f>IF(COUNTIF(B$1:B4964,B4964)=1,MAX(A$1:A4963)+1,"")</f>
        <v/>
      </c>
      <c r="B4964" s="11"/>
      <c r="C4964" s="11" t="str">
        <f>IF(COUNTIF(D$1:D4964,D4964)=1,MAX(C$1:C4963)+1,"")</f>
        <v/>
      </c>
      <c r="D4964" s="12"/>
    </row>
    <row r="4965" spans="1:4" x14ac:dyDescent="0.25">
      <c r="A4965" t="str">
        <f>IF(COUNTIF(B$1:B4965,B4965)=1,MAX(A$1:A4964)+1,"")</f>
        <v/>
      </c>
      <c r="B4965" s="11"/>
      <c r="C4965" s="11" t="str">
        <f>IF(COUNTIF(D$1:D4965,D4965)=1,MAX(C$1:C4964)+1,"")</f>
        <v/>
      </c>
      <c r="D4965" s="12"/>
    </row>
    <row r="4966" spans="1:4" x14ac:dyDescent="0.25">
      <c r="A4966" t="str">
        <f>IF(COUNTIF(B$1:B4966,B4966)=1,MAX(A$1:A4965)+1,"")</f>
        <v/>
      </c>
      <c r="B4966" s="11"/>
      <c r="C4966" s="11" t="str">
        <f>IF(COUNTIF(D$1:D4966,D4966)=1,MAX(C$1:C4965)+1,"")</f>
        <v/>
      </c>
      <c r="D4966" s="12"/>
    </row>
    <row r="4967" spans="1:4" x14ac:dyDescent="0.25">
      <c r="A4967" t="str">
        <f>IF(COUNTIF(B$1:B4967,B4967)=1,MAX(A$1:A4966)+1,"")</f>
        <v/>
      </c>
      <c r="B4967" s="11"/>
      <c r="C4967" s="11" t="str">
        <f>IF(COUNTIF(D$1:D4967,D4967)=1,MAX(C$1:C4966)+1,"")</f>
        <v/>
      </c>
      <c r="D4967" s="12"/>
    </row>
    <row r="4968" spans="1:4" x14ac:dyDescent="0.25">
      <c r="A4968" t="str">
        <f>IF(COUNTIF(B$1:B4968,B4968)=1,MAX(A$1:A4967)+1,"")</f>
        <v/>
      </c>
      <c r="B4968" s="11"/>
      <c r="C4968" s="11" t="str">
        <f>IF(COUNTIF(D$1:D4968,D4968)=1,MAX(C$1:C4967)+1,"")</f>
        <v/>
      </c>
      <c r="D4968" s="12"/>
    </row>
    <row r="4969" spans="1:4" x14ac:dyDescent="0.25">
      <c r="A4969" t="str">
        <f>IF(COUNTIF(B$1:B4969,B4969)=1,MAX(A$1:A4968)+1,"")</f>
        <v/>
      </c>
      <c r="B4969" s="11"/>
      <c r="C4969" s="11" t="str">
        <f>IF(COUNTIF(D$1:D4969,D4969)=1,MAX(C$1:C4968)+1,"")</f>
        <v/>
      </c>
      <c r="D4969" s="12"/>
    </row>
    <row r="4970" spans="1:4" x14ac:dyDescent="0.25">
      <c r="A4970" t="str">
        <f>IF(COUNTIF(B$1:B4970,B4970)=1,MAX(A$1:A4969)+1,"")</f>
        <v/>
      </c>
      <c r="B4970" s="11"/>
      <c r="C4970" s="11" t="str">
        <f>IF(COUNTIF(D$1:D4970,D4970)=1,MAX(C$1:C4969)+1,"")</f>
        <v/>
      </c>
      <c r="D4970" s="12"/>
    </row>
    <row r="4971" spans="1:4" x14ac:dyDescent="0.25">
      <c r="A4971" t="str">
        <f>IF(COUNTIF(B$1:B4971,B4971)=1,MAX(A$1:A4970)+1,"")</f>
        <v/>
      </c>
      <c r="B4971" s="11"/>
      <c r="C4971" s="11" t="str">
        <f>IF(COUNTIF(D$1:D4971,D4971)=1,MAX(C$1:C4970)+1,"")</f>
        <v/>
      </c>
      <c r="D4971" s="12"/>
    </row>
    <row r="4972" spans="1:4" x14ac:dyDescent="0.25">
      <c r="A4972" t="str">
        <f>IF(COUNTIF(B$1:B4972,B4972)=1,MAX(A$1:A4971)+1,"")</f>
        <v/>
      </c>
      <c r="B4972" s="11"/>
      <c r="C4972" s="11" t="str">
        <f>IF(COUNTIF(D$1:D4972,D4972)=1,MAX(C$1:C4971)+1,"")</f>
        <v/>
      </c>
      <c r="D4972" s="12"/>
    </row>
    <row r="4973" spans="1:4" x14ac:dyDescent="0.25">
      <c r="A4973" t="str">
        <f>IF(COUNTIF(B$1:B4973,B4973)=1,MAX(A$1:A4972)+1,"")</f>
        <v/>
      </c>
      <c r="B4973" s="11"/>
      <c r="C4973" s="11" t="str">
        <f>IF(COUNTIF(D$1:D4973,D4973)=1,MAX(C$1:C4972)+1,"")</f>
        <v/>
      </c>
      <c r="D4973" s="12"/>
    </row>
    <row r="4974" spans="1:4" x14ac:dyDescent="0.25">
      <c r="A4974" t="str">
        <f>IF(COUNTIF(B$1:B4974,B4974)=1,MAX(A$1:A4973)+1,"")</f>
        <v/>
      </c>
      <c r="B4974" s="11"/>
      <c r="C4974" s="11" t="str">
        <f>IF(COUNTIF(D$1:D4974,D4974)=1,MAX(C$1:C4973)+1,"")</f>
        <v/>
      </c>
      <c r="D4974" s="12"/>
    </row>
    <row r="4975" spans="1:4" x14ac:dyDescent="0.25">
      <c r="A4975" t="str">
        <f>IF(COUNTIF(B$1:B4975,B4975)=1,MAX(A$1:A4974)+1,"")</f>
        <v/>
      </c>
      <c r="B4975" s="11"/>
      <c r="C4975" s="11" t="str">
        <f>IF(COUNTIF(D$1:D4975,D4975)=1,MAX(C$1:C4974)+1,"")</f>
        <v/>
      </c>
      <c r="D4975" s="12"/>
    </row>
    <row r="4976" spans="1:4" x14ac:dyDescent="0.25">
      <c r="A4976" t="str">
        <f>IF(COUNTIF(B$1:B4976,B4976)=1,MAX(A$1:A4975)+1,"")</f>
        <v/>
      </c>
      <c r="B4976" s="11"/>
      <c r="C4976" s="11" t="str">
        <f>IF(COUNTIF(D$1:D4976,D4976)=1,MAX(C$1:C4975)+1,"")</f>
        <v/>
      </c>
      <c r="D4976" s="12"/>
    </row>
    <row r="4977" spans="1:4" x14ac:dyDescent="0.25">
      <c r="A4977" t="str">
        <f>IF(COUNTIF(B$1:B4977,B4977)=1,MAX(A$1:A4976)+1,"")</f>
        <v/>
      </c>
      <c r="B4977" s="11"/>
      <c r="C4977" s="11" t="str">
        <f>IF(COUNTIF(D$1:D4977,D4977)=1,MAX(C$1:C4976)+1,"")</f>
        <v/>
      </c>
      <c r="D4977" s="12"/>
    </row>
    <row r="4978" spans="1:4" x14ac:dyDescent="0.25">
      <c r="A4978" t="str">
        <f>IF(COUNTIF(B$1:B4978,B4978)=1,MAX(A$1:A4977)+1,"")</f>
        <v/>
      </c>
      <c r="B4978" s="11"/>
      <c r="C4978" s="11" t="str">
        <f>IF(COUNTIF(D$1:D4978,D4978)=1,MAX(C$1:C4977)+1,"")</f>
        <v/>
      </c>
      <c r="D4978" s="12"/>
    </row>
    <row r="4979" spans="1:4" x14ac:dyDescent="0.25">
      <c r="A4979" t="str">
        <f>IF(COUNTIF(B$1:B4979,B4979)=1,MAX(A$1:A4978)+1,"")</f>
        <v/>
      </c>
      <c r="B4979" s="11"/>
      <c r="C4979" s="11" t="str">
        <f>IF(COUNTIF(D$1:D4979,D4979)=1,MAX(C$1:C4978)+1,"")</f>
        <v/>
      </c>
      <c r="D4979" s="12"/>
    </row>
    <row r="4980" spans="1:4" x14ac:dyDescent="0.25">
      <c r="A4980" t="str">
        <f>IF(COUNTIF(B$1:B4980,B4980)=1,MAX(A$1:A4979)+1,"")</f>
        <v/>
      </c>
      <c r="B4980" s="11"/>
      <c r="C4980" s="11" t="str">
        <f>IF(COUNTIF(D$1:D4980,D4980)=1,MAX(C$1:C4979)+1,"")</f>
        <v/>
      </c>
      <c r="D4980" s="12"/>
    </row>
    <row r="4981" spans="1:4" x14ac:dyDescent="0.25">
      <c r="A4981" t="str">
        <f>IF(COUNTIF(B$1:B4981,B4981)=1,MAX(A$1:A4980)+1,"")</f>
        <v/>
      </c>
      <c r="B4981" s="11"/>
      <c r="C4981" s="11" t="str">
        <f>IF(COUNTIF(D$1:D4981,D4981)=1,MAX(C$1:C4980)+1,"")</f>
        <v/>
      </c>
      <c r="D4981" s="12"/>
    </row>
    <row r="4982" spans="1:4" x14ac:dyDescent="0.25">
      <c r="A4982" t="str">
        <f>IF(COUNTIF(B$1:B4982,B4982)=1,MAX(A$1:A4981)+1,"")</f>
        <v/>
      </c>
      <c r="B4982" s="11"/>
      <c r="C4982" s="11" t="str">
        <f>IF(COUNTIF(D$1:D4982,D4982)=1,MAX(C$1:C4981)+1,"")</f>
        <v/>
      </c>
      <c r="D4982" s="12"/>
    </row>
    <row r="4983" spans="1:4" x14ac:dyDescent="0.25">
      <c r="A4983" t="str">
        <f>IF(COUNTIF(B$1:B4983,B4983)=1,MAX(A$1:A4982)+1,"")</f>
        <v/>
      </c>
      <c r="B4983" s="11"/>
      <c r="C4983" s="11" t="str">
        <f>IF(COUNTIF(D$1:D4983,D4983)=1,MAX(C$1:C4982)+1,"")</f>
        <v/>
      </c>
      <c r="D4983" s="12"/>
    </row>
    <row r="4984" spans="1:4" x14ac:dyDescent="0.25">
      <c r="A4984" t="str">
        <f>IF(COUNTIF(B$1:B4984,B4984)=1,MAX(A$1:A4983)+1,"")</f>
        <v/>
      </c>
      <c r="B4984" s="11"/>
      <c r="C4984" s="11" t="str">
        <f>IF(COUNTIF(D$1:D4984,D4984)=1,MAX(C$1:C4983)+1,"")</f>
        <v/>
      </c>
      <c r="D4984" s="12"/>
    </row>
    <row r="4985" spans="1:4" x14ac:dyDescent="0.25">
      <c r="A4985" t="str">
        <f>IF(COUNTIF(B$1:B4985,B4985)=1,MAX(A$1:A4984)+1,"")</f>
        <v/>
      </c>
      <c r="B4985" s="11"/>
      <c r="C4985" s="11" t="str">
        <f>IF(COUNTIF(D$1:D4985,D4985)=1,MAX(C$1:C4984)+1,"")</f>
        <v/>
      </c>
      <c r="D4985" s="12"/>
    </row>
    <row r="4986" spans="1:4" x14ac:dyDescent="0.25">
      <c r="A4986" t="str">
        <f>IF(COUNTIF(B$1:B4986,B4986)=1,MAX(A$1:A4985)+1,"")</f>
        <v/>
      </c>
      <c r="B4986" s="11"/>
      <c r="C4986" s="11" t="str">
        <f>IF(COUNTIF(D$1:D4986,D4986)=1,MAX(C$1:C4985)+1,"")</f>
        <v/>
      </c>
      <c r="D4986" s="12"/>
    </row>
    <row r="4987" spans="1:4" x14ac:dyDescent="0.25">
      <c r="A4987" t="str">
        <f>IF(COUNTIF(B$1:B4987,B4987)=1,MAX(A$1:A4986)+1,"")</f>
        <v/>
      </c>
      <c r="B4987" s="11"/>
      <c r="C4987" s="11" t="str">
        <f>IF(COUNTIF(D$1:D4987,D4987)=1,MAX(C$1:C4986)+1,"")</f>
        <v/>
      </c>
      <c r="D4987" s="12"/>
    </row>
    <row r="4988" spans="1:4" x14ac:dyDescent="0.25">
      <c r="A4988" t="str">
        <f>IF(COUNTIF(B$1:B4988,B4988)=1,MAX(A$1:A4987)+1,"")</f>
        <v/>
      </c>
      <c r="B4988" s="11"/>
      <c r="C4988" s="11" t="str">
        <f>IF(COUNTIF(D$1:D4988,D4988)=1,MAX(C$1:C4987)+1,"")</f>
        <v/>
      </c>
      <c r="D4988" s="12"/>
    </row>
    <row r="4989" spans="1:4" x14ac:dyDescent="0.25">
      <c r="A4989" t="str">
        <f>IF(COUNTIF(B$1:B4989,B4989)=1,MAX(A$1:A4988)+1,"")</f>
        <v/>
      </c>
      <c r="B4989" s="11"/>
      <c r="C4989" s="11" t="str">
        <f>IF(COUNTIF(D$1:D4989,D4989)=1,MAX(C$1:C4988)+1,"")</f>
        <v/>
      </c>
      <c r="D4989" s="12"/>
    </row>
    <row r="4990" spans="1:4" x14ac:dyDescent="0.25">
      <c r="A4990" t="str">
        <f>IF(COUNTIF(B$1:B4990,B4990)=1,MAX(A$1:A4989)+1,"")</f>
        <v/>
      </c>
      <c r="B4990" s="11"/>
      <c r="C4990" s="11" t="str">
        <f>IF(COUNTIF(D$1:D4990,D4990)=1,MAX(C$1:C4989)+1,"")</f>
        <v/>
      </c>
      <c r="D4990" s="12"/>
    </row>
    <row r="4991" spans="1:4" x14ac:dyDescent="0.25">
      <c r="A4991" t="str">
        <f>IF(COUNTIF(B$1:B4991,B4991)=1,MAX(A$1:A4990)+1,"")</f>
        <v/>
      </c>
      <c r="B4991" s="11"/>
      <c r="C4991" s="11" t="str">
        <f>IF(COUNTIF(D$1:D4991,D4991)=1,MAX(C$1:C4990)+1,"")</f>
        <v/>
      </c>
      <c r="D4991" s="12"/>
    </row>
    <row r="4992" spans="1:4" x14ac:dyDescent="0.25">
      <c r="A4992" t="str">
        <f>IF(COUNTIF(B$1:B4992,B4992)=1,MAX(A$1:A4991)+1,"")</f>
        <v/>
      </c>
      <c r="B4992" s="11"/>
      <c r="C4992" s="11" t="str">
        <f>IF(COUNTIF(D$1:D4992,D4992)=1,MAX(C$1:C4991)+1,"")</f>
        <v/>
      </c>
      <c r="D4992" s="12"/>
    </row>
    <row r="4993" spans="1:4" x14ac:dyDescent="0.25">
      <c r="A4993" t="str">
        <f>IF(COUNTIF(B$1:B4993,B4993)=1,MAX(A$1:A4992)+1,"")</f>
        <v/>
      </c>
      <c r="B4993" s="11"/>
      <c r="C4993" s="11" t="str">
        <f>IF(COUNTIF(D$1:D4993,D4993)=1,MAX(C$1:C4992)+1,"")</f>
        <v/>
      </c>
      <c r="D4993" s="12"/>
    </row>
    <row r="4994" spans="1:4" x14ac:dyDescent="0.25">
      <c r="A4994" t="str">
        <f>IF(COUNTIF(B$1:B4994,B4994)=1,MAX(A$1:A4993)+1,"")</f>
        <v/>
      </c>
      <c r="B4994" s="11"/>
      <c r="C4994" s="11" t="str">
        <f>IF(COUNTIF(D$1:D4994,D4994)=1,MAX(C$1:C4993)+1,"")</f>
        <v/>
      </c>
      <c r="D4994" s="12"/>
    </row>
    <row r="4995" spans="1:4" x14ac:dyDescent="0.25">
      <c r="A4995" t="str">
        <f>IF(COUNTIF(B$1:B4995,B4995)=1,MAX(A$1:A4994)+1,"")</f>
        <v/>
      </c>
      <c r="B4995" s="11"/>
      <c r="C4995" s="11" t="str">
        <f>IF(COUNTIF(D$1:D4995,D4995)=1,MAX(C$1:C4994)+1,"")</f>
        <v/>
      </c>
      <c r="D4995" s="12"/>
    </row>
    <row r="4996" spans="1:4" x14ac:dyDescent="0.25">
      <c r="A4996" t="str">
        <f>IF(COUNTIF(B$1:B4996,B4996)=1,MAX(A$1:A4995)+1,"")</f>
        <v/>
      </c>
      <c r="B4996" s="11"/>
      <c r="C4996" s="11" t="str">
        <f>IF(COUNTIF(D$1:D4996,D4996)=1,MAX(C$1:C4995)+1,"")</f>
        <v/>
      </c>
      <c r="D4996" s="12"/>
    </row>
    <row r="4997" spans="1:4" x14ac:dyDescent="0.25">
      <c r="A4997" t="str">
        <f>IF(COUNTIF(B$1:B4997,B4997)=1,MAX(A$1:A4996)+1,"")</f>
        <v/>
      </c>
      <c r="B4997" s="11"/>
      <c r="C4997" s="11" t="str">
        <f>IF(COUNTIF(D$1:D4997,D4997)=1,MAX(C$1:C4996)+1,"")</f>
        <v/>
      </c>
      <c r="D4997" s="12"/>
    </row>
    <row r="4998" spans="1:4" x14ac:dyDescent="0.25">
      <c r="A4998" t="str">
        <f>IF(COUNTIF(B$1:B4998,B4998)=1,MAX(A$1:A4997)+1,"")</f>
        <v/>
      </c>
      <c r="B4998" s="11"/>
      <c r="C4998" s="11" t="str">
        <f>IF(COUNTIF(D$1:D4998,D4998)=1,MAX(C$1:C4997)+1,"")</f>
        <v/>
      </c>
      <c r="D4998" s="12"/>
    </row>
    <row r="4999" spans="1:4" x14ac:dyDescent="0.25">
      <c r="A4999" t="str">
        <f>IF(COUNTIF(B$1:B4999,B4999)=1,MAX(A$1:A4998)+1,"")</f>
        <v/>
      </c>
      <c r="B4999" s="11"/>
      <c r="C4999" s="11" t="str">
        <f>IF(COUNTIF(D$1:D4999,D4999)=1,MAX(C$1:C4998)+1,"")</f>
        <v/>
      </c>
      <c r="D4999" s="12"/>
    </row>
    <row r="5000" spans="1:4" x14ac:dyDescent="0.25">
      <c r="A5000" t="str">
        <f>IF(COUNTIF(B$1:B5000,B5000)=1,MAX(A$1:A4999)+1,"")</f>
        <v/>
      </c>
      <c r="B5000" s="11"/>
      <c r="C5000" s="11" t="str">
        <f>IF(COUNTIF(D$1:D5000,D5000)=1,MAX(C$1:C4999)+1,"")</f>
        <v/>
      </c>
      <c r="D5000" s="12"/>
    </row>
    <row r="5001" spans="1:4" x14ac:dyDescent="0.25">
      <c r="A5001" t="str">
        <f>IF(COUNTIF(B$1:B5001,B5001)=1,MAX(A$1:A5000)+1,"")</f>
        <v/>
      </c>
      <c r="B5001" s="11"/>
      <c r="C5001" s="11" t="str">
        <f>IF(COUNTIF(D$1:D5001,D5001)=1,MAX(C$1:C5000)+1,"")</f>
        <v/>
      </c>
      <c r="D5001" s="12"/>
    </row>
    <row r="5002" spans="1:4" x14ac:dyDescent="0.25">
      <c r="A5002" t="str">
        <f>IF(COUNTIF(B$1:B5002,B5002)=1,MAX(A$1:A5001)+1,"")</f>
        <v/>
      </c>
      <c r="B5002" s="11"/>
      <c r="C5002" s="11" t="str">
        <f>IF(COUNTIF(D$1:D5002,D5002)=1,MAX(C$1:C5001)+1,"")</f>
        <v/>
      </c>
      <c r="D5002" s="12"/>
    </row>
    <row r="5003" spans="1:4" x14ac:dyDescent="0.25">
      <c r="A5003" t="str">
        <f>IF(COUNTIF(B$1:B5003,B5003)=1,MAX(A$1:A5002)+1,"")</f>
        <v/>
      </c>
      <c r="B5003" s="11"/>
      <c r="C5003" s="11" t="str">
        <f>IF(COUNTIF(D$1:D5003,D5003)=1,MAX(C$1:C5002)+1,"")</f>
        <v/>
      </c>
      <c r="D5003" s="12"/>
    </row>
    <row r="5004" spans="1:4" x14ac:dyDescent="0.25">
      <c r="A5004" t="str">
        <f>IF(COUNTIF(B$1:B5004,B5004)=1,MAX(A$1:A5003)+1,"")</f>
        <v/>
      </c>
      <c r="B5004" s="11"/>
      <c r="C5004" s="11" t="str">
        <f>IF(COUNTIF(D$1:D5004,D5004)=1,MAX(C$1:C5003)+1,"")</f>
        <v/>
      </c>
      <c r="D5004" s="12"/>
    </row>
    <row r="5005" spans="1:4" x14ac:dyDescent="0.25">
      <c r="A5005" t="str">
        <f>IF(COUNTIF(B$1:B5005,B5005)=1,MAX(A$1:A5004)+1,"")</f>
        <v/>
      </c>
      <c r="B5005" s="11"/>
      <c r="C5005" s="11" t="str">
        <f>IF(COUNTIF(D$1:D5005,D5005)=1,MAX(C$1:C5004)+1,"")</f>
        <v/>
      </c>
      <c r="D5005" s="12"/>
    </row>
    <row r="5006" spans="1:4" x14ac:dyDescent="0.25">
      <c r="A5006" t="str">
        <f>IF(COUNTIF(B$1:B5006,B5006)=1,MAX(A$1:A5005)+1,"")</f>
        <v/>
      </c>
      <c r="B5006" s="11"/>
      <c r="C5006" s="11" t="str">
        <f>IF(COUNTIF(D$1:D5006,D5006)=1,MAX(C$1:C5005)+1,"")</f>
        <v/>
      </c>
      <c r="D5006" s="12"/>
    </row>
    <row r="5007" spans="1:4" x14ac:dyDescent="0.25">
      <c r="A5007" t="str">
        <f>IF(COUNTIF(B$1:B5007,B5007)=1,MAX(A$1:A5006)+1,"")</f>
        <v/>
      </c>
      <c r="B5007" s="11"/>
      <c r="C5007" s="11" t="str">
        <f>IF(COUNTIF(D$1:D5007,D5007)=1,MAX(C$1:C5006)+1,"")</f>
        <v/>
      </c>
      <c r="D5007" s="12"/>
    </row>
    <row r="5008" spans="1:4" x14ac:dyDescent="0.25">
      <c r="A5008" t="str">
        <f>IF(COUNTIF(B$1:B5008,B5008)=1,MAX(A$1:A5007)+1,"")</f>
        <v/>
      </c>
      <c r="B5008" s="11"/>
      <c r="C5008" s="11" t="str">
        <f>IF(COUNTIF(D$1:D5008,D5008)=1,MAX(C$1:C5007)+1,"")</f>
        <v/>
      </c>
      <c r="D5008" s="12"/>
    </row>
    <row r="5009" spans="1:4" x14ac:dyDescent="0.25">
      <c r="A5009" t="str">
        <f>IF(COUNTIF(B$1:B5009,B5009)=1,MAX(A$1:A5008)+1,"")</f>
        <v/>
      </c>
      <c r="B5009" s="11"/>
      <c r="C5009" s="11" t="str">
        <f>IF(COUNTIF(D$1:D5009,D5009)=1,MAX(C$1:C5008)+1,"")</f>
        <v/>
      </c>
      <c r="D5009" s="12"/>
    </row>
    <row r="5010" spans="1:4" x14ac:dyDescent="0.25">
      <c r="A5010" t="str">
        <f>IF(COUNTIF(B$1:B5010,B5010)=1,MAX(A$1:A5009)+1,"")</f>
        <v/>
      </c>
      <c r="B5010" s="11"/>
      <c r="C5010" s="11" t="str">
        <f>IF(COUNTIF(D$1:D5010,D5010)=1,MAX(C$1:C5009)+1,"")</f>
        <v/>
      </c>
      <c r="D5010" s="12"/>
    </row>
    <row r="5011" spans="1:4" x14ac:dyDescent="0.25">
      <c r="A5011" t="str">
        <f>IF(COUNTIF(B$1:B5011,B5011)=1,MAX(A$1:A5010)+1,"")</f>
        <v/>
      </c>
      <c r="B5011" s="11"/>
      <c r="C5011" s="11" t="str">
        <f>IF(COUNTIF(D$1:D5011,D5011)=1,MAX(C$1:C5010)+1,"")</f>
        <v/>
      </c>
      <c r="D5011" s="12"/>
    </row>
    <row r="5012" spans="1:4" x14ac:dyDescent="0.25">
      <c r="A5012" t="str">
        <f>IF(COUNTIF(B$1:B5012,B5012)=1,MAX(A$1:A5011)+1,"")</f>
        <v/>
      </c>
      <c r="B5012" s="11"/>
      <c r="C5012" s="11" t="str">
        <f>IF(COUNTIF(D$1:D5012,D5012)=1,MAX(C$1:C5011)+1,"")</f>
        <v/>
      </c>
      <c r="D5012" s="12"/>
    </row>
    <row r="5013" spans="1:4" x14ac:dyDescent="0.25">
      <c r="A5013" t="str">
        <f>IF(COUNTIF(B$1:B5013,B5013)=1,MAX(A$1:A5012)+1,"")</f>
        <v/>
      </c>
      <c r="B5013" s="11"/>
      <c r="C5013" s="11" t="str">
        <f>IF(COUNTIF(D$1:D5013,D5013)=1,MAX(C$1:C5012)+1,"")</f>
        <v/>
      </c>
      <c r="D5013" s="12"/>
    </row>
    <row r="5014" spans="1:4" x14ac:dyDescent="0.25">
      <c r="A5014" t="str">
        <f>IF(COUNTIF(B$1:B5014,B5014)=1,MAX(A$1:A5013)+1,"")</f>
        <v/>
      </c>
      <c r="B5014" s="11"/>
      <c r="C5014" s="11" t="str">
        <f>IF(COUNTIF(D$1:D5014,D5014)=1,MAX(C$1:C5013)+1,"")</f>
        <v/>
      </c>
      <c r="D5014" s="12"/>
    </row>
    <row r="5015" spans="1:4" x14ac:dyDescent="0.25">
      <c r="A5015" t="str">
        <f>IF(COUNTIF(B$1:B5015,B5015)=1,MAX(A$1:A5014)+1,"")</f>
        <v/>
      </c>
      <c r="B5015" s="11"/>
      <c r="C5015" s="11" t="str">
        <f>IF(COUNTIF(D$1:D5015,D5015)=1,MAX(C$1:C5014)+1,"")</f>
        <v/>
      </c>
      <c r="D5015" s="12"/>
    </row>
    <row r="5016" spans="1:4" x14ac:dyDescent="0.25">
      <c r="A5016" t="str">
        <f>IF(COUNTIF(B$1:B5016,B5016)=1,MAX(A$1:A5015)+1,"")</f>
        <v/>
      </c>
      <c r="B5016" s="11"/>
      <c r="C5016" s="11" t="str">
        <f>IF(COUNTIF(D$1:D5016,D5016)=1,MAX(C$1:C5015)+1,"")</f>
        <v/>
      </c>
      <c r="D5016" s="12"/>
    </row>
    <row r="5017" spans="1:4" x14ac:dyDescent="0.25">
      <c r="A5017" t="str">
        <f>IF(COUNTIF(B$1:B5017,B5017)=1,MAX(A$1:A5016)+1,"")</f>
        <v/>
      </c>
      <c r="B5017" s="11"/>
      <c r="C5017" s="11" t="str">
        <f>IF(COUNTIF(D$1:D5017,D5017)=1,MAX(C$1:C5016)+1,"")</f>
        <v/>
      </c>
      <c r="D5017" s="12"/>
    </row>
    <row r="5018" spans="1:4" x14ac:dyDescent="0.25">
      <c r="A5018" t="str">
        <f>IF(COUNTIF(B$1:B5018,B5018)=1,MAX(A$1:A5017)+1,"")</f>
        <v/>
      </c>
      <c r="B5018" s="11"/>
      <c r="C5018" s="11" t="str">
        <f>IF(COUNTIF(D$1:D5018,D5018)=1,MAX(C$1:C5017)+1,"")</f>
        <v/>
      </c>
      <c r="D5018" s="12"/>
    </row>
    <row r="5019" spans="1:4" x14ac:dyDescent="0.25">
      <c r="A5019" t="str">
        <f>IF(COUNTIF(B$1:B5019,B5019)=1,MAX(A$1:A5018)+1,"")</f>
        <v/>
      </c>
      <c r="B5019" s="11"/>
      <c r="C5019" s="11" t="str">
        <f>IF(COUNTIF(D$1:D5019,D5019)=1,MAX(C$1:C5018)+1,"")</f>
        <v/>
      </c>
      <c r="D5019" s="12"/>
    </row>
    <row r="5020" spans="1:4" x14ac:dyDescent="0.25">
      <c r="A5020" t="str">
        <f>IF(COUNTIF(B$1:B5020,B5020)=1,MAX(A$1:A5019)+1,"")</f>
        <v/>
      </c>
      <c r="B5020" s="11"/>
      <c r="C5020" s="11" t="str">
        <f>IF(COUNTIF(D$1:D5020,D5020)=1,MAX(C$1:C5019)+1,"")</f>
        <v/>
      </c>
      <c r="D5020" s="12"/>
    </row>
    <row r="5021" spans="1:4" x14ac:dyDescent="0.25">
      <c r="A5021" t="str">
        <f>IF(COUNTIF(B$1:B5021,B5021)=1,MAX(A$1:A5020)+1,"")</f>
        <v/>
      </c>
      <c r="B5021" s="11"/>
      <c r="C5021" s="11" t="str">
        <f>IF(COUNTIF(D$1:D5021,D5021)=1,MAX(C$1:C5020)+1,"")</f>
        <v/>
      </c>
      <c r="D5021" s="12"/>
    </row>
    <row r="5022" spans="1:4" x14ac:dyDescent="0.25">
      <c r="A5022" t="str">
        <f>IF(COUNTIF(B$1:B5022,B5022)=1,MAX(A$1:A5021)+1,"")</f>
        <v/>
      </c>
      <c r="B5022" s="11"/>
      <c r="C5022" s="11" t="str">
        <f>IF(COUNTIF(D$1:D5022,D5022)=1,MAX(C$1:C5021)+1,"")</f>
        <v/>
      </c>
      <c r="D5022" s="12"/>
    </row>
    <row r="5023" spans="1:4" x14ac:dyDescent="0.25">
      <c r="A5023" t="str">
        <f>IF(COUNTIF(B$1:B5023,B5023)=1,MAX(A$1:A5022)+1,"")</f>
        <v/>
      </c>
      <c r="B5023" s="11"/>
      <c r="C5023" s="11" t="str">
        <f>IF(COUNTIF(D$1:D5023,D5023)=1,MAX(C$1:C5022)+1,"")</f>
        <v/>
      </c>
      <c r="D5023" s="12"/>
    </row>
    <row r="5024" spans="1:4" x14ac:dyDescent="0.25">
      <c r="A5024" t="str">
        <f>IF(COUNTIF(B$1:B5024,B5024)=1,MAX(A$1:A5023)+1,"")</f>
        <v/>
      </c>
      <c r="B5024" s="11"/>
      <c r="C5024" s="11" t="str">
        <f>IF(COUNTIF(D$1:D5024,D5024)=1,MAX(C$1:C5023)+1,"")</f>
        <v/>
      </c>
      <c r="D5024" s="12"/>
    </row>
    <row r="5025" spans="1:4" x14ac:dyDescent="0.25">
      <c r="A5025" t="str">
        <f>IF(COUNTIF(B$1:B5025,B5025)=1,MAX(A$1:A5024)+1,"")</f>
        <v/>
      </c>
      <c r="B5025" s="11"/>
      <c r="C5025" s="11" t="str">
        <f>IF(COUNTIF(D$1:D5025,D5025)=1,MAX(C$1:C5024)+1,"")</f>
        <v/>
      </c>
      <c r="D5025" s="12"/>
    </row>
    <row r="5026" spans="1:4" x14ac:dyDescent="0.25">
      <c r="A5026" t="str">
        <f>IF(COUNTIF(B$1:B5026,B5026)=1,MAX(A$1:A5025)+1,"")</f>
        <v/>
      </c>
      <c r="B5026" s="11"/>
      <c r="C5026" s="11" t="str">
        <f>IF(COUNTIF(D$1:D5026,D5026)=1,MAX(C$1:C5025)+1,"")</f>
        <v/>
      </c>
      <c r="D5026" s="12"/>
    </row>
    <row r="5027" spans="1:4" x14ac:dyDescent="0.25">
      <c r="A5027" t="str">
        <f>IF(COUNTIF(B$1:B5027,B5027)=1,MAX(A$1:A5026)+1,"")</f>
        <v/>
      </c>
      <c r="B5027" s="11"/>
      <c r="C5027" s="11" t="str">
        <f>IF(COUNTIF(D$1:D5027,D5027)=1,MAX(C$1:C5026)+1,"")</f>
        <v/>
      </c>
      <c r="D5027" s="12"/>
    </row>
    <row r="5028" spans="1:4" x14ac:dyDescent="0.25">
      <c r="A5028" t="str">
        <f>IF(COUNTIF(B$1:B5028,B5028)=1,MAX(A$1:A5027)+1,"")</f>
        <v/>
      </c>
      <c r="B5028" s="11"/>
      <c r="C5028" s="11" t="str">
        <f>IF(COUNTIF(D$1:D5028,D5028)=1,MAX(C$1:C5027)+1,"")</f>
        <v/>
      </c>
      <c r="D5028" s="12"/>
    </row>
    <row r="5029" spans="1:4" x14ac:dyDescent="0.25">
      <c r="A5029" t="str">
        <f>IF(COUNTIF(B$1:B5029,B5029)=1,MAX(A$1:A5028)+1,"")</f>
        <v/>
      </c>
      <c r="B5029" s="11"/>
      <c r="C5029" s="11" t="str">
        <f>IF(COUNTIF(D$1:D5029,D5029)=1,MAX(C$1:C5028)+1,"")</f>
        <v/>
      </c>
      <c r="D5029" s="12"/>
    </row>
    <row r="5030" spans="1:4" x14ac:dyDescent="0.25">
      <c r="A5030" t="str">
        <f>IF(COUNTIF(B$1:B5030,B5030)=1,MAX(A$1:A5029)+1,"")</f>
        <v/>
      </c>
      <c r="B5030" s="11"/>
      <c r="C5030" s="11" t="str">
        <f>IF(COUNTIF(D$1:D5030,D5030)=1,MAX(C$1:C5029)+1,"")</f>
        <v/>
      </c>
      <c r="D5030" s="12"/>
    </row>
    <row r="5031" spans="1:4" x14ac:dyDescent="0.25">
      <c r="A5031" t="str">
        <f>IF(COUNTIF(B$1:B5031,B5031)=1,MAX(A$1:A5030)+1,"")</f>
        <v/>
      </c>
      <c r="B5031" s="11"/>
      <c r="C5031" s="11" t="str">
        <f>IF(COUNTIF(D$1:D5031,D5031)=1,MAX(C$1:C5030)+1,"")</f>
        <v/>
      </c>
      <c r="D5031" s="12"/>
    </row>
    <row r="5032" spans="1:4" x14ac:dyDescent="0.25">
      <c r="A5032" t="str">
        <f>IF(COUNTIF(B$1:B5032,B5032)=1,MAX(A$1:A5031)+1,"")</f>
        <v/>
      </c>
      <c r="B5032" s="11"/>
      <c r="C5032" s="11" t="str">
        <f>IF(COUNTIF(D$1:D5032,D5032)=1,MAX(C$1:C5031)+1,"")</f>
        <v/>
      </c>
      <c r="D5032" s="12"/>
    </row>
    <row r="5033" spans="1:4" x14ac:dyDescent="0.25">
      <c r="A5033" t="str">
        <f>IF(COUNTIF(B$1:B5033,B5033)=1,MAX(A$1:A5032)+1,"")</f>
        <v/>
      </c>
      <c r="B5033" s="11"/>
      <c r="C5033" s="11" t="str">
        <f>IF(COUNTIF(D$1:D5033,D5033)=1,MAX(C$1:C5032)+1,"")</f>
        <v/>
      </c>
      <c r="D5033" s="12"/>
    </row>
    <row r="5034" spans="1:4" x14ac:dyDescent="0.25">
      <c r="A5034" t="str">
        <f>IF(COUNTIF(B$1:B5034,B5034)=1,MAX(A$1:A5033)+1,"")</f>
        <v/>
      </c>
      <c r="B5034" s="11"/>
      <c r="C5034" s="11" t="str">
        <f>IF(COUNTIF(D$1:D5034,D5034)=1,MAX(C$1:C5033)+1,"")</f>
        <v/>
      </c>
      <c r="D5034" s="12"/>
    </row>
    <row r="5035" spans="1:4" x14ac:dyDescent="0.25">
      <c r="A5035" t="str">
        <f>IF(COUNTIF(B$1:B5035,B5035)=1,MAX(A$1:A5034)+1,"")</f>
        <v/>
      </c>
      <c r="B5035" s="11"/>
      <c r="C5035" s="11" t="str">
        <f>IF(COUNTIF(D$1:D5035,D5035)=1,MAX(C$1:C5034)+1,"")</f>
        <v/>
      </c>
      <c r="D5035" s="12"/>
    </row>
    <row r="5036" spans="1:4" x14ac:dyDescent="0.25">
      <c r="A5036" t="str">
        <f>IF(COUNTIF(B$1:B5036,B5036)=1,MAX(A$1:A5035)+1,"")</f>
        <v/>
      </c>
      <c r="B5036" s="11"/>
      <c r="C5036" s="11" t="str">
        <f>IF(COUNTIF(D$1:D5036,D5036)=1,MAX(C$1:C5035)+1,"")</f>
        <v/>
      </c>
      <c r="D5036" s="12"/>
    </row>
    <row r="5037" spans="1:4" x14ac:dyDescent="0.25">
      <c r="A5037" t="str">
        <f>IF(COUNTIF(B$1:B5037,B5037)=1,MAX(A$1:A5036)+1,"")</f>
        <v/>
      </c>
      <c r="B5037" s="11"/>
      <c r="C5037" s="11" t="str">
        <f>IF(COUNTIF(D$1:D5037,D5037)=1,MAX(C$1:C5036)+1,"")</f>
        <v/>
      </c>
      <c r="D5037" s="12"/>
    </row>
    <row r="5038" spans="1:4" x14ac:dyDescent="0.25">
      <c r="A5038" t="str">
        <f>IF(COUNTIF(B$1:B5038,B5038)=1,MAX(A$1:A5037)+1,"")</f>
        <v/>
      </c>
      <c r="B5038" s="11"/>
      <c r="C5038" s="11" t="str">
        <f>IF(COUNTIF(D$1:D5038,D5038)=1,MAX(C$1:C5037)+1,"")</f>
        <v/>
      </c>
      <c r="D5038" s="12"/>
    </row>
    <row r="5039" spans="1:4" x14ac:dyDescent="0.25">
      <c r="A5039" t="str">
        <f>IF(COUNTIF(B$1:B5039,B5039)=1,MAX(A$1:A5038)+1,"")</f>
        <v/>
      </c>
      <c r="B5039" s="11"/>
      <c r="C5039" s="11" t="str">
        <f>IF(COUNTIF(D$1:D5039,D5039)=1,MAX(C$1:C5038)+1,"")</f>
        <v/>
      </c>
      <c r="D5039" s="12"/>
    </row>
    <row r="5040" spans="1:4" x14ac:dyDescent="0.25">
      <c r="A5040" t="str">
        <f>IF(COUNTIF(B$1:B5040,B5040)=1,MAX(A$1:A5039)+1,"")</f>
        <v/>
      </c>
      <c r="B5040" s="11"/>
      <c r="C5040" s="11" t="str">
        <f>IF(COUNTIF(D$1:D5040,D5040)=1,MAX(C$1:C5039)+1,"")</f>
        <v/>
      </c>
      <c r="D5040" s="12"/>
    </row>
    <row r="5041" spans="1:4" x14ac:dyDescent="0.25">
      <c r="A5041" t="str">
        <f>IF(COUNTIF(B$1:B5041,B5041)=1,MAX(A$1:A5040)+1,"")</f>
        <v/>
      </c>
      <c r="B5041" s="11"/>
      <c r="C5041" s="11" t="str">
        <f>IF(COUNTIF(D$1:D5041,D5041)=1,MAX(C$1:C5040)+1,"")</f>
        <v/>
      </c>
      <c r="D5041" s="12"/>
    </row>
    <row r="5042" spans="1:4" x14ac:dyDescent="0.25">
      <c r="A5042" t="str">
        <f>IF(COUNTIF(B$1:B5042,B5042)=1,MAX(A$1:A5041)+1,"")</f>
        <v/>
      </c>
      <c r="B5042" s="11"/>
      <c r="C5042" s="11" t="str">
        <f>IF(COUNTIF(D$1:D5042,D5042)=1,MAX(C$1:C5041)+1,"")</f>
        <v/>
      </c>
      <c r="D5042" s="12"/>
    </row>
    <row r="5043" spans="1:4" x14ac:dyDescent="0.25">
      <c r="A5043" t="str">
        <f>IF(COUNTIF(B$1:B5043,B5043)=1,MAX(A$1:A5042)+1,"")</f>
        <v/>
      </c>
      <c r="B5043" s="11"/>
      <c r="C5043" s="11" t="str">
        <f>IF(COUNTIF(D$1:D5043,D5043)=1,MAX(C$1:C5042)+1,"")</f>
        <v/>
      </c>
      <c r="D5043" s="12"/>
    </row>
    <row r="5044" spans="1:4" x14ac:dyDescent="0.25">
      <c r="A5044" t="str">
        <f>IF(COUNTIF(B$1:B5044,B5044)=1,MAX(A$1:A5043)+1,"")</f>
        <v/>
      </c>
      <c r="B5044" s="11"/>
      <c r="C5044" s="11" t="str">
        <f>IF(COUNTIF(D$1:D5044,D5044)=1,MAX(C$1:C5043)+1,"")</f>
        <v/>
      </c>
      <c r="D5044" s="12"/>
    </row>
    <row r="5045" spans="1:4" x14ac:dyDescent="0.25">
      <c r="A5045" t="str">
        <f>IF(COUNTIF(B$1:B5045,B5045)=1,MAX(A$1:A5044)+1,"")</f>
        <v/>
      </c>
      <c r="B5045" s="11"/>
      <c r="C5045" s="11" t="str">
        <f>IF(COUNTIF(D$1:D5045,D5045)=1,MAX(C$1:C5044)+1,"")</f>
        <v/>
      </c>
      <c r="D5045" s="12"/>
    </row>
    <row r="5046" spans="1:4" x14ac:dyDescent="0.25">
      <c r="A5046" t="str">
        <f>IF(COUNTIF(B$1:B5046,B5046)=1,MAX(A$1:A5045)+1,"")</f>
        <v/>
      </c>
      <c r="B5046" s="11"/>
      <c r="C5046" s="11" t="str">
        <f>IF(COUNTIF(D$1:D5046,D5046)=1,MAX(C$1:C5045)+1,"")</f>
        <v/>
      </c>
      <c r="D5046" s="12"/>
    </row>
    <row r="5047" spans="1:4" x14ac:dyDescent="0.25">
      <c r="A5047" t="str">
        <f>IF(COUNTIF(B$1:B5047,B5047)=1,MAX(A$1:A5046)+1,"")</f>
        <v/>
      </c>
      <c r="B5047" s="11"/>
      <c r="C5047" s="11" t="str">
        <f>IF(COUNTIF(D$1:D5047,D5047)=1,MAX(C$1:C5046)+1,"")</f>
        <v/>
      </c>
      <c r="D5047" s="12"/>
    </row>
    <row r="5048" spans="1:4" x14ac:dyDescent="0.25">
      <c r="A5048" t="str">
        <f>IF(COUNTIF(B$1:B5048,B5048)=1,MAX(A$1:A5047)+1,"")</f>
        <v/>
      </c>
      <c r="B5048" s="11"/>
      <c r="C5048" s="11" t="str">
        <f>IF(COUNTIF(D$1:D5048,D5048)=1,MAX(C$1:C5047)+1,"")</f>
        <v/>
      </c>
      <c r="D5048" s="12"/>
    </row>
    <row r="5049" spans="1:4" x14ac:dyDescent="0.25">
      <c r="A5049" t="str">
        <f>IF(COUNTIF(B$1:B5049,B5049)=1,MAX(A$1:A5048)+1,"")</f>
        <v/>
      </c>
      <c r="B5049" s="11"/>
      <c r="C5049" s="11" t="str">
        <f>IF(COUNTIF(D$1:D5049,D5049)=1,MAX(C$1:C5048)+1,"")</f>
        <v/>
      </c>
      <c r="D5049" s="12"/>
    </row>
    <row r="5050" spans="1:4" x14ac:dyDescent="0.25">
      <c r="A5050" t="str">
        <f>IF(COUNTIF(B$1:B5050,B5050)=1,MAX(A$1:A5049)+1,"")</f>
        <v/>
      </c>
      <c r="B5050" s="11"/>
      <c r="C5050" s="11" t="str">
        <f>IF(COUNTIF(D$1:D5050,D5050)=1,MAX(C$1:C5049)+1,"")</f>
        <v/>
      </c>
      <c r="D5050" s="12"/>
    </row>
    <row r="5051" spans="1:4" x14ac:dyDescent="0.25">
      <c r="A5051" t="str">
        <f>IF(COUNTIF(B$1:B5051,B5051)=1,MAX(A$1:A5050)+1,"")</f>
        <v/>
      </c>
      <c r="B5051" s="11"/>
      <c r="C5051" s="11" t="str">
        <f>IF(COUNTIF(D$1:D5051,D5051)=1,MAX(C$1:C5050)+1,"")</f>
        <v/>
      </c>
      <c r="D5051" s="12"/>
    </row>
    <row r="5052" spans="1:4" x14ac:dyDescent="0.25">
      <c r="A5052" t="str">
        <f>IF(COUNTIF(B$1:B5052,B5052)=1,MAX(A$1:A5051)+1,"")</f>
        <v/>
      </c>
      <c r="B5052" s="11"/>
      <c r="C5052" s="11" t="str">
        <f>IF(COUNTIF(D$1:D5052,D5052)=1,MAX(C$1:C5051)+1,"")</f>
        <v/>
      </c>
      <c r="D5052" s="12"/>
    </row>
    <row r="5053" spans="1:4" x14ac:dyDescent="0.25">
      <c r="A5053" t="str">
        <f>IF(COUNTIF(B$1:B5053,B5053)=1,MAX(A$1:A5052)+1,"")</f>
        <v/>
      </c>
      <c r="B5053" s="11"/>
      <c r="C5053" s="11" t="str">
        <f>IF(COUNTIF(D$1:D5053,D5053)=1,MAX(C$1:C5052)+1,"")</f>
        <v/>
      </c>
      <c r="D5053" s="12"/>
    </row>
    <row r="5054" spans="1:4" x14ac:dyDescent="0.25">
      <c r="A5054" t="str">
        <f>IF(COUNTIF(B$1:B5054,B5054)=1,MAX(A$1:A5053)+1,"")</f>
        <v/>
      </c>
      <c r="B5054" s="11"/>
      <c r="C5054" s="11" t="str">
        <f>IF(COUNTIF(D$1:D5054,D5054)=1,MAX(C$1:C5053)+1,"")</f>
        <v/>
      </c>
      <c r="D5054" s="12"/>
    </row>
    <row r="5055" spans="1:4" x14ac:dyDescent="0.25">
      <c r="A5055" t="str">
        <f>IF(COUNTIF(B$1:B5055,B5055)=1,MAX(A$1:A5054)+1,"")</f>
        <v/>
      </c>
      <c r="B5055" s="11"/>
      <c r="C5055" s="11" t="str">
        <f>IF(COUNTIF(D$1:D5055,D5055)=1,MAX(C$1:C5054)+1,"")</f>
        <v/>
      </c>
      <c r="D5055" s="12"/>
    </row>
    <row r="5056" spans="1:4" x14ac:dyDescent="0.25">
      <c r="A5056" t="str">
        <f>IF(COUNTIF(B$1:B5056,B5056)=1,MAX(A$1:A5055)+1,"")</f>
        <v/>
      </c>
      <c r="B5056" s="11"/>
      <c r="C5056" s="11" t="str">
        <f>IF(COUNTIF(D$1:D5056,D5056)=1,MAX(C$1:C5055)+1,"")</f>
        <v/>
      </c>
      <c r="D5056" s="12"/>
    </row>
    <row r="5057" spans="1:4" x14ac:dyDescent="0.25">
      <c r="A5057" t="str">
        <f>IF(COUNTIF(B$1:B5057,B5057)=1,MAX(A$1:A5056)+1,"")</f>
        <v/>
      </c>
      <c r="B5057" s="11"/>
      <c r="C5057" s="11" t="str">
        <f>IF(COUNTIF(D$1:D5057,D5057)=1,MAX(C$1:C5056)+1,"")</f>
        <v/>
      </c>
      <c r="D5057" s="12"/>
    </row>
    <row r="5058" spans="1:4" x14ac:dyDescent="0.25">
      <c r="A5058" t="str">
        <f>IF(COUNTIF(B$1:B5058,B5058)=1,MAX(A$1:A5057)+1,"")</f>
        <v/>
      </c>
      <c r="B5058" s="11"/>
      <c r="C5058" s="11" t="str">
        <f>IF(COUNTIF(D$1:D5058,D5058)=1,MAX(C$1:C5057)+1,"")</f>
        <v/>
      </c>
      <c r="D5058" s="12"/>
    </row>
    <row r="5059" spans="1:4" x14ac:dyDescent="0.25">
      <c r="A5059" t="str">
        <f>IF(COUNTIF(B$1:B5059,B5059)=1,MAX(A$1:A5058)+1,"")</f>
        <v/>
      </c>
      <c r="B5059" s="11"/>
      <c r="C5059" s="11" t="str">
        <f>IF(COUNTIF(D$1:D5059,D5059)=1,MAX(C$1:C5058)+1,"")</f>
        <v/>
      </c>
      <c r="D5059" s="12"/>
    </row>
    <row r="5060" spans="1:4" x14ac:dyDescent="0.25">
      <c r="A5060" t="str">
        <f>IF(COUNTIF(B$1:B5060,B5060)=1,MAX(A$1:A5059)+1,"")</f>
        <v/>
      </c>
      <c r="B5060" s="11"/>
      <c r="C5060" s="11" t="str">
        <f>IF(COUNTIF(D$1:D5060,D5060)=1,MAX(C$1:C5059)+1,"")</f>
        <v/>
      </c>
      <c r="D5060" s="12"/>
    </row>
    <row r="5061" spans="1:4" x14ac:dyDescent="0.25">
      <c r="A5061" t="str">
        <f>IF(COUNTIF(B$1:B5061,B5061)=1,MAX(A$1:A5060)+1,"")</f>
        <v/>
      </c>
      <c r="B5061" s="11"/>
      <c r="C5061" s="11" t="str">
        <f>IF(COUNTIF(D$1:D5061,D5061)=1,MAX(C$1:C5060)+1,"")</f>
        <v/>
      </c>
      <c r="D5061" s="12"/>
    </row>
    <row r="5062" spans="1:4" x14ac:dyDescent="0.25">
      <c r="A5062" t="str">
        <f>IF(COUNTIF(B$1:B5062,B5062)=1,MAX(A$1:A5061)+1,"")</f>
        <v/>
      </c>
      <c r="B5062" s="11"/>
      <c r="C5062" s="11" t="str">
        <f>IF(COUNTIF(D$1:D5062,D5062)=1,MAX(C$1:C5061)+1,"")</f>
        <v/>
      </c>
      <c r="D5062" s="12"/>
    </row>
    <row r="5063" spans="1:4" x14ac:dyDescent="0.25">
      <c r="A5063" t="str">
        <f>IF(COUNTIF(B$1:B5063,B5063)=1,MAX(A$1:A5062)+1,"")</f>
        <v/>
      </c>
      <c r="B5063" s="11"/>
      <c r="C5063" s="11" t="str">
        <f>IF(COUNTIF(D$1:D5063,D5063)=1,MAX(C$1:C5062)+1,"")</f>
        <v/>
      </c>
      <c r="D5063" s="12"/>
    </row>
    <row r="5064" spans="1:4" x14ac:dyDescent="0.25">
      <c r="A5064" t="str">
        <f>IF(COUNTIF(B$1:B5064,B5064)=1,MAX(A$1:A5063)+1,"")</f>
        <v/>
      </c>
      <c r="B5064" s="11"/>
      <c r="C5064" s="11" t="str">
        <f>IF(COUNTIF(D$1:D5064,D5064)=1,MAX(C$1:C5063)+1,"")</f>
        <v/>
      </c>
      <c r="D5064" s="12"/>
    </row>
    <row r="5065" spans="1:4" x14ac:dyDescent="0.25">
      <c r="A5065" t="str">
        <f>IF(COUNTIF(B$1:B5065,B5065)=1,MAX(A$1:A5064)+1,"")</f>
        <v/>
      </c>
      <c r="B5065" s="11"/>
      <c r="C5065" s="11" t="str">
        <f>IF(COUNTIF(D$1:D5065,D5065)=1,MAX(C$1:C5064)+1,"")</f>
        <v/>
      </c>
      <c r="D5065" s="12"/>
    </row>
    <row r="5066" spans="1:4" x14ac:dyDescent="0.25">
      <c r="A5066" t="str">
        <f>IF(COUNTIF(B$1:B5066,B5066)=1,MAX(A$1:A5065)+1,"")</f>
        <v/>
      </c>
      <c r="B5066" s="11"/>
      <c r="C5066" s="11" t="str">
        <f>IF(COUNTIF(D$1:D5066,D5066)=1,MAX(C$1:C5065)+1,"")</f>
        <v/>
      </c>
      <c r="D5066" s="12"/>
    </row>
    <row r="5067" spans="1:4" x14ac:dyDescent="0.25">
      <c r="A5067" t="str">
        <f>IF(COUNTIF(B$1:B5067,B5067)=1,MAX(A$1:A5066)+1,"")</f>
        <v/>
      </c>
      <c r="B5067" s="11"/>
      <c r="C5067" s="11" t="str">
        <f>IF(COUNTIF(D$1:D5067,D5067)=1,MAX(C$1:C5066)+1,"")</f>
        <v/>
      </c>
      <c r="D5067" s="12"/>
    </row>
    <row r="5068" spans="1:4" x14ac:dyDescent="0.25">
      <c r="A5068" t="str">
        <f>IF(COUNTIF(B$1:B5068,B5068)=1,MAX(A$1:A5067)+1,"")</f>
        <v/>
      </c>
      <c r="B5068" s="11"/>
      <c r="C5068" s="11" t="str">
        <f>IF(COUNTIF(D$1:D5068,D5068)=1,MAX(C$1:C5067)+1,"")</f>
        <v/>
      </c>
      <c r="D5068" s="12"/>
    </row>
    <row r="5069" spans="1:4" x14ac:dyDescent="0.25">
      <c r="A5069" t="str">
        <f>IF(COUNTIF(B$1:B5069,B5069)=1,MAX(A$1:A5068)+1,"")</f>
        <v/>
      </c>
      <c r="B5069" s="11"/>
      <c r="C5069" s="11" t="str">
        <f>IF(COUNTIF(D$1:D5069,D5069)=1,MAX(C$1:C5068)+1,"")</f>
        <v/>
      </c>
      <c r="D5069" s="12"/>
    </row>
    <row r="5070" spans="1:4" x14ac:dyDescent="0.25">
      <c r="A5070" t="str">
        <f>IF(COUNTIF(B$1:B5070,B5070)=1,MAX(A$1:A5069)+1,"")</f>
        <v/>
      </c>
      <c r="B5070" s="11"/>
      <c r="C5070" s="11" t="str">
        <f>IF(COUNTIF(D$1:D5070,D5070)=1,MAX(C$1:C5069)+1,"")</f>
        <v/>
      </c>
      <c r="D5070" s="12"/>
    </row>
    <row r="5071" spans="1:4" x14ac:dyDescent="0.25">
      <c r="A5071" t="str">
        <f>IF(COUNTIF(B$1:B5071,B5071)=1,MAX(A$1:A5070)+1,"")</f>
        <v/>
      </c>
      <c r="B5071" s="11"/>
      <c r="C5071" s="11" t="str">
        <f>IF(COUNTIF(D$1:D5071,D5071)=1,MAX(C$1:C5070)+1,"")</f>
        <v/>
      </c>
      <c r="D5071" s="12"/>
    </row>
    <row r="5072" spans="1:4" x14ac:dyDescent="0.25">
      <c r="A5072" t="str">
        <f>IF(COUNTIF(B$1:B5072,B5072)=1,MAX(A$1:A5071)+1,"")</f>
        <v/>
      </c>
      <c r="B5072" s="11"/>
      <c r="C5072" s="11" t="str">
        <f>IF(COUNTIF(D$1:D5072,D5072)=1,MAX(C$1:C5071)+1,"")</f>
        <v/>
      </c>
      <c r="D5072" s="12"/>
    </row>
    <row r="5073" spans="1:4" x14ac:dyDescent="0.25">
      <c r="A5073" t="str">
        <f>IF(COUNTIF(B$1:B5073,B5073)=1,MAX(A$1:A5072)+1,"")</f>
        <v/>
      </c>
      <c r="B5073" s="11"/>
      <c r="C5073" s="11" t="str">
        <f>IF(COUNTIF(D$1:D5073,D5073)=1,MAX(C$1:C5072)+1,"")</f>
        <v/>
      </c>
      <c r="D5073" s="12"/>
    </row>
    <row r="5074" spans="1:4" x14ac:dyDescent="0.25">
      <c r="A5074" t="str">
        <f>IF(COUNTIF(B$1:B5074,B5074)=1,MAX(A$1:A5073)+1,"")</f>
        <v/>
      </c>
      <c r="B5074" s="11"/>
      <c r="C5074" s="11" t="str">
        <f>IF(COUNTIF(D$1:D5074,D5074)=1,MAX(C$1:C5073)+1,"")</f>
        <v/>
      </c>
      <c r="D5074" s="12"/>
    </row>
    <row r="5075" spans="1:4" x14ac:dyDescent="0.25">
      <c r="A5075" t="str">
        <f>IF(COUNTIF(B$1:B5075,B5075)=1,MAX(A$1:A5074)+1,"")</f>
        <v/>
      </c>
      <c r="B5075" s="11"/>
      <c r="C5075" s="11" t="str">
        <f>IF(COUNTIF(D$1:D5075,D5075)=1,MAX(C$1:C5074)+1,"")</f>
        <v/>
      </c>
      <c r="D5075" s="12"/>
    </row>
    <row r="5076" spans="1:4" x14ac:dyDescent="0.25">
      <c r="A5076" t="str">
        <f>IF(COUNTIF(B$1:B5076,B5076)=1,MAX(A$1:A5075)+1,"")</f>
        <v/>
      </c>
      <c r="B5076" s="11"/>
      <c r="C5076" s="11" t="str">
        <f>IF(COUNTIF(D$1:D5076,D5076)=1,MAX(C$1:C5075)+1,"")</f>
        <v/>
      </c>
      <c r="D5076" s="12"/>
    </row>
    <row r="5077" spans="1:4" x14ac:dyDescent="0.25">
      <c r="A5077" t="str">
        <f>IF(COUNTIF(B$1:B5077,B5077)=1,MAX(A$1:A5076)+1,"")</f>
        <v/>
      </c>
      <c r="B5077" s="11"/>
      <c r="C5077" s="11" t="str">
        <f>IF(COUNTIF(D$1:D5077,D5077)=1,MAX(C$1:C5076)+1,"")</f>
        <v/>
      </c>
      <c r="D5077" s="12"/>
    </row>
    <row r="5078" spans="1:4" x14ac:dyDescent="0.25">
      <c r="A5078" t="str">
        <f>IF(COUNTIF(B$1:B5078,B5078)=1,MAX(A$1:A5077)+1,"")</f>
        <v/>
      </c>
      <c r="B5078" s="11"/>
      <c r="C5078" s="11" t="str">
        <f>IF(COUNTIF(D$1:D5078,D5078)=1,MAX(C$1:C5077)+1,"")</f>
        <v/>
      </c>
      <c r="D5078" s="12"/>
    </row>
    <row r="5079" spans="1:4" x14ac:dyDescent="0.25">
      <c r="A5079" t="str">
        <f>IF(COUNTIF(B$1:B5079,B5079)=1,MAX(A$1:A5078)+1,"")</f>
        <v/>
      </c>
      <c r="B5079" s="11"/>
      <c r="C5079" s="11" t="str">
        <f>IF(COUNTIF(D$1:D5079,D5079)=1,MAX(C$1:C5078)+1,"")</f>
        <v/>
      </c>
      <c r="D5079" s="12"/>
    </row>
    <row r="5080" spans="1:4" x14ac:dyDescent="0.25">
      <c r="A5080" t="str">
        <f>IF(COUNTIF(B$1:B5080,B5080)=1,MAX(A$1:A5079)+1,"")</f>
        <v/>
      </c>
      <c r="B5080" s="11"/>
      <c r="C5080" s="11" t="str">
        <f>IF(COUNTIF(D$1:D5080,D5080)=1,MAX(C$1:C5079)+1,"")</f>
        <v/>
      </c>
      <c r="D5080" s="12"/>
    </row>
    <row r="5081" spans="1:4" x14ac:dyDescent="0.25">
      <c r="A5081" t="str">
        <f>IF(COUNTIF(B$1:B5081,B5081)=1,MAX(A$1:A5080)+1,"")</f>
        <v/>
      </c>
      <c r="B5081" s="11"/>
      <c r="C5081" s="11" t="str">
        <f>IF(COUNTIF(D$1:D5081,D5081)=1,MAX(C$1:C5080)+1,"")</f>
        <v/>
      </c>
      <c r="D5081" s="12"/>
    </row>
    <row r="5082" spans="1:4" x14ac:dyDescent="0.25">
      <c r="A5082" t="str">
        <f>IF(COUNTIF(B$1:B5082,B5082)=1,MAX(A$1:A5081)+1,"")</f>
        <v/>
      </c>
      <c r="B5082" s="11"/>
      <c r="C5082" s="11" t="str">
        <f>IF(COUNTIF(D$1:D5082,D5082)=1,MAX(C$1:C5081)+1,"")</f>
        <v/>
      </c>
      <c r="D5082" s="12"/>
    </row>
    <row r="5083" spans="1:4" x14ac:dyDescent="0.25">
      <c r="A5083" t="str">
        <f>IF(COUNTIF(B$1:B5083,B5083)=1,MAX(A$1:A5082)+1,"")</f>
        <v/>
      </c>
      <c r="B5083" s="11"/>
      <c r="C5083" s="11" t="str">
        <f>IF(COUNTIF(D$1:D5083,D5083)=1,MAX(C$1:C5082)+1,"")</f>
        <v/>
      </c>
      <c r="D5083" s="12"/>
    </row>
    <row r="5084" spans="1:4" x14ac:dyDescent="0.25">
      <c r="A5084" t="str">
        <f>IF(COUNTIF(B$1:B5084,B5084)=1,MAX(A$1:A5083)+1,"")</f>
        <v/>
      </c>
      <c r="B5084" s="11"/>
      <c r="C5084" s="11" t="str">
        <f>IF(COUNTIF(D$1:D5084,D5084)=1,MAX(C$1:C5083)+1,"")</f>
        <v/>
      </c>
      <c r="D5084" s="12"/>
    </row>
    <row r="5085" spans="1:4" x14ac:dyDescent="0.25">
      <c r="A5085" t="str">
        <f>IF(COUNTIF(B$1:B5085,B5085)=1,MAX(A$1:A5084)+1,"")</f>
        <v/>
      </c>
      <c r="B5085" s="11"/>
      <c r="C5085" s="11" t="str">
        <f>IF(COUNTIF(D$1:D5085,D5085)=1,MAX(C$1:C5084)+1,"")</f>
        <v/>
      </c>
      <c r="D5085" s="12"/>
    </row>
    <row r="5086" spans="1:4" x14ac:dyDescent="0.25">
      <c r="A5086" t="str">
        <f>IF(COUNTIF(B$1:B5086,B5086)=1,MAX(A$1:A5085)+1,"")</f>
        <v/>
      </c>
      <c r="B5086" s="11"/>
      <c r="C5086" s="11" t="str">
        <f>IF(COUNTIF(D$1:D5086,D5086)=1,MAX(C$1:C5085)+1,"")</f>
        <v/>
      </c>
      <c r="D5086" s="12"/>
    </row>
    <row r="5087" spans="1:4" x14ac:dyDescent="0.25">
      <c r="A5087" t="str">
        <f>IF(COUNTIF(B$1:B5087,B5087)=1,MAX(A$1:A5086)+1,"")</f>
        <v/>
      </c>
      <c r="B5087" s="11"/>
      <c r="C5087" s="11" t="str">
        <f>IF(COUNTIF(D$1:D5087,D5087)=1,MAX(C$1:C5086)+1,"")</f>
        <v/>
      </c>
      <c r="D5087" s="12"/>
    </row>
    <row r="5088" spans="1:4" x14ac:dyDescent="0.25">
      <c r="A5088" t="str">
        <f>IF(COUNTIF(B$1:B5088,B5088)=1,MAX(A$1:A5087)+1,"")</f>
        <v/>
      </c>
      <c r="B5088" s="11"/>
      <c r="C5088" s="11" t="str">
        <f>IF(COUNTIF(D$1:D5088,D5088)=1,MAX(C$1:C5087)+1,"")</f>
        <v/>
      </c>
      <c r="D5088" s="12"/>
    </row>
    <row r="5089" spans="1:4" x14ac:dyDescent="0.25">
      <c r="A5089" t="str">
        <f>IF(COUNTIF(B$1:B5089,B5089)=1,MAX(A$1:A5088)+1,"")</f>
        <v/>
      </c>
      <c r="B5089" s="11"/>
      <c r="C5089" s="11" t="str">
        <f>IF(COUNTIF(D$1:D5089,D5089)=1,MAX(C$1:C5088)+1,"")</f>
        <v/>
      </c>
      <c r="D5089" s="12"/>
    </row>
    <row r="5090" spans="1:4" x14ac:dyDescent="0.25">
      <c r="A5090" t="str">
        <f>IF(COUNTIF(B$1:B5090,B5090)=1,MAX(A$1:A5089)+1,"")</f>
        <v/>
      </c>
      <c r="B5090" s="11"/>
      <c r="C5090" s="11" t="str">
        <f>IF(COUNTIF(D$1:D5090,D5090)=1,MAX(C$1:C5089)+1,"")</f>
        <v/>
      </c>
      <c r="D5090" s="12"/>
    </row>
    <row r="5091" spans="1:4" x14ac:dyDescent="0.25">
      <c r="A5091" t="str">
        <f>IF(COUNTIF(B$1:B5091,B5091)=1,MAX(A$1:A5090)+1,"")</f>
        <v/>
      </c>
      <c r="B5091" s="11"/>
      <c r="C5091" s="11" t="str">
        <f>IF(COUNTIF(D$1:D5091,D5091)=1,MAX(C$1:C5090)+1,"")</f>
        <v/>
      </c>
      <c r="D5091" s="12"/>
    </row>
    <row r="5092" spans="1:4" x14ac:dyDescent="0.25">
      <c r="A5092" t="str">
        <f>IF(COUNTIF(B$1:B5092,B5092)=1,MAX(A$1:A5091)+1,"")</f>
        <v/>
      </c>
      <c r="B5092" s="11"/>
      <c r="C5092" s="11" t="str">
        <f>IF(COUNTIF(D$1:D5092,D5092)=1,MAX(C$1:C5091)+1,"")</f>
        <v/>
      </c>
      <c r="D5092" s="12"/>
    </row>
    <row r="5093" spans="1:4" x14ac:dyDescent="0.25">
      <c r="A5093" t="str">
        <f>IF(COUNTIF(B$1:B5093,B5093)=1,MAX(A$1:A5092)+1,"")</f>
        <v/>
      </c>
      <c r="B5093" s="11"/>
      <c r="C5093" s="11" t="str">
        <f>IF(COUNTIF(D$1:D5093,D5093)=1,MAX(C$1:C5092)+1,"")</f>
        <v/>
      </c>
      <c r="D5093" s="12"/>
    </row>
    <row r="5094" spans="1:4" x14ac:dyDescent="0.25">
      <c r="A5094" t="str">
        <f>IF(COUNTIF(B$1:B5094,B5094)=1,MAX(A$1:A5093)+1,"")</f>
        <v/>
      </c>
      <c r="B5094" s="11"/>
      <c r="C5094" s="11" t="str">
        <f>IF(COUNTIF(D$1:D5094,D5094)=1,MAX(C$1:C5093)+1,"")</f>
        <v/>
      </c>
      <c r="D5094" s="12"/>
    </row>
    <row r="5095" spans="1:4" x14ac:dyDescent="0.25">
      <c r="A5095" t="str">
        <f>IF(COUNTIF(B$1:B5095,B5095)=1,MAX(A$1:A5094)+1,"")</f>
        <v/>
      </c>
      <c r="B5095" s="11"/>
      <c r="C5095" s="11" t="str">
        <f>IF(COUNTIF(D$1:D5095,D5095)=1,MAX(C$1:C5094)+1,"")</f>
        <v/>
      </c>
      <c r="D5095" s="12"/>
    </row>
    <row r="5096" spans="1:4" x14ac:dyDescent="0.25">
      <c r="A5096" t="str">
        <f>IF(COUNTIF(B$1:B5096,B5096)=1,MAX(A$1:A5095)+1,"")</f>
        <v/>
      </c>
      <c r="B5096" s="11"/>
      <c r="C5096" s="11" t="str">
        <f>IF(COUNTIF(D$1:D5096,D5096)=1,MAX(C$1:C5095)+1,"")</f>
        <v/>
      </c>
      <c r="D5096" s="12"/>
    </row>
    <row r="5097" spans="1:4" x14ac:dyDescent="0.25">
      <c r="A5097" t="str">
        <f>IF(COUNTIF(B$1:B5097,B5097)=1,MAX(A$1:A5096)+1,"")</f>
        <v/>
      </c>
      <c r="B5097" s="11"/>
      <c r="C5097" s="11" t="str">
        <f>IF(COUNTIF(D$1:D5097,D5097)=1,MAX(C$1:C5096)+1,"")</f>
        <v/>
      </c>
      <c r="D5097" s="12"/>
    </row>
    <row r="5098" spans="1:4" x14ac:dyDescent="0.25">
      <c r="A5098" t="str">
        <f>IF(COUNTIF(B$1:B5098,B5098)=1,MAX(A$1:A5097)+1,"")</f>
        <v/>
      </c>
      <c r="B5098" s="11"/>
      <c r="C5098" s="11" t="str">
        <f>IF(COUNTIF(D$1:D5098,D5098)=1,MAX(C$1:C5097)+1,"")</f>
        <v/>
      </c>
      <c r="D5098" s="12"/>
    </row>
    <row r="5099" spans="1:4" x14ac:dyDescent="0.25">
      <c r="A5099" t="str">
        <f>IF(COUNTIF(B$1:B5099,B5099)=1,MAX(A$1:A5098)+1,"")</f>
        <v/>
      </c>
      <c r="B5099" s="11"/>
      <c r="C5099" s="11" t="str">
        <f>IF(COUNTIF(D$1:D5099,D5099)=1,MAX(C$1:C5098)+1,"")</f>
        <v/>
      </c>
      <c r="D5099" s="12"/>
    </row>
    <row r="5100" spans="1:4" x14ac:dyDescent="0.25">
      <c r="A5100" t="str">
        <f>IF(COUNTIF(B$1:B5100,B5100)=1,MAX(A$1:A5099)+1,"")</f>
        <v/>
      </c>
      <c r="B5100" s="11"/>
      <c r="C5100" s="11" t="str">
        <f>IF(COUNTIF(D$1:D5100,D5100)=1,MAX(C$1:C5099)+1,"")</f>
        <v/>
      </c>
      <c r="D5100" s="12"/>
    </row>
    <row r="5101" spans="1:4" x14ac:dyDescent="0.25">
      <c r="A5101" t="str">
        <f>IF(COUNTIF(B$1:B5101,B5101)=1,MAX(A$1:A5100)+1,"")</f>
        <v/>
      </c>
      <c r="B5101" s="11"/>
      <c r="C5101" s="11" t="str">
        <f>IF(COUNTIF(D$1:D5101,D5101)=1,MAX(C$1:C5100)+1,"")</f>
        <v/>
      </c>
      <c r="D5101" s="12"/>
    </row>
    <row r="5102" spans="1:4" x14ac:dyDescent="0.25">
      <c r="A5102" t="str">
        <f>IF(COUNTIF(B$1:B5102,B5102)=1,MAX(A$1:A5101)+1,"")</f>
        <v/>
      </c>
      <c r="B5102" s="11"/>
      <c r="C5102" s="11" t="str">
        <f>IF(COUNTIF(D$1:D5102,D5102)=1,MAX(C$1:C5101)+1,"")</f>
        <v/>
      </c>
      <c r="D5102" s="12"/>
    </row>
    <row r="5103" spans="1:4" x14ac:dyDescent="0.25">
      <c r="A5103" t="str">
        <f>IF(COUNTIF(B$1:B5103,B5103)=1,MAX(A$1:A5102)+1,"")</f>
        <v/>
      </c>
      <c r="B5103" s="11"/>
      <c r="C5103" s="11" t="str">
        <f>IF(COUNTIF(D$1:D5103,D5103)=1,MAX(C$1:C5102)+1,"")</f>
        <v/>
      </c>
      <c r="D5103" s="12"/>
    </row>
    <row r="5104" spans="1:4" x14ac:dyDescent="0.25">
      <c r="A5104" t="str">
        <f>IF(COUNTIF(B$1:B5104,B5104)=1,MAX(A$1:A5103)+1,"")</f>
        <v/>
      </c>
      <c r="B5104" s="11"/>
      <c r="C5104" s="11" t="str">
        <f>IF(COUNTIF(D$1:D5104,D5104)=1,MAX(C$1:C5103)+1,"")</f>
        <v/>
      </c>
      <c r="D5104" s="12"/>
    </row>
    <row r="5105" spans="1:4" x14ac:dyDescent="0.25">
      <c r="A5105" t="str">
        <f>IF(COUNTIF(B$1:B5105,B5105)=1,MAX(A$1:A5104)+1,"")</f>
        <v/>
      </c>
      <c r="B5105" s="11"/>
      <c r="C5105" s="11" t="str">
        <f>IF(COUNTIF(D$1:D5105,D5105)=1,MAX(C$1:C5104)+1,"")</f>
        <v/>
      </c>
      <c r="D5105" s="12"/>
    </row>
    <row r="5106" spans="1:4" x14ac:dyDescent="0.25">
      <c r="A5106" t="str">
        <f>IF(COUNTIF(B$1:B5106,B5106)=1,MAX(A$1:A5105)+1,"")</f>
        <v/>
      </c>
      <c r="B5106" s="11"/>
      <c r="C5106" s="11" t="str">
        <f>IF(COUNTIF(D$1:D5106,D5106)=1,MAX(C$1:C5105)+1,"")</f>
        <v/>
      </c>
      <c r="D5106" s="12"/>
    </row>
    <row r="5107" spans="1:4" x14ac:dyDescent="0.25">
      <c r="A5107" t="str">
        <f>IF(COUNTIF(B$1:B5107,B5107)=1,MAX(A$1:A5106)+1,"")</f>
        <v/>
      </c>
      <c r="B5107" s="11"/>
      <c r="C5107" s="11" t="str">
        <f>IF(COUNTIF(D$1:D5107,D5107)=1,MAX(C$1:C5106)+1,"")</f>
        <v/>
      </c>
      <c r="D5107" s="12"/>
    </row>
    <row r="5108" spans="1:4" x14ac:dyDescent="0.25">
      <c r="A5108" t="str">
        <f>IF(COUNTIF(B$1:B5108,B5108)=1,MAX(A$1:A5107)+1,"")</f>
        <v/>
      </c>
      <c r="B5108" s="11"/>
      <c r="C5108" s="11" t="str">
        <f>IF(COUNTIF(D$1:D5108,D5108)=1,MAX(C$1:C5107)+1,"")</f>
        <v/>
      </c>
      <c r="D5108" s="12"/>
    </row>
    <row r="5109" spans="1:4" x14ac:dyDescent="0.25">
      <c r="A5109" t="str">
        <f>IF(COUNTIF(B$1:B5109,B5109)=1,MAX(A$1:A5108)+1,"")</f>
        <v/>
      </c>
      <c r="B5109" s="11"/>
      <c r="C5109" s="11" t="str">
        <f>IF(COUNTIF(D$1:D5109,D5109)=1,MAX(C$1:C5108)+1,"")</f>
        <v/>
      </c>
      <c r="D5109" s="12"/>
    </row>
    <row r="5110" spans="1:4" x14ac:dyDescent="0.25">
      <c r="A5110" t="str">
        <f>IF(COUNTIF(B$1:B5110,B5110)=1,MAX(A$1:A5109)+1,"")</f>
        <v/>
      </c>
      <c r="B5110" s="11"/>
      <c r="C5110" s="11" t="str">
        <f>IF(COUNTIF(D$1:D5110,D5110)=1,MAX(C$1:C5109)+1,"")</f>
        <v/>
      </c>
      <c r="D5110" s="12"/>
    </row>
    <row r="5111" spans="1:4" x14ac:dyDescent="0.25">
      <c r="A5111" t="str">
        <f>IF(COUNTIF(B$1:B5111,B5111)=1,MAX(A$1:A5110)+1,"")</f>
        <v/>
      </c>
      <c r="B5111" s="11"/>
      <c r="C5111" s="11" t="str">
        <f>IF(COUNTIF(D$1:D5111,D5111)=1,MAX(C$1:C5110)+1,"")</f>
        <v/>
      </c>
      <c r="D5111" s="12"/>
    </row>
    <row r="5112" spans="1:4" x14ac:dyDescent="0.25">
      <c r="A5112" t="str">
        <f>IF(COUNTIF(B$1:B5112,B5112)=1,MAX(A$1:A5111)+1,"")</f>
        <v/>
      </c>
      <c r="B5112" s="11"/>
      <c r="C5112" s="11" t="str">
        <f>IF(COUNTIF(D$1:D5112,D5112)=1,MAX(C$1:C5111)+1,"")</f>
        <v/>
      </c>
      <c r="D5112" s="12"/>
    </row>
    <row r="5113" spans="1:4" x14ac:dyDescent="0.25">
      <c r="A5113" t="str">
        <f>IF(COUNTIF(B$1:B5113,B5113)=1,MAX(A$1:A5112)+1,"")</f>
        <v/>
      </c>
      <c r="B5113" s="11"/>
      <c r="C5113" s="11" t="str">
        <f>IF(COUNTIF(D$1:D5113,D5113)=1,MAX(C$1:C5112)+1,"")</f>
        <v/>
      </c>
      <c r="D5113" s="12"/>
    </row>
    <row r="5114" spans="1:4" x14ac:dyDescent="0.25">
      <c r="A5114" t="str">
        <f>IF(COUNTIF(B$1:B5114,B5114)=1,MAX(A$1:A5113)+1,"")</f>
        <v/>
      </c>
      <c r="B5114" s="11"/>
      <c r="C5114" s="11" t="str">
        <f>IF(COUNTIF(D$1:D5114,D5114)=1,MAX(C$1:C5113)+1,"")</f>
        <v/>
      </c>
      <c r="D5114" s="12"/>
    </row>
    <row r="5115" spans="1:4" x14ac:dyDescent="0.25">
      <c r="A5115" t="str">
        <f>IF(COUNTIF(B$1:B5115,B5115)=1,MAX(A$1:A5114)+1,"")</f>
        <v/>
      </c>
      <c r="B5115" s="11"/>
      <c r="C5115" s="11" t="str">
        <f>IF(COUNTIF(D$1:D5115,D5115)=1,MAX(C$1:C5114)+1,"")</f>
        <v/>
      </c>
      <c r="D5115" s="12"/>
    </row>
    <row r="5116" spans="1:4" x14ac:dyDescent="0.25">
      <c r="A5116" t="str">
        <f>IF(COUNTIF(B$1:B5116,B5116)=1,MAX(A$1:A5115)+1,"")</f>
        <v/>
      </c>
      <c r="B5116" s="11"/>
      <c r="C5116" s="11" t="str">
        <f>IF(COUNTIF(D$1:D5116,D5116)=1,MAX(C$1:C5115)+1,"")</f>
        <v/>
      </c>
      <c r="D5116" s="12"/>
    </row>
    <row r="5117" spans="1:4" x14ac:dyDescent="0.25">
      <c r="A5117" t="str">
        <f>IF(COUNTIF(B$1:B5117,B5117)=1,MAX(A$1:A5116)+1,"")</f>
        <v/>
      </c>
      <c r="B5117" s="11"/>
      <c r="C5117" s="11" t="str">
        <f>IF(COUNTIF(D$1:D5117,D5117)=1,MAX(C$1:C5116)+1,"")</f>
        <v/>
      </c>
      <c r="D5117" s="12"/>
    </row>
    <row r="5118" spans="1:4" x14ac:dyDescent="0.25">
      <c r="A5118" t="str">
        <f>IF(COUNTIF(B$1:B5118,B5118)=1,MAX(A$1:A5117)+1,"")</f>
        <v/>
      </c>
      <c r="B5118" s="11"/>
      <c r="C5118" s="11" t="str">
        <f>IF(COUNTIF(D$1:D5118,D5118)=1,MAX(C$1:C5117)+1,"")</f>
        <v/>
      </c>
      <c r="D5118" s="12"/>
    </row>
    <row r="5119" spans="1:4" x14ac:dyDescent="0.25">
      <c r="A5119" t="str">
        <f>IF(COUNTIF(B$1:B5119,B5119)=1,MAX(A$1:A5118)+1,"")</f>
        <v/>
      </c>
      <c r="B5119" s="11"/>
      <c r="C5119" s="11" t="str">
        <f>IF(COUNTIF(D$1:D5119,D5119)=1,MAX(C$1:C5118)+1,"")</f>
        <v/>
      </c>
      <c r="D5119" s="12"/>
    </row>
    <row r="5120" spans="1:4" x14ac:dyDescent="0.25">
      <c r="A5120" t="str">
        <f>IF(COUNTIF(B$1:B5120,B5120)=1,MAX(A$1:A5119)+1,"")</f>
        <v/>
      </c>
      <c r="B5120" s="11"/>
      <c r="C5120" s="11" t="str">
        <f>IF(COUNTIF(D$1:D5120,D5120)=1,MAX(C$1:C5119)+1,"")</f>
        <v/>
      </c>
      <c r="D5120" s="12"/>
    </row>
    <row r="5121" spans="1:4" x14ac:dyDescent="0.25">
      <c r="A5121" t="str">
        <f>IF(COUNTIF(B$1:B5121,B5121)=1,MAX(A$1:A5120)+1,"")</f>
        <v/>
      </c>
      <c r="B5121" s="11"/>
      <c r="C5121" s="11" t="str">
        <f>IF(COUNTIF(D$1:D5121,D5121)=1,MAX(C$1:C5120)+1,"")</f>
        <v/>
      </c>
      <c r="D5121" s="12"/>
    </row>
    <row r="5122" spans="1:4" x14ac:dyDescent="0.25">
      <c r="A5122" t="str">
        <f>IF(COUNTIF(B$1:B5122,B5122)=1,MAX(A$1:A5121)+1,"")</f>
        <v/>
      </c>
      <c r="B5122" s="11"/>
      <c r="C5122" s="11" t="str">
        <f>IF(COUNTIF(D$1:D5122,D5122)=1,MAX(C$1:C5121)+1,"")</f>
        <v/>
      </c>
      <c r="D5122" s="12"/>
    </row>
    <row r="5123" spans="1:4" x14ac:dyDescent="0.25">
      <c r="A5123" t="str">
        <f>IF(COUNTIF(B$1:B5123,B5123)=1,MAX(A$1:A5122)+1,"")</f>
        <v/>
      </c>
      <c r="B5123" s="11"/>
      <c r="C5123" s="11" t="str">
        <f>IF(COUNTIF(D$1:D5123,D5123)=1,MAX(C$1:C5122)+1,"")</f>
        <v/>
      </c>
      <c r="D5123" s="12"/>
    </row>
    <row r="5124" spans="1:4" x14ac:dyDescent="0.25">
      <c r="A5124" t="str">
        <f>IF(COUNTIF(B$1:B5124,B5124)=1,MAX(A$1:A5123)+1,"")</f>
        <v/>
      </c>
      <c r="B5124" s="11"/>
      <c r="C5124" s="11" t="str">
        <f>IF(COUNTIF(D$1:D5124,D5124)=1,MAX(C$1:C5123)+1,"")</f>
        <v/>
      </c>
      <c r="D5124" s="12"/>
    </row>
    <row r="5125" spans="1:4" x14ac:dyDescent="0.25">
      <c r="A5125" t="str">
        <f>IF(COUNTIF(B$1:B5125,B5125)=1,MAX(A$1:A5124)+1,"")</f>
        <v/>
      </c>
      <c r="B5125" s="11"/>
      <c r="C5125" s="11" t="str">
        <f>IF(COUNTIF(D$1:D5125,D5125)=1,MAX(C$1:C5124)+1,"")</f>
        <v/>
      </c>
      <c r="D5125" s="12"/>
    </row>
    <row r="5126" spans="1:4" x14ac:dyDescent="0.25">
      <c r="A5126" t="str">
        <f>IF(COUNTIF(B$1:B5126,B5126)=1,MAX(A$1:A5125)+1,"")</f>
        <v/>
      </c>
      <c r="B5126" s="11"/>
      <c r="C5126" s="11" t="str">
        <f>IF(COUNTIF(D$1:D5126,D5126)=1,MAX(C$1:C5125)+1,"")</f>
        <v/>
      </c>
      <c r="D5126" s="12"/>
    </row>
    <row r="5127" spans="1:4" x14ac:dyDescent="0.25">
      <c r="A5127" t="str">
        <f>IF(COUNTIF(B$1:B5127,B5127)=1,MAX(A$1:A5126)+1,"")</f>
        <v/>
      </c>
      <c r="B5127" s="11"/>
      <c r="C5127" s="11" t="str">
        <f>IF(COUNTIF(D$1:D5127,D5127)=1,MAX(C$1:C5126)+1,"")</f>
        <v/>
      </c>
      <c r="D5127" s="12"/>
    </row>
    <row r="5128" spans="1:4" x14ac:dyDescent="0.25">
      <c r="A5128" t="str">
        <f>IF(COUNTIF(B$1:B5128,B5128)=1,MAX(A$1:A5127)+1,"")</f>
        <v/>
      </c>
      <c r="B5128" s="11"/>
      <c r="C5128" s="11" t="str">
        <f>IF(COUNTIF(D$1:D5128,D5128)=1,MAX(C$1:C5127)+1,"")</f>
        <v/>
      </c>
      <c r="D5128" s="12"/>
    </row>
    <row r="5129" spans="1:4" x14ac:dyDescent="0.25">
      <c r="A5129" t="str">
        <f>IF(COUNTIF(B$1:B5129,B5129)=1,MAX(A$1:A5128)+1,"")</f>
        <v/>
      </c>
      <c r="B5129" s="11"/>
      <c r="C5129" s="11" t="str">
        <f>IF(COUNTIF(D$1:D5129,D5129)=1,MAX(C$1:C5128)+1,"")</f>
        <v/>
      </c>
      <c r="D5129" s="12"/>
    </row>
    <row r="5130" spans="1:4" x14ac:dyDescent="0.25">
      <c r="A5130" t="str">
        <f>IF(COUNTIF(B$1:B5130,B5130)=1,MAX(A$1:A5129)+1,"")</f>
        <v/>
      </c>
      <c r="B5130" s="11"/>
      <c r="C5130" s="11" t="str">
        <f>IF(COUNTIF(D$1:D5130,D5130)=1,MAX(C$1:C5129)+1,"")</f>
        <v/>
      </c>
      <c r="D5130" s="12"/>
    </row>
    <row r="5131" spans="1:4" x14ac:dyDescent="0.25">
      <c r="A5131" t="str">
        <f>IF(COUNTIF(B$1:B5131,B5131)=1,MAX(A$1:A5130)+1,"")</f>
        <v/>
      </c>
      <c r="B5131" s="11"/>
      <c r="C5131" s="11" t="str">
        <f>IF(COUNTIF(D$1:D5131,D5131)=1,MAX(C$1:C5130)+1,"")</f>
        <v/>
      </c>
      <c r="D5131" s="12"/>
    </row>
    <row r="5132" spans="1:4" x14ac:dyDescent="0.25">
      <c r="A5132" t="str">
        <f>IF(COUNTIF(B$1:B5132,B5132)=1,MAX(A$1:A5131)+1,"")</f>
        <v/>
      </c>
      <c r="B5132" s="11"/>
      <c r="C5132" s="11" t="str">
        <f>IF(COUNTIF(D$1:D5132,D5132)=1,MAX(C$1:C5131)+1,"")</f>
        <v/>
      </c>
      <c r="D5132" s="12"/>
    </row>
    <row r="5133" spans="1:4" x14ac:dyDescent="0.25">
      <c r="A5133" t="str">
        <f>IF(COUNTIF(B$1:B5133,B5133)=1,MAX(A$1:A5132)+1,"")</f>
        <v/>
      </c>
      <c r="B5133" s="11"/>
      <c r="C5133" s="11" t="str">
        <f>IF(COUNTIF(D$1:D5133,D5133)=1,MAX(C$1:C5132)+1,"")</f>
        <v/>
      </c>
      <c r="D5133" s="12"/>
    </row>
    <row r="5134" spans="1:4" x14ac:dyDescent="0.25">
      <c r="A5134" t="str">
        <f>IF(COUNTIF(B$1:B5134,B5134)=1,MAX(A$1:A5133)+1,"")</f>
        <v/>
      </c>
      <c r="B5134" s="11"/>
      <c r="C5134" s="11" t="str">
        <f>IF(COUNTIF(D$1:D5134,D5134)=1,MAX(C$1:C5133)+1,"")</f>
        <v/>
      </c>
      <c r="D5134" s="12"/>
    </row>
    <row r="5135" spans="1:4" x14ac:dyDescent="0.25">
      <c r="A5135" t="str">
        <f>IF(COUNTIF(B$1:B5135,B5135)=1,MAX(A$1:A5134)+1,"")</f>
        <v/>
      </c>
      <c r="B5135" s="11"/>
      <c r="C5135" s="11" t="str">
        <f>IF(COUNTIF(D$1:D5135,D5135)=1,MAX(C$1:C5134)+1,"")</f>
        <v/>
      </c>
      <c r="D5135" s="12"/>
    </row>
    <row r="5136" spans="1:4" x14ac:dyDescent="0.25">
      <c r="A5136" t="str">
        <f>IF(COUNTIF(B$1:B5136,B5136)=1,MAX(A$1:A5135)+1,"")</f>
        <v/>
      </c>
      <c r="B5136" s="11"/>
      <c r="C5136" s="11" t="str">
        <f>IF(COUNTIF(D$1:D5136,D5136)=1,MAX(C$1:C5135)+1,"")</f>
        <v/>
      </c>
      <c r="D5136" s="12"/>
    </row>
    <row r="5137" spans="1:4" x14ac:dyDescent="0.25">
      <c r="A5137" t="str">
        <f>IF(COUNTIF(B$1:B5137,B5137)=1,MAX(A$1:A5136)+1,"")</f>
        <v/>
      </c>
      <c r="B5137" s="11"/>
      <c r="C5137" s="11" t="str">
        <f>IF(COUNTIF(D$1:D5137,D5137)=1,MAX(C$1:C5136)+1,"")</f>
        <v/>
      </c>
      <c r="D5137" s="12"/>
    </row>
    <row r="5138" spans="1:4" x14ac:dyDescent="0.25">
      <c r="A5138" t="str">
        <f>IF(COUNTIF(B$1:B5138,B5138)=1,MAX(A$1:A5137)+1,"")</f>
        <v/>
      </c>
      <c r="B5138" s="11"/>
      <c r="C5138" s="11" t="str">
        <f>IF(COUNTIF(D$1:D5138,D5138)=1,MAX(C$1:C5137)+1,"")</f>
        <v/>
      </c>
      <c r="D5138" s="12"/>
    </row>
    <row r="5139" spans="1:4" x14ac:dyDescent="0.25">
      <c r="A5139" t="str">
        <f>IF(COUNTIF(B$1:B5139,B5139)=1,MAX(A$1:A5138)+1,"")</f>
        <v/>
      </c>
      <c r="B5139" s="11"/>
      <c r="C5139" s="11" t="str">
        <f>IF(COUNTIF(D$1:D5139,D5139)=1,MAX(C$1:C5138)+1,"")</f>
        <v/>
      </c>
      <c r="D5139" s="12"/>
    </row>
    <row r="5140" spans="1:4" x14ac:dyDescent="0.25">
      <c r="A5140" t="str">
        <f>IF(COUNTIF(B$1:B5140,B5140)=1,MAX(A$1:A5139)+1,"")</f>
        <v/>
      </c>
      <c r="B5140" s="11"/>
      <c r="C5140" s="11" t="str">
        <f>IF(COUNTIF(D$1:D5140,D5140)=1,MAX(C$1:C5139)+1,"")</f>
        <v/>
      </c>
      <c r="D5140" s="12"/>
    </row>
    <row r="5141" spans="1:4" x14ac:dyDescent="0.25">
      <c r="A5141" t="str">
        <f>IF(COUNTIF(B$1:B5141,B5141)=1,MAX(A$1:A5140)+1,"")</f>
        <v/>
      </c>
      <c r="B5141" s="11"/>
      <c r="C5141" s="11" t="str">
        <f>IF(COUNTIF(D$1:D5141,D5141)=1,MAX(C$1:C5140)+1,"")</f>
        <v/>
      </c>
      <c r="D5141" s="12"/>
    </row>
    <row r="5142" spans="1:4" x14ac:dyDescent="0.25">
      <c r="A5142" t="str">
        <f>IF(COUNTIF(B$1:B5142,B5142)=1,MAX(A$1:A5141)+1,"")</f>
        <v/>
      </c>
      <c r="B5142" s="11"/>
      <c r="C5142" s="11" t="str">
        <f>IF(COUNTIF(D$1:D5142,D5142)=1,MAX(C$1:C5141)+1,"")</f>
        <v/>
      </c>
      <c r="D5142" s="12"/>
    </row>
    <row r="5143" spans="1:4" x14ac:dyDescent="0.25">
      <c r="A5143" t="str">
        <f>IF(COUNTIF(B$1:B5143,B5143)=1,MAX(A$1:A5142)+1,"")</f>
        <v/>
      </c>
      <c r="B5143" s="11"/>
      <c r="C5143" s="11" t="str">
        <f>IF(COUNTIF(D$1:D5143,D5143)=1,MAX(C$1:C5142)+1,"")</f>
        <v/>
      </c>
      <c r="D5143" s="12"/>
    </row>
    <row r="5144" spans="1:4" x14ac:dyDescent="0.25">
      <c r="A5144" t="str">
        <f>IF(COUNTIF(B$1:B5144,B5144)=1,MAX(A$1:A5143)+1,"")</f>
        <v/>
      </c>
      <c r="B5144" s="11"/>
      <c r="C5144" s="11" t="str">
        <f>IF(COUNTIF(D$1:D5144,D5144)=1,MAX(C$1:C5143)+1,"")</f>
        <v/>
      </c>
      <c r="D5144" s="12"/>
    </row>
    <row r="5145" spans="1:4" x14ac:dyDescent="0.25">
      <c r="A5145" t="str">
        <f>IF(COUNTIF(B$1:B5145,B5145)=1,MAX(A$1:A5144)+1,"")</f>
        <v/>
      </c>
      <c r="B5145" s="11"/>
      <c r="C5145" s="11" t="str">
        <f>IF(COUNTIF(D$1:D5145,D5145)=1,MAX(C$1:C5144)+1,"")</f>
        <v/>
      </c>
      <c r="D5145" s="12"/>
    </row>
    <row r="5146" spans="1:4" x14ac:dyDescent="0.25">
      <c r="A5146" t="str">
        <f>IF(COUNTIF(B$1:B5146,B5146)=1,MAX(A$1:A5145)+1,"")</f>
        <v/>
      </c>
      <c r="B5146" s="11"/>
      <c r="C5146" s="11" t="str">
        <f>IF(COUNTIF(D$1:D5146,D5146)=1,MAX(C$1:C5145)+1,"")</f>
        <v/>
      </c>
      <c r="D5146" s="12"/>
    </row>
    <row r="5147" spans="1:4" x14ac:dyDescent="0.25">
      <c r="A5147" t="str">
        <f>IF(COUNTIF(B$1:B5147,B5147)=1,MAX(A$1:A5146)+1,"")</f>
        <v/>
      </c>
      <c r="B5147" s="11"/>
      <c r="C5147" s="11" t="str">
        <f>IF(COUNTIF(D$1:D5147,D5147)=1,MAX(C$1:C5146)+1,"")</f>
        <v/>
      </c>
      <c r="D5147" s="12"/>
    </row>
    <row r="5148" spans="1:4" x14ac:dyDescent="0.25">
      <c r="A5148" t="str">
        <f>IF(COUNTIF(B$1:B5148,B5148)=1,MAX(A$1:A5147)+1,"")</f>
        <v/>
      </c>
      <c r="B5148" s="11"/>
      <c r="C5148" s="11" t="str">
        <f>IF(COUNTIF(D$1:D5148,D5148)=1,MAX(C$1:C5147)+1,"")</f>
        <v/>
      </c>
      <c r="D5148" s="12"/>
    </row>
    <row r="5149" spans="1:4" x14ac:dyDescent="0.25">
      <c r="A5149" t="str">
        <f>IF(COUNTIF(B$1:B5149,B5149)=1,MAX(A$1:A5148)+1,"")</f>
        <v/>
      </c>
      <c r="B5149" s="11"/>
      <c r="C5149" s="11" t="str">
        <f>IF(COUNTIF(D$1:D5149,D5149)=1,MAX(C$1:C5148)+1,"")</f>
        <v/>
      </c>
      <c r="D5149" s="12"/>
    </row>
    <row r="5150" spans="1:4" x14ac:dyDescent="0.25">
      <c r="A5150" t="str">
        <f>IF(COUNTIF(B$1:B5150,B5150)=1,MAX(A$1:A5149)+1,"")</f>
        <v/>
      </c>
      <c r="B5150" s="11"/>
      <c r="C5150" s="11" t="str">
        <f>IF(COUNTIF(D$1:D5150,D5150)=1,MAX(C$1:C5149)+1,"")</f>
        <v/>
      </c>
      <c r="D5150" s="12"/>
    </row>
    <row r="5151" spans="1:4" x14ac:dyDescent="0.25">
      <c r="A5151" t="str">
        <f>IF(COUNTIF(B$1:B5151,B5151)=1,MAX(A$1:A5150)+1,"")</f>
        <v/>
      </c>
      <c r="B5151" s="11"/>
      <c r="C5151" s="11" t="str">
        <f>IF(COUNTIF(D$1:D5151,D5151)=1,MAX(C$1:C5150)+1,"")</f>
        <v/>
      </c>
      <c r="D5151" s="12"/>
    </row>
    <row r="5152" spans="1:4" x14ac:dyDescent="0.25">
      <c r="A5152" t="str">
        <f>IF(COUNTIF(B$1:B5152,B5152)=1,MAX(A$1:A5151)+1,"")</f>
        <v/>
      </c>
      <c r="B5152" s="11"/>
      <c r="C5152" s="11" t="str">
        <f>IF(COUNTIF(D$1:D5152,D5152)=1,MAX(C$1:C5151)+1,"")</f>
        <v/>
      </c>
      <c r="D5152" s="12"/>
    </row>
    <row r="5153" spans="1:4" x14ac:dyDescent="0.25">
      <c r="A5153" t="str">
        <f>IF(COUNTIF(B$1:B5153,B5153)=1,MAX(A$1:A5152)+1,"")</f>
        <v/>
      </c>
      <c r="B5153" s="11"/>
      <c r="C5153" s="11" t="str">
        <f>IF(COUNTIF(D$1:D5153,D5153)=1,MAX(C$1:C5152)+1,"")</f>
        <v/>
      </c>
      <c r="D5153" s="12"/>
    </row>
    <row r="5154" spans="1:4" x14ac:dyDescent="0.25">
      <c r="A5154" t="str">
        <f>IF(COUNTIF(B$1:B5154,B5154)=1,MAX(A$1:A5153)+1,"")</f>
        <v/>
      </c>
      <c r="B5154" s="11"/>
      <c r="C5154" s="11" t="str">
        <f>IF(COUNTIF(D$1:D5154,D5154)=1,MAX(C$1:C5153)+1,"")</f>
        <v/>
      </c>
      <c r="D5154" s="12"/>
    </row>
    <row r="5155" spans="1:4" x14ac:dyDescent="0.25">
      <c r="A5155" t="str">
        <f>IF(COUNTIF(B$1:B5155,B5155)=1,MAX(A$1:A5154)+1,"")</f>
        <v/>
      </c>
      <c r="B5155" s="11"/>
      <c r="C5155" s="11" t="str">
        <f>IF(COUNTIF(D$1:D5155,D5155)=1,MAX(C$1:C5154)+1,"")</f>
        <v/>
      </c>
      <c r="D5155" s="12"/>
    </row>
    <row r="5156" spans="1:4" x14ac:dyDescent="0.25">
      <c r="A5156" t="str">
        <f>IF(COUNTIF(B$1:B5156,B5156)=1,MAX(A$1:A5155)+1,"")</f>
        <v/>
      </c>
      <c r="B5156" s="11"/>
      <c r="C5156" s="11" t="str">
        <f>IF(COUNTIF(D$1:D5156,D5156)=1,MAX(C$1:C5155)+1,"")</f>
        <v/>
      </c>
      <c r="D5156" s="12"/>
    </row>
    <row r="5157" spans="1:4" x14ac:dyDescent="0.25">
      <c r="A5157" t="str">
        <f>IF(COUNTIF(B$1:B5157,B5157)=1,MAX(A$1:A5156)+1,"")</f>
        <v/>
      </c>
      <c r="B5157" s="11"/>
      <c r="C5157" s="11" t="str">
        <f>IF(COUNTIF(D$1:D5157,D5157)=1,MAX(C$1:C5156)+1,"")</f>
        <v/>
      </c>
      <c r="D5157" s="12"/>
    </row>
    <row r="5158" spans="1:4" x14ac:dyDescent="0.25">
      <c r="A5158" t="str">
        <f>IF(COUNTIF(B$1:B5158,B5158)=1,MAX(A$1:A5157)+1,"")</f>
        <v/>
      </c>
      <c r="B5158" s="11"/>
      <c r="C5158" s="11" t="str">
        <f>IF(COUNTIF(D$1:D5158,D5158)=1,MAX(C$1:C5157)+1,"")</f>
        <v/>
      </c>
      <c r="D5158" s="12"/>
    </row>
    <row r="5159" spans="1:4" x14ac:dyDescent="0.25">
      <c r="A5159" t="str">
        <f>IF(COUNTIF(B$1:B5159,B5159)=1,MAX(A$1:A5158)+1,"")</f>
        <v/>
      </c>
      <c r="B5159" s="11"/>
      <c r="C5159" s="11" t="str">
        <f>IF(COUNTIF(D$1:D5159,D5159)=1,MAX(C$1:C5158)+1,"")</f>
        <v/>
      </c>
      <c r="D5159" s="12"/>
    </row>
    <row r="5160" spans="1:4" x14ac:dyDescent="0.25">
      <c r="A5160" t="str">
        <f>IF(COUNTIF(B$1:B5160,B5160)=1,MAX(A$1:A5159)+1,"")</f>
        <v/>
      </c>
      <c r="B5160" s="11"/>
      <c r="C5160" s="11" t="str">
        <f>IF(COUNTIF(D$1:D5160,D5160)=1,MAX(C$1:C5159)+1,"")</f>
        <v/>
      </c>
      <c r="D5160" s="12"/>
    </row>
    <row r="5161" spans="1:4" x14ac:dyDescent="0.25">
      <c r="A5161" t="str">
        <f>IF(COUNTIF(B$1:B5161,B5161)=1,MAX(A$1:A5160)+1,"")</f>
        <v/>
      </c>
      <c r="B5161" s="11"/>
      <c r="C5161" s="11" t="str">
        <f>IF(COUNTIF(D$1:D5161,D5161)=1,MAX(C$1:C5160)+1,"")</f>
        <v/>
      </c>
      <c r="D5161" s="12"/>
    </row>
    <row r="5162" spans="1:4" x14ac:dyDescent="0.25">
      <c r="A5162" t="str">
        <f>IF(COUNTIF(B$1:B5162,B5162)=1,MAX(A$1:A5161)+1,"")</f>
        <v/>
      </c>
      <c r="B5162" s="11"/>
      <c r="C5162" s="11" t="str">
        <f>IF(COUNTIF(D$1:D5162,D5162)=1,MAX(C$1:C5161)+1,"")</f>
        <v/>
      </c>
      <c r="D5162" s="12"/>
    </row>
    <row r="5163" spans="1:4" x14ac:dyDescent="0.25">
      <c r="A5163" t="str">
        <f>IF(COUNTIF(B$1:B5163,B5163)=1,MAX(A$1:A5162)+1,"")</f>
        <v/>
      </c>
      <c r="B5163" s="11"/>
      <c r="C5163" s="11" t="str">
        <f>IF(COUNTIF(D$1:D5163,D5163)=1,MAX(C$1:C5162)+1,"")</f>
        <v/>
      </c>
      <c r="D5163" s="12"/>
    </row>
    <row r="5164" spans="1:4" x14ac:dyDescent="0.25">
      <c r="A5164" t="str">
        <f>IF(COUNTIF(B$1:B5164,B5164)=1,MAX(A$1:A5163)+1,"")</f>
        <v/>
      </c>
      <c r="B5164" s="11"/>
      <c r="C5164" s="11" t="str">
        <f>IF(COUNTIF(D$1:D5164,D5164)=1,MAX(C$1:C5163)+1,"")</f>
        <v/>
      </c>
      <c r="D5164" s="12"/>
    </row>
    <row r="5165" spans="1:4" x14ac:dyDescent="0.25">
      <c r="A5165" t="str">
        <f>IF(COUNTIF(B$1:B5165,B5165)=1,MAX(A$1:A5164)+1,"")</f>
        <v/>
      </c>
      <c r="B5165" s="11"/>
      <c r="C5165" s="11" t="str">
        <f>IF(COUNTIF(D$1:D5165,D5165)=1,MAX(C$1:C5164)+1,"")</f>
        <v/>
      </c>
      <c r="D5165" s="12"/>
    </row>
    <row r="5166" spans="1:4" x14ac:dyDescent="0.25">
      <c r="A5166" t="str">
        <f>IF(COUNTIF(B$1:B5166,B5166)=1,MAX(A$1:A5165)+1,"")</f>
        <v/>
      </c>
      <c r="B5166" s="11"/>
      <c r="C5166" s="11" t="str">
        <f>IF(COUNTIF(D$1:D5166,D5166)=1,MAX(C$1:C5165)+1,"")</f>
        <v/>
      </c>
      <c r="D5166" s="12"/>
    </row>
    <row r="5167" spans="1:4" x14ac:dyDescent="0.25">
      <c r="A5167" t="str">
        <f>IF(COUNTIF(B$1:B5167,B5167)=1,MAX(A$1:A5166)+1,"")</f>
        <v/>
      </c>
      <c r="B5167" s="11"/>
      <c r="C5167" s="11" t="str">
        <f>IF(COUNTIF(D$1:D5167,D5167)=1,MAX(C$1:C5166)+1,"")</f>
        <v/>
      </c>
      <c r="D5167" s="12"/>
    </row>
    <row r="5168" spans="1:4" x14ac:dyDescent="0.25">
      <c r="A5168" t="str">
        <f>IF(COUNTIF(B$1:B5168,B5168)=1,MAX(A$1:A5167)+1,"")</f>
        <v/>
      </c>
      <c r="B5168" s="11"/>
      <c r="C5168" s="11" t="str">
        <f>IF(COUNTIF(D$1:D5168,D5168)=1,MAX(C$1:C5167)+1,"")</f>
        <v/>
      </c>
      <c r="D5168" s="12"/>
    </row>
    <row r="5169" spans="1:4" x14ac:dyDescent="0.25">
      <c r="A5169" t="str">
        <f>IF(COUNTIF(B$1:B5169,B5169)=1,MAX(A$1:A5168)+1,"")</f>
        <v/>
      </c>
      <c r="B5169" s="11"/>
      <c r="C5169" s="11" t="str">
        <f>IF(COUNTIF(D$1:D5169,D5169)=1,MAX(C$1:C5168)+1,"")</f>
        <v/>
      </c>
      <c r="D5169" s="12"/>
    </row>
    <row r="5170" spans="1:4" x14ac:dyDescent="0.25">
      <c r="A5170" t="str">
        <f>IF(COUNTIF(B$1:B5170,B5170)=1,MAX(A$1:A5169)+1,"")</f>
        <v/>
      </c>
      <c r="B5170" s="11"/>
      <c r="C5170" s="11" t="str">
        <f>IF(COUNTIF(D$1:D5170,D5170)=1,MAX(C$1:C5169)+1,"")</f>
        <v/>
      </c>
      <c r="D5170" s="12"/>
    </row>
    <row r="5171" spans="1:4" x14ac:dyDescent="0.25">
      <c r="A5171" t="str">
        <f>IF(COUNTIF(B$1:B5171,B5171)=1,MAX(A$1:A5170)+1,"")</f>
        <v/>
      </c>
      <c r="B5171" s="11"/>
      <c r="C5171" s="11" t="str">
        <f>IF(COUNTIF(D$1:D5171,D5171)=1,MAX(C$1:C5170)+1,"")</f>
        <v/>
      </c>
      <c r="D5171" s="12"/>
    </row>
    <row r="5172" spans="1:4" x14ac:dyDescent="0.25">
      <c r="A5172" t="str">
        <f>IF(COUNTIF(B$1:B5172,B5172)=1,MAX(A$1:A5171)+1,"")</f>
        <v/>
      </c>
      <c r="B5172" s="11"/>
      <c r="C5172" s="11" t="str">
        <f>IF(COUNTIF(D$1:D5172,D5172)=1,MAX(C$1:C5171)+1,"")</f>
        <v/>
      </c>
      <c r="D5172" s="12"/>
    </row>
    <row r="5173" spans="1:4" x14ac:dyDescent="0.25">
      <c r="A5173" t="str">
        <f>IF(COUNTIF(B$1:B5173,B5173)=1,MAX(A$1:A5172)+1,"")</f>
        <v/>
      </c>
      <c r="B5173" s="11"/>
      <c r="C5173" s="11" t="str">
        <f>IF(COUNTIF(D$1:D5173,D5173)=1,MAX(C$1:C5172)+1,"")</f>
        <v/>
      </c>
      <c r="D5173" s="12"/>
    </row>
    <row r="5174" spans="1:4" x14ac:dyDescent="0.25">
      <c r="A5174" t="str">
        <f>IF(COUNTIF(B$1:B5174,B5174)=1,MAX(A$1:A5173)+1,"")</f>
        <v/>
      </c>
      <c r="B5174" s="11"/>
      <c r="C5174" s="11" t="str">
        <f>IF(COUNTIF(D$1:D5174,D5174)=1,MAX(C$1:C5173)+1,"")</f>
        <v/>
      </c>
      <c r="D5174" s="12"/>
    </row>
    <row r="5175" spans="1:4" x14ac:dyDescent="0.25">
      <c r="A5175" t="str">
        <f>IF(COUNTIF(B$1:B5175,B5175)=1,MAX(A$1:A5174)+1,"")</f>
        <v/>
      </c>
      <c r="B5175" s="11"/>
      <c r="C5175" s="11" t="str">
        <f>IF(COUNTIF(D$1:D5175,D5175)=1,MAX(C$1:C5174)+1,"")</f>
        <v/>
      </c>
      <c r="D5175" s="12"/>
    </row>
    <row r="5176" spans="1:4" x14ac:dyDescent="0.25">
      <c r="A5176" t="str">
        <f>IF(COUNTIF(B$1:B5176,B5176)=1,MAX(A$1:A5175)+1,"")</f>
        <v/>
      </c>
      <c r="B5176" s="11"/>
      <c r="C5176" s="11" t="str">
        <f>IF(COUNTIF(D$1:D5176,D5176)=1,MAX(C$1:C5175)+1,"")</f>
        <v/>
      </c>
      <c r="D5176" s="12"/>
    </row>
    <row r="5177" spans="1:4" x14ac:dyDescent="0.25">
      <c r="A5177" t="str">
        <f>IF(COUNTIF(B$1:B5177,B5177)=1,MAX(A$1:A5176)+1,"")</f>
        <v/>
      </c>
      <c r="B5177" s="11"/>
      <c r="C5177" s="11" t="str">
        <f>IF(COUNTIF(D$1:D5177,D5177)=1,MAX(C$1:C5176)+1,"")</f>
        <v/>
      </c>
      <c r="D5177" s="12"/>
    </row>
    <row r="5178" spans="1:4" x14ac:dyDescent="0.25">
      <c r="A5178" t="str">
        <f>IF(COUNTIF(B$1:B5178,B5178)=1,MAX(A$1:A5177)+1,"")</f>
        <v/>
      </c>
      <c r="B5178" s="11"/>
      <c r="C5178" s="11" t="str">
        <f>IF(COUNTIF(D$1:D5178,D5178)=1,MAX(C$1:C5177)+1,"")</f>
        <v/>
      </c>
      <c r="D5178" s="12"/>
    </row>
    <row r="5179" spans="1:4" x14ac:dyDescent="0.25">
      <c r="A5179" t="str">
        <f>IF(COUNTIF(B$1:B5179,B5179)=1,MAX(A$1:A5178)+1,"")</f>
        <v/>
      </c>
      <c r="B5179" s="11"/>
      <c r="C5179" s="11" t="str">
        <f>IF(COUNTIF(D$1:D5179,D5179)=1,MAX(C$1:C5178)+1,"")</f>
        <v/>
      </c>
      <c r="D5179" s="12"/>
    </row>
    <row r="5180" spans="1:4" x14ac:dyDescent="0.25">
      <c r="A5180" t="str">
        <f>IF(COUNTIF(B$1:B5180,B5180)=1,MAX(A$1:A5179)+1,"")</f>
        <v/>
      </c>
      <c r="B5180" s="11"/>
      <c r="C5180" s="11" t="str">
        <f>IF(COUNTIF(D$1:D5180,D5180)=1,MAX(C$1:C5179)+1,"")</f>
        <v/>
      </c>
      <c r="D5180" s="12"/>
    </row>
    <row r="5181" spans="1:4" x14ac:dyDescent="0.25">
      <c r="A5181" t="str">
        <f>IF(COUNTIF(B$1:B5181,B5181)=1,MAX(A$1:A5180)+1,"")</f>
        <v/>
      </c>
      <c r="B5181" s="11"/>
      <c r="C5181" s="11" t="str">
        <f>IF(COUNTIF(D$1:D5181,D5181)=1,MAX(C$1:C5180)+1,"")</f>
        <v/>
      </c>
      <c r="D5181" s="12"/>
    </row>
    <row r="5182" spans="1:4" x14ac:dyDescent="0.25">
      <c r="A5182" t="str">
        <f>IF(COUNTIF(B$1:B5182,B5182)=1,MAX(A$1:A5181)+1,"")</f>
        <v/>
      </c>
      <c r="B5182" s="11"/>
      <c r="C5182" s="11" t="str">
        <f>IF(COUNTIF(D$1:D5182,D5182)=1,MAX(C$1:C5181)+1,"")</f>
        <v/>
      </c>
      <c r="D5182" s="12"/>
    </row>
    <row r="5183" spans="1:4" x14ac:dyDescent="0.25">
      <c r="A5183" t="str">
        <f>IF(COUNTIF(B$1:B5183,B5183)=1,MAX(A$1:A5182)+1,"")</f>
        <v/>
      </c>
      <c r="B5183" s="11"/>
      <c r="C5183" s="11" t="str">
        <f>IF(COUNTIF(D$1:D5183,D5183)=1,MAX(C$1:C5182)+1,"")</f>
        <v/>
      </c>
      <c r="D5183" s="12"/>
    </row>
    <row r="5184" spans="1:4" x14ac:dyDescent="0.25">
      <c r="A5184" t="str">
        <f>IF(COUNTIF(B$1:B5184,B5184)=1,MAX(A$1:A5183)+1,"")</f>
        <v/>
      </c>
      <c r="B5184" s="11"/>
      <c r="C5184" s="11" t="str">
        <f>IF(COUNTIF(D$1:D5184,D5184)=1,MAX(C$1:C5183)+1,"")</f>
        <v/>
      </c>
      <c r="D5184" s="12"/>
    </row>
    <row r="5185" spans="1:4" x14ac:dyDescent="0.25">
      <c r="A5185" t="str">
        <f>IF(COUNTIF(B$1:B5185,B5185)=1,MAX(A$1:A5184)+1,"")</f>
        <v/>
      </c>
      <c r="B5185" s="11"/>
      <c r="C5185" s="11" t="str">
        <f>IF(COUNTIF(D$1:D5185,D5185)=1,MAX(C$1:C5184)+1,"")</f>
        <v/>
      </c>
      <c r="D5185" s="12"/>
    </row>
    <row r="5186" spans="1:4" x14ac:dyDescent="0.25">
      <c r="A5186" t="str">
        <f>IF(COUNTIF(B$1:B5186,B5186)=1,MAX(A$1:A5185)+1,"")</f>
        <v/>
      </c>
      <c r="B5186" s="11"/>
      <c r="C5186" s="11" t="str">
        <f>IF(COUNTIF(D$1:D5186,D5186)=1,MAX(C$1:C5185)+1,"")</f>
        <v/>
      </c>
      <c r="D5186" s="12"/>
    </row>
    <row r="5187" spans="1:4" x14ac:dyDescent="0.25">
      <c r="A5187" t="str">
        <f>IF(COUNTIF(B$1:B5187,B5187)=1,MAX(A$1:A5186)+1,"")</f>
        <v/>
      </c>
      <c r="B5187" s="11"/>
      <c r="C5187" s="11" t="str">
        <f>IF(COUNTIF(D$1:D5187,D5187)=1,MAX(C$1:C5186)+1,"")</f>
        <v/>
      </c>
      <c r="D5187" s="12"/>
    </row>
    <row r="5188" spans="1:4" x14ac:dyDescent="0.25">
      <c r="A5188" t="str">
        <f>IF(COUNTIF(B$1:B5188,B5188)=1,MAX(A$1:A5187)+1,"")</f>
        <v/>
      </c>
      <c r="B5188" s="11"/>
      <c r="C5188" s="11" t="str">
        <f>IF(COUNTIF(D$1:D5188,D5188)=1,MAX(C$1:C5187)+1,"")</f>
        <v/>
      </c>
      <c r="D5188" s="12"/>
    </row>
    <row r="5189" spans="1:4" x14ac:dyDescent="0.25">
      <c r="A5189" t="str">
        <f>IF(COUNTIF(B$1:B5189,B5189)=1,MAX(A$1:A5188)+1,"")</f>
        <v/>
      </c>
      <c r="B5189" s="11"/>
      <c r="C5189" s="11" t="str">
        <f>IF(COUNTIF(D$1:D5189,D5189)=1,MAX(C$1:C5188)+1,"")</f>
        <v/>
      </c>
      <c r="D5189" s="12"/>
    </row>
    <row r="5190" spans="1:4" x14ac:dyDescent="0.25">
      <c r="A5190" t="str">
        <f>IF(COUNTIF(B$1:B5190,B5190)=1,MAX(A$1:A5189)+1,"")</f>
        <v/>
      </c>
      <c r="B5190" s="11"/>
      <c r="C5190" s="11" t="str">
        <f>IF(COUNTIF(D$1:D5190,D5190)=1,MAX(C$1:C5189)+1,"")</f>
        <v/>
      </c>
      <c r="D5190" s="12"/>
    </row>
    <row r="5191" spans="1:4" x14ac:dyDescent="0.25">
      <c r="A5191" t="str">
        <f>IF(COUNTIF(B$1:B5191,B5191)=1,MAX(A$1:A5190)+1,"")</f>
        <v/>
      </c>
      <c r="B5191" s="11"/>
      <c r="C5191" s="11" t="str">
        <f>IF(COUNTIF(D$1:D5191,D5191)=1,MAX(C$1:C5190)+1,"")</f>
        <v/>
      </c>
      <c r="D5191" s="12"/>
    </row>
    <row r="5192" spans="1:4" x14ac:dyDescent="0.25">
      <c r="A5192" t="str">
        <f>IF(COUNTIF(B$1:B5192,B5192)=1,MAX(A$1:A5191)+1,"")</f>
        <v/>
      </c>
      <c r="B5192" s="11"/>
      <c r="C5192" s="11" t="str">
        <f>IF(COUNTIF(D$1:D5192,D5192)=1,MAX(C$1:C5191)+1,"")</f>
        <v/>
      </c>
      <c r="D5192" s="12"/>
    </row>
    <row r="5193" spans="1:4" x14ac:dyDescent="0.25">
      <c r="A5193" t="str">
        <f>IF(COUNTIF(B$1:B5193,B5193)=1,MAX(A$1:A5192)+1,"")</f>
        <v/>
      </c>
      <c r="B5193" s="11"/>
      <c r="C5193" s="11" t="str">
        <f>IF(COUNTIF(D$1:D5193,D5193)=1,MAX(C$1:C5192)+1,"")</f>
        <v/>
      </c>
      <c r="D5193" s="12"/>
    </row>
    <row r="5194" spans="1:4" x14ac:dyDescent="0.25">
      <c r="A5194" t="str">
        <f>IF(COUNTIF(B$1:B5194,B5194)=1,MAX(A$1:A5193)+1,"")</f>
        <v/>
      </c>
      <c r="B5194" s="11"/>
      <c r="C5194" s="11" t="str">
        <f>IF(COUNTIF(D$1:D5194,D5194)=1,MAX(C$1:C5193)+1,"")</f>
        <v/>
      </c>
      <c r="D5194" s="12"/>
    </row>
    <row r="5195" spans="1:4" x14ac:dyDescent="0.25">
      <c r="A5195" t="str">
        <f>IF(COUNTIF(B$1:B5195,B5195)=1,MAX(A$1:A5194)+1,"")</f>
        <v/>
      </c>
      <c r="B5195" s="11"/>
      <c r="C5195" s="11" t="str">
        <f>IF(COUNTIF(D$1:D5195,D5195)=1,MAX(C$1:C5194)+1,"")</f>
        <v/>
      </c>
      <c r="D5195" s="12"/>
    </row>
    <row r="5196" spans="1:4" x14ac:dyDescent="0.25">
      <c r="A5196" t="str">
        <f>IF(COUNTIF(B$1:B5196,B5196)=1,MAX(A$1:A5195)+1,"")</f>
        <v/>
      </c>
      <c r="B5196" s="11"/>
      <c r="C5196" s="11" t="str">
        <f>IF(COUNTIF(D$1:D5196,D5196)=1,MAX(C$1:C5195)+1,"")</f>
        <v/>
      </c>
      <c r="D5196" s="12"/>
    </row>
    <row r="5197" spans="1:4" x14ac:dyDescent="0.25">
      <c r="A5197" t="str">
        <f>IF(COUNTIF(B$1:B5197,B5197)=1,MAX(A$1:A5196)+1,"")</f>
        <v/>
      </c>
      <c r="B5197" s="11"/>
      <c r="C5197" s="11" t="str">
        <f>IF(COUNTIF(D$1:D5197,D5197)=1,MAX(C$1:C5196)+1,"")</f>
        <v/>
      </c>
      <c r="D5197" s="12"/>
    </row>
    <row r="5198" spans="1:4" x14ac:dyDescent="0.25">
      <c r="A5198" t="str">
        <f>IF(COUNTIF(B$1:B5198,B5198)=1,MAX(A$1:A5197)+1,"")</f>
        <v/>
      </c>
      <c r="B5198" s="11"/>
      <c r="C5198" s="11" t="str">
        <f>IF(COUNTIF(D$1:D5198,D5198)=1,MAX(C$1:C5197)+1,"")</f>
        <v/>
      </c>
      <c r="D5198" s="12"/>
    </row>
    <row r="5199" spans="1:4" x14ac:dyDescent="0.25">
      <c r="A5199" t="str">
        <f>IF(COUNTIF(B$1:B5199,B5199)=1,MAX(A$1:A5198)+1,"")</f>
        <v/>
      </c>
      <c r="B5199" s="11"/>
      <c r="C5199" s="11" t="str">
        <f>IF(COUNTIF(D$1:D5199,D5199)=1,MAX(C$1:C5198)+1,"")</f>
        <v/>
      </c>
      <c r="D5199" s="12"/>
    </row>
    <row r="5200" spans="1:4" x14ac:dyDescent="0.25">
      <c r="A5200" t="str">
        <f>IF(COUNTIF(B$1:B5200,B5200)=1,MAX(A$1:A5199)+1,"")</f>
        <v/>
      </c>
      <c r="B5200" s="11"/>
      <c r="C5200" s="11" t="str">
        <f>IF(COUNTIF(D$1:D5200,D5200)=1,MAX(C$1:C5199)+1,"")</f>
        <v/>
      </c>
      <c r="D5200" s="12"/>
    </row>
    <row r="5201" spans="1:4" x14ac:dyDescent="0.25">
      <c r="A5201" t="str">
        <f>IF(COUNTIF(B$1:B5201,B5201)=1,MAX(A$1:A5200)+1,"")</f>
        <v/>
      </c>
      <c r="B5201" s="11"/>
      <c r="C5201" s="11" t="str">
        <f>IF(COUNTIF(D$1:D5201,D5201)=1,MAX(C$1:C5200)+1,"")</f>
        <v/>
      </c>
      <c r="D5201" s="12"/>
    </row>
    <row r="5202" spans="1:4" x14ac:dyDescent="0.25">
      <c r="A5202" t="str">
        <f>IF(COUNTIF(B$1:B5202,B5202)=1,MAX(A$1:A5201)+1,"")</f>
        <v/>
      </c>
      <c r="B5202" s="11"/>
      <c r="C5202" s="11" t="str">
        <f>IF(COUNTIF(D$1:D5202,D5202)=1,MAX(C$1:C5201)+1,"")</f>
        <v/>
      </c>
      <c r="D5202" s="12"/>
    </row>
    <row r="5203" spans="1:4" x14ac:dyDescent="0.25">
      <c r="A5203" t="str">
        <f>IF(COUNTIF(B$1:B5203,B5203)=1,MAX(A$1:A5202)+1,"")</f>
        <v/>
      </c>
      <c r="B5203" s="11"/>
      <c r="C5203" s="11" t="str">
        <f>IF(COUNTIF(D$1:D5203,D5203)=1,MAX(C$1:C5202)+1,"")</f>
        <v/>
      </c>
      <c r="D5203" s="12"/>
    </row>
    <row r="5204" spans="1:4" x14ac:dyDescent="0.25">
      <c r="A5204" t="str">
        <f>IF(COUNTIF(B$1:B5204,B5204)=1,MAX(A$1:A5203)+1,"")</f>
        <v/>
      </c>
      <c r="B5204" s="11"/>
      <c r="C5204" s="11" t="str">
        <f>IF(COUNTIF(D$1:D5204,D5204)=1,MAX(C$1:C5203)+1,"")</f>
        <v/>
      </c>
      <c r="D5204" s="12"/>
    </row>
    <row r="5205" spans="1:4" x14ac:dyDescent="0.25">
      <c r="A5205" t="str">
        <f>IF(COUNTIF(B$1:B5205,B5205)=1,MAX(A$1:A5204)+1,"")</f>
        <v/>
      </c>
      <c r="B5205" s="11"/>
      <c r="C5205" s="11" t="str">
        <f>IF(COUNTIF(D$1:D5205,D5205)=1,MAX(C$1:C5204)+1,"")</f>
        <v/>
      </c>
      <c r="D5205" s="12"/>
    </row>
    <row r="5206" spans="1:4" x14ac:dyDescent="0.25">
      <c r="A5206" t="str">
        <f>IF(COUNTIF(B$1:B5206,B5206)=1,MAX(A$1:A5205)+1,"")</f>
        <v/>
      </c>
      <c r="B5206" s="11"/>
      <c r="C5206" s="11" t="str">
        <f>IF(COUNTIF(D$1:D5206,D5206)=1,MAX(C$1:C5205)+1,"")</f>
        <v/>
      </c>
      <c r="D5206" s="12"/>
    </row>
    <row r="5207" spans="1:4" x14ac:dyDescent="0.25">
      <c r="A5207" t="str">
        <f>IF(COUNTIF(B$1:B5207,B5207)=1,MAX(A$1:A5206)+1,"")</f>
        <v/>
      </c>
      <c r="B5207" s="11"/>
      <c r="C5207" s="11" t="str">
        <f>IF(COUNTIF(D$1:D5207,D5207)=1,MAX(C$1:C5206)+1,"")</f>
        <v/>
      </c>
      <c r="D5207" s="12"/>
    </row>
    <row r="5208" spans="1:4" x14ac:dyDescent="0.25">
      <c r="A5208" t="str">
        <f>IF(COUNTIF(B$1:B5208,B5208)=1,MAX(A$1:A5207)+1,"")</f>
        <v/>
      </c>
      <c r="B5208" s="11"/>
      <c r="C5208" s="11" t="str">
        <f>IF(COUNTIF(D$1:D5208,D5208)=1,MAX(C$1:C5207)+1,"")</f>
        <v/>
      </c>
      <c r="D5208" s="12"/>
    </row>
    <row r="5209" spans="1:4" x14ac:dyDescent="0.25">
      <c r="A5209" t="str">
        <f>IF(COUNTIF(B$1:B5209,B5209)=1,MAX(A$1:A5208)+1,"")</f>
        <v/>
      </c>
      <c r="B5209" s="11"/>
      <c r="C5209" s="11" t="str">
        <f>IF(COUNTIF(D$1:D5209,D5209)=1,MAX(C$1:C5208)+1,"")</f>
        <v/>
      </c>
      <c r="D5209" s="12"/>
    </row>
    <row r="5210" spans="1:4" x14ac:dyDescent="0.25">
      <c r="A5210" t="str">
        <f>IF(COUNTIF(B$1:B5210,B5210)=1,MAX(A$1:A5209)+1,"")</f>
        <v/>
      </c>
      <c r="B5210" s="11"/>
      <c r="C5210" s="11" t="str">
        <f>IF(COUNTIF(D$1:D5210,D5210)=1,MAX(C$1:C5209)+1,"")</f>
        <v/>
      </c>
      <c r="D5210" s="12"/>
    </row>
    <row r="5211" spans="1:4" x14ac:dyDescent="0.25">
      <c r="A5211" t="str">
        <f>IF(COUNTIF(B$1:B5211,B5211)=1,MAX(A$1:A5210)+1,"")</f>
        <v/>
      </c>
      <c r="B5211" s="11"/>
      <c r="C5211" s="11" t="str">
        <f>IF(COUNTIF(D$1:D5211,D5211)=1,MAX(C$1:C5210)+1,"")</f>
        <v/>
      </c>
      <c r="D5211" s="12"/>
    </row>
    <row r="5212" spans="1:4" x14ac:dyDescent="0.25">
      <c r="A5212" t="str">
        <f>IF(COUNTIF(B$1:B5212,B5212)=1,MAX(A$1:A5211)+1,"")</f>
        <v/>
      </c>
      <c r="B5212" s="11"/>
      <c r="C5212" s="11" t="str">
        <f>IF(COUNTIF(D$1:D5212,D5212)=1,MAX(C$1:C5211)+1,"")</f>
        <v/>
      </c>
      <c r="D5212" s="12"/>
    </row>
    <row r="5213" spans="1:4" x14ac:dyDescent="0.25">
      <c r="A5213" t="str">
        <f>IF(COUNTIF(B$1:B5213,B5213)=1,MAX(A$1:A5212)+1,"")</f>
        <v/>
      </c>
      <c r="B5213" s="11"/>
      <c r="C5213" s="11" t="str">
        <f>IF(COUNTIF(D$1:D5213,D5213)=1,MAX(C$1:C5212)+1,"")</f>
        <v/>
      </c>
      <c r="D5213" s="12"/>
    </row>
    <row r="5214" spans="1:4" x14ac:dyDescent="0.25">
      <c r="A5214" t="str">
        <f>IF(COUNTIF(B$1:B5214,B5214)=1,MAX(A$1:A5213)+1,"")</f>
        <v/>
      </c>
      <c r="B5214" s="11"/>
      <c r="C5214" s="11" t="str">
        <f>IF(COUNTIF(D$1:D5214,D5214)=1,MAX(C$1:C5213)+1,"")</f>
        <v/>
      </c>
      <c r="D5214" s="12"/>
    </row>
    <row r="5215" spans="1:4" x14ac:dyDescent="0.25">
      <c r="A5215" t="str">
        <f>IF(COUNTIF(B$1:B5215,B5215)=1,MAX(A$1:A5214)+1,"")</f>
        <v/>
      </c>
      <c r="B5215" s="11"/>
      <c r="C5215" s="11" t="str">
        <f>IF(COUNTIF(D$1:D5215,D5215)=1,MAX(C$1:C5214)+1,"")</f>
        <v/>
      </c>
      <c r="D5215" s="12"/>
    </row>
    <row r="5216" spans="1:4" x14ac:dyDescent="0.25">
      <c r="A5216" t="str">
        <f>IF(COUNTIF(B$1:B5216,B5216)=1,MAX(A$1:A5215)+1,"")</f>
        <v/>
      </c>
      <c r="B5216" s="11"/>
      <c r="C5216" s="11" t="str">
        <f>IF(COUNTIF(D$1:D5216,D5216)=1,MAX(C$1:C5215)+1,"")</f>
        <v/>
      </c>
      <c r="D5216" s="12"/>
    </row>
    <row r="5217" spans="1:4" x14ac:dyDescent="0.25">
      <c r="A5217" t="str">
        <f>IF(COUNTIF(B$1:B5217,B5217)=1,MAX(A$1:A5216)+1,"")</f>
        <v/>
      </c>
      <c r="B5217" s="11"/>
      <c r="C5217" s="11" t="str">
        <f>IF(COUNTIF(D$1:D5217,D5217)=1,MAX(C$1:C5216)+1,"")</f>
        <v/>
      </c>
      <c r="D5217" s="12"/>
    </row>
    <row r="5218" spans="1:4" x14ac:dyDescent="0.25">
      <c r="A5218" t="str">
        <f>IF(COUNTIF(B$1:B5218,B5218)=1,MAX(A$1:A5217)+1,"")</f>
        <v/>
      </c>
      <c r="B5218" s="11"/>
      <c r="C5218" s="11" t="str">
        <f>IF(COUNTIF(D$1:D5218,D5218)=1,MAX(C$1:C5217)+1,"")</f>
        <v/>
      </c>
      <c r="D5218" s="12"/>
    </row>
    <row r="5219" spans="1:4" x14ac:dyDescent="0.25">
      <c r="A5219" t="str">
        <f>IF(COUNTIF(B$1:B5219,B5219)=1,MAX(A$1:A5218)+1,"")</f>
        <v/>
      </c>
      <c r="B5219" s="11"/>
      <c r="C5219" s="11" t="str">
        <f>IF(COUNTIF(D$1:D5219,D5219)=1,MAX(C$1:C5218)+1,"")</f>
        <v/>
      </c>
      <c r="D5219" s="12"/>
    </row>
    <row r="5220" spans="1:4" x14ac:dyDescent="0.25">
      <c r="A5220" t="str">
        <f>IF(COUNTIF(B$1:B5220,B5220)=1,MAX(A$1:A5219)+1,"")</f>
        <v/>
      </c>
      <c r="B5220" s="11"/>
      <c r="C5220" s="11" t="str">
        <f>IF(COUNTIF(D$1:D5220,D5220)=1,MAX(C$1:C5219)+1,"")</f>
        <v/>
      </c>
      <c r="D5220" s="12"/>
    </row>
    <row r="5221" spans="1:4" x14ac:dyDescent="0.25">
      <c r="A5221" t="str">
        <f>IF(COUNTIF(B$1:B5221,B5221)=1,MAX(A$1:A5220)+1,"")</f>
        <v/>
      </c>
      <c r="B5221" s="11"/>
      <c r="C5221" s="11" t="str">
        <f>IF(COUNTIF(D$1:D5221,D5221)=1,MAX(C$1:C5220)+1,"")</f>
        <v/>
      </c>
      <c r="D5221" s="12"/>
    </row>
    <row r="5222" spans="1:4" x14ac:dyDescent="0.25">
      <c r="A5222" t="str">
        <f>IF(COUNTIF(B$1:B5222,B5222)=1,MAX(A$1:A5221)+1,"")</f>
        <v/>
      </c>
      <c r="B5222" s="11"/>
      <c r="C5222" s="11" t="str">
        <f>IF(COUNTIF(D$1:D5222,D5222)=1,MAX(C$1:C5221)+1,"")</f>
        <v/>
      </c>
      <c r="D5222" s="12"/>
    </row>
    <row r="5223" spans="1:4" x14ac:dyDescent="0.25">
      <c r="A5223" t="str">
        <f>IF(COUNTIF(B$1:B5223,B5223)=1,MAX(A$1:A5222)+1,"")</f>
        <v/>
      </c>
      <c r="B5223" s="11"/>
      <c r="C5223" s="11" t="str">
        <f>IF(COUNTIF(D$1:D5223,D5223)=1,MAX(C$1:C5222)+1,"")</f>
        <v/>
      </c>
      <c r="D5223" s="12"/>
    </row>
    <row r="5224" spans="1:4" x14ac:dyDescent="0.25">
      <c r="A5224" t="str">
        <f>IF(COUNTIF(B$1:B5224,B5224)=1,MAX(A$1:A5223)+1,"")</f>
        <v/>
      </c>
      <c r="B5224" s="11"/>
      <c r="C5224" s="11" t="str">
        <f>IF(COUNTIF(D$1:D5224,D5224)=1,MAX(C$1:C5223)+1,"")</f>
        <v/>
      </c>
      <c r="D5224" s="12"/>
    </row>
    <row r="5225" spans="1:4" x14ac:dyDescent="0.25">
      <c r="A5225" t="str">
        <f>IF(COUNTIF(B$1:B5225,B5225)=1,MAX(A$1:A5224)+1,"")</f>
        <v/>
      </c>
      <c r="B5225" s="11"/>
      <c r="C5225" s="11" t="str">
        <f>IF(COUNTIF(D$1:D5225,D5225)=1,MAX(C$1:C5224)+1,"")</f>
        <v/>
      </c>
      <c r="D5225" s="12"/>
    </row>
    <row r="5226" spans="1:4" x14ac:dyDescent="0.25">
      <c r="A5226" t="str">
        <f>IF(COUNTIF(B$1:B5226,B5226)=1,MAX(A$1:A5225)+1,"")</f>
        <v/>
      </c>
      <c r="B5226" s="11"/>
      <c r="C5226" s="11" t="str">
        <f>IF(COUNTIF(D$1:D5226,D5226)=1,MAX(C$1:C5225)+1,"")</f>
        <v/>
      </c>
      <c r="D5226" s="12"/>
    </row>
    <row r="5227" spans="1:4" x14ac:dyDescent="0.25">
      <c r="A5227" t="str">
        <f>IF(COUNTIF(B$1:B5227,B5227)=1,MAX(A$1:A5226)+1,"")</f>
        <v/>
      </c>
      <c r="B5227" s="11"/>
      <c r="C5227" s="11" t="str">
        <f>IF(COUNTIF(D$1:D5227,D5227)=1,MAX(C$1:C5226)+1,"")</f>
        <v/>
      </c>
      <c r="D5227" s="12"/>
    </row>
    <row r="5228" spans="1:4" x14ac:dyDescent="0.25">
      <c r="A5228" t="str">
        <f>IF(COUNTIF(B$1:B5228,B5228)=1,MAX(A$1:A5227)+1,"")</f>
        <v/>
      </c>
      <c r="B5228" s="11"/>
      <c r="C5228" s="11" t="str">
        <f>IF(COUNTIF(D$1:D5228,D5228)=1,MAX(C$1:C5227)+1,"")</f>
        <v/>
      </c>
      <c r="D5228" s="12"/>
    </row>
    <row r="5229" spans="1:4" x14ac:dyDescent="0.25">
      <c r="A5229" t="str">
        <f>IF(COUNTIF(B$1:B5229,B5229)=1,MAX(A$1:A5228)+1,"")</f>
        <v/>
      </c>
      <c r="B5229" s="11"/>
      <c r="C5229" s="11" t="str">
        <f>IF(COUNTIF(D$1:D5229,D5229)=1,MAX(C$1:C5228)+1,"")</f>
        <v/>
      </c>
      <c r="D5229" s="12"/>
    </row>
    <row r="5230" spans="1:4" x14ac:dyDescent="0.25">
      <c r="A5230" t="str">
        <f>IF(COUNTIF(B$1:B5230,B5230)=1,MAX(A$1:A5229)+1,"")</f>
        <v/>
      </c>
      <c r="B5230" s="11"/>
      <c r="C5230" s="11" t="str">
        <f>IF(COUNTIF(D$1:D5230,D5230)=1,MAX(C$1:C5229)+1,"")</f>
        <v/>
      </c>
      <c r="D5230" s="12"/>
    </row>
    <row r="5231" spans="1:4" x14ac:dyDescent="0.25">
      <c r="A5231" t="str">
        <f>IF(COUNTIF(B$1:B5231,B5231)=1,MAX(A$1:A5230)+1,"")</f>
        <v/>
      </c>
      <c r="B5231" s="11"/>
      <c r="C5231" s="11" t="str">
        <f>IF(COUNTIF(D$1:D5231,D5231)=1,MAX(C$1:C5230)+1,"")</f>
        <v/>
      </c>
      <c r="D5231" s="12"/>
    </row>
    <row r="5232" spans="1:4" x14ac:dyDescent="0.25">
      <c r="A5232" t="str">
        <f>IF(COUNTIF(B$1:B5232,B5232)=1,MAX(A$1:A5231)+1,"")</f>
        <v/>
      </c>
      <c r="B5232" s="11"/>
      <c r="C5232" s="11" t="str">
        <f>IF(COUNTIF(D$1:D5232,D5232)=1,MAX(C$1:C5231)+1,"")</f>
        <v/>
      </c>
      <c r="D5232" s="12"/>
    </row>
    <row r="5233" spans="1:4" x14ac:dyDescent="0.25">
      <c r="A5233" t="str">
        <f>IF(COUNTIF(B$1:B5233,B5233)=1,MAX(A$1:A5232)+1,"")</f>
        <v/>
      </c>
      <c r="B5233" s="11"/>
      <c r="C5233" s="11" t="str">
        <f>IF(COUNTIF(D$1:D5233,D5233)=1,MAX(C$1:C5232)+1,"")</f>
        <v/>
      </c>
      <c r="D5233" s="12"/>
    </row>
    <row r="5234" spans="1:4" x14ac:dyDescent="0.25">
      <c r="A5234" t="str">
        <f>IF(COUNTIF(B$1:B5234,B5234)=1,MAX(A$1:A5233)+1,"")</f>
        <v/>
      </c>
      <c r="B5234" s="11"/>
      <c r="C5234" s="11" t="str">
        <f>IF(COUNTIF(D$1:D5234,D5234)=1,MAX(C$1:C5233)+1,"")</f>
        <v/>
      </c>
      <c r="D5234" s="12"/>
    </row>
    <row r="5235" spans="1:4" x14ac:dyDescent="0.25">
      <c r="A5235" t="str">
        <f>IF(COUNTIF(B$1:B5235,B5235)=1,MAX(A$1:A5234)+1,"")</f>
        <v/>
      </c>
      <c r="B5235" s="11"/>
      <c r="C5235" s="11" t="str">
        <f>IF(COUNTIF(D$1:D5235,D5235)=1,MAX(C$1:C5234)+1,"")</f>
        <v/>
      </c>
      <c r="D5235" s="12"/>
    </row>
    <row r="5236" spans="1:4" x14ac:dyDescent="0.25">
      <c r="A5236" t="str">
        <f>IF(COUNTIF(B$1:B5236,B5236)=1,MAX(A$1:A5235)+1,"")</f>
        <v/>
      </c>
      <c r="B5236" s="11"/>
      <c r="C5236" s="11" t="str">
        <f>IF(COUNTIF(D$1:D5236,D5236)=1,MAX(C$1:C5235)+1,"")</f>
        <v/>
      </c>
      <c r="D5236" s="12"/>
    </row>
    <row r="5237" spans="1:4" x14ac:dyDescent="0.25">
      <c r="A5237" t="str">
        <f>IF(COUNTIF(B$1:B5237,B5237)=1,MAX(A$1:A5236)+1,"")</f>
        <v/>
      </c>
      <c r="B5237" s="11"/>
      <c r="C5237" s="11" t="str">
        <f>IF(COUNTIF(D$1:D5237,D5237)=1,MAX(C$1:C5236)+1,"")</f>
        <v/>
      </c>
      <c r="D5237" s="12"/>
    </row>
    <row r="5238" spans="1:4" x14ac:dyDescent="0.25">
      <c r="A5238" t="str">
        <f>IF(COUNTIF(B$1:B5238,B5238)=1,MAX(A$1:A5237)+1,"")</f>
        <v/>
      </c>
      <c r="B5238" s="11"/>
      <c r="C5238" s="11" t="str">
        <f>IF(COUNTIF(D$1:D5238,D5238)=1,MAX(C$1:C5237)+1,"")</f>
        <v/>
      </c>
      <c r="D5238" s="12"/>
    </row>
    <row r="5239" spans="1:4" x14ac:dyDescent="0.25">
      <c r="A5239" t="str">
        <f>IF(COUNTIF(B$1:B5239,B5239)=1,MAX(A$1:A5238)+1,"")</f>
        <v/>
      </c>
      <c r="B5239" s="11"/>
      <c r="C5239" s="11" t="str">
        <f>IF(COUNTIF(D$1:D5239,D5239)=1,MAX(C$1:C5238)+1,"")</f>
        <v/>
      </c>
      <c r="D5239" s="12"/>
    </row>
    <row r="5240" spans="1:4" x14ac:dyDescent="0.25">
      <c r="A5240" t="str">
        <f>IF(COUNTIF(B$1:B5240,B5240)=1,MAX(A$1:A5239)+1,"")</f>
        <v/>
      </c>
      <c r="B5240" s="11"/>
      <c r="C5240" s="11" t="str">
        <f>IF(COUNTIF(D$1:D5240,D5240)=1,MAX(C$1:C5239)+1,"")</f>
        <v/>
      </c>
      <c r="D5240" s="12"/>
    </row>
    <row r="5241" spans="1:4" x14ac:dyDescent="0.25">
      <c r="A5241" t="str">
        <f>IF(COUNTIF(B$1:B5241,B5241)=1,MAX(A$1:A5240)+1,"")</f>
        <v/>
      </c>
      <c r="B5241" s="11"/>
      <c r="C5241" s="11" t="str">
        <f>IF(COUNTIF(D$1:D5241,D5241)=1,MAX(C$1:C5240)+1,"")</f>
        <v/>
      </c>
      <c r="D5241" s="12"/>
    </row>
    <row r="5242" spans="1:4" x14ac:dyDescent="0.25">
      <c r="A5242" t="str">
        <f>IF(COUNTIF(B$1:B5242,B5242)=1,MAX(A$1:A5241)+1,"")</f>
        <v/>
      </c>
      <c r="B5242" s="11"/>
      <c r="C5242" s="11" t="str">
        <f>IF(COUNTIF(D$1:D5242,D5242)=1,MAX(C$1:C5241)+1,"")</f>
        <v/>
      </c>
      <c r="D5242" s="12"/>
    </row>
    <row r="5243" spans="1:4" x14ac:dyDescent="0.25">
      <c r="A5243" t="str">
        <f>IF(COUNTIF(B$1:B5243,B5243)=1,MAX(A$1:A5242)+1,"")</f>
        <v/>
      </c>
      <c r="B5243" s="11"/>
      <c r="C5243" s="11" t="str">
        <f>IF(COUNTIF(D$1:D5243,D5243)=1,MAX(C$1:C5242)+1,"")</f>
        <v/>
      </c>
      <c r="D5243" s="12"/>
    </row>
    <row r="5244" spans="1:4" x14ac:dyDescent="0.25">
      <c r="A5244" t="str">
        <f>IF(COUNTIF(B$1:B5244,B5244)=1,MAX(A$1:A5243)+1,"")</f>
        <v/>
      </c>
      <c r="B5244" s="11"/>
      <c r="C5244" s="11" t="str">
        <f>IF(COUNTIF(D$1:D5244,D5244)=1,MAX(C$1:C5243)+1,"")</f>
        <v/>
      </c>
      <c r="D5244" s="12"/>
    </row>
    <row r="5245" spans="1:4" x14ac:dyDescent="0.25">
      <c r="A5245" t="str">
        <f>IF(COUNTIF(B$1:B5245,B5245)=1,MAX(A$1:A5244)+1,"")</f>
        <v/>
      </c>
      <c r="B5245" s="11"/>
      <c r="C5245" s="11" t="str">
        <f>IF(COUNTIF(D$1:D5245,D5245)=1,MAX(C$1:C5244)+1,"")</f>
        <v/>
      </c>
      <c r="D5245" s="12"/>
    </row>
    <row r="5246" spans="1:4" x14ac:dyDescent="0.25">
      <c r="A5246" t="str">
        <f>IF(COUNTIF(B$1:B5246,B5246)=1,MAX(A$1:A5245)+1,"")</f>
        <v/>
      </c>
      <c r="B5246" s="11"/>
      <c r="C5246" s="11" t="str">
        <f>IF(COUNTIF(D$1:D5246,D5246)=1,MAX(C$1:C5245)+1,"")</f>
        <v/>
      </c>
      <c r="D5246" s="12"/>
    </row>
    <row r="5247" spans="1:4" x14ac:dyDescent="0.25">
      <c r="A5247" t="str">
        <f>IF(COUNTIF(B$1:B5247,B5247)=1,MAX(A$1:A5246)+1,"")</f>
        <v/>
      </c>
      <c r="B5247" s="11"/>
      <c r="C5247" s="11" t="str">
        <f>IF(COUNTIF(D$1:D5247,D5247)=1,MAX(C$1:C5246)+1,"")</f>
        <v/>
      </c>
      <c r="D5247" s="12"/>
    </row>
    <row r="5248" spans="1:4" x14ac:dyDescent="0.25">
      <c r="A5248" t="str">
        <f>IF(COUNTIF(B$1:B5248,B5248)=1,MAX(A$1:A5247)+1,"")</f>
        <v/>
      </c>
      <c r="B5248" s="11"/>
      <c r="C5248" s="11" t="str">
        <f>IF(COUNTIF(D$1:D5248,D5248)=1,MAX(C$1:C5247)+1,"")</f>
        <v/>
      </c>
      <c r="D5248" s="12"/>
    </row>
    <row r="5249" spans="1:4" x14ac:dyDescent="0.25">
      <c r="A5249" t="str">
        <f>IF(COUNTIF(B$1:B5249,B5249)=1,MAX(A$1:A5248)+1,"")</f>
        <v/>
      </c>
      <c r="B5249" s="11"/>
      <c r="C5249" s="11" t="str">
        <f>IF(COUNTIF(D$1:D5249,D5249)=1,MAX(C$1:C5248)+1,"")</f>
        <v/>
      </c>
      <c r="D5249" s="12"/>
    </row>
    <row r="5250" spans="1:4" x14ac:dyDescent="0.25">
      <c r="A5250" t="str">
        <f>IF(COUNTIF(B$1:B5250,B5250)=1,MAX(A$1:A5249)+1,"")</f>
        <v/>
      </c>
      <c r="B5250" s="11"/>
      <c r="C5250" s="11" t="str">
        <f>IF(COUNTIF(D$1:D5250,D5250)=1,MAX(C$1:C5249)+1,"")</f>
        <v/>
      </c>
      <c r="D5250" s="12"/>
    </row>
    <row r="5251" spans="1:4" x14ac:dyDescent="0.25">
      <c r="A5251" t="str">
        <f>IF(COUNTIF(B$1:B5251,B5251)=1,MAX(A$1:A5250)+1,"")</f>
        <v/>
      </c>
      <c r="B5251" s="11"/>
      <c r="C5251" s="11" t="str">
        <f>IF(COUNTIF(D$1:D5251,D5251)=1,MAX(C$1:C5250)+1,"")</f>
        <v/>
      </c>
      <c r="D5251" s="12"/>
    </row>
    <row r="5252" spans="1:4" x14ac:dyDescent="0.25">
      <c r="A5252" t="str">
        <f>IF(COUNTIF(B$1:B5252,B5252)=1,MAX(A$1:A5251)+1,"")</f>
        <v/>
      </c>
      <c r="B5252" s="11"/>
      <c r="C5252" s="11" t="str">
        <f>IF(COUNTIF(D$1:D5252,D5252)=1,MAX(C$1:C5251)+1,"")</f>
        <v/>
      </c>
      <c r="D5252" s="12"/>
    </row>
    <row r="5253" spans="1:4" x14ac:dyDescent="0.25">
      <c r="A5253" t="str">
        <f>IF(COUNTIF(B$1:B5253,B5253)=1,MAX(A$1:A5252)+1,"")</f>
        <v/>
      </c>
      <c r="B5253" s="11"/>
      <c r="C5253" s="11" t="str">
        <f>IF(COUNTIF(D$1:D5253,D5253)=1,MAX(C$1:C5252)+1,"")</f>
        <v/>
      </c>
      <c r="D5253" s="12"/>
    </row>
    <row r="5254" spans="1:4" x14ac:dyDescent="0.25">
      <c r="A5254" t="str">
        <f>IF(COUNTIF(B$1:B5254,B5254)=1,MAX(A$1:A5253)+1,"")</f>
        <v/>
      </c>
      <c r="B5254" s="11"/>
      <c r="C5254" s="11" t="str">
        <f>IF(COUNTIF(D$1:D5254,D5254)=1,MAX(C$1:C5253)+1,"")</f>
        <v/>
      </c>
      <c r="D5254" s="12"/>
    </row>
    <row r="5255" spans="1:4" x14ac:dyDescent="0.25">
      <c r="A5255" t="str">
        <f>IF(COUNTIF(B$1:B5255,B5255)=1,MAX(A$1:A5254)+1,"")</f>
        <v/>
      </c>
      <c r="B5255" s="11"/>
      <c r="C5255" s="11" t="str">
        <f>IF(COUNTIF(D$1:D5255,D5255)=1,MAX(C$1:C5254)+1,"")</f>
        <v/>
      </c>
      <c r="D5255" s="12"/>
    </row>
    <row r="5256" spans="1:4" x14ac:dyDescent="0.25">
      <c r="A5256" t="str">
        <f>IF(COUNTIF(B$1:B5256,B5256)=1,MAX(A$1:A5255)+1,"")</f>
        <v/>
      </c>
      <c r="B5256" s="11"/>
      <c r="C5256" s="11" t="str">
        <f>IF(COUNTIF(D$1:D5256,D5256)=1,MAX(C$1:C5255)+1,"")</f>
        <v/>
      </c>
      <c r="D5256" s="12"/>
    </row>
    <row r="5257" spans="1:4" x14ac:dyDescent="0.25">
      <c r="A5257" t="str">
        <f>IF(COUNTIF(B$1:B5257,B5257)=1,MAX(A$1:A5256)+1,"")</f>
        <v/>
      </c>
      <c r="B5257" s="11"/>
      <c r="C5257" s="11" t="str">
        <f>IF(COUNTIF(D$1:D5257,D5257)=1,MAX(C$1:C5256)+1,"")</f>
        <v/>
      </c>
      <c r="D5257" s="12"/>
    </row>
    <row r="5258" spans="1:4" x14ac:dyDescent="0.25">
      <c r="A5258" t="str">
        <f>IF(COUNTIF(B$1:B5258,B5258)=1,MAX(A$1:A5257)+1,"")</f>
        <v/>
      </c>
      <c r="B5258" s="11"/>
      <c r="C5258" s="11" t="str">
        <f>IF(COUNTIF(D$1:D5258,D5258)=1,MAX(C$1:C5257)+1,"")</f>
        <v/>
      </c>
      <c r="D5258" s="12"/>
    </row>
    <row r="5259" spans="1:4" x14ac:dyDescent="0.25">
      <c r="A5259" t="str">
        <f>IF(COUNTIF(B$1:B5259,B5259)=1,MAX(A$1:A5258)+1,"")</f>
        <v/>
      </c>
      <c r="B5259" s="11"/>
      <c r="C5259" s="11" t="str">
        <f>IF(COUNTIF(D$1:D5259,D5259)=1,MAX(C$1:C5258)+1,"")</f>
        <v/>
      </c>
      <c r="D5259" s="12"/>
    </row>
    <row r="5260" spans="1:4" x14ac:dyDescent="0.25">
      <c r="A5260" t="str">
        <f>IF(COUNTIF(B$1:B5260,B5260)=1,MAX(A$1:A5259)+1,"")</f>
        <v/>
      </c>
      <c r="B5260" s="11"/>
      <c r="C5260" s="11" t="str">
        <f>IF(COUNTIF(D$1:D5260,D5260)=1,MAX(C$1:C5259)+1,"")</f>
        <v/>
      </c>
      <c r="D5260" s="12"/>
    </row>
    <row r="5261" spans="1:4" x14ac:dyDescent="0.25">
      <c r="A5261" t="str">
        <f>IF(COUNTIF(B$1:B5261,B5261)=1,MAX(A$1:A5260)+1,"")</f>
        <v/>
      </c>
      <c r="B5261" s="11"/>
      <c r="C5261" s="11" t="str">
        <f>IF(COUNTIF(D$1:D5261,D5261)=1,MAX(C$1:C5260)+1,"")</f>
        <v/>
      </c>
      <c r="D5261" s="12"/>
    </row>
    <row r="5262" spans="1:4" x14ac:dyDescent="0.25">
      <c r="A5262" t="str">
        <f>IF(COUNTIF(B$1:B5262,B5262)=1,MAX(A$1:A5261)+1,"")</f>
        <v/>
      </c>
      <c r="B5262" s="11"/>
      <c r="C5262" s="11" t="str">
        <f>IF(COUNTIF(D$1:D5262,D5262)=1,MAX(C$1:C5261)+1,"")</f>
        <v/>
      </c>
      <c r="D5262" s="12"/>
    </row>
    <row r="5263" spans="1:4" x14ac:dyDescent="0.25">
      <c r="A5263" t="str">
        <f>IF(COUNTIF(B$1:B5263,B5263)=1,MAX(A$1:A5262)+1,"")</f>
        <v/>
      </c>
      <c r="B5263" s="11"/>
      <c r="C5263" s="11" t="str">
        <f>IF(COUNTIF(D$1:D5263,D5263)=1,MAX(C$1:C5262)+1,"")</f>
        <v/>
      </c>
      <c r="D5263" s="12"/>
    </row>
    <row r="5264" spans="1:4" x14ac:dyDescent="0.25">
      <c r="A5264" t="str">
        <f>IF(COUNTIF(B$1:B5264,B5264)=1,MAX(A$1:A5263)+1,"")</f>
        <v/>
      </c>
      <c r="B5264" s="11"/>
      <c r="C5264" s="11" t="str">
        <f>IF(COUNTIF(D$1:D5264,D5264)=1,MAX(C$1:C5263)+1,"")</f>
        <v/>
      </c>
      <c r="D5264" s="12"/>
    </row>
    <row r="5265" spans="1:4" x14ac:dyDescent="0.25">
      <c r="A5265" t="str">
        <f>IF(COUNTIF(B$1:B5265,B5265)=1,MAX(A$1:A5264)+1,"")</f>
        <v/>
      </c>
      <c r="B5265" s="11"/>
      <c r="C5265" s="11" t="str">
        <f>IF(COUNTIF(D$1:D5265,D5265)=1,MAX(C$1:C5264)+1,"")</f>
        <v/>
      </c>
      <c r="D5265" s="12"/>
    </row>
    <row r="5266" spans="1:4" x14ac:dyDescent="0.25">
      <c r="A5266" t="str">
        <f>IF(COUNTIF(B$1:B5266,B5266)=1,MAX(A$1:A5265)+1,"")</f>
        <v/>
      </c>
      <c r="B5266" s="11"/>
      <c r="C5266" s="11" t="str">
        <f>IF(COUNTIF(D$1:D5266,D5266)=1,MAX(C$1:C5265)+1,"")</f>
        <v/>
      </c>
      <c r="D5266" s="12"/>
    </row>
    <row r="5267" spans="1:4" x14ac:dyDescent="0.25">
      <c r="A5267" t="str">
        <f>IF(COUNTIF(B$1:B5267,B5267)=1,MAX(A$1:A5266)+1,"")</f>
        <v/>
      </c>
      <c r="B5267" s="11"/>
      <c r="C5267" s="11" t="str">
        <f>IF(COUNTIF(D$1:D5267,D5267)=1,MAX(C$1:C5266)+1,"")</f>
        <v/>
      </c>
      <c r="D5267" s="12"/>
    </row>
    <row r="5268" spans="1:4" x14ac:dyDescent="0.25">
      <c r="A5268" t="str">
        <f>IF(COUNTIF(B$1:B5268,B5268)=1,MAX(A$1:A5267)+1,"")</f>
        <v/>
      </c>
      <c r="B5268" s="11"/>
      <c r="C5268" s="11" t="str">
        <f>IF(COUNTIF(D$1:D5268,D5268)=1,MAX(C$1:C5267)+1,"")</f>
        <v/>
      </c>
      <c r="D5268" s="12"/>
    </row>
    <row r="5269" spans="1:4" x14ac:dyDescent="0.25">
      <c r="A5269" t="str">
        <f>IF(COUNTIF(B$1:B5269,B5269)=1,MAX(A$1:A5268)+1,"")</f>
        <v/>
      </c>
      <c r="B5269" s="11"/>
      <c r="C5269" s="11" t="str">
        <f>IF(COUNTIF(D$1:D5269,D5269)=1,MAX(C$1:C5268)+1,"")</f>
        <v/>
      </c>
      <c r="D5269" s="12"/>
    </row>
    <row r="5270" spans="1:4" x14ac:dyDescent="0.25">
      <c r="A5270" t="str">
        <f>IF(COUNTIF(B$1:B5270,B5270)=1,MAX(A$1:A5269)+1,"")</f>
        <v/>
      </c>
      <c r="B5270" s="11"/>
      <c r="C5270" s="11" t="str">
        <f>IF(COUNTIF(D$1:D5270,D5270)=1,MAX(C$1:C5269)+1,"")</f>
        <v/>
      </c>
      <c r="D5270" s="12"/>
    </row>
    <row r="5271" spans="1:4" x14ac:dyDescent="0.25">
      <c r="A5271" t="str">
        <f>IF(COUNTIF(B$1:B5271,B5271)=1,MAX(A$1:A5270)+1,"")</f>
        <v/>
      </c>
      <c r="B5271" s="11"/>
      <c r="C5271" s="11" t="str">
        <f>IF(COUNTIF(D$1:D5271,D5271)=1,MAX(C$1:C5270)+1,"")</f>
        <v/>
      </c>
      <c r="D5271" s="12"/>
    </row>
    <row r="5272" spans="1:4" x14ac:dyDescent="0.25">
      <c r="A5272" t="str">
        <f>IF(COUNTIF(B$1:B5272,B5272)=1,MAX(A$1:A5271)+1,"")</f>
        <v/>
      </c>
      <c r="B5272" s="11"/>
      <c r="C5272" s="11" t="str">
        <f>IF(COUNTIF(D$1:D5272,D5272)=1,MAX(C$1:C5271)+1,"")</f>
        <v/>
      </c>
      <c r="D5272" s="12"/>
    </row>
    <row r="5273" spans="1:4" x14ac:dyDescent="0.25">
      <c r="A5273" t="str">
        <f>IF(COUNTIF(B$1:B5273,B5273)=1,MAX(A$1:A5272)+1,"")</f>
        <v/>
      </c>
      <c r="B5273" s="11"/>
      <c r="C5273" s="11" t="str">
        <f>IF(COUNTIF(D$1:D5273,D5273)=1,MAX(C$1:C5272)+1,"")</f>
        <v/>
      </c>
      <c r="D5273" s="12"/>
    </row>
    <row r="5274" spans="1:4" x14ac:dyDescent="0.25">
      <c r="A5274" t="str">
        <f>IF(COUNTIF(B$1:B5274,B5274)=1,MAX(A$1:A5273)+1,"")</f>
        <v/>
      </c>
      <c r="B5274" s="11"/>
      <c r="C5274" s="11" t="str">
        <f>IF(COUNTIF(D$1:D5274,D5274)=1,MAX(C$1:C5273)+1,"")</f>
        <v/>
      </c>
      <c r="D5274" s="12"/>
    </row>
    <row r="5275" spans="1:4" x14ac:dyDescent="0.25">
      <c r="A5275" t="str">
        <f>IF(COUNTIF(B$1:B5275,B5275)=1,MAX(A$1:A5274)+1,"")</f>
        <v/>
      </c>
      <c r="B5275" s="11"/>
      <c r="C5275" s="11" t="str">
        <f>IF(COUNTIF(D$1:D5275,D5275)=1,MAX(C$1:C5274)+1,"")</f>
        <v/>
      </c>
      <c r="D5275" s="12"/>
    </row>
    <row r="5276" spans="1:4" x14ac:dyDescent="0.25">
      <c r="A5276" t="str">
        <f>IF(COUNTIF(B$1:B5276,B5276)=1,MAX(A$1:A5275)+1,"")</f>
        <v/>
      </c>
      <c r="B5276" s="11"/>
      <c r="C5276" s="11" t="str">
        <f>IF(COUNTIF(D$1:D5276,D5276)=1,MAX(C$1:C5275)+1,"")</f>
        <v/>
      </c>
      <c r="D5276" s="12"/>
    </row>
    <row r="5277" spans="1:4" x14ac:dyDescent="0.25">
      <c r="A5277" t="str">
        <f>IF(COUNTIF(B$1:B5277,B5277)=1,MAX(A$1:A5276)+1,"")</f>
        <v/>
      </c>
      <c r="B5277" s="11"/>
      <c r="C5277" s="11" t="str">
        <f>IF(COUNTIF(D$1:D5277,D5277)=1,MAX(C$1:C5276)+1,"")</f>
        <v/>
      </c>
      <c r="D5277" s="12"/>
    </row>
    <row r="5278" spans="1:4" x14ac:dyDescent="0.25">
      <c r="A5278" t="str">
        <f>IF(COUNTIF(B$1:B5278,B5278)=1,MAX(A$1:A5277)+1,"")</f>
        <v/>
      </c>
      <c r="B5278" s="11"/>
      <c r="C5278" s="11" t="str">
        <f>IF(COUNTIF(D$1:D5278,D5278)=1,MAX(C$1:C5277)+1,"")</f>
        <v/>
      </c>
      <c r="D5278" s="12"/>
    </row>
    <row r="5279" spans="1:4" x14ac:dyDescent="0.25">
      <c r="A5279" t="str">
        <f>IF(COUNTIF(B$1:B5279,B5279)=1,MAX(A$1:A5278)+1,"")</f>
        <v/>
      </c>
      <c r="B5279" s="11"/>
      <c r="C5279" s="11" t="str">
        <f>IF(COUNTIF(D$1:D5279,D5279)=1,MAX(C$1:C5278)+1,"")</f>
        <v/>
      </c>
      <c r="D5279" s="12"/>
    </row>
    <row r="5280" spans="1:4" x14ac:dyDescent="0.25">
      <c r="A5280" t="str">
        <f>IF(COUNTIF(B$1:B5280,B5280)=1,MAX(A$1:A5279)+1,"")</f>
        <v/>
      </c>
      <c r="B5280" s="11"/>
      <c r="C5280" s="11" t="str">
        <f>IF(COUNTIF(D$1:D5280,D5280)=1,MAX(C$1:C5279)+1,"")</f>
        <v/>
      </c>
      <c r="D5280" s="12"/>
    </row>
    <row r="5281" spans="1:4" x14ac:dyDescent="0.25">
      <c r="A5281" t="str">
        <f>IF(COUNTIF(B$1:B5281,B5281)=1,MAX(A$1:A5280)+1,"")</f>
        <v/>
      </c>
      <c r="B5281" s="11"/>
      <c r="C5281" s="11" t="str">
        <f>IF(COUNTIF(D$1:D5281,D5281)=1,MAX(C$1:C5280)+1,"")</f>
        <v/>
      </c>
      <c r="D5281" s="12"/>
    </row>
    <row r="5282" spans="1:4" x14ac:dyDescent="0.25">
      <c r="A5282" t="str">
        <f>IF(COUNTIF(B$1:B5282,B5282)=1,MAX(A$1:A5281)+1,"")</f>
        <v/>
      </c>
      <c r="B5282" s="11"/>
      <c r="C5282" s="11" t="str">
        <f>IF(COUNTIF(D$1:D5282,D5282)=1,MAX(C$1:C5281)+1,"")</f>
        <v/>
      </c>
      <c r="D5282" s="12"/>
    </row>
    <row r="5283" spans="1:4" x14ac:dyDescent="0.25">
      <c r="A5283" t="str">
        <f>IF(COUNTIF(B$1:B5283,B5283)=1,MAX(A$1:A5282)+1,"")</f>
        <v/>
      </c>
      <c r="B5283" s="11"/>
      <c r="C5283" s="11" t="str">
        <f>IF(COUNTIF(D$1:D5283,D5283)=1,MAX(C$1:C5282)+1,"")</f>
        <v/>
      </c>
      <c r="D5283" s="12"/>
    </row>
    <row r="5284" spans="1:4" x14ac:dyDescent="0.25">
      <c r="A5284" t="str">
        <f>IF(COUNTIF(B$1:B5284,B5284)=1,MAX(A$1:A5283)+1,"")</f>
        <v/>
      </c>
      <c r="B5284" s="11"/>
      <c r="C5284" s="11" t="str">
        <f>IF(COUNTIF(D$1:D5284,D5284)=1,MAX(C$1:C5283)+1,"")</f>
        <v/>
      </c>
      <c r="D5284" s="12"/>
    </row>
    <row r="5285" spans="1:4" x14ac:dyDescent="0.25">
      <c r="A5285" t="str">
        <f>IF(COUNTIF(B$1:B5285,B5285)=1,MAX(A$1:A5284)+1,"")</f>
        <v/>
      </c>
      <c r="B5285" s="11"/>
      <c r="C5285" s="11" t="str">
        <f>IF(COUNTIF(D$1:D5285,D5285)=1,MAX(C$1:C5284)+1,"")</f>
        <v/>
      </c>
      <c r="D5285" s="12"/>
    </row>
    <row r="5286" spans="1:4" x14ac:dyDescent="0.25">
      <c r="A5286" t="str">
        <f>IF(COUNTIF(B$1:B5286,B5286)=1,MAX(A$1:A5285)+1,"")</f>
        <v/>
      </c>
      <c r="B5286" s="11"/>
      <c r="C5286" s="11" t="str">
        <f>IF(COUNTIF(D$1:D5286,D5286)=1,MAX(C$1:C5285)+1,"")</f>
        <v/>
      </c>
      <c r="D5286" s="12"/>
    </row>
    <row r="5287" spans="1:4" x14ac:dyDescent="0.25">
      <c r="A5287" t="str">
        <f>IF(COUNTIF(B$1:B5287,B5287)=1,MAX(A$1:A5286)+1,"")</f>
        <v/>
      </c>
      <c r="B5287" s="11"/>
      <c r="C5287" s="11" t="str">
        <f>IF(COUNTIF(D$1:D5287,D5287)=1,MAX(C$1:C5286)+1,"")</f>
        <v/>
      </c>
      <c r="D5287" s="12"/>
    </row>
    <row r="5288" spans="1:4" x14ac:dyDescent="0.25">
      <c r="A5288" t="str">
        <f>IF(COUNTIF(B$1:B5288,B5288)=1,MAX(A$1:A5287)+1,"")</f>
        <v/>
      </c>
      <c r="B5288" s="11"/>
      <c r="C5288" s="11" t="str">
        <f>IF(COUNTIF(D$1:D5288,D5288)=1,MAX(C$1:C5287)+1,"")</f>
        <v/>
      </c>
      <c r="D5288" s="12"/>
    </row>
    <row r="5289" spans="1:4" x14ac:dyDescent="0.25">
      <c r="A5289" t="str">
        <f>IF(COUNTIF(B$1:B5289,B5289)=1,MAX(A$1:A5288)+1,"")</f>
        <v/>
      </c>
      <c r="B5289" s="11"/>
      <c r="C5289" s="11" t="str">
        <f>IF(COUNTIF(D$1:D5289,D5289)=1,MAX(C$1:C5288)+1,"")</f>
        <v/>
      </c>
      <c r="D5289" s="12"/>
    </row>
    <row r="5290" spans="1:4" x14ac:dyDescent="0.25">
      <c r="A5290" t="str">
        <f>IF(COUNTIF(B$1:B5290,B5290)=1,MAX(A$1:A5289)+1,"")</f>
        <v/>
      </c>
      <c r="B5290" s="11"/>
      <c r="C5290" s="11" t="str">
        <f>IF(COUNTIF(D$1:D5290,D5290)=1,MAX(C$1:C5289)+1,"")</f>
        <v/>
      </c>
      <c r="D5290" s="12"/>
    </row>
    <row r="5291" spans="1:4" x14ac:dyDescent="0.25">
      <c r="A5291" t="str">
        <f>IF(COUNTIF(B$1:B5291,B5291)=1,MAX(A$1:A5290)+1,"")</f>
        <v/>
      </c>
      <c r="B5291" s="11"/>
      <c r="C5291" s="11" t="str">
        <f>IF(COUNTIF(D$1:D5291,D5291)=1,MAX(C$1:C5290)+1,"")</f>
        <v/>
      </c>
      <c r="D5291" s="12"/>
    </row>
    <row r="5292" spans="1:4" x14ac:dyDescent="0.25">
      <c r="A5292" t="str">
        <f>IF(COUNTIF(B$1:B5292,B5292)=1,MAX(A$1:A5291)+1,"")</f>
        <v/>
      </c>
      <c r="B5292" s="11"/>
      <c r="C5292" s="11" t="str">
        <f>IF(COUNTIF(D$1:D5292,D5292)=1,MAX(C$1:C5291)+1,"")</f>
        <v/>
      </c>
      <c r="D5292" s="12"/>
    </row>
    <row r="5293" spans="1:4" x14ac:dyDescent="0.25">
      <c r="A5293" t="str">
        <f>IF(COUNTIF(B$1:B5293,B5293)=1,MAX(A$1:A5292)+1,"")</f>
        <v/>
      </c>
      <c r="B5293" s="11"/>
      <c r="C5293" s="11" t="str">
        <f>IF(COUNTIF(D$1:D5293,D5293)=1,MAX(C$1:C5292)+1,"")</f>
        <v/>
      </c>
      <c r="D5293" s="12"/>
    </row>
    <row r="5294" spans="1:4" x14ac:dyDescent="0.25">
      <c r="A5294" t="str">
        <f>IF(COUNTIF(B$1:B5294,B5294)=1,MAX(A$1:A5293)+1,"")</f>
        <v/>
      </c>
      <c r="B5294" s="11"/>
      <c r="C5294" s="11" t="str">
        <f>IF(COUNTIF(D$1:D5294,D5294)=1,MAX(C$1:C5293)+1,"")</f>
        <v/>
      </c>
      <c r="D5294" s="12"/>
    </row>
    <row r="5295" spans="1:4" x14ac:dyDescent="0.25">
      <c r="A5295" t="str">
        <f>IF(COUNTIF(B$1:B5295,B5295)=1,MAX(A$1:A5294)+1,"")</f>
        <v/>
      </c>
      <c r="B5295" s="11"/>
      <c r="C5295" s="11" t="str">
        <f>IF(COUNTIF(D$1:D5295,D5295)=1,MAX(C$1:C5294)+1,"")</f>
        <v/>
      </c>
      <c r="D5295" s="12"/>
    </row>
    <row r="5296" spans="1:4" x14ac:dyDescent="0.25">
      <c r="A5296" t="str">
        <f>IF(COUNTIF(B$1:B5296,B5296)=1,MAX(A$1:A5295)+1,"")</f>
        <v/>
      </c>
      <c r="B5296" s="11"/>
      <c r="C5296" s="11" t="str">
        <f>IF(COUNTIF(D$1:D5296,D5296)=1,MAX(C$1:C5295)+1,"")</f>
        <v/>
      </c>
      <c r="D5296" s="12"/>
    </row>
    <row r="5297" spans="1:4" x14ac:dyDescent="0.25">
      <c r="A5297" t="str">
        <f>IF(COUNTIF(B$1:B5297,B5297)=1,MAX(A$1:A5296)+1,"")</f>
        <v/>
      </c>
      <c r="B5297" s="11"/>
      <c r="C5297" s="11" t="str">
        <f>IF(COUNTIF(D$1:D5297,D5297)=1,MAX(C$1:C5296)+1,"")</f>
        <v/>
      </c>
      <c r="D5297" s="12"/>
    </row>
    <row r="5298" spans="1:4" x14ac:dyDescent="0.25">
      <c r="A5298" t="str">
        <f>IF(COUNTIF(B$1:B5298,B5298)=1,MAX(A$1:A5297)+1,"")</f>
        <v/>
      </c>
      <c r="B5298" s="11"/>
      <c r="C5298" s="11" t="str">
        <f>IF(COUNTIF(D$1:D5298,D5298)=1,MAX(C$1:C5297)+1,"")</f>
        <v/>
      </c>
      <c r="D5298" s="12"/>
    </row>
    <row r="5299" spans="1:4" x14ac:dyDescent="0.25">
      <c r="A5299" t="str">
        <f>IF(COUNTIF(B$1:B5299,B5299)=1,MAX(A$1:A5298)+1,"")</f>
        <v/>
      </c>
      <c r="B5299" s="11"/>
      <c r="C5299" s="11" t="str">
        <f>IF(COUNTIF(D$1:D5299,D5299)=1,MAX(C$1:C5298)+1,"")</f>
        <v/>
      </c>
      <c r="D5299" s="12"/>
    </row>
    <row r="5300" spans="1:4" x14ac:dyDescent="0.25">
      <c r="A5300" t="str">
        <f>IF(COUNTIF(B$1:B5300,B5300)=1,MAX(A$1:A5299)+1,"")</f>
        <v/>
      </c>
      <c r="B5300" s="11"/>
      <c r="C5300" s="11" t="str">
        <f>IF(COUNTIF(D$1:D5300,D5300)=1,MAX(C$1:C5299)+1,"")</f>
        <v/>
      </c>
      <c r="D5300" s="12"/>
    </row>
    <row r="5301" spans="1:4" x14ac:dyDescent="0.25">
      <c r="A5301" t="str">
        <f>IF(COUNTIF(B$1:B5301,B5301)=1,MAX(A$1:A5300)+1,"")</f>
        <v/>
      </c>
      <c r="B5301" s="11"/>
      <c r="C5301" s="11" t="str">
        <f>IF(COUNTIF(D$1:D5301,D5301)=1,MAX(C$1:C5300)+1,"")</f>
        <v/>
      </c>
      <c r="D5301" s="12"/>
    </row>
    <row r="5302" spans="1:4" x14ac:dyDescent="0.25">
      <c r="A5302" t="str">
        <f>IF(COUNTIF(B$1:B5302,B5302)=1,MAX(A$1:A5301)+1,"")</f>
        <v/>
      </c>
      <c r="B5302" s="11"/>
      <c r="C5302" s="11" t="str">
        <f>IF(COUNTIF(D$1:D5302,D5302)=1,MAX(C$1:C5301)+1,"")</f>
        <v/>
      </c>
      <c r="D5302" s="12"/>
    </row>
    <row r="5303" spans="1:4" x14ac:dyDescent="0.25">
      <c r="A5303" t="str">
        <f>IF(COUNTIF(B$1:B5303,B5303)=1,MAX(A$1:A5302)+1,"")</f>
        <v/>
      </c>
      <c r="B5303" s="11"/>
      <c r="C5303" s="11" t="str">
        <f>IF(COUNTIF(D$1:D5303,D5303)=1,MAX(C$1:C5302)+1,"")</f>
        <v/>
      </c>
      <c r="D5303" s="12"/>
    </row>
    <row r="5304" spans="1:4" x14ac:dyDescent="0.25">
      <c r="A5304" t="str">
        <f>IF(COUNTIF(B$1:B5304,B5304)=1,MAX(A$1:A5303)+1,"")</f>
        <v/>
      </c>
      <c r="B5304" s="11"/>
      <c r="C5304" s="11" t="str">
        <f>IF(COUNTIF(D$1:D5304,D5304)=1,MAX(C$1:C5303)+1,"")</f>
        <v/>
      </c>
      <c r="D5304" s="12"/>
    </row>
    <row r="5305" spans="1:4" x14ac:dyDescent="0.25">
      <c r="A5305" t="str">
        <f>IF(COUNTIF(B$1:B5305,B5305)=1,MAX(A$1:A5304)+1,"")</f>
        <v/>
      </c>
      <c r="B5305" s="11"/>
      <c r="C5305" s="11" t="str">
        <f>IF(COUNTIF(D$1:D5305,D5305)=1,MAX(C$1:C5304)+1,"")</f>
        <v/>
      </c>
      <c r="D5305" s="12"/>
    </row>
    <row r="5306" spans="1:4" x14ac:dyDescent="0.25">
      <c r="A5306" t="str">
        <f>IF(COUNTIF(B$1:B5306,B5306)=1,MAX(A$1:A5305)+1,"")</f>
        <v/>
      </c>
      <c r="B5306" s="11"/>
      <c r="C5306" s="11" t="str">
        <f>IF(COUNTIF(D$1:D5306,D5306)=1,MAX(C$1:C5305)+1,"")</f>
        <v/>
      </c>
      <c r="D5306" s="12"/>
    </row>
    <row r="5307" spans="1:4" x14ac:dyDescent="0.25">
      <c r="A5307" t="str">
        <f>IF(COUNTIF(B$1:B5307,B5307)=1,MAX(A$1:A5306)+1,"")</f>
        <v/>
      </c>
      <c r="B5307" s="11"/>
      <c r="C5307" s="11" t="str">
        <f>IF(COUNTIF(D$1:D5307,D5307)=1,MAX(C$1:C5306)+1,"")</f>
        <v/>
      </c>
      <c r="D5307" s="12"/>
    </row>
    <row r="5308" spans="1:4" x14ac:dyDescent="0.25">
      <c r="A5308" t="str">
        <f>IF(COUNTIF(B$1:B5308,B5308)=1,MAX(A$1:A5307)+1,"")</f>
        <v/>
      </c>
      <c r="B5308" s="11"/>
      <c r="C5308" s="11" t="str">
        <f>IF(COUNTIF(D$1:D5308,D5308)=1,MAX(C$1:C5307)+1,"")</f>
        <v/>
      </c>
      <c r="D5308" s="12"/>
    </row>
    <row r="5309" spans="1:4" x14ac:dyDescent="0.25">
      <c r="A5309" t="str">
        <f>IF(COUNTIF(B$1:B5309,B5309)=1,MAX(A$1:A5308)+1,"")</f>
        <v/>
      </c>
      <c r="B5309" s="11"/>
      <c r="C5309" s="11" t="str">
        <f>IF(COUNTIF(D$1:D5309,D5309)=1,MAX(C$1:C5308)+1,"")</f>
        <v/>
      </c>
      <c r="D5309" s="12"/>
    </row>
    <row r="5310" spans="1:4" x14ac:dyDescent="0.25">
      <c r="A5310" t="str">
        <f>IF(COUNTIF(B$1:B5310,B5310)=1,MAX(A$1:A5309)+1,"")</f>
        <v/>
      </c>
      <c r="B5310" s="11"/>
      <c r="C5310" s="11" t="str">
        <f>IF(COUNTIF(D$1:D5310,D5310)=1,MAX(C$1:C5309)+1,"")</f>
        <v/>
      </c>
      <c r="D5310" s="12"/>
    </row>
    <row r="5311" spans="1:4" x14ac:dyDescent="0.25">
      <c r="A5311" t="str">
        <f>IF(COUNTIF(B$1:B5311,B5311)=1,MAX(A$1:A5310)+1,"")</f>
        <v/>
      </c>
      <c r="B5311" s="11"/>
      <c r="C5311" s="11" t="str">
        <f>IF(COUNTIF(D$1:D5311,D5311)=1,MAX(C$1:C5310)+1,"")</f>
        <v/>
      </c>
      <c r="D5311" s="12"/>
    </row>
    <row r="5312" spans="1:4" x14ac:dyDescent="0.25">
      <c r="A5312" t="str">
        <f>IF(COUNTIF(B$1:B5312,B5312)=1,MAX(A$1:A5311)+1,"")</f>
        <v/>
      </c>
      <c r="B5312" s="11"/>
      <c r="C5312" s="11" t="str">
        <f>IF(COUNTIF(D$1:D5312,D5312)=1,MAX(C$1:C5311)+1,"")</f>
        <v/>
      </c>
      <c r="D5312" s="12"/>
    </row>
    <row r="5313" spans="1:4" x14ac:dyDescent="0.25">
      <c r="A5313" t="str">
        <f>IF(COUNTIF(B$1:B5313,B5313)=1,MAX(A$1:A5312)+1,"")</f>
        <v/>
      </c>
      <c r="B5313" s="11"/>
      <c r="C5313" s="11" t="str">
        <f>IF(COUNTIF(D$1:D5313,D5313)=1,MAX(C$1:C5312)+1,"")</f>
        <v/>
      </c>
      <c r="D5313" s="12"/>
    </row>
    <row r="5314" spans="1:4" x14ac:dyDescent="0.25">
      <c r="A5314" t="str">
        <f>IF(COUNTIF(B$1:B5314,B5314)=1,MAX(A$1:A5313)+1,"")</f>
        <v/>
      </c>
      <c r="B5314" s="11"/>
      <c r="C5314" s="11" t="str">
        <f>IF(COUNTIF(D$1:D5314,D5314)=1,MAX(C$1:C5313)+1,"")</f>
        <v/>
      </c>
      <c r="D5314" s="12"/>
    </row>
    <row r="5315" spans="1:4" x14ac:dyDescent="0.25">
      <c r="A5315" t="str">
        <f>IF(COUNTIF(B$1:B5315,B5315)=1,MAX(A$1:A5314)+1,"")</f>
        <v/>
      </c>
      <c r="B5315" s="11"/>
      <c r="C5315" s="11" t="str">
        <f>IF(COUNTIF(D$1:D5315,D5315)=1,MAX(C$1:C5314)+1,"")</f>
        <v/>
      </c>
      <c r="D5315" s="12"/>
    </row>
    <row r="5316" spans="1:4" x14ac:dyDescent="0.25">
      <c r="A5316" t="str">
        <f>IF(COUNTIF(B$1:B5316,B5316)=1,MAX(A$1:A5315)+1,"")</f>
        <v/>
      </c>
      <c r="B5316" s="11"/>
      <c r="C5316" s="11" t="str">
        <f>IF(COUNTIF(D$1:D5316,D5316)=1,MAX(C$1:C5315)+1,"")</f>
        <v/>
      </c>
      <c r="D5316" s="12"/>
    </row>
    <row r="5317" spans="1:4" x14ac:dyDescent="0.25">
      <c r="A5317" t="str">
        <f>IF(COUNTIF(B$1:B5317,B5317)=1,MAX(A$1:A5316)+1,"")</f>
        <v/>
      </c>
      <c r="B5317" s="11"/>
      <c r="C5317" s="11" t="str">
        <f>IF(COUNTIF(D$1:D5317,D5317)=1,MAX(C$1:C5316)+1,"")</f>
        <v/>
      </c>
      <c r="D5317" s="12"/>
    </row>
    <row r="5318" spans="1:4" x14ac:dyDescent="0.25">
      <c r="A5318" t="str">
        <f>IF(COUNTIF(B$1:B5318,B5318)=1,MAX(A$1:A5317)+1,"")</f>
        <v/>
      </c>
      <c r="B5318" s="11"/>
      <c r="C5318" s="11" t="str">
        <f>IF(COUNTIF(D$1:D5318,D5318)=1,MAX(C$1:C5317)+1,"")</f>
        <v/>
      </c>
      <c r="D5318" s="12"/>
    </row>
    <row r="5319" spans="1:4" x14ac:dyDescent="0.25">
      <c r="A5319" t="str">
        <f>IF(COUNTIF(B$1:B5319,B5319)=1,MAX(A$1:A5318)+1,"")</f>
        <v/>
      </c>
      <c r="B5319" s="11"/>
      <c r="C5319" s="11" t="str">
        <f>IF(COUNTIF(D$1:D5319,D5319)=1,MAX(C$1:C5318)+1,"")</f>
        <v/>
      </c>
      <c r="D5319" s="12"/>
    </row>
    <row r="5320" spans="1:4" x14ac:dyDescent="0.25">
      <c r="A5320" t="str">
        <f>IF(COUNTIF(B$1:B5320,B5320)=1,MAX(A$1:A5319)+1,"")</f>
        <v/>
      </c>
      <c r="B5320" s="11"/>
      <c r="C5320" s="11" t="str">
        <f>IF(COUNTIF(D$1:D5320,D5320)=1,MAX(C$1:C5319)+1,"")</f>
        <v/>
      </c>
      <c r="D5320" s="12"/>
    </row>
    <row r="5321" spans="1:4" x14ac:dyDescent="0.25">
      <c r="A5321" t="str">
        <f>IF(COUNTIF(B$1:B5321,B5321)=1,MAX(A$1:A5320)+1,"")</f>
        <v/>
      </c>
      <c r="B5321" s="11"/>
      <c r="C5321" s="11" t="str">
        <f>IF(COUNTIF(D$1:D5321,D5321)=1,MAX(C$1:C5320)+1,"")</f>
        <v/>
      </c>
      <c r="D5321" s="12"/>
    </row>
    <row r="5322" spans="1:4" x14ac:dyDescent="0.25">
      <c r="A5322" t="str">
        <f>IF(COUNTIF(B$1:B5322,B5322)=1,MAX(A$1:A5321)+1,"")</f>
        <v/>
      </c>
      <c r="B5322" s="11"/>
      <c r="C5322" s="11" t="str">
        <f>IF(COUNTIF(D$1:D5322,D5322)=1,MAX(C$1:C5321)+1,"")</f>
        <v/>
      </c>
      <c r="D5322" s="12"/>
    </row>
    <row r="5323" spans="1:4" x14ac:dyDescent="0.25">
      <c r="A5323" t="str">
        <f>IF(COUNTIF(B$1:B5323,B5323)=1,MAX(A$1:A5322)+1,"")</f>
        <v/>
      </c>
      <c r="B5323" s="11"/>
      <c r="C5323" s="11" t="str">
        <f>IF(COUNTIF(D$1:D5323,D5323)=1,MAX(C$1:C5322)+1,"")</f>
        <v/>
      </c>
      <c r="D5323" s="12"/>
    </row>
    <row r="5324" spans="1:4" x14ac:dyDescent="0.25">
      <c r="A5324" t="str">
        <f>IF(COUNTIF(B$1:B5324,B5324)=1,MAX(A$1:A5323)+1,"")</f>
        <v/>
      </c>
      <c r="B5324" s="11"/>
      <c r="C5324" s="11" t="str">
        <f>IF(COUNTIF(D$1:D5324,D5324)=1,MAX(C$1:C5323)+1,"")</f>
        <v/>
      </c>
      <c r="D5324" s="12"/>
    </row>
    <row r="5325" spans="1:4" x14ac:dyDescent="0.25">
      <c r="A5325" t="str">
        <f>IF(COUNTIF(B$1:B5325,B5325)=1,MAX(A$1:A5324)+1,"")</f>
        <v/>
      </c>
      <c r="B5325" s="11"/>
      <c r="C5325" s="11" t="str">
        <f>IF(COUNTIF(D$1:D5325,D5325)=1,MAX(C$1:C5324)+1,"")</f>
        <v/>
      </c>
      <c r="D5325" s="12"/>
    </row>
    <row r="5326" spans="1:4" x14ac:dyDescent="0.25">
      <c r="A5326" t="str">
        <f>IF(COUNTIF(B$1:B5326,B5326)=1,MAX(A$1:A5325)+1,"")</f>
        <v/>
      </c>
      <c r="B5326" s="11"/>
      <c r="C5326" s="11" t="str">
        <f>IF(COUNTIF(D$1:D5326,D5326)=1,MAX(C$1:C5325)+1,"")</f>
        <v/>
      </c>
      <c r="D5326" s="12"/>
    </row>
    <row r="5327" spans="1:4" x14ac:dyDescent="0.25">
      <c r="A5327" t="str">
        <f>IF(COUNTIF(B$1:B5327,B5327)=1,MAX(A$1:A5326)+1,"")</f>
        <v/>
      </c>
      <c r="B5327" s="11"/>
      <c r="C5327" s="11" t="str">
        <f>IF(COUNTIF(D$1:D5327,D5327)=1,MAX(C$1:C5326)+1,"")</f>
        <v/>
      </c>
      <c r="D5327" s="12"/>
    </row>
    <row r="5328" spans="1:4" x14ac:dyDescent="0.25">
      <c r="A5328" t="str">
        <f>IF(COUNTIF(B$1:B5328,B5328)=1,MAX(A$1:A5327)+1,"")</f>
        <v/>
      </c>
      <c r="B5328" s="11"/>
      <c r="C5328" s="11" t="str">
        <f>IF(COUNTIF(D$1:D5328,D5328)=1,MAX(C$1:C5327)+1,"")</f>
        <v/>
      </c>
      <c r="D5328" s="12"/>
    </row>
    <row r="5329" spans="1:4" x14ac:dyDescent="0.25">
      <c r="A5329" t="str">
        <f>IF(COUNTIF(B$1:B5329,B5329)=1,MAX(A$1:A5328)+1,"")</f>
        <v/>
      </c>
      <c r="B5329" s="11"/>
      <c r="C5329" s="11" t="str">
        <f>IF(COUNTIF(D$1:D5329,D5329)=1,MAX(C$1:C5328)+1,"")</f>
        <v/>
      </c>
      <c r="D5329" s="12"/>
    </row>
    <row r="5330" spans="1:4" x14ac:dyDescent="0.25">
      <c r="A5330" t="str">
        <f>IF(COUNTIF(B$1:B5330,B5330)=1,MAX(A$1:A5329)+1,"")</f>
        <v/>
      </c>
      <c r="B5330" s="11"/>
      <c r="C5330" s="11" t="str">
        <f>IF(COUNTIF(D$1:D5330,D5330)=1,MAX(C$1:C5329)+1,"")</f>
        <v/>
      </c>
      <c r="D5330" s="12"/>
    </row>
    <row r="5331" spans="1:4" x14ac:dyDescent="0.25">
      <c r="A5331" t="str">
        <f>IF(COUNTIF(B$1:B5331,B5331)=1,MAX(A$1:A5330)+1,"")</f>
        <v/>
      </c>
      <c r="B5331" s="11"/>
      <c r="C5331" s="11" t="str">
        <f>IF(COUNTIF(D$1:D5331,D5331)=1,MAX(C$1:C5330)+1,"")</f>
        <v/>
      </c>
      <c r="D5331" s="12"/>
    </row>
    <row r="5332" spans="1:4" x14ac:dyDescent="0.25">
      <c r="A5332" t="str">
        <f>IF(COUNTIF(B$1:B5332,B5332)=1,MAX(A$1:A5331)+1,"")</f>
        <v/>
      </c>
      <c r="B5332" s="11"/>
      <c r="C5332" s="11" t="str">
        <f>IF(COUNTIF(D$1:D5332,D5332)=1,MAX(C$1:C5331)+1,"")</f>
        <v/>
      </c>
      <c r="D5332" s="12"/>
    </row>
    <row r="5333" spans="1:4" x14ac:dyDescent="0.25">
      <c r="A5333" t="str">
        <f>IF(COUNTIF(B$1:B5333,B5333)=1,MAX(A$1:A5332)+1,"")</f>
        <v/>
      </c>
      <c r="B5333" s="11"/>
      <c r="C5333" s="11" t="str">
        <f>IF(COUNTIF(D$1:D5333,D5333)=1,MAX(C$1:C5332)+1,"")</f>
        <v/>
      </c>
      <c r="D5333" s="12"/>
    </row>
    <row r="5334" spans="1:4" x14ac:dyDescent="0.25">
      <c r="A5334" t="str">
        <f>IF(COUNTIF(B$1:B5334,B5334)=1,MAX(A$1:A5333)+1,"")</f>
        <v/>
      </c>
      <c r="B5334" s="11"/>
      <c r="C5334" s="11" t="str">
        <f>IF(COUNTIF(D$1:D5334,D5334)=1,MAX(C$1:C5333)+1,"")</f>
        <v/>
      </c>
      <c r="D5334" s="12"/>
    </row>
    <row r="5335" spans="1:4" x14ac:dyDescent="0.25">
      <c r="A5335" t="str">
        <f>IF(COUNTIF(B$1:B5335,B5335)=1,MAX(A$1:A5334)+1,"")</f>
        <v/>
      </c>
      <c r="B5335" s="11"/>
      <c r="C5335" s="11" t="str">
        <f>IF(COUNTIF(D$1:D5335,D5335)=1,MAX(C$1:C5334)+1,"")</f>
        <v/>
      </c>
      <c r="D5335" s="12"/>
    </row>
    <row r="5336" spans="1:4" x14ac:dyDescent="0.25">
      <c r="A5336" t="str">
        <f>IF(COUNTIF(B$1:B5336,B5336)=1,MAX(A$1:A5335)+1,"")</f>
        <v/>
      </c>
      <c r="B5336" s="11"/>
      <c r="C5336" s="11" t="str">
        <f>IF(COUNTIF(D$1:D5336,D5336)=1,MAX(C$1:C5335)+1,"")</f>
        <v/>
      </c>
      <c r="D5336" s="12"/>
    </row>
    <row r="5337" spans="1:4" x14ac:dyDescent="0.25">
      <c r="A5337" t="str">
        <f>IF(COUNTIF(B$1:B5337,B5337)=1,MAX(A$1:A5336)+1,"")</f>
        <v/>
      </c>
      <c r="B5337" s="11"/>
      <c r="C5337" s="11" t="str">
        <f>IF(COUNTIF(D$1:D5337,D5337)=1,MAX(C$1:C5336)+1,"")</f>
        <v/>
      </c>
      <c r="D5337" s="12"/>
    </row>
    <row r="5338" spans="1:4" x14ac:dyDescent="0.25">
      <c r="A5338" t="str">
        <f>IF(COUNTIF(B$1:B5338,B5338)=1,MAX(A$1:A5337)+1,"")</f>
        <v/>
      </c>
      <c r="B5338" s="11"/>
      <c r="C5338" s="11" t="str">
        <f>IF(COUNTIF(D$1:D5338,D5338)=1,MAX(C$1:C5337)+1,"")</f>
        <v/>
      </c>
      <c r="D5338" s="12"/>
    </row>
    <row r="5339" spans="1:4" x14ac:dyDescent="0.25">
      <c r="A5339" t="str">
        <f>IF(COUNTIF(B$1:B5339,B5339)=1,MAX(A$1:A5338)+1,"")</f>
        <v/>
      </c>
      <c r="B5339" s="11"/>
      <c r="C5339" s="11" t="str">
        <f>IF(COUNTIF(D$1:D5339,D5339)=1,MAX(C$1:C5338)+1,"")</f>
        <v/>
      </c>
      <c r="D5339" s="12"/>
    </row>
    <row r="5340" spans="1:4" x14ac:dyDescent="0.25">
      <c r="A5340" t="str">
        <f>IF(COUNTIF(B$1:B5340,B5340)=1,MAX(A$1:A5339)+1,"")</f>
        <v/>
      </c>
      <c r="B5340" s="11"/>
      <c r="C5340" s="11" t="str">
        <f>IF(COUNTIF(D$1:D5340,D5340)=1,MAX(C$1:C5339)+1,"")</f>
        <v/>
      </c>
      <c r="D5340" s="12"/>
    </row>
    <row r="5341" spans="1:4" x14ac:dyDescent="0.25">
      <c r="A5341" t="str">
        <f>IF(COUNTIF(B$1:B5341,B5341)=1,MAX(A$1:A5340)+1,"")</f>
        <v/>
      </c>
      <c r="B5341" s="11"/>
      <c r="C5341" s="11" t="str">
        <f>IF(COUNTIF(D$1:D5341,D5341)=1,MAX(C$1:C5340)+1,"")</f>
        <v/>
      </c>
      <c r="D5341" s="12"/>
    </row>
    <row r="5342" spans="1:4" x14ac:dyDescent="0.25">
      <c r="A5342" t="str">
        <f>IF(COUNTIF(B$1:B5342,B5342)=1,MAX(A$1:A5341)+1,"")</f>
        <v/>
      </c>
      <c r="B5342" s="11"/>
      <c r="C5342" s="11" t="str">
        <f>IF(COUNTIF(D$1:D5342,D5342)=1,MAX(C$1:C5341)+1,"")</f>
        <v/>
      </c>
      <c r="D5342" s="12"/>
    </row>
    <row r="5343" spans="1:4" x14ac:dyDescent="0.25">
      <c r="A5343" t="str">
        <f>IF(COUNTIF(B$1:B5343,B5343)=1,MAX(A$1:A5342)+1,"")</f>
        <v/>
      </c>
      <c r="B5343" s="11"/>
      <c r="C5343" s="11" t="str">
        <f>IF(COUNTIF(D$1:D5343,D5343)=1,MAX(C$1:C5342)+1,"")</f>
        <v/>
      </c>
      <c r="D5343" s="12"/>
    </row>
    <row r="5344" spans="1:4" x14ac:dyDescent="0.25">
      <c r="A5344" t="str">
        <f>IF(COUNTIF(B$1:B5344,B5344)=1,MAX(A$1:A5343)+1,"")</f>
        <v/>
      </c>
      <c r="B5344" s="11"/>
      <c r="C5344" s="11" t="str">
        <f>IF(COUNTIF(D$1:D5344,D5344)=1,MAX(C$1:C5343)+1,"")</f>
        <v/>
      </c>
      <c r="D5344" s="12"/>
    </row>
    <row r="5345" spans="1:4" x14ac:dyDescent="0.25">
      <c r="A5345" t="str">
        <f>IF(COUNTIF(B$1:B5345,B5345)=1,MAX(A$1:A5344)+1,"")</f>
        <v/>
      </c>
      <c r="B5345" s="11"/>
      <c r="C5345" s="11" t="str">
        <f>IF(COUNTIF(D$1:D5345,D5345)=1,MAX(C$1:C5344)+1,"")</f>
        <v/>
      </c>
      <c r="D5345" s="12"/>
    </row>
    <row r="5346" spans="1:4" x14ac:dyDescent="0.25">
      <c r="A5346" t="str">
        <f>IF(COUNTIF(B$1:B5346,B5346)=1,MAX(A$1:A5345)+1,"")</f>
        <v/>
      </c>
      <c r="B5346" s="11"/>
      <c r="C5346" s="11" t="str">
        <f>IF(COUNTIF(D$1:D5346,D5346)=1,MAX(C$1:C5345)+1,"")</f>
        <v/>
      </c>
      <c r="D5346" s="12"/>
    </row>
    <row r="5347" spans="1:4" x14ac:dyDescent="0.25">
      <c r="A5347" t="str">
        <f>IF(COUNTIF(B$1:B5347,B5347)=1,MAX(A$1:A5346)+1,"")</f>
        <v/>
      </c>
      <c r="B5347" s="11"/>
      <c r="C5347" s="11" t="str">
        <f>IF(COUNTIF(D$1:D5347,D5347)=1,MAX(C$1:C5346)+1,"")</f>
        <v/>
      </c>
      <c r="D5347" s="12"/>
    </row>
    <row r="5348" spans="1:4" x14ac:dyDescent="0.25">
      <c r="A5348" t="str">
        <f>IF(COUNTIF(B$1:B5348,B5348)=1,MAX(A$1:A5347)+1,"")</f>
        <v/>
      </c>
      <c r="B5348" s="11"/>
      <c r="C5348" s="11" t="str">
        <f>IF(COUNTIF(D$1:D5348,D5348)=1,MAX(C$1:C5347)+1,"")</f>
        <v/>
      </c>
      <c r="D5348" s="12"/>
    </row>
    <row r="5349" spans="1:4" x14ac:dyDescent="0.25">
      <c r="A5349" t="str">
        <f>IF(COUNTIF(B$1:B5349,B5349)=1,MAX(A$1:A5348)+1,"")</f>
        <v/>
      </c>
      <c r="B5349" s="11"/>
      <c r="C5349" s="11" t="str">
        <f>IF(COUNTIF(D$1:D5349,D5349)=1,MAX(C$1:C5348)+1,"")</f>
        <v/>
      </c>
      <c r="D5349" s="12"/>
    </row>
    <row r="5350" spans="1:4" x14ac:dyDescent="0.25">
      <c r="A5350" t="str">
        <f>IF(COUNTIF(B$1:B5350,B5350)=1,MAX(A$1:A5349)+1,"")</f>
        <v/>
      </c>
      <c r="B5350" s="11"/>
      <c r="C5350" s="11" t="str">
        <f>IF(COUNTIF(D$1:D5350,D5350)=1,MAX(C$1:C5349)+1,"")</f>
        <v/>
      </c>
      <c r="D5350" s="12"/>
    </row>
    <row r="5351" spans="1:4" x14ac:dyDescent="0.25">
      <c r="A5351" t="str">
        <f>IF(COUNTIF(B$1:B5351,B5351)=1,MAX(A$1:A5350)+1,"")</f>
        <v/>
      </c>
      <c r="B5351" s="11"/>
      <c r="C5351" s="11" t="str">
        <f>IF(COUNTIF(D$1:D5351,D5351)=1,MAX(C$1:C5350)+1,"")</f>
        <v/>
      </c>
      <c r="D5351" s="12"/>
    </row>
    <row r="5352" spans="1:4" x14ac:dyDescent="0.25">
      <c r="A5352" t="str">
        <f>IF(COUNTIF(B$1:B5352,B5352)=1,MAX(A$1:A5351)+1,"")</f>
        <v/>
      </c>
      <c r="B5352" s="11"/>
      <c r="C5352" s="11" t="str">
        <f>IF(COUNTIF(D$1:D5352,D5352)=1,MAX(C$1:C5351)+1,"")</f>
        <v/>
      </c>
      <c r="D5352" s="12"/>
    </row>
    <row r="5353" spans="1:4" x14ac:dyDescent="0.25">
      <c r="A5353" t="str">
        <f>IF(COUNTIF(B$1:B5353,B5353)=1,MAX(A$1:A5352)+1,"")</f>
        <v/>
      </c>
      <c r="B5353" s="11"/>
      <c r="C5353" s="11" t="str">
        <f>IF(COUNTIF(D$1:D5353,D5353)=1,MAX(C$1:C5352)+1,"")</f>
        <v/>
      </c>
      <c r="D5353" s="12"/>
    </row>
    <row r="5354" spans="1:4" x14ac:dyDescent="0.25">
      <c r="A5354" t="str">
        <f>IF(COUNTIF(B$1:B5354,B5354)=1,MAX(A$1:A5353)+1,"")</f>
        <v/>
      </c>
      <c r="B5354" s="11"/>
      <c r="C5354" s="11" t="str">
        <f>IF(COUNTIF(D$1:D5354,D5354)=1,MAX(C$1:C5353)+1,"")</f>
        <v/>
      </c>
      <c r="D5354" s="12"/>
    </row>
    <row r="5355" spans="1:4" x14ac:dyDescent="0.25">
      <c r="A5355" t="str">
        <f>IF(COUNTIF(B$1:B5355,B5355)=1,MAX(A$1:A5354)+1,"")</f>
        <v/>
      </c>
      <c r="B5355" s="11"/>
      <c r="C5355" s="11" t="str">
        <f>IF(COUNTIF(D$1:D5355,D5355)=1,MAX(C$1:C5354)+1,"")</f>
        <v/>
      </c>
      <c r="D5355" s="12"/>
    </row>
    <row r="5356" spans="1:4" x14ac:dyDescent="0.25">
      <c r="A5356" t="str">
        <f>IF(COUNTIF(B$1:B5356,B5356)=1,MAX(A$1:A5355)+1,"")</f>
        <v/>
      </c>
      <c r="B5356" s="11"/>
      <c r="C5356" s="11" t="str">
        <f>IF(COUNTIF(D$1:D5356,D5356)=1,MAX(C$1:C5355)+1,"")</f>
        <v/>
      </c>
      <c r="D5356" s="12"/>
    </row>
    <row r="5357" spans="1:4" x14ac:dyDescent="0.25">
      <c r="A5357" t="str">
        <f>IF(COUNTIF(B$1:B5357,B5357)=1,MAX(A$1:A5356)+1,"")</f>
        <v/>
      </c>
      <c r="B5357" s="11"/>
      <c r="C5357" s="11" t="str">
        <f>IF(COUNTIF(D$1:D5357,D5357)=1,MAX(C$1:C5356)+1,"")</f>
        <v/>
      </c>
      <c r="D5357" s="12"/>
    </row>
    <row r="5358" spans="1:4" x14ac:dyDescent="0.25">
      <c r="A5358" t="str">
        <f>IF(COUNTIF(B$1:B5358,B5358)=1,MAX(A$1:A5357)+1,"")</f>
        <v/>
      </c>
      <c r="B5358" s="11"/>
      <c r="C5358" s="11" t="str">
        <f>IF(COUNTIF(D$1:D5358,D5358)=1,MAX(C$1:C5357)+1,"")</f>
        <v/>
      </c>
      <c r="D5358" s="12"/>
    </row>
    <row r="5359" spans="1:4" x14ac:dyDescent="0.25">
      <c r="A5359" t="str">
        <f>IF(COUNTIF(B$1:B5359,B5359)=1,MAX(A$1:A5358)+1,"")</f>
        <v/>
      </c>
      <c r="B5359" s="11"/>
      <c r="C5359" s="11" t="str">
        <f>IF(COUNTIF(D$1:D5359,D5359)=1,MAX(C$1:C5358)+1,"")</f>
        <v/>
      </c>
      <c r="D5359" s="12"/>
    </row>
    <row r="5360" spans="1:4" x14ac:dyDescent="0.25">
      <c r="A5360" t="str">
        <f>IF(COUNTIF(B$1:B5360,B5360)=1,MAX(A$1:A5359)+1,"")</f>
        <v/>
      </c>
      <c r="B5360" s="11"/>
      <c r="C5360" s="11" t="str">
        <f>IF(COUNTIF(D$1:D5360,D5360)=1,MAX(C$1:C5359)+1,"")</f>
        <v/>
      </c>
      <c r="D5360" s="12"/>
    </row>
    <row r="5361" spans="1:4" x14ac:dyDescent="0.25">
      <c r="A5361" t="str">
        <f>IF(COUNTIF(B$1:B5361,B5361)=1,MAX(A$1:A5360)+1,"")</f>
        <v/>
      </c>
      <c r="B5361" s="11"/>
      <c r="C5361" s="11" t="str">
        <f>IF(COUNTIF(D$1:D5361,D5361)=1,MAX(C$1:C5360)+1,"")</f>
        <v/>
      </c>
      <c r="D5361" s="12"/>
    </row>
    <row r="5362" spans="1:4" x14ac:dyDescent="0.25">
      <c r="A5362" t="str">
        <f>IF(COUNTIF(B$1:B5362,B5362)=1,MAX(A$1:A5361)+1,"")</f>
        <v/>
      </c>
      <c r="B5362" s="11"/>
      <c r="C5362" s="11" t="str">
        <f>IF(COUNTIF(D$1:D5362,D5362)=1,MAX(C$1:C5361)+1,"")</f>
        <v/>
      </c>
      <c r="D5362" s="12"/>
    </row>
    <row r="5363" spans="1:4" x14ac:dyDescent="0.25">
      <c r="A5363" t="str">
        <f>IF(COUNTIF(B$1:B5363,B5363)=1,MAX(A$1:A5362)+1,"")</f>
        <v/>
      </c>
      <c r="B5363" s="11"/>
      <c r="C5363" s="11" t="str">
        <f>IF(COUNTIF(D$1:D5363,D5363)=1,MAX(C$1:C5362)+1,"")</f>
        <v/>
      </c>
      <c r="D5363" s="12"/>
    </row>
    <row r="5364" spans="1:4" x14ac:dyDescent="0.25">
      <c r="A5364" t="str">
        <f>IF(COUNTIF(B$1:B5364,B5364)=1,MAX(A$1:A5363)+1,"")</f>
        <v/>
      </c>
      <c r="B5364" s="11"/>
      <c r="C5364" s="11" t="str">
        <f>IF(COUNTIF(D$1:D5364,D5364)=1,MAX(C$1:C5363)+1,"")</f>
        <v/>
      </c>
      <c r="D5364" s="12"/>
    </row>
    <row r="5365" spans="1:4" x14ac:dyDescent="0.25">
      <c r="A5365" t="str">
        <f>IF(COUNTIF(B$1:B5365,B5365)=1,MAX(A$1:A5364)+1,"")</f>
        <v/>
      </c>
      <c r="B5365" s="11"/>
      <c r="C5365" s="11" t="str">
        <f>IF(COUNTIF(D$1:D5365,D5365)=1,MAX(C$1:C5364)+1,"")</f>
        <v/>
      </c>
      <c r="D5365" s="12"/>
    </row>
    <row r="5366" spans="1:4" x14ac:dyDescent="0.25">
      <c r="A5366" t="str">
        <f>IF(COUNTIF(B$1:B5366,B5366)=1,MAX(A$1:A5365)+1,"")</f>
        <v/>
      </c>
      <c r="B5366" s="11"/>
      <c r="C5366" s="11" t="str">
        <f>IF(COUNTIF(D$1:D5366,D5366)=1,MAX(C$1:C5365)+1,"")</f>
        <v/>
      </c>
      <c r="D5366" s="12"/>
    </row>
    <row r="5367" spans="1:4" x14ac:dyDescent="0.25">
      <c r="A5367" t="str">
        <f>IF(COUNTIF(B$1:B5367,B5367)=1,MAX(A$1:A5366)+1,"")</f>
        <v/>
      </c>
      <c r="B5367" s="11"/>
      <c r="C5367" s="11" t="str">
        <f>IF(COUNTIF(D$1:D5367,D5367)=1,MAX(C$1:C5366)+1,"")</f>
        <v/>
      </c>
      <c r="D5367" s="12"/>
    </row>
    <row r="5368" spans="1:4" x14ac:dyDescent="0.25">
      <c r="A5368" t="str">
        <f>IF(COUNTIF(B$1:B5368,B5368)=1,MAX(A$1:A5367)+1,"")</f>
        <v/>
      </c>
      <c r="B5368" s="11"/>
      <c r="C5368" s="11" t="str">
        <f>IF(COUNTIF(D$1:D5368,D5368)=1,MAX(C$1:C5367)+1,"")</f>
        <v/>
      </c>
      <c r="D5368" s="12"/>
    </row>
    <row r="5369" spans="1:4" x14ac:dyDescent="0.25">
      <c r="A5369" t="str">
        <f>IF(COUNTIF(B$1:B5369,B5369)=1,MAX(A$1:A5368)+1,"")</f>
        <v/>
      </c>
      <c r="B5369" s="11"/>
      <c r="C5369" s="11" t="str">
        <f>IF(COUNTIF(D$1:D5369,D5369)=1,MAX(C$1:C5368)+1,"")</f>
        <v/>
      </c>
      <c r="D5369" s="12"/>
    </row>
    <row r="5370" spans="1:4" x14ac:dyDescent="0.25">
      <c r="A5370" t="str">
        <f>IF(COUNTIF(B$1:B5370,B5370)=1,MAX(A$1:A5369)+1,"")</f>
        <v/>
      </c>
      <c r="B5370" s="11"/>
      <c r="C5370" s="11" t="str">
        <f>IF(COUNTIF(D$1:D5370,D5370)=1,MAX(C$1:C5369)+1,"")</f>
        <v/>
      </c>
      <c r="D5370" s="12"/>
    </row>
    <row r="5371" spans="1:4" x14ac:dyDescent="0.25">
      <c r="A5371" t="str">
        <f>IF(COUNTIF(B$1:B5371,B5371)=1,MAX(A$1:A5370)+1,"")</f>
        <v/>
      </c>
      <c r="B5371" s="11"/>
      <c r="C5371" s="11" t="str">
        <f>IF(COUNTIF(D$1:D5371,D5371)=1,MAX(C$1:C5370)+1,"")</f>
        <v/>
      </c>
      <c r="D5371" s="12"/>
    </row>
    <row r="5372" spans="1:4" x14ac:dyDescent="0.25">
      <c r="A5372" t="str">
        <f>IF(COUNTIF(B$1:B5372,B5372)=1,MAX(A$1:A5371)+1,"")</f>
        <v/>
      </c>
      <c r="B5372" s="11"/>
      <c r="C5372" s="11" t="str">
        <f>IF(COUNTIF(D$1:D5372,D5372)=1,MAX(C$1:C5371)+1,"")</f>
        <v/>
      </c>
      <c r="D5372" s="12"/>
    </row>
    <row r="5373" spans="1:4" x14ac:dyDescent="0.25">
      <c r="A5373" t="str">
        <f>IF(COUNTIF(B$1:B5373,B5373)=1,MAX(A$1:A5372)+1,"")</f>
        <v/>
      </c>
      <c r="B5373" s="11"/>
      <c r="C5373" s="11" t="str">
        <f>IF(COUNTIF(D$1:D5373,D5373)=1,MAX(C$1:C5372)+1,"")</f>
        <v/>
      </c>
      <c r="D5373" s="12"/>
    </row>
    <row r="5374" spans="1:4" x14ac:dyDescent="0.25">
      <c r="A5374" t="str">
        <f>IF(COUNTIF(B$1:B5374,B5374)=1,MAX(A$1:A5373)+1,"")</f>
        <v/>
      </c>
      <c r="B5374" s="11"/>
      <c r="C5374" s="11" t="str">
        <f>IF(COUNTIF(D$1:D5374,D5374)=1,MAX(C$1:C5373)+1,"")</f>
        <v/>
      </c>
      <c r="D5374" s="12"/>
    </row>
    <row r="5375" spans="1:4" x14ac:dyDescent="0.25">
      <c r="A5375" t="str">
        <f>IF(COUNTIF(B$1:B5375,B5375)=1,MAX(A$1:A5374)+1,"")</f>
        <v/>
      </c>
      <c r="B5375" s="11"/>
      <c r="C5375" s="11" t="str">
        <f>IF(COUNTIF(D$1:D5375,D5375)=1,MAX(C$1:C5374)+1,"")</f>
        <v/>
      </c>
      <c r="D5375" s="12"/>
    </row>
    <row r="5376" spans="1:4" x14ac:dyDescent="0.25">
      <c r="A5376" t="str">
        <f>IF(COUNTIF(B$1:B5376,B5376)=1,MAX(A$1:A5375)+1,"")</f>
        <v/>
      </c>
      <c r="B5376" s="11"/>
      <c r="C5376" s="11" t="str">
        <f>IF(COUNTIF(D$1:D5376,D5376)=1,MAX(C$1:C5375)+1,"")</f>
        <v/>
      </c>
      <c r="D5376" s="12"/>
    </row>
    <row r="5377" spans="1:4" x14ac:dyDescent="0.25">
      <c r="A5377" t="str">
        <f>IF(COUNTIF(B$1:B5377,B5377)=1,MAX(A$1:A5376)+1,"")</f>
        <v/>
      </c>
      <c r="B5377" s="11"/>
      <c r="C5377" s="11" t="str">
        <f>IF(COUNTIF(D$1:D5377,D5377)=1,MAX(C$1:C5376)+1,"")</f>
        <v/>
      </c>
      <c r="D5377" s="12"/>
    </row>
    <row r="5378" spans="1:4" x14ac:dyDescent="0.25">
      <c r="A5378" t="str">
        <f>IF(COUNTIF(B$1:B5378,B5378)=1,MAX(A$1:A5377)+1,"")</f>
        <v/>
      </c>
      <c r="B5378" s="11"/>
      <c r="C5378" s="11" t="str">
        <f>IF(COUNTIF(D$1:D5378,D5378)=1,MAX(C$1:C5377)+1,"")</f>
        <v/>
      </c>
      <c r="D5378" s="12"/>
    </row>
    <row r="5379" spans="1:4" x14ac:dyDescent="0.25">
      <c r="A5379" t="str">
        <f>IF(COUNTIF(B$1:B5379,B5379)=1,MAX(A$1:A5378)+1,"")</f>
        <v/>
      </c>
      <c r="B5379" s="11"/>
      <c r="C5379" s="11" t="str">
        <f>IF(COUNTIF(D$1:D5379,D5379)=1,MAX(C$1:C5378)+1,"")</f>
        <v/>
      </c>
      <c r="D5379" s="12"/>
    </row>
    <row r="5380" spans="1:4" x14ac:dyDescent="0.25">
      <c r="A5380" t="str">
        <f>IF(COUNTIF(B$1:B5380,B5380)=1,MAX(A$1:A5379)+1,"")</f>
        <v/>
      </c>
      <c r="B5380" s="11"/>
      <c r="C5380" s="11" t="str">
        <f>IF(COUNTIF(D$1:D5380,D5380)=1,MAX(C$1:C5379)+1,"")</f>
        <v/>
      </c>
      <c r="D5380" s="12"/>
    </row>
    <row r="5381" spans="1:4" x14ac:dyDescent="0.25">
      <c r="A5381" t="str">
        <f>IF(COUNTIF(B$1:B5381,B5381)=1,MAX(A$1:A5380)+1,"")</f>
        <v/>
      </c>
      <c r="B5381" s="11"/>
      <c r="C5381" s="11" t="str">
        <f>IF(COUNTIF(D$1:D5381,D5381)=1,MAX(C$1:C5380)+1,"")</f>
        <v/>
      </c>
      <c r="D5381" s="12"/>
    </row>
    <row r="5382" spans="1:4" x14ac:dyDescent="0.25">
      <c r="A5382" t="str">
        <f>IF(COUNTIF(B$1:B5382,B5382)=1,MAX(A$1:A5381)+1,"")</f>
        <v/>
      </c>
      <c r="B5382" s="11"/>
      <c r="C5382" s="11" t="str">
        <f>IF(COUNTIF(D$1:D5382,D5382)=1,MAX(C$1:C5381)+1,"")</f>
        <v/>
      </c>
      <c r="D5382" s="12"/>
    </row>
    <row r="5383" spans="1:4" x14ac:dyDescent="0.25">
      <c r="A5383" t="str">
        <f>IF(COUNTIF(B$1:B5383,B5383)=1,MAX(A$1:A5382)+1,"")</f>
        <v/>
      </c>
      <c r="B5383" s="11"/>
      <c r="C5383" s="11" t="str">
        <f>IF(COUNTIF(D$1:D5383,D5383)=1,MAX(C$1:C5382)+1,"")</f>
        <v/>
      </c>
      <c r="D5383" s="12"/>
    </row>
    <row r="5384" spans="1:4" x14ac:dyDescent="0.25">
      <c r="A5384" t="str">
        <f>IF(COUNTIF(B$1:B5384,B5384)=1,MAX(A$1:A5383)+1,"")</f>
        <v/>
      </c>
      <c r="B5384" s="11"/>
      <c r="C5384" s="11" t="str">
        <f>IF(COUNTIF(D$1:D5384,D5384)=1,MAX(C$1:C5383)+1,"")</f>
        <v/>
      </c>
      <c r="D5384" s="12"/>
    </row>
    <row r="5385" spans="1:4" x14ac:dyDescent="0.25">
      <c r="A5385" t="str">
        <f>IF(COUNTIF(B$1:B5385,B5385)=1,MAX(A$1:A5384)+1,"")</f>
        <v/>
      </c>
      <c r="B5385" s="11"/>
      <c r="C5385" s="11" t="str">
        <f>IF(COUNTIF(D$1:D5385,D5385)=1,MAX(C$1:C5384)+1,"")</f>
        <v/>
      </c>
      <c r="D5385" s="12"/>
    </row>
    <row r="5386" spans="1:4" x14ac:dyDescent="0.25">
      <c r="A5386" t="str">
        <f>IF(COUNTIF(B$1:B5386,B5386)=1,MAX(A$1:A5385)+1,"")</f>
        <v/>
      </c>
      <c r="B5386" s="11"/>
      <c r="C5386" s="11" t="str">
        <f>IF(COUNTIF(D$1:D5386,D5386)=1,MAX(C$1:C5385)+1,"")</f>
        <v/>
      </c>
      <c r="D5386" s="12"/>
    </row>
    <row r="5387" spans="1:4" x14ac:dyDescent="0.25">
      <c r="A5387" t="str">
        <f>IF(COUNTIF(B$1:B5387,B5387)=1,MAX(A$1:A5386)+1,"")</f>
        <v/>
      </c>
      <c r="B5387" s="11"/>
      <c r="C5387" s="11" t="str">
        <f>IF(COUNTIF(D$1:D5387,D5387)=1,MAX(C$1:C5386)+1,"")</f>
        <v/>
      </c>
      <c r="D5387" s="12"/>
    </row>
    <row r="5388" spans="1:4" x14ac:dyDescent="0.25">
      <c r="A5388" t="str">
        <f>IF(COUNTIF(B$1:B5388,B5388)=1,MAX(A$1:A5387)+1,"")</f>
        <v/>
      </c>
      <c r="B5388" s="11"/>
      <c r="C5388" s="11" t="str">
        <f>IF(COUNTIF(D$1:D5388,D5388)=1,MAX(C$1:C5387)+1,"")</f>
        <v/>
      </c>
      <c r="D5388" s="12"/>
    </row>
    <row r="5389" spans="1:4" x14ac:dyDescent="0.25">
      <c r="A5389" t="str">
        <f>IF(COUNTIF(B$1:B5389,B5389)=1,MAX(A$1:A5388)+1,"")</f>
        <v/>
      </c>
      <c r="B5389" s="11"/>
      <c r="C5389" s="11" t="str">
        <f>IF(COUNTIF(D$1:D5389,D5389)=1,MAX(C$1:C5388)+1,"")</f>
        <v/>
      </c>
      <c r="D5389" s="12"/>
    </row>
    <row r="5390" spans="1:4" x14ac:dyDescent="0.25">
      <c r="A5390" t="str">
        <f>IF(COUNTIF(B$1:B5390,B5390)=1,MAX(A$1:A5389)+1,"")</f>
        <v/>
      </c>
      <c r="B5390" s="11"/>
      <c r="C5390" s="11" t="str">
        <f>IF(COUNTIF(D$1:D5390,D5390)=1,MAX(C$1:C5389)+1,"")</f>
        <v/>
      </c>
      <c r="D5390" s="12"/>
    </row>
    <row r="5391" spans="1:4" x14ac:dyDescent="0.25">
      <c r="A5391" t="str">
        <f>IF(COUNTIF(B$1:B5391,B5391)=1,MAX(A$1:A5390)+1,"")</f>
        <v/>
      </c>
      <c r="B5391" s="11"/>
      <c r="C5391" s="11" t="str">
        <f>IF(COUNTIF(D$1:D5391,D5391)=1,MAX(C$1:C5390)+1,"")</f>
        <v/>
      </c>
      <c r="D5391" s="12"/>
    </row>
    <row r="5392" spans="1:4" x14ac:dyDescent="0.25">
      <c r="A5392" t="str">
        <f>IF(COUNTIF(B$1:B5392,B5392)=1,MAX(A$1:A5391)+1,"")</f>
        <v/>
      </c>
      <c r="B5392" s="11"/>
      <c r="C5392" s="11" t="str">
        <f>IF(COUNTIF(D$1:D5392,D5392)=1,MAX(C$1:C5391)+1,"")</f>
        <v/>
      </c>
      <c r="D5392" s="12"/>
    </row>
    <row r="5393" spans="1:4" x14ac:dyDescent="0.25">
      <c r="A5393" t="str">
        <f>IF(COUNTIF(B$1:B5393,B5393)=1,MAX(A$1:A5392)+1,"")</f>
        <v/>
      </c>
      <c r="B5393" s="11"/>
      <c r="C5393" s="11" t="str">
        <f>IF(COUNTIF(D$1:D5393,D5393)=1,MAX(C$1:C5392)+1,"")</f>
        <v/>
      </c>
      <c r="D5393" s="12"/>
    </row>
    <row r="5394" spans="1:4" x14ac:dyDescent="0.25">
      <c r="A5394" t="str">
        <f>IF(COUNTIF(B$1:B5394,B5394)=1,MAX(A$1:A5393)+1,"")</f>
        <v/>
      </c>
      <c r="B5394" s="11"/>
      <c r="C5394" s="11" t="str">
        <f>IF(COUNTIF(D$1:D5394,D5394)=1,MAX(C$1:C5393)+1,"")</f>
        <v/>
      </c>
      <c r="D5394" s="12"/>
    </row>
    <row r="5395" spans="1:4" x14ac:dyDescent="0.25">
      <c r="A5395" t="str">
        <f>IF(COUNTIF(B$1:B5395,B5395)=1,MAX(A$1:A5394)+1,"")</f>
        <v/>
      </c>
      <c r="B5395" s="11"/>
      <c r="C5395" s="11" t="str">
        <f>IF(COUNTIF(D$1:D5395,D5395)=1,MAX(C$1:C5394)+1,"")</f>
        <v/>
      </c>
      <c r="D5395" s="12"/>
    </row>
    <row r="5396" spans="1:4" x14ac:dyDescent="0.25">
      <c r="A5396" t="str">
        <f>IF(COUNTIF(B$1:B5396,B5396)=1,MAX(A$1:A5395)+1,"")</f>
        <v/>
      </c>
      <c r="B5396" s="11"/>
      <c r="C5396" s="11" t="str">
        <f>IF(COUNTIF(D$1:D5396,D5396)=1,MAX(C$1:C5395)+1,"")</f>
        <v/>
      </c>
      <c r="D5396" s="12"/>
    </row>
    <row r="5397" spans="1:4" x14ac:dyDescent="0.25">
      <c r="A5397" t="str">
        <f>IF(COUNTIF(B$1:B5397,B5397)=1,MAX(A$1:A5396)+1,"")</f>
        <v/>
      </c>
      <c r="B5397" s="11"/>
      <c r="C5397" s="11" t="str">
        <f>IF(COUNTIF(D$1:D5397,D5397)=1,MAX(C$1:C5396)+1,"")</f>
        <v/>
      </c>
      <c r="D5397" s="12"/>
    </row>
    <row r="5398" spans="1:4" x14ac:dyDescent="0.25">
      <c r="A5398" t="str">
        <f>IF(COUNTIF(B$1:B5398,B5398)=1,MAX(A$1:A5397)+1,"")</f>
        <v/>
      </c>
      <c r="B5398" s="11"/>
      <c r="C5398" s="11" t="str">
        <f>IF(COUNTIF(D$1:D5398,D5398)=1,MAX(C$1:C5397)+1,"")</f>
        <v/>
      </c>
      <c r="D5398" s="12"/>
    </row>
    <row r="5399" spans="1:4" x14ac:dyDescent="0.25">
      <c r="A5399" t="str">
        <f>IF(COUNTIF(B$1:B5399,B5399)=1,MAX(A$1:A5398)+1,"")</f>
        <v/>
      </c>
      <c r="B5399" s="11"/>
      <c r="C5399" s="11" t="str">
        <f>IF(COUNTIF(D$1:D5399,D5399)=1,MAX(C$1:C5398)+1,"")</f>
        <v/>
      </c>
      <c r="D5399" s="12"/>
    </row>
    <row r="5400" spans="1:4" x14ac:dyDescent="0.25">
      <c r="A5400" t="str">
        <f>IF(COUNTIF(B$1:B5400,B5400)=1,MAX(A$1:A5399)+1,"")</f>
        <v/>
      </c>
      <c r="B5400" s="11"/>
      <c r="C5400" s="11" t="str">
        <f>IF(COUNTIF(D$1:D5400,D5400)=1,MAX(C$1:C5399)+1,"")</f>
        <v/>
      </c>
      <c r="D5400" s="12"/>
    </row>
    <row r="5401" spans="1:4" x14ac:dyDescent="0.25">
      <c r="A5401" t="str">
        <f>IF(COUNTIF(B$1:B5401,B5401)=1,MAX(A$1:A5400)+1,"")</f>
        <v/>
      </c>
      <c r="B5401" s="11"/>
      <c r="C5401" s="11" t="str">
        <f>IF(COUNTIF(D$1:D5401,D5401)=1,MAX(C$1:C5400)+1,"")</f>
        <v/>
      </c>
      <c r="D5401" s="12"/>
    </row>
    <row r="5402" spans="1:4" x14ac:dyDescent="0.25">
      <c r="A5402" t="str">
        <f>IF(COUNTIF(B$1:B5402,B5402)=1,MAX(A$1:A5401)+1,"")</f>
        <v/>
      </c>
      <c r="B5402" s="11"/>
      <c r="C5402" s="11" t="str">
        <f>IF(COUNTIF(D$1:D5402,D5402)=1,MAX(C$1:C5401)+1,"")</f>
        <v/>
      </c>
      <c r="D5402" s="12"/>
    </row>
    <row r="5403" spans="1:4" x14ac:dyDescent="0.25">
      <c r="A5403" t="str">
        <f>IF(COUNTIF(B$1:B5403,B5403)=1,MAX(A$1:A5402)+1,"")</f>
        <v/>
      </c>
      <c r="B5403" s="11"/>
      <c r="C5403" s="11" t="str">
        <f>IF(COUNTIF(D$1:D5403,D5403)=1,MAX(C$1:C5402)+1,"")</f>
        <v/>
      </c>
      <c r="D5403" s="12"/>
    </row>
    <row r="5404" spans="1:4" x14ac:dyDescent="0.25">
      <c r="A5404" t="str">
        <f>IF(COUNTIF(B$1:B5404,B5404)=1,MAX(A$1:A5403)+1,"")</f>
        <v/>
      </c>
      <c r="B5404" s="11"/>
      <c r="C5404" s="11" t="str">
        <f>IF(COUNTIF(D$1:D5404,D5404)=1,MAX(C$1:C5403)+1,"")</f>
        <v/>
      </c>
      <c r="D5404" s="12"/>
    </row>
    <row r="5405" spans="1:4" x14ac:dyDescent="0.25">
      <c r="A5405" t="str">
        <f>IF(COUNTIF(B$1:B5405,B5405)=1,MAX(A$1:A5404)+1,"")</f>
        <v/>
      </c>
      <c r="B5405" s="11"/>
      <c r="C5405" s="11" t="str">
        <f>IF(COUNTIF(D$1:D5405,D5405)=1,MAX(C$1:C5404)+1,"")</f>
        <v/>
      </c>
      <c r="D5405" s="12"/>
    </row>
    <row r="5406" spans="1:4" x14ac:dyDescent="0.25">
      <c r="A5406" t="str">
        <f>IF(COUNTIF(B$1:B5406,B5406)=1,MAX(A$1:A5405)+1,"")</f>
        <v/>
      </c>
      <c r="B5406" s="11"/>
      <c r="C5406" s="11" t="str">
        <f>IF(COUNTIF(D$1:D5406,D5406)=1,MAX(C$1:C5405)+1,"")</f>
        <v/>
      </c>
      <c r="D5406" s="12"/>
    </row>
    <row r="5407" spans="1:4" x14ac:dyDescent="0.25">
      <c r="A5407" t="str">
        <f>IF(COUNTIF(B$1:B5407,B5407)=1,MAX(A$1:A5406)+1,"")</f>
        <v/>
      </c>
      <c r="B5407" s="11"/>
      <c r="C5407" s="11" t="str">
        <f>IF(COUNTIF(D$1:D5407,D5407)=1,MAX(C$1:C5406)+1,"")</f>
        <v/>
      </c>
      <c r="D5407" s="12"/>
    </row>
    <row r="5408" spans="1:4" x14ac:dyDescent="0.25">
      <c r="A5408" t="str">
        <f>IF(COUNTIF(B$1:B5408,B5408)=1,MAX(A$1:A5407)+1,"")</f>
        <v/>
      </c>
      <c r="B5408" s="11"/>
      <c r="C5408" s="11" t="str">
        <f>IF(COUNTIF(D$1:D5408,D5408)=1,MAX(C$1:C5407)+1,"")</f>
        <v/>
      </c>
      <c r="D5408" s="12"/>
    </row>
    <row r="5409" spans="1:4" x14ac:dyDescent="0.25">
      <c r="A5409" t="str">
        <f>IF(COUNTIF(B$1:B5409,B5409)=1,MAX(A$1:A5408)+1,"")</f>
        <v/>
      </c>
      <c r="B5409" s="11"/>
      <c r="C5409" s="11" t="str">
        <f>IF(COUNTIF(D$1:D5409,D5409)=1,MAX(C$1:C5408)+1,"")</f>
        <v/>
      </c>
      <c r="D5409" s="12"/>
    </row>
    <row r="5410" spans="1:4" x14ac:dyDescent="0.25">
      <c r="A5410" t="str">
        <f>IF(COUNTIF(B$1:B5410,B5410)=1,MAX(A$1:A5409)+1,"")</f>
        <v/>
      </c>
      <c r="B5410" s="11"/>
      <c r="C5410" s="11" t="str">
        <f>IF(COUNTIF(D$1:D5410,D5410)=1,MAX(C$1:C5409)+1,"")</f>
        <v/>
      </c>
      <c r="D5410" s="12"/>
    </row>
    <row r="5411" spans="1:4" x14ac:dyDescent="0.25">
      <c r="A5411" t="str">
        <f>IF(COUNTIF(B$1:B5411,B5411)=1,MAX(A$1:A5410)+1,"")</f>
        <v/>
      </c>
      <c r="B5411" s="11"/>
      <c r="C5411" s="11" t="str">
        <f>IF(COUNTIF(D$1:D5411,D5411)=1,MAX(C$1:C5410)+1,"")</f>
        <v/>
      </c>
      <c r="D5411" s="12"/>
    </row>
    <row r="5412" spans="1:4" x14ac:dyDescent="0.25">
      <c r="A5412" t="str">
        <f>IF(COUNTIF(B$1:B5412,B5412)=1,MAX(A$1:A5411)+1,"")</f>
        <v/>
      </c>
      <c r="B5412" s="11"/>
      <c r="C5412" s="11" t="str">
        <f>IF(COUNTIF(D$1:D5412,D5412)=1,MAX(C$1:C5411)+1,"")</f>
        <v/>
      </c>
      <c r="D5412" s="12"/>
    </row>
    <row r="5413" spans="1:4" x14ac:dyDescent="0.25">
      <c r="A5413" t="str">
        <f>IF(COUNTIF(B$1:B5413,B5413)=1,MAX(A$1:A5412)+1,"")</f>
        <v/>
      </c>
      <c r="B5413" s="11"/>
      <c r="C5413" s="11" t="str">
        <f>IF(COUNTIF(D$1:D5413,D5413)=1,MAX(C$1:C5412)+1,"")</f>
        <v/>
      </c>
      <c r="D5413" s="12"/>
    </row>
    <row r="5414" spans="1:4" x14ac:dyDescent="0.25">
      <c r="A5414" t="str">
        <f>IF(COUNTIF(B$1:B5414,B5414)=1,MAX(A$1:A5413)+1,"")</f>
        <v/>
      </c>
      <c r="B5414" s="11"/>
      <c r="C5414" s="11" t="str">
        <f>IF(COUNTIF(D$1:D5414,D5414)=1,MAX(C$1:C5413)+1,"")</f>
        <v/>
      </c>
      <c r="D5414" s="12"/>
    </row>
    <row r="5415" spans="1:4" x14ac:dyDescent="0.25">
      <c r="A5415" t="str">
        <f>IF(COUNTIF(B$1:B5415,B5415)=1,MAX(A$1:A5414)+1,"")</f>
        <v/>
      </c>
      <c r="B5415" s="11"/>
      <c r="C5415" s="11" t="str">
        <f>IF(COUNTIF(D$1:D5415,D5415)=1,MAX(C$1:C5414)+1,"")</f>
        <v/>
      </c>
      <c r="D5415" s="12"/>
    </row>
    <row r="5416" spans="1:4" x14ac:dyDescent="0.25">
      <c r="A5416" t="str">
        <f>IF(COUNTIF(B$1:B5416,B5416)=1,MAX(A$1:A5415)+1,"")</f>
        <v/>
      </c>
      <c r="B5416" s="11"/>
      <c r="C5416" s="11" t="str">
        <f>IF(COUNTIF(D$1:D5416,D5416)=1,MAX(C$1:C5415)+1,"")</f>
        <v/>
      </c>
      <c r="D5416" s="12"/>
    </row>
    <row r="5417" spans="1:4" x14ac:dyDescent="0.25">
      <c r="A5417" t="str">
        <f>IF(COUNTIF(B$1:B5417,B5417)=1,MAX(A$1:A5416)+1,"")</f>
        <v/>
      </c>
      <c r="B5417" s="11"/>
      <c r="C5417" s="11" t="str">
        <f>IF(COUNTIF(D$1:D5417,D5417)=1,MAX(C$1:C5416)+1,"")</f>
        <v/>
      </c>
      <c r="D5417" s="12"/>
    </row>
    <row r="5418" spans="1:4" x14ac:dyDescent="0.25">
      <c r="A5418" t="str">
        <f>IF(COUNTIF(B$1:B5418,B5418)=1,MAX(A$1:A5417)+1,"")</f>
        <v/>
      </c>
      <c r="B5418" s="11"/>
      <c r="C5418" s="11" t="str">
        <f>IF(COUNTIF(D$1:D5418,D5418)=1,MAX(C$1:C5417)+1,"")</f>
        <v/>
      </c>
      <c r="D5418" s="12"/>
    </row>
    <row r="5419" spans="1:4" x14ac:dyDescent="0.25">
      <c r="A5419" t="str">
        <f>IF(COUNTIF(B$1:B5419,B5419)=1,MAX(A$1:A5418)+1,"")</f>
        <v/>
      </c>
      <c r="B5419" s="11"/>
      <c r="C5419" s="11" t="str">
        <f>IF(COUNTIF(D$1:D5419,D5419)=1,MAX(C$1:C5418)+1,"")</f>
        <v/>
      </c>
      <c r="D5419" s="12"/>
    </row>
    <row r="5420" spans="1:4" x14ac:dyDescent="0.25">
      <c r="A5420" t="str">
        <f>IF(COUNTIF(B$1:B5420,B5420)=1,MAX(A$1:A5419)+1,"")</f>
        <v/>
      </c>
      <c r="B5420" s="11"/>
      <c r="C5420" s="11" t="str">
        <f>IF(COUNTIF(D$1:D5420,D5420)=1,MAX(C$1:C5419)+1,"")</f>
        <v/>
      </c>
      <c r="D5420" s="12"/>
    </row>
    <row r="5421" spans="1:4" x14ac:dyDescent="0.25">
      <c r="A5421" t="str">
        <f>IF(COUNTIF(B$1:B5421,B5421)=1,MAX(A$1:A5420)+1,"")</f>
        <v/>
      </c>
      <c r="B5421" s="11"/>
      <c r="C5421" s="11" t="str">
        <f>IF(COUNTIF(D$1:D5421,D5421)=1,MAX(C$1:C5420)+1,"")</f>
        <v/>
      </c>
      <c r="D5421" s="12"/>
    </row>
    <row r="5422" spans="1:4" x14ac:dyDescent="0.25">
      <c r="A5422" t="str">
        <f>IF(COUNTIF(B$1:B5422,B5422)=1,MAX(A$1:A5421)+1,"")</f>
        <v/>
      </c>
      <c r="B5422" s="11"/>
      <c r="C5422" s="11" t="str">
        <f>IF(COUNTIF(D$1:D5422,D5422)=1,MAX(C$1:C5421)+1,"")</f>
        <v/>
      </c>
      <c r="D5422" s="12"/>
    </row>
    <row r="5423" spans="1:4" x14ac:dyDescent="0.25">
      <c r="A5423" t="str">
        <f>IF(COUNTIF(B$1:B5423,B5423)=1,MAX(A$1:A5422)+1,"")</f>
        <v/>
      </c>
      <c r="B5423" s="11"/>
      <c r="C5423" s="11" t="str">
        <f>IF(COUNTIF(D$1:D5423,D5423)=1,MAX(C$1:C5422)+1,"")</f>
        <v/>
      </c>
      <c r="D5423" s="12"/>
    </row>
    <row r="5424" spans="1:4" x14ac:dyDescent="0.25">
      <c r="A5424" t="str">
        <f>IF(COUNTIF(B$1:B5424,B5424)=1,MAX(A$1:A5423)+1,"")</f>
        <v/>
      </c>
      <c r="B5424" s="11"/>
      <c r="C5424" s="11" t="str">
        <f>IF(COUNTIF(D$1:D5424,D5424)=1,MAX(C$1:C5423)+1,"")</f>
        <v/>
      </c>
      <c r="D5424" s="12"/>
    </row>
    <row r="5425" spans="1:4" x14ac:dyDescent="0.25">
      <c r="A5425" t="str">
        <f>IF(COUNTIF(B$1:B5425,B5425)=1,MAX(A$1:A5424)+1,"")</f>
        <v/>
      </c>
      <c r="B5425" s="11"/>
      <c r="C5425" s="11" t="str">
        <f>IF(COUNTIF(D$1:D5425,D5425)=1,MAX(C$1:C5424)+1,"")</f>
        <v/>
      </c>
      <c r="D5425" s="12"/>
    </row>
    <row r="5426" spans="1:4" x14ac:dyDescent="0.25">
      <c r="A5426" t="str">
        <f>IF(COUNTIF(B$1:B5426,B5426)=1,MAX(A$1:A5425)+1,"")</f>
        <v/>
      </c>
      <c r="B5426" s="11"/>
      <c r="C5426" s="11" t="str">
        <f>IF(COUNTIF(D$1:D5426,D5426)=1,MAX(C$1:C5425)+1,"")</f>
        <v/>
      </c>
      <c r="D5426" s="12"/>
    </row>
    <row r="5427" spans="1:4" x14ac:dyDescent="0.25">
      <c r="A5427" t="str">
        <f>IF(COUNTIF(B$1:B5427,B5427)=1,MAX(A$1:A5426)+1,"")</f>
        <v/>
      </c>
      <c r="B5427" s="11"/>
      <c r="C5427" s="11" t="str">
        <f>IF(COUNTIF(D$1:D5427,D5427)=1,MAX(C$1:C5426)+1,"")</f>
        <v/>
      </c>
      <c r="D5427" s="12"/>
    </row>
    <row r="5428" spans="1:4" x14ac:dyDescent="0.25">
      <c r="A5428" t="str">
        <f>IF(COUNTIF(B$1:B5428,B5428)=1,MAX(A$1:A5427)+1,"")</f>
        <v/>
      </c>
      <c r="B5428" s="11"/>
      <c r="C5428" s="11" t="str">
        <f>IF(COUNTIF(D$1:D5428,D5428)=1,MAX(C$1:C5427)+1,"")</f>
        <v/>
      </c>
      <c r="D5428" s="12"/>
    </row>
    <row r="5429" spans="1:4" x14ac:dyDescent="0.25">
      <c r="A5429" t="str">
        <f>IF(COUNTIF(B$1:B5429,B5429)=1,MAX(A$1:A5428)+1,"")</f>
        <v/>
      </c>
      <c r="B5429" s="11"/>
      <c r="C5429" s="11" t="str">
        <f>IF(COUNTIF(D$1:D5429,D5429)=1,MAX(C$1:C5428)+1,"")</f>
        <v/>
      </c>
      <c r="D5429" s="12"/>
    </row>
    <row r="5430" spans="1:4" x14ac:dyDescent="0.25">
      <c r="A5430" t="str">
        <f>IF(COUNTIF(B$1:B5430,B5430)=1,MAX(A$1:A5429)+1,"")</f>
        <v/>
      </c>
      <c r="B5430" s="11"/>
      <c r="C5430" s="11" t="str">
        <f>IF(COUNTIF(D$1:D5430,D5430)=1,MAX(C$1:C5429)+1,"")</f>
        <v/>
      </c>
      <c r="D5430" s="12"/>
    </row>
    <row r="5431" spans="1:4" x14ac:dyDescent="0.25">
      <c r="A5431" t="str">
        <f>IF(COUNTIF(B$1:B5431,B5431)=1,MAX(A$1:A5430)+1,"")</f>
        <v/>
      </c>
      <c r="B5431" s="11"/>
      <c r="C5431" s="11" t="str">
        <f>IF(COUNTIF(D$1:D5431,D5431)=1,MAX(C$1:C5430)+1,"")</f>
        <v/>
      </c>
      <c r="D5431" s="12"/>
    </row>
    <row r="5432" spans="1:4" x14ac:dyDescent="0.25">
      <c r="A5432" t="str">
        <f>IF(COUNTIF(B$1:B5432,B5432)=1,MAX(A$1:A5431)+1,"")</f>
        <v/>
      </c>
      <c r="B5432" s="11"/>
      <c r="C5432" s="11" t="str">
        <f>IF(COUNTIF(D$1:D5432,D5432)=1,MAX(C$1:C5431)+1,"")</f>
        <v/>
      </c>
      <c r="D5432" s="12"/>
    </row>
    <row r="5433" spans="1:4" x14ac:dyDescent="0.25">
      <c r="A5433" t="str">
        <f>IF(COUNTIF(B$1:B5433,B5433)=1,MAX(A$1:A5432)+1,"")</f>
        <v/>
      </c>
      <c r="B5433" s="11"/>
      <c r="C5433" s="11" t="str">
        <f>IF(COUNTIF(D$1:D5433,D5433)=1,MAX(C$1:C5432)+1,"")</f>
        <v/>
      </c>
      <c r="D5433" s="12"/>
    </row>
    <row r="5434" spans="1:4" x14ac:dyDescent="0.25">
      <c r="A5434" t="str">
        <f>IF(COUNTIF(B$1:B5434,B5434)=1,MAX(A$1:A5433)+1,"")</f>
        <v/>
      </c>
      <c r="B5434" s="11"/>
      <c r="C5434" s="11" t="str">
        <f>IF(COUNTIF(D$1:D5434,D5434)=1,MAX(C$1:C5433)+1,"")</f>
        <v/>
      </c>
      <c r="D5434" s="12"/>
    </row>
    <row r="5435" spans="1:4" x14ac:dyDescent="0.25">
      <c r="A5435" t="str">
        <f>IF(COUNTIF(B$1:B5435,B5435)=1,MAX(A$1:A5434)+1,"")</f>
        <v/>
      </c>
      <c r="B5435" s="11"/>
      <c r="C5435" s="11" t="str">
        <f>IF(COUNTIF(D$1:D5435,D5435)=1,MAX(C$1:C5434)+1,"")</f>
        <v/>
      </c>
      <c r="D5435" s="12"/>
    </row>
    <row r="5436" spans="1:4" x14ac:dyDescent="0.25">
      <c r="A5436" t="str">
        <f>IF(COUNTIF(B$1:B5436,B5436)=1,MAX(A$1:A5435)+1,"")</f>
        <v/>
      </c>
      <c r="B5436" s="11"/>
      <c r="C5436" s="11" t="str">
        <f>IF(COUNTIF(D$1:D5436,D5436)=1,MAX(C$1:C5435)+1,"")</f>
        <v/>
      </c>
      <c r="D5436" s="12"/>
    </row>
    <row r="5437" spans="1:4" x14ac:dyDescent="0.25">
      <c r="A5437" t="str">
        <f>IF(COUNTIF(B$1:B5437,B5437)=1,MAX(A$1:A5436)+1,"")</f>
        <v/>
      </c>
      <c r="B5437" s="11"/>
      <c r="C5437" s="11" t="str">
        <f>IF(COUNTIF(D$1:D5437,D5437)=1,MAX(C$1:C5436)+1,"")</f>
        <v/>
      </c>
      <c r="D5437" s="12"/>
    </row>
    <row r="5438" spans="1:4" x14ac:dyDescent="0.25">
      <c r="A5438" t="str">
        <f>IF(COUNTIF(B$1:B5438,B5438)=1,MAX(A$1:A5437)+1,"")</f>
        <v/>
      </c>
      <c r="B5438" s="11"/>
      <c r="C5438" s="11" t="str">
        <f>IF(COUNTIF(D$1:D5438,D5438)=1,MAX(C$1:C5437)+1,"")</f>
        <v/>
      </c>
      <c r="D5438" s="12"/>
    </row>
    <row r="5439" spans="1:4" x14ac:dyDescent="0.25">
      <c r="A5439" t="str">
        <f>IF(COUNTIF(B$1:B5439,B5439)=1,MAX(A$1:A5438)+1,"")</f>
        <v/>
      </c>
      <c r="B5439" s="11"/>
      <c r="C5439" s="11" t="str">
        <f>IF(COUNTIF(D$1:D5439,D5439)=1,MAX(C$1:C5438)+1,"")</f>
        <v/>
      </c>
      <c r="D5439" s="12"/>
    </row>
    <row r="5440" spans="1:4" x14ac:dyDescent="0.25">
      <c r="A5440" t="str">
        <f>IF(COUNTIF(B$1:B5440,B5440)=1,MAX(A$1:A5439)+1,"")</f>
        <v/>
      </c>
      <c r="B5440" s="11"/>
      <c r="C5440" s="11" t="str">
        <f>IF(COUNTIF(D$1:D5440,D5440)=1,MAX(C$1:C5439)+1,"")</f>
        <v/>
      </c>
      <c r="D5440" s="12"/>
    </row>
    <row r="5441" spans="1:4" x14ac:dyDescent="0.25">
      <c r="A5441" t="str">
        <f>IF(COUNTIF(B$1:B5441,B5441)=1,MAX(A$1:A5440)+1,"")</f>
        <v/>
      </c>
      <c r="B5441" s="11"/>
      <c r="C5441" s="11" t="str">
        <f>IF(COUNTIF(D$1:D5441,D5441)=1,MAX(C$1:C5440)+1,"")</f>
        <v/>
      </c>
      <c r="D5441" s="12"/>
    </row>
    <row r="5442" spans="1:4" x14ac:dyDescent="0.25">
      <c r="A5442" t="str">
        <f>IF(COUNTIF(B$1:B5442,B5442)=1,MAX(A$1:A5441)+1,"")</f>
        <v/>
      </c>
      <c r="B5442" s="11"/>
      <c r="C5442" s="11" t="str">
        <f>IF(COUNTIF(D$1:D5442,D5442)=1,MAX(C$1:C5441)+1,"")</f>
        <v/>
      </c>
      <c r="D5442" s="12"/>
    </row>
    <row r="5443" spans="1:4" x14ac:dyDescent="0.25">
      <c r="A5443" t="str">
        <f>IF(COUNTIF(B$1:B5443,B5443)=1,MAX(A$1:A5442)+1,"")</f>
        <v/>
      </c>
      <c r="B5443" s="11"/>
      <c r="C5443" s="11" t="str">
        <f>IF(COUNTIF(D$1:D5443,D5443)=1,MAX(C$1:C5442)+1,"")</f>
        <v/>
      </c>
      <c r="D5443" s="12"/>
    </row>
    <row r="5444" spans="1:4" x14ac:dyDescent="0.25">
      <c r="A5444" t="str">
        <f>IF(COUNTIF(B$1:B5444,B5444)=1,MAX(A$1:A5443)+1,"")</f>
        <v/>
      </c>
      <c r="B5444" s="11"/>
      <c r="C5444" s="11" t="str">
        <f>IF(COUNTIF(D$1:D5444,D5444)=1,MAX(C$1:C5443)+1,"")</f>
        <v/>
      </c>
      <c r="D5444" s="12"/>
    </row>
    <row r="5445" spans="1:4" x14ac:dyDescent="0.25">
      <c r="A5445" t="str">
        <f>IF(COUNTIF(B$1:B5445,B5445)=1,MAX(A$1:A5444)+1,"")</f>
        <v/>
      </c>
      <c r="B5445" s="11"/>
      <c r="C5445" s="11" t="str">
        <f>IF(COUNTIF(D$1:D5445,D5445)=1,MAX(C$1:C5444)+1,"")</f>
        <v/>
      </c>
      <c r="D5445" s="12"/>
    </row>
    <row r="5446" spans="1:4" x14ac:dyDescent="0.25">
      <c r="A5446" t="str">
        <f>IF(COUNTIF(B$1:B5446,B5446)=1,MAX(A$1:A5445)+1,"")</f>
        <v/>
      </c>
      <c r="B5446" s="11"/>
      <c r="C5446" s="11" t="str">
        <f>IF(COUNTIF(D$1:D5446,D5446)=1,MAX(C$1:C5445)+1,"")</f>
        <v/>
      </c>
      <c r="D5446" s="12"/>
    </row>
    <row r="5447" spans="1:4" x14ac:dyDescent="0.25">
      <c r="A5447" t="str">
        <f>IF(COUNTIF(B$1:B5447,B5447)=1,MAX(A$1:A5446)+1,"")</f>
        <v/>
      </c>
      <c r="B5447" s="11"/>
      <c r="C5447" s="11" t="str">
        <f>IF(COUNTIF(D$1:D5447,D5447)=1,MAX(C$1:C5446)+1,"")</f>
        <v/>
      </c>
      <c r="D5447" s="12"/>
    </row>
    <row r="5448" spans="1:4" x14ac:dyDescent="0.25">
      <c r="A5448" t="str">
        <f>IF(COUNTIF(B$1:B5448,B5448)=1,MAX(A$1:A5447)+1,"")</f>
        <v/>
      </c>
      <c r="B5448" s="11"/>
      <c r="C5448" s="11" t="str">
        <f>IF(COUNTIF(D$1:D5448,D5448)=1,MAX(C$1:C5447)+1,"")</f>
        <v/>
      </c>
      <c r="D5448" s="12"/>
    </row>
    <row r="5449" spans="1:4" x14ac:dyDescent="0.25">
      <c r="A5449" t="str">
        <f>IF(COUNTIF(B$1:B5449,B5449)=1,MAX(A$1:A5448)+1,"")</f>
        <v/>
      </c>
      <c r="B5449" s="11"/>
      <c r="C5449" s="11" t="str">
        <f>IF(COUNTIF(D$1:D5449,D5449)=1,MAX(C$1:C5448)+1,"")</f>
        <v/>
      </c>
      <c r="D5449" s="12"/>
    </row>
    <row r="5450" spans="1:4" x14ac:dyDescent="0.25">
      <c r="A5450" t="str">
        <f>IF(COUNTIF(B$1:B5450,B5450)=1,MAX(A$1:A5449)+1,"")</f>
        <v/>
      </c>
      <c r="B5450" s="11"/>
      <c r="C5450" s="11" t="str">
        <f>IF(COUNTIF(D$1:D5450,D5450)=1,MAX(C$1:C5449)+1,"")</f>
        <v/>
      </c>
      <c r="D5450" s="12"/>
    </row>
    <row r="5451" spans="1:4" x14ac:dyDescent="0.25">
      <c r="A5451" t="str">
        <f>IF(COUNTIF(B$1:B5451,B5451)=1,MAX(A$1:A5450)+1,"")</f>
        <v/>
      </c>
      <c r="B5451" s="11"/>
      <c r="C5451" s="11" t="str">
        <f>IF(COUNTIF(D$1:D5451,D5451)=1,MAX(C$1:C5450)+1,"")</f>
        <v/>
      </c>
      <c r="D5451" s="12"/>
    </row>
    <row r="5452" spans="1:4" x14ac:dyDescent="0.25">
      <c r="A5452" t="str">
        <f>IF(COUNTIF(B$1:B5452,B5452)=1,MAX(A$1:A5451)+1,"")</f>
        <v/>
      </c>
      <c r="B5452" s="11"/>
      <c r="C5452" s="11" t="str">
        <f>IF(COUNTIF(D$1:D5452,D5452)=1,MAX(C$1:C5451)+1,"")</f>
        <v/>
      </c>
      <c r="D5452" s="12"/>
    </row>
    <row r="5453" spans="1:4" x14ac:dyDescent="0.25">
      <c r="A5453" t="str">
        <f>IF(COUNTIF(B$1:B5453,B5453)=1,MAX(A$1:A5452)+1,"")</f>
        <v/>
      </c>
      <c r="B5453" s="11"/>
      <c r="C5453" s="11" t="str">
        <f>IF(COUNTIF(D$1:D5453,D5453)=1,MAX(C$1:C5452)+1,"")</f>
        <v/>
      </c>
      <c r="D5453" s="12"/>
    </row>
    <row r="5454" spans="1:4" x14ac:dyDescent="0.25">
      <c r="A5454" t="str">
        <f>IF(COUNTIF(B$1:B5454,B5454)=1,MAX(A$1:A5453)+1,"")</f>
        <v/>
      </c>
      <c r="B5454" s="11"/>
      <c r="C5454" s="11" t="str">
        <f>IF(COUNTIF(D$1:D5454,D5454)=1,MAX(C$1:C5453)+1,"")</f>
        <v/>
      </c>
      <c r="D5454" s="12"/>
    </row>
    <row r="5455" spans="1:4" x14ac:dyDescent="0.25">
      <c r="A5455" t="str">
        <f>IF(COUNTIF(B$1:B5455,B5455)=1,MAX(A$1:A5454)+1,"")</f>
        <v/>
      </c>
      <c r="B5455" s="11"/>
      <c r="C5455" s="11" t="str">
        <f>IF(COUNTIF(D$1:D5455,D5455)=1,MAX(C$1:C5454)+1,"")</f>
        <v/>
      </c>
      <c r="D5455" s="12"/>
    </row>
    <row r="5456" spans="1:4" x14ac:dyDescent="0.25">
      <c r="A5456" t="str">
        <f>IF(COUNTIF(B$1:B5456,B5456)=1,MAX(A$1:A5455)+1,"")</f>
        <v/>
      </c>
      <c r="B5456" s="11"/>
      <c r="C5456" s="11" t="str">
        <f>IF(COUNTIF(D$1:D5456,D5456)=1,MAX(C$1:C5455)+1,"")</f>
        <v/>
      </c>
      <c r="D5456" s="12"/>
    </row>
    <row r="5457" spans="1:4" x14ac:dyDescent="0.25">
      <c r="A5457" t="str">
        <f>IF(COUNTIF(B$1:B5457,B5457)=1,MAX(A$1:A5456)+1,"")</f>
        <v/>
      </c>
      <c r="B5457" s="11"/>
      <c r="C5457" s="11" t="str">
        <f>IF(COUNTIF(D$1:D5457,D5457)=1,MAX(C$1:C5456)+1,"")</f>
        <v/>
      </c>
      <c r="D5457" s="12"/>
    </row>
    <row r="5458" spans="1:4" x14ac:dyDescent="0.25">
      <c r="A5458" t="str">
        <f>IF(COUNTIF(B$1:B5458,B5458)=1,MAX(A$1:A5457)+1,"")</f>
        <v/>
      </c>
      <c r="B5458" s="11"/>
      <c r="C5458" s="11" t="str">
        <f>IF(COUNTIF(D$1:D5458,D5458)=1,MAX(C$1:C5457)+1,"")</f>
        <v/>
      </c>
      <c r="D5458" s="12"/>
    </row>
    <row r="5459" spans="1:4" x14ac:dyDescent="0.25">
      <c r="A5459" t="str">
        <f>IF(COUNTIF(B$1:B5459,B5459)=1,MAX(A$1:A5458)+1,"")</f>
        <v/>
      </c>
      <c r="B5459" s="11"/>
      <c r="C5459" s="11" t="str">
        <f>IF(COUNTIF(D$1:D5459,D5459)=1,MAX(C$1:C5458)+1,"")</f>
        <v/>
      </c>
      <c r="D5459" s="12"/>
    </row>
    <row r="5460" spans="1:4" x14ac:dyDescent="0.25">
      <c r="A5460" t="str">
        <f>IF(COUNTIF(B$1:B5460,B5460)=1,MAX(A$1:A5459)+1,"")</f>
        <v/>
      </c>
      <c r="B5460" s="11"/>
      <c r="C5460" s="11" t="str">
        <f>IF(COUNTIF(D$1:D5460,D5460)=1,MAX(C$1:C5459)+1,"")</f>
        <v/>
      </c>
      <c r="D5460" s="12"/>
    </row>
    <row r="5461" spans="1:4" x14ac:dyDescent="0.25">
      <c r="A5461" t="str">
        <f>IF(COUNTIF(B$1:B5461,B5461)=1,MAX(A$1:A5460)+1,"")</f>
        <v/>
      </c>
      <c r="B5461" s="11"/>
      <c r="C5461" s="11" t="str">
        <f>IF(COUNTIF(D$1:D5461,D5461)=1,MAX(C$1:C5460)+1,"")</f>
        <v/>
      </c>
      <c r="D5461" s="12"/>
    </row>
    <row r="5462" spans="1:4" x14ac:dyDescent="0.25">
      <c r="A5462" t="str">
        <f>IF(COUNTIF(B$1:B5462,B5462)=1,MAX(A$1:A5461)+1,"")</f>
        <v/>
      </c>
      <c r="B5462" s="11"/>
      <c r="C5462" s="11" t="str">
        <f>IF(COUNTIF(D$1:D5462,D5462)=1,MAX(C$1:C5461)+1,"")</f>
        <v/>
      </c>
      <c r="D5462" s="12"/>
    </row>
    <row r="5463" spans="1:4" x14ac:dyDescent="0.25">
      <c r="A5463" t="str">
        <f>IF(COUNTIF(B$1:B5463,B5463)=1,MAX(A$1:A5462)+1,"")</f>
        <v/>
      </c>
      <c r="B5463" s="11"/>
      <c r="C5463" s="11" t="str">
        <f>IF(COUNTIF(D$1:D5463,D5463)=1,MAX(C$1:C5462)+1,"")</f>
        <v/>
      </c>
      <c r="D5463" s="12"/>
    </row>
    <row r="5464" spans="1:4" x14ac:dyDescent="0.25">
      <c r="A5464" t="str">
        <f>IF(COUNTIF(B$1:B5464,B5464)=1,MAX(A$1:A5463)+1,"")</f>
        <v/>
      </c>
      <c r="B5464" s="11"/>
      <c r="C5464" s="11" t="str">
        <f>IF(COUNTIF(D$1:D5464,D5464)=1,MAX(C$1:C5463)+1,"")</f>
        <v/>
      </c>
      <c r="D5464" s="12"/>
    </row>
    <row r="5465" spans="1:4" x14ac:dyDescent="0.25">
      <c r="A5465" t="str">
        <f>IF(COUNTIF(B$1:B5465,B5465)=1,MAX(A$1:A5464)+1,"")</f>
        <v/>
      </c>
      <c r="B5465" s="11"/>
      <c r="C5465" s="11" t="str">
        <f>IF(COUNTIF(D$1:D5465,D5465)=1,MAX(C$1:C5464)+1,"")</f>
        <v/>
      </c>
      <c r="D5465" s="12"/>
    </row>
    <row r="5466" spans="1:4" x14ac:dyDescent="0.25">
      <c r="A5466" t="str">
        <f>IF(COUNTIF(B$1:B5466,B5466)=1,MAX(A$1:A5465)+1,"")</f>
        <v/>
      </c>
      <c r="B5466" s="11"/>
      <c r="C5466" s="11" t="str">
        <f>IF(COUNTIF(D$1:D5466,D5466)=1,MAX(C$1:C5465)+1,"")</f>
        <v/>
      </c>
      <c r="D5466" s="12"/>
    </row>
    <row r="5467" spans="1:4" x14ac:dyDescent="0.25">
      <c r="A5467" t="str">
        <f>IF(COUNTIF(B$1:B5467,B5467)=1,MAX(A$1:A5466)+1,"")</f>
        <v/>
      </c>
      <c r="B5467" s="11"/>
      <c r="C5467" s="11" t="str">
        <f>IF(COUNTIF(D$1:D5467,D5467)=1,MAX(C$1:C5466)+1,"")</f>
        <v/>
      </c>
      <c r="D5467" s="12"/>
    </row>
    <row r="5468" spans="1:4" x14ac:dyDescent="0.25">
      <c r="A5468" t="str">
        <f>IF(COUNTIF(B$1:B5468,B5468)=1,MAX(A$1:A5467)+1,"")</f>
        <v/>
      </c>
      <c r="B5468" s="11"/>
      <c r="C5468" s="11" t="str">
        <f>IF(COUNTIF(D$1:D5468,D5468)=1,MAX(C$1:C5467)+1,"")</f>
        <v/>
      </c>
      <c r="D5468" s="12"/>
    </row>
    <row r="5469" spans="1:4" x14ac:dyDescent="0.25">
      <c r="A5469" t="str">
        <f>IF(COUNTIF(B$1:B5469,B5469)=1,MAX(A$1:A5468)+1,"")</f>
        <v/>
      </c>
      <c r="B5469" s="11"/>
      <c r="C5469" s="11" t="str">
        <f>IF(COUNTIF(D$1:D5469,D5469)=1,MAX(C$1:C5468)+1,"")</f>
        <v/>
      </c>
      <c r="D5469" s="12"/>
    </row>
    <row r="5470" spans="1:4" x14ac:dyDescent="0.25">
      <c r="A5470" t="str">
        <f>IF(COUNTIF(B$1:B5470,B5470)=1,MAX(A$1:A5469)+1,"")</f>
        <v/>
      </c>
      <c r="B5470" s="11"/>
      <c r="C5470" s="11" t="str">
        <f>IF(COUNTIF(D$1:D5470,D5470)=1,MAX(C$1:C5469)+1,"")</f>
        <v/>
      </c>
      <c r="D5470" s="12"/>
    </row>
    <row r="5471" spans="1:4" x14ac:dyDescent="0.25">
      <c r="A5471" t="str">
        <f>IF(COUNTIF(B$1:B5471,B5471)=1,MAX(A$1:A5470)+1,"")</f>
        <v/>
      </c>
      <c r="B5471" s="11"/>
      <c r="C5471" s="11" t="str">
        <f>IF(COUNTIF(D$1:D5471,D5471)=1,MAX(C$1:C5470)+1,"")</f>
        <v/>
      </c>
      <c r="D5471" s="12"/>
    </row>
    <row r="5472" spans="1:4" x14ac:dyDescent="0.25">
      <c r="A5472" t="str">
        <f>IF(COUNTIF(B$1:B5472,B5472)=1,MAX(A$1:A5471)+1,"")</f>
        <v/>
      </c>
      <c r="B5472" s="11"/>
      <c r="C5472" s="11" t="str">
        <f>IF(COUNTIF(D$1:D5472,D5472)=1,MAX(C$1:C5471)+1,"")</f>
        <v/>
      </c>
      <c r="D5472" s="12"/>
    </row>
    <row r="5473" spans="1:4" x14ac:dyDescent="0.25">
      <c r="A5473" t="str">
        <f>IF(COUNTIF(B$1:B5473,B5473)=1,MAX(A$1:A5472)+1,"")</f>
        <v/>
      </c>
      <c r="B5473" s="11"/>
      <c r="C5473" s="11" t="str">
        <f>IF(COUNTIF(D$1:D5473,D5473)=1,MAX(C$1:C5472)+1,"")</f>
        <v/>
      </c>
      <c r="D5473" s="12"/>
    </row>
    <row r="5474" spans="1:4" x14ac:dyDescent="0.25">
      <c r="A5474" t="str">
        <f>IF(COUNTIF(B$1:B5474,B5474)=1,MAX(A$1:A5473)+1,"")</f>
        <v/>
      </c>
      <c r="B5474" s="11"/>
      <c r="C5474" s="11" t="str">
        <f>IF(COUNTIF(D$1:D5474,D5474)=1,MAX(C$1:C5473)+1,"")</f>
        <v/>
      </c>
      <c r="D5474" s="12"/>
    </row>
    <row r="5475" spans="1:4" x14ac:dyDescent="0.25">
      <c r="A5475" t="str">
        <f>IF(COUNTIF(B$1:B5475,B5475)=1,MAX(A$1:A5474)+1,"")</f>
        <v/>
      </c>
      <c r="B5475" s="11"/>
      <c r="C5475" s="11" t="str">
        <f>IF(COUNTIF(D$1:D5475,D5475)=1,MAX(C$1:C5474)+1,"")</f>
        <v/>
      </c>
      <c r="D5475" s="12"/>
    </row>
    <row r="5476" spans="1:4" x14ac:dyDescent="0.25">
      <c r="A5476" t="str">
        <f>IF(COUNTIF(B$1:B5476,B5476)=1,MAX(A$1:A5475)+1,"")</f>
        <v/>
      </c>
      <c r="B5476" s="11"/>
      <c r="C5476" s="11" t="str">
        <f>IF(COUNTIF(D$1:D5476,D5476)=1,MAX(C$1:C5475)+1,"")</f>
        <v/>
      </c>
      <c r="D5476" s="12"/>
    </row>
    <row r="5477" spans="1:4" x14ac:dyDescent="0.25">
      <c r="A5477" t="str">
        <f>IF(COUNTIF(B$1:B5477,B5477)=1,MAX(A$1:A5476)+1,"")</f>
        <v/>
      </c>
      <c r="B5477" s="11"/>
      <c r="C5477" s="11" t="str">
        <f>IF(COUNTIF(D$1:D5477,D5477)=1,MAX(C$1:C5476)+1,"")</f>
        <v/>
      </c>
      <c r="D5477" s="12"/>
    </row>
    <row r="5478" spans="1:4" x14ac:dyDescent="0.25">
      <c r="A5478" t="str">
        <f>IF(COUNTIF(B$1:B5478,B5478)=1,MAX(A$1:A5477)+1,"")</f>
        <v/>
      </c>
      <c r="B5478" s="11"/>
      <c r="C5478" s="11" t="str">
        <f>IF(COUNTIF(D$1:D5478,D5478)=1,MAX(C$1:C5477)+1,"")</f>
        <v/>
      </c>
      <c r="D5478" s="12"/>
    </row>
    <row r="5479" spans="1:4" x14ac:dyDescent="0.25">
      <c r="A5479" t="str">
        <f>IF(COUNTIF(B$1:B5479,B5479)=1,MAX(A$1:A5478)+1,"")</f>
        <v/>
      </c>
      <c r="B5479" s="11"/>
      <c r="C5479" s="11" t="str">
        <f>IF(COUNTIF(D$1:D5479,D5479)=1,MAX(C$1:C5478)+1,"")</f>
        <v/>
      </c>
      <c r="D5479" s="12"/>
    </row>
    <row r="5480" spans="1:4" x14ac:dyDescent="0.25">
      <c r="A5480" t="str">
        <f>IF(COUNTIF(B$1:B5480,B5480)=1,MAX(A$1:A5479)+1,"")</f>
        <v/>
      </c>
      <c r="B5480" s="11"/>
      <c r="C5480" s="11" t="str">
        <f>IF(COUNTIF(D$1:D5480,D5480)=1,MAX(C$1:C5479)+1,"")</f>
        <v/>
      </c>
      <c r="D5480" s="12"/>
    </row>
    <row r="5481" spans="1:4" x14ac:dyDescent="0.25">
      <c r="A5481" t="str">
        <f>IF(COUNTIF(B$1:B5481,B5481)=1,MAX(A$1:A5480)+1,"")</f>
        <v/>
      </c>
      <c r="B5481" s="11"/>
      <c r="C5481" s="11" t="str">
        <f>IF(COUNTIF(D$1:D5481,D5481)=1,MAX(C$1:C5480)+1,"")</f>
        <v/>
      </c>
      <c r="D5481" s="12"/>
    </row>
    <row r="5482" spans="1:4" x14ac:dyDescent="0.25">
      <c r="A5482" t="str">
        <f>IF(COUNTIF(B$1:B5482,B5482)=1,MAX(A$1:A5481)+1,"")</f>
        <v/>
      </c>
      <c r="B5482" s="11"/>
      <c r="C5482" s="11" t="str">
        <f>IF(COUNTIF(D$1:D5482,D5482)=1,MAX(C$1:C5481)+1,"")</f>
        <v/>
      </c>
      <c r="D5482" s="12"/>
    </row>
    <row r="5483" spans="1:4" x14ac:dyDescent="0.25">
      <c r="A5483" t="str">
        <f>IF(COUNTIF(B$1:B5483,B5483)=1,MAX(A$1:A5482)+1,"")</f>
        <v/>
      </c>
      <c r="B5483" s="11"/>
      <c r="C5483" s="11" t="str">
        <f>IF(COUNTIF(D$1:D5483,D5483)=1,MAX(C$1:C5482)+1,"")</f>
        <v/>
      </c>
      <c r="D5483" s="12"/>
    </row>
    <row r="5484" spans="1:4" x14ac:dyDescent="0.25">
      <c r="A5484" t="str">
        <f>IF(COUNTIF(B$1:B5484,B5484)=1,MAX(A$1:A5483)+1,"")</f>
        <v/>
      </c>
      <c r="B5484" s="11"/>
      <c r="C5484" s="11" t="str">
        <f>IF(COUNTIF(D$1:D5484,D5484)=1,MAX(C$1:C5483)+1,"")</f>
        <v/>
      </c>
      <c r="D5484" s="12"/>
    </row>
    <row r="5485" spans="1:4" x14ac:dyDescent="0.25">
      <c r="A5485" t="str">
        <f>IF(COUNTIF(B$1:B5485,B5485)=1,MAX(A$1:A5484)+1,"")</f>
        <v/>
      </c>
      <c r="B5485" s="11"/>
      <c r="C5485" s="11" t="str">
        <f>IF(COUNTIF(D$1:D5485,D5485)=1,MAX(C$1:C5484)+1,"")</f>
        <v/>
      </c>
      <c r="D5485" s="12"/>
    </row>
    <row r="5486" spans="1:4" x14ac:dyDescent="0.25">
      <c r="A5486" t="str">
        <f>IF(COUNTIF(B$1:B5486,B5486)=1,MAX(A$1:A5485)+1,"")</f>
        <v/>
      </c>
      <c r="B5486" s="11"/>
      <c r="C5486" s="11" t="str">
        <f>IF(COUNTIF(D$1:D5486,D5486)=1,MAX(C$1:C5485)+1,"")</f>
        <v/>
      </c>
      <c r="D5486" s="12"/>
    </row>
    <row r="5487" spans="1:4" x14ac:dyDescent="0.25">
      <c r="A5487" t="str">
        <f>IF(COUNTIF(B$1:B5487,B5487)=1,MAX(A$1:A5486)+1,"")</f>
        <v/>
      </c>
      <c r="B5487" s="11"/>
      <c r="C5487" s="11" t="str">
        <f>IF(COUNTIF(D$1:D5487,D5487)=1,MAX(C$1:C5486)+1,"")</f>
        <v/>
      </c>
      <c r="D5487" s="12"/>
    </row>
    <row r="5488" spans="1:4" x14ac:dyDescent="0.25">
      <c r="A5488" t="str">
        <f>IF(COUNTIF(B$1:B5488,B5488)=1,MAX(A$1:A5487)+1,"")</f>
        <v/>
      </c>
      <c r="B5488" s="11"/>
      <c r="C5488" s="11" t="str">
        <f>IF(COUNTIF(D$1:D5488,D5488)=1,MAX(C$1:C5487)+1,"")</f>
        <v/>
      </c>
      <c r="D5488" s="12"/>
    </row>
    <row r="5489" spans="1:4" x14ac:dyDescent="0.25">
      <c r="A5489" t="str">
        <f>IF(COUNTIF(B$1:B5489,B5489)=1,MAX(A$1:A5488)+1,"")</f>
        <v/>
      </c>
      <c r="B5489" s="11"/>
      <c r="C5489" s="11" t="str">
        <f>IF(COUNTIF(D$1:D5489,D5489)=1,MAX(C$1:C5488)+1,"")</f>
        <v/>
      </c>
      <c r="D5489" s="12"/>
    </row>
    <row r="5490" spans="1:4" x14ac:dyDescent="0.25">
      <c r="A5490" t="str">
        <f>IF(COUNTIF(B$1:B5490,B5490)=1,MAX(A$1:A5489)+1,"")</f>
        <v/>
      </c>
      <c r="B5490" s="11"/>
      <c r="C5490" s="11" t="str">
        <f>IF(COUNTIF(D$1:D5490,D5490)=1,MAX(C$1:C5489)+1,"")</f>
        <v/>
      </c>
      <c r="D5490" s="12"/>
    </row>
    <row r="5491" spans="1:4" x14ac:dyDescent="0.25">
      <c r="A5491" t="str">
        <f>IF(COUNTIF(B$1:B5491,B5491)=1,MAX(A$1:A5490)+1,"")</f>
        <v/>
      </c>
      <c r="B5491" s="11"/>
      <c r="C5491" s="11" t="str">
        <f>IF(COUNTIF(D$1:D5491,D5491)=1,MAX(C$1:C5490)+1,"")</f>
        <v/>
      </c>
      <c r="D5491" s="12"/>
    </row>
    <row r="5492" spans="1:4" x14ac:dyDescent="0.25">
      <c r="A5492" t="str">
        <f>IF(COUNTIF(B$1:B5492,B5492)=1,MAX(A$1:A5491)+1,"")</f>
        <v/>
      </c>
      <c r="B5492" s="11"/>
      <c r="C5492" s="11" t="str">
        <f>IF(COUNTIF(D$1:D5492,D5492)=1,MAX(C$1:C5491)+1,"")</f>
        <v/>
      </c>
      <c r="D5492" s="12"/>
    </row>
    <row r="5493" spans="1:4" x14ac:dyDescent="0.25">
      <c r="A5493" t="str">
        <f>IF(COUNTIF(B$1:B5493,B5493)=1,MAX(A$1:A5492)+1,"")</f>
        <v/>
      </c>
      <c r="B5493" s="11"/>
      <c r="C5493" s="11" t="str">
        <f>IF(COUNTIF(D$1:D5493,D5493)=1,MAX(C$1:C5492)+1,"")</f>
        <v/>
      </c>
      <c r="D5493" s="12"/>
    </row>
    <row r="5494" spans="1:4" x14ac:dyDescent="0.25">
      <c r="A5494" t="str">
        <f>IF(COUNTIF(B$1:B5494,B5494)=1,MAX(A$1:A5493)+1,"")</f>
        <v/>
      </c>
      <c r="B5494" s="11"/>
      <c r="C5494" s="11" t="str">
        <f>IF(COUNTIF(D$1:D5494,D5494)=1,MAX(C$1:C5493)+1,"")</f>
        <v/>
      </c>
      <c r="D5494" s="12"/>
    </row>
    <row r="5495" spans="1:4" x14ac:dyDescent="0.25">
      <c r="A5495" t="str">
        <f>IF(COUNTIF(B$1:B5495,B5495)=1,MAX(A$1:A5494)+1,"")</f>
        <v/>
      </c>
      <c r="B5495" s="11"/>
      <c r="C5495" s="11" t="str">
        <f>IF(COUNTIF(D$1:D5495,D5495)=1,MAX(C$1:C5494)+1,"")</f>
        <v/>
      </c>
      <c r="D5495" s="12"/>
    </row>
    <row r="5496" spans="1:4" x14ac:dyDescent="0.25">
      <c r="A5496" t="str">
        <f>IF(COUNTIF(B$1:B5496,B5496)=1,MAX(A$1:A5495)+1,"")</f>
        <v/>
      </c>
      <c r="B5496" s="11"/>
      <c r="C5496" s="11" t="str">
        <f>IF(COUNTIF(D$1:D5496,D5496)=1,MAX(C$1:C5495)+1,"")</f>
        <v/>
      </c>
      <c r="D5496" s="12"/>
    </row>
    <row r="5497" spans="1:4" x14ac:dyDescent="0.25">
      <c r="A5497" t="str">
        <f>IF(COUNTIF(B$1:B5497,B5497)=1,MAX(A$1:A5496)+1,"")</f>
        <v/>
      </c>
      <c r="B5497" s="11"/>
      <c r="C5497" s="11" t="str">
        <f>IF(COUNTIF(D$1:D5497,D5497)=1,MAX(C$1:C5496)+1,"")</f>
        <v/>
      </c>
      <c r="D5497" s="12"/>
    </row>
    <row r="5498" spans="1:4" x14ac:dyDescent="0.25">
      <c r="A5498" t="str">
        <f>IF(COUNTIF(B$1:B5498,B5498)=1,MAX(A$1:A5497)+1,"")</f>
        <v/>
      </c>
      <c r="B5498" s="11"/>
      <c r="C5498" s="11" t="str">
        <f>IF(COUNTIF(D$1:D5498,D5498)=1,MAX(C$1:C5497)+1,"")</f>
        <v/>
      </c>
      <c r="D5498" s="12"/>
    </row>
    <row r="5499" spans="1:4" x14ac:dyDescent="0.25">
      <c r="A5499" t="str">
        <f>IF(COUNTIF(B$1:B5499,B5499)=1,MAX(A$1:A5498)+1,"")</f>
        <v/>
      </c>
      <c r="B5499" s="11"/>
      <c r="C5499" s="11" t="str">
        <f>IF(COUNTIF(D$1:D5499,D5499)=1,MAX(C$1:C5498)+1,"")</f>
        <v/>
      </c>
      <c r="D5499" s="12"/>
    </row>
    <row r="5500" spans="1:4" x14ac:dyDescent="0.25">
      <c r="A5500" t="str">
        <f>IF(COUNTIF(B$1:B5500,B5500)=1,MAX(A$1:A5499)+1,"")</f>
        <v/>
      </c>
      <c r="B5500" s="11"/>
      <c r="C5500" s="11" t="str">
        <f>IF(COUNTIF(D$1:D5500,D5500)=1,MAX(C$1:C5499)+1,"")</f>
        <v/>
      </c>
      <c r="D5500" s="12"/>
    </row>
    <row r="5501" spans="1:4" x14ac:dyDescent="0.25">
      <c r="A5501" t="str">
        <f>IF(COUNTIF(B$1:B5501,B5501)=1,MAX(A$1:A5500)+1,"")</f>
        <v/>
      </c>
      <c r="B5501" s="11"/>
      <c r="C5501" s="11" t="str">
        <f>IF(COUNTIF(D$1:D5501,D5501)=1,MAX(C$1:C5500)+1,"")</f>
        <v/>
      </c>
      <c r="D5501" s="12"/>
    </row>
    <row r="5502" spans="1:4" x14ac:dyDescent="0.25">
      <c r="A5502" t="str">
        <f>IF(COUNTIF(B$1:B5502,B5502)=1,MAX(A$1:A5501)+1,"")</f>
        <v/>
      </c>
      <c r="B5502" s="11"/>
      <c r="C5502" s="11" t="str">
        <f>IF(COUNTIF(D$1:D5502,D5502)=1,MAX(C$1:C5501)+1,"")</f>
        <v/>
      </c>
      <c r="D5502" s="12"/>
    </row>
    <row r="5503" spans="1:4" x14ac:dyDescent="0.25">
      <c r="A5503" t="str">
        <f>IF(COUNTIF(B$1:B5503,B5503)=1,MAX(A$1:A5502)+1,"")</f>
        <v/>
      </c>
      <c r="B5503" s="11"/>
      <c r="C5503" s="11" t="str">
        <f>IF(COUNTIF(D$1:D5503,D5503)=1,MAX(C$1:C5502)+1,"")</f>
        <v/>
      </c>
      <c r="D5503" s="12"/>
    </row>
    <row r="5504" spans="1:4" x14ac:dyDescent="0.25">
      <c r="A5504" t="str">
        <f>IF(COUNTIF(B$1:B5504,B5504)=1,MAX(A$1:A5503)+1,"")</f>
        <v/>
      </c>
      <c r="B5504" s="11"/>
      <c r="C5504" s="11" t="str">
        <f>IF(COUNTIF(D$1:D5504,D5504)=1,MAX(C$1:C5503)+1,"")</f>
        <v/>
      </c>
      <c r="D5504" s="12"/>
    </row>
    <row r="5505" spans="1:4" x14ac:dyDescent="0.25">
      <c r="A5505" t="str">
        <f>IF(COUNTIF(B$1:B5505,B5505)=1,MAX(A$1:A5504)+1,"")</f>
        <v/>
      </c>
      <c r="B5505" s="11"/>
      <c r="C5505" s="11" t="str">
        <f>IF(COUNTIF(D$1:D5505,D5505)=1,MAX(C$1:C5504)+1,"")</f>
        <v/>
      </c>
      <c r="D5505" s="12"/>
    </row>
    <row r="5506" spans="1:4" x14ac:dyDescent="0.25">
      <c r="A5506" t="str">
        <f>IF(COUNTIF(B$1:B5506,B5506)=1,MAX(A$1:A5505)+1,"")</f>
        <v/>
      </c>
      <c r="B5506" s="11"/>
      <c r="C5506" s="11" t="str">
        <f>IF(COUNTIF(D$1:D5506,D5506)=1,MAX(C$1:C5505)+1,"")</f>
        <v/>
      </c>
      <c r="D5506" s="12"/>
    </row>
    <row r="5507" spans="1:4" x14ac:dyDescent="0.25">
      <c r="A5507" t="str">
        <f>IF(COUNTIF(B$1:B5507,B5507)=1,MAX(A$1:A5506)+1,"")</f>
        <v/>
      </c>
      <c r="B5507" s="11"/>
      <c r="C5507" s="11" t="str">
        <f>IF(COUNTIF(D$1:D5507,D5507)=1,MAX(C$1:C5506)+1,"")</f>
        <v/>
      </c>
      <c r="D5507" s="12"/>
    </row>
    <row r="5508" spans="1:4" x14ac:dyDescent="0.25">
      <c r="A5508" t="str">
        <f>IF(COUNTIF(B$1:B5508,B5508)=1,MAX(A$1:A5507)+1,"")</f>
        <v/>
      </c>
      <c r="B5508" s="11"/>
      <c r="C5508" s="11" t="str">
        <f>IF(COUNTIF(D$1:D5508,D5508)=1,MAX(C$1:C5507)+1,"")</f>
        <v/>
      </c>
      <c r="D5508" s="12"/>
    </row>
    <row r="5509" spans="1:4" x14ac:dyDescent="0.25">
      <c r="A5509" t="str">
        <f>IF(COUNTIF(B$1:B5509,B5509)=1,MAX(A$1:A5508)+1,"")</f>
        <v/>
      </c>
      <c r="B5509" s="11"/>
      <c r="C5509" s="11" t="str">
        <f>IF(COUNTIF(D$1:D5509,D5509)=1,MAX(C$1:C5508)+1,"")</f>
        <v/>
      </c>
      <c r="D5509" s="12"/>
    </row>
    <row r="5510" spans="1:4" x14ac:dyDescent="0.25">
      <c r="A5510" t="str">
        <f>IF(COUNTIF(B$1:B5510,B5510)=1,MAX(A$1:A5509)+1,"")</f>
        <v/>
      </c>
      <c r="B5510" s="11"/>
      <c r="C5510" s="11" t="str">
        <f>IF(COUNTIF(D$1:D5510,D5510)=1,MAX(C$1:C5509)+1,"")</f>
        <v/>
      </c>
      <c r="D5510" s="12"/>
    </row>
    <row r="5511" spans="1:4" x14ac:dyDescent="0.25">
      <c r="A5511" t="str">
        <f>IF(COUNTIF(B$1:B5511,B5511)=1,MAX(A$1:A5510)+1,"")</f>
        <v/>
      </c>
      <c r="B5511" s="11"/>
      <c r="C5511" s="11" t="str">
        <f>IF(COUNTIF(D$1:D5511,D5511)=1,MAX(C$1:C5510)+1,"")</f>
        <v/>
      </c>
      <c r="D5511" s="12"/>
    </row>
    <row r="5512" spans="1:4" x14ac:dyDescent="0.25">
      <c r="A5512" t="str">
        <f>IF(COUNTIF(B$1:B5512,B5512)=1,MAX(A$1:A5511)+1,"")</f>
        <v/>
      </c>
      <c r="B5512" s="11"/>
      <c r="C5512" s="11" t="str">
        <f>IF(COUNTIF(D$1:D5512,D5512)=1,MAX(C$1:C5511)+1,"")</f>
        <v/>
      </c>
      <c r="D5512" s="12"/>
    </row>
    <row r="5513" spans="1:4" x14ac:dyDescent="0.25">
      <c r="A5513" t="str">
        <f>IF(COUNTIF(B$1:B5513,B5513)=1,MAX(A$1:A5512)+1,"")</f>
        <v/>
      </c>
      <c r="B5513" s="11"/>
      <c r="C5513" s="11" t="str">
        <f>IF(COUNTIF(D$1:D5513,D5513)=1,MAX(C$1:C5512)+1,"")</f>
        <v/>
      </c>
      <c r="D5513" s="12"/>
    </row>
    <row r="5514" spans="1:4" x14ac:dyDescent="0.25">
      <c r="A5514" t="str">
        <f>IF(COUNTIF(B$1:B5514,B5514)=1,MAX(A$1:A5513)+1,"")</f>
        <v/>
      </c>
      <c r="B5514" s="11"/>
      <c r="C5514" s="11" t="str">
        <f>IF(COUNTIF(D$1:D5514,D5514)=1,MAX(C$1:C5513)+1,"")</f>
        <v/>
      </c>
      <c r="D5514" s="12"/>
    </row>
    <row r="5515" spans="1:4" x14ac:dyDescent="0.25">
      <c r="A5515" t="str">
        <f>IF(COUNTIF(B$1:B5515,B5515)=1,MAX(A$1:A5514)+1,"")</f>
        <v/>
      </c>
      <c r="B5515" s="11"/>
      <c r="C5515" s="11" t="str">
        <f>IF(COUNTIF(D$1:D5515,D5515)=1,MAX(C$1:C5514)+1,"")</f>
        <v/>
      </c>
      <c r="D5515" s="12"/>
    </row>
    <row r="5516" spans="1:4" x14ac:dyDescent="0.25">
      <c r="A5516" t="str">
        <f>IF(COUNTIF(B$1:B5516,B5516)=1,MAX(A$1:A5515)+1,"")</f>
        <v/>
      </c>
      <c r="B5516" s="11"/>
      <c r="C5516" s="11" t="str">
        <f>IF(COUNTIF(D$1:D5516,D5516)=1,MAX(C$1:C5515)+1,"")</f>
        <v/>
      </c>
      <c r="D5516" s="12"/>
    </row>
    <row r="5517" spans="1:4" x14ac:dyDescent="0.25">
      <c r="A5517" t="str">
        <f>IF(COUNTIF(B$1:B5517,B5517)=1,MAX(A$1:A5516)+1,"")</f>
        <v/>
      </c>
      <c r="B5517" s="11"/>
      <c r="C5517" s="11" t="str">
        <f>IF(COUNTIF(D$1:D5517,D5517)=1,MAX(C$1:C5516)+1,"")</f>
        <v/>
      </c>
      <c r="D5517" s="12"/>
    </row>
    <row r="5518" spans="1:4" x14ac:dyDescent="0.25">
      <c r="A5518" t="str">
        <f>IF(COUNTIF(B$1:B5518,B5518)=1,MAX(A$1:A5517)+1,"")</f>
        <v/>
      </c>
      <c r="B5518" s="11"/>
      <c r="C5518" s="11" t="str">
        <f>IF(COUNTIF(D$1:D5518,D5518)=1,MAX(C$1:C5517)+1,"")</f>
        <v/>
      </c>
      <c r="D5518" s="12"/>
    </row>
    <row r="5519" spans="1:4" x14ac:dyDescent="0.25">
      <c r="A5519" t="str">
        <f>IF(COUNTIF(B$1:B5519,B5519)=1,MAX(A$1:A5518)+1,"")</f>
        <v/>
      </c>
      <c r="B5519" s="11"/>
      <c r="C5519" s="11" t="str">
        <f>IF(COUNTIF(D$1:D5519,D5519)=1,MAX(C$1:C5518)+1,"")</f>
        <v/>
      </c>
      <c r="D5519" s="12"/>
    </row>
    <row r="5520" spans="1:4" x14ac:dyDescent="0.25">
      <c r="A5520" t="str">
        <f>IF(COUNTIF(B$1:B5520,B5520)=1,MAX(A$1:A5519)+1,"")</f>
        <v/>
      </c>
      <c r="B5520" s="11"/>
      <c r="C5520" s="11" t="str">
        <f>IF(COUNTIF(D$1:D5520,D5520)=1,MAX(C$1:C5519)+1,"")</f>
        <v/>
      </c>
      <c r="D5520" s="12"/>
    </row>
    <row r="5521" spans="1:4" x14ac:dyDescent="0.25">
      <c r="A5521" t="str">
        <f>IF(COUNTIF(B$1:B5521,B5521)=1,MAX(A$1:A5520)+1,"")</f>
        <v/>
      </c>
      <c r="B5521" s="11"/>
      <c r="C5521" s="11" t="str">
        <f>IF(COUNTIF(D$1:D5521,D5521)=1,MAX(C$1:C5520)+1,"")</f>
        <v/>
      </c>
      <c r="D5521" s="12"/>
    </row>
    <row r="5522" spans="1:4" x14ac:dyDescent="0.25">
      <c r="A5522" t="str">
        <f>IF(COUNTIF(B$1:B5522,B5522)=1,MAX(A$1:A5521)+1,"")</f>
        <v/>
      </c>
      <c r="B5522" s="11"/>
      <c r="C5522" s="11" t="str">
        <f>IF(COUNTIF(D$1:D5522,D5522)=1,MAX(C$1:C5521)+1,"")</f>
        <v/>
      </c>
      <c r="D5522" s="12"/>
    </row>
    <row r="5523" spans="1:4" x14ac:dyDescent="0.25">
      <c r="A5523" t="str">
        <f>IF(COUNTIF(B$1:B5523,B5523)=1,MAX(A$1:A5522)+1,"")</f>
        <v/>
      </c>
      <c r="B5523" s="11"/>
      <c r="C5523" s="11" t="str">
        <f>IF(COUNTIF(D$1:D5523,D5523)=1,MAX(C$1:C5522)+1,"")</f>
        <v/>
      </c>
      <c r="D5523" s="12"/>
    </row>
    <row r="5524" spans="1:4" x14ac:dyDescent="0.25">
      <c r="A5524" t="str">
        <f>IF(COUNTIF(B$1:B5524,B5524)=1,MAX(A$1:A5523)+1,"")</f>
        <v/>
      </c>
      <c r="B5524" s="11"/>
      <c r="C5524" s="11" t="str">
        <f>IF(COUNTIF(D$1:D5524,D5524)=1,MAX(C$1:C5523)+1,"")</f>
        <v/>
      </c>
      <c r="D5524" s="12"/>
    </row>
    <row r="5525" spans="1:4" x14ac:dyDescent="0.25">
      <c r="A5525" t="str">
        <f>IF(COUNTIF(B$1:B5525,B5525)=1,MAX(A$1:A5524)+1,"")</f>
        <v/>
      </c>
      <c r="B5525" s="11"/>
      <c r="C5525" s="11" t="str">
        <f>IF(COUNTIF(D$1:D5525,D5525)=1,MAX(C$1:C5524)+1,"")</f>
        <v/>
      </c>
      <c r="D5525" s="12"/>
    </row>
    <row r="5526" spans="1:4" x14ac:dyDescent="0.25">
      <c r="A5526" t="str">
        <f>IF(COUNTIF(B$1:B5526,B5526)=1,MAX(A$1:A5525)+1,"")</f>
        <v/>
      </c>
      <c r="B5526" s="11"/>
      <c r="C5526" s="11" t="str">
        <f>IF(COUNTIF(D$1:D5526,D5526)=1,MAX(C$1:C5525)+1,"")</f>
        <v/>
      </c>
      <c r="D5526" s="12"/>
    </row>
    <row r="5527" spans="1:4" x14ac:dyDescent="0.25">
      <c r="A5527" t="str">
        <f>IF(COUNTIF(B$1:B5527,B5527)=1,MAX(A$1:A5526)+1,"")</f>
        <v/>
      </c>
      <c r="B5527" s="11"/>
      <c r="C5527" s="11" t="str">
        <f>IF(COUNTIF(D$1:D5527,D5527)=1,MAX(C$1:C5526)+1,"")</f>
        <v/>
      </c>
      <c r="D5527" s="12"/>
    </row>
    <row r="5528" spans="1:4" x14ac:dyDescent="0.25">
      <c r="A5528" t="str">
        <f>IF(COUNTIF(B$1:B5528,B5528)=1,MAX(A$1:A5527)+1,"")</f>
        <v/>
      </c>
      <c r="B5528" s="11"/>
      <c r="C5528" s="11" t="str">
        <f>IF(COUNTIF(D$1:D5528,D5528)=1,MAX(C$1:C5527)+1,"")</f>
        <v/>
      </c>
      <c r="D5528" s="12"/>
    </row>
    <row r="5529" spans="1:4" x14ac:dyDescent="0.25">
      <c r="A5529" t="str">
        <f>IF(COUNTIF(B$1:B5529,B5529)=1,MAX(A$1:A5528)+1,"")</f>
        <v/>
      </c>
      <c r="B5529" s="11"/>
      <c r="C5529" s="11" t="str">
        <f>IF(COUNTIF(D$1:D5529,D5529)=1,MAX(C$1:C5528)+1,"")</f>
        <v/>
      </c>
      <c r="D5529" s="12"/>
    </row>
    <row r="5530" spans="1:4" x14ac:dyDescent="0.25">
      <c r="A5530" t="str">
        <f>IF(COUNTIF(B$1:B5530,B5530)=1,MAX(A$1:A5529)+1,"")</f>
        <v/>
      </c>
      <c r="B5530" s="11"/>
      <c r="C5530" s="11" t="str">
        <f>IF(COUNTIF(D$1:D5530,D5530)=1,MAX(C$1:C5529)+1,"")</f>
        <v/>
      </c>
      <c r="D5530" s="12"/>
    </row>
    <row r="5531" spans="1:4" x14ac:dyDescent="0.25">
      <c r="A5531" t="str">
        <f>IF(COUNTIF(B$1:B5531,B5531)=1,MAX(A$1:A5530)+1,"")</f>
        <v/>
      </c>
      <c r="B5531" s="11"/>
      <c r="C5531" s="11" t="str">
        <f>IF(COUNTIF(D$1:D5531,D5531)=1,MAX(C$1:C5530)+1,"")</f>
        <v/>
      </c>
      <c r="D5531" s="12"/>
    </row>
    <row r="5532" spans="1:4" x14ac:dyDescent="0.25">
      <c r="A5532" t="str">
        <f>IF(COUNTIF(B$1:B5532,B5532)=1,MAX(A$1:A5531)+1,"")</f>
        <v/>
      </c>
      <c r="B5532" s="11"/>
      <c r="C5532" s="11" t="str">
        <f>IF(COUNTIF(D$1:D5532,D5532)=1,MAX(C$1:C5531)+1,"")</f>
        <v/>
      </c>
      <c r="D5532" s="12"/>
    </row>
    <row r="5533" spans="1:4" x14ac:dyDescent="0.25">
      <c r="A5533" t="str">
        <f>IF(COUNTIF(B$1:B5533,B5533)=1,MAX(A$1:A5532)+1,"")</f>
        <v/>
      </c>
      <c r="B5533" s="11"/>
      <c r="C5533" s="11" t="str">
        <f>IF(COUNTIF(D$1:D5533,D5533)=1,MAX(C$1:C5532)+1,"")</f>
        <v/>
      </c>
      <c r="D5533" s="12"/>
    </row>
    <row r="5534" spans="1:4" x14ac:dyDescent="0.25">
      <c r="A5534" t="str">
        <f>IF(COUNTIF(B$1:B5534,B5534)=1,MAX(A$1:A5533)+1,"")</f>
        <v/>
      </c>
      <c r="B5534" s="11"/>
      <c r="C5534" s="11" t="str">
        <f>IF(COUNTIF(D$1:D5534,D5534)=1,MAX(C$1:C5533)+1,"")</f>
        <v/>
      </c>
      <c r="D5534" s="12"/>
    </row>
    <row r="5535" spans="1:4" x14ac:dyDescent="0.25">
      <c r="A5535" t="str">
        <f>IF(COUNTIF(B$1:B5535,B5535)=1,MAX(A$1:A5534)+1,"")</f>
        <v/>
      </c>
      <c r="B5535" s="11"/>
      <c r="C5535" s="11" t="str">
        <f>IF(COUNTIF(D$1:D5535,D5535)=1,MAX(C$1:C5534)+1,"")</f>
        <v/>
      </c>
      <c r="D5535" s="12"/>
    </row>
    <row r="5536" spans="1:4" x14ac:dyDescent="0.25">
      <c r="A5536" t="str">
        <f>IF(COUNTIF(B$1:B5536,B5536)=1,MAX(A$1:A5535)+1,"")</f>
        <v/>
      </c>
      <c r="B5536" s="11"/>
      <c r="C5536" s="11" t="str">
        <f>IF(COUNTIF(D$1:D5536,D5536)=1,MAX(C$1:C5535)+1,"")</f>
        <v/>
      </c>
      <c r="D5536" s="12"/>
    </row>
    <row r="5537" spans="1:4" x14ac:dyDescent="0.25">
      <c r="A5537" t="str">
        <f>IF(COUNTIF(B$1:B5537,B5537)=1,MAX(A$1:A5536)+1,"")</f>
        <v/>
      </c>
      <c r="B5537" s="11"/>
      <c r="C5537" s="11" t="str">
        <f>IF(COUNTIF(D$1:D5537,D5537)=1,MAX(C$1:C5536)+1,"")</f>
        <v/>
      </c>
      <c r="D5537" s="12"/>
    </row>
    <row r="5538" spans="1:4" x14ac:dyDescent="0.25">
      <c r="A5538" t="str">
        <f>IF(COUNTIF(B$1:B5538,B5538)=1,MAX(A$1:A5537)+1,"")</f>
        <v/>
      </c>
      <c r="B5538" s="11"/>
      <c r="C5538" s="11" t="str">
        <f>IF(COUNTIF(D$1:D5538,D5538)=1,MAX(C$1:C5537)+1,"")</f>
        <v/>
      </c>
      <c r="D5538" s="12"/>
    </row>
    <row r="5539" spans="1:4" x14ac:dyDescent="0.25">
      <c r="A5539" t="str">
        <f>IF(COUNTIF(B$1:B5539,B5539)=1,MAX(A$1:A5538)+1,"")</f>
        <v/>
      </c>
      <c r="B5539" s="11"/>
      <c r="C5539" s="11" t="str">
        <f>IF(COUNTIF(D$1:D5539,D5539)=1,MAX(C$1:C5538)+1,"")</f>
        <v/>
      </c>
      <c r="D5539" s="12"/>
    </row>
    <row r="5540" spans="1:4" x14ac:dyDescent="0.25">
      <c r="A5540" t="str">
        <f>IF(COUNTIF(B$1:B5540,B5540)=1,MAX(A$1:A5539)+1,"")</f>
        <v/>
      </c>
      <c r="B5540" s="11"/>
      <c r="C5540" s="11" t="str">
        <f>IF(COUNTIF(D$1:D5540,D5540)=1,MAX(C$1:C5539)+1,"")</f>
        <v/>
      </c>
      <c r="D5540" s="12"/>
    </row>
    <row r="5541" spans="1:4" x14ac:dyDescent="0.25">
      <c r="A5541" t="str">
        <f>IF(COUNTIF(B$1:B5541,B5541)=1,MAX(A$1:A5540)+1,"")</f>
        <v/>
      </c>
      <c r="B5541" s="11"/>
      <c r="C5541" s="11" t="str">
        <f>IF(COUNTIF(D$1:D5541,D5541)=1,MAX(C$1:C5540)+1,"")</f>
        <v/>
      </c>
      <c r="D5541" s="12"/>
    </row>
    <row r="5542" spans="1:4" x14ac:dyDescent="0.25">
      <c r="A5542" t="str">
        <f>IF(COUNTIF(B$1:B5542,B5542)=1,MAX(A$1:A5541)+1,"")</f>
        <v/>
      </c>
      <c r="B5542" s="11"/>
      <c r="C5542" s="11" t="str">
        <f>IF(COUNTIF(D$1:D5542,D5542)=1,MAX(C$1:C5541)+1,"")</f>
        <v/>
      </c>
      <c r="D5542" s="12"/>
    </row>
    <row r="5543" spans="1:4" x14ac:dyDescent="0.25">
      <c r="A5543" t="str">
        <f>IF(COUNTIF(B$1:B5543,B5543)=1,MAX(A$1:A5542)+1,"")</f>
        <v/>
      </c>
      <c r="B5543" s="11"/>
      <c r="C5543" s="11" t="str">
        <f>IF(COUNTIF(D$1:D5543,D5543)=1,MAX(C$1:C5542)+1,"")</f>
        <v/>
      </c>
      <c r="D5543" s="12"/>
    </row>
    <row r="5544" spans="1:4" x14ac:dyDescent="0.25">
      <c r="A5544" t="str">
        <f>IF(COUNTIF(B$1:B5544,B5544)=1,MAX(A$1:A5543)+1,"")</f>
        <v/>
      </c>
      <c r="B5544" s="11"/>
      <c r="C5544" s="11" t="str">
        <f>IF(COUNTIF(D$1:D5544,D5544)=1,MAX(C$1:C5543)+1,"")</f>
        <v/>
      </c>
      <c r="D5544" s="12"/>
    </row>
    <row r="5545" spans="1:4" x14ac:dyDescent="0.25">
      <c r="A5545" t="str">
        <f>IF(COUNTIF(B$1:B5545,B5545)=1,MAX(A$1:A5544)+1,"")</f>
        <v/>
      </c>
      <c r="B5545" s="11"/>
      <c r="C5545" s="11" t="str">
        <f>IF(COUNTIF(D$1:D5545,D5545)=1,MAX(C$1:C5544)+1,"")</f>
        <v/>
      </c>
      <c r="D5545" s="12"/>
    </row>
    <row r="5546" spans="1:4" x14ac:dyDescent="0.25">
      <c r="A5546" t="str">
        <f>IF(COUNTIF(B$1:B5546,B5546)=1,MAX(A$1:A5545)+1,"")</f>
        <v/>
      </c>
      <c r="B5546" s="11"/>
      <c r="C5546" s="11" t="str">
        <f>IF(COUNTIF(D$1:D5546,D5546)=1,MAX(C$1:C5545)+1,"")</f>
        <v/>
      </c>
      <c r="D5546" s="12"/>
    </row>
    <row r="5547" spans="1:4" x14ac:dyDescent="0.25">
      <c r="A5547" t="str">
        <f>IF(COUNTIF(B$1:B5547,B5547)=1,MAX(A$1:A5546)+1,"")</f>
        <v/>
      </c>
      <c r="B5547" s="11"/>
      <c r="C5547" s="11" t="str">
        <f>IF(COUNTIF(D$1:D5547,D5547)=1,MAX(C$1:C5546)+1,"")</f>
        <v/>
      </c>
      <c r="D5547" s="12"/>
    </row>
    <row r="5548" spans="1:4" x14ac:dyDescent="0.25">
      <c r="A5548" t="str">
        <f>IF(COUNTIF(B$1:B5548,B5548)=1,MAX(A$1:A5547)+1,"")</f>
        <v/>
      </c>
      <c r="B5548" s="11"/>
      <c r="C5548" s="11" t="str">
        <f>IF(COUNTIF(D$1:D5548,D5548)=1,MAX(C$1:C5547)+1,"")</f>
        <v/>
      </c>
      <c r="D5548" s="12"/>
    </row>
    <row r="5549" spans="1:4" x14ac:dyDescent="0.25">
      <c r="A5549" t="str">
        <f>IF(COUNTIF(B$1:B5549,B5549)=1,MAX(A$1:A5548)+1,"")</f>
        <v/>
      </c>
      <c r="B5549" s="11"/>
      <c r="C5549" s="11" t="str">
        <f>IF(COUNTIF(D$1:D5549,D5549)=1,MAX(C$1:C5548)+1,"")</f>
        <v/>
      </c>
      <c r="D5549" s="12"/>
    </row>
    <row r="5550" spans="1:4" x14ac:dyDescent="0.25">
      <c r="A5550" t="str">
        <f>IF(COUNTIF(B$1:B5550,B5550)=1,MAX(A$1:A5549)+1,"")</f>
        <v/>
      </c>
      <c r="B5550" s="11"/>
      <c r="C5550" s="11" t="str">
        <f>IF(COUNTIF(D$1:D5550,D5550)=1,MAX(C$1:C5549)+1,"")</f>
        <v/>
      </c>
      <c r="D5550" s="12"/>
    </row>
    <row r="5551" spans="1:4" x14ac:dyDescent="0.25">
      <c r="A5551" t="str">
        <f>IF(COUNTIF(B$1:B5551,B5551)=1,MAX(A$1:A5550)+1,"")</f>
        <v/>
      </c>
      <c r="B5551" s="11"/>
      <c r="C5551" s="11" t="str">
        <f>IF(COUNTIF(D$1:D5551,D5551)=1,MAX(C$1:C5550)+1,"")</f>
        <v/>
      </c>
      <c r="D5551" s="12"/>
    </row>
    <row r="5552" spans="1:4" x14ac:dyDescent="0.25">
      <c r="A5552" t="str">
        <f>IF(COUNTIF(B$1:B5552,B5552)=1,MAX(A$1:A5551)+1,"")</f>
        <v/>
      </c>
      <c r="B5552" s="11"/>
      <c r="C5552" s="11" t="str">
        <f>IF(COUNTIF(D$1:D5552,D5552)=1,MAX(C$1:C5551)+1,"")</f>
        <v/>
      </c>
      <c r="D5552" s="12"/>
    </row>
    <row r="5553" spans="1:4" x14ac:dyDescent="0.25">
      <c r="A5553" t="str">
        <f>IF(COUNTIF(B$1:B5553,B5553)=1,MAX(A$1:A5552)+1,"")</f>
        <v/>
      </c>
      <c r="B5553" s="11"/>
      <c r="C5553" s="11" t="str">
        <f>IF(COUNTIF(D$1:D5553,D5553)=1,MAX(C$1:C5552)+1,"")</f>
        <v/>
      </c>
      <c r="D5553" s="12"/>
    </row>
    <row r="5554" spans="1:4" x14ac:dyDescent="0.25">
      <c r="A5554" t="str">
        <f>IF(COUNTIF(B$1:B5554,B5554)=1,MAX(A$1:A5553)+1,"")</f>
        <v/>
      </c>
      <c r="B5554" s="11"/>
      <c r="C5554" s="11" t="str">
        <f>IF(COUNTIF(D$1:D5554,D5554)=1,MAX(C$1:C5553)+1,"")</f>
        <v/>
      </c>
      <c r="D5554" s="12"/>
    </row>
    <row r="5555" spans="1:4" x14ac:dyDescent="0.25">
      <c r="A5555" t="str">
        <f>IF(COUNTIF(B$1:B5555,B5555)=1,MAX(A$1:A5554)+1,"")</f>
        <v/>
      </c>
      <c r="B5555" s="11"/>
      <c r="C5555" s="11" t="str">
        <f>IF(COUNTIF(D$1:D5555,D5555)=1,MAX(C$1:C5554)+1,"")</f>
        <v/>
      </c>
      <c r="D5555" s="12"/>
    </row>
    <row r="5556" spans="1:4" x14ac:dyDescent="0.25">
      <c r="A5556" t="str">
        <f>IF(COUNTIF(B$1:B5556,B5556)=1,MAX(A$1:A5555)+1,"")</f>
        <v/>
      </c>
      <c r="B5556" s="11"/>
      <c r="C5556" s="11" t="str">
        <f>IF(COUNTIF(D$1:D5556,D5556)=1,MAX(C$1:C5555)+1,"")</f>
        <v/>
      </c>
      <c r="D5556" s="12"/>
    </row>
    <row r="5557" spans="1:4" x14ac:dyDescent="0.25">
      <c r="A5557" t="str">
        <f>IF(COUNTIF(B$1:B5557,B5557)=1,MAX(A$1:A5556)+1,"")</f>
        <v/>
      </c>
      <c r="B5557" s="11"/>
      <c r="C5557" s="11" t="str">
        <f>IF(COUNTIF(D$1:D5557,D5557)=1,MAX(C$1:C5556)+1,"")</f>
        <v/>
      </c>
      <c r="D5557" s="12"/>
    </row>
    <row r="5558" spans="1:4" x14ac:dyDescent="0.25">
      <c r="A5558" t="str">
        <f>IF(COUNTIF(B$1:B5558,B5558)=1,MAX(A$1:A5557)+1,"")</f>
        <v/>
      </c>
      <c r="B5558" s="11"/>
      <c r="C5558" s="11" t="str">
        <f>IF(COUNTIF(D$1:D5558,D5558)=1,MAX(C$1:C5557)+1,"")</f>
        <v/>
      </c>
      <c r="D5558" s="12"/>
    </row>
    <row r="5559" spans="1:4" x14ac:dyDescent="0.25">
      <c r="A5559" t="str">
        <f>IF(COUNTIF(B$1:B5559,B5559)=1,MAX(A$1:A5558)+1,"")</f>
        <v/>
      </c>
      <c r="B5559" s="11"/>
      <c r="C5559" s="11" t="str">
        <f>IF(COUNTIF(D$1:D5559,D5559)=1,MAX(C$1:C5558)+1,"")</f>
        <v/>
      </c>
      <c r="D5559" s="12"/>
    </row>
    <row r="5560" spans="1:4" x14ac:dyDescent="0.25">
      <c r="A5560" t="str">
        <f>IF(COUNTIF(B$1:B5560,B5560)=1,MAX(A$1:A5559)+1,"")</f>
        <v/>
      </c>
      <c r="B5560" s="11"/>
      <c r="C5560" s="11" t="str">
        <f>IF(COUNTIF(D$1:D5560,D5560)=1,MAX(C$1:C5559)+1,"")</f>
        <v/>
      </c>
      <c r="D5560" s="12"/>
    </row>
    <row r="5561" spans="1:4" x14ac:dyDescent="0.25">
      <c r="A5561" t="str">
        <f>IF(COUNTIF(B$1:B5561,B5561)=1,MAX(A$1:A5560)+1,"")</f>
        <v/>
      </c>
      <c r="B5561" s="11"/>
      <c r="C5561" s="11" t="str">
        <f>IF(COUNTIF(D$1:D5561,D5561)=1,MAX(C$1:C5560)+1,"")</f>
        <v/>
      </c>
      <c r="D5561" s="12"/>
    </row>
    <row r="5562" spans="1:4" x14ac:dyDescent="0.25">
      <c r="A5562" t="str">
        <f>IF(COUNTIF(B$1:B5562,B5562)=1,MAX(A$1:A5561)+1,"")</f>
        <v/>
      </c>
      <c r="B5562" s="11"/>
      <c r="C5562" s="11" t="str">
        <f>IF(COUNTIF(D$1:D5562,D5562)=1,MAX(C$1:C5561)+1,"")</f>
        <v/>
      </c>
      <c r="D5562" s="12"/>
    </row>
    <row r="5563" spans="1:4" x14ac:dyDescent="0.25">
      <c r="A5563" t="str">
        <f>IF(COUNTIF(B$1:B5563,B5563)=1,MAX(A$1:A5562)+1,"")</f>
        <v/>
      </c>
      <c r="B5563" s="11"/>
      <c r="C5563" s="11" t="str">
        <f>IF(COUNTIF(D$1:D5563,D5563)=1,MAX(C$1:C5562)+1,"")</f>
        <v/>
      </c>
      <c r="D5563" s="12"/>
    </row>
    <row r="5564" spans="1:4" x14ac:dyDescent="0.25">
      <c r="A5564" t="str">
        <f>IF(COUNTIF(B$1:B5564,B5564)=1,MAX(A$1:A5563)+1,"")</f>
        <v/>
      </c>
      <c r="B5564" s="11"/>
      <c r="C5564" s="11" t="str">
        <f>IF(COUNTIF(D$1:D5564,D5564)=1,MAX(C$1:C5563)+1,"")</f>
        <v/>
      </c>
      <c r="D5564" s="12"/>
    </row>
    <row r="5565" spans="1:4" x14ac:dyDescent="0.25">
      <c r="A5565" t="str">
        <f>IF(COUNTIF(B$1:B5565,B5565)=1,MAX(A$1:A5564)+1,"")</f>
        <v/>
      </c>
      <c r="B5565" s="11"/>
      <c r="C5565" s="11" t="str">
        <f>IF(COUNTIF(D$1:D5565,D5565)=1,MAX(C$1:C5564)+1,"")</f>
        <v/>
      </c>
      <c r="D5565" s="12"/>
    </row>
    <row r="5566" spans="1:4" x14ac:dyDescent="0.25">
      <c r="A5566" t="str">
        <f>IF(COUNTIF(B$1:B5566,B5566)=1,MAX(A$1:A5565)+1,"")</f>
        <v/>
      </c>
      <c r="B5566" s="11"/>
      <c r="C5566" s="11" t="str">
        <f>IF(COUNTIF(D$1:D5566,D5566)=1,MAX(C$1:C5565)+1,"")</f>
        <v/>
      </c>
      <c r="D5566" s="12"/>
    </row>
    <row r="5567" spans="1:4" x14ac:dyDescent="0.25">
      <c r="A5567" t="str">
        <f>IF(COUNTIF(B$1:B5567,B5567)=1,MAX(A$1:A5566)+1,"")</f>
        <v/>
      </c>
      <c r="B5567" s="11"/>
      <c r="C5567" s="11" t="str">
        <f>IF(COUNTIF(D$1:D5567,D5567)=1,MAX(C$1:C5566)+1,"")</f>
        <v/>
      </c>
      <c r="D5567" s="12"/>
    </row>
    <row r="5568" spans="1:4" x14ac:dyDescent="0.25">
      <c r="A5568" t="str">
        <f>IF(COUNTIF(B$1:B5568,B5568)=1,MAX(A$1:A5567)+1,"")</f>
        <v/>
      </c>
      <c r="B5568" s="11"/>
      <c r="C5568" s="11" t="str">
        <f>IF(COUNTIF(D$1:D5568,D5568)=1,MAX(C$1:C5567)+1,"")</f>
        <v/>
      </c>
      <c r="D5568" s="12"/>
    </row>
    <row r="5569" spans="1:4" x14ac:dyDescent="0.25">
      <c r="A5569" t="str">
        <f>IF(COUNTIF(B$1:B5569,B5569)=1,MAX(A$1:A5568)+1,"")</f>
        <v/>
      </c>
      <c r="B5569" s="11"/>
      <c r="C5569" s="11" t="str">
        <f>IF(COUNTIF(D$1:D5569,D5569)=1,MAX(C$1:C5568)+1,"")</f>
        <v/>
      </c>
      <c r="D5569" s="12"/>
    </row>
    <row r="5570" spans="1:4" x14ac:dyDescent="0.25">
      <c r="A5570" t="str">
        <f>IF(COUNTIF(B$1:B5570,B5570)=1,MAX(A$1:A5569)+1,"")</f>
        <v/>
      </c>
      <c r="B5570" s="11"/>
      <c r="C5570" s="11" t="str">
        <f>IF(COUNTIF(D$1:D5570,D5570)=1,MAX(C$1:C5569)+1,"")</f>
        <v/>
      </c>
      <c r="D5570" s="12"/>
    </row>
    <row r="5571" spans="1:4" x14ac:dyDescent="0.25">
      <c r="A5571" t="str">
        <f>IF(COUNTIF(B$1:B5571,B5571)=1,MAX(A$1:A5570)+1,"")</f>
        <v/>
      </c>
      <c r="B5571" s="11"/>
      <c r="C5571" s="11" t="str">
        <f>IF(COUNTIF(D$1:D5571,D5571)=1,MAX(C$1:C5570)+1,"")</f>
        <v/>
      </c>
      <c r="D5571" s="12"/>
    </row>
    <row r="5572" spans="1:4" x14ac:dyDescent="0.25">
      <c r="A5572" t="str">
        <f>IF(COUNTIF(B$1:B5572,B5572)=1,MAX(A$1:A5571)+1,"")</f>
        <v/>
      </c>
      <c r="B5572" s="11"/>
      <c r="C5572" s="11" t="str">
        <f>IF(COUNTIF(D$1:D5572,D5572)=1,MAX(C$1:C5571)+1,"")</f>
        <v/>
      </c>
      <c r="D5572" s="12"/>
    </row>
    <row r="5573" spans="1:4" x14ac:dyDescent="0.25">
      <c r="A5573" t="str">
        <f>IF(COUNTIF(B$1:B5573,B5573)=1,MAX(A$1:A5572)+1,"")</f>
        <v/>
      </c>
      <c r="B5573" s="11"/>
      <c r="C5573" s="11" t="str">
        <f>IF(COUNTIF(D$1:D5573,D5573)=1,MAX(C$1:C5572)+1,"")</f>
        <v/>
      </c>
      <c r="D5573" s="12"/>
    </row>
    <row r="5574" spans="1:4" x14ac:dyDescent="0.25">
      <c r="A5574" t="str">
        <f>IF(COUNTIF(B$1:B5574,B5574)=1,MAX(A$1:A5573)+1,"")</f>
        <v/>
      </c>
      <c r="B5574" s="11"/>
      <c r="C5574" s="11" t="str">
        <f>IF(COUNTIF(D$1:D5574,D5574)=1,MAX(C$1:C5573)+1,"")</f>
        <v/>
      </c>
      <c r="D5574" s="12"/>
    </row>
    <row r="5575" spans="1:4" x14ac:dyDescent="0.25">
      <c r="A5575" t="str">
        <f>IF(COUNTIF(B$1:B5575,B5575)=1,MAX(A$1:A5574)+1,"")</f>
        <v/>
      </c>
      <c r="B5575" s="11"/>
      <c r="C5575" s="11" t="str">
        <f>IF(COUNTIF(D$1:D5575,D5575)=1,MAX(C$1:C5574)+1,"")</f>
        <v/>
      </c>
      <c r="D5575" s="12"/>
    </row>
    <row r="5576" spans="1:4" x14ac:dyDescent="0.25">
      <c r="A5576" t="str">
        <f>IF(COUNTIF(B$1:B5576,B5576)=1,MAX(A$1:A5575)+1,"")</f>
        <v/>
      </c>
      <c r="B5576" s="11"/>
      <c r="C5576" s="11" t="str">
        <f>IF(COUNTIF(D$1:D5576,D5576)=1,MAX(C$1:C5575)+1,"")</f>
        <v/>
      </c>
      <c r="D5576" s="12"/>
    </row>
    <row r="5577" spans="1:4" x14ac:dyDescent="0.25">
      <c r="A5577" t="str">
        <f>IF(COUNTIF(B$1:B5577,B5577)=1,MAX(A$1:A5576)+1,"")</f>
        <v/>
      </c>
      <c r="B5577" s="11"/>
      <c r="C5577" s="11" t="str">
        <f>IF(COUNTIF(D$1:D5577,D5577)=1,MAX(C$1:C5576)+1,"")</f>
        <v/>
      </c>
      <c r="D5577" s="12"/>
    </row>
    <row r="5578" spans="1:4" x14ac:dyDescent="0.25">
      <c r="A5578" t="str">
        <f>IF(COUNTIF(B$1:B5578,B5578)=1,MAX(A$1:A5577)+1,"")</f>
        <v/>
      </c>
      <c r="B5578" s="11"/>
      <c r="C5578" s="11" t="str">
        <f>IF(COUNTIF(D$1:D5578,D5578)=1,MAX(C$1:C5577)+1,"")</f>
        <v/>
      </c>
      <c r="D5578" s="12"/>
    </row>
    <row r="5579" spans="1:4" x14ac:dyDescent="0.25">
      <c r="A5579" t="str">
        <f>IF(COUNTIF(B$1:B5579,B5579)=1,MAX(A$1:A5578)+1,"")</f>
        <v/>
      </c>
      <c r="B5579" s="11"/>
      <c r="C5579" s="11" t="str">
        <f>IF(COUNTIF(D$1:D5579,D5579)=1,MAX(C$1:C5578)+1,"")</f>
        <v/>
      </c>
      <c r="D5579" s="12"/>
    </row>
    <row r="5580" spans="1:4" x14ac:dyDescent="0.25">
      <c r="A5580" t="str">
        <f>IF(COUNTIF(B$1:B5580,B5580)=1,MAX(A$1:A5579)+1,"")</f>
        <v/>
      </c>
      <c r="B5580" s="11"/>
      <c r="C5580" s="11" t="str">
        <f>IF(COUNTIF(D$1:D5580,D5580)=1,MAX(C$1:C5579)+1,"")</f>
        <v/>
      </c>
      <c r="D5580" s="12"/>
    </row>
    <row r="5581" spans="1:4" x14ac:dyDescent="0.25">
      <c r="A5581" t="str">
        <f>IF(COUNTIF(B$1:B5581,B5581)=1,MAX(A$1:A5580)+1,"")</f>
        <v/>
      </c>
      <c r="B5581" s="11"/>
      <c r="C5581" s="11" t="str">
        <f>IF(COUNTIF(D$1:D5581,D5581)=1,MAX(C$1:C5580)+1,"")</f>
        <v/>
      </c>
      <c r="D5581" s="12"/>
    </row>
    <row r="5582" spans="1:4" x14ac:dyDescent="0.25">
      <c r="A5582" t="str">
        <f>IF(COUNTIF(B$1:B5582,B5582)=1,MAX(A$1:A5581)+1,"")</f>
        <v/>
      </c>
      <c r="B5582" s="11"/>
      <c r="C5582" s="11" t="str">
        <f>IF(COUNTIF(D$1:D5582,D5582)=1,MAX(C$1:C5581)+1,"")</f>
        <v/>
      </c>
      <c r="D5582" s="12"/>
    </row>
    <row r="5583" spans="1:4" x14ac:dyDescent="0.25">
      <c r="A5583" t="str">
        <f>IF(COUNTIF(B$1:B5583,B5583)=1,MAX(A$1:A5582)+1,"")</f>
        <v/>
      </c>
      <c r="B5583" s="11"/>
      <c r="C5583" s="11" t="str">
        <f>IF(COUNTIF(D$1:D5583,D5583)=1,MAX(C$1:C5582)+1,"")</f>
        <v/>
      </c>
      <c r="D5583" s="12"/>
    </row>
    <row r="5584" spans="1:4" x14ac:dyDescent="0.25">
      <c r="A5584" t="str">
        <f>IF(COUNTIF(B$1:B5584,B5584)=1,MAX(A$1:A5583)+1,"")</f>
        <v/>
      </c>
      <c r="B5584" s="11"/>
      <c r="C5584" s="11" t="str">
        <f>IF(COUNTIF(D$1:D5584,D5584)=1,MAX(C$1:C5583)+1,"")</f>
        <v/>
      </c>
      <c r="D5584" s="12"/>
    </row>
    <row r="5585" spans="1:4" x14ac:dyDescent="0.25">
      <c r="A5585" t="str">
        <f>IF(COUNTIF(B$1:B5585,B5585)=1,MAX(A$1:A5584)+1,"")</f>
        <v/>
      </c>
      <c r="B5585" s="11"/>
      <c r="C5585" s="11" t="str">
        <f>IF(COUNTIF(D$1:D5585,D5585)=1,MAX(C$1:C5584)+1,"")</f>
        <v/>
      </c>
      <c r="D5585" s="12"/>
    </row>
    <row r="5586" spans="1:4" x14ac:dyDescent="0.25">
      <c r="A5586" t="str">
        <f>IF(COUNTIF(B$1:B5586,B5586)=1,MAX(A$1:A5585)+1,"")</f>
        <v/>
      </c>
      <c r="B5586" s="11"/>
      <c r="C5586" s="11" t="str">
        <f>IF(COUNTIF(D$1:D5586,D5586)=1,MAX(C$1:C5585)+1,"")</f>
        <v/>
      </c>
      <c r="D5586" s="12"/>
    </row>
    <row r="5587" spans="1:4" x14ac:dyDescent="0.25">
      <c r="A5587" t="str">
        <f>IF(COUNTIF(B$1:B5587,B5587)=1,MAX(A$1:A5586)+1,"")</f>
        <v/>
      </c>
      <c r="B5587" s="11"/>
      <c r="C5587" s="11" t="str">
        <f>IF(COUNTIF(D$1:D5587,D5587)=1,MAX(C$1:C5586)+1,"")</f>
        <v/>
      </c>
      <c r="D5587" s="12"/>
    </row>
    <row r="5588" spans="1:4" x14ac:dyDescent="0.25">
      <c r="A5588" t="str">
        <f>IF(COUNTIF(B$1:B5588,B5588)=1,MAX(A$1:A5587)+1,"")</f>
        <v/>
      </c>
      <c r="B5588" s="11"/>
      <c r="C5588" s="11" t="str">
        <f>IF(COUNTIF(D$1:D5588,D5588)=1,MAX(C$1:C5587)+1,"")</f>
        <v/>
      </c>
      <c r="D5588" s="12"/>
    </row>
    <row r="5589" spans="1:4" x14ac:dyDescent="0.25">
      <c r="A5589" t="str">
        <f>IF(COUNTIF(B$1:B5589,B5589)=1,MAX(A$1:A5588)+1,"")</f>
        <v/>
      </c>
      <c r="B5589" s="11"/>
      <c r="C5589" s="11" t="str">
        <f>IF(COUNTIF(D$1:D5589,D5589)=1,MAX(C$1:C5588)+1,"")</f>
        <v/>
      </c>
      <c r="D5589" s="12"/>
    </row>
    <row r="5590" spans="1:4" x14ac:dyDescent="0.25">
      <c r="A5590" t="str">
        <f>IF(COUNTIF(B$1:B5590,B5590)=1,MAX(A$1:A5589)+1,"")</f>
        <v/>
      </c>
      <c r="B5590" s="11"/>
      <c r="C5590" s="11" t="str">
        <f>IF(COUNTIF(D$1:D5590,D5590)=1,MAX(C$1:C5589)+1,"")</f>
        <v/>
      </c>
      <c r="D5590" s="12"/>
    </row>
    <row r="5591" spans="1:4" x14ac:dyDescent="0.25">
      <c r="A5591" t="str">
        <f>IF(COUNTIF(B$1:B5591,B5591)=1,MAX(A$1:A5590)+1,"")</f>
        <v/>
      </c>
      <c r="B5591" s="11"/>
      <c r="C5591" s="11" t="str">
        <f>IF(COUNTIF(D$1:D5591,D5591)=1,MAX(C$1:C5590)+1,"")</f>
        <v/>
      </c>
      <c r="D5591" s="12"/>
    </row>
    <row r="5592" spans="1:4" x14ac:dyDescent="0.25">
      <c r="A5592" t="str">
        <f>IF(COUNTIF(B$1:B5592,B5592)=1,MAX(A$1:A5591)+1,"")</f>
        <v/>
      </c>
      <c r="B5592" s="11"/>
      <c r="C5592" s="11" t="str">
        <f>IF(COUNTIF(D$1:D5592,D5592)=1,MAX(C$1:C5591)+1,"")</f>
        <v/>
      </c>
      <c r="D5592" s="12"/>
    </row>
    <row r="5593" spans="1:4" x14ac:dyDescent="0.25">
      <c r="A5593" t="str">
        <f>IF(COUNTIF(B$1:B5593,B5593)=1,MAX(A$1:A5592)+1,"")</f>
        <v/>
      </c>
      <c r="B5593" s="11"/>
      <c r="C5593" s="11" t="str">
        <f>IF(COUNTIF(D$1:D5593,D5593)=1,MAX(C$1:C5592)+1,"")</f>
        <v/>
      </c>
      <c r="D5593" s="12"/>
    </row>
    <row r="5594" spans="1:4" x14ac:dyDescent="0.25">
      <c r="A5594" t="str">
        <f>IF(COUNTIF(B$1:B5594,B5594)=1,MAX(A$1:A5593)+1,"")</f>
        <v/>
      </c>
      <c r="B5594" s="11"/>
      <c r="C5594" s="11" t="str">
        <f>IF(COUNTIF(D$1:D5594,D5594)=1,MAX(C$1:C5593)+1,"")</f>
        <v/>
      </c>
      <c r="D5594" s="12"/>
    </row>
    <row r="5595" spans="1:4" x14ac:dyDescent="0.25">
      <c r="A5595" t="str">
        <f>IF(COUNTIF(B$1:B5595,B5595)=1,MAX(A$1:A5594)+1,"")</f>
        <v/>
      </c>
      <c r="B5595" s="11"/>
      <c r="C5595" s="11" t="str">
        <f>IF(COUNTIF(D$1:D5595,D5595)=1,MAX(C$1:C5594)+1,"")</f>
        <v/>
      </c>
      <c r="D5595" s="12"/>
    </row>
    <row r="5596" spans="1:4" x14ac:dyDescent="0.25">
      <c r="A5596" t="str">
        <f>IF(COUNTIF(B$1:B5596,B5596)=1,MAX(A$1:A5595)+1,"")</f>
        <v/>
      </c>
      <c r="B5596" s="11"/>
      <c r="C5596" s="11" t="str">
        <f>IF(COUNTIF(D$1:D5596,D5596)=1,MAX(C$1:C5595)+1,"")</f>
        <v/>
      </c>
      <c r="D5596" s="12"/>
    </row>
    <row r="5597" spans="1:4" x14ac:dyDescent="0.25">
      <c r="A5597" t="str">
        <f>IF(COUNTIF(B$1:B5597,B5597)=1,MAX(A$1:A5596)+1,"")</f>
        <v/>
      </c>
      <c r="B5597" s="11"/>
      <c r="C5597" s="11" t="str">
        <f>IF(COUNTIF(D$1:D5597,D5597)=1,MAX(C$1:C5596)+1,"")</f>
        <v/>
      </c>
      <c r="D5597" s="12"/>
    </row>
    <row r="5598" spans="1:4" x14ac:dyDescent="0.25">
      <c r="A5598" t="str">
        <f>IF(COUNTIF(B$1:B5598,B5598)=1,MAX(A$1:A5597)+1,"")</f>
        <v/>
      </c>
      <c r="B5598" s="11"/>
      <c r="C5598" s="11" t="str">
        <f>IF(COUNTIF(D$1:D5598,D5598)=1,MAX(C$1:C5597)+1,"")</f>
        <v/>
      </c>
      <c r="D5598" s="12"/>
    </row>
    <row r="5599" spans="1:4" x14ac:dyDescent="0.25">
      <c r="A5599" t="str">
        <f>IF(COUNTIF(B$1:B5599,B5599)=1,MAX(A$1:A5598)+1,"")</f>
        <v/>
      </c>
      <c r="B5599" s="11"/>
      <c r="C5599" s="11" t="str">
        <f>IF(COUNTIF(D$1:D5599,D5599)=1,MAX(C$1:C5598)+1,"")</f>
        <v/>
      </c>
      <c r="D5599" s="12"/>
    </row>
    <row r="5600" spans="1:4" x14ac:dyDescent="0.25">
      <c r="A5600" t="str">
        <f>IF(COUNTIF(B$1:B5600,B5600)=1,MAX(A$1:A5599)+1,"")</f>
        <v/>
      </c>
      <c r="B5600" s="11"/>
      <c r="C5600" s="11" t="str">
        <f>IF(COUNTIF(D$1:D5600,D5600)=1,MAX(C$1:C5599)+1,"")</f>
        <v/>
      </c>
      <c r="D5600" s="12"/>
    </row>
    <row r="5601" spans="1:4" x14ac:dyDescent="0.25">
      <c r="A5601" t="str">
        <f>IF(COUNTIF(B$1:B5601,B5601)=1,MAX(A$1:A5600)+1,"")</f>
        <v/>
      </c>
      <c r="B5601" s="11"/>
      <c r="C5601" s="11" t="str">
        <f>IF(COUNTIF(D$1:D5601,D5601)=1,MAX(C$1:C5600)+1,"")</f>
        <v/>
      </c>
      <c r="D5601" s="12"/>
    </row>
    <row r="5602" spans="1:4" x14ac:dyDescent="0.25">
      <c r="A5602" t="str">
        <f>IF(COUNTIF(B$1:B5602,B5602)=1,MAX(A$1:A5601)+1,"")</f>
        <v/>
      </c>
      <c r="B5602" s="11"/>
      <c r="C5602" s="11" t="str">
        <f>IF(COUNTIF(D$1:D5602,D5602)=1,MAX(C$1:C5601)+1,"")</f>
        <v/>
      </c>
      <c r="D5602" s="12"/>
    </row>
    <row r="5603" spans="1:4" x14ac:dyDescent="0.25">
      <c r="A5603" t="str">
        <f>IF(COUNTIF(B$1:B5603,B5603)=1,MAX(A$1:A5602)+1,"")</f>
        <v/>
      </c>
      <c r="B5603" s="11"/>
      <c r="C5603" s="11" t="str">
        <f>IF(COUNTIF(D$1:D5603,D5603)=1,MAX(C$1:C5602)+1,"")</f>
        <v/>
      </c>
      <c r="D5603" s="12"/>
    </row>
    <row r="5604" spans="1:4" x14ac:dyDescent="0.25">
      <c r="A5604" t="str">
        <f>IF(COUNTIF(B$1:B5604,B5604)=1,MAX(A$1:A5603)+1,"")</f>
        <v/>
      </c>
      <c r="B5604" s="11"/>
      <c r="C5604" s="11" t="str">
        <f>IF(COUNTIF(D$1:D5604,D5604)=1,MAX(C$1:C5603)+1,"")</f>
        <v/>
      </c>
      <c r="D5604" s="12"/>
    </row>
    <row r="5605" spans="1:4" x14ac:dyDescent="0.25">
      <c r="A5605" t="str">
        <f>IF(COUNTIF(B$1:B5605,B5605)=1,MAX(A$1:A5604)+1,"")</f>
        <v/>
      </c>
      <c r="B5605" s="11"/>
      <c r="C5605" s="11" t="str">
        <f>IF(COUNTIF(D$1:D5605,D5605)=1,MAX(C$1:C5604)+1,"")</f>
        <v/>
      </c>
      <c r="D5605" s="12"/>
    </row>
    <row r="5606" spans="1:4" x14ac:dyDescent="0.25">
      <c r="A5606" t="str">
        <f>IF(COUNTIF(B$1:B5606,B5606)=1,MAX(A$1:A5605)+1,"")</f>
        <v/>
      </c>
      <c r="B5606" s="11"/>
      <c r="C5606" s="11" t="str">
        <f>IF(COUNTIF(D$1:D5606,D5606)=1,MAX(C$1:C5605)+1,"")</f>
        <v/>
      </c>
      <c r="D5606" s="12"/>
    </row>
    <row r="5607" spans="1:4" x14ac:dyDescent="0.25">
      <c r="A5607" t="str">
        <f>IF(COUNTIF(B$1:B5607,B5607)=1,MAX(A$1:A5606)+1,"")</f>
        <v/>
      </c>
      <c r="B5607" s="11"/>
      <c r="C5607" s="11" t="str">
        <f>IF(COUNTIF(D$1:D5607,D5607)=1,MAX(C$1:C5606)+1,"")</f>
        <v/>
      </c>
      <c r="D5607" s="12"/>
    </row>
    <row r="5608" spans="1:4" x14ac:dyDescent="0.25">
      <c r="A5608" t="str">
        <f>IF(COUNTIF(B$1:B5608,B5608)=1,MAX(A$1:A5607)+1,"")</f>
        <v/>
      </c>
      <c r="B5608" s="11"/>
      <c r="C5608" s="11" t="str">
        <f>IF(COUNTIF(D$1:D5608,D5608)=1,MAX(C$1:C5607)+1,"")</f>
        <v/>
      </c>
      <c r="D5608" s="12"/>
    </row>
    <row r="5609" spans="1:4" x14ac:dyDescent="0.25">
      <c r="A5609" t="str">
        <f>IF(COUNTIF(B$1:B5609,B5609)=1,MAX(A$1:A5608)+1,"")</f>
        <v/>
      </c>
      <c r="B5609" s="11"/>
      <c r="C5609" s="11" t="str">
        <f>IF(COUNTIF(D$1:D5609,D5609)=1,MAX(C$1:C5608)+1,"")</f>
        <v/>
      </c>
      <c r="D5609" s="12"/>
    </row>
    <row r="5610" spans="1:4" x14ac:dyDescent="0.25">
      <c r="A5610" t="str">
        <f>IF(COUNTIF(B$1:B5610,B5610)=1,MAX(A$1:A5609)+1,"")</f>
        <v/>
      </c>
      <c r="B5610" s="11"/>
      <c r="C5610" s="11" t="str">
        <f>IF(COUNTIF(D$1:D5610,D5610)=1,MAX(C$1:C5609)+1,"")</f>
        <v/>
      </c>
      <c r="D5610" s="12"/>
    </row>
    <row r="5611" spans="1:4" x14ac:dyDescent="0.25">
      <c r="A5611" t="str">
        <f>IF(COUNTIF(B$1:B5611,B5611)=1,MAX(A$1:A5610)+1,"")</f>
        <v/>
      </c>
      <c r="B5611" s="11"/>
      <c r="C5611" s="11" t="str">
        <f>IF(COUNTIF(D$1:D5611,D5611)=1,MAX(C$1:C5610)+1,"")</f>
        <v/>
      </c>
      <c r="D5611" s="12"/>
    </row>
    <row r="5612" spans="1:4" x14ac:dyDescent="0.25">
      <c r="A5612" t="str">
        <f>IF(COUNTIF(B$1:B5612,B5612)=1,MAX(A$1:A5611)+1,"")</f>
        <v/>
      </c>
      <c r="B5612" s="11"/>
      <c r="C5612" s="11" t="str">
        <f>IF(COUNTIF(D$1:D5612,D5612)=1,MAX(C$1:C5611)+1,"")</f>
        <v/>
      </c>
      <c r="D5612" s="12"/>
    </row>
    <row r="5613" spans="1:4" x14ac:dyDescent="0.25">
      <c r="A5613" t="str">
        <f>IF(COUNTIF(B$1:B5613,B5613)=1,MAX(A$1:A5612)+1,"")</f>
        <v/>
      </c>
      <c r="B5613" s="11"/>
      <c r="C5613" s="11" t="str">
        <f>IF(COUNTIF(D$1:D5613,D5613)=1,MAX(C$1:C5612)+1,"")</f>
        <v/>
      </c>
      <c r="D5613" s="12"/>
    </row>
    <row r="5614" spans="1:4" x14ac:dyDescent="0.25">
      <c r="A5614" t="str">
        <f>IF(COUNTIF(B$1:B5614,B5614)=1,MAX(A$1:A5613)+1,"")</f>
        <v/>
      </c>
      <c r="B5614" s="11"/>
      <c r="C5614" s="11" t="str">
        <f>IF(COUNTIF(D$1:D5614,D5614)=1,MAX(C$1:C5613)+1,"")</f>
        <v/>
      </c>
      <c r="D5614" s="12"/>
    </row>
    <row r="5615" spans="1:4" x14ac:dyDescent="0.25">
      <c r="A5615" t="str">
        <f>IF(COUNTIF(B$1:B5615,B5615)=1,MAX(A$1:A5614)+1,"")</f>
        <v/>
      </c>
      <c r="B5615" s="11"/>
      <c r="C5615" s="11" t="str">
        <f>IF(COUNTIF(D$1:D5615,D5615)=1,MAX(C$1:C5614)+1,"")</f>
        <v/>
      </c>
      <c r="D5615" s="12"/>
    </row>
    <row r="5616" spans="1:4" x14ac:dyDescent="0.25">
      <c r="A5616" t="str">
        <f>IF(COUNTIF(B$1:B5616,B5616)=1,MAX(A$1:A5615)+1,"")</f>
        <v/>
      </c>
      <c r="B5616" s="11"/>
      <c r="C5616" s="11" t="str">
        <f>IF(COUNTIF(D$1:D5616,D5616)=1,MAX(C$1:C5615)+1,"")</f>
        <v/>
      </c>
      <c r="D5616" s="12"/>
    </row>
    <row r="5617" spans="1:4" x14ac:dyDescent="0.25">
      <c r="A5617" t="str">
        <f>IF(COUNTIF(B$1:B5617,B5617)=1,MAX(A$1:A5616)+1,"")</f>
        <v/>
      </c>
      <c r="B5617" s="11"/>
      <c r="C5617" s="11" t="str">
        <f>IF(COUNTIF(D$1:D5617,D5617)=1,MAX(C$1:C5616)+1,"")</f>
        <v/>
      </c>
      <c r="D5617" s="12"/>
    </row>
    <row r="5618" spans="1:4" x14ac:dyDescent="0.25">
      <c r="A5618" t="str">
        <f>IF(COUNTIF(B$1:B5618,B5618)=1,MAX(A$1:A5617)+1,"")</f>
        <v/>
      </c>
      <c r="B5618" s="11"/>
      <c r="C5618" s="11" t="str">
        <f>IF(COUNTIF(D$1:D5618,D5618)=1,MAX(C$1:C5617)+1,"")</f>
        <v/>
      </c>
      <c r="D5618" s="12"/>
    </row>
    <row r="5619" spans="1:4" x14ac:dyDescent="0.25">
      <c r="A5619" t="str">
        <f>IF(COUNTIF(B$1:B5619,B5619)=1,MAX(A$1:A5618)+1,"")</f>
        <v/>
      </c>
      <c r="B5619" s="11"/>
      <c r="C5619" s="11" t="str">
        <f>IF(COUNTIF(D$1:D5619,D5619)=1,MAX(C$1:C5618)+1,"")</f>
        <v/>
      </c>
      <c r="D5619" s="12"/>
    </row>
    <row r="5620" spans="1:4" x14ac:dyDescent="0.25">
      <c r="A5620" t="str">
        <f>IF(COUNTIF(B$1:B5620,B5620)=1,MAX(A$1:A5619)+1,"")</f>
        <v/>
      </c>
      <c r="B5620" s="11"/>
      <c r="C5620" s="11" t="str">
        <f>IF(COUNTIF(D$1:D5620,D5620)=1,MAX(C$1:C5619)+1,"")</f>
        <v/>
      </c>
      <c r="D5620" s="12"/>
    </row>
    <row r="5621" spans="1:4" x14ac:dyDescent="0.25">
      <c r="A5621" t="str">
        <f>IF(COUNTIF(B$1:B5621,B5621)=1,MAX(A$1:A5620)+1,"")</f>
        <v/>
      </c>
      <c r="B5621" s="11"/>
      <c r="C5621" s="11" t="str">
        <f>IF(COUNTIF(D$1:D5621,D5621)=1,MAX(C$1:C5620)+1,"")</f>
        <v/>
      </c>
      <c r="D5621" s="12"/>
    </row>
    <row r="5622" spans="1:4" x14ac:dyDescent="0.25">
      <c r="A5622" t="str">
        <f>IF(COUNTIF(B$1:B5622,B5622)=1,MAX(A$1:A5621)+1,"")</f>
        <v/>
      </c>
      <c r="B5622" s="11"/>
      <c r="C5622" s="11" t="str">
        <f>IF(COUNTIF(D$1:D5622,D5622)=1,MAX(C$1:C5621)+1,"")</f>
        <v/>
      </c>
      <c r="D5622" s="12"/>
    </row>
    <row r="5623" spans="1:4" x14ac:dyDescent="0.25">
      <c r="A5623" t="str">
        <f>IF(COUNTIF(B$1:B5623,B5623)=1,MAX(A$1:A5622)+1,"")</f>
        <v/>
      </c>
      <c r="B5623" s="11"/>
      <c r="C5623" s="11" t="str">
        <f>IF(COUNTIF(D$1:D5623,D5623)=1,MAX(C$1:C5622)+1,"")</f>
        <v/>
      </c>
      <c r="D5623" s="12"/>
    </row>
    <row r="5624" spans="1:4" x14ac:dyDescent="0.25">
      <c r="A5624" t="str">
        <f>IF(COUNTIF(B$1:B5624,B5624)=1,MAX(A$1:A5623)+1,"")</f>
        <v/>
      </c>
      <c r="B5624" s="11"/>
      <c r="C5624" s="11" t="str">
        <f>IF(COUNTIF(D$1:D5624,D5624)=1,MAX(C$1:C5623)+1,"")</f>
        <v/>
      </c>
      <c r="D5624" s="12"/>
    </row>
    <row r="5625" spans="1:4" x14ac:dyDescent="0.25">
      <c r="A5625" t="str">
        <f>IF(COUNTIF(B$1:B5625,B5625)=1,MAX(A$1:A5624)+1,"")</f>
        <v/>
      </c>
      <c r="B5625" s="11"/>
      <c r="C5625" s="11" t="str">
        <f>IF(COUNTIF(D$1:D5625,D5625)=1,MAX(C$1:C5624)+1,"")</f>
        <v/>
      </c>
      <c r="D5625" s="12"/>
    </row>
    <row r="5626" spans="1:4" x14ac:dyDescent="0.25">
      <c r="A5626" t="str">
        <f>IF(COUNTIF(B$1:B5626,B5626)=1,MAX(A$1:A5625)+1,"")</f>
        <v/>
      </c>
      <c r="B5626" s="11"/>
      <c r="C5626" s="11" t="str">
        <f>IF(COUNTIF(D$1:D5626,D5626)=1,MAX(C$1:C5625)+1,"")</f>
        <v/>
      </c>
      <c r="D5626" s="12"/>
    </row>
    <row r="5627" spans="1:4" x14ac:dyDescent="0.25">
      <c r="A5627" t="str">
        <f>IF(COUNTIF(B$1:B5627,B5627)=1,MAX(A$1:A5626)+1,"")</f>
        <v/>
      </c>
      <c r="B5627" s="11"/>
      <c r="C5627" s="11" t="str">
        <f>IF(COUNTIF(D$1:D5627,D5627)=1,MAX(C$1:C5626)+1,"")</f>
        <v/>
      </c>
      <c r="D5627" s="12"/>
    </row>
    <row r="5628" spans="1:4" x14ac:dyDescent="0.25">
      <c r="A5628" t="str">
        <f>IF(COUNTIF(B$1:B5628,B5628)=1,MAX(A$1:A5627)+1,"")</f>
        <v/>
      </c>
      <c r="B5628" s="11"/>
      <c r="C5628" s="11" t="str">
        <f>IF(COUNTIF(D$1:D5628,D5628)=1,MAX(C$1:C5627)+1,"")</f>
        <v/>
      </c>
      <c r="D5628" s="12"/>
    </row>
    <row r="5629" spans="1:4" x14ac:dyDescent="0.25">
      <c r="A5629" t="str">
        <f>IF(COUNTIF(B$1:B5629,B5629)=1,MAX(A$1:A5628)+1,"")</f>
        <v/>
      </c>
      <c r="B5629" s="11"/>
      <c r="C5629" s="11" t="str">
        <f>IF(COUNTIF(D$1:D5629,D5629)=1,MAX(C$1:C5628)+1,"")</f>
        <v/>
      </c>
      <c r="D5629" s="12"/>
    </row>
    <row r="5630" spans="1:4" x14ac:dyDescent="0.25">
      <c r="A5630" t="str">
        <f>IF(COUNTIF(B$1:B5630,B5630)=1,MAX(A$1:A5629)+1,"")</f>
        <v/>
      </c>
      <c r="B5630" s="11"/>
      <c r="C5630" s="11" t="str">
        <f>IF(COUNTIF(D$1:D5630,D5630)=1,MAX(C$1:C5629)+1,"")</f>
        <v/>
      </c>
      <c r="D5630" s="12"/>
    </row>
    <row r="5631" spans="1:4" x14ac:dyDescent="0.25">
      <c r="A5631" t="str">
        <f>IF(COUNTIF(B$1:B5631,B5631)=1,MAX(A$1:A5630)+1,"")</f>
        <v/>
      </c>
      <c r="B5631" s="11"/>
      <c r="C5631" s="11" t="str">
        <f>IF(COUNTIF(D$1:D5631,D5631)=1,MAX(C$1:C5630)+1,"")</f>
        <v/>
      </c>
      <c r="D5631" s="12"/>
    </row>
    <row r="5632" spans="1:4" x14ac:dyDescent="0.25">
      <c r="A5632" t="str">
        <f>IF(COUNTIF(B$1:B5632,B5632)=1,MAX(A$1:A5631)+1,"")</f>
        <v/>
      </c>
      <c r="B5632" s="11"/>
      <c r="C5632" s="11" t="str">
        <f>IF(COUNTIF(D$1:D5632,D5632)=1,MAX(C$1:C5631)+1,"")</f>
        <v/>
      </c>
      <c r="D5632" s="12"/>
    </row>
    <row r="5633" spans="1:4" x14ac:dyDescent="0.25">
      <c r="A5633" t="str">
        <f>IF(COUNTIF(B$1:B5633,B5633)=1,MAX(A$1:A5632)+1,"")</f>
        <v/>
      </c>
      <c r="B5633" s="11"/>
      <c r="C5633" s="11" t="str">
        <f>IF(COUNTIF(D$1:D5633,D5633)=1,MAX(C$1:C5632)+1,"")</f>
        <v/>
      </c>
      <c r="D5633" s="12"/>
    </row>
    <row r="5634" spans="1:4" x14ac:dyDescent="0.25">
      <c r="A5634" t="str">
        <f>IF(COUNTIF(B$1:B5634,B5634)=1,MAX(A$1:A5633)+1,"")</f>
        <v/>
      </c>
      <c r="B5634" s="11"/>
      <c r="C5634" s="11" t="str">
        <f>IF(COUNTIF(D$1:D5634,D5634)=1,MAX(C$1:C5633)+1,"")</f>
        <v/>
      </c>
      <c r="D5634" s="12"/>
    </row>
    <row r="5635" spans="1:4" x14ac:dyDescent="0.25">
      <c r="A5635" t="str">
        <f>IF(COUNTIF(B$1:B5635,B5635)=1,MAX(A$1:A5634)+1,"")</f>
        <v/>
      </c>
      <c r="B5635" s="11"/>
      <c r="C5635" s="11" t="str">
        <f>IF(COUNTIF(D$1:D5635,D5635)=1,MAX(C$1:C5634)+1,"")</f>
        <v/>
      </c>
      <c r="D5635" s="12"/>
    </row>
    <row r="5636" spans="1:4" x14ac:dyDescent="0.25">
      <c r="A5636" t="str">
        <f>IF(COUNTIF(B$1:B5636,B5636)=1,MAX(A$1:A5635)+1,"")</f>
        <v/>
      </c>
      <c r="B5636" s="11"/>
      <c r="C5636" s="11" t="str">
        <f>IF(COUNTIF(D$1:D5636,D5636)=1,MAX(C$1:C5635)+1,"")</f>
        <v/>
      </c>
      <c r="D5636" s="12"/>
    </row>
    <row r="5637" spans="1:4" x14ac:dyDescent="0.25">
      <c r="A5637" t="str">
        <f>IF(COUNTIF(B$1:B5637,B5637)=1,MAX(A$1:A5636)+1,"")</f>
        <v/>
      </c>
      <c r="B5637" s="11"/>
      <c r="C5637" s="11" t="str">
        <f>IF(COUNTIF(D$1:D5637,D5637)=1,MAX(C$1:C5636)+1,"")</f>
        <v/>
      </c>
      <c r="D5637" s="12"/>
    </row>
    <row r="5638" spans="1:4" x14ac:dyDescent="0.25">
      <c r="A5638" t="str">
        <f>IF(COUNTIF(B$1:B5638,B5638)=1,MAX(A$1:A5637)+1,"")</f>
        <v/>
      </c>
      <c r="B5638" s="11"/>
      <c r="C5638" s="11" t="str">
        <f>IF(COUNTIF(D$1:D5638,D5638)=1,MAX(C$1:C5637)+1,"")</f>
        <v/>
      </c>
      <c r="D5638" s="12"/>
    </row>
    <row r="5639" spans="1:4" x14ac:dyDescent="0.25">
      <c r="A5639" t="str">
        <f>IF(COUNTIF(B$1:B5639,B5639)=1,MAX(A$1:A5638)+1,"")</f>
        <v/>
      </c>
      <c r="B5639" s="11"/>
      <c r="C5639" s="11" t="str">
        <f>IF(COUNTIF(D$1:D5639,D5639)=1,MAX(C$1:C5638)+1,"")</f>
        <v/>
      </c>
      <c r="D5639" s="12"/>
    </row>
    <row r="5640" spans="1:4" x14ac:dyDescent="0.25">
      <c r="A5640" t="str">
        <f>IF(COUNTIF(B$1:B5640,B5640)=1,MAX(A$1:A5639)+1,"")</f>
        <v/>
      </c>
      <c r="B5640" s="11"/>
      <c r="C5640" s="11" t="str">
        <f>IF(COUNTIF(D$1:D5640,D5640)=1,MAX(C$1:C5639)+1,"")</f>
        <v/>
      </c>
      <c r="D5640" s="12"/>
    </row>
    <row r="5641" spans="1:4" x14ac:dyDescent="0.25">
      <c r="A5641" t="str">
        <f>IF(COUNTIF(B$1:B5641,B5641)=1,MAX(A$1:A5640)+1,"")</f>
        <v/>
      </c>
      <c r="B5641" s="11"/>
      <c r="C5641" s="11" t="str">
        <f>IF(COUNTIF(D$1:D5641,D5641)=1,MAX(C$1:C5640)+1,"")</f>
        <v/>
      </c>
      <c r="D5641" s="12"/>
    </row>
    <row r="5642" spans="1:4" x14ac:dyDescent="0.25">
      <c r="A5642" t="str">
        <f>IF(COUNTIF(B$1:B5642,B5642)=1,MAX(A$1:A5641)+1,"")</f>
        <v/>
      </c>
      <c r="B5642" s="11"/>
      <c r="C5642" s="11" t="str">
        <f>IF(COUNTIF(D$1:D5642,D5642)=1,MAX(C$1:C5641)+1,"")</f>
        <v/>
      </c>
      <c r="D5642" s="12"/>
    </row>
    <row r="5643" spans="1:4" x14ac:dyDescent="0.25">
      <c r="A5643" t="str">
        <f>IF(COUNTIF(B$1:B5643,B5643)=1,MAX(A$1:A5642)+1,"")</f>
        <v/>
      </c>
      <c r="B5643" s="11"/>
      <c r="C5643" s="11" t="str">
        <f>IF(COUNTIF(D$1:D5643,D5643)=1,MAX(C$1:C5642)+1,"")</f>
        <v/>
      </c>
      <c r="D5643" s="12"/>
    </row>
    <row r="5644" spans="1:4" x14ac:dyDescent="0.25">
      <c r="A5644" t="str">
        <f>IF(COUNTIF(B$1:B5644,B5644)=1,MAX(A$1:A5643)+1,"")</f>
        <v/>
      </c>
      <c r="B5644" s="11"/>
      <c r="C5644" s="11" t="str">
        <f>IF(COUNTIF(D$1:D5644,D5644)=1,MAX(C$1:C5643)+1,"")</f>
        <v/>
      </c>
      <c r="D5644" s="12"/>
    </row>
    <row r="5645" spans="1:4" x14ac:dyDescent="0.25">
      <c r="A5645" t="str">
        <f>IF(COUNTIF(B$1:B5645,B5645)=1,MAX(A$1:A5644)+1,"")</f>
        <v/>
      </c>
      <c r="B5645" s="11"/>
      <c r="C5645" s="11" t="str">
        <f>IF(COUNTIF(D$1:D5645,D5645)=1,MAX(C$1:C5644)+1,"")</f>
        <v/>
      </c>
      <c r="D5645" s="12"/>
    </row>
    <row r="5646" spans="1:4" x14ac:dyDescent="0.25">
      <c r="A5646" t="str">
        <f>IF(COUNTIF(B$1:B5646,B5646)=1,MAX(A$1:A5645)+1,"")</f>
        <v/>
      </c>
      <c r="B5646" s="11"/>
      <c r="C5646" s="11" t="str">
        <f>IF(COUNTIF(D$1:D5646,D5646)=1,MAX(C$1:C5645)+1,"")</f>
        <v/>
      </c>
      <c r="D5646" s="12"/>
    </row>
    <row r="5647" spans="1:4" x14ac:dyDescent="0.25">
      <c r="A5647" t="str">
        <f>IF(COUNTIF(B$1:B5647,B5647)=1,MAX(A$1:A5646)+1,"")</f>
        <v/>
      </c>
      <c r="B5647" s="11"/>
      <c r="C5647" s="11" t="str">
        <f>IF(COUNTIF(D$1:D5647,D5647)=1,MAX(C$1:C5646)+1,"")</f>
        <v/>
      </c>
      <c r="D5647" s="12"/>
    </row>
    <row r="5648" spans="1:4" x14ac:dyDescent="0.25">
      <c r="A5648" t="str">
        <f>IF(COUNTIF(B$1:B5648,B5648)=1,MAX(A$1:A5647)+1,"")</f>
        <v/>
      </c>
      <c r="B5648" s="11"/>
      <c r="C5648" s="11" t="str">
        <f>IF(COUNTIF(D$1:D5648,D5648)=1,MAX(C$1:C5647)+1,"")</f>
        <v/>
      </c>
      <c r="D5648" s="12"/>
    </row>
    <row r="5649" spans="1:4" x14ac:dyDescent="0.25">
      <c r="A5649" t="str">
        <f>IF(COUNTIF(B$1:B5649,B5649)=1,MAX(A$1:A5648)+1,"")</f>
        <v/>
      </c>
      <c r="B5649" s="11"/>
      <c r="C5649" s="11" t="str">
        <f>IF(COUNTIF(D$1:D5649,D5649)=1,MAX(C$1:C5648)+1,"")</f>
        <v/>
      </c>
      <c r="D5649" s="12"/>
    </row>
    <row r="5650" spans="1:4" x14ac:dyDescent="0.25">
      <c r="A5650" t="str">
        <f>IF(COUNTIF(B$1:B5650,B5650)=1,MAX(A$1:A5649)+1,"")</f>
        <v/>
      </c>
      <c r="B5650" s="11"/>
      <c r="C5650" s="11" t="str">
        <f>IF(COUNTIF(D$1:D5650,D5650)=1,MAX(C$1:C5649)+1,"")</f>
        <v/>
      </c>
      <c r="D5650" s="12"/>
    </row>
    <row r="5651" spans="1:4" x14ac:dyDescent="0.25">
      <c r="A5651" t="str">
        <f>IF(COUNTIF(B$1:B5651,B5651)=1,MAX(A$1:A5650)+1,"")</f>
        <v/>
      </c>
      <c r="B5651" s="11"/>
      <c r="C5651" s="11" t="str">
        <f>IF(COUNTIF(D$1:D5651,D5651)=1,MAX(C$1:C5650)+1,"")</f>
        <v/>
      </c>
      <c r="D5651" s="12"/>
    </row>
    <row r="5652" spans="1:4" x14ac:dyDescent="0.25">
      <c r="A5652" t="str">
        <f>IF(COUNTIF(B$1:B5652,B5652)=1,MAX(A$1:A5651)+1,"")</f>
        <v/>
      </c>
      <c r="B5652" s="11"/>
      <c r="C5652" s="11" t="str">
        <f>IF(COUNTIF(D$1:D5652,D5652)=1,MAX(C$1:C5651)+1,"")</f>
        <v/>
      </c>
      <c r="D5652" s="12"/>
    </row>
    <row r="5653" spans="1:4" x14ac:dyDescent="0.25">
      <c r="A5653" t="str">
        <f>IF(COUNTIF(B$1:B5653,B5653)=1,MAX(A$1:A5652)+1,"")</f>
        <v/>
      </c>
      <c r="B5653" s="11"/>
      <c r="C5653" s="11" t="str">
        <f>IF(COUNTIF(D$1:D5653,D5653)=1,MAX(C$1:C5652)+1,"")</f>
        <v/>
      </c>
      <c r="D5653" s="12"/>
    </row>
    <row r="5654" spans="1:4" x14ac:dyDescent="0.25">
      <c r="A5654" t="str">
        <f>IF(COUNTIF(B$1:B5654,B5654)=1,MAX(A$1:A5653)+1,"")</f>
        <v/>
      </c>
      <c r="B5654" s="11"/>
      <c r="C5654" s="11" t="str">
        <f>IF(COUNTIF(D$1:D5654,D5654)=1,MAX(C$1:C5653)+1,"")</f>
        <v/>
      </c>
      <c r="D5654" s="12"/>
    </row>
    <row r="5655" spans="1:4" x14ac:dyDescent="0.25">
      <c r="A5655" t="str">
        <f>IF(COUNTIF(B$1:B5655,B5655)=1,MAX(A$1:A5654)+1,"")</f>
        <v/>
      </c>
      <c r="B5655" s="11"/>
      <c r="C5655" s="11" t="str">
        <f>IF(COUNTIF(D$1:D5655,D5655)=1,MAX(C$1:C5654)+1,"")</f>
        <v/>
      </c>
      <c r="D5655" s="12"/>
    </row>
    <row r="5656" spans="1:4" x14ac:dyDescent="0.25">
      <c r="A5656" t="str">
        <f>IF(COUNTIF(B$1:B5656,B5656)=1,MAX(A$1:A5655)+1,"")</f>
        <v/>
      </c>
      <c r="B5656" s="11"/>
      <c r="C5656" s="11" t="str">
        <f>IF(COUNTIF(D$1:D5656,D5656)=1,MAX(C$1:C5655)+1,"")</f>
        <v/>
      </c>
      <c r="D5656" s="12"/>
    </row>
    <row r="5657" spans="1:4" x14ac:dyDescent="0.25">
      <c r="A5657" t="str">
        <f>IF(COUNTIF(B$1:B5657,B5657)=1,MAX(A$1:A5656)+1,"")</f>
        <v/>
      </c>
      <c r="B5657" s="11"/>
      <c r="C5657" s="11" t="str">
        <f>IF(COUNTIF(D$1:D5657,D5657)=1,MAX(C$1:C5656)+1,"")</f>
        <v/>
      </c>
      <c r="D5657" s="12"/>
    </row>
    <row r="5658" spans="1:4" x14ac:dyDescent="0.25">
      <c r="A5658" t="str">
        <f>IF(COUNTIF(B$1:B5658,B5658)=1,MAX(A$1:A5657)+1,"")</f>
        <v/>
      </c>
      <c r="B5658" s="11"/>
      <c r="C5658" s="11" t="str">
        <f>IF(COUNTIF(D$1:D5658,D5658)=1,MAX(C$1:C5657)+1,"")</f>
        <v/>
      </c>
      <c r="D5658" s="12"/>
    </row>
    <row r="5659" spans="1:4" x14ac:dyDescent="0.25">
      <c r="A5659" t="str">
        <f>IF(COUNTIF(B$1:B5659,B5659)=1,MAX(A$1:A5658)+1,"")</f>
        <v/>
      </c>
      <c r="B5659" s="11"/>
      <c r="C5659" s="11" t="str">
        <f>IF(COUNTIF(D$1:D5659,D5659)=1,MAX(C$1:C5658)+1,"")</f>
        <v/>
      </c>
      <c r="D5659" s="12"/>
    </row>
    <row r="5660" spans="1:4" x14ac:dyDescent="0.25">
      <c r="A5660" t="str">
        <f>IF(COUNTIF(B$1:B5660,B5660)=1,MAX(A$1:A5659)+1,"")</f>
        <v/>
      </c>
      <c r="B5660" s="11"/>
      <c r="C5660" s="11" t="str">
        <f>IF(COUNTIF(D$1:D5660,D5660)=1,MAX(C$1:C5659)+1,"")</f>
        <v/>
      </c>
      <c r="D5660" s="12"/>
    </row>
    <row r="5661" spans="1:4" x14ac:dyDescent="0.25">
      <c r="A5661" t="str">
        <f>IF(COUNTIF(B$1:B5661,B5661)=1,MAX(A$1:A5660)+1,"")</f>
        <v/>
      </c>
      <c r="B5661" s="11"/>
      <c r="C5661" s="11" t="str">
        <f>IF(COUNTIF(D$1:D5661,D5661)=1,MAX(C$1:C5660)+1,"")</f>
        <v/>
      </c>
      <c r="D5661" s="12"/>
    </row>
    <row r="5662" spans="1:4" x14ac:dyDescent="0.25">
      <c r="A5662" t="str">
        <f>IF(COUNTIF(B$1:B5662,B5662)=1,MAX(A$1:A5661)+1,"")</f>
        <v/>
      </c>
      <c r="B5662" s="11"/>
      <c r="C5662" s="11" t="str">
        <f>IF(COUNTIF(D$1:D5662,D5662)=1,MAX(C$1:C5661)+1,"")</f>
        <v/>
      </c>
      <c r="D5662" s="12"/>
    </row>
    <row r="5663" spans="1:4" x14ac:dyDescent="0.25">
      <c r="A5663" t="str">
        <f>IF(COUNTIF(B$1:B5663,B5663)=1,MAX(A$1:A5662)+1,"")</f>
        <v/>
      </c>
      <c r="B5663" s="11"/>
      <c r="C5663" s="11" t="str">
        <f>IF(COUNTIF(D$1:D5663,D5663)=1,MAX(C$1:C5662)+1,"")</f>
        <v/>
      </c>
      <c r="D5663" s="12"/>
    </row>
    <row r="5664" spans="1:4" x14ac:dyDescent="0.25">
      <c r="A5664" t="str">
        <f>IF(COUNTIF(B$1:B5664,B5664)=1,MAX(A$1:A5663)+1,"")</f>
        <v/>
      </c>
      <c r="B5664" s="11"/>
      <c r="C5664" s="11" t="str">
        <f>IF(COUNTIF(D$1:D5664,D5664)=1,MAX(C$1:C5663)+1,"")</f>
        <v/>
      </c>
      <c r="D5664" s="12"/>
    </row>
    <row r="5665" spans="1:4" x14ac:dyDescent="0.25">
      <c r="A5665" t="str">
        <f>IF(COUNTIF(B$1:B5665,B5665)=1,MAX(A$1:A5664)+1,"")</f>
        <v/>
      </c>
      <c r="B5665" s="11"/>
      <c r="C5665" s="11" t="str">
        <f>IF(COUNTIF(D$1:D5665,D5665)=1,MAX(C$1:C5664)+1,"")</f>
        <v/>
      </c>
      <c r="D5665" s="12"/>
    </row>
    <row r="5666" spans="1:4" x14ac:dyDescent="0.25">
      <c r="A5666" t="str">
        <f>IF(COUNTIF(B$1:B5666,B5666)=1,MAX(A$1:A5665)+1,"")</f>
        <v/>
      </c>
      <c r="B5666" s="11"/>
      <c r="C5666" s="11" t="str">
        <f>IF(COUNTIF(D$1:D5666,D5666)=1,MAX(C$1:C5665)+1,"")</f>
        <v/>
      </c>
      <c r="D5666" s="12"/>
    </row>
    <row r="5667" spans="1:4" x14ac:dyDescent="0.25">
      <c r="A5667" t="str">
        <f>IF(COUNTIF(B$1:B5667,B5667)=1,MAX(A$1:A5666)+1,"")</f>
        <v/>
      </c>
      <c r="B5667" s="11"/>
      <c r="C5667" s="11" t="str">
        <f>IF(COUNTIF(D$1:D5667,D5667)=1,MAX(C$1:C5666)+1,"")</f>
        <v/>
      </c>
      <c r="D5667" s="12"/>
    </row>
    <row r="5668" spans="1:4" x14ac:dyDescent="0.25">
      <c r="A5668" t="str">
        <f>IF(COUNTIF(B$1:B5668,B5668)=1,MAX(A$1:A5667)+1,"")</f>
        <v/>
      </c>
      <c r="B5668" s="11"/>
      <c r="C5668" s="11" t="str">
        <f>IF(COUNTIF(D$1:D5668,D5668)=1,MAX(C$1:C5667)+1,"")</f>
        <v/>
      </c>
      <c r="D5668" s="12"/>
    </row>
    <row r="5669" spans="1:4" x14ac:dyDescent="0.25">
      <c r="A5669" t="str">
        <f>IF(COUNTIF(B$1:B5669,B5669)=1,MAX(A$1:A5668)+1,"")</f>
        <v/>
      </c>
      <c r="B5669" s="11"/>
      <c r="C5669" s="11" t="str">
        <f>IF(COUNTIF(D$1:D5669,D5669)=1,MAX(C$1:C5668)+1,"")</f>
        <v/>
      </c>
      <c r="D5669" s="12"/>
    </row>
    <row r="5670" spans="1:4" x14ac:dyDescent="0.25">
      <c r="A5670" t="str">
        <f>IF(COUNTIF(B$1:B5670,B5670)=1,MAX(A$1:A5669)+1,"")</f>
        <v/>
      </c>
      <c r="B5670" s="11"/>
      <c r="C5670" s="11" t="str">
        <f>IF(COUNTIF(D$1:D5670,D5670)=1,MAX(C$1:C5669)+1,"")</f>
        <v/>
      </c>
      <c r="D5670" s="12"/>
    </row>
    <row r="5671" spans="1:4" x14ac:dyDescent="0.25">
      <c r="A5671" t="str">
        <f>IF(COUNTIF(B$1:B5671,B5671)=1,MAX(A$1:A5670)+1,"")</f>
        <v/>
      </c>
      <c r="B5671" s="11"/>
      <c r="C5671" s="11" t="str">
        <f>IF(COUNTIF(D$1:D5671,D5671)=1,MAX(C$1:C5670)+1,"")</f>
        <v/>
      </c>
      <c r="D5671" s="12"/>
    </row>
    <row r="5672" spans="1:4" x14ac:dyDescent="0.25">
      <c r="A5672" t="str">
        <f>IF(COUNTIF(B$1:B5672,B5672)=1,MAX(A$1:A5671)+1,"")</f>
        <v/>
      </c>
      <c r="B5672" s="11"/>
      <c r="C5672" s="11" t="str">
        <f>IF(COUNTIF(D$1:D5672,D5672)=1,MAX(C$1:C5671)+1,"")</f>
        <v/>
      </c>
      <c r="D5672" s="12"/>
    </row>
    <row r="5673" spans="1:4" x14ac:dyDescent="0.25">
      <c r="A5673" t="str">
        <f>IF(COUNTIF(B$1:B5673,B5673)=1,MAX(A$1:A5672)+1,"")</f>
        <v/>
      </c>
      <c r="B5673" s="11"/>
      <c r="C5673" s="11" t="str">
        <f>IF(COUNTIF(D$1:D5673,D5673)=1,MAX(C$1:C5672)+1,"")</f>
        <v/>
      </c>
      <c r="D5673" s="12"/>
    </row>
    <row r="5674" spans="1:4" x14ac:dyDescent="0.25">
      <c r="A5674" t="str">
        <f>IF(COUNTIF(B$1:B5674,B5674)=1,MAX(A$1:A5673)+1,"")</f>
        <v/>
      </c>
      <c r="B5674" s="11"/>
      <c r="C5674" s="11" t="str">
        <f>IF(COUNTIF(D$1:D5674,D5674)=1,MAX(C$1:C5673)+1,"")</f>
        <v/>
      </c>
      <c r="D5674" s="12"/>
    </row>
    <row r="5675" spans="1:4" x14ac:dyDescent="0.25">
      <c r="A5675" t="str">
        <f>IF(COUNTIF(B$1:B5675,B5675)=1,MAX(A$1:A5674)+1,"")</f>
        <v/>
      </c>
      <c r="B5675" s="11"/>
      <c r="C5675" s="11" t="str">
        <f>IF(COUNTIF(D$1:D5675,D5675)=1,MAX(C$1:C5674)+1,"")</f>
        <v/>
      </c>
      <c r="D5675" s="12"/>
    </row>
    <row r="5676" spans="1:4" x14ac:dyDescent="0.25">
      <c r="A5676" t="str">
        <f>IF(COUNTIF(B$1:B5676,B5676)=1,MAX(A$1:A5675)+1,"")</f>
        <v/>
      </c>
      <c r="B5676" s="11"/>
      <c r="C5676" s="11" t="str">
        <f>IF(COUNTIF(D$1:D5676,D5676)=1,MAX(C$1:C5675)+1,"")</f>
        <v/>
      </c>
      <c r="D5676" s="12"/>
    </row>
    <row r="5677" spans="1:4" x14ac:dyDescent="0.25">
      <c r="A5677" t="str">
        <f>IF(COUNTIF(B$1:B5677,B5677)=1,MAX(A$1:A5676)+1,"")</f>
        <v/>
      </c>
      <c r="B5677" s="11"/>
      <c r="C5677" s="11" t="str">
        <f>IF(COUNTIF(D$1:D5677,D5677)=1,MAX(C$1:C5676)+1,"")</f>
        <v/>
      </c>
      <c r="D5677" s="12"/>
    </row>
    <row r="5678" spans="1:4" x14ac:dyDescent="0.25">
      <c r="A5678" t="str">
        <f>IF(COUNTIF(B$1:B5678,B5678)=1,MAX(A$1:A5677)+1,"")</f>
        <v/>
      </c>
      <c r="B5678" s="11"/>
      <c r="C5678" s="11" t="str">
        <f>IF(COUNTIF(D$1:D5678,D5678)=1,MAX(C$1:C5677)+1,"")</f>
        <v/>
      </c>
      <c r="D5678" s="12"/>
    </row>
    <row r="5679" spans="1:4" x14ac:dyDescent="0.25">
      <c r="A5679" t="str">
        <f>IF(COUNTIF(B$1:B5679,B5679)=1,MAX(A$1:A5678)+1,"")</f>
        <v/>
      </c>
      <c r="B5679" s="11"/>
      <c r="C5679" s="11" t="str">
        <f>IF(COUNTIF(D$1:D5679,D5679)=1,MAX(C$1:C5678)+1,"")</f>
        <v/>
      </c>
      <c r="D5679" s="12"/>
    </row>
    <row r="5680" spans="1:4" x14ac:dyDescent="0.25">
      <c r="A5680" t="str">
        <f>IF(COUNTIF(B$1:B5680,B5680)=1,MAX(A$1:A5679)+1,"")</f>
        <v/>
      </c>
      <c r="B5680" s="11"/>
      <c r="C5680" s="11" t="str">
        <f>IF(COUNTIF(D$1:D5680,D5680)=1,MAX(C$1:C5679)+1,"")</f>
        <v/>
      </c>
      <c r="D5680" s="12"/>
    </row>
    <row r="5681" spans="1:4" x14ac:dyDescent="0.25">
      <c r="A5681" t="str">
        <f>IF(COUNTIF(B$1:B5681,B5681)=1,MAX(A$1:A5680)+1,"")</f>
        <v/>
      </c>
      <c r="B5681" s="11"/>
      <c r="C5681" s="11" t="str">
        <f>IF(COUNTIF(D$1:D5681,D5681)=1,MAX(C$1:C5680)+1,"")</f>
        <v/>
      </c>
      <c r="D5681" s="12"/>
    </row>
    <row r="5682" spans="1:4" x14ac:dyDescent="0.25">
      <c r="A5682" t="str">
        <f>IF(COUNTIF(B$1:B5682,B5682)=1,MAX(A$1:A5681)+1,"")</f>
        <v/>
      </c>
      <c r="B5682" s="11"/>
      <c r="C5682" s="11" t="str">
        <f>IF(COUNTIF(D$1:D5682,D5682)=1,MAX(C$1:C5681)+1,"")</f>
        <v/>
      </c>
      <c r="D5682" s="12"/>
    </row>
    <row r="5683" spans="1:4" x14ac:dyDescent="0.25">
      <c r="A5683" t="str">
        <f>IF(COUNTIF(B$1:B5683,B5683)=1,MAX(A$1:A5682)+1,"")</f>
        <v/>
      </c>
      <c r="B5683" s="11"/>
      <c r="C5683" s="11" t="str">
        <f>IF(COUNTIF(D$1:D5683,D5683)=1,MAX(C$1:C5682)+1,"")</f>
        <v/>
      </c>
      <c r="D5683" s="12"/>
    </row>
    <row r="5684" spans="1:4" x14ac:dyDescent="0.25">
      <c r="A5684" t="str">
        <f>IF(COUNTIF(B$1:B5684,B5684)=1,MAX(A$1:A5683)+1,"")</f>
        <v/>
      </c>
      <c r="B5684" s="11"/>
      <c r="C5684" s="11" t="str">
        <f>IF(COUNTIF(D$1:D5684,D5684)=1,MAX(C$1:C5683)+1,"")</f>
        <v/>
      </c>
      <c r="D5684" s="12"/>
    </row>
    <row r="5685" spans="1:4" x14ac:dyDescent="0.25">
      <c r="A5685" t="str">
        <f>IF(COUNTIF(B$1:B5685,B5685)=1,MAX(A$1:A5684)+1,"")</f>
        <v/>
      </c>
      <c r="B5685" s="11"/>
      <c r="C5685" s="11" t="str">
        <f>IF(COUNTIF(D$1:D5685,D5685)=1,MAX(C$1:C5684)+1,"")</f>
        <v/>
      </c>
      <c r="D5685" s="12"/>
    </row>
    <row r="5686" spans="1:4" x14ac:dyDescent="0.25">
      <c r="A5686" t="str">
        <f>IF(COUNTIF(B$1:B5686,B5686)=1,MAX(A$1:A5685)+1,"")</f>
        <v/>
      </c>
      <c r="B5686" s="11"/>
      <c r="C5686" s="11" t="str">
        <f>IF(COUNTIF(D$1:D5686,D5686)=1,MAX(C$1:C5685)+1,"")</f>
        <v/>
      </c>
      <c r="D5686" s="12"/>
    </row>
    <row r="5687" spans="1:4" x14ac:dyDescent="0.25">
      <c r="A5687" t="str">
        <f>IF(COUNTIF(B$1:B5687,B5687)=1,MAX(A$1:A5686)+1,"")</f>
        <v/>
      </c>
      <c r="B5687" s="11"/>
      <c r="C5687" s="11" t="str">
        <f>IF(COUNTIF(D$1:D5687,D5687)=1,MAX(C$1:C5686)+1,"")</f>
        <v/>
      </c>
      <c r="D5687" s="12"/>
    </row>
    <row r="5688" spans="1:4" x14ac:dyDescent="0.25">
      <c r="A5688" t="str">
        <f>IF(COUNTIF(B$1:B5688,B5688)=1,MAX(A$1:A5687)+1,"")</f>
        <v/>
      </c>
      <c r="B5688" s="11"/>
      <c r="C5688" s="11" t="str">
        <f>IF(COUNTIF(D$1:D5688,D5688)=1,MAX(C$1:C5687)+1,"")</f>
        <v/>
      </c>
      <c r="D5688" s="12"/>
    </row>
    <row r="5689" spans="1:4" x14ac:dyDescent="0.25">
      <c r="A5689" t="str">
        <f>IF(COUNTIF(B$1:B5689,B5689)=1,MAX(A$1:A5688)+1,"")</f>
        <v/>
      </c>
      <c r="B5689" s="11"/>
      <c r="C5689" s="11" t="str">
        <f>IF(COUNTIF(D$1:D5689,D5689)=1,MAX(C$1:C5688)+1,"")</f>
        <v/>
      </c>
      <c r="D5689" s="12"/>
    </row>
    <row r="5690" spans="1:4" x14ac:dyDescent="0.25">
      <c r="A5690" t="str">
        <f>IF(COUNTIF(B$1:B5690,B5690)=1,MAX(A$1:A5689)+1,"")</f>
        <v/>
      </c>
      <c r="B5690" s="11"/>
      <c r="C5690" s="11" t="str">
        <f>IF(COUNTIF(D$1:D5690,D5690)=1,MAX(C$1:C5689)+1,"")</f>
        <v/>
      </c>
      <c r="D5690" s="12"/>
    </row>
    <row r="5691" spans="1:4" x14ac:dyDescent="0.25">
      <c r="A5691" t="str">
        <f>IF(COUNTIF(B$1:B5691,B5691)=1,MAX(A$1:A5690)+1,"")</f>
        <v/>
      </c>
      <c r="B5691" s="11"/>
      <c r="C5691" s="11" t="str">
        <f>IF(COUNTIF(D$1:D5691,D5691)=1,MAX(C$1:C5690)+1,"")</f>
        <v/>
      </c>
      <c r="D5691" s="12"/>
    </row>
    <row r="5692" spans="1:4" x14ac:dyDescent="0.25">
      <c r="A5692" t="str">
        <f>IF(COUNTIF(B$1:B5692,B5692)=1,MAX(A$1:A5691)+1,"")</f>
        <v/>
      </c>
      <c r="B5692" s="11"/>
      <c r="C5692" s="11" t="str">
        <f>IF(COUNTIF(D$1:D5692,D5692)=1,MAX(C$1:C5691)+1,"")</f>
        <v/>
      </c>
      <c r="D5692" s="12"/>
    </row>
    <row r="5693" spans="1:4" x14ac:dyDescent="0.25">
      <c r="A5693" t="str">
        <f>IF(COUNTIF(B$1:B5693,B5693)=1,MAX(A$1:A5692)+1,"")</f>
        <v/>
      </c>
      <c r="B5693" s="11"/>
      <c r="C5693" s="11" t="str">
        <f>IF(COUNTIF(D$1:D5693,D5693)=1,MAX(C$1:C5692)+1,"")</f>
        <v/>
      </c>
      <c r="D5693" s="12"/>
    </row>
    <row r="5694" spans="1:4" x14ac:dyDescent="0.25">
      <c r="A5694" t="str">
        <f>IF(COUNTIF(B$1:B5694,B5694)=1,MAX(A$1:A5693)+1,"")</f>
        <v/>
      </c>
      <c r="B5694" s="11"/>
      <c r="C5694" s="11" t="str">
        <f>IF(COUNTIF(D$1:D5694,D5694)=1,MAX(C$1:C5693)+1,"")</f>
        <v/>
      </c>
      <c r="D5694" s="12"/>
    </row>
    <row r="5695" spans="1:4" x14ac:dyDescent="0.25">
      <c r="A5695" t="str">
        <f>IF(COUNTIF(B$1:B5695,B5695)=1,MAX(A$1:A5694)+1,"")</f>
        <v/>
      </c>
      <c r="B5695" s="11"/>
      <c r="C5695" s="11" t="str">
        <f>IF(COUNTIF(D$1:D5695,D5695)=1,MAX(C$1:C5694)+1,"")</f>
        <v/>
      </c>
      <c r="D5695" s="12"/>
    </row>
    <row r="5696" spans="1:4" x14ac:dyDescent="0.25">
      <c r="A5696" t="str">
        <f>IF(COUNTIF(B$1:B5696,B5696)=1,MAX(A$1:A5695)+1,"")</f>
        <v/>
      </c>
      <c r="B5696" s="11"/>
      <c r="C5696" s="11" t="str">
        <f>IF(COUNTIF(D$1:D5696,D5696)=1,MAX(C$1:C5695)+1,"")</f>
        <v/>
      </c>
      <c r="D5696" s="12"/>
    </row>
    <row r="5697" spans="1:4" x14ac:dyDescent="0.25">
      <c r="A5697" t="str">
        <f>IF(COUNTIF(B$1:B5697,B5697)=1,MAX(A$1:A5696)+1,"")</f>
        <v/>
      </c>
      <c r="B5697" s="11"/>
      <c r="C5697" s="11" t="str">
        <f>IF(COUNTIF(D$1:D5697,D5697)=1,MAX(C$1:C5696)+1,"")</f>
        <v/>
      </c>
      <c r="D5697" s="12"/>
    </row>
    <row r="5698" spans="1:4" x14ac:dyDescent="0.25">
      <c r="A5698" t="str">
        <f>IF(COUNTIF(B$1:B5698,B5698)=1,MAX(A$1:A5697)+1,"")</f>
        <v/>
      </c>
      <c r="B5698" s="11"/>
      <c r="C5698" s="11" t="str">
        <f>IF(COUNTIF(D$1:D5698,D5698)=1,MAX(C$1:C5697)+1,"")</f>
        <v/>
      </c>
      <c r="D5698" s="12"/>
    </row>
    <row r="5699" spans="1:4" x14ac:dyDescent="0.25">
      <c r="A5699" t="str">
        <f>IF(COUNTIF(B$1:B5699,B5699)=1,MAX(A$1:A5698)+1,"")</f>
        <v/>
      </c>
      <c r="B5699" s="11"/>
      <c r="C5699" s="11" t="str">
        <f>IF(COUNTIF(D$1:D5699,D5699)=1,MAX(C$1:C5698)+1,"")</f>
        <v/>
      </c>
      <c r="D5699" s="12"/>
    </row>
    <row r="5700" spans="1:4" x14ac:dyDescent="0.25">
      <c r="A5700" t="str">
        <f>IF(COUNTIF(B$1:B5700,B5700)=1,MAX(A$1:A5699)+1,"")</f>
        <v/>
      </c>
      <c r="B5700" s="11"/>
      <c r="C5700" s="11" t="str">
        <f>IF(COUNTIF(D$1:D5700,D5700)=1,MAX(C$1:C5699)+1,"")</f>
        <v/>
      </c>
      <c r="D5700" s="12"/>
    </row>
    <row r="5701" spans="1:4" x14ac:dyDescent="0.25">
      <c r="A5701" t="str">
        <f>IF(COUNTIF(B$1:B5701,B5701)=1,MAX(A$1:A5700)+1,"")</f>
        <v/>
      </c>
      <c r="B5701" s="11"/>
      <c r="C5701" s="11" t="str">
        <f>IF(COUNTIF(D$1:D5701,D5701)=1,MAX(C$1:C5700)+1,"")</f>
        <v/>
      </c>
      <c r="D5701" s="12"/>
    </row>
    <row r="5702" spans="1:4" x14ac:dyDescent="0.25">
      <c r="A5702" t="str">
        <f>IF(COUNTIF(B$1:B5702,B5702)=1,MAX(A$1:A5701)+1,"")</f>
        <v/>
      </c>
      <c r="B5702" s="11"/>
      <c r="C5702" s="11" t="str">
        <f>IF(COUNTIF(D$1:D5702,D5702)=1,MAX(C$1:C5701)+1,"")</f>
        <v/>
      </c>
      <c r="D5702" s="12"/>
    </row>
    <row r="5703" spans="1:4" x14ac:dyDescent="0.25">
      <c r="A5703" t="str">
        <f>IF(COUNTIF(B$1:B5703,B5703)=1,MAX(A$1:A5702)+1,"")</f>
        <v/>
      </c>
      <c r="B5703" s="11"/>
      <c r="C5703" s="11" t="str">
        <f>IF(COUNTIF(D$1:D5703,D5703)=1,MAX(C$1:C5702)+1,"")</f>
        <v/>
      </c>
      <c r="D5703" s="12"/>
    </row>
    <row r="5704" spans="1:4" x14ac:dyDescent="0.25">
      <c r="A5704" t="str">
        <f>IF(COUNTIF(B$1:B5704,B5704)=1,MAX(A$1:A5703)+1,"")</f>
        <v/>
      </c>
      <c r="B5704" s="11"/>
      <c r="C5704" s="11" t="str">
        <f>IF(COUNTIF(D$1:D5704,D5704)=1,MAX(C$1:C5703)+1,"")</f>
        <v/>
      </c>
      <c r="D5704" s="12"/>
    </row>
    <row r="5705" spans="1:4" x14ac:dyDescent="0.25">
      <c r="A5705" t="str">
        <f>IF(COUNTIF(B$1:B5705,B5705)=1,MAX(A$1:A5704)+1,"")</f>
        <v/>
      </c>
      <c r="B5705" s="11"/>
      <c r="C5705" s="11" t="str">
        <f>IF(COUNTIF(D$1:D5705,D5705)=1,MAX(C$1:C5704)+1,"")</f>
        <v/>
      </c>
      <c r="D5705" s="12"/>
    </row>
    <row r="5706" spans="1:4" x14ac:dyDescent="0.25">
      <c r="A5706" t="str">
        <f>IF(COUNTIF(B$1:B5706,B5706)=1,MAX(A$1:A5705)+1,"")</f>
        <v/>
      </c>
      <c r="B5706" s="11"/>
      <c r="C5706" s="11" t="str">
        <f>IF(COUNTIF(D$1:D5706,D5706)=1,MAX(C$1:C5705)+1,"")</f>
        <v/>
      </c>
      <c r="D5706" s="12"/>
    </row>
    <row r="5707" spans="1:4" x14ac:dyDescent="0.25">
      <c r="A5707" t="str">
        <f>IF(COUNTIF(B$1:B5707,B5707)=1,MAX(A$1:A5706)+1,"")</f>
        <v/>
      </c>
      <c r="B5707" s="11"/>
      <c r="C5707" s="11" t="str">
        <f>IF(COUNTIF(D$1:D5707,D5707)=1,MAX(C$1:C5706)+1,"")</f>
        <v/>
      </c>
      <c r="D5707" s="12"/>
    </row>
    <row r="5708" spans="1:4" x14ac:dyDescent="0.25">
      <c r="A5708" t="str">
        <f>IF(COUNTIF(B$1:B5708,B5708)=1,MAX(A$1:A5707)+1,"")</f>
        <v/>
      </c>
      <c r="B5708" s="11"/>
      <c r="C5708" s="11" t="str">
        <f>IF(COUNTIF(D$1:D5708,D5708)=1,MAX(C$1:C5707)+1,"")</f>
        <v/>
      </c>
      <c r="D5708" s="12"/>
    </row>
    <row r="5709" spans="1:4" x14ac:dyDescent="0.25">
      <c r="A5709" t="str">
        <f>IF(COUNTIF(B$1:B5709,B5709)=1,MAX(A$1:A5708)+1,"")</f>
        <v/>
      </c>
      <c r="B5709" s="11"/>
      <c r="C5709" s="11" t="str">
        <f>IF(COUNTIF(D$1:D5709,D5709)=1,MAX(C$1:C5708)+1,"")</f>
        <v/>
      </c>
      <c r="D5709" s="12"/>
    </row>
    <row r="5710" spans="1:4" x14ac:dyDescent="0.25">
      <c r="A5710" t="str">
        <f>IF(COUNTIF(B$1:B5710,B5710)=1,MAX(A$1:A5709)+1,"")</f>
        <v/>
      </c>
      <c r="B5710" s="11"/>
      <c r="C5710" s="11" t="str">
        <f>IF(COUNTIF(D$1:D5710,D5710)=1,MAX(C$1:C5709)+1,"")</f>
        <v/>
      </c>
      <c r="D5710" s="12"/>
    </row>
    <row r="5711" spans="1:4" x14ac:dyDescent="0.25">
      <c r="A5711" t="str">
        <f>IF(COUNTIF(B$1:B5711,B5711)=1,MAX(A$1:A5710)+1,"")</f>
        <v/>
      </c>
      <c r="B5711" s="11"/>
      <c r="C5711" s="11" t="str">
        <f>IF(COUNTIF(D$1:D5711,D5711)=1,MAX(C$1:C5710)+1,"")</f>
        <v/>
      </c>
      <c r="D5711" s="12"/>
    </row>
    <row r="5712" spans="1:4" x14ac:dyDescent="0.25">
      <c r="A5712" t="str">
        <f>IF(COUNTIF(B$1:B5712,B5712)=1,MAX(A$1:A5711)+1,"")</f>
        <v/>
      </c>
      <c r="B5712" s="11"/>
      <c r="C5712" s="11" t="str">
        <f>IF(COUNTIF(D$1:D5712,D5712)=1,MAX(C$1:C5711)+1,"")</f>
        <v/>
      </c>
      <c r="D5712" s="12"/>
    </row>
    <row r="5713" spans="1:4" x14ac:dyDescent="0.25">
      <c r="A5713" t="str">
        <f>IF(COUNTIF(B$1:B5713,B5713)=1,MAX(A$1:A5712)+1,"")</f>
        <v/>
      </c>
      <c r="B5713" s="11"/>
      <c r="C5713" s="11" t="str">
        <f>IF(COUNTIF(D$1:D5713,D5713)=1,MAX(C$1:C5712)+1,"")</f>
        <v/>
      </c>
      <c r="D5713" s="12"/>
    </row>
    <row r="5714" spans="1:4" x14ac:dyDescent="0.25">
      <c r="A5714" t="str">
        <f>IF(COUNTIF(B$1:B5714,B5714)=1,MAX(A$1:A5713)+1,"")</f>
        <v/>
      </c>
      <c r="B5714" s="11"/>
      <c r="C5714" s="11" t="str">
        <f>IF(COUNTIF(D$1:D5714,D5714)=1,MAX(C$1:C5713)+1,"")</f>
        <v/>
      </c>
      <c r="D5714" s="12"/>
    </row>
    <row r="5715" spans="1:4" x14ac:dyDescent="0.25">
      <c r="A5715" t="str">
        <f>IF(COUNTIF(B$1:B5715,B5715)=1,MAX(A$1:A5714)+1,"")</f>
        <v/>
      </c>
      <c r="B5715" s="11"/>
      <c r="C5715" s="11" t="str">
        <f>IF(COUNTIF(D$1:D5715,D5715)=1,MAX(C$1:C5714)+1,"")</f>
        <v/>
      </c>
      <c r="D5715" s="12"/>
    </row>
    <row r="5716" spans="1:4" x14ac:dyDescent="0.25">
      <c r="A5716" t="str">
        <f>IF(COUNTIF(B$1:B5716,B5716)=1,MAX(A$1:A5715)+1,"")</f>
        <v/>
      </c>
      <c r="B5716" s="11"/>
      <c r="C5716" s="11" t="str">
        <f>IF(COUNTIF(D$1:D5716,D5716)=1,MAX(C$1:C5715)+1,"")</f>
        <v/>
      </c>
      <c r="D5716" s="12"/>
    </row>
    <row r="5717" spans="1:4" x14ac:dyDescent="0.25">
      <c r="A5717" t="str">
        <f>IF(COUNTIF(B$1:B5717,B5717)=1,MAX(A$1:A5716)+1,"")</f>
        <v/>
      </c>
      <c r="B5717" s="11"/>
      <c r="C5717" s="11" t="str">
        <f>IF(COUNTIF(D$1:D5717,D5717)=1,MAX(C$1:C5716)+1,"")</f>
        <v/>
      </c>
      <c r="D5717" s="12"/>
    </row>
    <row r="5718" spans="1:4" x14ac:dyDescent="0.25">
      <c r="A5718" t="str">
        <f>IF(COUNTIF(B$1:B5718,B5718)=1,MAX(A$1:A5717)+1,"")</f>
        <v/>
      </c>
      <c r="B5718" s="11"/>
      <c r="C5718" s="11" t="str">
        <f>IF(COUNTIF(D$1:D5718,D5718)=1,MAX(C$1:C5717)+1,"")</f>
        <v/>
      </c>
      <c r="D5718" s="12"/>
    </row>
    <row r="5719" spans="1:4" x14ac:dyDescent="0.25">
      <c r="A5719" t="str">
        <f>IF(COUNTIF(B$1:B5719,B5719)=1,MAX(A$1:A5718)+1,"")</f>
        <v/>
      </c>
      <c r="B5719" s="11"/>
      <c r="C5719" s="11" t="str">
        <f>IF(COUNTIF(D$1:D5719,D5719)=1,MAX(C$1:C5718)+1,"")</f>
        <v/>
      </c>
      <c r="D5719" s="12"/>
    </row>
    <row r="5720" spans="1:4" x14ac:dyDescent="0.25">
      <c r="A5720" t="str">
        <f>IF(COUNTIF(B$1:B5720,B5720)=1,MAX(A$1:A5719)+1,"")</f>
        <v/>
      </c>
      <c r="B5720" s="11"/>
      <c r="C5720" s="11" t="str">
        <f>IF(COUNTIF(D$1:D5720,D5720)=1,MAX(C$1:C5719)+1,"")</f>
        <v/>
      </c>
      <c r="D5720" s="12"/>
    </row>
    <row r="5721" spans="1:4" x14ac:dyDescent="0.25">
      <c r="A5721" t="str">
        <f>IF(COUNTIF(B$1:B5721,B5721)=1,MAX(A$1:A5720)+1,"")</f>
        <v/>
      </c>
      <c r="B5721" s="11"/>
      <c r="C5721" s="11" t="str">
        <f>IF(COUNTIF(D$1:D5721,D5721)=1,MAX(C$1:C5720)+1,"")</f>
        <v/>
      </c>
      <c r="D5721" s="12"/>
    </row>
    <row r="5722" spans="1:4" x14ac:dyDescent="0.25">
      <c r="A5722" t="str">
        <f>IF(COUNTIF(B$1:B5722,B5722)=1,MAX(A$1:A5721)+1,"")</f>
        <v/>
      </c>
      <c r="B5722" s="11"/>
      <c r="C5722" s="11" t="str">
        <f>IF(COUNTIF(D$1:D5722,D5722)=1,MAX(C$1:C5721)+1,"")</f>
        <v/>
      </c>
      <c r="D5722" s="12"/>
    </row>
    <row r="5723" spans="1:4" x14ac:dyDescent="0.25">
      <c r="A5723" t="str">
        <f>IF(COUNTIF(B$1:B5723,B5723)=1,MAX(A$1:A5722)+1,"")</f>
        <v/>
      </c>
      <c r="B5723" s="11"/>
      <c r="C5723" s="11" t="str">
        <f>IF(COUNTIF(D$1:D5723,D5723)=1,MAX(C$1:C5722)+1,"")</f>
        <v/>
      </c>
      <c r="D5723" s="12"/>
    </row>
    <row r="5724" spans="1:4" x14ac:dyDescent="0.25">
      <c r="A5724" t="str">
        <f>IF(COUNTIF(B$1:B5724,B5724)=1,MAX(A$1:A5723)+1,"")</f>
        <v/>
      </c>
      <c r="B5724" s="11"/>
      <c r="C5724" s="11" t="str">
        <f>IF(COUNTIF(D$1:D5724,D5724)=1,MAX(C$1:C5723)+1,"")</f>
        <v/>
      </c>
      <c r="D5724" s="12"/>
    </row>
    <row r="5725" spans="1:4" x14ac:dyDescent="0.25">
      <c r="A5725" t="str">
        <f>IF(COUNTIF(B$1:B5725,B5725)=1,MAX(A$1:A5724)+1,"")</f>
        <v/>
      </c>
      <c r="B5725" s="11"/>
      <c r="C5725" s="11" t="str">
        <f>IF(COUNTIF(D$1:D5725,D5725)=1,MAX(C$1:C5724)+1,"")</f>
        <v/>
      </c>
      <c r="D5725" s="12"/>
    </row>
    <row r="5726" spans="1:4" x14ac:dyDescent="0.25">
      <c r="A5726" t="str">
        <f>IF(COUNTIF(B$1:B5726,B5726)=1,MAX(A$1:A5725)+1,"")</f>
        <v/>
      </c>
      <c r="B5726" s="11"/>
      <c r="C5726" s="11" t="str">
        <f>IF(COUNTIF(D$1:D5726,D5726)=1,MAX(C$1:C5725)+1,"")</f>
        <v/>
      </c>
      <c r="D5726" s="12"/>
    </row>
    <row r="5727" spans="1:4" x14ac:dyDescent="0.25">
      <c r="A5727" t="str">
        <f>IF(COUNTIF(B$1:B5727,B5727)=1,MAX(A$1:A5726)+1,"")</f>
        <v/>
      </c>
      <c r="B5727" s="11"/>
      <c r="C5727" s="11" t="str">
        <f>IF(COUNTIF(D$1:D5727,D5727)=1,MAX(C$1:C5726)+1,"")</f>
        <v/>
      </c>
      <c r="D5727" s="12"/>
    </row>
    <row r="5728" spans="1:4" x14ac:dyDescent="0.25">
      <c r="A5728" t="str">
        <f>IF(COUNTIF(B$1:B5728,B5728)=1,MAX(A$1:A5727)+1,"")</f>
        <v/>
      </c>
      <c r="B5728" s="11"/>
      <c r="C5728" s="11" t="str">
        <f>IF(COUNTIF(D$1:D5728,D5728)=1,MAX(C$1:C5727)+1,"")</f>
        <v/>
      </c>
      <c r="D5728" s="12"/>
    </row>
    <row r="5729" spans="1:4" x14ac:dyDescent="0.25">
      <c r="A5729" t="str">
        <f>IF(COUNTIF(B$1:B5729,B5729)=1,MAX(A$1:A5728)+1,"")</f>
        <v/>
      </c>
      <c r="B5729" s="11"/>
      <c r="C5729" s="11" t="str">
        <f>IF(COUNTIF(D$1:D5729,D5729)=1,MAX(C$1:C5728)+1,"")</f>
        <v/>
      </c>
      <c r="D5729" s="12"/>
    </row>
    <row r="5730" spans="1:4" x14ac:dyDescent="0.25">
      <c r="A5730" t="str">
        <f>IF(COUNTIF(B$1:B5730,B5730)=1,MAX(A$1:A5729)+1,"")</f>
        <v/>
      </c>
      <c r="B5730" s="11"/>
      <c r="C5730" s="11" t="str">
        <f>IF(COUNTIF(D$1:D5730,D5730)=1,MAX(C$1:C5729)+1,"")</f>
        <v/>
      </c>
      <c r="D5730" s="12"/>
    </row>
    <row r="5731" spans="1:4" x14ac:dyDescent="0.25">
      <c r="A5731" t="str">
        <f>IF(COUNTIF(B$1:B5731,B5731)=1,MAX(A$1:A5730)+1,"")</f>
        <v/>
      </c>
      <c r="B5731" s="11"/>
      <c r="C5731" s="11" t="str">
        <f>IF(COUNTIF(D$1:D5731,D5731)=1,MAX(C$1:C5730)+1,"")</f>
        <v/>
      </c>
      <c r="D5731" s="12"/>
    </row>
    <row r="5732" spans="1:4" x14ac:dyDescent="0.25">
      <c r="A5732" t="str">
        <f>IF(COUNTIF(B$1:B5732,B5732)=1,MAX(A$1:A5731)+1,"")</f>
        <v/>
      </c>
      <c r="B5732" s="11"/>
      <c r="C5732" s="11" t="str">
        <f>IF(COUNTIF(D$1:D5732,D5732)=1,MAX(C$1:C5731)+1,"")</f>
        <v/>
      </c>
      <c r="D5732" s="12"/>
    </row>
    <row r="5733" spans="1:4" x14ac:dyDescent="0.25">
      <c r="A5733" t="str">
        <f>IF(COUNTIF(B$1:B5733,B5733)=1,MAX(A$1:A5732)+1,"")</f>
        <v/>
      </c>
      <c r="B5733" s="11"/>
      <c r="C5733" s="11" t="str">
        <f>IF(COUNTIF(D$1:D5733,D5733)=1,MAX(C$1:C5732)+1,"")</f>
        <v/>
      </c>
      <c r="D5733" s="12"/>
    </row>
    <row r="5734" spans="1:4" x14ac:dyDescent="0.25">
      <c r="A5734" t="str">
        <f>IF(COUNTIF(B$1:B5734,B5734)=1,MAX(A$1:A5733)+1,"")</f>
        <v/>
      </c>
      <c r="B5734" s="11"/>
      <c r="C5734" s="11" t="str">
        <f>IF(COUNTIF(D$1:D5734,D5734)=1,MAX(C$1:C5733)+1,"")</f>
        <v/>
      </c>
      <c r="D5734" s="12"/>
    </row>
    <row r="5735" spans="1:4" x14ac:dyDescent="0.25">
      <c r="A5735" t="str">
        <f>IF(COUNTIF(B$1:B5735,B5735)=1,MAX(A$1:A5734)+1,"")</f>
        <v/>
      </c>
      <c r="B5735" s="11"/>
      <c r="C5735" s="11" t="str">
        <f>IF(COUNTIF(D$1:D5735,D5735)=1,MAX(C$1:C5734)+1,"")</f>
        <v/>
      </c>
      <c r="D5735" s="12"/>
    </row>
    <row r="5736" spans="1:4" x14ac:dyDescent="0.25">
      <c r="A5736" t="str">
        <f>IF(COUNTIF(B$1:B5736,B5736)=1,MAX(A$1:A5735)+1,"")</f>
        <v/>
      </c>
      <c r="B5736" s="11"/>
      <c r="C5736" s="11" t="str">
        <f>IF(COUNTIF(D$1:D5736,D5736)=1,MAX(C$1:C5735)+1,"")</f>
        <v/>
      </c>
      <c r="D5736" s="12"/>
    </row>
    <row r="5737" spans="1:4" x14ac:dyDescent="0.25">
      <c r="A5737" t="str">
        <f>IF(COUNTIF(B$1:B5737,B5737)=1,MAX(A$1:A5736)+1,"")</f>
        <v/>
      </c>
      <c r="B5737" s="11"/>
      <c r="C5737" s="11" t="str">
        <f>IF(COUNTIF(D$1:D5737,D5737)=1,MAX(C$1:C5736)+1,"")</f>
        <v/>
      </c>
      <c r="D5737" s="12"/>
    </row>
    <row r="5738" spans="1:4" x14ac:dyDescent="0.25">
      <c r="A5738" t="str">
        <f>IF(COUNTIF(B$1:B5738,B5738)=1,MAX(A$1:A5737)+1,"")</f>
        <v/>
      </c>
      <c r="B5738" s="11"/>
      <c r="C5738" s="11" t="str">
        <f>IF(COUNTIF(D$1:D5738,D5738)=1,MAX(C$1:C5737)+1,"")</f>
        <v/>
      </c>
      <c r="D5738" s="12"/>
    </row>
    <row r="5739" spans="1:4" x14ac:dyDescent="0.25">
      <c r="A5739" t="str">
        <f>IF(COUNTIF(B$1:B5739,B5739)=1,MAX(A$1:A5738)+1,"")</f>
        <v/>
      </c>
      <c r="B5739" s="11"/>
      <c r="C5739" s="11" t="str">
        <f>IF(COUNTIF(D$1:D5739,D5739)=1,MAX(C$1:C5738)+1,"")</f>
        <v/>
      </c>
      <c r="D5739" s="12"/>
    </row>
    <row r="5740" spans="1:4" x14ac:dyDescent="0.25">
      <c r="A5740" t="str">
        <f>IF(COUNTIF(B$1:B5740,B5740)=1,MAX(A$1:A5739)+1,"")</f>
        <v/>
      </c>
      <c r="B5740" s="11"/>
      <c r="C5740" s="11" t="str">
        <f>IF(COUNTIF(D$1:D5740,D5740)=1,MAX(C$1:C5739)+1,"")</f>
        <v/>
      </c>
      <c r="D5740" s="12"/>
    </row>
    <row r="5741" spans="1:4" x14ac:dyDescent="0.25">
      <c r="A5741" t="str">
        <f>IF(COUNTIF(B$1:B5741,B5741)=1,MAX(A$1:A5740)+1,"")</f>
        <v/>
      </c>
      <c r="B5741" s="11"/>
      <c r="C5741" s="11" t="str">
        <f>IF(COUNTIF(D$1:D5741,D5741)=1,MAX(C$1:C5740)+1,"")</f>
        <v/>
      </c>
      <c r="D5741" s="12"/>
    </row>
    <row r="5742" spans="1:4" x14ac:dyDescent="0.25">
      <c r="A5742" t="str">
        <f>IF(COUNTIF(B$1:B5742,B5742)=1,MAX(A$1:A5741)+1,"")</f>
        <v/>
      </c>
      <c r="B5742" s="11"/>
      <c r="C5742" s="11" t="str">
        <f>IF(COUNTIF(D$1:D5742,D5742)=1,MAX(C$1:C5741)+1,"")</f>
        <v/>
      </c>
      <c r="D5742" s="12"/>
    </row>
    <row r="5743" spans="1:4" x14ac:dyDescent="0.25">
      <c r="A5743" t="str">
        <f>IF(COUNTIF(B$1:B5743,B5743)=1,MAX(A$1:A5742)+1,"")</f>
        <v/>
      </c>
      <c r="B5743" s="11"/>
      <c r="C5743" s="11" t="str">
        <f>IF(COUNTIF(D$1:D5743,D5743)=1,MAX(C$1:C5742)+1,"")</f>
        <v/>
      </c>
      <c r="D5743" s="12"/>
    </row>
    <row r="5744" spans="1:4" x14ac:dyDescent="0.25">
      <c r="A5744" t="str">
        <f>IF(COUNTIF(B$1:B5744,B5744)=1,MAX(A$1:A5743)+1,"")</f>
        <v/>
      </c>
      <c r="B5744" s="11"/>
      <c r="C5744" s="11" t="str">
        <f>IF(COUNTIF(D$1:D5744,D5744)=1,MAX(C$1:C5743)+1,"")</f>
        <v/>
      </c>
      <c r="D5744" s="12"/>
    </row>
    <row r="5745" spans="1:4" x14ac:dyDescent="0.25">
      <c r="A5745" t="str">
        <f>IF(COUNTIF(B$1:B5745,B5745)=1,MAX(A$1:A5744)+1,"")</f>
        <v/>
      </c>
      <c r="B5745" s="11"/>
      <c r="C5745" s="11" t="str">
        <f>IF(COUNTIF(D$1:D5745,D5745)=1,MAX(C$1:C5744)+1,"")</f>
        <v/>
      </c>
      <c r="D5745" s="12"/>
    </row>
    <row r="5746" spans="1:4" x14ac:dyDescent="0.25">
      <c r="A5746" t="str">
        <f>IF(COUNTIF(B$1:B5746,B5746)=1,MAX(A$1:A5745)+1,"")</f>
        <v/>
      </c>
      <c r="B5746" s="11"/>
      <c r="C5746" s="11" t="str">
        <f>IF(COUNTIF(D$1:D5746,D5746)=1,MAX(C$1:C5745)+1,"")</f>
        <v/>
      </c>
      <c r="D5746" s="12"/>
    </row>
    <row r="5747" spans="1:4" x14ac:dyDescent="0.25">
      <c r="A5747" t="str">
        <f>IF(COUNTIF(B$1:B5747,B5747)=1,MAX(A$1:A5746)+1,"")</f>
        <v/>
      </c>
      <c r="B5747" s="11"/>
      <c r="C5747" s="11" t="str">
        <f>IF(COUNTIF(D$1:D5747,D5747)=1,MAX(C$1:C5746)+1,"")</f>
        <v/>
      </c>
      <c r="D5747" s="12"/>
    </row>
    <row r="5748" spans="1:4" x14ac:dyDescent="0.25">
      <c r="A5748" t="str">
        <f>IF(COUNTIF(B$1:B5748,B5748)=1,MAX(A$1:A5747)+1,"")</f>
        <v/>
      </c>
      <c r="B5748" s="11"/>
      <c r="C5748" s="11" t="str">
        <f>IF(COUNTIF(D$1:D5748,D5748)=1,MAX(C$1:C5747)+1,"")</f>
        <v/>
      </c>
      <c r="D5748" s="12"/>
    </row>
    <row r="5749" spans="1:4" x14ac:dyDescent="0.25">
      <c r="A5749" t="str">
        <f>IF(COUNTIF(B$1:B5749,B5749)=1,MAX(A$1:A5748)+1,"")</f>
        <v/>
      </c>
      <c r="B5749" s="11"/>
      <c r="C5749" s="11" t="str">
        <f>IF(COUNTIF(D$1:D5749,D5749)=1,MAX(C$1:C5748)+1,"")</f>
        <v/>
      </c>
      <c r="D5749" s="12"/>
    </row>
    <row r="5750" spans="1:4" x14ac:dyDescent="0.25">
      <c r="A5750" t="str">
        <f>IF(COUNTIF(B$1:B5750,B5750)=1,MAX(A$1:A5749)+1,"")</f>
        <v/>
      </c>
      <c r="B5750" s="11"/>
      <c r="C5750" s="11" t="str">
        <f>IF(COUNTIF(D$1:D5750,D5750)=1,MAX(C$1:C5749)+1,"")</f>
        <v/>
      </c>
      <c r="D5750" s="12"/>
    </row>
    <row r="5751" spans="1:4" x14ac:dyDescent="0.25">
      <c r="A5751" t="str">
        <f>IF(COUNTIF(B$1:B5751,B5751)=1,MAX(A$1:A5750)+1,"")</f>
        <v/>
      </c>
      <c r="B5751" s="11"/>
      <c r="C5751" s="11" t="str">
        <f>IF(COUNTIF(D$1:D5751,D5751)=1,MAX(C$1:C5750)+1,"")</f>
        <v/>
      </c>
      <c r="D5751" s="12"/>
    </row>
    <row r="5752" spans="1:4" x14ac:dyDescent="0.25">
      <c r="A5752" t="str">
        <f>IF(COUNTIF(B$1:B5752,B5752)=1,MAX(A$1:A5751)+1,"")</f>
        <v/>
      </c>
      <c r="B5752" s="11"/>
      <c r="C5752" s="11" t="str">
        <f>IF(COUNTIF(D$1:D5752,D5752)=1,MAX(C$1:C5751)+1,"")</f>
        <v/>
      </c>
      <c r="D5752" s="12"/>
    </row>
    <row r="5753" spans="1:4" x14ac:dyDescent="0.25">
      <c r="A5753" t="str">
        <f>IF(COUNTIF(B$1:B5753,B5753)=1,MAX(A$1:A5752)+1,"")</f>
        <v/>
      </c>
      <c r="B5753" s="11"/>
      <c r="C5753" s="11" t="str">
        <f>IF(COUNTIF(D$1:D5753,D5753)=1,MAX(C$1:C5752)+1,"")</f>
        <v/>
      </c>
      <c r="D5753" s="12"/>
    </row>
    <row r="5754" spans="1:4" x14ac:dyDescent="0.25">
      <c r="A5754" t="str">
        <f>IF(COUNTIF(B$1:B5754,B5754)=1,MAX(A$1:A5753)+1,"")</f>
        <v/>
      </c>
      <c r="B5754" s="11"/>
      <c r="C5754" s="11" t="str">
        <f>IF(COUNTIF(D$1:D5754,D5754)=1,MAX(C$1:C5753)+1,"")</f>
        <v/>
      </c>
      <c r="D5754" s="12"/>
    </row>
    <row r="5755" spans="1:4" x14ac:dyDescent="0.25">
      <c r="A5755" t="str">
        <f>IF(COUNTIF(B$1:B5755,B5755)=1,MAX(A$1:A5754)+1,"")</f>
        <v/>
      </c>
      <c r="B5755" s="11"/>
      <c r="C5755" s="11" t="str">
        <f>IF(COUNTIF(D$1:D5755,D5755)=1,MAX(C$1:C5754)+1,"")</f>
        <v/>
      </c>
      <c r="D5755" s="12"/>
    </row>
    <row r="5756" spans="1:4" x14ac:dyDescent="0.25">
      <c r="A5756" t="str">
        <f>IF(COUNTIF(B$1:B5756,B5756)=1,MAX(A$1:A5755)+1,"")</f>
        <v/>
      </c>
      <c r="B5756" s="11"/>
      <c r="C5756" s="11" t="str">
        <f>IF(COUNTIF(D$1:D5756,D5756)=1,MAX(C$1:C5755)+1,"")</f>
        <v/>
      </c>
      <c r="D5756" s="12"/>
    </row>
    <row r="5757" spans="1:4" x14ac:dyDescent="0.25">
      <c r="A5757" t="str">
        <f>IF(COUNTIF(B$1:B5757,B5757)=1,MAX(A$1:A5756)+1,"")</f>
        <v/>
      </c>
      <c r="B5757" s="11"/>
      <c r="C5757" s="11" t="str">
        <f>IF(COUNTIF(D$1:D5757,D5757)=1,MAX(C$1:C5756)+1,"")</f>
        <v/>
      </c>
      <c r="D5757" s="12"/>
    </row>
    <row r="5758" spans="1:4" x14ac:dyDescent="0.25">
      <c r="A5758" t="str">
        <f>IF(COUNTIF(B$1:B5758,B5758)=1,MAX(A$1:A5757)+1,"")</f>
        <v/>
      </c>
      <c r="B5758" s="11"/>
      <c r="C5758" s="11" t="str">
        <f>IF(COUNTIF(D$1:D5758,D5758)=1,MAX(C$1:C5757)+1,"")</f>
        <v/>
      </c>
      <c r="D5758" s="12"/>
    </row>
    <row r="5759" spans="1:4" x14ac:dyDescent="0.25">
      <c r="A5759" t="str">
        <f>IF(COUNTIF(B$1:B5759,B5759)=1,MAX(A$1:A5758)+1,"")</f>
        <v/>
      </c>
      <c r="B5759" s="11"/>
      <c r="C5759" s="11" t="str">
        <f>IF(COUNTIF(D$1:D5759,D5759)=1,MAX(C$1:C5758)+1,"")</f>
        <v/>
      </c>
      <c r="D5759" s="12"/>
    </row>
    <row r="5760" spans="1:4" x14ac:dyDescent="0.25">
      <c r="A5760" t="str">
        <f>IF(COUNTIF(B$1:B5760,B5760)=1,MAX(A$1:A5759)+1,"")</f>
        <v/>
      </c>
      <c r="B5760" s="11"/>
      <c r="C5760" s="11" t="str">
        <f>IF(COUNTIF(D$1:D5760,D5760)=1,MAX(C$1:C5759)+1,"")</f>
        <v/>
      </c>
      <c r="D5760" s="12"/>
    </row>
    <row r="5761" spans="1:4" x14ac:dyDescent="0.25">
      <c r="A5761" t="str">
        <f>IF(COUNTIF(B$1:B5761,B5761)=1,MAX(A$1:A5760)+1,"")</f>
        <v/>
      </c>
      <c r="B5761" s="11"/>
      <c r="C5761" s="11" t="str">
        <f>IF(COUNTIF(D$1:D5761,D5761)=1,MAX(C$1:C5760)+1,"")</f>
        <v/>
      </c>
      <c r="D5761" s="12"/>
    </row>
    <row r="5762" spans="1:4" x14ac:dyDescent="0.25">
      <c r="A5762" t="str">
        <f>IF(COUNTIF(B$1:B5762,B5762)=1,MAX(A$1:A5761)+1,"")</f>
        <v/>
      </c>
      <c r="B5762" s="11"/>
      <c r="C5762" s="11" t="str">
        <f>IF(COUNTIF(D$1:D5762,D5762)=1,MAX(C$1:C5761)+1,"")</f>
        <v/>
      </c>
      <c r="D5762" s="12"/>
    </row>
    <row r="5763" spans="1:4" x14ac:dyDescent="0.25">
      <c r="A5763" t="str">
        <f>IF(COUNTIF(B$1:B5763,B5763)=1,MAX(A$1:A5762)+1,"")</f>
        <v/>
      </c>
      <c r="B5763" s="11"/>
      <c r="C5763" s="11" t="str">
        <f>IF(COUNTIF(D$1:D5763,D5763)=1,MAX(C$1:C5762)+1,"")</f>
        <v/>
      </c>
      <c r="D5763" s="12"/>
    </row>
    <row r="5764" spans="1:4" x14ac:dyDescent="0.25">
      <c r="A5764" t="str">
        <f>IF(COUNTIF(B$1:B5764,B5764)=1,MAX(A$1:A5763)+1,"")</f>
        <v/>
      </c>
      <c r="B5764" s="11"/>
      <c r="C5764" s="11" t="str">
        <f>IF(COUNTIF(D$1:D5764,D5764)=1,MAX(C$1:C5763)+1,"")</f>
        <v/>
      </c>
      <c r="D5764" s="12"/>
    </row>
    <row r="5765" spans="1:4" x14ac:dyDescent="0.25">
      <c r="A5765" t="str">
        <f>IF(COUNTIF(B$1:B5765,B5765)=1,MAX(A$1:A5764)+1,"")</f>
        <v/>
      </c>
      <c r="B5765" s="11"/>
      <c r="C5765" s="11" t="str">
        <f>IF(COUNTIF(D$1:D5765,D5765)=1,MAX(C$1:C5764)+1,"")</f>
        <v/>
      </c>
      <c r="D5765" s="12"/>
    </row>
    <row r="5766" spans="1:4" x14ac:dyDescent="0.25">
      <c r="A5766" t="str">
        <f>IF(COUNTIF(B$1:B5766,B5766)=1,MAX(A$1:A5765)+1,"")</f>
        <v/>
      </c>
      <c r="B5766" s="11"/>
      <c r="C5766" s="11" t="str">
        <f>IF(COUNTIF(D$1:D5766,D5766)=1,MAX(C$1:C5765)+1,"")</f>
        <v/>
      </c>
      <c r="D5766" s="12"/>
    </row>
    <row r="5767" spans="1:4" x14ac:dyDescent="0.25">
      <c r="A5767" t="str">
        <f>IF(COUNTIF(B$1:B5767,B5767)=1,MAX(A$1:A5766)+1,"")</f>
        <v/>
      </c>
      <c r="B5767" s="11"/>
      <c r="C5767" s="11" t="str">
        <f>IF(COUNTIF(D$1:D5767,D5767)=1,MAX(C$1:C5766)+1,"")</f>
        <v/>
      </c>
      <c r="D5767" s="12"/>
    </row>
    <row r="5768" spans="1:4" x14ac:dyDescent="0.25">
      <c r="A5768" t="str">
        <f>IF(COUNTIF(B$1:B5768,B5768)=1,MAX(A$1:A5767)+1,"")</f>
        <v/>
      </c>
      <c r="B5768" s="11"/>
      <c r="C5768" s="11" t="str">
        <f>IF(COUNTIF(D$1:D5768,D5768)=1,MAX(C$1:C5767)+1,"")</f>
        <v/>
      </c>
      <c r="D5768" s="12"/>
    </row>
    <row r="5769" spans="1:4" x14ac:dyDescent="0.25">
      <c r="A5769" t="str">
        <f>IF(COUNTIF(B$1:B5769,B5769)=1,MAX(A$1:A5768)+1,"")</f>
        <v/>
      </c>
      <c r="B5769" s="11"/>
      <c r="C5769" s="11" t="str">
        <f>IF(COUNTIF(D$1:D5769,D5769)=1,MAX(C$1:C5768)+1,"")</f>
        <v/>
      </c>
      <c r="D5769" s="12"/>
    </row>
    <row r="5770" spans="1:4" x14ac:dyDescent="0.25">
      <c r="A5770" t="str">
        <f>IF(COUNTIF(B$1:B5770,B5770)=1,MAX(A$1:A5769)+1,"")</f>
        <v/>
      </c>
      <c r="B5770" s="11"/>
      <c r="C5770" s="11" t="str">
        <f>IF(COUNTIF(D$1:D5770,D5770)=1,MAX(C$1:C5769)+1,"")</f>
        <v/>
      </c>
      <c r="D5770" s="12"/>
    </row>
    <row r="5771" spans="1:4" x14ac:dyDescent="0.25">
      <c r="A5771" t="str">
        <f>IF(COUNTIF(B$1:B5771,B5771)=1,MAX(A$1:A5770)+1,"")</f>
        <v/>
      </c>
      <c r="B5771" s="11"/>
      <c r="C5771" s="11" t="str">
        <f>IF(COUNTIF(D$1:D5771,D5771)=1,MAX(C$1:C5770)+1,"")</f>
        <v/>
      </c>
      <c r="D5771" s="12"/>
    </row>
    <row r="5772" spans="1:4" x14ac:dyDescent="0.25">
      <c r="A5772" t="str">
        <f>IF(COUNTIF(B$1:B5772,B5772)=1,MAX(A$1:A5771)+1,"")</f>
        <v/>
      </c>
      <c r="B5772" s="11"/>
      <c r="C5772" s="11" t="str">
        <f>IF(COUNTIF(D$1:D5772,D5772)=1,MAX(C$1:C5771)+1,"")</f>
        <v/>
      </c>
      <c r="D5772" s="12"/>
    </row>
    <row r="5773" spans="1:4" x14ac:dyDescent="0.25">
      <c r="A5773" t="str">
        <f>IF(COUNTIF(B$1:B5773,B5773)=1,MAX(A$1:A5772)+1,"")</f>
        <v/>
      </c>
      <c r="B5773" s="11"/>
      <c r="C5773" s="11" t="str">
        <f>IF(COUNTIF(D$1:D5773,D5773)=1,MAX(C$1:C5772)+1,"")</f>
        <v/>
      </c>
      <c r="D5773" s="12"/>
    </row>
    <row r="5774" spans="1:4" x14ac:dyDescent="0.25">
      <c r="A5774" t="str">
        <f>IF(COUNTIF(B$1:B5774,B5774)=1,MAX(A$1:A5773)+1,"")</f>
        <v/>
      </c>
      <c r="B5774" s="11"/>
      <c r="C5774" s="11" t="str">
        <f>IF(COUNTIF(D$1:D5774,D5774)=1,MAX(C$1:C5773)+1,"")</f>
        <v/>
      </c>
      <c r="D5774" s="12"/>
    </row>
    <row r="5775" spans="1:4" x14ac:dyDescent="0.25">
      <c r="A5775" t="str">
        <f>IF(COUNTIF(B$1:B5775,B5775)=1,MAX(A$1:A5774)+1,"")</f>
        <v/>
      </c>
      <c r="B5775" s="11"/>
      <c r="C5775" s="11" t="str">
        <f>IF(COUNTIF(D$1:D5775,D5775)=1,MAX(C$1:C5774)+1,"")</f>
        <v/>
      </c>
      <c r="D5775" s="12"/>
    </row>
    <row r="5776" spans="1:4" x14ac:dyDescent="0.25">
      <c r="A5776" t="str">
        <f>IF(COUNTIF(B$1:B5776,B5776)=1,MAX(A$1:A5775)+1,"")</f>
        <v/>
      </c>
      <c r="B5776" s="11"/>
      <c r="C5776" s="11" t="str">
        <f>IF(COUNTIF(D$1:D5776,D5776)=1,MAX(C$1:C5775)+1,"")</f>
        <v/>
      </c>
      <c r="D5776" s="12"/>
    </row>
    <row r="5777" spans="1:4" x14ac:dyDescent="0.25">
      <c r="A5777" t="str">
        <f>IF(COUNTIF(B$1:B5777,B5777)=1,MAX(A$1:A5776)+1,"")</f>
        <v/>
      </c>
      <c r="B5777" s="11"/>
      <c r="C5777" s="11" t="str">
        <f>IF(COUNTIF(D$1:D5777,D5777)=1,MAX(C$1:C5776)+1,"")</f>
        <v/>
      </c>
      <c r="D5777" s="12"/>
    </row>
    <row r="5778" spans="1:4" x14ac:dyDescent="0.25">
      <c r="A5778" t="str">
        <f>IF(COUNTIF(B$1:B5778,B5778)=1,MAX(A$1:A5777)+1,"")</f>
        <v/>
      </c>
      <c r="B5778" s="11"/>
      <c r="C5778" s="11" t="str">
        <f>IF(COUNTIF(D$1:D5778,D5778)=1,MAX(C$1:C5777)+1,"")</f>
        <v/>
      </c>
      <c r="D5778" s="12"/>
    </row>
    <row r="5779" spans="1:4" x14ac:dyDescent="0.25">
      <c r="A5779" t="str">
        <f>IF(COUNTIF(B$1:B5779,B5779)=1,MAX(A$1:A5778)+1,"")</f>
        <v/>
      </c>
      <c r="B5779" s="11"/>
      <c r="C5779" s="11" t="str">
        <f>IF(COUNTIF(D$1:D5779,D5779)=1,MAX(C$1:C5778)+1,"")</f>
        <v/>
      </c>
      <c r="D5779" s="12"/>
    </row>
    <row r="5780" spans="1:4" x14ac:dyDescent="0.25">
      <c r="A5780" t="str">
        <f>IF(COUNTIF(B$1:B5780,B5780)=1,MAX(A$1:A5779)+1,"")</f>
        <v/>
      </c>
      <c r="B5780" s="11"/>
      <c r="C5780" s="11" t="str">
        <f>IF(COUNTIF(D$1:D5780,D5780)=1,MAX(C$1:C5779)+1,"")</f>
        <v/>
      </c>
      <c r="D5780" s="12"/>
    </row>
    <row r="5781" spans="1:4" x14ac:dyDescent="0.25">
      <c r="A5781" t="str">
        <f>IF(COUNTIF(B$1:B5781,B5781)=1,MAX(A$1:A5780)+1,"")</f>
        <v/>
      </c>
      <c r="B5781" s="11"/>
      <c r="C5781" s="11" t="str">
        <f>IF(COUNTIF(D$1:D5781,D5781)=1,MAX(C$1:C5780)+1,"")</f>
        <v/>
      </c>
      <c r="D5781" s="12"/>
    </row>
    <row r="5782" spans="1:4" x14ac:dyDescent="0.25">
      <c r="A5782" t="str">
        <f>IF(COUNTIF(B$1:B5782,B5782)=1,MAX(A$1:A5781)+1,"")</f>
        <v/>
      </c>
      <c r="B5782" s="11"/>
      <c r="C5782" s="11" t="str">
        <f>IF(COUNTIF(D$1:D5782,D5782)=1,MAX(C$1:C5781)+1,"")</f>
        <v/>
      </c>
      <c r="D5782" s="12"/>
    </row>
    <row r="5783" spans="1:4" x14ac:dyDescent="0.25">
      <c r="A5783" t="str">
        <f>IF(COUNTIF(B$1:B5783,B5783)=1,MAX(A$1:A5782)+1,"")</f>
        <v/>
      </c>
      <c r="B5783" s="11"/>
      <c r="C5783" s="11" t="str">
        <f>IF(COUNTIF(D$1:D5783,D5783)=1,MAX(C$1:C5782)+1,"")</f>
        <v/>
      </c>
      <c r="D5783" s="12"/>
    </row>
    <row r="5784" spans="1:4" x14ac:dyDescent="0.25">
      <c r="A5784" t="str">
        <f>IF(COUNTIF(B$1:B5784,B5784)=1,MAX(A$1:A5783)+1,"")</f>
        <v/>
      </c>
      <c r="B5784" s="11"/>
      <c r="C5784" s="11" t="str">
        <f>IF(COUNTIF(D$1:D5784,D5784)=1,MAX(C$1:C5783)+1,"")</f>
        <v/>
      </c>
      <c r="D5784" s="12"/>
    </row>
    <row r="5785" spans="1:4" x14ac:dyDescent="0.25">
      <c r="A5785" t="str">
        <f>IF(COUNTIF(B$1:B5785,B5785)=1,MAX(A$1:A5784)+1,"")</f>
        <v/>
      </c>
      <c r="B5785" s="11"/>
      <c r="C5785" s="11" t="str">
        <f>IF(COUNTIF(D$1:D5785,D5785)=1,MAX(C$1:C5784)+1,"")</f>
        <v/>
      </c>
      <c r="D5785" s="12"/>
    </row>
    <row r="5786" spans="1:4" x14ac:dyDescent="0.25">
      <c r="A5786" t="str">
        <f>IF(COUNTIF(B$1:B5786,B5786)=1,MAX(A$1:A5785)+1,"")</f>
        <v/>
      </c>
      <c r="B5786" s="11"/>
      <c r="C5786" s="11" t="str">
        <f>IF(COUNTIF(D$1:D5786,D5786)=1,MAX(C$1:C5785)+1,"")</f>
        <v/>
      </c>
      <c r="D5786" s="12"/>
    </row>
    <row r="5787" spans="1:4" x14ac:dyDescent="0.25">
      <c r="A5787" t="str">
        <f>IF(COUNTIF(B$1:B5787,B5787)=1,MAX(A$1:A5786)+1,"")</f>
        <v/>
      </c>
      <c r="B5787" s="11"/>
      <c r="C5787" s="11" t="str">
        <f>IF(COUNTIF(D$1:D5787,D5787)=1,MAX(C$1:C5786)+1,"")</f>
        <v/>
      </c>
      <c r="D5787" s="12"/>
    </row>
    <row r="5788" spans="1:4" x14ac:dyDescent="0.25">
      <c r="A5788" t="str">
        <f>IF(COUNTIF(B$1:B5788,B5788)=1,MAX(A$1:A5787)+1,"")</f>
        <v/>
      </c>
      <c r="B5788" s="11"/>
      <c r="C5788" s="11" t="str">
        <f>IF(COUNTIF(D$1:D5788,D5788)=1,MAX(C$1:C5787)+1,"")</f>
        <v/>
      </c>
      <c r="D5788" s="12"/>
    </row>
    <row r="5789" spans="1:4" x14ac:dyDescent="0.25">
      <c r="A5789" t="str">
        <f>IF(COUNTIF(B$1:B5789,B5789)=1,MAX(A$1:A5788)+1,"")</f>
        <v/>
      </c>
      <c r="B5789" s="11"/>
      <c r="C5789" s="11" t="str">
        <f>IF(COUNTIF(D$1:D5789,D5789)=1,MAX(C$1:C5788)+1,"")</f>
        <v/>
      </c>
      <c r="D5789" s="12"/>
    </row>
    <row r="5790" spans="1:4" x14ac:dyDescent="0.25">
      <c r="A5790" t="str">
        <f>IF(COUNTIF(B$1:B5790,B5790)=1,MAX(A$1:A5789)+1,"")</f>
        <v/>
      </c>
      <c r="B5790" s="11"/>
      <c r="C5790" s="11" t="str">
        <f>IF(COUNTIF(D$1:D5790,D5790)=1,MAX(C$1:C5789)+1,"")</f>
        <v/>
      </c>
      <c r="D5790" s="12"/>
    </row>
    <row r="5791" spans="1:4" x14ac:dyDescent="0.25">
      <c r="A5791" t="str">
        <f>IF(COUNTIF(B$1:B5791,B5791)=1,MAX(A$1:A5790)+1,"")</f>
        <v/>
      </c>
      <c r="B5791" s="11"/>
      <c r="C5791" s="11" t="str">
        <f>IF(COUNTIF(D$1:D5791,D5791)=1,MAX(C$1:C5790)+1,"")</f>
        <v/>
      </c>
      <c r="D5791" s="12"/>
    </row>
    <row r="5792" spans="1:4" x14ac:dyDescent="0.25">
      <c r="A5792" t="str">
        <f>IF(COUNTIF(B$1:B5792,B5792)=1,MAX(A$1:A5791)+1,"")</f>
        <v/>
      </c>
      <c r="B5792" s="11"/>
      <c r="C5792" s="11" t="str">
        <f>IF(COUNTIF(D$1:D5792,D5792)=1,MAX(C$1:C5791)+1,"")</f>
        <v/>
      </c>
      <c r="D5792" s="12"/>
    </row>
    <row r="5793" spans="1:4" x14ac:dyDescent="0.25">
      <c r="A5793" t="str">
        <f>IF(COUNTIF(B$1:B5793,B5793)=1,MAX(A$1:A5792)+1,"")</f>
        <v/>
      </c>
      <c r="B5793" s="11"/>
      <c r="C5793" s="11" t="str">
        <f>IF(COUNTIF(D$1:D5793,D5793)=1,MAX(C$1:C5792)+1,"")</f>
        <v/>
      </c>
      <c r="D5793" s="12"/>
    </row>
    <row r="5794" spans="1:4" x14ac:dyDescent="0.25">
      <c r="A5794" t="str">
        <f>IF(COUNTIF(B$1:B5794,B5794)=1,MAX(A$1:A5793)+1,"")</f>
        <v/>
      </c>
      <c r="B5794" s="11"/>
      <c r="C5794" s="11" t="str">
        <f>IF(COUNTIF(D$1:D5794,D5794)=1,MAX(C$1:C5793)+1,"")</f>
        <v/>
      </c>
      <c r="D5794" s="12"/>
    </row>
    <row r="5795" spans="1:4" x14ac:dyDescent="0.25">
      <c r="A5795" t="str">
        <f>IF(COUNTIF(B$1:B5795,B5795)=1,MAX(A$1:A5794)+1,"")</f>
        <v/>
      </c>
      <c r="B5795" s="11"/>
      <c r="C5795" s="11" t="str">
        <f>IF(COUNTIF(D$1:D5795,D5795)=1,MAX(C$1:C5794)+1,"")</f>
        <v/>
      </c>
      <c r="D5795" s="12"/>
    </row>
    <row r="5796" spans="1:4" x14ac:dyDescent="0.25">
      <c r="A5796" t="str">
        <f>IF(COUNTIF(B$1:B5796,B5796)=1,MAX(A$1:A5795)+1,"")</f>
        <v/>
      </c>
      <c r="B5796" s="11"/>
      <c r="C5796" s="11" t="str">
        <f>IF(COUNTIF(D$1:D5796,D5796)=1,MAX(C$1:C5795)+1,"")</f>
        <v/>
      </c>
      <c r="D5796" s="12"/>
    </row>
    <row r="5797" spans="1:4" x14ac:dyDescent="0.25">
      <c r="A5797" t="str">
        <f>IF(COUNTIF(B$1:B5797,B5797)=1,MAX(A$1:A5796)+1,"")</f>
        <v/>
      </c>
      <c r="B5797" s="11"/>
      <c r="C5797" s="11" t="str">
        <f>IF(COUNTIF(D$1:D5797,D5797)=1,MAX(C$1:C5796)+1,"")</f>
        <v/>
      </c>
      <c r="D5797" s="12"/>
    </row>
    <row r="5798" spans="1:4" x14ac:dyDescent="0.25">
      <c r="A5798" t="str">
        <f>IF(COUNTIF(B$1:B5798,B5798)=1,MAX(A$1:A5797)+1,"")</f>
        <v/>
      </c>
      <c r="B5798" s="11"/>
      <c r="C5798" s="11" t="str">
        <f>IF(COUNTIF(D$1:D5798,D5798)=1,MAX(C$1:C5797)+1,"")</f>
        <v/>
      </c>
      <c r="D5798" s="12"/>
    </row>
    <row r="5799" spans="1:4" x14ac:dyDescent="0.25">
      <c r="A5799" t="str">
        <f>IF(COUNTIF(B$1:B5799,B5799)=1,MAX(A$1:A5798)+1,"")</f>
        <v/>
      </c>
      <c r="B5799" s="11"/>
      <c r="C5799" s="11" t="str">
        <f>IF(COUNTIF(D$1:D5799,D5799)=1,MAX(C$1:C5798)+1,"")</f>
        <v/>
      </c>
      <c r="D5799" s="12"/>
    </row>
    <row r="5800" spans="1:4" x14ac:dyDescent="0.25">
      <c r="A5800" t="str">
        <f>IF(COUNTIF(B$1:B5800,B5800)=1,MAX(A$1:A5799)+1,"")</f>
        <v/>
      </c>
      <c r="B5800" s="11"/>
      <c r="C5800" s="11" t="str">
        <f>IF(COUNTIF(D$1:D5800,D5800)=1,MAX(C$1:C5799)+1,"")</f>
        <v/>
      </c>
      <c r="D5800" s="12"/>
    </row>
    <row r="5801" spans="1:4" x14ac:dyDescent="0.25">
      <c r="A5801" t="str">
        <f>IF(COUNTIF(B$1:B5801,B5801)=1,MAX(A$1:A5800)+1,"")</f>
        <v/>
      </c>
      <c r="B5801" s="11"/>
      <c r="C5801" s="11" t="str">
        <f>IF(COUNTIF(D$1:D5801,D5801)=1,MAX(C$1:C5800)+1,"")</f>
        <v/>
      </c>
      <c r="D5801" s="12"/>
    </row>
    <row r="5802" spans="1:4" x14ac:dyDescent="0.25">
      <c r="A5802" t="str">
        <f>IF(COUNTIF(B$1:B5802,B5802)=1,MAX(A$1:A5801)+1,"")</f>
        <v/>
      </c>
      <c r="B5802" s="11"/>
      <c r="C5802" s="11" t="str">
        <f>IF(COUNTIF(D$1:D5802,D5802)=1,MAX(C$1:C5801)+1,"")</f>
        <v/>
      </c>
      <c r="D5802" s="12"/>
    </row>
    <row r="5803" spans="1:4" x14ac:dyDescent="0.25">
      <c r="A5803" t="str">
        <f>IF(COUNTIF(B$1:B5803,B5803)=1,MAX(A$1:A5802)+1,"")</f>
        <v/>
      </c>
      <c r="B5803" s="11"/>
      <c r="C5803" s="11" t="str">
        <f>IF(COUNTIF(D$1:D5803,D5803)=1,MAX(C$1:C5802)+1,"")</f>
        <v/>
      </c>
      <c r="D5803" s="12"/>
    </row>
    <row r="5804" spans="1:4" x14ac:dyDescent="0.25">
      <c r="A5804" t="str">
        <f>IF(COUNTIF(B$1:B5804,B5804)=1,MAX(A$1:A5803)+1,"")</f>
        <v/>
      </c>
      <c r="B5804" s="11"/>
      <c r="C5804" s="11" t="str">
        <f>IF(COUNTIF(D$1:D5804,D5804)=1,MAX(C$1:C5803)+1,"")</f>
        <v/>
      </c>
      <c r="D5804" s="12"/>
    </row>
    <row r="5805" spans="1:4" x14ac:dyDescent="0.25">
      <c r="A5805" t="str">
        <f>IF(COUNTIF(B$1:B5805,B5805)=1,MAX(A$1:A5804)+1,"")</f>
        <v/>
      </c>
      <c r="B5805" s="11"/>
      <c r="C5805" s="11" t="str">
        <f>IF(COUNTIF(D$1:D5805,D5805)=1,MAX(C$1:C5804)+1,"")</f>
        <v/>
      </c>
      <c r="D5805" s="12"/>
    </row>
    <row r="5806" spans="1:4" x14ac:dyDescent="0.25">
      <c r="A5806" t="str">
        <f>IF(COUNTIF(B$1:B5806,B5806)=1,MAX(A$1:A5805)+1,"")</f>
        <v/>
      </c>
      <c r="B5806" s="11"/>
      <c r="C5806" s="11" t="str">
        <f>IF(COUNTIF(D$1:D5806,D5806)=1,MAX(C$1:C5805)+1,"")</f>
        <v/>
      </c>
      <c r="D5806" s="12"/>
    </row>
    <row r="5807" spans="1:4" x14ac:dyDescent="0.25">
      <c r="A5807" t="str">
        <f>IF(COUNTIF(B$1:B5807,B5807)=1,MAX(A$1:A5806)+1,"")</f>
        <v/>
      </c>
      <c r="B5807" s="11"/>
      <c r="C5807" s="11" t="str">
        <f>IF(COUNTIF(D$1:D5807,D5807)=1,MAX(C$1:C5806)+1,"")</f>
        <v/>
      </c>
      <c r="D5807" s="12"/>
    </row>
    <row r="5808" spans="1:4" x14ac:dyDescent="0.25">
      <c r="A5808" t="str">
        <f>IF(COUNTIF(B$1:B5808,B5808)=1,MAX(A$1:A5807)+1,"")</f>
        <v/>
      </c>
      <c r="B5808" s="11"/>
      <c r="C5808" s="11" t="str">
        <f>IF(COUNTIF(D$1:D5808,D5808)=1,MAX(C$1:C5807)+1,"")</f>
        <v/>
      </c>
      <c r="D5808" s="12"/>
    </row>
    <row r="5809" spans="1:4" x14ac:dyDescent="0.25">
      <c r="A5809" t="str">
        <f>IF(COUNTIF(B$1:B5809,B5809)=1,MAX(A$1:A5808)+1,"")</f>
        <v/>
      </c>
      <c r="B5809" s="11"/>
      <c r="C5809" s="11" t="str">
        <f>IF(COUNTIF(D$1:D5809,D5809)=1,MAX(C$1:C5808)+1,"")</f>
        <v/>
      </c>
      <c r="D5809" s="12"/>
    </row>
    <row r="5810" spans="1:4" x14ac:dyDescent="0.25">
      <c r="A5810" t="str">
        <f>IF(COUNTIF(B$1:B5810,B5810)=1,MAX(A$1:A5809)+1,"")</f>
        <v/>
      </c>
      <c r="B5810" s="11"/>
      <c r="C5810" s="11" t="str">
        <f>IF(COUNTIF(D$1:D5810,D5810)=1,MAX(C$1:C5809)+1,"")</f>
        <v/>
      </c>
      <c r="D5810" s="12"/>
    </row>
    <row r="5811" spans="1:4" x14ac:dyDescent="0.25">
      <c r="A5811" t="str">
        <f>IF(COUNTIF(B$1:B5811,B5811)=1,MAX(A$1:A5810)+1,"")</f>
        <v/>
      </c>
      <c r="B5811" s="11"/>
      <c r="C5811" s="11" t="str">
        <f>IF(COUNTIF(D$1:D5811,D5811)=1,MAX(C$1:C5810)+1,"")</f>
        <v/>
      </c>
      <c r="D5811" s="12"/>
    </row>
    <row r="5812" spans="1:4" x14ac:dyDescent="0.25">
      <c r="A5812" t="str">
        <f>IF(COUNTIF(B$1:B5812,B5812)=1,MAX(A$1:A5811)+1,"")</f>
        <v/>
      </c>
      <c r="B5812" s="11"/>
      <c r="C5812" s="11" t="str">
        <f>IF(COUNTIF(D$1:D5812,D5812)=1,MAX(C$1:C5811)+1,"")</f>
        <v/>
      </c>
      <c r="D5812" s="12"/>
    </row>
    <row r="5813" spans="1:4" x14ac:dyDescent="0.25">
      <c r="A5813" t="str">
        <f>IF(COUNTIF(B$1:B5813,B5813)=1,MAX(A$1:A5812)+1,"")</f>
        <v/>
      </c>
      <c r="B5813" s="11"/>
      <c r="C5813" s="11" t="str">
        <f>IF(COUNTIF(D$1:D5813,D5813)=1,MAX(C$1:C5812)+1,"")</f>
        <v/>
      </c>
      <c r="D5813" s="12"/>
    </row>
    <row r="5814" spans="1:4" x14ac:dyDescent="0.25">
      <c r="A5814" t="str">
        <f>IF(COUNTIF(B$1:B5814,B5814)=1,MAX(A$1:A5813)+1,"")</f>
        <v/>
      </c>
      <c r="B5814" s="11"/>
      <c r="C5814" s="11" t="str">
        <f>IF(COUNTIF(D$1:D5814,D5814)=1,MAX(C$1:C5813)+1,"")</f>
        <v/>
      </c>
      <c r="D5814" s="12"/>
    </row>
    <row r="5815" spans="1:4" x14ac:dyDescent="0.25">
      <c r="A5815" t="str">
        <f>IF(COUNTIF(B$1:B5815,B5815)=1,MAX(A$1:A5814)+1,"")</f>
        <v/>
      </c>
      <c r="B5815" s="11"/>
      <c r="C5815" s="11" t="str">
        <f>IF(COUNTIF(D$1:D5815,D5815)=1,MAX(C$1:C5814)+1,"")</f>
        <v/>
      </c>
      <c r="D5815" s="12"/>
    </row>
    <row r="5816" spans="1:4" x14ac:dyDescent="0.25">
      <c r="A5816" t="str">
        <f>IF(COUNTIF(B$1:B5816,B5816)=1,MAX(A$1:A5815)+1,"")</f>
        <v/>
      </c>
      <c r="B5816" s="11"/>
      <c r="C5816" s="11" t="str">
        <f>IF(COUNTIF(D$1:D5816,D5816)=1,MAX(C$1:C5815)+1,"")</f>
        <v/>
      </c>
      <c r="D5816" s="12"/>
    </row>
    <row r="5817" spans="1:4" x14ac:dyDescent="0.25">
      <c r="A5817" t="str">
        <f>IF(COUNTIF(B$1:B5817,B5817)=1,MAX(A$1:A5816)+1,"")</f>
        <v/>
      </c>
      <c r="B5817" s="11"/>
      <c r="C5817" s="11" t="str">
        <f>IF(COUNTIF(D$1:D5817,D5817)=1,MAX(C$1:C5816)+1,"")</f>
        <v/>
      </c>
      <c r="D5817" s="12"/>
    </row>
    <row r="5818" spans="1:4" x14ac:dyDescent="0.25">
      <c r="A5818" t="str">
        <f>IF(COUNTIF(B$1:B5818,B5818)=1,MAX(A$1:A5817)+1,"")</f>
        <v/>
      </c>
      <c r="B5818" s="11"/>
      <c r="C5818" s="11" t="str">
        <f>IF(COUNTIF(D$1:D5818,D5818)=1,MAX(C$1:C5817)+1,"")</f>
        <v/>
      </c>
      <c r="D5818" s="12"/>
    </row>
    <row r="5819" spans="1:4" x14ac:dyDescent="0.25">
      <c r="A5819" t="str">
        <f>IF(COUNTIF(B$1:B5819,B5819)=1,MAX(A$1:A5818)+1,"")</f>
        <v/>
      </c>
      <c r="B5819" s="11"/>
      <c r="C5819" s="11" t="str">
        <f>IF(COUNTIF(D$1:D5819,D5819)=1,MAX(C$1:C5818)+1,"")</f>
        <v/>
      </c>
      <c r="D5819" s="12"/>
    </row>
    <row r="5820" spans="1:4" x14ac:dyDescent="0.25">
      <c r="A5820" t="str">
        <f>IF(COUNTIF(B$1:B5820,B5820)=1,MAX(A$1:A5819)+1,"")</f>
        <v/>
      </c>
      <c r="B5820" s="11"/>
      <c r="C5820" s="11" t="str">
        <f>IF(COUNTIF(D$1:D5820,D5820)=1,MAX(C$1:C5819)+1,"")</f>
        <v/>
      </c>
      <c r="D5820" s="12"/>
    </row>
    <row r="5821" spans="1:4" x14ac:dyDescent="0.25">
      <c r="A5821" t="str">
        <f>IF(COUNTIF(B$1:B5821,B5821)=1,MAX(A$1:A5820)+1,"")</f>
        <v/>
      </c>
      <c r="B5821" s="11"/>
      <c r="C5821" s="11" t="str">
        <f>IF(COUNTIF(D$1:D5821,D5821)=1,MAX(C$1:C5820)+1,"")</f>
        <v/>
      </c>
      <c r="D5821" s="12"/>
    </row>
    <row r="5822" spans="1:4" x14ac:dyDescent="0.25">
      <c r="A5822" t="str">
        <f>IF(COUNTIF(B$1:B5822,B5822)=1,MAX(A$1:A5821)+1,"")</f>
        <v/>
      </c>
      <c r="B5822" s="11"/>
      <c r="C5822" s="11" t="str">
        <f>IF(COUNTIF(D$1:D5822,D5822)=1,MAX(C$1:C5821)+1,"")</f>
        <v/>
      </c>
      <c r="D5822" s="12"/>
    </row>
    <row r="5823" spans="1:4" x14ac:dyDescent="0.25">
      <c r="A5823" t="str">
        <f>IF(COUNTIF(B$1:B5823,B5823)=1,MAX(A$1:A5822)+1,"")</f>
        <v/>
      </c>
      <c r="B5823" s="11"/>
      <c r="C5823" s="11" t="str">
        <f>IF(COUNTIF(D$1:D5823,D5823)=1,MAX(C$1:C5822)+1,"")</f>
        <v/>
      </c>
      <c r="D5823" s="12"/>
    </row>
    <row r="5824" spans="1:4" x14ac:dyDescent="0.25">
      <c r="A5824" t="str">
        <f>IF(COUNTIF(B$1:B5824,B5824)=1,MAX(A$1:A5823)+1,"")</f>
        <v/>
      </c>
      <c r="B5824" s="11"/>
      <c r="C5824" s="11" t="str">
        <f>IF(COUNTIF(D$1:D5824,D5824)=1,MAX(C$1:C5823)+1,"")</f>
        <v/>
      </c>
      <c r="D5824" s="12"/>
    </row>
    <row r="5825" spans="1:4" x14ac:dyDescent="0.25">
      <c r="A5825" t="str">
        <f>IF(COUNTIF(B$1:B5825,B5825)=1,MAX(A$1:A5824)+1,"")</f>
        <v/>
      </c>
      <c r="B5825" s="11"/>
      <c r="C5825" s="11" t="str">
        <f>IF(COUNTIF(D$1:D5825,D5825)=1,MAX(C$1:C5824)+1,"")</f>
        <v/>
      </c>
      <c r="D5825" s="12"/>
    </row>
    <row r="5826" spans="1:4" x14ac:dyDescent="0.25">
      <c r="A5826" t="str">
        <f>IF(COUNTIF(B$1:B5826,B5826)=1,MAX(A$1:A5825)+1,"")</f>
        <v/>
      </c>
      <c r="B5826" s="11"/>
      <c r="C5826" s="11" t="str">
        <f>IF(COUNTIF(D$1:D5826,D5826)=1,MAX(C$1:C5825)+1,"")</f>
        <v/>
      </c>
      <c r="D5826" s="12"/>
    </row>
    <row r="5827" spans="1:4" x14ac:dyDescent="0.25">
      <c r="A5827" t="str">
        <f>IF(COUNTIF(B$1:B5827,B5827)=1,MAX(A$1:A5826)+1,"")</f>
        <v/>
      </c>
      <c r="B5827" s="11"/>
      <c r="C5827" s="11" t="str">
        <f>IF(COUNTIF(D$1:D5827,D5827)=1,MAX(C$1:C5826)+1,"")</f>
        <v/>
      </c>
      <c r="D5827" s="12"/>
    </row>
    <row r="5828" spans="1:4" x14ac:dyDescent="0.25">
      <c r="A5828" t="str">
        <f>IF(COUNTIF(B$1:B5828,B5828)=1,MAX(A$1:A5827)+1,"")</f>
        <v/>
      </c>
      <c r="B5828" s="11"/>
      <c r="C5828" s="11" t="str">
        <f>IF(COUNTIF(D$1:D5828,D5828)=1,MAX(C$1:C5827)+1,"")</f>
        <v/>
      </c>
      <c r="D5828" s="12"/>
    </row>
    <row r="5829" spans="1:4" x14ac:dyDescent="0.25">
      <c r="A5829" t="str">
        <f>IF(COUNTIF(B$1:B5829,B5829)=1,MAX(A$1:A5828)+1,"")</f>
        <v/>
      </c>
      <c r="B5829" s="11"/>
      <c r="C5829" s="11" t="str">
        <f>IF(COUNTIF(D$1:D5829,D5829)=1,MAX(C$1:C5828)+1,"")</f>
        <v/>
      </c>
      <c r="D5829" s="12"/>
    </row>
    <row r="5830" spans="1:4" x14ac:dyDescent="0.25">
      <c r="A5830" t="str">
        <f>IF(COUNTIF(B$1:B5830,B5830)=1,MAX(A$1:A5829)+1,"")</f>
        <v/>
      </c>
      <c r="B5830" s="11"/>
      <c r="C5830" s="11" t="str">
        <f>IF(COUNTIF(D$1:D5830,D5830)=1,MAX(C$1:C5829)+1,"")</f>
        <v/>
      </c>
      <c r="D5830" s="12"/>
    </row>
    <row r="5831" spans="1:4" x14ac:dyDescent="0.25">
      <c r="A5831" t="str">
        <f>IF(COUNTIF(B$1:B5831,B5831)=1,MAX(A$1:A5830)+1,"")</f>
        <v/>
      </c>
      <c r="B5831" s="11"/>
      <c r="C5831" s="11" t="str">
        <f>IF(COUNTIF(D$1:D5831,D5831)=1,MAX(C$1:C5830)+1,"")</f>
        <v/>
      </c>
      <c r="D5831" s="12"/>
    </row>
    <row r="5832" spans="1:4" x14ac:dyDescent="0.25">
      <c r="A5832" t="str">
        <f>IF(COUNTIF(B$1:B5832,B5832)=1,MAX(A$1:A5831)+1,"")</f>
        <v/>
      </c>
      <c r="B5832" s="11"/>
      <c r="C5832" s="11" t="str">
        <f>IF(COUNTIF(D$1:D5832,D5832)=1,MAX(C$1:C5831)+1,"")</f>
        <v/>
      </c>
      <c r="D5832" s="12"/>
    </row>
    <row r="5833" spans="1:4" x14ac:dyDescent="0.25">
      <c r="A5833" t="str">
        <f>IF(COUNTIF(B$1:B5833,B5833)=1,MAX(A$1:A5832)+1,"")</f>
        <v/>
      </c>
      <c r="B5833" s="11"/>
      <c r="C5833" s="11" t="str">
        <f>IF(COUNTIF(D$1:D5833,D5833)=1,MAX(C$1:C5832)+1,"")</f>
        <v/>
      </c>
      <c r="D5833" s="12"/>
    </row>
    <row r="5834" spans="1:4" x14ac:dyDescent="0.25">
      <c r="A5834" t="str">
        <f>IF(COUNTIF(B$1:B5834,B5834)=1,MAX(A$1:A5833)+1,"")</f>
        <v/>
      </c>
      <c r="B5834" s="11"/>
      <c r="C5834" s="11" t="str">
        <f>IF(COUNTIF(D$1:D5834,D5834)=1,MAX(C$1:C5833)+1,"")</f>
        <v/>
      </c>
      <c r="D5834" s="12"/>
    </row>
    <row r="5835" spans="1:4" x14ac:dyDescent="0.25">
      <c r="A5835" t="str">
        <f>IF(COUNTIF(B$1:B5835,B5835)=1,MAX(A$1:A5834)+1,"")</f>
        <v/>
      </c>
      <c r="B5835" s="11"/>
      <c r="C5835" s="11" t="str">
        <f>IF(COUNTIF(D$1:D5835,D5835)=1,MAX(C$1:C5834)+1,"")</f>
        <v/>
      </c>
      <c r="D5835" s="12"/>
    </row>
    <row r="5836" spans="1:4" x14ac:dyDescent="0.25">
      <c r="A5836" t="str">
        <f>IF(COUNTIF(B$1:B5836,B5836)=1,MAX(A$1:A5835)+1,"")</f>
        <v/>
      </c>
      <c r="B5836" s="11"/>
      <c r="C5836" s="11" t="str">
        <f>IF(COUNTIF(D$1:D5836,D5836)=1,MAX(C$1:C5835)+1,"")</f>
        <v/>
      </c>
      <c r="D5836" s="12"/>
    </row>
    <row r="5837" spans="1:4" x14ac:dyDescent="0.25">
      <c r="A5837" t="str">
        <f>IF(COUNTIF(B$1:B5837,B5837)=1,MAX(A$1:A5836)+1,"")</f>
        <v/>
      </c>
      <c r="B5837" s="11"/>
      <c r="C5837" s="11" t="str">
        <f>IF(COUNTIF(D$1:D5837,D5837)=1,MAX(C$1:C5836)+1,"")</f>
        <v/>
      </c>
      <c r="D5837" s="12"/>
    </row>
    <row r="5838" spans="1:4" x14ac:dyDescent="0.25">
      <c r="A5838" t="str">
        <f>IF(COUNTIF(B$1:B5838,B5838)=1,MAX(A$1:A5837)+1,"")</f>
        <v/>
      </c>
      <c r="B5838" s="11"/>
      <c r="C5838" s="11" t="str">
        <f>IF(COUNTIF(D$1:D5838,D5838)=1,MAX(C$1:C5837)+1,"")</f>
        <v/>
      </c>
      <c r="D5838" s="12"/>
    </row>
    <row r="5839" spans="1:4" x14ac:dyDescent="0.25">
      <c r="A5839" t="str">
        <f>IF(COUNTIF(B$1:B5839,B5839)=1,MAX(A$1:A5838)+1,"")</f>
        <v/>
      </c>
      <c r="B5839" s="11"/>
      <c r="C5839" s="11" t="str">
        <f>IF(COUNTIF(D$1:D5839,D5839)=1,MAX(C$1:C5838)+1,"")</f>
        <v/>
      </c>
      <c r="D5839" s="12"/>
    </row>
    <row r="5840" spans="1:4" x14ac:dyDescent="0.25">
      <c r="A5840" t="str">
        <f>IF(COUNTIF(B$1:B5840,B5840)=1,MAX(A$1:A5839)+1,"")</f>
        <v/>
      </c>
      <c r="B5840" s="11"/>
      <c r="C5840" s="11" t="str">
        <f>IF(COUNTIF(D$1:D5840,D5840)=1,MAX(C$1:C5839)+1,"")</f>
        <v/>
      </c>
      <c r="D5840" s="12"/>
    </row>
    <row r="5841" spans="1:4" x14ac:dyDescent="0.25">
      <c r="A5841" t="str">
        <f>IF(COUNTIF(B$1:B5841,B5841)=1,MAX(A$1:A5840)+1,"")</f>
        <v/>
      </c>
      <c r="B5841" s="11"/>
      <c r="C5841" s="11" t="str">
        <f>IF(COUNTIF(D$1:D5841,D5841)=1,MAX(C$1:C5840)+1,"")</f>
        <v/>
      </c>
      <c r="D5841" s="12"/>
    </row>
    <row r="5842" spans="1:4" x14ac:dyDescent="0.25">
      <c r="A5842" t="str">
        <f>IF(COUNTIF(B$1:B5842,B5842)=1,MAX(A$1:A5841)+1,"")</f>
        <v/>
      </c>
      <c r="B5842" s="11"/>
      <c r="C5842" s="11" t="str">
        <f>IF(COUNTIF(D$1:D5842,D5842)=1,MAX(C$1:C5841)+1,"")</f>
        <v/>
      </c>
      <c r="D5842" s="12"/>
    </row>
    <row r="5843" spans="1:4" x14ac:dyDescent="0.25">
      <c r="A5843" t="str">
        <f>IF(COUNTIF(B$1:B5843,B5843)=1,MAX(A$1:A5842)+1,"")</f>
        <v/>
      </c>
      <c r="B5843" s="11"/>
      <c r="C5843" s="11" t="str">
        <f>IF(COUNTIF(D$1:D5843,D5843)=1,MAX(C$1:C5842)+1,"")</f>
        <v/>
      </c>
      <c r="D5843" s="12"/>
    </row>
    <row r="5844" spans="1:4" x14ac:dyDescent="0.25">
      <c r="A5844" t="str">
        <f>IF(COUNTIF(B$1:B5844,B5844)=1,MAX(A$1:A5843)+1,"")</f>
        <v/>
      </c>
      <c r="B5844" s="11"/>
      <c r="C5844" s="11" t="str">
        <f>IF(COUNTIF(D$1:D5844,D5844)=1,MAX(C$1:C5843)+1,"")</f>
        <v/>
      </c>
      <c r="D5844" s="12"/>
    </row>
    <row r="5845" spans="1:4" x14ac:dyDescent="0.25">
      <c r="A5845" t="str">
        <f>IF(COUNTIF(B$1:B5845,B5845)=1,MAX(A$1:A5844)+1,"")</f>
        <v/>
      </c>
      <c r="B5845" s="11"/>
      <c r="C5845" s="11" t="str">
        <f>IF(COUNTIF(D$1:D5845,D5845)=1,MAX(C$1:C5844)+1,"")</f>
        <v/>
      </c>
      <c r="D5845" s="12"/>
    </row>
    <row r="5846" spans="1:4" x14ac:dyDescent="0.25">
      <c r="A5846" t="str">
        <f>IF(COUNTIF(B$1:B5846,B5846)=1,MAX(A$1:A5845)+1,"")</f>
        <v/>
      </c>
      <c r="B5846" s="11"/>
      <c r="C5846" s="11" t="str">
        <f>IF(COUNTIF(D$1:D5846,D5846)=1,MAX(C$1:C5845)+1,"")</f>
        <v/>
      </c>
      <c r="D5846" s="12"/>
    </row>
    <row r="5847" spans="1:4" x14ac:dyDescent="0.25">
      <c r="A5847" t="str">
        <f>IF(COUNTIF(B$1:B5847,B5847)=1,MAX(A$1:A5846)+1,"")</f>
        <v/>
      </c>
      <c r="B5847" s="11"/>
      <c r="C5847" s="11" t="str">
        <f>IF(COUNTIF(D$1:D5847,D5847)=1,MAX(C$1:C5846)+1,"")</f>
        <v/>
      </c>
      <c r="D5847" s="12"/>
    </row>
    <row r="5848" spans="1:4" x14ac:dyDescent="0.25">
      <c r="A5848" t="str">
        <f>IF(COUNTIF(B$1:B5848,B5848)=1,MAX(A$1:A5847)+1,"")</f>
        <v/>
      </c>
      <c r="B5848" s="11"/>
      <c r="C5848" s="11" t="str">
        <f>IF(COUNTIF(D$1:D5848,D5848)=1,MAX(C$1:C5847)+1,"")</f>
        <v/>
      </c>
      <c r="D5848" s="12"/>
    </row>
    <row r="5849" spans="1:4" x14ac:dyDescent="0.25">
      <c r="A5849" t="str">
        <f>IF(COUNTIF(B$1:B5849,B5849)=1,MAX(A$1:A5848)+1,"")</f>
        <v/>
      </c>
      <c r="B5849" s="11"/>
      <c r="C5849" s="11" t="str">
        <f>IF(COUNTIF(D$1:D5849,D5849)=1,MAX(C$1:C5848)+1,"")</f>
        <v/>
      </c>
      <c r="D5849" s="12"/>
    </row>
    <row r="5850" spans="1:4" x14ac:dyDescent="0.25">
      <c r="A5850" t="str">
        <f>IF(COUNTIF(B$1:B5850,B5850)=1,MAX(A$1:A5849)+1,"")</f>
        <v/>
      </c>
      <c r="B5850" s="11"/>
      <c r="C5850" s="11" t="str">
        <f>IF(COUNTIF(D$1:D5850,D5850)=1,MAX(C$1:C5849)+1,"")</f>
        <v/>
      </c>
      <c r="D5850" s="12"/>
    </row>
    <row r="5851" spans="1:4" x14ac:dyDescent="0.25">
      <c r="A5851" t="str">
        <f>IF(COUNTIF(B$1:B5851,B5851)=1,MAX(A$1:A5850)+1,"")</f>
        <v/>
      </c>
      <c r="B5851" s="11"/>
      <c r="C5851" s="11" t="str">
        <f>IF(COUNTIF(D$1:D5851,D5851)=1,MAX(C$1:C5850)+1,"")</f>
        <v/>
      </c>
      <c r="D5851" s="12"/>
    </row>
    <row r="5852" spans="1:4" x14ac:dyDescent="0.25">
      <c r="A5852" t="str">
        <f>IF(COUNTIF(B$1:B5852,B5852)=1,MAX(A$1:A5851)+1,"")</f>
        <v/>
      </c>
      <c r="B5852" s="11"/>
      <c r="C5852" s="11" t="str">
        <f>IF(COUNTIF(D$1:D5852,D5852)=1,MAX(C$1:C5851)+1,"")</f>
        <v/>
      </c>
      <c r="D5852" s="12"/>
    </row>
    <row r="5853" spans="1:4" x14ac:dyDescent="0.25">
      <c r="A5853" t="str">
        <f>IF(COUNTIF(B$1:B5853,B5853)=1,MAX(A$1:A5852)+1,"")</f>
        <v/>
      </c>
      <c r="B5853" s="11"/>
      <c r="C5853" s="11" t="str">
        <f>IF(COUNTIF(D$1:D5853,D5853)=1,MAX(C$1:C5852)+1,"")</f>
        <v/>
      </c>
      <c r="D5853" s="12"/>
    </row>
    <row r="5854" spans="1:4" x14ac:dyDescent="0.25">
      <c r="A5854" t="str">
        <f>IF(COUNTIF(B$1:B5854,B5854)=1,MAX(A$1:A5853)+1,"")</f>
        <v/>
      </c>
      <c r="B5854" s="11"/>
      <c r="C5854" s="11" t="str">
        <f>IF(COUNTIF(D$1:D5854,D5854)=1,MAX(C$1:C5853)+1,"")</f>
        <v/>
      </c>
      <c r="D5854" s="12"/>
    </row>
    <row r="5855" spans="1:4" x14ac:dyDescent="0.25">
      <c r="A5855" t="str">
        <f>IF(COUNTIF(B$1:B5855,B5855)=1,MAX(A$1:A5854)+1,"")</f>
        <v/>
      </c>
      <c r="B5855" s="11"/>
      <c r="C5855" s="11" t="str">
        <f>IF(COUNTIF(D$1:D5855,D5855)=1,MAX(C$1:C5854)+1,"")</f>
        <v/>
      </c>
      <c r="D5855" s="12"/>
    </row>
    <row r="5856" spans="1:4" x14ac:dyDescent="0.25">
      <c r="A5856" t="str">
        <f>IF(COUNTIF(B$1:B5856,B5856)=1,MAX(A$1:A5855)+1,"")</f>
        <v/>
      </c>
      <c r="B5856" s="11"/>
      <c r="C5856" s="11" t="str">
        <f>IF(COUNTIF(D$1:D5856,D5856)=1,MAX(C$1:C5855)+1,"")</f>
        <v/>
      </c>
      <c r="D5856" s="12"/>
    </row>
    <row r="5857" spans="1:4" x14ac:dyDescent="0.25">
      <c r="A5857" t="str">
        <f>IF(COUNTIF(B$1:B5857,B5857)=1,MAX(A$1:A5856)+1,"")</f>
        <v/>
      </c>
      <c r="B5857" s="11"/>
      <c r="C5857" s="11" t="str">
        <f>IF(COUNTIF(D$1:D5857,D5857)=1,MAX(C$1:C5856)+1,"")</f>
        <v/>
      </c>
      <c r="D5857" s="12"/>
    </row>
    <row r="5858" spans="1:4" x14ac:dyDescent="0.25">
      <c r="A5858" t="str">
        <f>IF(COUNTIF(B$1:B5858,B5858)=1,MAX(A$1:A5857)+1,"")</f>
        <v/>
      </c>
      <c r="B5858" s="11"/>
      <c r="C5858" s="11" t="str">
        <f>IF(COUNTIF(D$1:D5858,D5858)=1,MAX(C$1:C5857)+1,"")</f>
        <v/>
      </c>
      <c r="D5858" s="12"/>
    </row>
    <row r="5859" spans="1:4" x14ac:dyDescent="0.25">
      <c r="A5859" t="str">
        <f>IF(COUNTIF(B$1:B5859,B5859)=1,MAX(A$1:A5858)+1,"")</f>
        <v/>
      </c>
      <c r="B5859" s="11"/>
      <c r="C5859" s="11" t="str">
        <f>IF(COUNTIF(D$1:D5859,D5859)=1,MAX(C$1:C5858)+1,"")</f>
        <v/>
      </c>
      <c r="D5859" s="12"/>
    </row>
    <row r="5860" spans="1:4" x14ac:dyDescent="0.25">
      <c r="A5860" t="str">
        <f>IF(COUNTIF(B$1:B5860,B5860)=1,MAX(A$1:A5859)+1,"")</f>
        <v/>
      </c>
      <c r="B5860" s="11"/>
      <c r="C5860" s="11" t="str">
        <f>IF(COUNTIF(D$1:D5860,D5860)=1,MAX(C$1:C5859)+1,"")</f>
        <v/>
      </c>
      <c r="D5860" s="12"/>
    </row>
    <row r="5861" spans="1:4" x14ac:dyDescent="0.25">
      <c r="A5861" t="str">
        <f>IF(COUNTIF(B$1:B5861,B5861)=1,MAX(A$1:A5860)+1,"")</f>
        <v/>
      </c>
      <c r="B5861" s="11"/>
      <c r="C5861" s="11" t="str">
        <f>IF(COUNTIF(D$1:D5861,D5861)=1,MAX(C$1:C5860)+1,"")</f>
        <v/>
      </c>
      <c r="D5861" s="12"/>
    </row>
    <row r="5862" spans="1:4" x14ac:dyDescent="0.25">
      <c r="A5862" t="str">
        <f>IF(COUNTIF(B$1:B5862,B5862)=1,MAX(A$1:A5861)+1,"")</f>
        <v/>
      </c>
      <c r="B5862" s="11"/>
      <c r="C5862" s="11" t="str">
        <f>IF(COUNTIF(D$1:D5862,D5862)=1,MAX(C$1:C5861)+1,"")</f>
        <v/>
      </c>
      <c r="D5862" s="12"/>
    </row>
    <row r="5863" spans="1:4" x14ac:dyDescent="0.25">
      <c r="A5863" t="str">
        <f>IF(COUNTIF(B$1:B5863,B5863)=1,MAX(A$1:A5862)+1,"")</f>
        <v/>
      </c>
      <c r="B5863" s="11"/>
      <c r="C5863" s="11" t="str">
        <f>IF(COUNTIF(D$1:D5863,D5863)=1,MAX(C$1:C5862)+1,"")</f>
        <v/>
      </c>
      <c r="D5863" s="12"/>
    </row>
    <row r="5864" spans="1:4" x14ac:dyDescent="0.25">
      <c r="A5864" t="str">
        <f>IF(COUNTIF(B$1:B5864,B5864)=1,MAX(A$1:A5863)+1,"")</f>
        <v/>
      </c>
      <c r="B5864" s="11"/>
      <c r="C5864" s="11" t="str">
        <f>IF(COUNTIF(D$1:D5864,D5864)=1,MAX(C$1:C5863)+1,"")</f>
        <v/>
      </c>
      <c r="D5864" s="12"/>
    </row>
    <row r="5865" spans="1:4" x14ac:dyDescent="0.25">
      <c r="A5865" t="str">
        <f>IF(COUNTIF(B$1:B5865,B5865)=1,MAX(A$1:A5864)+1,"")</f>
        <v/>
      </c>
      <c r="B5865" s="11"/>
      <c r="C5865" s="11" t="str">
        <f>IF(COUNTIF(D$1:D5865,D5865)=1,MAX(C$1:C5864)+1,"")</f>
        <v/>
      </c>
      <c r="D5865" s="12"/>
    </row>
    <row r="5866" spans="1:4" x14ac:dyDescent="0.25">
      <c r="A5866" t="str">
        <f>IF(COUNTIF(B$1:B5866,B5866)=1,MAX(A$1:A5865)+1,"")</f>
        <v/>
      </c>
      <c r="B5866" s="11"/>
      <c r="C5866" s="11" t="str">
        <f>IF(COUNTIF(D$1:D5866,D5866)=1,MAX(C$1:C5865)+1,"")</f>
        <v/>
      </c>
      <c r="D5866" s="12"/>
    </row>
    <row r="5867" spans="1:4" x14ac:dyDescent="0.25">
      <c r="A5867" t="str">
        <f>IF(COUNTIF(B$1:B5867,B5867)=1,MAX(A$1:A5866)+1,"")</f>
        <v/>
      </c>
      <c r="B5867" s="11"/>
      <c r="C5867" s="11" t="str">
        <f>IF(COUNTIF(D$1:D5867,D5867)=1,MAX(C$1:C5866)+1,"")</f>
        <v/>
      </c>
      <c r="D5867" s="12"/>
    </row>
    <row r="5868" spans="1:4" x14ac:dyDescent="0.25">
      <c r="A5868" t="str">
        <f>IF(COUNTIF(B$1:B5868,B5868)=1,MAX(A$1:A5867)+1,"")</f>
        <v/>
      </c>
      <c r="B5868" s="11"/>
      <c r="C5868" s="11" t="str">
        <f>IF(COUNTIF(D$1:D5868,D5868)=1,MAX(C$1:C5867)+1,"")</f>
        <v/>
      </c>
      <c r="D5868" s="12"/>
    </row>
    <row r="5869" spans="1:4" x14ac:dyDescent="0.25">
      <c r="A5869" t="str">
        <f>IF(COUNTIF(B$1:B5869,B5869)=1,MAX(A$1:A5868)+1,"")</f>
        <v/>
      </c>
      <c r="B5869" s="11"/>
      <c r="C5869" s="11" t="str">
        <f>IF(COUNTIF(D$1:D5869,D5869)=1,MAX(C$1:C5868)+1,"")</f>
        <v/>
      </c>
      <c r="D5869" s="12"/>
    </row>
    <row r="5870" spans="1:4" x14ac:dyDescent="0.25">
      <c r="A5870" t="str">
        <f>IF(COUNTIF(B$1:B5870,B5870)=1,MAX(A$1:A5869)+1,"")</f>
        <v/>
      </c>
      <c r="B5870" s="11"/>
      <c r="C5870" s="11" t="str">
        <f>IF(COUNTIF(D$1:D5870,D5870)=1,MAX(C$1:C5869)+1,"")</f>
        <v/>
      </c>
      <c r="D5870" s="12"/>
    </row>
    <row r="5871" spans="1:4" x14ac:dyDescent="0.25">
      <c r="A5871" t="str">
        <f>IF(COUNTIF(B$1:B5871,B5871)=1,MAX(A$1:A5870)+1,"")</f>
        <v/>
      </c>
      <c r="B5871" s="11"/>
      <c r="C5871" s="11" t="str">
        <f>IF(COUNTIF(D$1:D5871,D5871)=1,MAX(C$1:C5870)+1,"")</f>
        <v/>
      </c>
      <c r="D5871" s="12"/>
    </row>
    <row r="5872" spans="1:4" x14ac:dyDescent="0.25">
      <c r="A5872" t="str">
        <f>IF(COUNTIF(B$1:B5872,B5872)=1,MAX(A$1:A5871)+1,"")</f>
        <v/>
      </c>
      <c r="B5872" s="11"/>
      <c r="C5872" s="11" t="str">
        <f>IF(COUNTIF(D$1:D5872,D5872)=1,MAX(C$1:C5871)+1,"")</f>
        <v/>
      </c>
      <c r="D5872" s="12"/>
    </row>
    <row r="5873" spans="1:4" x14ac:dyDescent="0.25">
      <c r="A5873" t="str">
        <f>IF(COUNTIF(B$1:B5873,B5873)=1,MAX(A$1:A5872)+1,"")</f>
        <v/>
      </c>
      <c r="B5873" s="11"/>
      <c r="C5873" s="11" t="str">
        <f>IF(COUNTIF(D$1:D5873,D5873)=1,MAX(C$1:C5872)+1,"")</f>
        <v/>
      </c>
      <c r="D5873" s="12"/>
    </row>
    <row r="5874" spans="1:4" x14ac:dyDescent="0.25">
      <c r="A5874" t="str">
        <f>IF(COUNTIF(B$1:B5874,B5874)=1,MAX(A$1:A5873)+1,"")</f>
        <v/>
      </c>
      <c r="B5874" s="11"/>
      <c r="C5874" s="11" t="str">
        <f>IF(COUNTIF(D$1:D5874,D5874)=1,MAX(C$1:C5873)+1,"")</f>
        <v/>
      </c>
      <c r="D5874" s="12"/>
    </row>
    <row r="5875" spans="1:4" x14ac:dyDescent="0.25">
      <c r="A5875" t="str">
        <f>IF(COUNTIF(B$1:B5875,B5875)=1,MAX(A$1:A5874)+1,"")</f>
        <v/>
      </c>
      <c r="B5875" s="11"/>
      <c r="C5875" s="11" t="str">
        <f>IF(COUNTIF(D$1:D5875,D5875)=1,MAX(C$1:C5874)+1,"")</f>
        <v/>
      </c>
      <c r="D5875" s="12"/>
    </row>
    <row r="5876" spans="1:4" x14ac:dyDescent="0.25">
      <c r="A5876" t="str">
        <f>IF(COUNTIF(B$1:B5876,B5876)=1,MAX(A$1:A5875)+1,"")</f>
        <v/>
      </c>
      <c r="B5876" s="11"/>
      <c r="C5876" s="11" t="str">
        <f>IF(COUNTIF(D$1:D5876,D5876)=1,MAX(C$1:C5875)+1,"")</f>
        <v/>
      </c>
      <c r="D5876" s="12"/>
    </row>
    <row r="5877" spans="1:4" x14ac:dyDescent="0.25">
      <c r="A5877" t="str">
        <f>IF(COUNTIF(B$1:B5877,B5877)=1,MAX(A$1:A5876)+1,"")</f>
        <v/>
      </c>
      <c r="B5877" s="11"/>
      <c r="C5877" s="11" t="str">
        <f>IF(COUNTIF(D$1:D5877,D5877)=1,MAX(C$1:C5876)+1,"")</f>
        <v/>
      </c>
      <c r="D5877" s="12"/>
    </row>
    <row r="5878" spans="1:4" x14ac:dyDescent="0.25">
      <c r="A5878" t="str">
        <f>IF(COUNTIF(B$1:B5878,B5878)=1,MAX(A$1:A5877)+1,"")</f>
        <v/>
      </c>
      <c r="B5878" s="11"/>
      <c r="C5878" s="11" t="str">
        <f>IF(COUNTIF(D$1:D5878,D5878)=1,MAX(C$1:C5877)+1,"")</f>
        <v/>
      </c>
      <c r="D5878" s="12"/>
    </row>
    <row r="5879" spans="1:4" x14ac:dyDescent="0.25">
      <c r="A5879" t="str">
        <f>IF(COUNTIF(B$1:B5879,B5879)=1,MAX(A$1:A5878)+1,"")</f>
        <v/>
      </c>
      <c r="B5879" s="11"/>
      <c r="C5879" s="11" t="str">
        <f>IF(COUNTIF(D$1:D5879,D5879)=1,MAX(C$1:C5878)+1,"")</f>
        <v/>
      </c>
      <c r="D5879" s="12"/>
    </row>
    <row r="5880" spans="1:4" x14ac:dyDescent="0.25">
      <c r="A5880" t="str">
        <f>IF(COUNTIF(B$1:B5880,B5880)=1,MAX(A$1:A5879)+1,"")</f>
        <v/>
      </c>
      <c r="B5880" s="11"/>
      <c r="C5880" s="11" t="str">
        <f>IF(COUNTIF(D$1:D5880,D5880)=1,MAX(C$1:C5879)+1,"")</f>
        <v/>
      </c>
      <c r="D5880" s="12"/>
    </row>
    <row r="5881" spans="1:4" x14ac:dyDescent="0.25">
      <c r="A5881" t="str">
        <f>IF(COUNTIF(B$1:B5881,B5881)=1,MAX(A$1:A5880)+1,"")</f>
        <v/>
      </c>
      <c r="B5881" s="11"/>
      <c r="C5881" s="11" t="str">
        <f>IF(COUNTIF(D$1:D5881,D5881)=1,MAX(C$1:C5880)+1,"")</f>
        <v/>
      </c>
      <c r="D5881" s="12"/>
    </row>
    <row r="5882" spans="1:4" x14ac:dyDescent="0.25">
      <c r="A5882" t="str">
        <f>IF(COUNTIF(B$1:B5882,B5882)=1,MAX(A$1:A5881)+1,"")</f>
        <v/>
      </c>
      <c r="B5882" s="11"/>
      <c r="C5882" s="11" t="str">
        <f>IF(COUNTIF(D$1:D5882,D5882)=1,MAX(C$1:C5881)+1,"")</f>
        <v/>
      </c>
      <c r="D5882" s="12"/>
    </row>
    <row r="5883" spans="1:4" x14ac:dyDescent="0.25">
      <c r="A5883" t="str">
        <f>IF(COUNTIF(B$1:B5883,B5883)=1,MAX(A$1:A5882)+1,"")</f>
        <v/>
      </c>
      <c r="B5883" s="11"/>
      <c r="C5883" s="11" t="str">
        <f>IF(COUNTIF(D$1:D5883,D5883)=1,MAX(C$1:C5882)+1,"")</f>
        <v/>
      </c>
      <c r="D5883" s="12"/>
    </row>
    <row r="5884" spans="1:4" x14ac:dyDescent="0.25">
      <c r="A5884" t="str">
        <f>IF(COUNTIF(B$1:B5884,B5884)=1,MAX(A$1:A5883)+1,"")</f>
        <v/>
      </c>
      <c r="B5884" s="11"/>
      <c r="C5884" s="11" t="str">
        <f>IF(COUNTIF(D$1:D5884,D5884)=1,MAX(C$1:C5883)+1,"")</f>
        <v/>
      </c>
      <c r="D5884" s="12"/>
    </row>
    <row r="5885" spans="1:4" x14ac:dyDescent="0.25">
      <c r="A5885" t="str">
        <f>IF(COUNTIF(B$1:B5885,B5885)=1,MAX(A$1:A5884)+1,"")</f>
        <v/>
      </c>
      <c r="B5885" s="11"/>
      <c r="C5885" s="11" t="str">
        <f>IF(COUNTIF(D$1:D5885,D5885)=1,MAX(C$1:C5884)+1,"")</f>
        <v/>
      </c>
      <c r="D5885" s="12"/>
    </row>
    <row r="5886" spans="1:4" x14ac:dyDescent="0.25">
      <c r="A5886" t="str">
        <f>IF(COUNTIF(B$1:B5886,B5886)=1,MAX(A$1:A5885)+1,"")</f>
        <v/>
      </c>
      <c r="B5886" s="11"/>
      <c r="C5886" s="11" t="str">
        <f>IF(COUNTIF(D$1:D5886,D5886)=1,MAX(C$1:C5885)+1,"")</f>
        <v/>
      </c>
      <c r="D5886" s="12"/>
    </row>
    <row r="5887" spans="1:4" x14ac:dyDescent="0.25">
      <c r="A5887" t="str">
        <f>IF(COUNTIF(B$1:B5887,B5887)=1,MAX(A$1:A5886)+1,"")</f>
        <v/>
      </c>
      <c r="B5887" s="11"/>
      <c r="C5887" s="11" t="str">
        <f>IF(COUNTIF(D$1:D5887,D5887)=1,MAX(C$1:C5886)+1,"")</f>
        <v/>
      </c>
      <c r="D5887" s="12"/>
    </row>
    <row r="5888" spans="1:4" x14ac:dyDescent="0.25">
      <c r="A5888" t="str">
        <f>IF(COUNTIF(B$1:B5888,B5888)=1,MAX(A$1:A5887)+1,"")</f>
        <v/>
      </c>
      <c r="B5888" s="11"/>
      <c r="C5888" s="11" t="str">
        <f>IF(COUNTIF(D$1:D5888,D5888)=1,MAX(C$1:C5887)+1,"")</f>
        <v/>
      </c>
      <c r="D5888" s="12"/>
    </row>
    <row r="5889" spans="1:4" x14ac:dyDescent="0.25">
      <c r="A5889" t="str">
        <f>IF(COUNTIF(B$1:B5889,B5889)=1,MAX(A$1:A5888)+1,"")</f>
        <v/>
      </c>
      <c r="B5889" s="11"/>
      <c r="C5889" s="11" t="str">
        <f>IF(COUNTIF(D$1:D5889,D5889)=1,MAX(C$1:C5888)+1,"")</f>
        <v/>
      </c>
      <c r="D5889" s="12"/>
    </row>
    <row r="5890" spans="1:4" x14ac:dyDescent="0.25">
      <c r="A5890" t="str">
        <f>IF(COUNTIF(B$1:B5890,B5890)=1,MAX(A$1:A5889)+1,"")</f>
        <v/>
      </c>
      <c r="B5890" s="11"/>
      <c r="C5890" s="11" t="str">
        <f>IF(COUNTIF(D$1:D5890,D5890)=1,MAX(C$1:C5889)+1,"")</f>
        <v/>
      </c>
      <c r="D5890" s="12"/>
    </row>
    <row r="5891" spans="1:4" x14ac:dyDescent="0.25">
      <c r="A5891" t="str">
        <f>IF(COUNTIF(B$1:B5891,B5891)=1,MAX(A$1:A5890)+1,"")</f>
        <v/>
      </c>
      <c r="B5891" s="11"/>
      <c r="C5891" s="11" t="str">
        <f>IF(COUNTIF(D$1:D5891,D5891)=1,MAX(C$1:C5890)+1,"")</f>
        <v/>
      </c>
      <c r="D5891" s="12"/>
    </row>
    <row r="5892" spans="1:4" x14ac:dyDescent="0.25">
      <c r="A5892" t="str">
        <f>IF(COUNTIF(B$1:B5892,B5892)=1,MAX(A$1:A5891)+1,"")</f>
        <v/>
      </c>
      <c r="B5892" s="11"/>
      <c r="C5892" s="11" t="str">
        <f>IF(COUNTIF(D$1:D5892,D5892)=1,MAX(C$1:C5891)+1,"")</f>
        <v/>
      </c>
      <c r="D5892" s="12"/>
    </row>
    <row r="5893" spans="1:4" x14ac:dyDescent="0.25">
      <c r="A5893" t="str">
        <f>IF(COUNTIF(B$1:B5893,B5893)=1,MAX(A$1:A5892)+1,"")</f>
        <v/>
      </c>
      <c r="B5893" s="11"/>
      <c r="C5893" s="11" t="str">
        <f>IF(COUNTIF(D$1:D5893,D5893)=1,MAX(C$1:C5892)+1,"")</f>
        <v/>
      </c>
      <c r="D5893" s="12"/>
    </row>
    <row r="5894" spans="1:4" x14ac:dyDescent="0.25">
      <c r="A5894" t="str">
        <f>IF(COUNTIF(B$1:B5894,B5894)=1,MAX(A$1:A5893)+1,"")</f>
        <v/>
      </c>
      <c r="B5894" s="11"/>
      <c r="C5894" s="11" t="str">
        <f>IF(COUNTIF(D$1:D5894,D5894)=1,MAX(C$1:C5893)+1,"")</f>
        <v/>
      </c>
      <c r="D5894" s="12"/>
    </row>
    <row r="5895" spans="1:4" x14ac:dyDescent="0.25">
      <c r="A5895" t="str">
        <f>IF(COUNTIF(B$1:B5895,B5895)=1,MAX(A$1:A5894)+1,"")</f>
        <v/>
      </c>
      <c r="B5895" s="11"/>
      <c r="C5895" s="11" t="str">
        <f>IF(COUNTIF(D$1:D5895,D5895)=1,MAX(C$1:C5894)+1,"")</f>
        <v/>
      </c>
      <c r="D5895" s="12"/>
    </row>
    <row r="5896" spans="1:4" x14ac:dyDescent="0.25">
      <c r="A5896" t="str">
        <f>IF(COUNTIF(B$1:B5896,B5896)=1,MAX(A$1:A5895)+1,"")</f>
        <v/>
      </c>
      <c r="B5896" s="11"/>
      <c r="C5896" s="11" t="str">
        <f>IF(COUNTIF(D$1:D5896,D5896)=1,MAX(C$1:C5895)+1,"")</f>
        <v/>
      </c>
      <c r="D5896" s="12"/>
    </row>
    <row r="5897" spans="1:4" x14ac:dyDescent="0.25">
      <c r="A5897" t="str">
        <f>IF(COUNTIF(B$1:B5897,B5897)=1,MAX(A$1:A5896)+1,"")</f>
        <v/>
      </c>
      <c r="B5897" s="11"/>
      <c r="C5897" s="11" t="str">
        <f>IF(COUNTIF(D$1:D5897,D5897)=1,MAX(C$1:C5896)+1,"")</f>
        <v/>
      </c>
      <c r="D5897" s="12"/>
    </row>
    <row r="5898" spans="1:4" x14ac:dyDescent="0.25">
      <c r="A5898" t="str">
        <f>IF(COUNTIF(B$1:B5898,B5898)=1,MAX(A$1:A5897)+1,"")</f>
        <v/>
      </c>
      <c r="B5898" s="11"/>
      <c r="C5898" s="11" t="str">
        <f>IF(COUNTIF(D$1:D5898,D5898)=1,MAX(C$1:C5897)+1,"")</f>
        <v/>
      </c>
      <c r="D5898" s="12"/>
    </row>
    <row r="5899" spans="1:4" x14ac:dyDescent="0.25">
      <c r="A5899" t="str">
        <f>IF(COUNTIF(B$1:B5899,B5899)=1,MAX(A$1:A5898)+1,"")</f>
        <v/>
      </c>
      <c r="B5899" s="11"/>
      <c r="C5899" s="11" t="str">
        <f>IF(COUNTIF(D$1:D5899,D5899)=1,MAX(C$1:C5898)+1,"")</f>
        <v/>
      </c>
      <c r="D5899" s="12"/>
    </row>
    <row r="5900" spans="1:4" x14ac:dyDescent="0.25">
      <c r="A5900" t="str">
        <f>IF(COUNTIF(B$1:B5900,B5900)=1,MAX(A$1:A5899)+1,"")</f>
        <v/>
      </c>
      <c r="B5900" s="11"/>
      <c r="C5900" s="11" t="str">
        <f>IF(COUNTIF(D$1:D5900,D5900)=1,MAX(C$1:C5899)+1,"")</f>
        <v/>
      </c>
      <c r="D5900" s="12"/>
    </row>
    <row r="5901" spans="1:4" x14ac:dyDescent="0.25">
      <c r="A5901" t="str">
        <f>IF(COUNTIF(B$1:B5901,B5901)=1,MAX(A$1:A5900)+1,"")</f>
        <v/>
      </c>
      <c r="B5901" s="11"/>
      <c r="C5901" s="11" t="str">
        <f>IF(COUNTIF(D$1:D5901,D5901)=1,MAX(C$1:C5900)+1,"")</f>
        <v/>
      </c>
      <c r="D5901" s="12"/>
    </row>
    <row r="5902" spans="1:4" x14ac:dyDescent="0.25">
      <c r="A5902" t="str">
        <f>IF(COUNTIF(B$1:B5902,B5902)=1,MAX(A$1:A5901)+1,"")</f>
        <v/>
      </c>
      <c r="B5902" s="11"/>
      <c r="C5902" s="11" t="str">
        <f>IF(COUNTIF(D$1:D5902,D5902)=1,MAX(C$1:C5901)+1,"")</f>
        <v/>
      </c>
      <c r="D5902" s="12"/>
    </row>
    <row r="5903" spans="1:4" x14ac:dyDescent="0.25">
      <c r="A5903" t="str">
        <f>IF(COUNTIF(B$1:B5903,B5903)=1,MAX(A$1:A5902)+1,"")</f>
        <v/>
      </c>
      <c r="B5903" s="11"/>
      <c r="C5903" s="11" t="str">
        <f>IF(COUNTIF(D$1:D5903,D5903)=1,MAX(C$1:C5902)+1,"")</f>
        <v/>
      </c>
      <c r="D5903" s="12"/>
    </row>
    <row r="5904" spans="1:4" x14ac:dyDescent="0.25">
      <c r="A5904" t="str">
        <f>IF(COUNTIF(B$1:B5904,B5904)=1,MAX(A$1:A5903)+1,"")</f>
        <v/>
      </c>
      <c r="B5904" s="11"/>
      <c r="C5904" s="11" t="str">
        <f>IF(COUNTIF(D$1:D5904,D5904)=1,MAX(C$1:C5903)+1,"")</f>
        <v/>
      </c>
      <c r="D5904" s="12"/>
    </row>
    <row r="5905" spans="1:4" x14ac:dyDescent="0.25">
      <c r="A5905" t="str">
        <f>IF(COUNTIF(B$1:B5905,B5905)=1,MAX(A$1:A5904)+1,"")</f>
        <v/>
      </c>
      <c r="B5905" s="11"/>
      <c r="C5905" s="11" t="str">
        <f>IF(COUNTIF(D$1:D5905,D5905)=1,MAX(C$1:C5904)+1,"")</f>
        <v/>
      </c>
      <c r="D5905" s="12"/>
    </row>
    <row r="5906" spans="1:4" x14ac:dyDescent="0.25">
      <c r="A5906" t="str">
        <f>IF(COUNTIF(B$1:B5906,B5906)=1,MAX(A$1:A5905)+1,"")</f>
        <v/>
      </c>
      <c r="B5906" s="11"/>
      <c r="C5906" s="11" t="str">
        <f>IF(COUNTIF(D$1:D5906,D5906)=1,MAX(C$1:C5905)+1,"")</f>
        <v/>
      </c>
      <c r="D5906" s="12"/>
    </row>
    <row r="5907" spans="1:4" x14ac:dyDescent="0.25">
      <c r="A5907" t="str">
        <f>IF(COUNTIF(B$1:B5907,B5907)=1,MAX(A$1:A5906)+1,"")</f>
        <v/>
      </c>
      <c r="B5907" s="11"/>
      <c r="C5907" s="11" t="str">
        <f>IF(COUNTIF(D$1:D5907,D5907)=1,MAX(C$1:C5906)+1,"")</f>
        <v/>
      </c>
      <c r="D5907" s="12"/>
    </row>
    <row r="5908" spans="1:4" x14ac:dyDescent="0.25">
      <c r="A5908" t="str">
        <f>IF(COUNTIF(B$1:B5908,B5908)=1,MAX(A$1:A5907)+1,"")</f>
        <v/>
      </c>
      <c r="B5908" s="11"/>
      <c r="C5908" s="11" t="str">
        <f>IF(COUNTIF(D$1:D5908,D5908)=1,MAX(C$1:C5907)+1,"")</f>
        <v/>
      </c>
      <c r="D5908" s="12"/>
    </row>
    <row r="5909" spans="1:4" x14ac:dyDescent="0.25">
      <c r="A5909" t="str">
        <f>IF(COUNTIF(B$1:B5909,B5909)=1,MAX(A$1:A5908)+1,"")</f>
        <v/>
      </c>
      <c r="B5909" s="11"/>
      <c r="C5909" s="11" t="str">
        <f>IF(COUNTIF(D$1:D5909,D5909)=1,MAX(C$1:C5908)+1,"")</f>
        <v/>
      </c>
      <c r="D5909" s="12"/>
    </row>
    <row r="5910" spans="1:4" x14ac:dyDescent="0.25">
      <c r="A5910" t="str">
        <f>IF(COUNTIF(B$1:B5910,B5910)=1,MAX(A$1:A5909)+1,"")</f>
        <v/>
      </c>
      <c r="B5910" s="11"/>
      <c r="C5910" s="11" t="str">
        <f>IF(COUNTIF(D$1:D5910,D5910)=1,MAX(C$1:C5909)+1,"")</f>
        <v/>
      </c>
      <c r="D5910" s="12"/>
    </row>
    <row r="5911" spans="1:4" x14ac:dyDescent="0.25">
      <c r="A5911" t="str">
        <f>IF(COUNTIF(B$1:B5911,B5911)=1,MAX(A$1:A5910)+1,"")</f>
        <v/>
      </c>
      <c r="B5911" s="11"/>
      <c r="C5911" s="11" t="str">
        <f>IF(COUNTIF(D$1:D5911,D5911)=1,MAX(C$1:C5910)+1,"")</f>
        <v/>
      </c>
      <c r="D5911" s="12"/>
    </row>
    <row r="5912" spans="1:4" x14ac:dyDescent="0.25">
      <c r="A5912" t="str">
        <f>IF(COUNTIF(B$1:B5912,B5912)=1,MAX(A$1:A5911)+1,"")</f>
        <v/>
      </c>
      <c r="B5912" s="11"/>
      <c r="C5912" s="11" t="str">
        <f>IF(COUNTIF(D$1:D5912,D5912)=1,MAX(C$1:C5911)+1,"")</f>
        <v/>
      </c>
      <c r="D5912" s="12"/>
    </row>
    <row r="5913" spans="1:4" x14ac:dyDescent="0.25">
      <c r="A5913" t="str">
        <f>IF(COUNTIF(B$1:B5913,B5913)=1,MAX(A$1:A5912)+1,"")</f>
        <v/>
      </c>
      <c r="B5913" s="11"/>
      <c r="C5913" s="11" t="str">
        <f>IF(COUNTIF(D$1:D5913,D5913)=1,MAX(C$1:C5912)+1,"")</f>
        <v/>
      </c>
      <c r="D5913" s="12"/>
    </row>
    <row r="5914" spans="1:4" x14ac:dyDescent="0.25">
      <c r="A5914" t="str">
        <f>IF(COUNTIF(B$1:B5914,B5914)=1,MAX(A$1:A5913)+1,"")</f>
        <v/>
      </c>
      <c r="B5914" s="11"/>
      <c r="C5914" s="11" t="str">
        <f>IF(COUNTIF(D$1:D5914,D5914)=1,MAX(C$1:C5913)+1,"")</f>
        <v/>
      </c>
      <c r="D5914" s="12"/>
    </row>
    <row r="5915" spans="1:4" x14ac:dyDescent="0.25">
      <c r="A5915" t="str">
        <f>IF(COUNTIF(B$1:B5915,B5915)=1,MAX(A$1:A5914)+1,"")</f>
        <v/>
      </c>
      <c r="B5915" s="11"/>
      <c r="C5915" s="11" t="str">
        <f>IF(COUNTIF(D$1:D5915,D5915)=1,MAX(C$1:C5914)+1,"")</f>
        <v/>
      </c>
      <c r="D5915" s="12"/>
    </row>
    <row r="5916" spans="1:4" x14ac:dyDescent="0.25">
      <c r="A5916" t="str">
        <f>IF(COUNTIF(B$1:B5916,B5916)=1,MAX(A$1:A5915)+1,"")</f>
        <v/>
      </c>
      <c r="B5916" s="11"/>
      <c r="C5916" s="11" t="str">
        <f>IF(COUNTIF(D$1:D5916,D5916)=1,MAX(C$1:C5915)+1,"")</f>
        <v/>
      </c>
      <c r="D5916" s="12"/>
    </row>
    <row r="5917" spans="1:4" x14ac:dyDescent="0.25">
      <c r="A5917" t="str">
        <f>IF(COUNTIF(B$1:B5917,B5917)=1,MAX(A$1:A5916)+1,"")</f>
        <v/>
      </c>
      <c r="B5917" s="11"/>
      <c r="C5917" s="11" t="str">
        <f>IF(COUNTIF(D$1:D5917,D5917)=1,MAX(C$1:C5916)+1,"")</f>
        <v/>
      </c>
      <c r="D5917" s="12"/>
    </row>
    <row r="5918" spans="1:4" x14ac:dyDescent="0.25">
      <c r="A5918" t="str">
        <f>IF(COUNTIF(B$1:B5918,B5918)=1,MAX(A$1:A5917)+1,"")</f>
        <v/>
      </c>
      <c r="B5918" s="11"/>
      <c r="C5918" s="11" t="str">
        <f>IF(COUNTIF(D$1:D5918,D5918)=1,MAX(C$1:C5917)+1,"")</f>
        <v/>
      </c>
      <c r="D5918" s="12"/>
    </row>
    <row r="5919" spans="1:4" x14ac:dyDescent="0.25">
      <c r="A5919" t="str">
        <f>IF(COUNTIF(B$1:B5919,B5919)=1,MAX(A$1:A5918)+1,"")</f>
        <v/>
      </c>
      <c r="B5919" s="11"/>
      <c r="C5919" s="11" t="str">
        <f>IF(COUNTIF(D$1:D5919,D5919)=1,MAX(C$1:C5918)+1,"")</f>
        <v/>
      </c>
      <c r="D5919" s="12"/>
    </row>
    <row r="5920" spans="1:4" x14ac:dyDescent="0.25">
      <c r="A5920" t="str">
        <f>IF(COUNTIF(B$1:B5920,B5920)=1,MAX(A$1:A5919)+1,"")</f>
        <v/>
      </c>
      <c r="B5920" s="11"/>
      <c r="C5920" s="11" t="str">
        <f>IF(COUNTIF(D$1:D5920,D5920)=1,MAX(C$1:C5919)+1,"")</f>
        <v/>
      </c>
      <c r="D5920" s="12"/>
    </row>
    <row r="5921" spans="1:4" x14ac:dyDescent="0.25">
      <c r="A5921" t="str">
        <f>IF(COUNTIF(B$1:B5921,B5921)=1,MAX(A$1:A5920)+1,"")</f>
        <v/>
      </c>
      <c r="B5921" s="11"/>
      <c r="C5921" s="11" t="str">
        <f>IF(COUNTIF(D$1:D5921,D5921)=1,MAX(C$1:C5920)+1,"")</f>
        <v/>
      </c>
      <c r="D5921" s="12"/>
    </row>
    <row r="5922" spans="1:4" x14ac:dyDescent="0.25">
      <c r="A5922" t="str">
        <f>IF(COUNTIF(B$1:B5922,B5922)=1,MAX(A$1:A5921)+1,"")</f>
        <v/>
      </c>
      <c r="B5922" s="11"/>
      <c r="C5922" s="11" t="str">
        <f>IF(COUNTIF(D$1:D5922,D5922)=1,MAX(C$1:C5921)+1,"")</f>
        <v/>
      </c>
      <c r="D5922" s="12"/>
    </row>
    <row r="5923" spans="1:4" x14ac:dyDescent="0.25">
      <c r="A5923" t="str">
        <f>IF(COUNTIF(B$1:B5923,B5923)=1,MAX(A$1:A5922)+1,"")</f>
        <v/>
      </c>
      <c r="B5923" s="11"/>
      <c r="C5923" s="11" t="str">
        <f>IF(COUNTIF(D$1:D5923,D5923)=1,MAX(C$1:C5922)+1,"")</f>
        <v/>
      </c>
      <c r="D5923" s="12"/>
    </row>
    <row r="5924" spans="1:4" x14ac:dyDescent="0.25">
      <c r="A5924" t="str">
        <f>IF(COUNTIF(B$1:B5924,B5924)=1,MAX(A$1:A5923)+1,"")</f>
        <v/>
      </c>
      <c r="B5924" s="11"/>
      <c r="C5924" s="11" t="str">
        <f>IF(COUNTIF(D$1:D5924,D5924)=1,MAX(C$1:C5923)+1,"")</f>
        <v/>
      </c>
      <c r="D5924" s="12"/>
    </row>
    <row r="5925" spans="1:4" x14ac:dyDescent="0.25">
      <c r="A5925" t="str">
        <f>IF(COUNTIF(B$1:B5925,B5925)=1,MAX(A$1:A5924)+1,"")</f>
        <v/>
      </c>
      <c r="B5925" s="11"/>
      <c r="C5925" s="11" t="str">
        <f>IF(COUNTIF(D$1:D5925,D5925)=1,MAX(C$1:C5924)+1,"")</f>
        <v/>
      </c>
      <c r="D5925" s="12"/>
    </row>
    <row r="5926" spans="1:4" x14ac:dyDescent="0.25">
      <c r="A5926" t="str">
        <f>IF(COUNTIF(B$1:B5926,B5926)=1,MAX(A$1:A5925)+1,"")</f>
        <v/>
      </c>
      <c r="B5926" s="11"/>
      <c r="C5926" s="11" t="str">
        <f>IF(COUNTIF(D$1:D5926,D5926)=1,MAX(C$1:C5925)+1,"")</f>
        <v/>
      </c>
      <c r="D5926" s="12"/>
    </row>
    <row r="5927" spans="1:4" x14ac:dyDescent="0.25">
      <c r="A5927" t="str">
        <f>IF(COUNTIF(B$1:B5927,B5927)=1,MAX(A$1:A5926)+1,"")</f>
        <v/>
      </c>
      <c r="B5927" s="11"/>
      <c r="C5927" s="11" t="str">
        <f>IF(COUNTIF(D$1:D5927,D5927)=1,MAX(C$1:C5926)+1,"")</f>
        <v/>
      </c>
      <c r="D5927" s="12"/>
    </row>
    <row r="5928" spans="1:4" x14ac:dyDescent="0.25">
      <c r="A5928" t="str">
        <f>IF(COUNTIF(B$1:B5928,B5928)=1,MAX(A$1:A5927)+1,"")</f>
        <v/>
      </c>
      <c r="B5928" s="11"/>
      <c r="C5928" s="11" t="str">
        <f>IF(COUNTIF(D$1:D5928,D5928)=1,MAX(C$1:C5927)+1,"")</f>
        <v/>
      </c>
      <c r="D5928" s="12"/>
    </row>
    <row r="5929" spans="1:4" x14ac:dyDescent="0.25">
      <c r="A5929" t="str">
        <f>IF(COUNTIF(B$1:B5929,B5929)=1,MAX(A$1:A5928)+1,"")</f>
        <v/>
      </c>
      <c r="B5929" s="11"/>
      <c r="C5929" s="11" t="str">
        <f>IF(COUNTIF(D$1:D5929,D5929)=1,MAX(C$1:C5928)+1,"")</f>
        <v/>
      </c>
      <c r="D5929" s="12"/>
    </row>
    <row r="5930" spans="1:4" x14ac:dyDescent="0.25">
      <c r="A5930" t="str">
        <f>IF(COUNTIF(B$1:B5930,B5930)=1,MAX(A$1:A5929)+1,"")</f>
        <v/>
      </c>
      <c r="B5930" s="11"/>
      <c r="C5930" s="11" t="str">
        <f>IF(COUNTIF(D$1:D5930,D5930)=1,MAX(C$1:C5929)+1,"")</f>
        <v/>
      </c>
      <c r="D5930" s="12"/>
    </row>
    <row r="5931" spans="1:4" x14ac:dyDescent="0.25">
      <c r="A5931" t="str">
        <f>IF(COUNTIF(B$1:B5931,B5931)=1,MAX(A$1:A5930)+1,"")</f>
        <v/>
      </c>
      <c r="B5931" s="11"/>
      <c r="C5931" s="11" t="str">
        <f>IF(COUNTIF(D$1:D5931,D5931)=1,MAX(C$1:C5930)+1,"")</f>
        <v/>
      </c>
      <c r="D5931" s="12"/>
    </row>
    <row r="5932" spans="1:4" x14ac:dyDescent="0.25">
      <c r="A5932" t="str">
        <f>IF(COUNTIF(B$1:B5932,B5932)=1,MAX(A$1:A5931)+1,"")</f>
        <v/>
      </c>
      <c r="B5932" s="11"/>
      <c r="C5932" s="11" t="str">
        <f>IF(COUNTIF(D$1:D5932,D5932)=1,MAX(C$1:C5931)+1,"")</f>
        <v/>
      </c>
      <c r="D5932" s="12"/>
    </row>
    <row r="5933" spans="1:4" x14ac:dyDescent="0.25">
      <c r="A5933" t="str">
        <f>IF(COUNTIF(B$1:B5933,B5933)=1,MAX(A$1:A5932)+1,"")</f>
        <v/>
      </c>
      <c r="B5933" s="11"/>
      <c r="C5933" s="11" t="str">
        <f>IF(COUNTIF(D$1:D5933,D5933)=1,MAX(C$1:C5932)+1,"")</f>
        <v/>
      </c>
      <c r="D5933" s="12"/>
    </row>
    <row r="5934" spans="1:4" x14ac:dyDescent="0.25">
      <c r="A5934" t="str">
        <f>IF(COUNTIF(B$1:B5934,B5934)=1,MAX(A$1:A5933)+1,"")</f>
        <v/>
      </c>
      <c r="B5934" s="11"/>
      <c r="C5934" s="11" t="str">
        <f>IF(COUNTIF(D$1:D5934,D5934)=1,MAX(C$1:C5933)+1,"")</f>
        <v/>
      </c>
      <c r="D5934" s="12"/>
    </row>
    <row r="5935" spans="1:4" x14ac:dyDescent="0.25">
      <c r="A5935" t="str">
        <f>IF(COUNTIF(B$1:B5935,B5935)=1,MAX(A$1:A5934)+1,"")</f>
        <v/>
      </c>
      <c r="B5935" s="11"/>
      <c r="C5935" s="11" t="str">
        <f>IF(COUNTIF(D$1:D5935,D5935)=1,MAX(C$1:C5934)+1,"")</f>
        <v/>
      </c>
      <c r="D5935" s="12"/>
    </row>
    <row r="5936" spans="1:4" x14ac:dyDescent="0.25">
      <c r="A5936" t="str">
        <f>IF(COUNTIF(B$1:B5936,B5936)=1,MAX(A$1:A5935)+1,"")</f>
        <v/>
      </c>
      <c r="B5936" s="11"/>
      <c r="C5936" s="11" t="str">
        <f>IF(COUNTIF(D$1:D5936,D5936)=1,MAX(C$1:C5935)+1,"")</f>
        <v/>
      </c>
      <c r="D5936" s="12"/>
    </row>
    <row r="5937" spans="1:4" x14ac:dyDescent="0.25">
      <c r="A5937" t="str">
        <f>IF(COUNTIF(B$1:B5937,B5937)=1,MAX(A$1:A5936)+1,"")</f>
        <v/>
      </c>
      <c r="B5937" s="11"/>
      <c r="C5937" s="11" t="str">
        <f>IF(COUNTIF(D$1:D5937,D5937)=1,MAX(C$1:C5936)+1,"")</f>
        <v/>
      </c>
      <c r="D5937" s="12"/>
    </row>
    <row r="5938" spans="1:4" x14ac:dyDescent="0.25">
      <c r="A5938" t="str">
        <f>IF(COUNTIF(B$1:B5938,B5938)=1,MAX(A$1:A5937)+1,"")</f>
        <v/>
      </c>
      <c r="B5938" s="11"/>
      <c r="C5938" s="11" t="str">
        <f>IF(COUNTIF(D$1:D5938,D5938)=1,MAX(C$1:C5937)+1,"")</f>
        <v/>
      </c>
      <c r="D5938" s="12"/>
    </row>
    <row r="5939" spans="1:4" x14ac:dyDescent="0.25">
      <c r="A5939" t="str">
        <f>IF(COUNTIF(B$1:B5939,B5939)=1,MAX(A$1:A5938)+1,"")</f>
        <v/>
      </c>
      <c r="B5939" s="11"/>
      <c r="C5939" s="11" t="str">
        <f>IF(COUNTIF(D$1:D5939,D5939)=1,MAX(C$1:C5938)+1,"")</f>
        <v/>
      </c>
      <c r="D5939" s="12"/>
    </row>
    <row r="5940" spans="1:4" x14ac:dyDescent="0.25">
      <c r="A5940" t="str">
        <f>IF(COUNTIF(B$1:B5940,B5940)=1,MAX(A$1:A5939)+1,"")</f>
        <v/>
      </c>
      <c r="B5940" s="11"/>
      <c r="C5940" s="11" t="str">
        <f>IF(COUNTIF(D$1:D5940,D5940)=1,MAX(C$1:C5939)+1,"")</f>
        <v/>
      </c>
      <c r="D5940" s="12"/>
    </row>
    <row r="5941" spans="1:4" x14ac:dyDescent="0.25">
      <c r="A5941" t="str">
        <f>IF(COUNTIF(B$1:B5941,B5941)=1,MAX(A$1:A5940)+1,"")</f>
        <v/>
      </c>
      <c r="B5941" s="11"/>
      <c r="C5941" s="11" t="str">
        <f>IF(COUNTIF(D$1:D5941,D5941)=1,MAX(C$1:C5940)+1,"")</f>
        <v/>
      </c>
      <c r="D5941" s="12"/>
    </row>
    <row r="5942" spans="1:4" x14ac:dyDescent="0.25">
      <c r="A5942" t="str">
        <f>IF(COUNTIF(B$1:B5942,B5942)=1,MAX(A$1:A5941)+1,"")</f>
        <v/>
      </c>
      <c r="B5942" s="11"/>
      <c r="C5942" s="11" t="str">
        <f>IF(COUNTIF(D$1:D5942,D5942)=1,MAX(C$1:C5941)+1,"")</f>
        <v/>
      </c>
      <c r="D5942" s="12"/>
    </row>
    <row r="5943" spans="1:4" x14ac:dyDescent="0.25">
      <c r="A5943" t="str">
        <f>IF(COUNTIF(B$1:B5943,B5943)=1,MAX(A$1:A5942)+1,"")</f>
        <v/>
      </c>
      <c r="B5943" s="11"/>
      <c r="C5943" s="11" t="str">
        <f>IF(COUNTIF(D$1:D5943,D5943)=1,MAX(C$1:C5942)+1,"")</f>
        <v/>
      </c>
      <c r="D5943" s="12"/>
    </row>
    <row r="5944" spans="1:4" x14ac:dyDescent="0.25">
      <c r="A5944" t="str">
        <f>IF(COUNTIF(B$1:B5944,B5944)=1,MAX(A$1:A5943)+1,"")</f>
        <v/>
      </c>
      <c r="B5944" s="11"/>
      <c r="C5944" s="11" t="str">
        <f>IF(COUNTIF(D$1:D5944,D5944)=1,MAX(C$1:C5943)+1,"")</f>
        <v/>
      </c>
      <c r="D5944" s="12"/>
    </row>
    <row r="5945" spans="1:4" x14ac:dyDescent="0.25">
      <c r="A5945" t="str">
        <f>IF(COUNTIF(B$1:B5945,B5945)=1,MAX(A$1:A5944)+1,"")</f>
        <v/>
      </c>
      <c r="B5945" s="11"/>
      <c r="C5945" s="11" t="str">
        <f>IF(COUNTIF(D$1:D5945,D5945)=1,MAX(C$1:C5944)+1,"")</f>
        <v/>
      </c>
      <c r="D5945" s="12"/>
    </row>
    <row r="5946" spans="1:4" x14ac:dyDescent="0.25">
      <c r="A5946" t="str">
        <f>IF(COUNTIF(B$1:B5946,B5946)=1,MAX(A$1:A5945)+1,"")</f>
        <v/>
      </c>
      <c r="B5946" s="11"/>
      <c r="C5946" s="11" t="str">
        <f>IF(COUNTIF(D$1:D5946,D5946)=1,MAX(C$1:C5945)+1,"")</f>
        <v/>
      </c>
      <c r="D5946" s="12"/>
    </row>
    <row r="5947" spans="1:4" x14ac:dyDescent="0.25">
      <c r="A5947" t="str">
        <f>IF(COUNTIF(B$1:B5947,B5947)=1,MAX(A$1:A5946)+1,"")</f>
        <v/>
      </c>
      <c r="B5947" s="11"/>
      <c r="C5947" s="11" t="str">
        <f>IF(COUNTIF(D$1:D5947,D5947)=1,MAX(C$1:C5946)+1,"")</f>
        <v/>
      </c>
      <c r="D5947" s="12"/>
    </row>
    <row r="5948" spans="1:4" x14ac:dyDescent="0.25">
      <c r="A5948" t="str">
        <f>IF(COUNTIF(B$1:B5948,B5948)=1,MAX(A$1:A5947)+1,"")</f>
        <v/>
      </c>
      <c r="B5948" s="11"/>
      <c r="C5948" s="11" t="str">
        <f>IF(COUNTIF(D$1:D5948,D5948)=1,MAX(C$1:C5947)+1,"")</f>
        <v/>
      </c>
      <c r="D5948" s="12"/>
    </row>
    <row r="5949" spans="1:4" x14ac:dyDescent="0.25">
      <c r="A5949" t="str">
        <f>IF(COUNTIF(B$1:B5949,B5949)=1,MAX(A$1:A5948)+1,"")</f>
        <v/>
      </c>
      <c r="B5949" s="11"/>
      <c r="C5949" s="11" t="str">
        <f>IF(COUNTIF(D$1:D5949,D5949)=1,MAX(C$1:C5948)+1,"")</f>
        <v/>
      </c>
      <c r="D5949" s="12"/>
    </row>
    <row r="5950" spans="1:4" x14ac:dyDescent="0.25">
      <c r="A5950" t="str">
        <f>IF(COUNTIF(B$1:B5950,B5950)=1,MAX(A$1:A5949)+1,"")</f>
        <v/>
      </c>
      <c r="B5950" s="11"/>
      <c r="C5950" s="11" t="str">
        <f>IF(COUNTIF(D$1:D5950,D5950)=1,MAX(C$1:C5949)+1,"")</f>
        <v/>
      </c>
      <c r="D5950" s="12"/>
    </row>
    <row r="5951" spans="1:4" x14ac:dyDescent="0.25">
      <c r="A5951" t="str">
        <f>IF(COUNTIF(B$1:B5951,B5951)=1,MAX(A$1:A5950)+1,"")</f>
        <v/>
      </c>
      <c r="B5951" s="11"/>
      <c r="C5951" s="11" t="str">
        <f>IF(COUNTIF(D$1:D5951,D5951)=1,MAX(C$1:C5950)+1,"")</f>
        <v/>
      </c>
      <c r="D5951" s="12"/>
    </row>
    <row r="5952" spans="1:4" x14ac:dyDescent="0.25">
      <c r="A5952" t="str">
        <f>IF(COUNTIF(B$1:B5952,B5952)=1,MAX(A$1:A5951)+1,"")</f>
        <v/>
      </c>
      <c r="B5952" s="11"/>
      <c r="C5952" s="11" t="str">
        <f>IF(COUNTIF(D$1:D5952,D5952)=1,MAX(C$1:C5951)+1,"")</f>
        <v/>
      </c>
      <c r="D5952" s="12"/>
    </row>
    <row r="5953" spans="1:4" x14ac:dyDescent="0.25">
      <c r="A5953" t="str">
        <f>IF(COUNTIF(B$1:B5953,B5953)=1,MAX(A$1:A5952)+1,"")</f>
        <v/>
      </c>
      <c r="B5953" s="11"/>
      <c r="C5953" s="11" t="str">
        <f>IF(COUNTIF(D$1:D5953,D5953)=1,MAX(C$1:C5952)+1,"")</f>
        <v/>
      </c>
      <c r="D5953" s="12"/>
    </row>
    <row r="5954" spans="1:4" x14ac:dyDescent="0.25">
      <c r="A5954" t="str">
        <f>IF(COUNTIF(B$1:B5954,B5954)=1,MAX(A$1:A5953)+1,"")</f>
        <v/>
      </c>
      <c r="B5954" s="11"/>
      <c r="C5954" s="11" t="str">
        <f>IF(COUNTIF(D$1:D5954,D5954)=1,MAX(C$1:C5953)+1,"")</f>
        <v/>
      </c>
      <c r="D5954" s="12"/>
    </row>
    <row r="5955" spans="1:4" x14ac:dyDescent="0.25">
      <c r="A5955" t="str">
        <f>IF(COUNTIF(B$1:B5955,B5955)=1,MAX(A$1:A5954)+1,"")</f>
        <v/>
      </c>
      <c r="B5955" s="11"/>
      <c r="C5955" s="11" t="str">
        <f>IF(COUNTIF(D$1:D5955,D5955)=1,MAX(C$1:C5954)+1,"")</f>
        <v/>
      </c>
      <c r="D5955" s="12"/>
    </row>
    <row r="5956" spans="1:4" x14ac:dyDescent="0.25">
      <c r="A5956" t="str">
        <f>IF(COUNTIF(B$1:B5956,B5956)=1,MAX(A$1:A5955)+1,"")</f>
        <v/>
      </c>
      <c r="B5956" s="11"/>
      <c r="C5956" s="11" t="str">
        <f>IF(COUNTIF(D$1:D5956,D5956)=1,MAX(C$1:C5955)+1,"")</f>
        <v/>
      </c>
      <c r="D5956" s="12"/>
    </row>
    <row r="5957" spans="1:4" x14ac:dyDescent="0.25">
      <c r="A5957" t="str">
        <f>IF(COUNTIF(B$1:B5957,B5957)=1,MAX(A$1:A5956)+1,"")</f>
        <v/>
      </c>
      <c r="B5957" s="11"/>
      <c r="C5957" s="11" t="str">
        <f>IF(COUNTIF(D$1:D5957,D5957)=1,MAX(C$1:C5956)+1,"")</f>
        <v/>
      </c>
      <c r="D5957" s="12"/>
    </row>
    <row r="5958" spans="1:4" x14ac:dyDescent="0.25">
      <c r="A5958" t="str">
        <f>IF(COUNTIF(B$1:B5958,B5958)=1,MAX(A$1:A5957)+1,"")</f>
        <v/>
      </c>
      <c r="B5958" s="11"/>
      <c r="C5958" s="11" t="str">
        <f>IF(COUNTIF(D$1:D5958,D5958)=1,MAX(C$1:C5957)+1,"")</f>
        <v/>
      </c>
      <c r="D5958" s="12"/>
    </row>
    <row r="5959" spans="1:4" x14ac:dyDescent="0.25">
      <c r="A5959" t="str">
        <f>IF(COUNTIF(B$1:B5959,B5959)=1,MAX(A$1:A5958)+1,"")</f>
        <v/>
      </c>
      <c r="B5959" s="11"/>
      <c r="C5959" s="11" t="str">
        <f>IF(COUNTIF(D$1:D5959,D5959)=1,MAX(C$1:C5958)+1,"")</f>
        <v/>
      </c>
      <c r="D5959" s="12"/>
    </row>
    <row r="5960" spans="1:4" x14ac:dyDescent="0.25">
      <c r="A5960" t="str">
        <f>IF(COUNTIF(B$1:B5960,B5960)=1,MAX(A$1:A5959)+1,"")</f>
        <v/>
      </c>
      <c r="B5960" s="11"/>
      <c r="C5960" s="11" t="str">
        <f>IF(COUNTIF(D$1:D5960,D5960)=1,MAX(C$1:C5959)+1,"")</f>
        <v/>
      </c>
      <c r="D5960" s="12"/>
    </row>
    <row r="5961" spans="1:4" x14ac:dyDescent="0.25">
      <c r="A5961" t="str">
        <f>IF(COUNTIF(B$1:B5961,B5961)=1,MAX(A$1:A5960)+1,"")</f>
        <v/>
      </c>
      <c r="B5961" s="11"/>
      <c r="C5961" s="11" t="str">
        <f>IF(COUNTIF(D$1:D5961,D5961)=1,MAX(C$1:C5960)+1,"")</f>
        <v/>
      </c>
      <c r="D5961" s="12"/>
    </row>
    <row r="5962" spans="1:4" x14ac:dyDescent="0.25">
      <c r="A5962" t="str">
        <f>IF(COUNTIF(B$1:B5962,B5962)=1,MAX(A$1:A5961)+1,"")</f>
        <v/>
      </c>
      <c r="B5962" s="11"/>
      <c r="C5962" s="11" t="str">
        <f>IF(COUNTIF(D$1:D5962,D5962)=1,MAX(C$1:C5961)+1,"")</f>
        <v/>
      </c>
      <c r="D5962" s="12"/>
    </row>
    <row r="5963" spans="1:4" x14ac:dyDescent="0.25">
      <c r="A5963" t="str">
        <f>IF(COUNTIF(B$1:B5963,B5963)=1,MAX(A$1:A5962)+1,"")</f>
        <v/>
      </c>
      <c r="B5963" s="11"/>
      <c r="C5963" s="11" t="str">
        <f>IF(COUNTIF(D$1:D5963,D5963)=1,MAX(C$1:C5962)+1,"")</f>
        <v/>
      </c>
      <c r="D5963" s="12"/>
    </row>
    <row r="5964" spans="1:4" x14ac:dyDescent="0.25">
      <c r="A5964" t="str">
        <f>IF(COUNTIF(B$1:B5964,B5964)=1,MAX(A$1:A5963)+1,"")</f>
        <v/>
      </c>
      <c r="B5964" s="11"/>
      <c r="C5964" s="11" t="str">
        <f>IF(COUNTIF(D$1:D5964,D5964)=1,MAX(C$1:C5963)+1,"")</f>
        <v/>
      </c>
      <c r="D5964" s="12"/>
    </row>
    <row r="5965" spans="1:4" x14ac:dyDescent="0.25">
      <c r="A5965" t="str">
        <f>IF(COUNTIF(B$1:B5965,B5965)=1,MAX(A$1:A5964)+1,"")</f>
        <v/>
      </c>
      <c r="B5965" s="11"/>
      <c r="C5965" s="11" t="str">
        <f>IF(COUNTIF(D$1:D5965,D5965)=1,MAX(C$1:C5964)+1,"")</f>
        <v/>
      </c>
      <c r="D5965" s="12"/>
    </row>
    <row r="5966" spans="1:4" x14ac:dyDescent="0.25">
      <c r="A5966" t="str">
        <f>IF(COUNTIF(B$1:B5966,B5966)=1,MAX(A$1:A5965)+1,"")</f>
        <v/>
      </c>
      <c r="B5966" s="11"/>
      <c r="C5966" s="11" t="str">
        <f>IF(COUNTIF(D$1:D5966,D5966)=1,MAX(C$1:C5965)+1,"")</f>
        <v/>
      </c>
      <c r="D5966" s="12"/>
    </row>
    <row r="5967" spans="1:4" x14ac:dyDescent="0.25">
      <c r="A5967" t="str">
        <f>IF(COUNTIF(B$1:B5967,B5967)=1,MAX(A$1:A5966)+1,"")</f>
        <v/>
      </c>
      <c r="B5967" s="11"/>
      <c r="C5967" s="11" t="str">
        <f>IF(COUNTIF(D$1:D5967,D5967)=1,MAX(C$1:C5966)+1,"")</f>
        <v/>
      </c>
      <c r="D5967" s="12"/>
    </row>
    <row r="5968" spans="1:4" x14ac:dyDescent="0.25">
      <c r="A5968" t="str">
        <f>IF(COUNTIF(B$1:B5968,B5968)=1,MAX(A$1:A5967)+1,"")</f>
        <v/>
      </c>
      <c r="B5968" s="11"/>
      <c r="C5968" s="11" t="str">
        <f>IF(COUNTIF(D$1:D5968,D5968)=1,MAX(C$1:C5967)+1,"")</f>
        <v/>
      </c>
      <c r="D5968" s="12"/>
    </row>
    <row r="5969" spans="1:4" x14ac:dyDescent="0.25">
      <c r="A5969" t="str">
        <f>IF(COUNTIF(B$1:B5969,B5969)=1,MAX(A$1:A5968)+1,"")</f>
        <v/>
      </c>
      <c r="B5969" s="11"/>
      <c r="C5969" s="11" t="str">
        <f>IF(COUNTIF(D$1:D5969,D5969)=1,MAX(C$1:C5968)+1,"")</f>
        <v/>
      </c>
      <c r="D5969" s="12"/>
    </row>
    <row r="5970" spans="1:4" x14ac:dyDescent="0.25">
      <c r="A5970" t="str">
        <f>IF(COUNTIF(B$1:B5970,B5970)=1,MAX(A$1:A5969)+1,"")</f>
        <v/>
      </c>
      <c r="B5970" s="11"/>
      <c r="C5970" s="11" t="str">
        <f>IF(COUNTIF(D$1:D5970,D5970)=1,MAX(C$1:C5969)+1,"")</f>
        <v/>
      </c>
      <c r="D5970" s="12"/>
    </row>
    <row r="5971" spans="1:4" x14ac:dyDescent="0.25">
      <c r="A5971" t="str">
        <f>IF(COUNTIF(B$1:B5971,B5971)=1,MAX(A$1:A5970)+1,"")</f>
        <v/>
      </c>
      <c r="B5971" s="11"/>
      <c r="C5971" s="11" t="str">
        <f>IF(COUNTIF(D$1:D5971,D5971)=1,MAX(C$1:C5970)+1,"")</f>
        <v/>
      </c>
      <c r="D5971" s="12"/>
    </row>
    <row r="5972" spans="1:4" x14ac:dyDescent="0.25">
      <c r="A5972" t="str">
        <f>IF(COUNTIF(B$1:B5972,B5972)=1,MAX(A$1:A5971)+1,"")</f>
        <v/>
      </c>
      <c r="B5972" s="11"/>
      <c r="C5972" s="11" t="str">
        <f>IF(COUNTIF(D$1:D5972,D5972)=1,MAX(C$1:C5971)+1,"")</f>
        <v/>
      </c>
      <c r="D5972" s="12"/>
    </row>
    <row r="5973" spans="1:4" x14ac:dyDescent="0.25">
      <c r="A5973" t="str">
        <f>IF(COUNTIF(B$1:B5973,B5973)=1,MAX(A$1:A5972)+1,"")</f>
        <v/>
      </c>
      <c r="B5973" s="11"/>
      <c r="C5973" s="11" t="str">
        <f>IF(COUNTIF(D$1:D5973,D5973)=1,MAX(C$1:C5972)+1,"")</f>
        <v/>
      </c>
      <c r="D5973" s="12"/>
    </row>
    <row r="5974" spans="1:4" x14ac:dyDescent="0.25">
      <c r="A5974" t="str">
        <f>IF(COUNTIF(B$1:B5974,B5974)=1,MAX(A$1:A5973)+1,"")</f>
        <v/>
      </c>
      <c r="B5974" s="11"/>
      <c r="C5974" s="11" t="str">
        <f>IF(COUNTIF(D$1:D5974,D5974)=1,MAX(C$1:C5973)+1,"")</f>
        <v/>
      </c>
      <c r="D5974" s="12"/>
    </row>
    <row r="5975" spans="1:4" x14ac:dyDescent="0.25">
      <c r="A5975" t="str">
        <f>IF(COUNTIF(B$1:B5975,B5975)=1,MAX(A$1:A5974)+1,"")</f>
        <v/>
      </c>
      <c r="B5975" s="11"/>
      <c r="C5975" s="11" t="str">
        <f>IF(COUNTIF(D$1:D5975,D5975)=1,MAX(C$1:C5974)+1,"")</f>
        <v/>
      </c>
      <c r="D5975" s="12"/>
    </row>
    <row r="5976" spans="1:4" x14ac:dyDescent="0.25">
      <c r="A5976" t="str">
        <f>IF(COUNTIF(B$1:B5976,B5976)=1,MAX(A$1:A5975)+1,"")</f>
        <v/>
      </c>
      <c r="B5976" s="11"/>
      <c r="C5976" s="11" t="str">
        <f>IF(COUNTIF(D$1:D5976,D5976)=1,MAX(C$1:C5975)+1,"")</f>
        <v/>
      </c>
      <c r="D5976" s="12"/>
    </row>
    <row r="5977" spans="1:4" x14ac:dyDescent="0.25">
      <c r="A5977" t="str">
        <f>IF(COUNTIF(B$1:B5977,B5977)=1,MAX(A$1:A5976)+1,"")</f>
        <v/>
      </c>
      <c r="B5977" s="11"/>
      <c r="C5977" s="11" t="str">
        <f>IF(COUNTIF(D$1:D5977,D5977)=1,MAX(C$1:C5976)+1,"")</f>
        <v/>
      </c>
      <c r="D5977" s="12"/>
    </row>
    <row r="5978" spans="1:4" x14ac:dyDescent="0.25">
      <c r="A5978" t="str">
        <f>IF(COUNTIF(B$1:B5978,B5978)=1,MAX(A$1:A5977)+1,"")</f>
        <v/>
      </c>
      <c r="B5978" s="11"/>
      <c r="C5978" s="11" t="str">
        <f>IF(COUNTIF(D$1:D5978,D5978)=1,MAX(C$1:C5977)+1,"")</f>
        <v/>
      </c>
      <c r="D5978" s="12"/>
    </row>
    <row r="5979" spans="1:4" x14ac:dyDescent="0.25">
      <c r="A5979" t="str">
        <f>IF(COUNTIF(B$1:B5979,B5979)=1,MAX(A$1:A5978)+1,"")</f>
        <v/>
      </c>
      <c r="B5979" s="11"/>
      <c r="C5979" s="11" t="str">
        <f>IF(COUNTIF(D$1:D5979,D5979)=1,MAX(C$1:C5978)+1,"")</f>
        <v/>
      </c>
      <c r="D5979" s="12"/>
    </row>
    <row r="5980" spans="1:4" x14ac:dyDescent="0.25">
      <c r="A5980" t="str">
        <f>IF(COUNTIF(B$1:B5980,B5980)=1,MAX(A$1:A5979)+1,"")</f>
        <v/>
      </c>
      <c r="B5980" s="11"/>
      <c r="C5980" s="11" t="str">
        <f>IF(COUNTIF(D$1:D5980,D5980)=1,MAX(C$1:C5979)+1,"")</f>
        <v/>
      </c>
      <c r="D5980" s="12"/>
    </row>
    <row r="5981" spans="1:4" x14ac:dyDescent="0.25">
      <c r="A5981" t="str">
        <f>IF(COUNTIF(B$1:B5981,B5981)=1,MAX(A$1:A5980)+1,"")</f>
        <v/>
      </c>
      <c r="B5981" s="11"/>
      <c r="C5981" s="11" t="str">
        <f>IF(COUNTIF(D$1:D5981,D5981)=1,MAX(C$1:C5980)+1,"")</f>
        <v/>
      </c>
      <c r="D5981" s="12"/>
    </row>
    <row r="5982" spans="1:4" x14ac:dyDescent="0.25">
      <c r="A5982" t="str">
        <f>IF(COUNTIF(B$1:B5982,B5982)=1,MAX(A$1:A5981)+1,"")</f>
        <v/>
      </c>
      <c r="B5982" s="11"/>
      <c r="C5982" s="11" t="str">
        <f>IF(COUNTIF(D$1:D5982,D5982)=1,MAX(C$1:C5981)+1,"")</f>
        <v/>
      </c>
      <c r="D5982" s="12"/>
    </row>
    <row r="5983" spans="1:4" x14ac:dyDescent="0.25">
      <c r="A5983" t="str">
        <f>IF(COUNTIF(B$1:B5983,B5983)=1,MAX(A$1:A5982)+1,"")</f>
        <v/>
      </c>
      <c r="B5983" s="11"/>
      <c r="C5983" s="11" t="str">
        <f>IF(COUNTIF(D$1:D5983,D5983)=1,MAX(C$1:C5982)+1,"")</f>
        <v/>
      </c>
      <c r="D5983" s="12"/>
    </row>
    <row r="5984" spans="1:4" x14ac:dyDescent="0.25">
      <c r="A5984" t="str">
        <f>IF(COUNTIF(B$1:B5984,B5984)=1,MAX(A$1:A5983)+1,"")</f>
        <v/>
      </c>
      <c r="B5984" s="11"/>
      <c r="C5984" s="11" t="str">
        <f>IF(COUNTIF(D$1:D5984,D5984)=1,MAX(C$1:C5983)+1,"")</f>
        <v/>
      </c>
      <c r="D5984" s="12"/>
    </row>
    <row r="5985" spans="1:4" x14ac:dyDescent="0.25">
      <c r="A5985" t="str">
        <f>IF(COUNTIF(B$1:B5985,B5985)=1,MAX(A$1:A5984)+1,"")</f>
        <v/>
      </c>
      <c r="B5985" s="11"/>
      <c r="C5985" s="11" t="str">
        <f>IF(COUNTIF(D$1:D5985,D5985)=1,MAX(C$1:C5984)+1,"")</f>
        <v/>
      </c>
      <c r="D5985" s="12"/>
    </row>
    <row r="5986" spans="1:4" x14ac:dyDescent="0.25">
      <c r="A5986" t="str">
        <f>IF(COUNTIF(B$1:B5986,B5986)=1,MAX(A$1:A5985)+1,"")</f>
        <v/>
      </c>
      <c r="B5986" s="11"/>
      <c r="C5986" s="11" t="str">
        <f>IF(COUNTIF(D$1:D5986,D5986)=1,MAX(C$1:C5985)+1,"")</f>
        <v/>
      </c>
      <c r="D5986" s="12"/>
    </row>
    <row r="5987" spans="1:4" x14ac:dyDescent="0.25">
      <c r="A5987" t="str">
        <f>IF(COUNTIF(B$1:B5987,B5987)=1,MAX(A$1:A5986)+1,"")</f>
        <v/>
      </c>
      <c r="B5987" s="11"/>
      <c r="C5987" s="11" t="str">
        <f>IF(COUNTIF(D$1:D5987,D5987)=1,MAX(C$1:C5986)+1,"")</f>
        <v/>
      </c>
      <c r="D5987" s="12"/>
    </row>
    <row r="5988" spans="1:4" x14ac:dyDescent="0.25">
      <c r="A5988" t="str">
        <f>IF(COUNTIF(B$1:B5988,B5988)=1,MAX(A$1:A5987)+1,"")</f>
        <v/>
      </c>
      <c r="B5988" s="11"/>
      <c r="C5988" s="11" t="str">
        <f>IF(COUNTIF(D$1:D5988,D5988)=1,MAX(C$1:C5987)+1,"")</f>
        <v/>
      </c>
      <c r="D5988" s="12"/>
    </row>
    <row r="5989" spans="1:4" x14ac:dyDescent="0.25">
      <c r="A5989" t="str">
        <f>IF(COUNTIF(B$1:B5989,B5989)=1,MAX(A$1:A5988)+1,"")</f>
        <v/>
      </c>
      <c r="B5989" s="11"/>
      <c r="C5989" s="11" t="str">
        <f>IF(COUNTIF(D$1:D5989,D5989)=1,MAX(C$1:C5988)+1,"")</f>
        <v/>
      </c>
      <c r="D5989" s="12"/>
    </row>
    <row r="5990" spans="1:4" x14ac:dyDescent="0.25">
      <c r="A5990" t="str">
        <f>IF(COUNTIF(B$1:B5990,B5990)=1,MAX(A$1:A5989)+1,"")</f>
        <v/>
      </c>
      <c r="B5990" s="11"/>
      <c r="C5990" s="11" t="str">
        <f>IF(COUNTIF(D$1:D5990,D5990)=1,MAX(C$1:C5989)+1,"")</f>
        <v/>
      </c>
      <c r="D5990" s="12"/>
    </row>
    <row r="5991" spans="1:4" x14ac:dyDescent="0.25">
      <c r="A5991" t="str">
        <f>IF(COUNTIF(B$1:B5991,B5991)=1,MAX(A$1:A5990)+1,"")</f>
        <v/>
      </c>
      <c r="B5991" s="11"/>
      <c r="C5991" s="11" t="str">
        <f>IF(COUNTIF(D$1:D5991,D5991)=1,MAX(C$1:C5990)+1,"")</f>
        <v/>
      </c>
      <c r="D5991" s="12"/>
    </row>
    <row r="5992" spans="1:4" x14ac:dyDescent="0.25">
      <c r="A5992" t="str">
        <f>IF(COUNTIF(B$1:B5992,B5992)=1,MAX(A$1:A5991)+1,"")</f>
        <v/>
      </c>
      <c r="B5992" s="11"/>
      <c r="C5992" s="11" t="str">
        <f>IF(COUNTIF(D$1:D5992,D5992)=1,MAX(C$1:C5991)+1,"")</f>
        <v/>
      </c>
      <c r="D5992" s="12"/>
    </row>
    <row r="5993" spans="1:4" x14ac:dyDescent="0.25">
      <c r="A5993" t="str">
        <f>IF(COUNTIF(B$1:B5993,B5993)=1,MAX(A$1:A5992)+1,"")</f>
        <v/>
      </c>
      <c r="B5993" s="11"/>
      <c r="C5993" s="11" t="str">
        <f>IF(COUNTIF(D$1:D5993,D5993)=1,MAX(C$1:C5992)+1,"")</f>
        <v/>
      </c>
      <c r="D5993" s="12"/>
    </row>
    <row r="5994" spans="1:4" x14ac:dyDescent="0.25">
      <c r="A5994" t="str">
        <f>IF(COUNTIF(B$1:B5994,B5994)=1,MAX(A$1:A5993)+1,"")</f>
        <v/>
      </c>
      <c r="B5994" s="11"/>
      <c r="C5994" s="11" t="str">
        <f>IF(COUNTIF(D$1:D5994,D5994)=1,MAX(C$1:C5993)+1,"")</f>
        <v/>
      </c>
      <c r="D5994" s="12"/>
    </row>
    <row r="5995" spans="1:4" x14ac:dyDescent="0.25">
      <c r="A5995" t="str">
        <f>IF(COUNTIF(B$1:B5995,B5995)=1,MAX(A$1:A5994)+1,"")</f>
        <v/>
      </c>
      <c r="B5995" s="11"/>
      <c r="C5995" s="11" t="str">
        <f>IF(COUNTIF(D$1:D5995,D5995)=1,MAX(C$1:C5994)+1,"")</f>
        <v/>
      </c>
      <c r="D5995" s="12"/>
    </row>
    <row r="5996" spans="1:4" x14ac:dyDescent="0.25">
      <c r="A5996" t="str">
        <f>IF(COUNTIF(B$1:B5996,B5996)=1,MAX(A$1:A5995)+1,"")</f>
        <v/>
      </c>
      <c r="B5996" s="11"/>
      <c r="C5996" s="11" t="str">
        <f>IF(COUNTIF(D$1:D5996,D5996)=1,MAX(C$1:C5995)+1,"")</f>
        <v/>
      </c>
      <c r="D5996" s="12"/>
    </row>
    <row r="5997" spans="1:4" x14ac:dyDescent="0.25">
      <c r="A5997" t="str">
        <f>IF(COUNTIF(B$1:B5997,B5997)=1,MAX(A$1:A5996)+1,"")</f>
        <v/>
      </c>
      <c r="B5997" s="11"/>
      <c r="C5997" s="11" t="str">
        <f>IF(COUNTIF(D$1:D5997,D5997)=1,MAX(C$1:C5996)+1,"")</f>
        <v/>
      </c>
      <c r="D5997" s="12"/>
    </row>
    <row r="5998" spans="1:4" x14ac:dyDescent="0.25">
      <c r="A5998" t="str">
        <f>IF(COUNTIF(B$1:B5998,B5998)=1,MAX(A$1:A5997)+1,"")</f>
        <v/>
      </c>
      <c r="B5998" s="11"/>
      <c r="C5998" s="11" t="str">
        <f>IF(COUNTIF(D$1:D5998,D5998)=1,MAX(C$1:C5997)+1,"")</f>
        <v/>
      </c>
      <c r="D5998" s="12"/>
    </row>
    <row r="5999" spans="1:4" x14ac:dyDescent="0.25">
      <c r="A5999" t="str">
        <f>IF(COUNTIF(B$1:B5999,B5999)=1,MAX(A$1:A5998)+1,"")</f>
        <v/>
      </c>
      <c r="B5999" s="11"/>
      <c r="C5999" s="11" t="str">
        <f>IF(COUNTIF(D$1:D5999,D5999)=1,MAX(C$1:C5998)+1,"")</f>
        <v/>
      </c>
      <c r="D5999" s="12"/>
    </row>
    <row r="6000" spans="1:4" x14ac:dyDescent="0.25">
      <c r="A6000" t="str">
        <f>IF(COUNTIF(B$1:B6000,B6000)=1,MAX(A$1:A5999)+1,"")</f>
        <v/>
      </c>
      <c r="B6000" s="11"/>
      <c r="C6000" s="11" t="str">
        <f>IF(COUNTIF(D$1:D6000,D6000)=1,MAX(C$1:C5999)+1,"")</f>
        <v/>
      </c>
      <c r="D6000" s="12"/>
    </row>
    <row r="6001" spans="1:4" x14ac:dyDescent="0.25">
      <c r="A6001" t="str">
        <f>IF(COUNTIF(B$1:B6001,B6001)=1,MAX(A$1:A6000)+1,"")</f>
        <v/>
      </c>
      <c r="B6001" s="11"/>
      <c r="C6001" s="11" t="str">
        <f>IF(COUNTIF(D$1:D6001,D6001)=1,MAX(C$1:C6000)+1,"")</f>
        <v/>
      </c>
      <c r="D6001" s="12"/>
    </row>
    <row r="6002" spans="1:4" x14ac:dyDescent="0.25">
      <c r="A6002" t="str">
        <f>IF(COUNTIF(B$1:B6002,B6002)=1,MAX(A$1:A6001)+1,"")</f>
        <v/>
      </c>
      <c r="B6002" s="11"/>
      <c r="C6002" s="11" t="str">
        <f>IF(COUNTIF(D$1:D6002,D6002)=1,MAX(C$1:C6001)+1,"")</f>
        <v/>
      </c>
      <c r="D6002" s="12"/>
    </row>
    <row r="6003" spans="1:4" x14ac:dyDescent="0.25">
      <c r="A6003" t="str">
        <f>IF(COUNTIF(B$1:B6003,B6003)=1,MAX(A$1:A6002)+1,"")</f>
        <v/>
      </c>
      <c r="B6003" s="11"/>
      <c r="C6003" s="11" t="str">
        <f>IF(COUNTIF(D$1:D6003,D6003)=1,MAX(C$1:C6002)+1,"")</f>
        <v/>
      </c>
      <c r="D6003" s="12"/>
    </row>
    <row r="6004" spans="1:4" x14ac:dyDescent="0.25">
      <c r="A6004" t="str">
        <f>IF(COUNTIF(B$1:B6004,B6004)=1,MAX(A$1:A6003)+1,"")</f>
        <v/>
      </c>
      <c r="B6004" s="11"/>
      <c r="C6004" s="11" t="str">
        <f>IF(COUNTIF(D$1:D6004,D6004)=1,MAX(C$1:C6003)+1,"")</f>
        <v/>
      </c>
      <c r="D6004" s="12"/>
    </row>
    <row r="6005" spans="1:4" x14ac:dyDescent="0.25">
      <c r="A6005" t="str">
        <f>IF(COUNTIF(B$1:B6005,B6005)=1,MAX(A$1:A6004)+1,"")</f>
        <v/>
      </c>
      <c r="B6005" s="11"/>
      <c r="C6005" s="11" t="str">
        <f>IF(COUNTIF(D$1:D6005,D6005)=1,MAX(C$1:C6004)+1,"")</f>
        <v/>
      </c>
      <c r="D6005" s="12"/>
    </row>
    <row r="6006" spans="1:4" x14ac:dyDescent="0.25">
      <c r="A6006" t="str">
        <f>IF(COUNTIF(B$1:B6006,B6006)=1,MAX(A$1:A6005)+1,"")</f>
        <v/>
      </c>
      <c r="B6006" s="11"/>
      <c r="C6006" s="11" t="str">
        <f>IF(COUNTIF(D$1:D6006,D6006)=1,MAX(C$1:C6005)+1,"")</f>
        <v/>
      </c>
      <c r="D6006" s="12"/>
    </row>
    <row r="6007" spans="1:4" x14ac:dyDescent="0.25">
      <c r="A6007" t="str">
        <f>IF(COUNTIF(B$1:B6007,B6007)=1,MAX(A$1:A6006)+1,"")</f>
        <v/>
      </c>
      <c r="B6007" s="11"/>
      <c r="C6007" s="11" t="str">
        <f>IF(COUNTIF(D$1:D6007,D6007)=1,MAX(C$1:C6006)+1,"")</f>
        <v/>
      </c>
      <c r="D6007" s="12"/>
    </row>
    <row r="6008" spans="1:4" x14ac:dyDescent="0.25">
      <c r="A6008" t="str">
        <f>IF(COUNTIF(B$1:B6008,B6008)=1,MAX(A$1:A6007)+1,"")</f>
        <v/>
      </c>
      <c r="B6008" s="11"/>
      <c r="C6008" s="11" t="str">
        <f>IF(COUNTIF(D$1:D6008,D6008)=1,MAX(C$1:C6007)+1,"")</f>
        <v/>
      </c>
      <c r="D6008" s="12"/>
    </row>
    <row r="6009" spans="1:4" x14ac:dyDescent="0.25">
      <c r="A6009" t="str">
        <f>IF(COUNTIF(B$1:B6009,B6009)=1,MAX(A$1:A6008)+1,"")</f>
        <v/>
      </c>
      <c r="B6009" s="11"/>
      <c r="C6009" s="11" t="str">
        <f>IF(COUNTIF(D$1:D6009,D6009)=1,MAX(C$1:C6008)+1,"")</f>
        <v/>
      </c>
      <c r="D6009" s="12"/>
    </row>
    <row r="6010" spans="1:4" x14ac:dyDescent="0.25">
      <c r="A6010" t="str">
        <f>IF(COUNTIF(B$1:B6010,B6010)=1,MAX(A$1:A6009)+1,"")</f>
        <v/>
      </c>
      <c r="B6010" s="11"/>
      <c r="C6010" s="11" t="str">
        <f>IF(COUNTIF(D$1:D6010,D6010)=1,MAX(C$1:C6009)+1,"")</f>
        <v/>
      </c>
      <c r="D6010" s="12"/>
    </row>
    <row r="6011" spans="1:4" x14ac:dyDescent="0.25">
      <c r="A6011" t="str">
        <f>IF(COUNTIF(B$1:B6011,B6011)=1,MAX(A$1:A6010)+1,"")</f>
        <v/>
      </c>
      <c r="B6011" s="11"/>
      <c r="C6011" s="11" t="str">
        <f>IF(COUNTIF(D$1:D6011,D6011)=1,MAX(C$1:C6010)+1,"")</f>
        <v/>
      </c>
      <c r="D6011" s="12"/>
    </row>
    <row r="6012" spans="1:4" x14ac:dyDescent="0.25">
      <c r="A6012" t="str">
        <f>IF(COUNTIF(B$1:B6012,B6012)=1,MAX(A$1:A6011)+1,"")</f>
        <v/>
      </c>
      <c r="B6012" s="11"/>
      <c r="C6012" s="11" t="str">
        <f>IF(COUNTIF(D$1:D6012,D6012)=1,MAX(C$1:C6011)+1,"")</f>
        <v/>
      </c>
      <c r="D6012" s="12"/>
    </row>
    <row r="6013" spans="1:4" x14ac:dyDescent="0.25">
      <c r="A6013" t="str">
        <f>IF(COUNTIF(B$1:B6013,B6013)=1,MAX(A$1:A6012)+1,"")</f>
        <v/>
      </c>
      <c r="B6013" s="11"/>
      <c r="C6013" s="11" t="str">
        <f>IF(COUNTIF(D$1:D6013,D6013)=1,MAX(C$1:C6012)+1,"")</f>
        <v/>
      </c>
      <c r="D6013" s="12"/>
    </row>
    <row r="6014" spans="1:4" x14ac:dyDescent="0.25">
      <c r="A6014" t="str">
        <f>IF(COUNTIF(B$1:B6014,B6014)=1,MAX(A$1:A6013)+1,"")</f>
        <v/>
      </c>
      <c r="B6014" s="11"/>
      <c r="C6014" s="11" t="str">
        <f>IF(COUNTIF(D$1:D6014,D6014)=1,MAX(C$1:C6013)+1,"")</f>
        <v/>
      </c>
      <c r="D6014" s="12"/>
    </row>
    <row r="6015" spans="1:4" x14ac:dyDescent="0.25">
      <c r="A6015" t="str">
        <f>IF(COUNTIF(B$1:B6015,B6015)=1,MAX(A$1:A6014)+1,"")</f>
        <v/>
      </c>
      <c r="B6015" s="11"/>
      <c r="C6015" s="11" t="str">
        <f>IF(COUNTIF(D$1:D6015,D6015)=1,MAX(C$1:C6014)+1,"")</f>
        <v/>
      </c>
      <c r="D6015" s="12"/>
    </row>
    <row r="6016" spans="1:4" x14ac:dyDescent="0.25">
      <c r="A6016" t="str">
        <f>IF(COUNTIF(B$1:B6016,B6016)=1,MAX(A$1:A6015)+1,"")</f>
        <v/>
      </c>
      <c r="B6016" s="11"/>
      <c r="C6016" s="11" t="str">
        <f>IF(COUNTIF(D$1:D6016,D6016)=1,MAX(C$1:C6015)+1,"")</f>
        <v/>
      </c>
      <c r="D6016" s="12"/>
    </row>
    <row r="6017" spans="1:4" x14ac:dyDescent="0.25">
      <c r="A6017" t="str">
        <f>IF(COUNTIF(B$1:B6017,B6017)=1,MAX(A$1:A6016)+1,"")</f>
        <v/>
      </c>
      <c r="B6017" s="11"/>
      <c r="C6017" s="11" t="str">
        <f>IF(COUNTIF(D$1:D6017,D6017)=1,MAX(C$1:C6016)+1,"")</f>
        <v/>
      </c>
      <c r="D6017" s="12"/>
    </row>
    <row r="6018" spans="1:4" x14ac:dyDescent="0.25">
      <c r="A6018" t="str">
        <f>IF(COUNTIF(B$1:B6018,B6018)=1,MAX(A$1:A6017)+1,"")</f>
        <v/>
      </c>
      <c r="B6018" s="11"/>
      <c r="C6018" s="11" t="str">
        <f>IF(COUNTIF(D$1:D6018,D6018)=1,MAX(C$1:C6017)+1,"")</f>
        <v/>
      </c>
      <c r="D6018" s="12"/>
    </row>
    <row r="6019" spans="1:4" x14ac:dyDescent="0.25">
      <c r="A6019" t="str">
        <f>IF(COUNTIF(B$1:B6019,B6019)=1,MAX(A$1:A6018)+1,"")</f>
        <v/>
      </c>
      <c r="B6019" s="11"/>
      <c r="C6019" s="11" t="str">
        <f>IF(COUNTIF(D$1:D6019,D6019)=1,MAX(C$1:C6018)+1,"")</f>
        <v/>
      </c>
      <c r="D6019" s="12"/>
    </row>
    <row r="6020" spans="1:4" x14ac:dyDescent="0.25">
      <c r="A6020" t="str">
        <f>IF(COUNTIF(B$1:B6020,B6020)=1,MAX(A$1:A6019)+1,"")</f>
        <v/>
      </c>
      <c r="B6020" s="11"/>
      <c r="C6020" s="11" t="str">
        <f>IF(COUNTIF(D$1:D6020,D6020)=1,MAX(C$1:C6019)+1,"")</f>
        <v/>
      </c>
      <c r="D6020" s="12"/>
    </row>
    <row r="6021" spans="1:4" x14ac:dyDescent="0.25">
      <c r="A6021" t="str">
        <f>IF(COUNTIF(B$1:B6021,B6021)=1,MAX(A$1:A6020)+1,"")</f>
        <v/>
      </c>
      <c r="B6021" s="11"/>
      <c r="C6021" s="11" t="str">
        <f>IF(COUNTIF(D$1:D6021,D6021)=1,MAX(C$1:C6020)+1,"")</f>
        <v/>
      </c>
      <c r="D6021" s="12"/>
    </row>
    <row r="6022" spans="1:4" x14ac:dyDescent="0.25">
      <c r="A6022" t="str">
        <f>IF(COUNTIF(B$1:B6022,B6022)=1,MAX(A$1:A6021)+1,"")</f>
        <v/>
      </c>
      <c r="B6022" s="11"/>
      <c r="C6022" s="11" t="str">
        <f>IF(COUNTIF(D$1:D6022,D6022)=1,MAX(C$1:C6021)+1,"")</f>
        <v/>
      </c>
      <c r="D6022" s="12"/>
    </row>
    <row r="6023" spans="1:4" x14ac:dyDescent="0.25">
      <c r="A6023" t="str">
        <f>IF(COUNTIF(B$1:B6023,B6023)=1,MAX(A$1:A6022)+1,"")</f>
        <v/>
      </c>
      <c r="B6023" s="11"/>
      <c r="C6023" s="11" t="str">
        <f>IF(COUNTIF(D$1:D6023,D6023)=1,MAX(C$1:C6022)+1,"")</f>
        <v/>
      </c>
      <c r="D6023" s="12"/>
    </row>
    <row r="6024" spans="1:4" x14ac:dyDescent="0.25">
      <c r="A6024" t="str">
        <f>IF(COUNTIF(B$1:B6024,B6024)=1,MAX(A$1:A6023)+1,"")</f>
        <v/>
      </c>
      <c r="B6024" s="11"/>
      <c r="C6024" s="11" t="str">
        <f>IF(COUNTIF(D$1:D6024,D6024)=1,MAX(C$1:C6023)+1,"")</f>
        <v/>
      </c>
      <c r="D6024" s="12"/>
    </row>
    <row r="6025" spans="1:4" x14ac:dyDescent="0.25">
      <c r="A6025" t="str">
        <f>IF(COUNTIF(B$1:B6025,B6025)=1,MAX(A$1:A6024)+1,"")</f>
        <v/>
      </c>
      <c r="B6025" s="11"/>
      <c r="C6025" s="11" t="str">
        <f>IF(COUNTIF(D$1:D6025,D6025)=1,MAX(C$1:C6024)+1,"")</f>
        <v/>
      </c>
      <c r="D6025" s="12"/>
    </row>
    <row r="6026" spans="1:4" x14ac:dyDescent="0.25">
      <c r="A6026" t="str">
        <f>IF(COUNTIF(B$1:B6026,B6026)=1,MAX(A$1:A6025)+1,"")</f>
        <v/>
      </c>
      <c r="B6026" s="11"/>
      <c r="C6026" s="11" t="str">
        <f>IF(COUNTIF(D$1:D6026,D6026)=1,MAX(C$1:C6025)+1,"")</f>
        <v/>
      </c>
      <c r="D6026" s="12"/>
    </row>
    <row r="6027" spans="1:4" x14ac:dyDescent="0.25">
      <c r="A6027" t="str">
        <f>IF(COUNTIF(B$1:B6027,B6027)=1,MAX(A$1:A6026)+1,"")</f>
        <v/>
      </c>
      <c r="B6027" s="11"/>
      <c r="C6027" s="11" t="str">
        <f>IF(COUNTIF(D$1:D6027,D6027)=1,MAX(C$1:C6026)+1,"")</f>
        <v/>
      </c>
      <c r="D6027" s="12"/>
    </row>
    <row r="6028" spans="1:4" x14ac:dyDescent="0.25">
      <c r="A6028" t="str">
        <f>IF(COUNTIF(B$1:B6028,B6028)=1,MAX(A$1:A6027)+1,"")</f>
        <v/>
      </c>
      <c r="B6028" s="11"/>
      <c r="C6028" s="11" t="str">
        <f>IF(COUNTIF(D$1:D6028,D6028)=1,MAX(C$1:C6027)+1,"")</f>
        <v/>
      </c>
      <c r="D6028" s="12"/>
    </row>
    <row r="6029" spans="1:4" x14ac:dyDescent="0.25">
      <c r="A6029" t="str">
        <f>IF(COUNTIF(B$1:B6029,B6029)=1,MAX(A$1:A6028)+1,"")</f>
        <v/>
      </c>
      <c r="B6029" s="11"/>
      <c r="C6029" s="11" t="str">
        <f>IF(COUNTIF(D$1:D6029,D6029)=1,MAX(C$1:C6028)+1,"")</f>
        <v/>
      </c>
      <c r="D6029" s="12"/>
    </row>
    <row r="6030" spans="1:4" x14ac:dyDescent="0.25">
      <c r="A6030" t="str">
        <f>IF(COUNTIF(B$1:B6030,B6030)=1,MAX(A$1:A6029)+1,"")</f>
        <v/>
      </c>
      <c r="B6030" s="11"/>
      <c r="C6030" s="11" t="str">
        <f>IF(COUNTIF(D$1:D6030,D6030)=1,MAX(C$1:C6029)+1,"")</f>
        <v/>
      </c>
      <c r="D6030" s="12"/>
    </row>
    <row r="6031" spans="1:4" x14ac:dyDescent="0.25">
      <c r="A6031" t="str">
        <f>IF(COUNTIF(B$1:B6031,B6031)=1,MAX(A$1:A6030)+1,"")</f>
        <v/>
      </c>
      <c r="B6031" s="11"/>
      <c r="C6031" s="11" t="str">
        <f>IF(COUNTIF(D$1:D6031,D6031)=1,MAX(C$1:C6030)+1,"")</f>
        <v/>
      </c>
      <c r="D6031" s="12"/>
    </row>
    <row r="6032" spans="1:4" x14ac:dyDescent="0.25">
      <c r="A6032" t="str">
        <f>IF(COUNTIF(B$1:B6032,B6032)=1,MAX(A$1:A6031)+1,"")</f>
        <v/>
      </c>
      <c r="B6032" s="11"/>
      <c r="C6032" s="11" t="str">
        <f>IF(COUNTIF(D$1:D6032,D6032)=1,MAX(C$1:C6031)+1,"")</f>
        <v/>
      </c>
      <c r="D6032" s="12"/>
    </row>
    <row r="6033" spans="1:4" x14ac:dyDescent="0.25">
      <c r="A6033" t="str">
        <f>IF(COUNTIF(B$1:B6033,B6033)=1,MAX(A$1:A6032)+1,"")</f>
        <v/>
      </c>
      <c r="B6033" s="11"/>
      <c r="C6033" s="11" t="str">
        <f>IF(COUNTIF(D$1:D6033,D6033)=1,MAX(C$1:C6032)+1,"")</f>
        <v/>
      </c>
      <c r="D6033" s="12"/>
    </row>
    <row r="6034" spans="1:4" x14ac:dyDescent="0.25">
      <c r="A6034" t="str">
        <f>IF(COUNTIF(B$1:B6034,B6034)=1,MAX(A$1:A6033)+1,"")</f>
        <v/>
      </c>
      <c r="B6034" s="11"/>
      <c r="C6034" s="11" t="str">
        <f>IF(COUNTIF(D$1:D6034,D6034)=1,MAX(C$1:C6033)+1,"")</f>
        <v/>
      </c>
      <c r="D6034" s="12"/>
    </row>
    <row r="6035" spans="1:4" x14ac:dyDescent="0.25">
      <c r="A6035" t="str">
        <f>IF(COUNTIF(B$1:B6035,B6035)=1,MAX(A$1:A6034)+1,"")</f>
        <v/>
      </c>
      <c r="B6035" s="11"/>
      <c r="C6035" s="11" t="str">
        <f>IF(COUNTIF(D$1:D6035,D6035)=1,MAX(C$1:C6034)+1,"")</f>
        <v/>
      </c>
      <c r="D6035" s="12"/>
    </row>
    <row r="6036" spans="1:4" x14ac:dyDescent="0.25">
      <c r="A6036" t="str">
        <f>IF(COUNTIF(B$1:B6036,B6036)=1,MAX(A$1:A6035)+1,"")</f>
        <v/>
      </c>
      <c r="B6036" s="11"/>
      <c r="C6036" s="11" t="str">
        <f>IF(COUNTIF(D$1:D6036,D6036)=1,MAX(C$1:C6035)+1,"")</f>
        <v/>
      </c>
      <c r="D6036" s="12"/>
    </row>
    <row r="6037" spans="1:4" x14ac:dyDescent="0.25">
      <c r="A6037" t="str">
        <f>IF(COUNTIF(B$1:B6037,B6037)=1,MAX(A$1:A6036)+1,"")</f>
        <v/>
      </c>
      <c r="B6037" s="11"/>
      <c r="C6037" s="11" t="str">
        <f>IF(COUNTIF(D$1:D6037,D6037)=1,MAX(C$1:C6036)+1,"")</f>
        <v/>
      </c>
      <c r="D6037" s="12"/>
    </row>
    <row r="6038" spans="1:4" x14ac:dyDescent="0.25">
      <c r="A6038" t="str">
        <f>IF(COUNTIF(B$1:B6038,B6038)=1,MAX(A$1:A6037)+1,"")</f>
        <v/>
      </c>
      <c r="B6038" s="11"/>
      <c r="C6038" s="11" t="str">
        <f>IF(COUNTIF(D$1:D6038,D6038)=1,MAX(C$1:C6037)+1,"")</f>
        <v/>
      </c>
      <c r="D6038" s="12"/>
    </row>
    <row r="6039" spans="1:4" x14ac:dyDescent="0.25">
      <c r="A6039" t="str">
        <f>IF(COUNTIF(B$1:B6039,B6039)=1,MAX(A$1:A6038)+1,"")</f>
        <v/>
      </c>
      <c r="B6039" s="11"/>
      <c r="C6039" s="11" t="str">
        <f>IF(COUNTIF(D$1:D6039,D6039)=1,MAX(C$1:C6038)+1,"")</f>
        <v/>
      </c>
      <c r="D6039" s="12"/>
    </row>
    <row r="6040" spans="1:4" x14ac:dyDescent="0.25">
      <c r="A6040" t="str">
        <f>IF(COUNTIF(B$1:B6040,B6040)=1,MAX(A$1:A6039)+1,"")</f>
        <v/>
      </c>
      <c r="B6040" s="11"/>
      <c r="C6040" s="11" t="str">
        <f>IF(COUNTIF(D$1:D6040,D6040)=1,MAX(C$1:C6039)+1,"")</f>
        <v/>
      </c>
      <c r="D6040" s="12"/>
    </row>
    <row r="6041" spans="1:4" x14ac:dyDescent="0.25">
      <c r="A6041" t="str">
        <f>IF(COUNTIF(B$1:B6041,B6041)=1,MAX(A$1:A6040)+1,"")</f>
        <v/>
      </c>
      <c r="B6041" s="11"/>
      <c r="C6041" s="11" t="str">
        <f>IF(COUNTIF(D$1:D6041,D6041)=1,MAX(C$1:C6040)+1,"")</f>
        <v/>
      </c>
      <c r="D6041" s="12"/>
    </row>
    <row r="6042" spans="1:4" x14ac:dyDescent="0.25">
      <c r="A6042" t="str">
        <f>IF(COUNTIF(B$1:B6042,B6042)=1,MAX(A$1:A6041)+1,"")</f>
        <v/>
      </c>
      <c r="B6042" s="11"/>
      <c r="C6042" s="11" t="str">
        <f>IF(COUNTIF(D$1:D6042,D6042)=1,MAX(C$1:C6041)+1,"")</f>
        <v/>
      </c>
      <c r="D6042" s="12"/>
    </row>
    <row r="6043" spans="1:4" x14ac:dyDescent="0.25">
      <c r="A6043" t="str">
        <f>IF(COUNTIF(B$1:B6043,B6043)=1,MAX(A$1:A6042)+1,"")</f>
        <v/>
      </c>
      <c r="B6043" s="11"/>
      <c r="C6043" s="11" t="str">
        <f>IF(COUNTIF(D$1:D6043,D6043)=1,MAX(C$1:C6042)+1,"")</f>
        <v/>
      </c>
      <c r="D6043" s="12"/>
    </row>
    <row r="6044" spans="1:4" x14ac:dyDescent="0.25">
      <c r="A6044" t="str">
        <f>IF(COUNTIF(B$1:B6044,B6044)=1,MAX(A$1:A6043)+1,"")</f>
        <v/>
      </c>
      <c r="B6044" s="11"/>
      <c r="C6044" s="11" t="str">
        <f>IF(COUNTIF(D$1:D6044,D6044)=1,MAX(C$1:C6043)+1,"")</f>
        <v/>
      </c>
      <c r="D6044" s="12"/>
    </row>
    <row r="6045" spans="1:4" x14ac:dyDescent="0.25">
      <c r="A6045" t="str">
        <f>IF(COUNTIF(B$1:B6045,B6045)=1,MAX(A$1:A6044)+1,"")</f>
        <v/>
      </c>
      <c r="B6045" s="11"/>
      <c r="C6045" s="11" t="str">
        <f>IF(COUNTIF(D$1:D6045,D6045)=1,MAX(C$1:C6044)+1,"")</f>
        <v/>
      </c>
      <c r="D6045" s="12"/>
    </row>
    <row r="6046" spans="1:4" x14ac:dyDescent="0.25">
      <c r="A6046" t="str">
        <f>IF(COUNTIF(B$1:B6046,B6046)=1,MAX(A$1:A6045)+1,"")</f>
        <v/>
      </c>
      <c r="B6046" s="11"/>
      <c r="C6046" s="11" t="str">
        <f>IF(COUNTIF(D$1:D6046,D6046)=1,MAX(C$1:C6045)+1,"")</f>
        <v/>
      </c>
      <c r="D6046" s="12"/>
    </row>
    <row r="6047" spans="1:4" x14ac:dyDescent="0.25">
      <c r="A6047" t="str">
        <f>IF(COUNTIF(B$1:B6047,B6047)=1,MAX(A$1:A6046)+1,"")</f>
        <v/>
      </c>
      <c r="B6047" s="11"/>
      <c r="C6047" s="11" t="str">
        <f>IF(COUNTIF(D$1:D6047,D6047)=1,MAX(C$1:C6046)+1,"")</f>
        <v/>
      </c>
      <c r="D6047" s="12"/>
    </row>
    <row r="6048" spans="1:4" x14ac:dyDescent="0.25">
      <c r="A6048" t="str">
        <f>IF(COUNTIF(B$1:B6048,B6048)=1,MAX(A$1:A6047)+1,"")</f>
        <v/>
      </c>
      <c r="B6048" s="11"/>
      <c r="C6048" s="11" t="str">
        <f>IF(COUNTIF(D$1:D6048,D6048)=1,MAX(C$1:C6047)+1,"")</f>
        <v/>
      </c>
      <c r="D6048" s="12"/>
    </row>
    <row r="6049" spans="1:4" x14ac:dyDescent="0.25">
      <c r="A6049" t="str">
        <f>IF(COUNTIF(B$1:B6049,B6049)=1,MAX(A$1:A6048)+1,"")</f>
        <v/>
      </c>
      <c r="B6049" s="11"/>
      <c r="C6049" s="11" t="str">
        <f>IF(COUNTIF(D$1:D6049,D6049)=1,MAX(C$1:C6048)+1,"")</f>
        <v/>
      </c>
      <c r="D6049" s="12"/>
    </row>
    <row r="6050" spans="1:4" x14ac:dyDescent="0.25">
      <c r="A6050" t="str">
        <f>IF(COUNTIF(B$1:B6050,B6050)=1,MAX(A$1:A6049)+1,"")</f>
        <v/>
      </c>
      <c r="B6050" s="11"/>
      <c r="C6050" s="11" t="str">
        <f>IF(COUNTIF(D$1:D6050,D6050)=1,MAX(C$1:C6049)+1,"")</f>
        <v/>
      </c>
      <c r="D6050" s="12"/>
    </row>
    <row r="6051" spans="1:4" x14ac:dyDescent="0.25">
      <c r="A6051" t="str">
        <f>IF(COUNTIF(B$1:B6051,B6051)=1,MAX(A$1:A6050)+1,"")</f>
        <v/>
      </c>
      <c r="B6051" s="11"/>
      <c r="C6051" s="11" t="str">
        <f>IF(COUNTIF(D$1:D6051,D6051)=1,MAX(C$1:C6050)+1,"")</f>
        <v/>
      </c>
      <c r="D6051" s="12"/>
    </row>
    <row r="6052" spans="1:4" x14ac:dyDescent="0.25">
      <c r="A6052" t="str">
        <f>IF(COUNTIF(B$1:B6052,B6052)=1,MAX(A$1:A6051)+1,"")</f>
        <v/>
      </c>
      <c r="B6052" s="11"/>
      <c r="C6052" s="11" t="str">
        <f>IF(COUNTIF(D$1:D6052,D6052)=1,MAX(C$1:C6051)+1,"")</f>
        <v/>
      </c>
      <c r="D6052" s="12"/>
    </row>
    <row r="6053" spans="1:4" x14ac:dyDescent="0.25">
      <c r="A6053" t="str">
        <f>IF(COUNTIF(B$1:B6053,B6053)=1,MAX(A$1:A6052)+1,"")</f>
        <v/>
      </c>
      <c r="B6053" s="11"/>
      <c r="C6053" s="11" t="str">
        <f>IF(COUNTIF(D$1:D6053,D6053)=1,MAX(C$1:C6052)+1,"")</f>
        <v/>
      </c>
      <c r="D6053" s="12"/>
    </row>
    <row r="6054" spans="1:4" x14ac:dyDescent="0.25">
      <c r="A6054" t="str">
        <f>IF(COUNTIF(B$1:B6054,B6054)=1,MAX(A$1:A6053)+1,"")</f>
        <v/>
      </c>
      <c r="B6054" s="11"/>
      <c r="C6054" s="11" t="str">
        <f>IF(COUNTIF(D$1:D6054,D6054)=1,MAX(C$1:C6053)+1,"")</f>
        <v/>
      </c>
      <c r="D6054" s="12"/>
    </row>
    <row r="6055" spans="1:4" x14ac:dyDescent="0.25">
      <c r="A6055" t="str">
        <f>IF(COUNTIF(B$1:B6055,B6055)=1,MAX(A$1:A6054)+1,"")</f>
        <v/>
      </c>
      <c r="B6055" s="11"/>
      <c r="C6055" s="11" t="str">
        <f>IF(COUNTIF(D$1:D6055,D6055)=1,MAX(C$1:C6054)+1,"")</f>
        <v/>
      </c>
      <c r="D6055" s="12"/>
    </row>
    <row r="6056" spans="1:4" x14ac:dyDescent="0.25">
      <c r="A6056" t="str">
        <f>IF(COUNTIF(B$1:B6056,B6056)=1,MAX(A$1:A6055)+1,"")</f>
        <v/>
      </c>
      <c r="B6056" s="11"/>
      <c r="C6056" s="11" t="str">
        <f>IF(COUNTIF(D$1:D6056,D6056)=1,MAX(C$1:C6055)+1,"")</f>
        <v/>
      </c>
      <c r="D6056" s="12"/>
    </row>
    <row r="6057" spans="1:4" x14ac:dyDescent="0.25">
      <c r="A6057" t="str">
        <f>IF(COUNTIF(B$1:B6057,B6057)=1,MAX(A$1:A6056)+1,"")</f>
        <v/>
      </c>
      <c r="B6057" s="11"/>
      <c r="C6057" s="11" t="str">
        <f>IF(COUNTIF(D$1:D6057,D6057)=1,MAX(C$1:C6056)+1,"")</f>
        <v/>
      </c>
      <c r="D6057" s="12"/>
    </row>
    <row r="6058" spans="1:4" x14ac:dyDescent="0.25">
      <c r="A6058" t="str">
        <f>IF(COUNTIF(B$1:B6058,B6058)=1,MAX(A$1:A6057)+1,"")</f>
        <v/>
      </c>
      <c r="B6058" s="11"/>
      <c r="C6058" s="11" t="str">
        <f>IF(COUNTIF(D$1:D6058,D6058)=1,MAX(C$1:C6057)+1,"")</f>
        <v/>
      </c>
      <c r="D6058" s="12"/>
    </row>
    <row r="6059" spans="1:4" x14ac:dyDescent="0.25">
      <c r="A6059" t="str">
        <f>IF(COUNTIF(B$1:B6059,B6059)=1,MAX(A$1:A6058)+1,"")</f>
        <v/>
      </c>
      <c r="B6059" s="11"/>
      <c r="C6059" s="11" t="str">
        <f>IF(COUNTIF(D$1:D6059,D6059)=1,MAX(C$1:C6058)+1,"")</f>
        <v/>
      </c>
      <c r="D6059" s="12"/>
    </row>
    <row r="6060" spans="1:4" x14ac:dyDescent="0.25">
      <c r="A6060" t="str">
        <f>IF(COUNTIF(B$1:B6060,B6060)=1,MAX(A$1:A6059)+1,"")</f>
        <v/>
      </c>
      <c r="B6060" s="11"/>
      <c r="C6060" s="11" t="str">
        <f>IF(COUNTIF(D$1:D6060,D6060)=1,MAX(C$1:C6059)+1,"")</f>
        <v/>
      </c>
      <c r="D6060" s="12"/>
    </row>
    <row r="6061" spans="1:4" x14ac:dyDescent="0.25">
      <c r="A6061" t="str">
        <f>IF(COUNTIF(B$1:B6061,B6061)=1,MAX(A$1:A6060)+1,"")</f>
        <v/>
      </c>
      <c r="B6061" s="11"/>
      <c r="C6061" s="11" t="str">
        <f>IF(COUNTIF(D$1:D6061,D6061)=1,MAX(C$1:C6060)+1,"")</f>
        <v/>
      </c>
      <c r="D6061" s="12"/>
    </row>
    <row r="6062" spans="1:4" x14ac:dyDescent="0.25">
      <c r="A6062" t="str">
        <f>IF(COUNTIF(B$1:B6062,B6062)=1,MAX(A$1:A6061)+1,"")</f>
        <v/>
      </c>
      <c r="B6062" s="11"/>
      <c r="C6062" s="11" t="str">
        <f>IF(COUNTIF(D$1:D6062,D6062)=1,MAX(C$1:C6061)+1,"")</f>
        <v/>
      </c>
      <c r="D6062" s="12"/>
    </row>
    <row r="6063" spans="1:4" x14ac:dyDescent="0.25">
      <c r="A6063" t="str">
        <f>IF(COUNTIF(B$1:B6063,B6063)=1,MAX(A$1:A6062)+1,"")</f>
        <v/>
      </c>
      <c r="B6063" s="11"/>
      <c r="C6063" s="11" t="str">
        <f>IF(COUNTIF(D$1:D6063,D6063)=1,MAX(C$1:C6062)+1,"")</f>
        <v/>
      </c>
      <c r="D6063" s="12"/>
    </row>
    <row r="6064" spans="1:4" x14ac:dyDescent="0.25">
      <c r="A6064" t="str">
        <f>IF(COUNTIF(B$1:B6064,B6064)=1,MAX(A$1:A6063)+1,"")</f>
        <v/>
      </c>
      <c r="B6064" s="11"/>
      <c r="C6064" s="11" t="str">
        <f>IF(COUNTIF(D$1:D6064,D6064)=1,MAX(C$1:C6063)+1,"")</f>
        <v/>
      </c>
      <c r="D6064" s="12"/>
    </row>
    <row r="6065" spans="1:4" x14ac:dyDescent="0.25">
      <c r="A6065" t="str">
        <f>IF(COUNTIF(B$1:B6065,B6065)=1,MAX(A$1:A6064)+1,"")</f>
        <v/>
      </c>
      <c r="B6065" s="11"/>
      <c r="C6065" s="11" t="str">
        <f>IF(COUNTIF(D$1:D6065,D6065)=1,MAX(C$1:C6064)+1,"")</f>
        <v/>
      </c>
      <c r="D6065" s="12"/>
    </row>
    <row r="6066" spans="1:4" x14ac:dyDescent="0.25">
      <c r="A6066" t="str">
        <f>IF(COUNTIF(B$1:B6066,B6066)=1,MAX(A$1:A6065)+1,"")</f>
        <v/>
      </c>
      <c r="B6066" s="11"/>
      <c r="C6066" s="11" t="str">
        <f>IF(COUNTIF(D$1:D6066,D6066)=1,MAX(C$1:C6065)+1,"")</f>
        <v/>
      </c>
      <c r="D6066" s="12"/>
    </row>
    <row r="6067" spans="1:4" x14ac:dyDescent="0.25">
      <c r="A6067" t="str">
        <f>IF(COUNTIF(B$1:B6067,B6067)=1,MAX(A$1:A6066)+1,"")</f>
        <v/>
      </c>
      <c r="B6067" s="11"/>
      <c r="C6067" s="11" t="str">
        <f>IF(COUNTIF(D$1:D6067,D6067)=1,MAX(C$1:C6066)+1,"")</f>
        <v/>
      </c>
      <c r="D6067" s="12"/>
    </row>
    <row r="6068" spans="1:4" x14ac:dyDescent="0.25">
      <c r="A6068" t="str">
        <f>IF(COUNTIF(B$1:B6068,B6068)=1,MAX(A$1:A6067)+1,"")</f>
        <v/>
      </c>
      <c r="B6068" s="11"/>
      <c r="C6068" s="11" t="str">
        <f>IF(COUNTIF(D$1:D6068,D6068)=1,MAX(C$1:C6067)+1,"")</f>
        <v/>
      </c>
      <c r="D6068" s="12"/>
    </row>
    <row r="6069" spans="1:4" x14ac:dyDescent="0.25">
      <c r="A6069" t="str">
        <f>IF(COUNTIF(B$1:B6069,B6069)=1,MAX(A$1:A6068)+1,"")</f>
        <v/>
      </c>
      <c r="B6069" s="11"/>
      <c r="C6069" s="11" t="str">
        <f>IF(COUNTIF(D$1:D6069,D6069)=1,MAX(C$1:C6068)+1,"")</f>
        <v/>
      </c>
      <c r="D6069" s="12"/>
    </row>
    <row r="6070" spans="1:4" x14ac:dyDescent="0.25">
      <c r="A6070" t="str">
        <f>IF(COUNTIF(B$1:B6070,B6070)=1,MAX(A$1:A6069)+1,"")</f>
        <v/>
      </c>
      <c r="B6070" s="11"/>
      <c r="C6070" s="11" t="str">
        <f>IF(COUNTIF(D$1:D6070,D6070)=1,MAX(C$1:C6069)+1,"")</f>
        <v/>
      </c>
      <c r="D6070" s="12"/>
    </row>
    <row r="6071" spans="1:4" x14ac:dyDescent="0.25">
      <c r="A6071" t="str">
        <f>IF(COUNTIF(B$1:B6071,B6071)=1,MAX(A$1:A6070)+1,"")</f>
        <v/>
      </c>
      <c r="B6071" s="11"/>
      <c r="C6071" s="11" t="str">
        <f>IF(COUNTIF(D$1:D6071,D6071)=1,MAX(C$1:C6070)+1,"")</f>
        <v/>
      </c>
      <c r="D6071" s="12"/>
    </row>
    <row r="6072" spans="1:4" x14ac:dyDescent="0.25">
      <c r="A6072" t="str">
        <f>IF(COUNTIF(B$1:B6072,B6072)=1,MAX(A$1:A6071)+1,"")</f>
        <v/>
      </c>
      <c r="B6072" s="11"/>
      <c r="C6072" s="11" t="str">
        <f>IF(COUNTIF(D$1:D6072,D6072)=1,MAX(C$1:C6071)+1,"")</f>
        <v/>
      </c>
      <c r="D6072" s="12"/>
    </row>
    <row r="6073" spans="1:4" x14ac:dyDescent="0.25">
      <c r="A6073" t="str">
        <f>IF(COUNTIF(B$1:B6073,B6073)=1,MAX(A$1:A6072)+1,"")</f>
        <v/>
      </c>
      <c r="B6073" s="11"/>
      <c r="C6073" s="11" t="str">
        <f>IF(COUNTIF(D$1:D6073,D6073)=1,MAX(C$1:C6072)+1,"")</f>
        <v/>
      </c>
      <c r="D6073" s="12"/>
    </row>
    <row r="6074" spans="1:4" x14ac:dyDescent="0.25">
      <c r="A6074" t="str">
        <f>IF(COUNTIF(B$1:B6074,B6074)=1,MAX(A$1:A6073)+1,"")</f>
        <v/>
      </c>
      <c r="B6074" s="11"/>
      <c r="C6074" s="11" t="str">
        <f>IF(COUNTIF(D$1:D6074,D6074)=1,MAX(C$1:C6073)+1,"")</f>
        <v/>
      </c>
      <c r="D6074" s="12"/>
    </row>
    <row r="6075" spans="1:4" x14ac:dyDescent="0.25">
      <c r="A6075" t="str">
        <f>IF(COUNTIF(B$1:B6075,B6075)=1,MAX(A$1:A6074)+1,"")</f>
        <v/>
      </c>
      <c r="B6075" s="11"/>
      <c r="C6075" s="11" t="str">
        <f>IF(COUNTIF(D$1:D6075,D6075)=1,MAX(C$1:C6074)+1,"")</f>
        <v/>
      </c>
      <c r="D6075" s="12"/>
    </row>
    <row r="6076" spans="1:4" x14ac:dyDescent="0.25">
      <c r="A6076" t="str">
        <f>IF(COUNTIF(B$1:B6076,B6076)=1,MAX(A$1:A6075)+1,"")</f>
        <v/>
      </c>
      <c r="B6076" s="11"/>
      <c r="C6076" s="11" t="str">
        <f>IF(COUNTIF(D$1:D6076,D6076)=1,MAX(C$1:C6075)+1,"")</f>
        <v/>
      </c>
      <c r="D6076" s="12"/>
    </row>
    <row r="6077" spans="1:4" x14ac:dyDescent="0.25">
      <c r="A6077" t="str">
        <f>IF(COUNTIF(B$1:B6077,B6077)=1,MAX(A$1:A6076)+1,"")</f>
        <v/>
      </c>
      <c r="B6077" s="11"/>
      <c r="C6077" s="11" t="str">
        <f>IF(COUNTIF(D$1:D6077,D6077)=1,MAX(C$1:C6076)+1,"")</f>
        <v/>
      </c>
      <c r="D6077" s="12"/>
    </row>
    <row r="6078" spans="1:4" x14ac:dyDescent="0.25">
      <c r="A6078" t="str">
        <f>IF(COUNTIF(B$1:B6078,B6078)=1,MAX(A$1:A6077)+1,"")</f>
        <v/>
      </c>
      <c r="B6078" s="11"/>
      <c r="C6078" s="11" t="str">
        <f>IF(COUNTIF(D$1:D6078,D6078)=1,MAX(C$1:C6077)+1,"")</f>
        <v/>
      </c>
      <c r="D6078" s="12"/>
    </row>
    <row r="6079" spans="1:4" x14ac:dyDescent="0.25">
      <c r="A6079" t="str">
        <f>IF(COUNTIF(B$1:B6079,B6079)=1,MAX(A$1:A6078)+1,"")</f>
        <v/>
      </c>
      <c r="B6079" s="11"/>
      <c r="C6079" s="11" t="str">
        <f>IF(COUNTIF(D$1:D6079,D6079)=1,MAX(C$1:C6078)+1,"")</f>
        <v/>
      </c>
      <c r="D6079" s="12"/>
    </row>
    <row r="6080" spans="1:4" x14ac:dyDescent="0.25">
      <c r="A6080" t="str">
        <f>IF(COUNTIF(B$1:B6080,B6080)=1,MAX(A$1:A6079)+1,"")</f>
        <v/>
      </c>
      <c r="B6080" s="11"/>
      <c r="C6080" s="11" t="str">
        <f>IF(COUNTIF(D$1:D6080,D6080)=1,MAX(C$1:C6079)+1,"")</f>
        <v/>
      </c>
      <c r="D6080" s="12"/>
    </row>
    <row r="6081" spans="1:4" x14ac:dyDescent="0.25">
      <c r="A6081" t="str">
        <f>IF(COUNTIF(B$1:B6081,B6081)=1,MAX(A$1:A6080)+1,"")</f>
        <v/>
      </c>
      <c r="B6081" s="11"/>
      <c r="C6081" s="11" t="str">
        <f>IF(COUNTIF(D$1:D6081,D6081)=1,MAX(C$1:C6080)+1,"")</f>
        <v/>
      </c>
      <c r="D6081" s="12"/>
    </row>
    <row r="6082" spans="1:4" x14ac:dyDescent="0.25">
      <c r="A6082" t="str">
        <f>IF(COUNTIF(B$1:B6082,B6082)=1,MAX(A$1:A6081)+1,"")</f>
        <v/>
      </c>
      <c r="B6082" s="11"/>
      <c r="C6082" s="11" t="str">
        <f>IF(COUNTIF(D$1:D6082,D6082)=1,MAX(C$1:C6081)+1,"")</f>
        <v/>
      </c>
      <c r="D6082" s="12"/>
    </row>
    <row r="6083" spans="1:4" x14ac:dyDescent="0.25">
      <c r="A6083" t="str">
        <f>IF(COUNTIF(B$1:B6083,B6083)=1,MAX(A$1:A6082)+1,"")</f>
        <v/>
      </c>
      <c r="B6083" s="11"/>
      <c r="C6083" s="11" t="str">
        <f>IF(COUNTIF(D$1:D6083,D6083)=1,MAX(C$1:C6082)+1,"")</f>
        <v/>
      </c>
      <c r="D6083" s="12"/>
    </row>
    <row r="6084" spans="1:4" x14ac:dyDescent="0.25">
      <c r="A6084" t="str">
        <f>IF(COUNTIF(B$1:B6084,B6084)=1,MAX(A$1:A6083)+1,"")</f>
        <v/>
      </c>
      <c r="B6084" s="11"/>
      <c r="C6084" s="11" t="str">
        <f>IF(COUNTIF(D$1:D6084,D6084)=1,MAX(C$1:C6083)+1,"")</f>
        <v/>
      </c>
      <c r="D6084" s="12"/>
    </row>
    <row r="6085" spans="1:4" x14ac:dyDescent="0.25">
      <c r="A6085" t="str">
        <f>IF(COUNTIF(B$1:B6085,B6085)=1,MAX(A$1:A6084)+1,"")</f>
        <v/>
      </c>
      <c r="B6085" s="11"/>
      <c r="C6085" s="11" t="str">
        <f>IF(COUNTIF(D$1:D6085,D6085)=1,MAX(C$1:C6084)+1,"")</f>
        <v/>
      </c>
      <c r="D6085" s="12"/>
    </row>
    <row r="6086" spans="1:4" x14ac:dyDescent="0.25">
      <c r="A6086" t="str">
        <f>IF(COUNTIF(B$1:B6086,B6086)=1,MAX(A$1:A6085)+1,"")</f>
        <v/>
      </c>
      <c r="B6086" s="11"/>
      <c r="C6086" s="11" t="str">
        <f>IF(COUNTIF(D$1:D6086,D6086)=1,MAX(C$1:C6085)+1,"")</f>
        <v/>
      </c>
      <c r="D6086" s="12"/>
    </row>
    <row r="6087" spans="1:4" x14ac:dyDescent="0.25">
      <c r="A6087" t="str">
        <f>IF(COUNTIF(B$1:B6087,B6087)=1,MAX(A$1:A6086)+1,"")</f>
        <v/>
      </c>
      <c r="B6087" s="11"/>
      <c r="C6087" s="11" t="str">
        <f>IF(COUNTIF(D$1:D6087,D6087)=1,MAX(C$1:C6086)+1,"")</f>
        <v/>
      </c>
      <c r="D6087" s="12"/>
    </row>
    <row r="6088" spans="1:4" x14ac:dyDescent="0.25">
      <c r="A6088" t="str">
        <f>IF(COUNTIF(B$1:B6088,B6088)=1,MAX(A$1:A6087)+1,"")</f>
        <v/>
      </c>
      <c r="B6088" s="11"/>
      <c r="C6088" s="11" t="str">
        <f>IF(COUNTIF(D$1:D6088,D6088)=1,MAX(C$1:C6087)+1,"")</f>
        <v/>
      </c>
      <c r="D6088" s="12"/>
    </row>
    <row r="6089" spans="1:4" x14ac:dyDescent="0.25">
      <c r="A6089" t="str">
        <f>IF(COUNTIF(B$1:B6089,B6089)=1,MAX(A$1:A6088)+1,"")</f>
        <v/>
      </c>
      <c r="B6089" s="11"/>
      <c r="C6089" s="11" t="str">
        <f>IF(COUNTIF(D$1:D6089,D6089)=1,MAX(C$1:C6088)+1,"")</f>
        <v/>
      </c>
      <c r="D6089" s="12"/>
    </row>
    <row r="6090" spans="1:4" x14ac:dyDescent="0.25">
      <c r="A6090" t="str">
        <f>IF(COUNTIF(B$1:B6090,B6090)=1,MAX(A$1:A6089)+1,"")</f>
        <v/>
      </c>
      <c r="B6090" s="11"/>
      <c r="C6090" s="11" t="str">
        <f>IF(COUNTIF(D$1:D6090,D6090)=1,MAX(C$1:C6089)+1,"")</f>
        <v/>
      </c>
      <c r="D6090" s="12"/>
    </row>
    <row r="6091" spans="1:4" x14ac:dyDescent="0.25">
      <c r="A6091" t="str">
        <f>IF(COUNTIF(B$1:B6091,B6091)=1,MAX(A$1:A6090)+1,"")</f>
        <v/>
      </c>
      <c r="B6091" s="11"/>
      <c r="C6091" s="11" t="str">
        <f>IF(COUNTIF(D$1:D6091,D6091)=1,MAX(C$1:C6090)+1,"")</f>
        <v/>
      </c>
      <c r="D6091" s="12"/>
    </row>
    <row r="6092" spans="1:4" x14ac:dyDescent="0.25">
      <c r="A6092" t="str">
        <f>IF(COUNTIF(B$1:B6092,B6092)=1,MAX(A$1:A6091)+1,"")</f>
        <v/>
      </c>
      <c r="B6092" s="11"/>
      <c r="C6092" s="11" t="str">
        <f>IF(COUNTIF(D$1:D6092,D6092)=1,MAX(C$1:C6091)+1,"")</f>
        <v/>
      </c>
      <c r="D6092" s="12"/>
    </row>
    <row r="6093" spans="1:4" x14ac:dyDescent="0.25">
      <c r="A6093" t="str">
        <f>IF(COUNTIF(B$1:B6093,B6093)=1,MAX(A$1:A6092)+1,"")</f>
        <v/>
      </c>
      <c r="B6093" s="11"/>
      <c r="C6093" s="11" t="str">
        <f>IF(COUNTIF(D$1:D6093,D6093)=1,MAX(C$1:C6092)+1,"")</f>
        <v/>
      </c>
      <c r="D6093" s="12"/>
    </row>
    <row r="6094" spans="1:4" x14ac:dyDescent="0.25">
      <c r="A6094" t="str">
        <f>IF(COUNTIF(B$1:B6094,B6094)=1,MAX(A$1:A6093)+1,"")</f>
        <v/>
      </c>
      <c r="B6094" s="11"/>
      <c r="C6094" s="11" t="str">
        <f>IF(COUNTIF(D$1:D6094,D6094)=1,MAX(C$1:C6093)+1,"")</f>
        <v/>
      </c>
      <c r="D6094" s="12"/>
    </row>
    <row r="6095" spans="1:4" x14ac:dyDescent="0.25">
      <c r="A6095" t="str">
        <f>IF(COUNTIF(B$1:B6095,B6095)=1,MAX(A$1:A6094)+1,"")</f>
        <v/>
      </c>
      <c r="B6095" s="11"/>
      <c r="C6095" s="11" t="str">
        <f>IF(COUNTIF(D$1:D6095,D6095)=1,MAX(C$1:C6094)+1,"")</f>
        <v/>
      </c>
      <c r="D6095" s="12"/>
    </row>
    <row r="6096" spans="1:4" x14ac:dyDescent="0.25">
      <c r="A6096" t="str">
        <f>IF(COUNTIF(B$1:B6096,B6096)=1,MAX(A$1:A6095)+1,"")</f>
        <v/>
      </c>
      <c r="B6096" s="11"/>
      <c r="C6096" s="11" t="str">
        <f>IF(COUNTIF(D$1:D6096,D6096)=1,MAX(C$1:C6095)+1,"")</f>
        <v/>
      </c>
      <c r="D6096" s="12"/>
    </row>
    <row r="6097" spans="1:4" x14ac:dyDescent="0.25">
      <c r="A6097" t="str">
        <f>IF(COUNTIF(B$1:B6097,B6097)=1,MAX(A$1:A6096)+1,"")</f>
        <v/>
      </c>
      <c r="B6097" s="11"/>
      <c r="C6097" s="11" t="str">
        <f>IF(COUNTIF(D$1:D6097,D6097)=1,MAX(C$1:C6096)+1,"")</f>
        <v/>
      </c>
      <c r="D6097" s="12"/>
    </row>
    <row r="6098" spans="1:4" x14ac:dyDescent="0.25">
      <c r="A6098" t="str">
        <f>IF(COUNTIF(B$1:B6098,B6098)=1,MAX(A$1:A6097)+1,"")</f>
        <v/>
      </c>
      <c r="B6098" s="11"/>
      <c r="C6098" s="11" t="str">
        <f>IF(COUNTIF(D$1:D6098,D6098)=1,MAX(C$1:C6097)+1,"")</f>
        <v/>
      </c>
      <c r="D6098" s="12"/>
    </row>
    <row r="6099" spans="1:4" x14ac:dyDescent="0.25">
      <c r="A6099" t="str">
        <f>IF(COUNTIF(B$1:B6099,B6099)=1,MAX(A$1:A6098)+1,"")</f>
        <v/>
      </c>
      <c r="B6099" s="11"/>
      <c r="C6099" s="11" t="str">
        <f>IF(COUNTIF(D$1:D6099,D6099)=1,MAX(C$1:C6098)+1,"")</f>
        <v/>
      </c>
      <c r="D6099" s="12"/>
    </row>
    <row r="6100" spans="1:4" x14ac:dyDescent="0.25">
      <c r="A6100" t="str">
        <f>IF(COUNTIF(B$1:B6100,B6100)=1,MAX(A$1:A6099)+1,"")</f>
        <v/>
      </c>
      <c r="B6100" s="11"/>
      <c r="C6100" s="11" t="str">
        <f>IF(COUNTIF(D$1:D6100,D6100)=1,MAX(C$1:C6099)+1,"")</f>
        <v/>
      </c>
      <c r="D6100" s="12"/>
    </row>
    <row r="6101" spans="1:4" x14ac:dyDescent="0.25">
      <c r="A6101" t="str">
        <f>IF(COUNTIF(B$1:B6101,B6101)=1,MAX(A$1:A6100)+1,"")</f>
        <v/>
      </c>
      <c r="B6101" s="11"/>
      <c r="C6101" s="11" t="str">
        <f>IF(COUNTIF(D$1:D6101,D6101)=1,MAX(C$1:C6100)+1,"")</f>
        <v/>
      </c>
      <c r="D6101" s="12"/>
    </row>
    <row r="6102" spans="1:4" x14ac:dyDescent="0.25">
      <c r="A6102" t="str">
        <f>IF(COUNTIF(B$1:B6102,B6102)=1,MAX(A$1:A6101)+1,"")</f>
        <v/>
      </c>
      <c r="B6102" s="11"/>
      <c r="C6102" s="11" t="str">
        <f>IF(COUNTIF(D$1:D6102,D6102)=1,MAX(C$1:C6101)+1,"")</f>
        <v/>
      </c>
      <c r="D6102" s="12"/>
    </row>
    <row r="6103" spans="1:4" x14ac:dyDescent="0.25">
      <c r="A6103" t="str">
        <f>IF(COUNTIF(B$1:B6103,B6103)=1,MAX(A$1:A6102)+1,"")</f>
        <v/>
      </c>
      <c r="B6103" s="11"/>
      <c r="C6103" s="11" t="str">
        <f>IF(COUNTIF(D$1:D6103,D6103)=1,MAX(C$1:C6102)+1,"")</f>
        <v/>
      </c>
      <c r="D6103" s="12"/>
    </row>
    <row r="6104" spans="1:4" x14ac:dyDescent="0.25">
      <c r="A6104" t="str">
        <f>IF(COUNTIF(B$1:B6104,B6104)=1,MAX(A$1:A6103)+1,"")</f>
        <v/>
      </c>
      <c r="B6104" s="11"/>
      <c r="C6104" s="11" t="str">
        <f>IF(COUNTIF(D$1:D6104,D6104)=1,MAX(C$1:C6103)+1,"")</f>
        <v/>
      </c>
      <c r="D6104" s="12"/>
    </row>
    <row r="6105" spans="1:4" x14ac:dyDescent="0.25">
      <c r="A6105" t="str">
        <f>IF(COUNTIF(B$1:B6105,B6105)=1,MAX(A$1:A6104)+1,"")</f>
        <v/>
      </c>
      <c r="B6105" s="11"/>
      <c r="C6105" s="11" t="str">
        <f>IF(COUNTIF(D$1:D6105,D6105)=1,MAX(C$1:C6104)+1,"")</f>
        <v/>
      </c>
      <c r="D6105" s="12"/>
    </row>
    <row r="6106" spans="1:4" x14ac:dyDescent="0.25">
      <c r="A6106" t="str">
        <f>IF(COUNTIF(B$1:B6106,B6106)=1,MAX(A$1:A6105)+1,"")</f>
        <v/>
      </c>
      <c r="B6106" s="11"/>
      <c r="C6106" s="11" t="str">
        <f>IF(COUNTIF(D$1:D6106,D6106)=1,MAX(C$1:C6105)+1,"")</f>
        <v/>
      </c>
      <c r="D6106" s="12"/>
    </row>
    <row r="6107" spans="1:4" x14ac:dyDescent="0.25">
      <c r="A6107" t="str">
        <f>IF(COUNTIF(B$1:B6107,B6107)=1,MAX(A$1:A6106)+1,"")</f>
        <v/>
      </c>
      <c r="B6107" s="11"/>
      <c r="C6107" s="11" t="str">
        <f>IF(COUNTIF(D$1:D6107,D6107)=1,MAX(C$1:C6106)+1,"")</f>
        <v/>
      </c>
      <c r="D6107" s="12"/>
    </row>
    <row r="6108" spans="1:4" x14ac:dyDescent="0.25">
      <c r="A6108" t="str">
        <f>IF(COUNTIF(B$1:B6108,B6108)=1,MAX(A$1:A6107)+1,"")</f>
        <v/>
      </c>
      <c r="B6108" s="11"/>
      <c r="C6108" s="11" t="str">
        <f>IF(COUNTIF(D$1:D6108,D6108)=1,MAX(C$1:C6107)+1,"")</f>
        <v/>
      </c>
      <c r="D6108" s="12"/>
    </row>
    <row r="6109" spans="1:4" x14ac:dyDescent="0.25">
      <c r="A6109" t="str">
        <f>IF(COUNTIF(B$1:B6109,B6109)=1,MAX(A$1:A6108)+1,"")</f>
        <v/>
      </c>
      <c r="B6109" s="11"/>
      <c r="C6109" s="11" t="str">
        <f>IF(COUNTIF(D$1:D6109,D6109)=1,MAX(C$1:C6108)+1,"")</f>
        <v/>
      </c>
      <c r="D6109" s="12"/>
    </row>
    <row r="6110" spans="1:4" x14ac:dyDescent="0.25">
      <c r="A6110" t="str">
        <f>IF(COUNTIF(B$1:B6110,B6110)=1,MAX(A$1:A6109)+1,"")</f>
        <v/>
      </c>
      <c r="B6110" s="11"/>
      <c r="C6110" s="11" t="str">
        <f>IF(COUNTIF(D$1:D6110,D6110)=1,MAX(C$1:C6109)+1,"")</f>
        <v/>
      </c>
      <c r="D6110" s="12"/>
    </row>
    <row r="6111" spans="1:4" x14ac:dyDescent="0.25">
      <c r="A6111" t="str">
        <f>IF(COUNTIF(B$1:B6111,B6111)=1,MAX(A$1:A6110)+1,"")</f>
        <v/>
      </c>
      <c r="B6111" s="11"/>
      <c r="C6111" s="11" t="str">
        <f>IF(COUNTIF(D$1:D6111,D6111)=1,MAX(C$1:C6110)+1,"")</f>
        <v/>
      </c>
      <c r="D6111" s="12"/>
    </row>
    <row r="6112" spans="1:4" x14ac:dyDescent="0.25">
      <c r="A6112" t="str">
        <f>IF(COUNTIF(B$1:B6112,B6112)=1,MAX(A$1:A6111)+1,"")</f>
        <v/>
      </c>
      <c r="B6112" s="11"/>
      <c r="C6112" s="11" t="str">
        <f>IF(COUNTIF(D$1:D6112,D6112)=1,MAX(C$1:C6111)+1,"")</f>
        <v/>
      </c>
      <c r="D6112" s="12"/>
    </row>
    <row r="6113" spans="1:4" x14ac:dyDescent="0.25">
      <c r="A6113" t="str">
        <f>IF(COUNTIF(B$1:B6113,B6113)=1,MAX(A$1:A6112)+1,"")</f>
        <v/>
      </c>
      <c r="B6113" s="11"/>
      <c r="C6113" s="11" t="str">
        <f>IF(COUNTIF(D$1:D6113,D6113)=1,MAX(C$1:C6112)+1,"")</f>
        <v/>
      </c>
      <c r="D6113" s="12"/>
    </row>
    <row r="6114" spans="1:4" x14ac:dyDescent="0.25">
      <c r="A6114" t="str">
        <f>IF(COUNTIF(B$1:B6114,B6114)=1,MAX(A$1:A6113)+1,"")</f>
        <v/>
      </c>
      <c r="B6114" s="11"/>
      <c r="C6114" s="11" t="str">
        <f>IF(COUNTIF(D$1:D6114,D6114)=1,MAX(C$1:C6113)+1,"")</f>
        <v/>
      </c>
      <c r="D6114" s="12"/>
    </row>
    <row r="6115" spans="1:4" x14ac:dyDescent="0.25">
      <c r="A6115" t="str">
        <f>IF(COUNTIF(B$1:B6115,B6115)=1,MAX(A$1:A6114)+1,"")</f>
        <v/>
      </c>
      <c r="B6115" s="11"/>
      <c r="C6115" s="11" t="str">
        <f>IF(COUNTIF(D$1:D6115,D6115)=1,MAX(C$1:C6114)+1,"")</f>
        <v/>
      </c>
      <c r="D6115" s="12"/>
    </row>
    <row r="6116" spans="1:4" x14ac:dyDescent="0.25">
      <c r="A6116" t="str">
        <f>IF(COUNTIF(B$1:B6116,B6116)=1,MAX(A$1:A6115)+1,"")</f>
        <v/>
      </c>
      <c r="B6116" s="11"/>
      <c r="C6116" s="11" t="str">
        <f>IF(COUNTIF(D$1:D6116,D6116)=1,MAX(C$1:C6115)+1,"")</f>
        <v/>
      </c>
      <c r="D6116" s="12"/>
    </row>
    <row r="6117" spans="1:4" x14ac:dyDescent="0.25">
      <c r="A6117" t="str">
        <f>IF(COUNTIF(B$1:B6117,B6117)=1,MAX(A$1:A6116)+1,"")</f>
        <v/>
      </c>
      <c r="B6117" s="11"/>
      <c r="C6117" s="11" t="str">
        <f>IF(COUNTIF(D$1:D6117,D6117)=1,MAX(C$1:C6116)+1,"")</f>
        <v/>
      </c>
      <c r="D6117" s="12"/>
    </row>
    <row r="6118" spans="1:4" x14ac:dyDescent="0.25">
      <c r="A6118" t="str">
        <f>IF(COUNTIF(B$1:B6118,B6118)=1,MAX(A$1:A6117)+1,"")</f>
        <v/>
      </c>
      <c r="B6118" s="11"/>
      <c r="C6118" s="11" t="str">
        <f>IF(COUNTIF(D$1:D6118,D6118)=1,MAX(C$1:C6117)+1,"")</f>
        <v/>
      </c>
      <c r="D6118" s="12"/>
    </row>
    <row r="6119" spans="1:4" x14ac:dyDescent="0.25">
      <c r="A6119" t="str">
        <f>IF(COUNTIF(B$1:B6119,B6119)=1,MAX(A$1:A6118)+1,"")</f>
        <v/>
      </c>
      <c r="B6119" s="11"/>
      <c r="C6119" s="11" t="str">
        <f>IF(COUNTIF(D$1:D6119,D6119)=1,MAX(C$1:C6118)+1,"")</f>
        <v/>
      </c>
      <c r="D6119" s="12"/>
    </row>
    <row r="6120" spans="1:4" x14ac:dyDescent="0.25">
      <c r="A6120" t="str">
        <f>IF(COUNTIF(B$1:B6120,B6120)=1,MAX(A$1:A6119)+1,"")</f>
        <v/>
      </c>
      <c r="B6120" s="11"/>
      <c r="C6120" s="11" t="str">
        <f>IF(COUNTIF(D$1:D6120,D6120)=1,MAX(C$1:C6119)+1,"")</f>
        <v/>
      </c>
      <c r="D6120" s="12"/>
    </row>
    <row r="6121" spans="1:4" x14ac:dyDescent="0.25">
      <c r="A6121" t="str">
        <f>IF(COUNTIF(B$1:B6121,B6121)=1,MAX(A$1:A6120)+1,"")</f>
        <v/>
      </c>
      <c r="B6121" s="11"/>
      <c r="C6121" s="11" t="str">
        <f>IF(COUNTIF(D$1:D6121,D6121)=1,MAX(C$1:C6120)+1,"")</f>
        <v/>
      </c>
      <c r="D6121" s="12"/>
    </row>
    <row r="6122" spans="1:4" x14ac:dyDescent="0.25">
      <c r="A6122" t="str">
        <f>IF(COUNTIF(B$1:B6122,B6122)=1,MAX(A$1:A6121)+1,"")</f>
        <v/>
      </c>
      <c r="B6122" s="11"/>
      <c r="C6122" s="11" t="str">
        <f>IF(COUNTIF(D$1:D6122,D6122)=1,MAX(C$1:C6121)+1,"")</f>
        <v/>
      </c>
      <c r="D6122" s="12"/>
    </row>
    <row r="6123" spans="1:4" x14ac:dyDescent="0.25">
      <c r="A6123" t="str">
        <f>IF(COUNTIF(B$1:B6123,B6123)=1,MAX(A$1:A6122)+1,"")</f>
        <v/>
      </c>
      <c r="B6123" s="11"/>
      <c r="C6123" s="11" t="str">
        <f>IF(COUNTIF(D$1:D6123,D6123)=1,MAX(C$1:C6122)+1,"")</f>
        <v/>
      </c>
      <c r="D6123" s="12"/>
    </row>
    <row r="6124" spans="1:4" x14ac:dyDescent="0.25">
      <c r="A6124" t="str">
        <f>IF(COUNTIF(B$1:B6124,B6124)=1,MAX(A$1:A6123)+1,"")</f>
        <v/>
      </c>
      <c r="B6124" s="11"/>
      <c r="C6124" s="11" t="str">
        <f>IF(COUNTIF(D$1:D6124,D6124)=1,MAX(C$1:C6123)+1,"")</f>
        <v/>
      </c>
      <c r="D6124" s="12"/>
    </row>
    <row r="6125" spans="1:4" x14ac:dyDescent="0.25">
      <c r="A6125" t="str">
        <f>IF(COUNTIF(B$1:B6125,B6125)=1,MAX(A$1:A6124)+1,"")</f>
        <v/>
      </c>
      <c r="B6125" s="11"/>
      <c r="C6125" s="11" t="str">
        <f>IF(COUNTIF(D$1:D6125,D6125)=1,MAX(C$1:C6124)+1,"")</f>
        <v/>
      </c>
      <c r="D6125" s="12"/>
    </row>
    <row r="6126" spans="1:4" x14ac:dyDescent="0.25">
      <c r="A6126" t="str">
        <f>IF(COUNTIF(B$1:B6126,B6126)=1,MAX(A$1:A6125)+1,"")</f>
        <v/>
      </c>
      <c r="B6126" s="11"/>
      <c r="C6126" s="11" t="str">
        <f>IF(COUNTIF(D$1:D6126,D6126)=1,MAX(C$1:C6125)+1,"")</f>
        <v/>
      </c>
      <c r="D6126" s="12"/>
    </row>
    <row r="6127" spans="1:4" x14ac:dyDescent="0.25">
      <c r="A6127" t="str">
        <f>IF(COUNTIF(B$1:B6127,B6127)=1,MAX(A$1:A6126)+1,"")</f>
        <v/>
      </c>
      <c r="B6127" s="11"/>
      <c r="C6127" s="11" t="str">
        <f>IF(COUNTIF(D$1:D6127,D6127)=1,MAX(C$1:C6126)+1,"")</f>
        <v/>
      </c>
      <c r="D6127" s="12"/>
    </row>
    <row r="6128" spans="1:4" x14ac:dyDescent="0.25">
      <c r="A6128" t="str">
        <f>IF(COUNTIF(B$1:B6128,B6128)=1,MAX(A$1:A6127)+1,"")</f>
        <v/>
      </c>
      <c r="B6128" s="11"/>
      <c r="C6128" s="11" t="str">
        <f>IF(COUNTIF(D$1:D6128,D6128)=1,MAX(C$1:C6127)+1,"")</f>
        <v/>
      </c>
      <c r="D6128" s="12"/>
    </row>
    <row r="6129" spans="1:4" x14ac:dyDescent="0.25">
      <c r="A6129" t="str">
        <f>IF(COUNTIF(B$1:B6129,B6129)=1,MAX(A$1:A6128)+1,"")</f>
        <v/>
      </c>
      <c r="B6129" s="11"/>
      <c r="C6129" s="11" t="str">
        <f>IF(COUNTIF(D$1:D6129,D6129)=1,MAX(C$1:C6128)+1,"")</f>
        <v/>
      </c>
      <c r="D6129" s="12"/>
    </row>
    <row r="6130" spans="1:4" x14ac:dyDescent="0.25">
      <c r="A6130" t="str">
        <f>IF(COUNTIF(B$1:B6130,B6130)=1,MAX(A$1:A6129)+1,"")</f>
        <v/>
      </c>
      <c r="B6130" s="11"/>
      <c r="C6130" s="11" t="str">
        <f>IF(COUNTIF(D$1:D6130,D6130)=1,MAX(C$1:C6129)+1,"")</f>
        <v/>
      </c>
      <c r="D6130" s="12"/>
    </row>
    <row r="6131" spans="1:4" x14ac:dyDescent="0.25">
      <c r="A6131" t="str">
        <f>IF(COUNTIF(B$1:B6131,B6131)=1,MAX(A$1:A6130)+1,"")</f>
        <v/>
      </c>
      <c r="B6131" s="11"/>
      <c r="C6131" s="11" t="str">
        <f>IF(COUNTIF(D$1:D6131,D6131)=1,MAX(C$1:C6130)+1,"")</f>
        <v/>
      </c>
      <c r="D6131" s="12"/>
    </row>
    <row r="6132" spans="1:4" x14ac:dyDescent="0.25">
      <c r="A6132" t="str">
        <f>IF(COUNTIF(B$1:B6132,B6132)=1,MAX(A$1:A6131)+1,"")</f>
        <v/>
      </c>
      <c r="B6132" s="11"/>
      <c r="C6132" s="11" t="str">
        <f>IF(COUNTIF(D$1:D6132,D6132)=1,MAX(C$1:C6131)+1,"")</f>
        <v/>
      </c>
      <c r="D6132" s="12"/>
    </row>
    <row r="6133" spans="1:4" x14ac:dyDescent="0.25">
      <c r="A6133" t="str">
        <f>IF(COUNTIF(B$1:B6133,B6133)=1,MAX(A$1:A6132)+1,"")</f>
        <v/>
      </c>
      <c r="B6133" s="11"/>
      <c r="C6133" s="11" t="str">
        <f>IF(COUNTIF(D$1:D6133,D6133)=1,MAX(C$1:C6132)+1,"")</f>
        <v/>
      </c>
      <c r="D6133" s="12"/>
    </row>
    <row r="6134" spans="1:4" x14ac:dyDescent="0.25">
      <c r="A6134" t="str">
        <f>IF(COUNTIF(B$1:B6134,B6134)=1,MAX(A$1:A6133)+1,"")</f>
        <v/>
      </c>
      <c r="B6134" s="11"/>
      <c r="C6134" s="11" t="str">
        <f>IF(COUNTIF(D$1:D6134,D6134)=1,MAX(C$1:C6133)+1,"")</f>
        <v/>
      </c>
      <c r="D6134" s="12"/>
    </row>
    <row r="6135" spans="1:4" x14ac:dyDescent="0.25">
      <c r="A6135" t="str">
        <f>IF(COUNTIF(B$1:B6135,B6135)=1,MAX(A$1:A6134)+1,"")</f>
        <v/>
      </c>
      <c r="B6135" s="11"/>
      <c r="C6135" s="11" t="str">
        <f>IF(COUNTIF(D$1:D6135,D6135)=1,MAX(C$1:C6134)+1,"")</f>
        <v/>
      </c>
      <c r="D6135" s="12"/>
    </row>
    <row r="6136" spans="1:4" x14ac:dyDescent="0.25">
      <c r="A6136" t="str">
        <f>IF(COUNTIF(B$1:B6136,B6136)=1,MAX(A$1:A6135)+1,"")</f>
        <v/>
      </c>
      <c r="B6136" s="11"/>
      <c r="C6136" s="11" t="str">
        <f>IF(COUNTIF(D$1:D6136,D6136)=1,MAX(C$1:C6135)+1,"")</f>
        <v/>
      </c>
      <c r="D6136" s="12"/>
    </row>
    <row r="6137" spans="1:4" x14ac:dyDescent="0.25">
      <c r="A6137" t="str">
        <f>IF(COUNTIF(B$1:B6137,B6137)=1,MAX(A$1:A6136)+1,"")</f>
        <v/>
      </c>
      <c r="B6137" s="11"/>
      <c r="C6137" s="11" t="str">
        <f>IF(COUNTIF(D$1:D6137,D6137)=1,MAX(C$1:C6136)+1,"")</f>
        <v/>
      </c>
      <c r="D6137" s="12"/>
    </row>
    <row r="6138" spans="1:4" x14ac:dyDescent="0.25">
      <c r="A6138" t="str">
        <f>IF(COUNTIF(B$1:B6138,B6138)=1,MAX(A$1:A6137)+1,"")</f>
        <v/>
      </c>
      <c r="B6138" s="11"/>
      <c r="C6138" s="11" t="str">
        <f>IF(COUNTIF(D$1:D6138,D6138)=1,MAX(C$1:C6137)+1,"")</f>
        <v/>
      </c>
      <c r="D6138" s="12"/>
    </row>
    <row r="6139" spans="1:4" x14ac:dyDescent="0.25">
      <c r="A6139" t="str">
        <f>IF(COUNTIF(B$1:B6139,B6139)=1,MAX(A$1:A6138)+1,"")</f>
        <v/>
      </c>
      <c r="B6139" s="11"/>
      <c r="C6139" s="11" t="str">
        <f>IF(COUNTIF(D$1:D6139,D6139)=1,MAX(C$1:C6138)+1,"")</f>
        <v/>
      </c>
      <c r="D6139" s="12"/>
    </row>
    <row r="6140" spans="1:4" x14ac:dyDescent="0.25">
      <c r="A6140" t="str">
        <f>IF(COUNTIF(B$1:B6140,B6140)=1,MAX(A$1:A6139)+1,"")</f>
        <v/>
      </c>
      <c r="B6140" s="11"/>
      <c r="C6140" s="11" t="str">
        <f>IF(COUNTIF(D$1:D6140,D6140)=1,MAX(C$1:C6139)+1,"")</f>
        <v/>
      </c>
      <c r="D6140" s="12"/>
    </row>
    <row r="6141" spans="1:4" x14ac:dyDescent="0.25">
      <c r="A6141" t="str">
        <f>IF(COUNTIF(B$1:B6141,B6141)=1,MAX(A$1:A6140)+1,"")</f>
        <v/>
      </c>
      <c r="B6141" s="11"/>
      <c r="C6141" s="11" t="str">
        <f>IF(COUNTIF(D$1:D6141,D6141)=1,MAX(C$1:C6140)+1,"")</f>
        <v/>
      </c>
      <c r="D6141" s="12"/>
    </row>
    <row r="6142" spans="1:4" x14ac:dyDescent="0.25">
      <c r="A6142" t="str">
        <f>IF(COUNTIF(B$1:B6142,B6142)=1,MAX(A$1:A6141)+1,"")</f>
        <v/>
      </c>
      <c r="B6142" s="11"/>
      <c r="C6142" s="11" t="str">
        <f>IF(COUNTIF(D$1:D6142,D6142)=1,MAX(C$1:C6141)+1,"")</f>
        <v/>
      </c>
      <c r="D6142" s="12"/>
    </row>
    <row r="6143" spans="1:4" x14ac:dyDescent="0.25">
      <c r="A6143" t="str">
        <f>IF(COUNTIF(B$1:B6143,B6143)=1,MAX(A$1:A6142)+1,"")</f>
        <v/>
      </c>
      <c r="B6143" s="11"/>
      <c r="C6143" s="11" t="str">
        <f>IF(COUNTIF(D$1:D6143,D6143)=1,MAX(C$1:C6142)+1,"")</f>
        <v/>
      </c>
      <c r="D6143" s="12"/>
    </row>
    <row r="6144" spans="1:4" x14ac:dyDescent="0.25">
      <c r="A6144" t="str">
        <f>IF(COUNTIF(B$1:B6144,B6144)=1,MAX(A$1:A6143)+1,"")</f>
        <v/>
      </c>
      <c r="B6144" s="11"/>
      <c r="C6144" s="11" t="str">
        <f>IF(COUNTIF(D$1:D6144,D6144)=1,MAX(C$1:C6143)+1,"")</f>
        <v/>
      </c>
      <c r="D6144" s="12"/>
    </row>
    <row r="6145" spans="1:4" x14ac:dyDescent="0.25">
      <c r="A6145" t="str">
        <f>IF(COUNTIF(B$1:B6145,B6145)=1,MAX(A$1:A6144)+1,"")</f>
        <v/>
      </c>
      <c r="B6145" s="11"/>
      <c r="C6145" s="11" t="str">
        <f>IF(COUNTIF(D$1:D6145,D6145)=1,MAX(C$1:C6144)+1,"")</f>
        <v/>
      </c>
      <c r="D6145" s="12"/>
    </row>
    <row r="6146" spans="1:4" x14ac:dyDescent="0.25">
      <c r="A6146" t="str">
        <f>IF(COUNTIF(B$1:B6146,B6146)=1,MAX(A$1:A6145)+1,"")</f>
        <v/>
      </c>
      <c r="B6146" s="11"/>
      <c r="C6146" s="11" t="str">
        <f>IF(COUNTIF(D$1:D6146,D6146)=1,MAX(C$1:C6145)+1,"")</f>
        <v/>
      </c>
      <c r="D6146" s="12"/>
    </row>
    <row r="6147" spans="1:4" x14ac:dyDescent="0.25">
      <c r="A6147" t="str">
        <f>IF(COUNTIF(B$1:B6147,B6147)=1,MAX(A$1:A6146)+1,"")</f>
        <v/>
      </c>
      <c r="B6147" s="11"/>
      <c r="C6147" s="11" t="str">
        <f>IF(COUNTIF(D$1:D6147,D6147)=1,MAX(C$1:C6146)+1,"")</f>
        <v/>
      </c>
      <c r="D6147" s="12"/>
    </row>
    <row r="6148" spans="1:4" x14ac:dyDescent="0.25">
      <c r="A6148" t="str">
        <f>IF(COUNTIF(B$1:B6148,B6148)=1,MAX(A$1:A6147)+1,"")</f>
        <v/>
      </c>
      <c r="B6148" s="11"/>
      <c r="C6148" s="11" t="str">
        <f>IF(COUNTIF(D$1:D6148,D6148)=1,MAX(C$1:C6147)+1,"")</f>
        <v/>
      </c>
      <c r="D6148" s="12"/>
    </row>
    <row r="6149" spans="1:4" x14ac:dyDescent="0.25">
      <c r="A6149" t="str">
        <f>IF(COUNTIF(B$1:B6149,B6149)=1,MAX(A$1:A6148)+1,"")</f>
        <v/>
      </c>
      <c r="B6149" s="11"/>
      <c r="C6149" s="11" t="str">
        <f>IF(COUNTIF(D$1:D6149,D6149)=1,MAX(C$1:C6148)+1,"")</f>
        <v/>
      </c>
      <c r="D6149" s="12"/>
    </row>
    <row r="6150" spans="1:4" x14ac:dyDescent="0.25">
      <c r="A6150" t="str">
        <f>IF(COUNTIF(B$1:B6150,B6150)=1,MAX(A$1:A6149)+1,"")</f>
        <v/>
      </c>
      <c r="B6150" s="11"/>
      <c r="C6150" s="11" t="str">
        <f>IF(COUNTIF(D$1:D6150,D6150)=1,MAX(C$1:C6149)+1,"")</f>
        <v/>
      </c>
      <c r="D6150" s="12"/>
    </row>
    <row r="6151" spans="1:4" x14ac:dyDescent="0.25">
      <c r="A6151" t="str">
        <f>IF(COUNTIF(B$1:B6151,B6151)=1,MAX(A$1:A6150)+1,"")</f>
        <v/>
      </c>
      <c r="B6151" s="11"/>
      <c r="C6151" s="11" t="str">
        <f>IF(COUNTIF(D$1:D6151,D6151)=1,MAX(C$1:C6150)+1,"")</f>
        <v/>
      </c>
      <c r="D6151" s="12"/>
    </row>
    <row r="6152" spans="1:4" x14ac:dyDescent="0.25">
      <c r="A6152" t="str">
        <f>IF(COUNTIF(B$1:B6152,B6152)=1,MAX(A$1:A6151)+1,"")</f>
        <v/>
      </c>
      <c r="B6152" s="11"/>
      <c r="C6152" s="11" t="str">
        <f>IF(COUNTIF(D$1:D6152,D6152)=1,MAX(C$1:C6151)+1,"")</f>
        <v/>
      </c>
      <c r="D6152" s="12"/>
    </row>
    <row r="6153" spans="1:4" x14ac:dyDescent="0.25">
      <c r="A6153" t="str">
        <f>IF(COUNTIF(B$1:B6153,B6153)=1,MAX(A$1:A6152)+1,"")</f>
        <v/>
      </c>
      <c r="B6153" s="11"/>
      <c r="C6153" s="11" t="str">
        <f>IF(COUNTIF(D$1:D6153,D6153)=1,MAX(C$1:C6152)+1,"")</f>
        <v/>
      </c>
      <c r="D6153" s="12"/>
    </row>
    <row r="6154" spans="1:4" x14ac:dyDescent="0.25">
      <c r="A6154" t="str">
        <f>IF(COUNTIF(B$1:B6154,B6154)=1,MAX(A$1:A6153)+1,"")</f>
        <v/>
      </c>
      <c r="B6154" s="11"/>
      <c r="C6154" s="11" t="str">
        <f>IF(COUNTIF(D$1:D6154,D6154)=1,MAX(C$1:C6153)+1,"")</f>
        <v/>
      </c>
      <c r="D6154" s="12"/>
    </row>
    <row r="6155" spans="1:4" x14ac:dyDescent="0.25">
      <c r="A6155" t="str">
        <f>IF(COUNTIF(B$1:B6155,B6155)=1,MAX(A$1:A6154)+1,"")</f>
        <v/>
      </c>
      <c r="B6155" s="11"/>
      <c r="C6155" s="11" t="str">
        <f>IF(COUNTIF(D$1:D6155,D6155)=1,MAX(C$1:C6154)+1,"")</f>
        <v/>
      </c>
      <c r="D6155" s="12"/>
    </row>
    <row r="6156" spans="1:4" x14ac:dyDescent="0.25">
      <c r="A6156" t="str">
        <f>IF(COUNTIF(B$1:B6156,B6156)=1,MAX(A$1:A6155)+1,"")</f>
        <v/>
      </c>
      <c r="B6156" s="11"/>
      <c r="C6156" s="11" t="str">
        <f>IF(COUNTIF(D$1:D6156,D6156)=1,MAX(C$1:C6155)+1,"")</f>
        <v/>
      </c>
      <c r="D6156" s="12"/>
    </row>
    <row r="6157" spans="1:4" x14ac:dyDescent="0.25">
      <c r="A6157" t="str">
        <f>IF(COUNTIF(B$1:B6157,B6157)=1,MAX(A$1:A6156)+1,"")</f>
        <v/>
      </c>
      <c r="B6157" s="11"/>
      <c r="C6157" s="11" t="str">
        <f>IF(COUNTIF(D$1:D6157,D6157)=1,MAX(C$1:C6156)+1,"")</f>
        <v/>
      </c>
      <c r="D6157" s="12"/>
    </row>
    <row r="6158" spans="1:4" x14ac:dyDescent="0.25">
      <c r="A6158" t="str">
        <f>IF(COUNTIF(B$1:B6158,B6158)=1,MAX(A$1:A6157)+1,"")</f>
        <v/>
      </c>
      <c r="B6158" s="11"/>
      <c r="C6158" s="11" t="str">
        <f>IF(COUNTIF(D$1:D6158,D6158)=1,MAX(C$1:C6157)+1,"")</f>
        <v/>
      </c>
      <c r="D6158" s="12"/>
    </row>
    <row r="6159" spans="1:4" x14ac:dyDescent="0.25">
      <c r="A6159" t="str">
        <f>IF(COUNTIF(B$1:B6159,B6159)=1,MAX(A$1:A6158)+1,"")</f>
        <v/>
      </c>
      <c r="B6159" s="11"/>
      <c r="C6159" s="11" t="str">
        <f>IF(COUNTIF(D$1:D6159,D6159)=1,MAX(C$1:C6158)+1,"")</f>
        <v/>
      </c>
      <c r="D6159" s="12"/>
    </row>
    <row r="6160" spans="1:4" x14ac:dyDescent="0.25">
      <c r="A6160" t="str">
        <f>IF(COUNTIF(B$1:B6160,B6160)=1,MAX(A$1:A6159)+1,"")</f>
        <v/>
      </c>
      <c r="B6160" s="11"/>
      <c r="C6160" s="11" t="str">
        <f>IF(COUNTIF(D$1:D6160,D6160)=1,MAX(C$1:C6159)+1,"")</f>
        <v/>
      </c>
      <c r="D6160" s="12"/>
    </row>
    <row r="6161" spans="1:4" x14ac:dyDescent="0.25">
      <c r="A6161" t="str">
        <f>IF(COUNTIF(B$1:B6161,B6161)=1,MAX(A$1:A6160)+1,"")</f>
        <v/>
      </c>
      <c r="B6161" s="11"/>
      <c r="C6161" s="11" t="str">
        <f>IF(COUNTIF(D$1:D6161,D6161)=1,MAX(C$1:C6160)+1,"")</f>
        <v/>
      </c>
      <c r="D6161" s="12"/>
    </row>
    <row r="6162" spans="1:4" x14ac:dyDescent="0.25">
      <c r="A6162" t="str">
        <f>IF(COUNTIF(B$1:B6162,B6162)=1,MAX(A$1:A6161)+1,"")</f>
        <v/>
      </c>
      <c r="B6162" s="11"/>
      <c r="C6162" s="11" t="str">
        <f>IF(COUNTIF(D$1:D6162,D6162)=1,MAX(C$1:C6161)+1,"")</f>
        <v/>
      </c>
      <c r="D6162" s="12"/>
    </row>
    <row r="6163" spans="1:4" x14ac:dyDescent="0.25">
      <c r="A6163" t="str">
        <f>IF(COUNTIF(B$1:B6163,B6163)=1,MAX(A$1:A6162)+1,"")</f>
        <v/>
      </c>
      <c r="B6163" s="11"/>
      <c r="C6163" s="11" t="str">
        <f>IF(COUNTIF(D$1:D6163,D6163)=1,MAX(C$1:C6162)+1,"")</f>
        <v/>
      </c>
      <c r="D6163" s="12"/>
    </row>
    <row r="6164" spans="1:4" x14ac:dyDescent="0.25">
      <c r="A6164" t="str">
        <f>IF(COUNTIF(B$1:B6164,B6164)=1,MAX(A$1:A6163)+1,"")</f>
        <v/>
      </c>
      <c r="B6164" s="11"/>
      <c r="C6164" s="11" t="str">
        <f>IF(COUNTIF(D$1:D6164,D6164)=1,MAX(C$1:C6163)+1,"")</f>
        <v/>
      </c>
      <c r="D6164" s="12"/>
    </row>
    <row r="6165" spans="1:4" x14ac:dyDescent="0.25">
      <c r="A6165" t="str">
        <f>IF(COUNTIF(B$1:B6165,B6165)=1,MAX(A$1:A6164)+1,"")</f>
        <v/>
      </c>
      <c r="B6165" s="11"/>
      <c r="C6165" s="11" t="str">
        <f>IF(COUNTIF(D$1:D6165,D6165)=1,MAX(C$1:C6164)+1,"")</f>
        <v/>
      </c>
      <c r="D6165" s="12"/>
    </row>
    <row r="6166" spans="1:4" x14ac:dyDescent="0.25">
      <c r="A6166" t="str">
        <f>IF(COUNTIF(B$1:B6166,B6166)=1,MAX(A$1:A6165)+1,"")</f>
        <v/>
      </c>
      <c r="B6166" s="11"/>
      <c r="C6166" s="11" t="str">
        <f>IF(COUNTIF(D$1:D6166,D6166)=1,MAX(C$1:C6165)+1,"")</f>
        <v/>
      </c>
      <c r="D6166" s="12"/>
    </row>
    <row r="6167" spans="1:4" x14ac:dyDescent="0.25">
      <c r="A6167" t="str">
        <f>IF(COUNTIF(B$1:B6167,B6167)=1,MAX(A$1:A6166)+1,"")</f>
        <v/>
      </c>
      <c r="B6167" s="11"/>
      <c r="C6167" s="11" t="str">
        <f>IF(COUNTIF(D$1:D6167,D6167)=1,MAX(C$1:C6166)+1,"")</f>
        <v/>
      </c>
      <c r="D6167" s="12"/>
    </row>
    <row r="6168" spans="1:4" x14ac:dyDescent="0.25">
      <c r="A6168" t="str">
        <f>IF(COUNTIF(B$1:B6168,B6168)=1,MAX(A$1:A6167)+1,"")</f>
        <v/>
      </c>
      <c r="B6168" s="11"/>
      <c r="C6168" s="11" t="str">
        <f>IF(COUNTIF(D$1:D6168,D6168)=1,MAX(C$1:C6167)+1,"")</f>
        <v/>
      </c>
      <c r="D6168" s="12"/>
    </row>
    <row r="6169" spans="1:4" x14ac:dyDescent="0.25">
      <c r="A6169" t="str">
        <f>IF(COUNTIF(B$1:B6169,B6169)=1,MAX(A$1:A6168)+1,"")</f>
        <v/>
      </c>
      <c r="B6169" s="11"/>
      <c r="C6169" s="11" t="str">
        <f>IF(COUNTIF(D$1:D6169,D6169)=1,MAX(C$1:C6168)+1,"")</f>
        <v/>
      </c>
      <c r="D6169" s="12"/>
    </row>
    <row r="6170" spans="1:4" x14ac:dyDescent="0.25">
      <c r="A6170" t="str">
        <f>IF(COUNTIF(B$1:B6170,B6170)=1,MAX(A$1:A6169)+1,"")</f>
        <v/>
      </c>
      <c r="B6170" s="11"/>
      <c r="C6170" s="11" t="str">
        <f>IF(COUNTIF(D$1:D6170,D6170)=1,MAX(C$1:C6169)+1,"")</f>
        <v/>
      </c>
      <c r="D6170" s="12"/>
    </row>
    <row r="6171" spans="1:4" x14ac:dyDescent="0.25">
      <c r="A6171" t="str">
        <f>IF(COUNTIF(B$1:B6171,B6171)=1,MAX(A$1:A6170)+1,"")</f>
        <v/>
      </c>
      <c r="B6171" s="11"/>
      <c r="C6171" s="11" t="str">
        <f>IF(COUNTIF(D$1:D6171,D6171)=1,MAX(C$1:C6170)+1,"")</f>
        <v/>
      </c>
      <c r="D6171" s="12"/>
    </row>
    <row r="6172" spans="1:4" x14ac:dyDescent="0.25">
      <c r="A6172" t="str">
        <f>IF(COUNTIF(B$1:B6172,B6172)=1,MAX(A$1:A6171)+1,"")</f>
        <v/>
      </c>
      <c r="B6172" s="11"/>
      <c r="C6172" s="11" t="str">
        <f>IF(COUNTIF(D$1:D6172,D6172)=1,MAX(C$1:C6171)+1,"")</f>
        <v/>
      </c>
      <c r="D6172" s="12"/>
    </row>
    <row r="6173" spans="1:4" x14ac:dyDescent="0.25">
      <c r="A6173" t="str">
        <f>IF(COUNTIF(B$1:B6173,B6173)=1,MAX(A$1:A6172)+1,"")</f>
        <v/>
      </c>
      <c r="B6173" s="11"/>
      <c r="C6173" s="11" t="str">
        <f>IF(COUNTIF(D$1:D6173,D6173)=1,MAX(C$1:C6172)+1,"")</f>
        <v/>
      </c>
      <c r="D6173" s="12"/>
    </row>
    <row r="6174" spans="1:4" x14ac:dyDescent="0.25">
      <c r="A6174" t="str">
        <f>IF(COUNTIF(B$1:B6174,B6174)=1,MAX(A$1:A6173)+1,"")</f>
        <v/>
      </c>
      <c r="B6174" s="11"/>
      <c r="C6174" s="11" t="str">
        <f>IF(COUNTIF(D$1:D6174,D6174)=1,MAX(C$1:C6173)+1,"")</f>
        <v/>
      </c>
      <c r="D6174" s="12"/>
    </row>
    <row r="6175" spans="1:4" x14ac:dyDescent="0.25">
      <c r="A6175" t="str">
        <f>IF(COUNTIF(B$1:B6175,B6175)=1,MAX(A$1:A6174)+1,"")</f>
        <v/>
      </c>
      <c r="B6175" s="11"/>
      <c r="C6175" s="11" t="str">
        <f>IF(COUNTIF(D$1:D6175,D6175)=1,MAX(C$1:C6174)+1,"")</f>
        <v/>
      </c>
      <c r="D6175" s="12"/>
    </row>
    <row r="6176" spans="1:4" x14ac:dyDescent="0.25">
      <c r="A6176" t="str">
        <f>IF(COUNTIF(B$1:B6176,B6176)=1,MAX(A$1:A6175)+1,"")</f>
        <v/>
      </c>
      <c r="B6176" s="11"/>
      <c r="C6176" s="11" t="str">
        <f>IF(COUNTIF(D$1:D6176,D6176)=1,MAX(C$1:C6175)+1,"")</f>
        <v/>
      </c>
      <c r="D6176" s="12"/>
    </row>
    <row r="6177" spans="1:4" x14ac:dyDescent="0.25">
      <c r="A6177" t="str">
        <f>IF(COUNTIF(B$1:B6177,B6177)=1,MAX(A$1:A6176)+1,"")</f>
        <v/>
      </c>
      <c r="B6177" s="11"/>
      <c r="C6177" s="11" t="str">
        <f>IF(COUNTIF(D$1:D6177,D6177)=1,MAX(C$1:C6176)+1,"")</f>
        <v/>
      </c>
      <c r="D6177" s="12"/>
    </row>
    <row r="6178" spans="1:4" x14ac:dyDescent="0.25">
      <c r="A6178" t="str">
        <f>IF(COUNTIF(B$1:B6178,B6178)=1,MAX(A$1:A6177)+1,"")</f>
        <v/>
      </c>
      <c r="B6178" s="11"/>
      <c r="C6178" s="11" t="str">
        <f>IF(COUNTIF(D$1:D6178,D6178)=1,MAX(C$1:C6177)+1,"")</f>
        <v/>
      </c>
      <c r="D6178" s="12"/>
    </row>
    <row r="6179" spans="1:4" x14ac:dyDescent="0.25">
      <c r="A6179" t="str">
        <f>IF(COUNTIF(B$1:B6179,B6179)=1,MAX(A$1:A6178)+1,"")</f>
        <v/>
      </c>
      <c r="B6179" s="11"/>
      <c r="C6179" s="11" t="str">
        <f>IF(COUNTIF(D$1:D6179,D6179)=1,MAX(C$1:C6178)+1,"")</f>
        <v/>
      </c>
      <c r="D6179" s="12"/>
    </row>
    <row r="6180" spans="1:4" x14ac:dyDescent="0.25">
      <c r="A6180" t="str">
        <f>IF(COUNTIF(B$1:B6180,B6180)=1,MAX(A$1:A6179)+1,"")</f>
        <v/>
      </c>
      <c r="B6180" s="11"/>
      <c r="C6180" s="11" t="str">
        <f>IF(COUNTIF(D$1:D6180,D6180)=1,MAX(C$1:C6179)+1,"")</f>
        <v/>
      </c>
      <c r="D6180" s="12"/>
    </row>
    <row r="6181" spans="1:4" x14ac:dyDescent="0.25">
      <c r="A6181" t="str">
        <f>IF(COUNTIF(B$1:B6181,B6181)=1,MAX(A$1:A6180)+1,"")</f>
        <v/>
      </c>
      <c r="B6181" s="11"/>
      <c r="C6181" s="11" t="str">
        <f>IF(COUNTIF(D$1:D6181,D6181)=1,MAX(C$1:C6180)+1,"")</f>
        <v/>
      </c>
      <c r="D6181" s="12"/>
    </row>
    <row r="6182" spans="1:4" x14ac:dyDescent="0.25">
      <c r="A6182" t="str">
        <f>IF(COUNTIF(B$1:B6182,B6182)=1,MAX(A$1:A6181)+1,"")</f>
        <v/>
      </c>
      <c r="B6182" s="11"/>
      <c r="C6182" s="11" t="str">
        <f>IF(COUNTIF(D$1:D6182,D6182)=1,MAX(C$1:C6181)+1,"")</f>
        <v/>
      </c>
      <c r="D6182" s="12"/>
    </row>
    <row r="6183" spans="1:4" x14ac:dyDescent="0.25">
      <c r="A6183" t="str">
        <f>IF(COUNTIF(B$1:B6183,B6183)=1,MAX(A$1:A6182)+1,"")</f>
        <v/>
      </c>
      <c r="B6183" s="11"/>
      <c r="C6183" s="11" t="str">
        <f>IF(COUNTIF(D$1:D6183,D6183)=1,MAX(C$1:C6182)+1,"")</f>
        <v/>
      </c>
      <c r="D6183" s="12"/>
    </row>
    <row r="6184" spans="1:4" x14ac:dyDescent="0.25">
      <c r="A6184" t="str">
        <f>IF(COUNTIF(B$1:B6184,B6184)=1,MAX(A$1:A6183)+1,"")</f>
        <v/>
      </c>
      <c r="B6184" s="11"/>
      <c r="C6184" s="11" t="str">
        <f>IF(COUNTIF(D$1:D6184,D6184)=1,MAX(C$1:C6183)+1,"")</f>
        <v/>
      </c>
      <c r="D6184" s="12"/>
    </row>
    <row r="6185" spans="1:4" x14ac:dyDescent="0.25">
      <c r="A6185" t="str">
        <f>IF(COUNTIF(B$1:B6185,B6185)=1,MAX(A$1:A6184)+1,"")</f>
        <v/>
      </c>
      <c r="B6185" s="11"/>
      <c r="C6185" s="11" t="str">
        <f>IF(COUNTIF(D$1:D6185,D6185)=1,MAX(C$1:C6184)+1,"")</f>
        <v/>
      </c>
      <c r="D6185" s="12"/>
    </row>
    <row r="6186" spans="1:4" x14ac:dyDescent="0.25">
      <c r="A6186" t="str">
        <f>IF(COUNTIF(B$1:B6186,B6186)=1,MAX(A$1:A6185)+1,"")</f>
        <v/>
      </c>
      <c r="B6186" s="11"/>
      <c r="C6186" s="11" t="str">
        <f>IF(COUNTIF(D$1:D6186,D6186)=1,MAX(C$1:C6185)+1,"")</f>
        <v/>
      </c>
      <c r="D6186" s="12"/>
    </row>
    <row r="6187" spans="1:4" x14ac:dyDescent="0.25">
      <c r="A6187" t="str">
        <f>IF(COUNTIF(B$1:B6187,B6187)=1,MAX(A$1:A6186)+1,"")</f>
        <v/>
      </c>
      <c r="B6187" s="11"/>
      <c r="C6187" s="11" t="str">
        <f>IF(COUNTIF(D$1:D6187,D6187)=1,MAX(C$1:C6186)+1,"")</f>
        <v/>
      </c>
      <c r="D6187" s="12"/>
    </row>
    <row r="6188" spans="1:4" x14ac:dyDescent="0.25">
      <c r="A6188" t="str">
        <f>IF(COUNTIF(B$1:B6188,B6188)=1,MAX(A$1:A6187)+1,"")</f>
        <v/>
      </c>
      <c r="B6188" s="11"/>
      <c r="C6188" s="11" t="str">
        <f>IF(COUNTIF(D$1:D6188,D6188)=1,MAX(C$1:C6187)+1,"")</f>
        <v/>
      </c>
      <c r="D6188" s="12"/>
    </row>
    <row r="6189" spans="1:4" x14ac:dyDescent="0.25">
      <c r="A6189" t="str">
        <f>IF(COUNTIF(B$1:B6189,B6189)=1,MAX(A$1:A6188)+1,"")</f>
        <v/>
      </c>
      <c r="B6189" s="11"/>
      <c r="C6189" s="11" t="str">
        <f>IF(COUNTIF(D$1:D6189,D6189)=1,MAX(C$1:C6188)+1,"")</f>
        <v/>
      </c>
      <c r="D6189" s="12"/>
    </row>
    <row r="6190" spans="1:4" x14ac:dyDescent="0.25">
      <c r="A6190" t="str">
        <f>IF(COUNTIF(B$1:B6190,B6190)=1,MAX(A$1:A6189)+1,"")</f>
        <v/>
      </c>
      <c r="B6190" s="11"/>
      <c r="C6190" s="11" t="str">
        <f>IF(COUNTIF(D$1:D6190,D6190)=1,MAX(C$1:C6189)+1,"")</f>
        <v/>
      </c>
      <c r="D6190" s="12"/>
    </row>
    <row r="6191" spans="1:4" x14ac:dyDescent="0.25">
      <c r="A6191" t="str">
        <f>IF(COUNTIF(B$1:B6191,B6191)=1,MAX(A$1:A6190)+1,"")</f>
        <v/>
      </c>
      <c r="B6191" s="11"/>
      <c r="C6191" s="11" t="str">
        <f>IF(COUNTIF(D$1:D6191,D6191)=1,MAX(C$1:C6190)+1,"")</f>
        <v/>
      </c>
      <c r="D6191" s="12"/>
    </row>
    <row r="6192" spans="1:4" x14ac:dyDescent="0.25">
      <c r="A6192" t="str">
        <f>IF(COUNTIF(B$1:B6192,B6192)=1,MAX(A$1:A6191)+1,"")</f>
        <v/>
      </c>
      <c r="B6192" s="11"/>
      <c r="C6192" s="11" t="str">
        <f>IF(COUNTIF(D$1:D6192,D6192)=1,MAX(C$1:C6191)+1,"")</f>
        <v/>
      </c>
      <c r="D6192" s="12"/>
    </row>
    <row r="6193" spans="1:4" x14ac:dyDescent="0.25">
      <c r="A6193" t="str">
        <f>IF(COUNTIF(B$1:B6193,B6193)=1,MAX(A$1:A6192)+1,"")</f>
        <v/>
      </c>
      <c r="B6193" s="11"/>
      <c r="C6193" s="11" t="str">
        <f>IF(COUNTIF(D$1:D6193,D6193)=1,MAX(C$1:C6192)+1,"")</f>
        <v/>
      </c>
      <c r="D6193" s="12"/>
    </row>
    <row r="6194" spans="1:4" x14ac:dyDescent="0.25">
      <c r="A6194" t="str">
        <f>IF(COUNTIF(B$1:B6194,B6194)=1,MAX(A$1:A6193)+1,"")</f>
        <v/>
      </c>
      <c r="B6194" s="11"/>
      <c r="C6194" s="11" t="str">
        <f>IF(COUNTIF(D$1:D6194,D6194)=1,MAX(C$1:C6193)+1,"")</f>
        <v/>
      </c>
      <c r="D6194" s="12"/>
    </row>
    <row r="6195" spans="1:4" x14ac:dyDescent="0.25">
      <c r="A6195" t="str">
        <f>IF(COUNTIF(B$1:B6195,B6195)=1,MAX(A$1:A6194)+1,"")</f>
        <v/>
      </c>
      <c r="B6195" s="11"/>
      <c r="C6195" s="11" t="str">
        <f>IF(COUNTIF(D$1:D6195,D6195)=1,MAX(C$1:C6194)+1,"")</f>
        <v/>
      </c>
      <c r="D6195" s="12"/>
    </row>
    <row r="6196" spans="1:4" x14ac:dyDescent="0.25">
      <c r="A6196" t="str">
        <f>IF(COUNTIF(B$1:B6196,B6196)=1,MAX(A$1:A6195)+1,"")</f>
        <v/>
      </c>
      <c r="B6196" s="11"/>
      <c r="C6196" s="11" t="str">
        <f>IF(COUNTIF(D$1:D6196,D6196)=1,MAX(C$1:C6195)+1,"")</f>
        <v/>
      </c>
      <c r="D6196" s="12"/>
    </row>
    <row r="6197" spans="1:4" x14ac:dyDescent="0.25">
      <c r="A6197" t="str">
        <f>IF(COUNTIF(B$1:B6197,B6197)=1,MAX(A$1:A6196)+1,"")</f>
        <v/>
      </c>
      <c r="B6197" s="11"/>
      <c r="C6197" s="11" t="str">
        <f>IF(COUNTIF(D$1:D6197,D6197)=1,MAX(C$1:C6196)+1,"")</f>
        <v/>
      </c>
      <c r="D6197" s="12"/>
    </row>
    <row r="6198" spans="1:4" x14ac:dyDescent="0.25">
      <c r="A6198" t="str">
        <f>IF(COUNTIF(B$1:B6198,B6198)=1,MAX(A$1:A6197)+1,"")</f>
        <v/>
      </c>
      <c r="B6198" s="11"/>
      <c r="C6198" s="11" t="str">
        <f>IF(COUNTIF(D$1:D6198,D6198)=1,MAX(C$1:C6197)+1,"")</f>
        <v/>
      </c>
      <c r="D6198" s="12"/>
    </row>
    <row r="6199" spans="1:4" x14ac:dyDescent="0.25">
      <c r="A6199" t="str">
        <f>IF(COUNTIF(B$1:B6199,B6199)=1,MAX(A$1:A6198)+1,"")</f>
        <v/>
      </c>
      <c r="B6199" s="11"/>
      <c r="C6199" s="11" t="str">
        <f>IF(COUNTIF(D$1:D6199,D6199)=1,MAX(C$1:C6198)+1,"")</f>
        <v/>
      </c>
      <c r="D6199" s="12"/>
    </row>
    <row r="6200" spans="1:4" x14ac:dyDescent="0.25">
      <c r="A6200" t="str">
        <f>IF(COUNTIF(B$1:B6200,B6200)=1,MAX(A$1:A6199)+1,"")</f>
        <v/>
      </c>
      <c r="B6200" s="11"/>
      <c r="C6200" s="11" t="str">
        <f>IF(COUNTIF(D$1:D6200,D6200)=1,MAX(C$1:C6199)+1,"")</f>
        <v/>
      </c>
      <c r="D6200" s="12"/>
    </row>
    <row r="6201" spans="1:4" x14ac:dyDescent="0.25">
      <c r="A6201" t="str">
        <f>IF(COUNTIF(B$1:B6201,B6201)=1,MAX(A$1:A6200)+1,"")</f>
        <v/>
      </c>
      <c r="B6201" s="11"/>
      <c r="C6201" s="11" t="str">
        <f>IF(COUNTIF(D$1:D6201,D6201)=1,MAX(C$1:C6200)+1,"")</f>
        <v/>
      </c>
      <c r="D6201" s="12"/>
    </row>
    <row r="6202" spans="1:4" x14ac:dyDescent="0.25">
      <c r="A6202" t="str">
        <f>IF(COUNTIF(B$1:B6202,B6202)=1,MAX(A$1:A6201)+1,"")</f>
        <v/>
      </c>
      <c r="B6202" s="11"/>
      <c r="C6202" s="11" t="str">
        <f>IF(COUNTIF(D$1:D6202,D6202)=1,MAX(C$1:C6201)+1,"")</f>
        <v/>
      </c>
      <c r="D6202" s="12"/>
    </row>
    <row r="6203" spans="1:4" x14ac:dyDescent="0.25">
      <c r="A6203" t="str">
        <f>IF(COUNTIF(B$1:B6203,B6203)=1,MAX(A$1:A6202)+1,"")</f>
        <v/>
      </c>
      <c r="B6203" s="11"/>
      <c r="C6203" s="11" t="str">
        <f>IF(COUNTIF(D$1:D6203,D6203)=1,MAX(C$1:C6202)+1,"")</f>
        <v/>
      </c>
      <c r="D6203" s="12"/>
    </row>
    <row r="6204" spans="1:4" x14ac:dyDescent="0.25">
      <c r="A6204" t="str">
        <f>IF(COUNTIF(B$1:B6204,B6204)=1,MAX(A$1:A6203)+1,"")</f>
        <v/>
      </c>
      <c r="B6204" s="11"/>
      <c r="C6204" s="11" t="str">
        <f>IF(COUNTIF(D$1:D6204,D6204)=1,MAX(C$1:C6203)+1,"")</f>
        <v/>
      </c>
      <c r="D6204" s="12"/>
    </row>
    <row r="6205" spans="1:4" x14ac:dyDescent="0.25">
      <c r="A6205" t="str">
        <f>IF(COUNTIF(B$1:B6205,B6205)=1,MAX(A$1:A6204)+1,"")</f>
        <v/>
      </c>
      <c r="B6205" s="11"/>
      <c r="C6205" s="11" t="str">
        <f>IF(COUNTIF(D$1:D6205,D6205)=1,MAX(C$1:C6204)+1,"")</f>
        <v/>
      </c>
      <c r="D6205" s="12"/>
    </row>
    <row r="6206" spans="1:4" x14ac:dyDescent="0.25">
      <c r="A6206" t="str">
        <f>IF(COUNTIF(B$1:B6206,B6206)=1,MAX(A$1:A6205)+1,"")</f>
        <v/>
      </c>
      <c r="B6206" s="11"/>
      <c r="C6206" s="11" t="str">
        <f>IF(COUNTIF(D$1:D6206,D6206)=1,MAX(C$1:C6205)+1,"")</f>
        <v/>
      </c>
      <c r="D6206" s="12"/>
    </row>
    <row r="6207" spans="1:4" x14ac:dyDescent="0.25">
      <c r="A6207" t="str">
        <f>IF(COUNTIF(B$1:B6207,B6207)=1,MAX(A$1:A6206)+1,"")</f>
        <v/>
      </c>
      <c r="B6207" s="11"/>
      <c r="C6207" s="11" t="str">
        <f>IF(COUNTIF(D$1:D6207,D6207)=1,MAX(C$1:C6206)+1,"")</f>
        <v/>
      </c>
      <c r="D6207" s="12"/>
    </row>
    <row r="6208" spans="1:4" x14ac:dyDescent="0.25">
      <c r="A6208" t="str">
        <f>IF(COUNTIF(B$1:B6208,B6208)=1,MAX(A$1:A6207)+1,"")</f>
        <v/>
      </c>
      <c r="B6208" s="11"/>
      <c r="C6208" s="11" t="str">
        <f>IF(COUNTIF(D$1:D6208,D6208)=1,MAX(C$1:C6207)+1,"")</f>
        <v/>
      </c>
      <c r="D6208" s="12"/>
    </row>
    <row r="6209" spans="1:4" x14ac:dyDescent="0.25">
      <c r="A6209" t="str">
        <f>IF(COUNTIF(B$1:B6209,B6209)=1,MAX(A$1:A6208)+1,"")</f>
        <v/>
      </c>
      <c r="B6209" s="11"/>
      <c r="C6209" s="11" t="str">
        <f>IF(COUNTIF(D$1:D6209,D6209)=1,MAX(C$1:C6208)+1,"")</f>
        <v/>
      </c>
      <c r="D6209" s="12"/>
    </row>
    <row r="6210" spans="1:4" x14ac:dyDescent="0.25">
      <c r="A6210" t="str">
        <f>IF(COUNTIF(B$1:B6210,B6210)=1,MAX(A$1:A6209)+1,"")</f>
        <v/>
      </c>
      <c r="B6210" s="11"/>
      <c r="C6210" s="11" t="str">
        <f>IF(COUNTIF(D$1:D6210,D6210)=1,MAX(C$1:C6209)+1,"")</f>
        <v/>
      </c>
      <c r="D6210" s="12"/>
    </row>
    <row r="6211" spans="1:4" x14ac:dyDescent="0.25">
      <c r="A6211" t="str">
        <f>IF(COUNTIF(B$1:B6211,B6211)=1,MAX(A$1:A6210)+1,"")</f>
        <v/>
      </c>
      <c r="B6211" s="11"/>
      <c r="C6211" s="11" t="str">
        <f>IF(COUNTIF(D$1:D6211,D6211)=1,MAX(C$1:C6210)+1,"")</f>
        <v/>
      </c>
      <c r="D6211" s="12"/>
    </row>
    <row r="6212" spans="1:4" x14ac:dyDescent="0.25">
      <c r="A6212" t="str">
        <f>IF(COUNTIF(B$1:B6212,B6212)=1,MAX(A$1:A6211)+1,"")</f>
        <v/>
      </c>
      <c r="B6212" s="11"/>
      <c r="C6212" s="11" t="str">
        <f>IF(COUNTIF(D$1:D6212,D6212)=1,MAX(C$1:C6211)+1,"")</f>
        <v/>
      </c>
      <c r="D6212" s="12"/>
    </row>
    <row r="6213" spans="1:4" x14ac:dyDescent="0.25">
      <c r="A6213" t="str">
        <f>IF(COUNTIF(B$1:B6213,B6213)=1,MAX(A$1:A6212)+1,"")</f>
        <v/>
      </c>
      <c r="B6213" s="11"/>
      <c r="C6213" s="11" t="str">
        <f>IF(COUNTIF(D$1:D6213,D6213)=1,MAX(C$1:C6212)+1,"")</f>
        <v/>
      </c>
      <c r="D6213" s="12"/>
    </row>
    <row r="6214" spans="1:4" x14ac:dyDescent="0.25">
      <c r="A6214" t="str">
        <f>IF(COUNTIF(B$1:B6214,B6214)=1,MAX(A$1:A6213)+1,"")</f>
        <v/>
      </c>
      <c r="B6214" s="11"/>
      <c r="C6214" s="11" t="str">
        <f>IF(COUNTIF(D$1:D6214,D6214)=1,MAX(C$1:C6213)+1,"")</f>
        <v/>
      </c>
      <c r="D6214" s="12"/>
    </row>
    <row r="6215" spans="1:4" x14ac:dyDescent="0.25">
      <c r="A6215" t="str">
        <f>IF(COUNTIF(B$1:B6215,B6215)=1,MAX(A$1:A6214)+1,"")</f>
        <v/>
      </c>
      <c r="B6215" s="11"/>
      <c r="C6215" s="11" t="str">
        <f>IF(COUNTIF(D$1:D6215,D6215)=1,MAX(C$1:C6214)+1,"")</f>
        <v/>
      </c>
      <c r="D6215" s="12"/>
    </row>
    <row r="6216" spans="1:4" x14ac:dyDescent="0.25">
      <c r="A6216" t="str">
        <f>IF(COUNTIF(B$1:B6216,B6216)=1,MAX(A$1:A6215)+1,"")</f>
        <v/>
      </c>
      <c r="B6216" s="11"/>
      <c r="C6216" s="11" t="str">
        <f>IF(COUNTIF(D$1:D6216,D6216)=1,MAX(C$1:C6215)+1,"")</f>
        <v/>
      </c>
      <c r="D6216" s="12"/>
    </row>
    <row r="6217" spans="1:4" x14ac:dyDescent="0.25">
      <c r="A6217" t="str">
        <f>IF(COUNTIF(B$1:B6217,B6217)=1,MAX(A$1:A6216)+1,"")</f>
        <v/>
      </c>
      <c r="B6217" s="11"/>
      <c r="C6217" s="11" t="str">
        <f>IF(COUNTIF(D$1:D6217,D6217)=1,MAX(C$1:C6216)+1,"")</f>
        <v/>
      </c>
      <c r="D6217" s="12"/>
    </row>
    <row r="6218" spans="1:4" x14ac:dyDescent="0.25">
      <c r="A6218" t="str">
        <f>IF(COUNTIF(B$1:B6218,B6218)=1,MAX(A$1:A6217)+1,"")</f>
        <v/>
      </c>
      <c r="B6218" s="11"/>
      <c r="C6218" s="11" t="str">
        <f>IF(COUNTIF(D$1:D6218,D6218)=1,MAX(C$1:C6217)+1,"")</f>
        <v/>
      </c>
      <c r="D6218" s="12"/>
    </row>
    <row r="6219" spans="1:4" x14ac:dyDescent="0.25">
      <c r="A6219" t="str">
        <f>IF(COUNTIF(B$1:B6219,B6219)=1,MAX(A$1:A6218)+1,"")</f>
        <v/>
      </c>
      <c r="B6219" s="11"/>
      <c r="C6219" s="11" t="str">
        <f>IF(COUNTIF(D$1:D6219,D6219)=1,MAX(C$1:C6218)+1,"")</f>
        <v/>
      </c>
      <c r="D6219" s="12"/>
    </row>
    <row r="6220" spans="1:4" x14ac:dyDescent="0.25">
      <c r="A6220" t="str">
        <f>IF(COUNTIF(B$1:B6220,B6220)=1,MAX(A$1:A6219)+1,"")</f>
        <v/>
      </c>
      <c r="B6220" s="11"/>
      <c r="C6220" s="11" t="str">
        <f>IF(COUNTIF(D$1:D6220,D6220)=1,MAX(C$1:C6219)+1,"")</f>
        <v/>
      </c>
      <c r="D6220" s="12"/>
    </row>
    <row r="6221" spans="1:4" x14ac:dyDescent="0.25">
      <c r="A6221" t="str">
        <f>IF(COUNTIF(B$1:B6221,B6221)=1,MAX(A$1:A6220)+1,"")</f>
        <v/>
      </c>
      <c r="B6221" s="11"/>
      <c r="C6221" s="11" t="str">
        <f>IF(COUNTIF(D$1:D6221,D6221)=1,MAX(C$1:C6220)+1,"")</f>
        <v/>
      </c>
      <c r="D6221" s="12"/>
    </row>
    <row r="6222" spans="1:4" x14ac:dyDescent="0.25">
      <c r="A6222" t="str">
        <f>IF(COUNTIF(B$1:B6222,B6222)=1,MAX(A$1:A6221)+1,"")</f>
        <v/>
      </c>
      <c r="B6222" s="11"/>
      <c r="C6222" s="11" t="str">
        <f>IF(COUNTIF(D$1:D6222,D6222)=1,MAX(C$1:C6221)+1,"")</f>
        <v/>
      </c>
      <c r="D6222" s="12"/>
    </row>
    <row r="6223" spans="1:4" x14ac:dyDescent="0.25">
      <c r="A6223" t="str">
        <f>IF(COUNTIF(B$1:B6223,B6223)=1,MAX(A$1:A6222)+1,"")</f>
        <v/>
      </c>
      <c r="B6223" s="11"/>
      <c r="C6223" s="11" t="str">
        <f>IF(COUNTIF(D$1:D6223,D6223)=1,MAX(C$1:C6222)+1,"")</f>
        <v/>
      </c>
      <c r="D6223" s="12"/>
    </row>
    <row r="6224" spans="1:4" x14ac:dyDescent="0.25">
      <c r="A6224" t="str">
        <f>IF(COUNTIF(B$1:B6224,B6224)=1,MAX(A$1:A6223)+1,"")</f>
        <v/>
      </c>
      <c r="B6224" s="11"/>
      <c r="C6224" s="11" t="str">
        <f>IF(COUNTIF(D$1:D6224,D6224)=1,MAX(C$1:C6223)+1,"")</f>
        <v/>
      </c>
      <c r="D6224" s="12"/>
    </row>
    <row r="6225" spans="1:4" x14ac:dyDescent="0.25">
      <c r="A6225" t="str">
        <f>IF(COUNTIF(B$1:B6225,B6225)=1,MAX(A$1:A6224)+1,"")</f>
        <v/>
      </c>
      <c r="B6225" s="11"/>
      <c r="C6225" s="11" t="str">
        <f>IF(COUNTIF(D$1:D6225,D6225)=1,MAX(C$1:C6224)+1,"")</f>
        <v/>
      </c>
      <c r="D6225" s="12"/>
    </row>
    <row r="6226" spans="1:4" x14ac:dyDescent="0.25">
      <c r="A6226" t="str">
        <f>IF(COUNTIF(B$1:B6226,B6226)=1,MAX(A$1:A6225)+1,"")</f>
        <v/>
      </c>
      <c r="B6226" s="11"/>
      <c r="C6226" s="11" t="str">
        <f>IF(COUNTIF(D$1:D6226,D6226)=1,MAX(C$1:C6225)+1,"")</f>
        <v/>
      </c>
      <c r="D6226" s="12"/>
    </row>
    <row r="6227" spans="1:4" x14ac:dyDescent="0.25">
      <c r="A6227" t="str">
        <f>IF(COUNTIF(B$1:B6227,B6227)=1,MAX(A$1:A6226)+1,"")</f>
        <v/>
      </c>
      <c r="B6227" s="11"/>
      <c r="C6227" s="11" t="str">
        <f>IF(COUNTIF(D$1:D6227,D6227)=1,MAX(C$1:C6226)+1,"")</f>
        <v/>
      </c>
      <c r="D6227" s="12"/>
    </row>
    <row r="6228" spans="1:4" x14ac:dyDescent="0.25">
      <c r="A6228" t="str">
        <f>IF(COUNTIF(B$1:B6228,B6228)=1,MAX(A$1:A6227)+1,"")</f>
        <v/>
      </c>
      <c r="B6228" s="11"/>
      <c r="C6228" s="11" t="str">
        <f>IF(COUNTIF(D$1:D6228,D6228)=1,MAX(C$1:C6227)+1,"")</f>
        <v/>
      </c>
      <c r="D6228" s="12"/>
    </row>
    <row r="6229" spans="1:4" x14ac:dyDescent="0.25">
      <c r="A6229" t="str">
        <f>IF(COUNTIF(B$1:B6229,B6229)=1,MAX(A$1:A6228)+1,"")</f>
        <v/>
      </c>
      <c r="B6229" s="11"/>
      <c r="C6229" s="11" t="str">
        <f>IF(COUNTIF(D$1:D6229,D6229)=1,MAX(C$1:C6228)+1,"")</f>
        <v/>
      </c>
      <c r="D6229" s="12"/>
    </row>
    <row r="6230" spans="1:4" x14ac:dyDescent="0.25">
      <c r="A6230" t="str">
        <f>IF(COUNTIF(B$1:B6230,B6230)=1,MAX(A$1:A6229)+1,"")</f>
        <v/>
      </c>
      <c r="B6230" s="11"/>
      <c r="C6230" s="11" t="str">
        <f>IF(COUNTIF(D$1:D6230,D6230)=1,MAX(C$1:C6229)+1,"")</f>
        <v/>
      </c>
      <c r="D6230" s="12"/>
    </row>
    <row r="6231" spans="1:4" x14ac:dyDescent="0.25">
      <c r="A6231" t="str">
        <f>IF(COUNTIF(B$1:B6231,B6231)=1,MAX(A$1:A6230)+1,"")</f>
        <v/>
      </c>
      <c r="B6231" s="11"/>
      <c r="C6231" s="11" t="str">
        <f>IF(COUNTIF(D$1:D6231,D6231)=1,MAX(C$1:C6230)+1,"")</f>
        <v/>
      </c>
      <c r="D6231" s="12"/>
    </row>
    <row r="6232" spans="1:4" x14ac:dyDescent="0.25">
      <c r="A6232" t="str">
        <f>IF(COUNTIF(B$1:B6232,B6232)=1,MAX(A$1:A6231)+1,"")</f>
        <v/>
      </c>
      <c r="B6232" s="11"/>
      <c r="C6232" s="11" t="str">
        <f>IF(COUNTIF(D$1:D6232,D6232)=1,MAX(C$1:C6231)+1,"")</f>
        <v/>
      </c>
      <c r="D6232" s="12"/>
    </row>
    <row r="6233" spans="1:4" x14ac:dyDescent="0.25">
      <c r="A6233" t="str">
        <f>IF(COUNTIF(B$1:B6233,B6233)=1,MAX(A$1:A6232)+1,"")</f>
        <v/>
      </c>
      <c r="B6233" s="11"/>
      <c r="C6233" s="11" t="str">
        <f>IF(COUNTIF(D$1:D6233,D6233)=1,MAX(C$1:C6232)+1,"")</f>
        <v/>
      </c>
      <c r="D6233" s="12"/>
    </row>
    <row r="6234" spans="1:4" x14ac:dyDescent="0.25">
      <c r="A6234" t="str">
        <f>IF(COUNTIF(B$1:B6234,B6234)=1,MAX(A$1:A6233)+1,"")</f>
        <v/>
      </c>
      <c r="B6234" s="11"/>
      <c r="C6234" s="11" t="str">
        <f>IF(COUNTIF(D$1:D6234,D6234)=1,MAX(C$1:C6233)+1,"")</f>
        <v/>
      </c>
      <c r="D6234" s="12"/>
    </row>
    <row r="6235" spans="1:4" x14ac:dyDescent="0.25">
      <c r="A6235" t="str">
        <f>IF(COUNTIF(B$1:B6235,B6235)=1,MAX(A$1:A6234)+1,"")</f>
        <v/>
      </c>
      <c r="B6235" s="11"/>
      <c r="C6235" s="11" t="str">
        <f>IF(COUNTIF(D$1:D6235,D6235)=1,MAX(C$1:C6234)+1,"")</f>
        <v/>
      </c>
      <c r="D6235" s="12"/>
    </row>
    <row r="6236" spans="1:4" x14ac:dyDescent="0.25">
      <c r="A6236" t="str">
        <f>IF(COUNTIF(B$1:B6236,B6236)=1,MAX(A$1:A6235)+1,"")</f>
        <v/>
      </c>
      <c r="B6236" s="11"/>
      <c r="C6236" s="11" t="str">
        <f>IF(COUNTIF(D$1:D6236,D6236)=1,MAX(C$1:C6235)+1,"")</f>
        <v/>
      </c>
      <c r="D6236" s="12"/>
    </row>
    <row r="6237" spans="1:4" x14ac:dyDescent="0.25">
      <c r="A6237" t="str">
        <f>IF(COUNTIF(B$1:B6237,B6237)=1,MAX(A$1:A6236)+1,"")</f>
        <v/>
      </c>
      <c r="B6237" s="11"/>
      <c r="C6237" s="11" t="str">
        <f>IF(COUNTIF(D$1:D6237,D6237)=1,MAX(C$1:C6236)+1,"")</f>
        <v/>
      </c>
      <c r="D6237" s="12"/>
    </row>
    <row r="6238" spans="1:4" x14ac:dyDescent="0.25">
      <c r="A6238" t="str">
        <f>IF(COUNTIF(B$1:B6238,B6238)=1,MAX(A$1:A6237)+1,"")</f>
        <v/>
      </c>
      <c r="B6238" s="11"/>
      <c r="C6238" s="11" t="str">
        <f>IF(COUNTIF(D$1:D6238,D6238)=1,MAX(C$1:C6237)+1,"")</f>
        <v/>
      </c>
      <c r="D6238" s="12"/>
    </row>
    <row r="6239" spans="1:4" x14ac:dyDescent="0.25">
      <c r="A6239" t="str">
        <f>IF(COUNTIF(B$1:B6239,B6239)=1,MAX(A$1:A6238)+1,"")</f>
        <v/>
      </c>
      <c r="B6239" s="11"/>
      <c r="C6239" s="11" t="str">
        <f>IF(COUNTIF(D$1:D6239,D6239)=1,MAX(C$1:C6238)+1,"")</f>
        <v/>
      </c>
      <c r="D6239" s="12"/>
    </row>
    <row r="6240" spans="1:4" x14ac:dyDescent="0.25">
      <c r="A6240" t="str">
        <f>IF(COUNTIF(B$1:B6240,B6240)=1,MAX(A$1:A6239)+1,"")</f>
        <v/>
      </c>
      <c r="B6240" s="11"/>
      <c r="C6240" s="11" t="str">
        <f>IF(COUNTIF(D$1:D6240,D6240)=1,MAX(C$1:C6239)+1,"")</f>
        <v/>
      </c>
      <c r="D6240" s="12"/>
    </row>
    <row r="6241" spans="1:4" x14ac:dyDescent="0.25">
      <c r="A6241" t="str">
        <f>IF(COUNTIF(B$1:B6241,B6241)=1,MAX(A$1:A6240)+1,"")</f>
        <v/>
      </c>
      <c r="B6241" s="11"/>
      <c r="C6241" s="11" t="str">
        <f>IF(COUNTIF(D$1:D6241,D6241)=1,MAX(C$1:C6240)+1,"")</f>
        <v/>
      </c>
      <c r="D6241" s="12"/>
    </row>
    <row r="6242" spans="1:4" x14ac:dyDescent="0.25">
      <c r="A6242" t="str">
        <f>IF(COUNTIF(B$1:B6242,B6242)=1,MAX(A$1:A6241)+1,"")</f>
        <v/>
      </c>
      <c r="B6242" s="11"/>
      <c r="C6242" s="11" t="str">
        <f>IF(COUNTIF(D$1:D6242,D6242)=1,MAX(C$1:C6241)+1,"")</f>
        <v/>
      </c>
      <c r="D6242" s="12"/>
    </row>
    <row r="6243" spans="1:4" x14ac:dyDescent="0.25">
      <c r="A6243" t="str">
        <f>IF(COUNTIF(B$1:B6243,B6243)=1,MAX(A$1:A6242)+1,"")</f>
        <v/>
      </c>
      <c r="B6243" s="11"/>
      <c r="C6243" s="11" t="str">
        <f>IF(COUNTIF(D$1:D6243,D6243)=1,MAX(C$1:C6242)+1,"")</f>
        <v/>
      </c>
      <c r="D6243" s="12"/>
    </row>
    <row r="6244" spans="1:4" x14ac:dyDescent="0.25">
      <c r="A6244" t="str">
        <f>IF(COUNTIF(B$1:B6244,B6244)=1,MAX(A$1:A6243)+1,"")</f>
        <v/>
      </c>
      <c r="B6244" s="11"/>
      <c r="C6244" s="11" t="str">
        <f>IF(COUNTIF(D$1:D6244,D6244)=1,MAX(C$1:C6243)+1,"")</f>
        <v/>
      </c>
      <c r="D6244" s="12"/>
    </row>
    <row r="6245" spans="1:4" x14ac:dyDescent="0.25">
      <c r="A6245" t="str">
        <f>IF(COUNTIF(B$1:B6245,B6245)=1,MAX(A$1:A6244)+1,"")</f>
        <v/>
      </c>
      <c r="B6245" s="11"/>
      <c r="C6245" s="11" t="str">
        <f>IF(COUNTIF(D$1:D6245,D6245)=1,MAX(C$1:C6244)+1,"")</f>
        <v/>
      </c>
      <c r="D6245" s="12"/>
    </row>
    <row r="6246" spans="1:4" x14ac:dyDescent="0.25">
      <c r="A6246" t="str">
        <f>IF(COUNTIF(B$1:B6246,B6246)=1,MAX(A$1:A6245)+1,"")</f>
        <v/>
      </c>
      <c r="B6246" s="11"/>
      <c r="C6246" s="11" t="str">
        <f>IF(COUNTIF(D$1:D6246,D6246)=1,MAX(C$1:C6245)+1,"")</f>
        <v/>
      </c>
      <c r="D6246" s="12"/>
    </row>
    <row r="6247" spans="1:4" x14ac:dyDescent="0.25">
      <c r="A6247" t="str">
        <f>IF(COUNTIF(B$1:B6247,B6247)=1,MAX(A$1:A6246)+1,"")</f>
        <v/>
      </c>
      <c r="B6247" s="11"/>
      <c r="C6247" s="11" t="str">
        <f>IF(COUNTIF(D$1:D6247,D6247)=1,MAX(C$1:C6246)+1,"")</f>
        <v/>
      </c>
      <c r="D6247" s="12"/>
    </row>
    <row r="6248" spans="1:4" x14ac:dyDescent="0.25">
      <c r="A6248" t="str">
        <f>IF(COUNTIF(B$1:B6248,B6248)=1,MAX(A$1:A6247)+1,"")</f>
        <v/>
      </c>
      <c r="B6248" s="11"/>
      <c r="C6248" s="11" t="str">
        <f>IF(COUNTIF(D$1:D6248,D6248)=1,MAX(C$1:C6247)+1,"")</f>
        <v/>
      </c>
      <c r="D6248" s="12"/>
    </row>
    <row r="6249" spans="1:4" x14ac:dyDescent="0.25">
      <c r="A6249" t="str">
        <f>IF(COUNTIF(B$1:B6249,B6249)=1,MAX(A$1:A6248)+1,"")</f>
        <v/>
      </c>
      <c r="B6249" s="11"/>
      <c r="C6249" s="11" t="str">
        <f>IF(COUNTIF(D$1:D6249,D6249)=1,MAX(C$1:C6248)+1,"")</f>
        <v/>
      </c>
      <c r="D6249" s="12"/>
    </row>
    <row r="6250" spans="1:4" x14ac:dyDescent="0.25">
      <c r="A6250" t="str">
        <f>IF(COUNTIF(B$1:B6250,B6250)=1,MAX(A$1:A6249)+1,"")</f>
        <v/>
      </c>
      <c r="B6250" s="11"/>
      <c r="C6250" s="11" t="str">
        <f>IF(COUNTIF(D$1:D6250,D6250)=1,MAX(C$1:C6249)+1,"")</f>
        <v/>
      </c>
      <c r="D6250" s="12"/>
    </row>
    <row r="6251" spans="1:4" x14ac:dyDescent="0.25">
      <c r="A6251" t="str">
        <f>IF(COUNTIF(B$1:B6251,B6251)=1,MAX(A$1:A6250)+1,"")</f>
        <v/>
      </c>
      <c r="B6251" s="11"/>
      <c r="C6251" s="11" t="str">
        <f>IF(COUNTIF(D$1:D6251,D6251)=1,MAX(C$1:C6250)+1,"")</f>
        <v/>
      </c>
      <c r="D6251" s="12"/>
    </row>
    <row r="6252" spans="1:4" x14ac:dyDescent="0.25">
      <c r="A6252" t="str">
        <f>IF(COUNTIF(B$1:B6252,B6252)=1,MAX(A$1:A6251)+1,"")</f>
        <v/>
      </c>
      <c r="B6252" s="11"/>
      <c r="C6252" s="11" t="str">
        <f>IF(COUNTIF(D$1:D6252,D6252)=1,MAX(C$1:C6251)+1,"")</f>
        <v/>
      </c>
      <c r="D6252" s="12"/>
    </row>
    <row r="6253" spans="1:4" x14ac:dyDescent="0.25">
      <c r="A6253" t="str">
        <f>IF(COUNTIF(B$1:B6253,B6253)=1,MAX(A$1:A6252)+1,"")</f>
        <v/>
      </c>
      <c r="B6253" s="11"/>
      <c r="C6253" s="11" t="str">
        <f>IF(COUNTIF(D$1:D6253,D6253)=1,MAX(C$1:C6252)+1,"")</f>
        <v/>
      </c>
      <c r="D6253" s="12"/>
    </row>
    <row r="6254" spans="1:4" x14ac:dyDescent="0.25">
      <c r="A6254" t="str">
        <f>IF(COUNTIF(B$1:B6254,B6254)=1,MAX(A$1:A6253)+1,"")</f>
        <v/>
      </c>
      <c r="B6254" s="11"/>
      <c r="C6254" s="11" t="str">
        <f>IF(COUNTIF(D$1:D6254,D6254)=1,MAX(C$1:C6253)+1,"")</f>
        <v/>
      </c>
      <c r="D6254" s="12"/>
    </row>
    <row r="6255" spans="1:4" x14ac:dyDescent="0.25">
      <c r="A6255" t="str">
        <f>IF(COUNTIF(B$1:B6255,B6255)=1,MAX(A$1:A6254)+1,"")</f>
        <v/>
      </c>
      <c r="B6255" s="11"/>
      <c r="C6255" s="11" t="str">
        <f>IF(COUNTIF(D$1:D6255,D6255)=1,MAX(C$1:C6254)+1,"")</f>
        <v/>
      </c>
      <c r="D6255" s="12"/>
    </row>
    <row r="6256" spans="1:4" x14ac:dyDescent="0.25">
      <c r="A6256" t="str">
        <f>IF(COUNTIF(B$1:B6256,B6256)=1,MAX(A$1:A6255)+1,"")</f>
        <v/>
      </c>
      <c r="B6256" s="11"/>
      <c r="C6256" s="11" t="str">
        <f>IF(COUNTIF(D$1:D6256,D6256)=1,MAX(C$1:C6255)+1,"")</f>
        <v/>
      </c>
      <c r="D6256" s="12"/>
    </row>
    <row r="6257" spans="1:4" x14ac:dyDescent="0.25">
      <c r="A6257" t="str">
        <f>IF(COUNTIF(B$1:B6257,B6257)=1,MAX(A$1:A6256)+1,"")</f>
        <v/>
      </c>
      <c r="B6257" s="11"/>
      <c r="C6257" s="11" t="str">
        <f>IF(COUNTIF(D$1:D6257,D6257)=1,MAX(C$1:C6256)+1,"")</f>
        <v/>
      </c>
      <c r="D6257" s="12"/>
    </row>
    <row r="6258" spans="1:4" x14ac:dyDescent="0.25">
      <c r="A6258" t="str">
        <f>IF(COUNTIF(B$1:B6258,B6258)=1,MAX(A$1:A6257)+1,"")</f>
        <v/>
      </c>
      <c r="B6258" s="11"/>
      <c r="C6258" s="11" t="str">
        <f>IF(COUNTIF(D$1:D6258,D6258)=1,MAX(C$1:C6257)+1,"")</f>
        <v/>
      </c>
      <c r="D6258" s="12"/>
    </row>
    <row r="6259" spans="1:4" x14ac:dyDescent="0.25">
      <c r="A6259" t="str">
        <f>IF(COUNTIF(B$1:B6259,B6259)=1,MAX(A$1:A6258)+1,"")</f>
        <v/>
      </c>
      <c r="B6259" s="11"/>
      <c r="C6259" s="11" t="str">
        <f>IF(COUNTIF(D$1:D6259,D6259)=1,MAX(C$1:C6258)+1,"")</f>
        <v/>
      </c>
      <c r="D6259" s="12"/>
    </row>
    <row r="6260" spans="1:4" x14ac:dyDescent="0.25">
      <c r="A6260" t="str">
        <f>IF(COUNTIF(B$1:B6260,B6260)=1,MAX(A$1:A6259)+1,"")</f>
        <v/>
      </c>
      <c r="B6260" s="11"/>
      <c r="C6260" s="11" t="str">
        <f>IF(COUNTIF(D$1:D6260,D6260)=1,MAX(C$1:C6259)+1,"")</f>
        <v/>
      </c>
      <c r="D6260" s="12"/>
    </row>
    <row r="6261" spans="1:4" x14ac:dyDescent="0.25">
      <c r="A6261" t="str">
        <f>IF(COUNTIF(B$1:B6261,B6261)=1,MAX(A$1:A6260)+1,"")</f>
        <v/>
      </c>
      <c r="B6261" s="11"/>
      <c r="C6261" s="11" t="str">
        <f>IF(COUNTIF(D$1:D6261,D6261)=1,MAX(C$1:C6260)+1,"")</f>
        <v/>
      </c>
      <c r="D6261" s="12"/>
    </row>
    <row r="6262" spans="1:4" x14ac:dyDescent="0.25">
      <c r="A6262" t="str">
        <f>IF(COUNTIF(B$1:B6262,B6262)=1,MAX(A$1:A6261)+1,"")</f>
        <v/>
      </c>
      <c r="B6262" s="11"/>
      <c r="C6262" s="11" t="str">
        <f>IF(COUNTIF(D$1:D6262,D6262)=1,MAX(C$1:C6261)+1,"")</f>
        <v/>
      </c>
      <c r="D6262" s="12"/>
    </row>
    <row r="6263" spans="1:4" x14ac:dyDescent="0.25">
      <c r="A6263" t="str">
        <f>IF(COUNTIF(B$1:B6263,B6263)=1,MAX(A$1:A6262)+1,"")</f>
        <v/>
      </c>
      <c r="B6263" s="11"/>
      <c r="C6263" s="11" t="str">
        <f>IF(COUNTIF(D$1:D6263,D6263)=1,MAX(C$1:C6262)+1,"")</f>
        <v/>
      </c>
      <c r="D6263" s="12"/>
    </row>
    <row r="6264" spans="1:4" x14ac:dyDescent="0.25">
      <c r="A6264" t="str">
        <f>IF(COUNTIF(B$1:B6264,B6264)=1,MAX(A$1:A6263)+1,"")</f>
        <v/>
      </c>
      <c r="B6264" s="11"/>
      <c r="C6264" s="11" t="str">
        <f>IF(COUNTIF(D$1:D6264,D6264)=1,MAX(C$1:C6263)+1,"")</f>
        <v/>
      </c>
      <c r="D6264" s="12"/>
    </row>
    <row r="6265" spans="1:4" x14ac:dyDescent="0.25">
      <c r="A6265" t="str">
        <f>IF(COUNTIF(B$1:B6265,B6265)=1,MAX(A$1:A6264)+1,"")</f>
        <v/>
      </c>
      <c r="B6265" s="11"/>
      <c r="C6265" s="11" t="str">
        <f>IF(COUNTIF(D$1:D6265,D6265)=1,MAX(C$1:C6264)+1,"")</f>
        <v/>
      </c>
      <c r="D6265" s="12"/>
    </row>
    <row r="6266" spans="1:4" x14ac:dyDescent="0.25">
      <c r="A6266" t="str">
        <f>IF(COUNTIF(B$1:B6266,B6266)=1,MAX(A$1:A6265)+1,"")</f>
        <v/>
      </c>
      <c r="B6266" s="11"/>
      <c r="C6266" s="11" t="str">
        <f>IF(COUNTIF(D$1:D6266,D6266)=1,MAX(C$1:C6265)+1,"")</f>
        <v/>
      </c>
      <c r="D6266" s="12"/>
    </row>
    <row r="6267" spans="1:4" x14ac:dyDescent="0.25">
      <c r="A6267" t="str">
        <f>IF(COUNTIF(B$1:B6267,B6267)=1,MAX(A$1:A6266)+1,"")</f>
        <v/>
      </c>
      <c r="B6267" s="11"/>
      <c r="C6267" s="11" t="str">
        <f>IF(COUNTIF(D$1:D6267,D6267)=1,MAX(C$1:C6266)+1,"")</f>
        <v/>
      </c>
      <c r="D6267" s="12"/>
    </row>
    <row r="6268" spans="1:4" x14ac:dyDescent="0.25">
      <c r="A6268" t="str">
        <f>IF(COUNTIF(B$1:B6268,B6268)=1,MAX(A$1:A6267)+1,"")</f>
        <v/>
      </c>
      <c r="B6268" s="11"/>
      <c r="C6268" s="11" t="str">
        <f>IF(COUNTIF(D$1:D6268,D6268)=1,MAX(C$1:C6267)+1,"")</f>
        <v/>
      </c>
      <c r="D6268" s="12"/>
    </row>
    <row r="6269" spans="1:4" x14ac:dyDescent="0.25">
      <c r="A6269" t="str">
        <f>IF(COUNTIF(B$1:B6269,B6269)=1,MAX(A$1:A6268)+1,"")</f>
        <v/>
      </c>
      <c r="B6269" s="11"/>
      <c r="C6269" s="11" t="str">
        <f>IF(COUNTIF(D$1:D6269,D6269)=1,MAX(C$1:C6268)+1,"")</f>
        <v/>
      </c>
      <c r="D6269" s="12"/>
    </row>
    <row r="6270" spans="1:4" x14ac:dyDescent="0.25">
      <c r="A6270" t="str">
        <f>IF(COUNTIF(B$1:B6270,B6270)=1,MAX(A$1:A6269)+1,"")</f>
        <v/>
      </c>
      <c r="B6270" s="11"/>
      <c r="C6270" s="11" t="str">
        <f>IF(COUNTIF(D$1:D6270,D6270)=1,MAX(C$1:C6269)+1,"")</f>
        <v/>
      </c>
      <c r="D6270" s="12"/>
    </row>
    <row r="6271" spans="1:4" x14ac:dyDescent="0.25">
      <c r="A6271" t="str">
        <f>IF(COUNTIF(B$1:B6271,B6271)=1,MAX(A$1:A6270)+1,"")</f>
        <v/>
      </c>
      <c r="B6271" s="11"/>
      <c r="C6271" s="11" t="str">
        <f>IF(COUNTIF(D$1:D6271,D6271)=1,MAX(C$1:C6270)+1,"")</f>
        <v/>
      </c>
      <c r="D6271" s="12"/>
    </row>
    <row r="6272" spans="1:4" x14ac:dyDescent="0.25">
      <c r="A6272" t="str">
        <f>IF(COUNTIF(B$1:B6272,B6272)=1,MAX(A$1:A6271)+1,"")</f>
        <v/>
      </c>
      <c r="B6272" s="11"/>
      <c r="C6272" s="11" t="str">
        <f>IF(COUNTIF(D$1:D6272,D6272)=1,MAX(C$1:C6271)+1,"")</f>
        <v/>
      </c>
      <c r="D6272" s="12"/>
    </row>
    <row r="6273" spans="1:4" x14ac:dyDescent="0.25">
      <c r="A6273" t="str">
        <f>IF(COUNTIF(B$1:B6273,B6273)=1,MAX(A$1:A6272)+1,"")</f>
        <v/>
      </c>
      <c r="B6273" s="11"/>
      <c r="C6273" s="11" t="str">
        <f>IF(COUNTIF(D$1:D6273,D6273)=1,MAX(C$1:C6272)+1,"")</f>
        <v/>
      </c>
      <c r="D6273" s="12"/>
    </row>
    <row r="6274" spans="1:4" x14ac:dyDescent="0.25">
      <c r="A6274" t="str">
        <f>IF(COUNTIF(B$1:B6274,B6274)=1,MAX(A$1:A6273)+1,"")</f>
        <v/>
      </c>
      <c r="B6274" s="11"/>
      <c r="C6274" s="11" t="str">
        <f>IF(COUNTIF(D$1:D6274,D6274)=1,MAX(C$1:C6273)+1,"")</f>
        <v/>
      </c>
      <c r="D6274" s="12"/>
    </row>
    <row r="6275" spans="1:4" x14ac:dyDescent="0.25">
      <c r="A6275" t="str">
        <f>IF(COUNTIF(B$1:B6275,B6275)=1,MAX(A$1:A6274)+1,"")</f>
        <v/>
      </c>
      <c r="B6275" s="11"/>
      <c r="C6275" s="11" t="str">
        <f>IF(COUNTIF(D$1:D6275,D6275)=1,MAX(C$1:C6274)+1,"")</f>
        <v/>
      </c>
      <c r="D6275" s="12"/>
    </row>
    <row r="6276" spans="1:4" x14ac:dyDescent="0.25">
      <c r="A6276" t="str">
        <f>IF(COUNTIF(B$1:B6276,B6276)=1,MAX(A$1:A6275)+1,"")</f>
        <v/>
      </c>
      <c r="B6276" s="11"/>
      <c r="C6276" s="11" t="str">
        <f>IF(COUNTIF(D$1:D6276,D6276)=1,MAX(C$1:C6275)+1,"")</f>
        <v/>
      </c>
      <c r="D6276" s="12"/>
    </row>
    <row r="6277" spans="1:4" x14ac:dyDescent="0.25">
      <c r="A6277" t="str">
        <f>IF(COUNTIF(B$1:B6277,B6277)=1,MAX(A$1:A6276)+1,"")</f>
        <v/>
      </c>
      <c r="B6277" s="11"/>
      <c r="C6277" s="11" t="str">
        <f>IF(COUNTIF(D$1:D6277,D6277)=1,MAX(C$1:C6276)+1,"")</f>
        <v/>
      </c>
      <c r="D6277" s="12"/>
    </row>
    <row r="6278" spans="1:4" x14ac:dyDescent="0.25">
      <c r="A6278" t="str">
        <f>IF(COUNTIF(B$1:B6278,B6278)=1,MAX(A$1:A6277)+1,"")</f>
        <v/>
      </c>
      <c r="B6278" s="11"/>
      <c r="C6278" s="11" t="str">
        <f>IF(COUNTIF(D$1:D6278,D6278)=1,MAX(C$1:C6277)+1,"")</f>
        <v/>
      </c>
      <c r="D6278" s="12"/>
    </row>
    <row r="6279" spans="1:4" x14ac:dyDescent="0.25">
      <c r="A6279" t="str">
        <f>IF(COUNTIF(B$1:B6279,B6279)=1,MAX(A$1:A6278)+1,"")</f>
        <v/>
      </c>
      <c r="B6279" s="11"/>
      <c r="C6279" s="11" t="str">
        <f>IF(COUNTIF(D$1:D6279,D6279)=1,MAX(C$1:C6278)+1,"")</f>
        <v/>
      </c>
      <c r="D6279" s="12"/>
    </row>
    <row r="6280" spans="1:4" x14ac:dyDescent="0.25">
      <c r="A6280" t="str">
        <f>IF(COUNTIF(B$1:B6280,B6280)=1,MAX(A$1:A6279)+1,"")</f>
        <v/>
      </c>
      <c r="B6280" s="11"/>
      <c r="C6280" s="11" t="str">
        <f>IF(COUNTIF(D$1:D6280,D6280)=1,MAX(C$1:C6279)+1,"")</f>
        <v/>
      </c>
      <c r="D6280" s="12"/>
    </row>
    <row r="6281" spans="1:4" x14ac:dyDescent="0.25">
      <c r="A6281" t="str">
        <f>IF(COUNTIF(B$1:B6281,B6281)=1,MAX(A$1:A6280)+1,"")</f>
        <v/>
      </c>
      <c r="B6281" s="11"/>
      <c r="C6281" s="11" t="str">
        <f>IF(COUNTIF(D$1:D6281,D6281)=1,MAX(C$1:C6280)+1,"")</f>
        <v/>
      </c>
      <c r="D6281" s="12"/>
    </row>
    <row r="6282" spans="1:4" x14ac:dyDescent="0.25">
      <c r="A6282" t="str">
        <f>IF(COUNTIF(B$1:B6282,B6282)=1,MAX(A$1:A6281)+1,"")</f>
        <v/>
      </c>
      <c r="B6282" s="11"/>
      <c r="C6282" s="11" t="str">
        <f>IF(COUNTIF(D$1:D6282,D6282)=1,MAX(C$1:C6281)+1,"")</f>
        <v/>
      </c>
      <c r="D6282" s="12"/>
    </row>
    <row r="6283" spans="1:4" x14ac:dyDescent="0.25">
      <c r="A6283" t="str">
        <f>IF(COUNTIF(B$1:B6283,B6283)=1,MAX(A$1:A6282)+1,"")</f>
        <v/>
      </c>
      <c r="B6283" s="11"/>
      <c r="C6283" s="11" t="str">
        <f>IF(COUNTIF(D$1:D6283,D6283)=1,MAX(C$1:C6282)+1,"")</f>
        <v/>
      </c>
      <c r="D6283" s="12"/>
    </row>
    <row r="6284" spans="1:4" x14ac:dyDescent="0.25">
      <c r="A6284" t="str">
        <f>IF(COUNTIF(B$1:B6284,B6284)=1,MAX(A$1:A6283)+1,"")</f>
        <v/>
      </c>
      <c r="B6284" s="11"/>
      <c r="C6284" s="11" t="str">
        <f>IF(COUNTIF(D$1:D6284,D6284)=1,MAX(C$1:C6283)+1,"")</f>
        <v/>
      </c>
      <c r="D6284" s="12"/>
    </row>
    <row r="6285" spans="1:4" x14ac:dyDescent="0.25">
      <c r="A6285" t="str">
        <f>IF(COUNTIF(B$1:B6285,B6285)=1,MAX(A$1:A6284)+1,"")</f>
        <v/>
      </c>
      <c r="B6285" s="11"/>
      <c r="C6285" s="11" t="str">
        <f>IF(COUNTIF(D$1:D6285,D6285)=1,MAX(C$1:C6284)+1,"")</f>
        <v/>
      </c>
      <c r="D6285" s="12"/>
    </row>
    <row r="6286" spans="1:4" x14ac:dyDescent="0.25">
      <c r="A6286" t="str">
        <f>IF(COUNTIF(B$1:B6286,B6286)=1,MAX(A$1:A6285)+1,"")</f>
        <v/>
      </c>
      <c r="B6286" s="11"/>
      <c r="C6286" s="11" t="str">
        <f>IF(COUNTIF(D$1:D6286,D6286)=1,MAX(C$1:C6285)+1,"")</f>
        <v/>
      </c>
      <c r="D6286" s="12"/>
    </row>
    <row r="6287" spans="1:4" x14ac:dyDescent="0.25">
      <c r="A6287" t="str">
        <f>IF(COUNTIF(B$1:B6287,B6287)=1,MAX(A$1:A6286)+1,"")</f>
        <v/>
      </c>
      <c r="B6287" s="11"/>
      <c r="C6287" s="11" t="str">
        <f>IF(COUNTIF(D$1:D6287,D6287)=1,MAX(C$1:C6286)+1,"")</f>
        <v/>
      </c>
      <c r="D6287" s="12"/>
    </row>
    <row r="6288" spans="1:4" x14ac:dyDescent="0.25">
      <c r="A6288" t="str">
        <f>IF(COUNTIF(B$1:B6288,B6288)=1,MAX(A$1:A6287)+1,"")</f>
        <v/>
      </c>
      <c r="B6288" s="11"/>
      <c r="C6288" s="11" t="str">
        <f>IF(COUNTIF(D$1:D6288,D6288)=1,MAX(C$1:C6287)+1,"")</f>
        <v/>
      </c>
      <c r="D6288" s="12"/>
    </row>
    <row r="6289" spans="1:4" x14ac:dyDescent="0.25">
      <c r="A6289" t="str">
        <f>IF(COUNTIF(B$1:B6289,B6289)=1,MAX(A$1:A6288)+1,"")</f>
        <v/>
      </c>
      <c r="B6289" s="11"/>
      <c r="C6289" s="11" t="str">
        <f>IF(COUNTIF(D$1:D6289,D6289)=1,MAX(C$1:C6288)+1,"")</f>
        <v/>
      </c>
      <c r="D6289" s="12"/>
    </row>
    <row r="6290" spans="1:4" x14ac:dyDescent="0.25">
      <c r="A6290" t="str">
        <f>IF(COUNTIF(B$1:B6290,B6290)=1,MAX(A$1:A6289)+1,"")</f>
        <v/>
      </c>
      <c r="B6290" s="11"/>
      <c r="C6290" s="11" t="str">
        <f>IF(COUNTIF(D$1:D6290,D6290)=1,MAX(C$1:C6289)+1,"")</f>
        <v/>
      </c>
      <c r="D6290" s="12"/>
    </row>
    <row r="6291" spans="1:4" x14ac:dyDescent="0.25">
      <c r="A6291" t="str">
        <f>IF(COUNTIF(B$1:B6291,B6291)=1,MAX(A$1:A6290)+1,"")</f>
        <v/>
      </c>
      <c r="B6291" s="11"/>
      <c r="C6291" s="11" t="str">
        <f>IF(COUNTIF(D$1:D6291,D6291)=1,MAX(C$1:C6290)+1,"")</f>
        <v/>
      </c>
      <c r="D6291" s="12"/>
    </row>
    <row r="6292" spans="1:4" x14ac:dyDescent="0.25">
      <c r="A6292" t="str">
        <f>IF(COUNTIF(B$1:B6292,B6292)=1,MAX(A$1:A6291)+1,"")</f>
        <v/>
      </c>
      <c r="B6292" s="11"/>
      <c r="C6292" s="11" t="str">
        <f>IF(COUNTIF(D$1:D6292,D6292)=1,MAX(C$1:C6291)+1,"")</f>
        <v/>
      </c>
      <c r="D6292" s="12"/>
    </row>
    <row r="6293" spans="1:4" x14ac:dyDescent="0.25">
      <c r="A6293" t="str">
        <f>IF(COUNTIF(B$1:B6293,B6293)=1,MAX(A$1:A6292)+1,"")</f>
        <v/>
      </c>
      <c r="B6293" s="11"/>
      <c r="C6293" s="11" t="str">
        <f>IF(COUNTIF(D$1:D6293,D6293)=1,MAX(C$1:C6292)+1,"")</f>
        <v/>
      </c>
      <c r="D6293" s="12"/>
    </row>
    <row r="6294" spans="1:4" x14ac:dyDescent="0.25">
      <c r="A6294" t="str">
        <f>IF(COUNTIF(B$1:B6294,B6294)=1,MAX(A$1:A6293)+1,"")</f>
        <v/>
      </c>
      <c r="B6294" s="11"/>
      <c r="C6294" s="11" t="str">
        <f>IF(COUNTIF(D$1:D6294,D6294)=1,MAX(C$1:C6293)+1,"")</f>
        <v/>
      </c>
      <c r="D6294" s="12"/>
    </row>
    <row r="6295" spans="1:4" x14ac:dyDescent="0.25">
      <c r="A6295" t="str">
        <f>IF(COUNTIF(B$1:B6295,B6295)=1,MAX(A$1:A6294)+1,"")</f>
        <v/>
      </c>
      <c r="B6295" s="11"/>
      <c r="C6295" s="11" t="str">
        <f>IF(COUNTIF(D$1:D6295,D6295)=1,MAX(C$1:C6294)+1,"")</f>
        <v/>
      </c>
      <c r="D6295" s="12"/>
    </row>
    <row r="6296" spans="1:4" x14ac:dyDescent="0.25">
      <c r="A6296" t="str">
        <f>IF(COUNTIF(B$1:B6296,B6296)=1,MAX(A$1:A6295)+1,"")</f>
        <v/>
      </c>
      <c r="B6296" s="11"/>
      <c r="C6296" s="11" t="str">
        <f>IF(COUNTIF(D$1:D6296,D6296)=1,MAX(C$1:C6295)+1,"")</f>
        <v/>
      </c>
      <c r="D6296" s="12"/>
    </row>
    <row r="6297" spans="1:4" x14ac:dyDescent="0.25">
      <c r="A6297" t="str">
        <f>IF(COUNTIF(B$1:B6297,B6297)=1,MAX(A$1:A6296)+1,"")</f>
        <v/>
      </c>
      <c r="B6297" s="11"/>
      <c r="C6297" s="11" t="str">
        <f>IF(COUNTIF(D$1:D6297,D6297)=1,MAX(C$1:C6296)+1,"")</f>
        <v/>
      </c>
      <c r="D6297" s="12"/>
    </row>
    <row r="6298" spans="1:4" x14ac:dyDescent="0.25">
      <c r="A6298" t="str">
        <f>IF(COUNTIF(B$1:B6298,B6298)=1,MAX(A$1:A6297)+1,"")</f>
        <v/>
      </c>
      <c r="B6298" s="11"/>
      <c r="C6298" s="11" t="str">
        <f>IF(COUNTIF(D$1:D6298,D6298)=1,MAX(C$1:C6297)+1,"")</f>
        <v/>
      </c>
      <c r="D6298" s="12"/>
    </row>
    <row r="6299" spans="1:4" x14ac:dyDescent="0.25">
      <c r="A6299" t="str">
        <f>IF(COUNTIF(B$1:B6299,B6299)=1,MAX(A$1:A6298)+1,"")</f>
        <v/>
      </c>
      <c r="B6299" s="11"/>
      <c r="C6299" s="11" t="str">
        <f>IF(COUNTIF(D$1:D6299,D6299)=1,MAX(C$1:C6298)+1,"")</f>
        <v/>
      </c>
      <c r="D6299" s="12"/>
    </row>
    <row r="6300" spans="1:4" x14ac:dyDescent="0.25">
      <c r="A6300" t="str">
        <f>IF(COUNTIF(B$1:B6300,B6300)=1,MAX(A$1:A6299)+1,"")</f>
        <v/>
      </c>
      <c r="B6300" s="11"/>
      <c r="C6300" s="11" t="str">
        <f>IF(COUNTIF(D$1:D6300,D6300)=1,MAX(C$1:C6299)+1,"")</f>
        <v/>
      </c>
      <c r="D6300" s="12"/>
    </row>
    <row r="6301" spans="1:4" x14ac:dyDescent="0.25">
      <c r="A6301" t="str">
        <f>IF(COUNTIF(B$1:B6301,B6301)=1,MAX(A$1:A6300)+1,"")</f>
        <v/>
      </c>
      <c r="B6301" s="11"/>
      <c r="C6301" s="11" t="str">
        <f>IF(COUNTIF(D$1:D6301,D6301)=1,MAX(C$1:C6300)+1,"")</f>
        <v/>
      </c>
      <c r="D6301" s="12"/>
    </row>
    <row r="6302" spans="1:4" x14ac:dyDescent="0.25">
      <c r="A6302" t="str">
        <f>IF(COUNTIF(B$1:B6302,B6302)=1,MAX(A$1:A6301)+1,"")</f>
        <v/>
      </c>
      <c r="B6302" s="11"/>
      <c r="C6302" s="11" t="str">
        <f>IF(COUNTIF(D$1:D6302,D6302)=1,MAX(C$1:C6301)+1,"")</f>
        <v/>
      </c>
      <c r="D6302" s="12"/>
    </row>
    <row r="6303" spans="1:4" x14ac:dyDescent="0.25">
      <c r="A6303" t="str">
        <f>IF(COUNTIF(B$1:B6303,B6303)=1,MAX(A$1:A6302)+1,"")</f>
        <v/>
      </c>
      <c r="B6303" s="11"/>
      <c r="C6303" s="11" t="str">
        <f>IF(COUNTIF(D$1:D6303,D6303)=1,MAX(C$1:C6302)+1,"")</f>
        <v/>
      </c>
      <c r="D6303" s="12"/>
    </row>
    <row r="6304" spans="1:4" x14ac:dyDescent="0.25">
      <c r="A6304" t="str">
        <f>IF(COUNTIF(B$1:B6304,B6304)=1,MAX(A$1:A6303)+1,"")</f>
        <v/>
      </c>
      <c r="B6304" s="11"/>
      <c r="C6304" s="11" t="str">
        <f>IF(COUNTIF(D$1:D6304,D6304)=1,MAX(C$1:C6303)+1,"")</f>
        <v/>
      </c>
      <c r="D6304" s="12"/>
    </row>
    <row r="6305" spans="1:4" x14ac:dyDescent="0.25">
      <c r="A6305" t="str">
        <f>IF(COUNTIF(B$1:B6305,B6305)=1,MAX(A$1:A6304)+1,"")</f>
        <v/>
      </c>
      <c r="B6305" s="11"/>
      <c r="C6305" s="11" t="str">
        <f>IF(COUNTIF(D$1:D6305,D6305)=1,MAX(C$1:C6304)+1,"")</f>
        <v/>
      </c>
      <c r="D6305" s="12"/>
    </row>
    <row r="6306" spans="1:4" x14ac:dyDescent="0.25">
      <c r="A6306" t="str">
        <f>IF(COUNTIF(B$1:B6306,B6306)=1,MAX(A$1:A6305)+1,"")</f>
        <v/>
      </c>
      <c r="B6306" s="11"/>
      <c r="C6306" s="11" t="str">
        <f>IF(COUNTIF(D$1:D6306,D6306)=1,MAX(C$1:C6305)+1,"")</f>
        <v/>
      </c>
      <c r="D6306" s="12"/>
    </row>
    <row r="6307" spans="1:4" x14ac:dyDescent="0.25">
      <c r="A6307" t="str">
        <f>IF(COUNTIF(B$1:B6307,B6307)=1,MAX(A$1:A6306)+1,"")</f>
        <v/>
      </c>
      <c r="B6307" s="11"/>
      <c r="C6307" s="11" t="str">
        <f>IF(COUNTIF(D$1:D6307,D6307)=1,MAX(C$1:C6306)+1,"")</f>
        <v/>
      </c>
      <c r="D6307" s="12"/>
    </row>
    <row r="6308" spans="1:4" x14ac:dyDescent="0.25">
      <c r="A6308" t="str">
        <f>IF(COUNTIF(B$1:B6308,B6308)=1,MAX(A$1:A6307)+1,"")</f>
        <v/>
      </c>
      <c r="B6308" s="11"/>
      <c r="C6308" s="11" t="str">
        <f>IF(COUNTIF(D$1:D6308,D6308)=1,MAX(C$1:C6307)+1,"")</f>
        <v/>
      </c>
      <c r="D6308" s="12"/>
    </row>
    <row r="6309" spans="1:4" x14ac:dyDescent="0.25">
      <c r="A6309" t="str">
        <f>IF(COUNTIF(B$1:B6309,B6309)=1,MAX(A$1:A6308)+1,"")</f>
        <v/>
      </c>
      <c r="B6309" s="11"/>
      <c r="C6309" s="11" t="str">
        <f>IF(COUNTIF(D$1:D6309,D6309)=1,MAX(C$1:C6308)+1,"")</f>
        <v/>
      </c>
      <c r="D6309" s="12"/>
    </row>
    <row r="6310" spans="1:4" x14ac:dyDescent="0.25">
      <c r="A6310" t="str">
        <f>IF(COUNTIF(B$1:B6310,B6310)=1,MAX(A$1:A6309)+1,"")</f>
        <v/>
      </c>
      <c r="B6310" s="11"/>
      <c r="C6310" s="11" t="str">
        <f>IF(COUNTIF(D$1:D6310,D6310)=1,MAX(C$1:C6309)+1,"")</f>
        <v/>
      </c>
      <c r="D6310" s="12"/>
    </row>
    <row r="6311" spans="1:4" x14ac:dyDescent="0.25">
      <c r="A6311" t="str">
        <f>IF(COUNTIF(B$1:B6311,B6311)=1,MAX(A$1:A6310)+1,"")</f>
        <v/>
      </c>
      <c r="B6311" s="11"/>
      <c r="C6311" s="11" t="str">
        <f>IF(COUNTIF(D$1:D6311,D6311)=1,MAX(C$1:C6310)+1,"")</f>
        <v/>
      </c>
      <c r="D6311" s="12"/>
    </row>
    <row r="6312" spans="1:4" x14ac:dyDescent="0.25">
      <c r="A6312" t="str">
        <f>IF(COUNTIF(B$1:B6312,B6312)=1,MAX(A$1:A6311)+1,"")</f>
        <v/>
      </c>
      <c r="B6312" s="11"/>
      <c r="C6312" s="11" t="str">
        <f>IF(COUNTIF(D$1:D6312,D6312)=1,MAX(C$1:C6311)+1,"")</f>
        <v/>
      </c>
      <c r="D6312" s="12"/>
    </row>
    <row r="6313" spans="1:4" x14ac:dyDescent="0.25">
      <c r="A6313" t="str">
        <f>IF(COUNTIF(B$1:B6313,B6313)=1,MAX(A$1:A6312)+1,"")</f>
        <v/>
      </c>
      <c r="B6313" s="11"/>
      <c r="C6313" s="11" t="str">
        <f>IF(COUNTIF(D$1:D6313,D6313)=1,MAX(C$1:C6312)+1,"")</f>
        <v/>
      </c>
      <c r="D6313" s="12"/>
    </row>
    <row r="6314" spans="1:4" x14ac:dyDescent="0.25">
      <c r="A6314" t="str">
        <f>IF(COUNTIF(B$1:B6314,B6314)=1,MAX(A$1:A6313)+1,"")</f>
        <v/>
      </c>
      <c r="B6314" s="11"/>
      <c r="C6314" s="11" t="str">
        <f>IF(COUNTIF(D$1:D6314,D6314)=1,MAX(C$1:C6313)+1,"")</f>
        <v/>
      </c>
      <c r="D6314" s="12"/>
    </row>
    <row r="6315" spans="1:4" x14ac:dyDescent="0.25">
      <c r="A6315" t="str">
        <f>IF(COUNTIF(B$1:B6315,B6315)=1,MAX(A$1:A6314)+1,"")</f>
        <v/>
      </c>
      <c r="B6315" s="11"/>
      <c r="C6315" s="11" t="str">
        <f>IF(COUNTIF(D$1:D6315,D6315)=1,MAX(C$1:C6314)+1,"")</f>
        <v/>
      </c>
      <c r="D6315" s="12"/>
    </row>
    <row r="6316" spans="1:4" x14ac:dyDescent="0.25">
      <c r="A6316" t="str">
        <f>IF(COUNTIF(B$1:B6316,B6316)=1,MAX(A$1:A6315)+1,"")</f>
        <v/>
      </c>
      <c r="B6316" s="11"/>
      <c r="C6316" s="11" t="str">
        <f>IF(COUNTIF(D$1:D6316,D6316)=1,MAX(C$1:C6315)+1,"")</f>
        <v/>
      </c>
      <c r="D6316" s="12"/>
    </row>
    <row r="6317" spans="1:4" x14ac:dyDescent="0.25">
      <c r="A6317" t="str">
        <f>IF(COUNTIF(B$1:B6317,B6317)=1,MAX(A$1:A6316)+1,"")</f>
        <v/>
      </c>
      <c r="B6317" s="11"/>
      <c r="C6317" s="11" t="str">
        <f>IF(COUNTIF(D$1:D6317,D6317)=1,MAX(C$1:C6316)+1,"")</f>
        <v/>
      </c>
      <c r="D6317" s="12"/>
    </row>
    <row r="6318" spans="1:4" x14ac:dyDescent="0.25">
      <c r="A6318" t="str">
        <f>IF(COUNTIF(B$1:B6318,B6318)=1,MAX(A$1:A6317)+1,"")</f>
        <v/>
      </c>
      <c r="B6318" s="11"/>
      <c r="C6318" s="11" t="str">
        <f>IF(COUNTIF(D$1:D6318,D6318)=1,MAX(C$1:C6317)+1,"")</f>
        <v/>
      </c>
      <c r="D6318" s="12"/>
    </row>
    <row r="6319" spans="1:4" x14ac:dyDescent="0.25">
      <c r="A6319" t="str">
        <f>IF(COUNTIF(B$1:B6319,B6319)=1,MAX(A$1:A6318)+1,"")</f>
        <v/>
      </c>
      <c r="B6319" s="11"/>
      <c r="C6319" s="11" t="str">
        <f>IF(COUNTIF(D$1:D6319,D6319)=1,MAX(C$1:C6318)+1,"")</f>
        <v/>
      </c>
      <c r="D6319" s="12"/>
    </row>
    <row r="6320" spans="1:4" x14ac:dyDescent="0.25">
      <c r="A6320" t="str">
        <f>IF(COUNTIF(B$1:B6320,B6320)=1,MAX(A$1:A6319)+1,"")</f>
        <v/>
      </c>
      <c r="B6320" s="11"/>
      <c r="C6320" s="11" t="str">
        <f>IF(COUNTIF(D$1:D6320,D6320)=1,MAX(C$1:C6319)+1,"")</f>
        <v/>
      </c>
      <c r="D6320" s="12"/>
    </row>
    <row r="6321" spans="1:4" x14ac:dyDescent="0.25">
      <c r="A6321" t="str">
        <f>IF(COUNTIF(B$1:B6321,B6321)=1,MAX(A$1:A6320)+1,"")</f>
        <v/>
      </c>
      <c r="B6321" s="11"/>
      <c r="C6321" s="11" t="str">
        <f>IF(COUNTIF(D$1:D6321,D6321)=1,MAX(C$1:C6320)+1,"")</f>
        <v/>
      </c>
      <c r="D6321" s="12"/>
    </row>
    <row r="6322" spans="1:4" x14ac:dyDescent="0.25">
      <c r="A6322" t="str">
        <f>IF(COUNTIF(B$1:B6322,B6322)=1,MAX(A$1:A6321)+1,"")</f>
        <v/>
      </c>
      <c r="B6322" s="11"/>
      <c r="C6322" s="11" t="str">
        <f>IF(COUNTIF(D$1:D6322,D6322)=1,MAX(C$1:C6321)+1,"")</f>
        <v/>
      </c>
      <c r="D6322" s="12"/>
    </row>
    <row r="6323" spans="1:4" x14ac:dyDescent="0.25">
      <c r="A6323" t="str">
        <f>IF(COUNTIF(B$1:B6323,B6323)=1,MAX(A$1:A6322)+1,"")</f>
        <v/>
      </c>
      <c r="B6323" s="11"/>
      <c r="C6323" s="11" t="str">
        <f>IF(COUNTIF(D$1:D6323,D6323)=1,MAX(C$1:C6322)+1,"")</f>
        <v/>
      </c>
      <c r="D6323" s="12"/>
    </row>
    <row r="6324" spans="1:4" x14ac:dyDescent="0.25">
      <c r="A6324" t="str">
        <f>IF(COUNTIF(B$1:B6324,B6324)=1,MAX(A$1:A6323)+1,"")</f>
        <v/>
      </c>
      <c r="B6324" s="11"/>
      <c r="C6324" s="11" t="str">
        <f>IF(COUNTIF(D$1:D6324,D6324)=1,MAX(C$1:C6323)+1,"")</f>
        <v/>
      </c>
      <c r="D6324" s="12"/>
    </row>
    <row r="6325" spans="1:4" x14ac:dyDescent="0.25">
      <c r="A6325" t="str">
        <f>IF(COUNTIF(B$1:B6325,B6325)=1,MAX(A$1:A6324)+1,"")</f>
        <v/>
      </c>
      <c r="B6325" s="11"/>
      <c r="C6325" s="11" t="str">
        <f>IF(COUNTIF(D$1:D6325,D6325)=1,MAX(C$1:C6324)+1,"")</f>
        <v/>
      </c>
      <c r="D6325" s="12"/>
    </row>
    <row r="6326" spans="1:4" x14ac:dyDescent="0.25">
      <c r="A6326" t="str">
        <f>IF(COUNTIF(B$1:B6326,B6326)=1,MAX(A$1:A6325)+1,"")</f>
        <v/>
      </c>
      <c r="B6326" s="11"/>
      <c r="C6326" s="11" t="str">
        <f>IF(COUNTIF(D$1:D6326,D6326)=1,MAX(C$1:C6325)+1,"")</f>
        <v/>
      </c>
      <c r="D6326" s="12"/>
    </row>
    <row r="6327" spans="1:4" x14ac:dyDescent="0.25">
      <c r="A6327" t="str">
        <f>IF(COUNTIF(B$1:B6327,B6327)=1,MAX(A$1:A6326)+1,"")</f>
        <v/>
      </c>
      <c r="B6327" s="11"/>
      <c r="C6327" s="11" t="str">
        <f>IF(COUNTIF(D$1:D6327,D6327)=1,MAX(C$1:C6326)+1,"")</f>
        <v/>
      </c>
      <c r="D6327" s="12"/>
    </row>
    <row r="6328" spans="1:4" x14ac:dyDescent="0.25">
      <c r="A6328" t="str">
        <f>IF(COUNTIF(B$1:B6328,B6328)=1,MAX(A$1:A6327)+1,"")</f>
        <v/>
      </c>
      <c r="B6328" s="11"/>
      <c r="C6328" s="11" t="str">
        <f>IF(COUNTIF(D$1:D6328,D6328)=1,MAX(C$1:C6327)+1,"")</f>
        <v/>
      </c>
      <c r="D6328" s="12"/>
    </row>
    <row r="6329" spans="1:4" x14ac:dyDescent="0.25">
      <c r="A6329" t="str">
        <f>IF(COUNTIF(B$1:B6329,B6329)=1,MAX(A$1:A6328)+1,"")</f>
        <v/>
      </c>
      <c r="B6329" s="11"/>
      <c r="C6329" s="11" t="str">
        <f>IF(COUNTIF(D$1:D6329,D6329)=1,MAX(C$1:C6328)+1,"")</f>
        <v/>
      </c>
      <c r="D6329" s="12"/>
    </row>
    <row r="6330" spans="1:4" x14ac:dyDescent="0.25">
      <c r="A6330" t="str">
        <f>IF(COUNTIF(B$1:B6330,B6330)=1,MAX(A$1:A6329)+1,"")</f>
        <v/>
      </c>
      <c r="B6330" s="11"/>
      <c r="C6330" s="11" t="str">
        <f>IF(COUNTIF(D$1:D6330,D6330)=1,MAX(C$1:C6329)+1,"")</f>
        <v/>
      </c>
      <c r="D6330" s="12"/>
    </row>
    <row r="6331" spans="1:4" x14ac:dyDescent="0.25">
      <c r="A6331" t="str">
        <f>IF(COUNTIF(B$1:B6331,B6331)=1,MAX(A$1:A6330)+1,"")</f>
        <v/>
      </c>
      <c r="B6331" s="11"/>
      <c r="C6331" s="11" t="str">
        <f>IF(COUNTIF(D$1:D6331,D6331)=1,MAX(C$1:C6330)+1,"")</f>
        <v/>
      </c>
      <c r="D6331" s="12"/>
    </row>
    <row r="6332" spans="1:4" x14ac:dyDescent="0.25">
      <c r="A6332" t="str">
        <f>IF(COUNTIF(B$1:B6332,B6332)=1,MAX(A$1:A6331)+1,"")</f>
        <v/>
      </c>
      <c r="B6332" s="11"/>
      <c r="C6332" s="11" t="str">
        <f>IF(COUNTIF(D$1:D6332,D6332)=1,MAX(C$1:C6331)+1,"")</f>
        <v/>
      </c>
      <c r="D6332" s="12"/>
    </row>
    <row r="6333" spans="1:4" x14ac:dyDescent="0.25">
      <c r="A6333" t="str">
        <f>IF(COUNTIF(B$1:B6333,B6333)=1,MAX(A$1:A6332)+1,"")</f>
        <v/>
      </c>
      <c r="B6333" s="11"/>
      <c r="C6333" s="11" t="str">
        <f>IF(COUNTIF(D$1:D6333,D6333)=1,MAX(C$1:C6332)+1,"")</f>
        <v/>
      </c>
      <c r="D6333" s="12"/>
    </row>
    <row r="6334" spans="1:4" x14ac:dyDescent="0.25">
      <c r="A6334" t="str">
        <f>IF(COUNTIF(B$1:B6334,B6334)=1,MAX(A$1:A6333)+1,"")</f>
        <v/>
      </c>
      <c r="B6334" s="11"/>
      <c r="C6334" s="11" t="str">
        <f>IF(COUNTIF(D$1:D6334,D6334)=1,MAX(C$1:C6333)+1,"")</f>
        <v/>
      </c>
      <c r="D6334" s="12"/>
    </row>
    <row r="6335" spans="1:4" x14ac:dyDescent="0.25">
      <c r="A6335" t="str">
        <f>IF(COUNTIF(B$1:B6335,B6335)=1,MAX(A$1:A6334)+1,"")</f>
        <v/>
      </c>
      <c r="B6335" s="11"/>
      <c r="C6335" s="11" t="str">
        <f>IF(COUNTIF(D$1:D6335,D6335)=1,MAX(C$1:C6334)+1,"")</f>
        <v/>
      </c>
      <c r="D6335" s="12"/>
    </row>
    <row r="6336" spans="1:4" x14ac:dyDescent="0.25">
      <c r="A6336" t="str">
        <f>IF(COUNTIF(B$1:B6336,B6336)=1,MAX(A$1:A6335)+1,"")</f>
        <v/>
      </c>
      <c r="B6336" s="11"/>
      <c r="C6336" s="11" t="str">
        <f>IF(COUNTIF(D$1:D6336,D6336)=1,MAX(C$1:C6335)+1,"")</f>
        <v/>
      </c>
      <c r="D6336" s="12"/>
    </row>
    <row r="6337" spans="1:4" x14ac:dyDescent="0.25">
      <c r="A6337" t="str">
        <f>IF(COUNTIF(B$1:B6337,B6337)=1,MAX(A$1:A6336)+1,"")</f>
        <v/>
      </c>
      <c r="B6337" s="11"/>
      <c r="C6337" s="11" t="str">
        <f>IF(COUNTIF(D$1:D6337,D6337)=1,MAX(C$1:C6336)+1,"")</f>
        <v/>
      </c>
      <c r="D6337" s="12"/>
    </row>
    <row r="6338" spans="1:4" x14ac:dyDescent="0.25">
      <c r="A6338" t="str">
        <f>IF(COUNTIF(B$1:B6338,B6338)=1,MAX(A$1:A6337)+1,"")</f>
        <v/>
      </c>
      <c r="B6338" s="11"/>
      <c r="C6338" s="11" t="str">
        <f>IF(COUNTIF(D$1:D6338,D6338)=1,MAX(C$1:C6337)+1,"")</f>
        <v/>
      </c>
      <c r="D6338" s="12"/>
    </row>
    <row r="6339" spans="1:4" x14ac:dyDescent="0.25">
      <c r="A6339" t="str">
        <f>IF(COUNTIF(B$1:B6339,B6339)=1,MAX(A$1:A6338)+1,"")</f>
        <v/>
      </c>
      <c r="B6339" s="11"/>
      <c r="C6339" s="11" t="str">
        <f>IF(COUNTIF(D$1:D6339,D6339)=1,MAX(C$1:C6338)+1,"")</f>
        <v/>
      </c>
      <c r="D6339" s="12"/>
    </row>
    <row r="6340" spans="1:4" x14ac:dyDescent="0.25">
      <c r="A6340" t="str">
        <f>IF(COUNTIF(B$1:B6340,B6340)=1,MAX(A$1:A6339)+1,"")</f>
        <v/>
      </c>
      <c r="B6340" s="11"/>
      <c r="C6340" s="11" t="str">
        <f>IF(COUNTIF(D$1:D6340,D6340)=1,MAX(C$1:C6339)+1,"")</f>
        <v/>
      </c>
      <c r="D6340" s="12"/>
    </row>
    <row r="6341" spans="1:4" x14ac:dyDescent="0.25">
      <c r="A6341" t="str">
        <f>IF(COUNTIF(B$1:B6341,B6341)=1,MAX(A$1:A6340)+1,"")</f>
        <v/>
      </c>
      <c r="B6341" s="11"/>
      <c r="C6341" s="11" t="str">
        <f>IF(COUNTIF(D$1:D6341,D6341)=1,MAX(C$1:C6340)+1,"")</f>
        <v/>
      </c>
      <c r="D6341" s="12"/>
    </row>
    <row r="6342" spans="1:4" x14ac:dyDescent="0.25">
      <c r="A6342" t="str">
        <f>IF(COUNTIF(B$1:B6342,B6342)=1,MAX(A$1:A6341)+1,"")</f>
        <v/>
      </c>
      <c r="B6342" s="11"/>
      <c r="C6342" s="11" t="str">
        <f>IF(COUNTIF(D$1:D6342,D6342)=1,MAX(C$1:C6341)+1,"")</f>
        <v/>
      </c>
      <c r="D6342" s="12"/>
    </row>
    <row r="6343" spans="1:4" x14ac:dyDescent="0.25">
      <c r="A6343" t="str">
        <f>IF(COUNTIF(B$1:B6343,B6343)=1,MAX(A$1:A6342)+1,"")</f>
        <v/>
      </c>
      <c r="B6343" s="11"/>
      <c r="C6343" s="11" t="str">
        <f>IF(COUNTIF(D$1:D6343,D6343)=1,MAX(C$1:C6342)+1,"")</f>
        <v/>
      </c>
      <c r="D6343" s="12"/>
    </row>
    <row r="6344" spans="1:4" x14ac:dyDescent="0.25">
      <c r="A6344" t="str">
        <f>IF(COUNTIF(B$1:B6344,B6344)=1,MAX(A$1:A6343)+1,"")</f>
        <v/>
      </c>
      <c r="B6344" s="11"/>
      <c r="C6344" s="11" t="str">
        <f>IF(COUNTIF(D$1:D6344,D6344)=1,MAX(C$1:C6343)+1,"")</f>
        <v/>
      </c>
      <c r="D6344" s="12"/>
    </row>
    <row r="6345" spans="1:4" x14ac:dyDescent="0.25">
      <c r="A6345" t="str">
        <f>IF(COUNTIF(B$1:B6345,B6345)=1,MAX(A$1:A6344)+1,"")</f>
        <v/>
      </c>
      <c r="B6345" s="11"/>
      <c r="C6345" s="11" t="str">
        <f>IF(COUNTIF(D$1:D6345,D6345)=1,MAX(C$1:C6344)+1,"")</f>
        <v/>
      </c>
      <c r="D6345" s="12"/>
    </row>
    <row r="6346" spans="1:4" x14ac:dyDescent="0.25">
      <c r="A6346" t="str">
        <f>IF(COUNTIF(B$1:B6346,B6346)=1,MAX(A$1:A6345)+1,"")</f>
        <v/>
      </c>
      <c r="B6346" s="11"/>
      <c r="C6346" s="11" t="str">
        <f>IF(COUNTIF(D$1:D6346,D6346)=1,MAX(C$1:C6345)+1,"")</f>
        <v/>
      </c>
      <c r="D6346" s="12"/>
    </row>
    <row r="6347" spans="1:4" x14ac:dyDescent="0.25">
      <c r="A6347" t="str">
        <f>IF(COUNTIF(B$1:B6347,B6347)=1,MAX(A$1:A6346)+1,"")</f>
        <v/>
      </c>
      <c r="B6347" s="11"/>
      <c r="C6347" s="11" t="str">
        <f>IF(COUNTIF(D$1:D6347,D6347)=1,MAX(C$1:C6346)+1,"")</f>
        <v/>
      </c>
      <c r="D6347" s="12"/>
    </row>
    <row r="6348" spans="1:4" x14ac:dyDescent="0.25">
      <c r="A6348" t="str">
        <f>IF(COUNTIF(B$1:B6348,B6348)=1,MAX(A$1:A6347)+1,"")</f>
        <v/>
      </c>
      <c r="B6348" s="11"/>
      <c r="C6348" s="11" t="str">
        <f>IF(COUNTIF(D$1:D6348,D6348)=1,MAX(C$1:C6347)+1,"")</f>
        <v/>
      </c>
      <c r="D6348" s="12"/>
    </row>
    <row r="6349" spans="1:4" x14ac:dyDescent="0.25">
      <c r="A6349" t="str">
        <f>IF(COUNTIF(B$1:B6349,B6349)=1,MAX(A$1:A6348)+1,"")</f>
        <v/>
      </c>
      <c r="B6349" s="11"/>
      <c r="C6349" s="11" t="str">
        <f>IF(COUNTIF(D$1:D6349,D6349)=1,MAX(C$1:C6348)+1,"")</f>
        <v/>
      </c>
      <c r="D6349" s="12"/>
    </row>
    <row r="6350" spans="1:4" x14ac:dyDescent="0.25">
      <c r="A6350" t="str">
        <f>IF(COUNTIF(B$1:B6350,B6350)=1,MAX(A$1:A6349)+1,"")</f>
        <v/>
      </c>
      <c r="B6350" s="11"/>
      <c r="C6350" s="11" t="str">
        <f>IF(COUNTIF(D$1:D6350,D6350)=1,MAX(C$1:C6349)+1,"")</f>
        <v/>
      </c>
      <c r="D6350" s="12"/>
    </row>
    <row r="6351" spans="1:4" x14ac:dyDescent="0.25">
      <c r="A6351" t="str">
        <f>IF(COUNTIF(B$1:B6351,B6351)=1,MAX(A$1:A6350)+1,"")</f>
        <v/>
      </c>
      <c r="B6351" s="11"/>
      <c r="C6351" s="11" t="str">
        <f>IF(COUNTIF(D$1:D6351,D6351)=1,MAX(C$1:C6350)+1,"")</f>
        <v/>
      </c>
      <c r="D6351" s="12"/>
    </row>
    <row r="6352" spans="1:4" x14ac:dyDescent="0.25">
      <c r="A6352" t="str">
        <f>IF(COUNTIF(B$1:B6352,B6352)=1,MAX(A$1:A6351)+1,"")</f>
        <v/>
      </c>
      <c r="B6352" s="11"/>
      <c r="C6352" s="11" t="str">
        <f>IF(COUNTIF(D$1:D6352,D6352)=1,MAX(C$1:C6351)+1,"")</f>
        <v/>
      </c>
      <c r="D6352" s="12"/>
    </row>
    <row r="6353" spans="1:4" x14ac:dyDescent="0.25">
      <c r="A6353" t="str">
        <f>IF(COUNTIF(B$1:B6353,B6353)=1,MAX(A$1:A6352)+1,"")</f>
        <v/>
      </c>
      <c r="B6353" s="11"/>
      <c r="C6353" s="11" t="str">
        <f>IF(COUNTIF(D$1:D6353,D6353)=1,MAX(C$1:C6352)+1,"")</f>
        <v/>
      </c>
      <c r="D6353" s="12"/>
    </row>
    <row r="6354" spans="1:4" x14ac:dyDescent="0.25">
      <c r="A6354" t="str">
        <f>IF(COUNTIF(B$1:B6354,B6354)=1,MAX(A$1:A6353)+1,"")</f>
        <v/>
      </c>
      <c r="B6354" s="11"/>
      <c r="C6354" s="11" t="str">
        <f>IF(COUNTIF(D$1:D6354,D6354)=1,MAX(C$1:C6353)+1,"")</f>
        <v/>
      </c>
      <c r="D6354" s="12"/>
    </row>
    <row r="6355" spans="1:4" x14ac:dyDescent="0.25">
      <c r="A6355" t="str">
        <f>IF(COUNTIF(B$1:B6355,B6355)=1,MAX(A$1:A6354)+1,"")</f>
        <v/>
      </c>
      <c r="B6355" s="11"/>
      <c r="C6355" s="11" t="str">
        <f>IF(COUNTIF(D$1:D6355,D6355)=1,MAX(C$1:C6354)+1,"")</f>
        <v/>
      </c>
      <c r="D6355" s="12"/>
    </row>
    <row r="6356" spans="1:4" x14ac:dyDescent="0.25">
      <c r="A6356" t="str">
        <f>IF(COUNTIF(B$1:B6356,B6356)=1,MAX(A$1:A6355)+1,"")</f>
        <v/>
      </c>
      <c r="B6356" s="11"/>
      <c r="C6356" s="11" t="str">
        <f>IF(COUNTIF(D$1:D6356,D6356)=1,MAX(C$1:C6355)+1,"")</f>
        <v/>
      </c>
      <c r="D6356" s="12"/>
    </row>
    <row r="6357" spans="1:4" x14ac:dyDescent="0.25">
      <c r="A6357" t="str">
        <f>IF(COUNTIF(B$1:B6357,B6357)=1,MAX(A$1:A6356)+1,"")</f>
        <v/>
      </c>
      <c r="B6357" s="11"/>
      <c r="C6357" s="11" t="str">
        <f>IF(COUNTIF(D$1:D6357,D6357)=1,MAX(C$1:C6356)+1,"")</f>
        <v/>
      </c>
      <c r="D6357" s="12"/>
    </row>
    <row r="6358" spans="1:4" x14ac:dyDescent="0.25">
      <c r="A6358" t="str">
        <f>IF(COUNTIF(B$1:B6358,B6358)=1,MAX(A$1:A6357)+1,"")</f>
        <v/>
      </c>
      <c r="B6358" s="11"/>
      <c r="C6358" s="11" t="str">
        <f>IF(COUNTIF(D$1:D6358,D6358)=1,MAX(C$1:C6357)+1,"")</f>
        <v/>
      </c>
      <c r="D6358" s="12"/>
    </row>
    <row r="6359" spans="1:4" x14ac:dyDescent="0.25">
      <c r="A6359" t="str">
        <f>IF(COUNTIF(B$1:B6359,B6359)=1,MAX(A$1:A6358)+1,"")</f>
        <v/>
      </c>
      <c r="B6359" s="11"/>
      <c r="C6359" s="11" t="str">
        <f>IF(COUNTIF(D$1:D6359,D6359)=1,MAX(C$1:C6358)+1,"")</f>
        <v/>
      </c>
      <c r="D6359" s="12"/>
    </row>
    <row r="6360" spans="1:4" x14ac:dyDescent="0.25">
      <c r="A6360" t="str">
        <f>IF(COUNTIF(B$1:B6360,B6360)=1,MAX(A$1:A6359)+1,"")</f>
        <v/>
      </c>
      <c r="B6360" s="11"/>
      <c r="C6360" s="11" t="str">
        <f>IF(COUNTIF(D$1:D6360,D6360)=1,MAX(C$1:C6359)+1,"")</f>
        <v/>
      </c>
      <c r="D6360" s="12"/>
    </row>
    <row r="6361" spans="1:4" x14ac:dyDescent="0.25">
      <c r="A6361" t="str">
        <f>IF(COUNTIF(B$1:B6361,B6361)=1,MAX(A$1:A6360)+1,"")</f>
        <v/>
      </c>
      <c r="B6361" s="11"/>
      <c r="C6361" s="11" t="str">
        <f>IF(COUNTIF(D$1:D6361,D6361)=1,MAX(C$1:C6360)+1,"")</f>
        <v/>
      </c>
      <c r="D6361" s="12"/>
    </row>
    <row r="6362" spans="1:4" x14ac:dyDescent="0.25">
      <c r="A6362" t="str">
        <f>IF(COUNTIF(B$1:B6362,B6362)=1,MAX(A$1:A6361)+1,"")</f>
        <v/>
      </c>
      <c r="B6362" s="11"/>
      <c r="C6362" s="11" t="str">
        <f>IF(COUNTIF(D$1:D6362,D6362)=1,MAX(C$1:C6361)+1,"")</f>
        <v/>
      </c>
      <c r="D6362" s="12"/>
    </row>
    <row r="6363" spans="1:4" x14ac:dyDescent="0.25">
      <c r="A6363" t="str">
        <f>IF(COUNTIF(B$1:B6363,B6363)=1,MAX(A$1:A6362)+1,"")</f>
        <v/>
      </c>
      <c r="B6363" s="11"/>
      <c r="C6363" s="11" t="str">
        <f>IF(COUNTIF(D$1:D6363,D6363)=1,MAX(C$1:C6362)+1,"")</f>
        <v/>
      </c>
      <c r="D6363" s="12"/>
    </row>
    <row r="6364" spans="1:4" x14ac:dyDescent="0.25">
      <c r="A6364" t="str">
        <f>IF(COUNTIF(B$1:B6364,B6364)=1,MAX(A$1:A6363)+1,"")</f>
        <v/>
      </c>
      <c r="B6364" s="11"/>
      <c r="C6364" s="11" t="str">
        <f>IF(COUNTIF(D$1:D6364,D6364)=1,MAX(C$1:C6363)+1,"")</f>
        <v/>
      </c>
      <c r="D6364" s="12"/>
    </row>
    <row r="6365" spans="1:4" x14ac:dyDescent="0.25">
      <c r="A6365" t="str">
        <f>IF(COUNTIF(B$1:B6365,B6365)=1,MAX(A$1:A6364)+1,"")</f>
        <v/>
      </c>
      <c r="B6365" s="11"/>
      <c r="C6365" s="11" t="str">
        <f>IF(COUNTIF(D$1:D6365,D6365)=1,MAX(C$1:C6364)+1,"")</f>
        <v/>
      </c>
      <c r="D6365" s="12"/>
    </row>
    <row r="6366" spans="1:4" x14ac:dyDescent="0.25">
      <c r="A6366" t="str">
        <f>IF(COUNTIF(B$1:B6366,B6366)=1,MAX(A$1:A6365)+1,"")</f>
        <v/>
      </c>
      <c r="B6366" s="11"/>
      <c r="C6366" s="11" t="str">
        <f>IF(COUNTIF(D$1:D6366,D6366)=1,MAX(C$1:C6365)+1,"")</f>
        <v/>
      </c>
      <c r="D6366" s="12"/>
    </row>
    <row r="6367" spans="1:4" x14ac:dyDescent="0.25">
      <c r="A6367" t="str">
        <f>IF(COUNTIF(B$1:B6367,B6367)=1,MAX(A$1:A6366)+1,"")</f>
        <v/>
      </c>
      <c r="B6367" s="11"/>
      <c r="C6367" s="11" t="str">
        <f>IF(COUNTIF(D$1:D6367,D6367)=1,MAX(C$1:C6366)+1,"")</f>
        <v/>
      </c>
      <c r="D6367" s="12"/>
    </row>
    <row r="6368" spans="1:4" x14ac:dyDescent="0.25">
      <c r="A6368" t="str">
        <f>IF(COUNTIF(B$1:B6368,B6368)=1,MAX(A$1:A6367)+1,"")</f>
        <v/>
      </c>
      <c r="B6368" s="11"/>
      <c r="C6368" s="11" t="str">
        <f>IF(COUNTIF(D$1:D6368,D6368)=1,MAX(C$1:C6367)+1,"")</f>
        <v/>
      </c>
      <c r="D6368" s="12"/>
    </row>
    <row r="6369" spans="1:4" x14ac:dyDescent="0.25">
      <c r="A6369" t="str">
        <f>IF(COUNTIF(B$1:B6369,B6369)=1,MAX(A$1:A6368)+1,"")</f>
        <v/>
      </c>
      <c r="B6369" s="11"/>
      <c r="C6369" s="11" t="str">
        <f>IF(COUNTIF(D$1:D6369,D6369)=1,MAX(C$1:C6368)+1,"")</f>
        <v/>
      </c>
      <c r="D6369" s="12"/>
    </row>
    <row r="6370" spans="1:4" x14ac:dyDescent="0.25">
      <c r="A6370" t="str">
        <f>IF(COUNTIF(B$1:B6370,B6370)=1,MAX(A$1:A6369)+1,"")</f>
        <v/>
      </c>
      <c r="B6370" s="11"/>
      <c r="C6370" s="11" t="str">
        <f>IF(COUNTIF(D$1:D6370,D6370)=1,MAX(C$1:C6369)+1,"")</f>
        <v/>
      </c>
      <c r="D6370" s="12"/>
    </row>
    <row r="6371" spans="1:4" x14ac:dyDescent="0.25">
      <c r="A6371" t="str">
        <f>IF(COUNTIF(B$1:B6371,B6371)=1,MAX(A$1:A6370)+1,"")</f>
        <v/>
      </c>
      <c r="B6371" s="11"/>
      <c r="C6371" s="11" t="str">
        <f>IF(COUNTIF(D$1:D6371,D6371)=1,MAX(C$1:C6370)+1,"")</f>
        <v/>
      </c>
      <c r="D6371" s="12"/>
    </row>
    <row r="6372" spans="1:4" x14ac:dyDescent="0.25">
      <c r="A6372" t="str">
        <f>IF(COUNTIF(B$1:B6372,B6372)=1,MAX(A$1:A6371)+1,"")</f>
        <v/>
      </c>
      <c r="B6372" s="11"/>
      <c r="C6372" s="11" t="str">
        <f>IF(COUNTIF(D$1:D6372,D6372)=1,MAX(C$1:C6371)+1,"")</f>
        <v/>
      </c>
      <c r="D6372" s="12"/>
    </row>
    <row r="6373" spans="1:4" x14ac:dyDescent="0.25">
      <c r="A6373" t="str">
        <f>IF(COUNTIF(B$1:B6373,B6373)=1,MAX(A$1:A6372)+1,"")</f>
        <v/>
      </c>
      <c r="B6373" s="11"/>
      <c r="C6373" s="11" t="str">
        <f>IF(COUNTIF(D$1:D6373,D6373)=1,MAX(C$1:C6372)+1,"")</f>
        <v/>
      </c>
      <c r="D6373" s="12"/>
    </row>
    <row r="6374" spans="1:4" x14ac:dyDescent="0.25">
      <c r="A6374" t="str">
        <f>IF(COUNTIF(B$1:B6374,B6374)=1,MAX(A$1:A6373)+1,"")</f>
        <v/>
      </c>
      <c r="B6374" s="11"/>
      <c r="C6374" s="11" t="str">
        <f>IF(COUNTIF(D$1:D6374,D6374)=1,MAX(C$1:C6373)+1,"")</f>
        <v/>
      </c>
      <c r="D6374" s="12"/>
    </row>
    <row r="6375" spans="1:4" x14ac:dyDescent="0.25">
      <c r="A6375" t="str">
        <f>IF(COUNTIF(B$1:B6375,B6375)=1,MAX(A$1:A6374)+1,"")</f>
        <v/>
      </c>
      <c r="B6375" s="11"/>
      <c r="C6375" s="11" t="str">
        <f>IF(COUNTIF(D$1:D6375,D6375)=1,MAX(C$1:C6374)+1,"")</f>
        <v/>
      </c>
      <c r="D6375" s="12"/>
    </row>
    <row r="6376" spans="1:4" x14ac:dyDescent="0.25">
      <c r="A6376" t="str">
        <f>IF(COUNTIF(B$1:B6376,B6376)=1,MAX(A$1:A6375)+1,"")</f>
        <v/>
      </c>
      <c r="B6376" s="11"/>
      <c r="C6376" s="11" t="str">
        <f>IF(COUNTIF(D$1:D6376,D6376)=1,MAX(C$1:C6375)+1,"")</f>
        <v/>
      </c>
      <c r="D6376" s="12"/>
    </row>
    <row r="6377" spans="1:4" x14ac:dyDescent="0.25">
      <c r="A6377" t="str">
        <f>IF(COUNTIF(B$1:B6377,B6377)=1,MAX(A$1:A6376)+1,"")</f>
        <v/>
      </c>
      <c r="B6377" s="11"/>
      <c r="C6377" s="11" t="str">
        <f>IF(COUNTIF(D$1:D6377,D6377)=1,MAX(C$1:C6376)+1,"")</f>
        <v/>
      </c>
      <c r="D6377" s="12"/>
    </row>
    <row r="6378" spans="1:4" x14ac:dyDescent="0.25">
      <c r="A6378" t="str">
        <f>IF(COUNTIF(B$1:B6378,B6378)=1,MAX(A$1:A6377)+1,"")</f>
        <v/>
      </c>
      <c r="B6378" s="11"/>
      <c r="C6378" s="11" t="str">
        <f>IF(COUNTIF(D$1:D6378,D6378)=1,MAX(C$1:C6377)+1,"")</f>
        <v/>
      </c>
      <c r="D6378" s="12"/>
    </row>
    <row r="6379" spans="1:4" x14ac:dyDescent="0.25">
      <c r="A6379" t="str">
        <f>IF(COUNTIF(B$1:B6379,B6379)=1,MAX(A$1:A6378)+1,"")</f>
        <v/>
      </c>
      <c r="B6379" s="11"/>
      <c r="C6379" s="11" t="str">
        <f>IF(COUNTIF(D$1:D6379,D6379)=1,MAX(C$1:C6378)+1,"")</f>
        <v/>
      </c>
      <c r="D6379" s="12"/>
    </row>
    <row r="6380" spans="1:4" x14ac:dyDescent="0.25">
      <c r="A6380" t="str">
        <f>IF(COUNTIF(B$1:B6380,B6380)=1,MAX(A$1:A6379)+1,"")</f>
        <v/>
      </c>
      <c r="B6380" s="11"/>
      <c r="C6380" s="11" t="str">
        <f>IF(COUNTIF(D$1:D6380,D6380)=1,MAX(C$1:C6379)+1,"")</f>
        <v/>
      </c>
      <c r="D6380" s="12"/>
    </row>
    <row r="6381" spans="1:4" x14ac:dyDescent="0.25">
      <c r="A6381" t="str">
        <f>IF(COUNTIF(B$1:B6381,B6381)=1,MAX(A$1:A6380)+1,"")</f>
        <v/>
      </c>
      <c r="B6381" s="11"/>
      <c r="C6381" s="11" t="str">
        <f>IF(COUNTIF(D$1:D6381,D6381)=1,MAX(C$1:C6380)+1,"")</f>
        <v/>
      </c>
      <c r="D6381" s="12"/>
    </row>
    <row r="6382" spans="1:4" x14ac:dyDescent="0.25">
      <c r="A6382" t="str">
        <f>IF(COUNTIF(B$1:B6382,B6382)=1,MAX(A$1:A6381)+1,"")</f>
        <v/>
      </c>
      <c r="B6382" s="11"/>
      <c r="C6382" s="11" t="str">
        <f>IF(COUNTIF(D$1:D6382,D6382)=1,MAX(C$1:C6381)+1,"")</f>
        <v/>
      </c>
      <c r="D6382" s="12"/>
    </row>
    <row r="6383" spans="1:4" x14ac:dyDescent="0.25">
      <c r="A6383" t="str">
        <f>IF(COUNTIF(B$1:B6383,B6383)=1,MAX(A$1:A6382)+1,"")</f>
        <v/>
      </c>
      <c r="B6383" s="11"/>
      <c r="C6383" s="11" t="str">
        <f>IF(COUNTIF(D$1:D6383,D6383)=1,MAX(C$1:C6382)+1,"")</f>
        <v/>
      </c>
      <c r="D6383" s="12"/>
    </row>
    <row r="6384" spans="1:4" x14ac:dyDescent="0.25">
      <c r="A6384" t="str">
        <f>IF(COUNTIF(B$1:B6384,B6384)=1,MAX(A$1:A6383)+1,"")</f>
        <v/>
      </c>
      <c r="B6384" s="11"/>
      <c r="C6384" s="11" t="str">
        <f>IF(COUNTIF(D$1:D6384,D6384)=1,MAX(C$1:C6383)+1,"")</f>
        <v/>
      </c>
      <c r="D6384" s="12"/>
    </row>
    <row r="6385" spans="1:4" x14ac:dyDescent="0.25">
      <c r="A6385" t="str">
        <f>IF(COUNTIF(B$1:B6385,B6385)=1,MAX(A$1:A6384)+1,"")</f>
        <v/>
      </c>
      <c r="B6385" s="11"/>
      <c r="C6385" s="11" t="str">
        <f>IF(COUNTIF(D$1:D6385,D6385)=1,MAX(C$1:C6384)+1,"")</f>
        <v/>
      </c>
      <c r="D6385" s="12"/>
    </row>
    <row r="6386" spans="1:4" x14ac:dyDescent="0.25">
      <c r="A6386" t="str">
        <f>IF(COUNTIF(B$1:B6386,B6386)=1,MAX(A$1:A6385)+1,"")</f>
        <v/>
      </c>
      <c r="B6386" s="11"/>
      <c r="C6386" s="11" t="str">
        <f>IF(COUNTIF(D$1:D6386,D6386)=1,MAX(C$1:C6385)+1,"")</f>
        <v/>
      </c>
      <c r="D6386" s="12"/>
    </row>
    <row r="6387" spans="1:4" x14ac:dyDescent="0.25">
      <c r="A6387" t="str">
        <f>IF(COUNTIF(B$1:B6387,B6387)=1,MAX(A$1:A6386)+1,"")</f>
        <v/>
      </c>
      <c r="B6387" s="11"/>
      <c r="C6387" s="11" t="str">
        <f>IF(COUNTIF(D$1:D6387,D6387)=1,MAX(C$1:C6386)+1,"")</f>
        <v/>
      </c>
      <c r="D6387" s="12"/>
    </row>
    <row r="6388" spans="1:4" x14ac:dyDescent="0.25">
      <c r="A6388" t="str">
        <f>IF(COUNTIF(B$1:B6388,B6388)=1,MAX(A$1:A6387)+1,"")</f>
        <v/>
      </c>
      <c r="B6388" s="11"/>
      <c r="C6388" s="11" t="str">
        <f>IF(COUNTIF(D$1:D6388,D6388)=1,MAX(C$1:C6387)+1,"")</f>
        <v/>
      </c>
      <c r="D6388" s="12"/>
    </row>
    <row r="6389" spans="1:4" x14ac:dyDescent="0.25">
      <c r="A6389" t="str">
        <f>IF(COUNTIF(B$1:B6389,B6389)=1,MAX(A$1:A6388)+1,"")</f>
        <v/>
      </c>
      <c r="B6389" s="11"/>
      <c r="C6389" s="11" t="str">
        <f>IF(COUNTIF(D$1:D6389,D6389)=1,MAX(C$1:C6388)+1,"")</f>
        <v/>
      </c>
      <c r="D6389" s="12"/>
    </row>
    <row r="6390" spans="1:4" x14ac:dyDescent="0.25">
      <c r="A6390" t="str">
        <f>IF(COUNTIF(B$1:B6390,B6390)=1,MAX(A$1:A6389)+1,"")</f>
        <v/>
      </c>
      <c r="B6390" s="11"/>
      <c r="C6390" s="11" t="str">
        <f>IF(COUNTIF(D$1:D6390,D6390)=1,MAX(C$1:C6389)+1,"")</f>
        <v/>
      </c>
      <c r="D6390" s="12"/>
    </row>
    <row r="6391" spans="1:4" x14ac:dyDescent="0.25">
      <c r="A6391" t="str">
        <f>IF(COUNTIF(B$1:B6391,B6391)=1,MAX(A$1:A6390)+1,"")</f>
        <v/>
      </c>
      <c r="B6391" s="11"/>
      <c r="C6391" s="11" t="str">
        <f>IF(COUNTIF(D$1:D6391,D6391)=1,MAX(C$1:C6390)+1,"")</f>
        <v/>
      </c>
      <c r="D6391" s="12"/>
    </row>
    <row r="6392" spans="1:4" x14ac:dyDescent="0.25">
      <c r="A6392" t="str">
        <f>IF(COUNTIF(B$1:B6392,B6392)=1,MAX(A$1:A6391)+1,"")</f>
        <v/>
      </c>
      <c r="B6392" s="11"/>
      <c r="C6392" s="11" t="str">
        <f>IF(COUNTIF(D$1:D6392,D6392)=1,MAX(C$1:C6391)+1,"")</f>
        <v/>
      </c>
      <c r="D6392" s="12"/>
    </row>
    <row r="6393" spans="1:4" x14ac:dyDescent="0.25">
      <c r="A6393" t="str">
        <f>IF(COUNTIF(B$1:B6393,B6393)=1,MAX(A$1:A6392)+1,"")</f>
        <v/>
      </c>
      <c r="B6393" s="11"/>
      <c r="C6393" s="11" t="str">
        <f>IF(COUNTIF(D$1:D6393,D6393)=1,MAX(C$1:C6392)+1,"")</f>
        <v/>
      </c>
      <c r="D6393" s="12"/>
    </row>
    <row r="6394" spans="1:4" x14ac:dyDescent="0.25">
      <c r="A6394" t="str">
        <f>IF(COUNTIF(B$1:B6394,B6394)=1,MAX(A$1:A6393)+1,"")</f>
        <v/>
      </c>
      <c r="B6394" s="11"/>
      <c r="C6394" s="11" t="str">
        <f>IF(COUNTIF(D$1:D6394,D6394)=1,MAX(C$1:C6393)+1,"")</f>
        <v/>
      </c>
      <c r="D6394" s="12"/>
    </row>
    <row r="6395" spans="1:4" x14ac:dyDescent="0.25">
      <c r="A6395" t="str">
        <f>IF(COUNTIF(B$1:B6395,B6395)=1,MAX(A$1:A6394)+1,"")</f>
        <v/>
      </c>
      <c r="B6395" s="11"/>
      <c r="C6395" s="11" t="str">
        <f>IF(COUNTIF(D$1:D6395,D6395)=1,MAX(C$1:C6394)+1,"")</f>
        <v/>
      </c>
      <c r="D6395" s="12"/>
    </row>
    <row r="6396" spans="1:4" x14ac:dyDescent="0.25">
      <c r="A6396" t="str">
        <f>IF(COUNTIF(B$1:B6396,B6396)=1,MAX(A$1:A6395)+1,"")</f>
        <v/>
      </c>
      <c r="B6396" s="11"/>
      <c r="C6396" s="11" t="str">
        <f>IF(COUNTIF(D$1:D6396,D6396)=1,MAX(C$1:C6395)+1,"")</f>
        <v/>
      </c>
      <c r="D6396" s="12"/>
    </row>
    <row r="6397" spans="1:4" x14ac:dyDescent="0.25">
      <c r="A6397" t="str">
        <f>IF(COUNTIF(B$1:B6397,B6397)=1,MAX(A$1:A6396)+1,"")</f>
        <v/>
      </c>
      <c r="B6397" s="11"/>
      <c r="C6397" s="11" t="str">
        <f>IF(COUNTIF(D$1:D6397,D6397)=1,MAX(C$1:C6396)+1,"")</f>
        <v/>
      </c>
      <c r="D6397" s="12"/>
    </row>
    <row r="6398" spans="1:4" x14ac:dyDescent="0.25">
      <c r="A6398" t="str">
        <f>IF(COUNTIF(B$1:B6398,B6398)=1,MAX(A$1:A6397)+1,"")</f>
        <v/>
      </c>
      <c r="B6398" s="11"/>
      <c r="C6398" s="11" t="str">
        <f>IF(COUNTIF(D$1:D6398,D6398)=1,MAX(C$1:C6397)+1,"")</f>
        <v/>
      </c>
      <c r="D6398" s="12"/>
    </row>
    <row r="6399" spans="1:4" x14ac:dyDescent="0.25">
      <c r="A6399" t="str">
        <f>IF(COUNTIF(B$1:B6399,B6399)=1,MAX(A$1:A6398)+1,"")</f>
        <v/>
      </c>
      <c r="B6399" s="11"/>
      <c r="C6399" s="11" t="str">
        <f>IF(COUNTIF(D$1:D6399,D6399)=1,MAX(C$1:C6398)+1,"")</f>
        <v/>
      </c>
      <c r="D6399" s="12"/>
    </row>
    <row r="6400" spans="1:4" x14ac:dyDescent="0.25">
      <c r="A6400" t="str">
        <f>IF(COUNTIF(B$1:B6400,B6400)=1,MAX(A$1:A6399)+1,"")</f>
        <v/>
      </c>
      <c r="B6400" s="11"/>
      <c r="C6400" s="11" t="str">
        <f>IF(COUNTIF(D$1:D6400,D6400)=1,MAX(C$1:C6399)+1,"")</f>
        <v/>
      </c>
      <c r="D6400" s="12"/>
    </row>
    <row r="6401" spans="1:4" x14ac:dyDescent="0.25">
      <c r="A6401" t="str">
        <f>IF(COUNTIF(B$1:B6401,B6401)=1,MAX(A$1:A6400)+1,"")</f>
        <v/>
      </c>
      <c r="B6401" s="11"/>
      <c r="C6401" s="11" t="str">
        <f>IF(COUNTIF(D$1:D6401,D6401)=1,MAX(C$1:C6400)+1,"")</f>
        <v/>
      </c>
      <c r="D6401" s="12"/>
    </row>
    <row r="6402" spans="1:4" x14ac:dyDescent="0.25">
      <c r="A6402" t="str">
        <f>IF(COUNTIF(B$1:B6402,B6402)=1,MAX(A$1:A6401)+1,"")</f>
        <v/>
      </c>
      <c r="B6402" s="11"/>
      <c r="C6402" s="11" t="str">
        <f>IF(COUNTIF(D$1:D6402,D6402)=1,MAX(C$1:C6401)+1,"")</f>
        <v/>
      </c>
      <c r="D6402" s="12"/>
    </row>
    <row r="6403" spans="1:4" x14ac:dyDescent="0.25">
      <c r="A6403" t="str">
        <f>IF(COUNTIF(B$1:B6403,B6403)=1,MAX(A$1:A6402)+1,"")</f>
        <v/>
      </c>
      <c r="B6403" s="11"/>
      <c r="C6403" s="11" t="str">
        <f>IF(COUNTIF(D$1:D6403,D6403)=1,MAX(C$1:C6402)+1,"")</f>
        <v/>
      </c>
      <c r="D6403" s="12"/>
    </row>
    <row r="6404" spans="1:4" x14ac:dyDescent="0.25">
      <c r="A6404" t="str">
        <f>IF(COUNTIF(B$1:B6404,B6404)=1,MAX(A$1:A6403)+1,"")</f>
        <v/>
      </c>
      <c r="B6404" s="11"/>
      <c r="C6404" s="11" t="str">
        <f>IF(COUNTIF(D$1:D6404,D6404)=1,MAX(C$1:C6403)+1,"")</f>
        <v/>
      </c>
      <c r="D6404" s="12"/>
    </row>
    <row r="6405" spans="1:4" x14ac:dyDescent="0.25">
      <c r="A6405" t="str">
        <f>IF(COUNTIF(B$1:B6405,B6405)=1,MAX(A$1:A6404)+1,"")</f>
        <v/>
      </c>
      <c r="B6405" s="11"/>
      <c r="C6405" s="11" t="str">
        <f>IF(COUNTIF(D$1:D6405,D6405)=1,MAX(C$1:C6404)+1,"")</f>
        <v/>
      </c>
      <c r="D6405" s="12"/>
    </row>
    <row r="6406" spans="1:4" x14ac:dyDescent="0.25">
      <c r="A6406" t="str">
        <f>IF(COUNTIF(B$1:B6406,B6406)=1,MAX(A$1:A6405)+1,"")</f>
        <v/>
      </c>
      <c r="B6406" s="11"/>
      <c r="C6406" s="11" t="str">
        <f>IF(COUNTIF(D$1:D6406,D6406)=1,MAX(C$1:C6405)+1,"")</f>
        <v/>
      </c>
      <c r="D6406" s="12"/>
    </row>
    <row r="6407" spans="1:4" x14ac:dyDescent="0.25">
      <c r="A6407" t="str">
        <f>IF(COUNTIF(B$1:B6407,B6407)=1,MAX(A$1:A6406)+1,"")</f>
        <v/>
      </c>
      <c r="B6407" s="11"/>
      <c r="C6407" s="11" t="str">
        <f>IF(COUNTIF(D$1:D6407,D6407)=1,MAX(C$1:C6406)+1,"")</f>
        <v/>
      </c>
      <c r="D6407" s="12"/>
    </row>
    <row r="6408" spans="1:4" x14ac:dyDescent="0.25">
      <c r="A6408" t="str">
        <f>IF(COUNTIF(B$1:B6408,B6408)=1,MAX(A$1:A6407)+1,"")</f>
        <v/>
      </c>
      <c r="B6408" s="11"/>
      <c r="C6408" s="11" t="str">
        <f>IF(COUNTIF(D$1:D6408,D6408)=1,MAX(C$1:C6407)+1,"")</f>
        <v/>
      </c>
      <c r="D6408" s="12"/>
    </row>
    <row r="6409" spans="1:4" x14ac:dyDescent="0.25">
      <c r="A6409" t="str">
        <f>IF(COUNTIF(B$1:B6409,B6409)=1,MAX(A$1:A6408)+1,"")</f>
        <v/>
      </c>
      <c r="B6409" s="11"/>
      <c r="C6409" s="11" t="str">
        <f>IF(COUNTIF(D$1:D6409,D6409)=1,MAX(C$1:C6408)+1,"")</f>
        <v/>
      </c>
      <c r="D6409" s="12"/>
    </row>
    <row r="6410" spans="1:4" x14ac:dyDescent="0.25">
      <c r="A6410" t="str">
        <f>IF(COUNTIF(B$1:B6410,B6410)=1,MAX(A$1:A6409)+1,"")</f>
        <v/>
      </c>
      <c r="B6410" s="11"/>
      <c r="C6410" s="11" t="str">
        <f>IF(COUNTIF(D$1:D6410,D6410)=1,MAX(C$1:C6409)+1,"")</f>
        <v/>
      </c>
      <c r="D6410" s="12"/>
    </row>
    <row r="6411" spans="1:4" x14ac:dyDescent="0.25">
      <c r="A6411" t="str">
        <f>IF(COUNTIF(B$1:B6411,B6411)=1,MAX(A$1:A6410)+1,"")</f>
        <v/>
      </c>
      <c r="B6411" s="11"/>
      <c r="C6411" s="11" t="str">
        <f>IF(COUNTIF(D$1:D6411,D6411)=1,MAX(C$1:C6410)+1,"")</f>
        <v/>
      </c>
      <c r="D6411" s="12"/>
    </row>
    <row r="6412" spans="1:4" x14ac:dyDescent="0.25">
      <c r="A6412" t="str">
        <f>IF(COUNTIF(B$1:B6412,B6412)=1,MAX(A$1:A6411)+1,"")</f>
        <v/>
      </c>
      <c r="B6412" s="11"/>
      <c r="C6412" s="11" t="str">
        <f>IF(COUNTIF(D$1:D6412,D6412)=1,MAX(C$1:C6411)+1,"")</f>
        <v/>
      </c>
      <c r="D6412" s="12"/>
    </row>
    <row r="6413" spans="1:4" x14ac:dyDescent="0.25">
      <c r="A6413" t="str">
        <f>IF(COUNTIF(B$1:B6413,B6413)=1,MAX(A$1:A6412)+1,"")</f>
        <v/>
      </c>
      <c r="B6413" s="11"/>
      <c r="C6413" s="11" t="str">
        <f>IF(COUNTIF(D$1:D6413,D6413)=1,MAX(C$1:C6412)+1,"")</f>
        <v/>
      </c>
      <c r="D6413" s="12"/>
    </row>
    <row r="6414" spans="1:4" x14ac:dyDescent="0.25">
      <c r="A6414" t="str">
        <f>IF(COUNTIF(B$1:B6414,B6414)=1,MAX(A$1:A6413)+1,"")</f>
        <v/>
      </c>
      <c r="B6414" s="11"/>
      <c r="C6414" s="11" t="str">
        <f>IF(COUNTIF(D$1:D6414,D6414)=1,MAX(C$1:C6413)+1,"")</f>
        <v/>
      </c>
      <c r="D6414" s="12"/>
    </row>
    <row r="6415" spans="1:4" x14ac:dyDescent="0.25">
      <c r="A6415" t="str">
        <f>IF(COUNTIF(B$1:B6415,B6415)=1,MAX(A$1:A6414)+1,"")</f>
        <v/>
      </c>
      <c r="B6415" s="11"/>
      <c r="C6415" s="11" t="str">
        <f>IF(COUNTIF(D$1:D6415,D6415)=1,MAX(C$1:C6414)+1,"")</f>
        <v/>
      </c>
      <c r="D6415" s="12"/>
    </row>
    <row r="6416" spans="1:4" x14ac:dyDescent="0.25">
      <c r="A6416" t="str">
        <f>IF(COUNTIF(B$1:B6416,B6416)=1,MAX(A$1:A6415)+1,"")</f>
        <v/>
      </c>
      <c r="B6416" s="11"/>
      <c r="C6416" s="11" t="str">
        <f>IF(COUNTIF(D$1:D6416,D6416)=1,MAX(C$1:C6415)+1,"")</f>
        <v/>
      </c>
      <c r="D6416" s="12"/>
    </row>
    <row r="6417" spans="1:4" x14ac:dyDescent="0.25">
      <c r="A6417" t="str">
        <f>IF(COUNTIF(B$1:B6417,B6417)=1,MAX(A$1:A6416)+1,"")</f>
        <v/>
      </c>
      <c r="B6417" s="11"/>
      <c r="C6417" s="11" t="str">
        <f>IF(COUNTIF(D$1:D6417,D6417)=1,MAX(C$1:C6416)+1,"")</f>
        <v/>
      </c>
      <c r="D6417" s="12"/>
    </row>
    <row r="6418" spans="1:4" x14ac:dyDescent="0.25">
      <c r="A6418" t="str">
        <f>IF(COUNTIF(B$1:B6418,B6418)=1,MAX(A$1:A6417)+1,"")</f>
        <v/>
      </c>
      <c r="B6418" s="11"/>
      <c r="C6418" s="11" t="str">
        <f>IF(COUNTIF(D$1:D6418,D6418)=1,MAX(C$1:C6417)+1,"")</f>
        <v/>
      </c>
      <c r="D6418" s="12"/>
    </row>
    <row r="6419" spans="1:4" x14ac:dyDescent="0.25">
      <c r="A6419" t="str">
        <f>IF(COUNTIF(B$1:B6419,B6419)=1,MAX(A$1:A6418)+1,"")</f>
        <v/>
      </c>
      <c r="B6419" s="11"/>
      <c r="C6419" s="11" t="str">
        <f>IF(COUNTIF(D$1:D6419,D6419)=1,MAX(C$1:C6418)+1,"")</f>
        <v/>
      </c>
      <c r="D6419" s="12"/>
    </row>
    <row r="6420" spans="1:4" x14ac:dyDescent="0.25">
      <c r="A6420" t="str">
        <f>IF(COUNTIF(B$1:B6420,B6420)=1,MAX(A$1:A6419)+1,"")</f>
        <v/>
      </c>
      <c r="B6420" s="11"/>
      <c r="C6420" s="11" t="str">
        <f>IF(COUNTIF(D$1:D6420,D6420)=1,MAX(C$1:C6419)+1,"")</f>
        <v/>
      </c>
      <c r="D6420" s="12"/>
    </row>
    <row r="6421" spans="1:4" x14ac:dyDescent="0.25">
      <c r="A6421" t="str">
        <f>IF(COUNTIF(B$1:B6421,B6421)=1,MAX(A$1:A6420)+1,"")</f>
        <v/>
      </c>
      <c r="B6421" s="11"/>
      <c r="C6421" s="11" t="str">
        <f>IF(COUNTIF(D$1:D6421,D6421)=1,MAX(C$1:C6420)+1,"")</f>
        <v/>
      </c>
      <c r="D6421" s="12"/>
    </row>
    <row r="6422" spans="1:4" x14ac:dyDescent="0.25">
      <c r="A6422" t="str">
        <f>IF(COUNTIF(B$1:B6422,B6422)=1,MAX(A$1:A6421)+1,"")</f>
        <v/>
      </c>
      <c r="B6422" s="11"/>
      <c r="C6422" s="11" t="str">
        <f>IF(COUNTIF(D$1:D6422,D6422)=1,MAX(C$1:C6421)+1,"")</f>
        <v/>
      </c>
      <c r="D6422" s="12"/>
    </row>
    <row r="6423" spans="1:4" x14ac:dyDescent="0.25">
      <c r="A6423" t="str">
        <f>IF(COUNTIF(B$1:B6423,B6423)=1,MAX(A$1:A6422)+1,"")</f>
        <v/>
      </c>
      <c r="B6423" s="11"/>
      <c r="C6423" s="11" t="str">
        <f>IF(COUNTIF(D$1:D6423,D6423)=1,MAX(C$1:C6422)+1,"")</f>
        <v/>
      </c>
      <c r="D6423" s="12"/>
    </row>
    <row r="6424" spans="1:4" x14ac:dyDescent="0.25">
      <c r="A6424" t="str">
        <f>IF(COUNTIF(B$1:B6424,B6424)=1,MAX(A$1:A6423)+1,"")</f>
        <v/>
      </c>
      <c r="B6424" s="11"/>
      <c r="C6424" s="11" t="str">
        <f>IF(COUNTIF(D$1:D6424,D6424)=1,MAX(C$1:C6423)+1,"")</f>
        <v/>
      </c>
      <c r="D6424" s="12"/>
    </row>
    <row r="6425" spans="1:4" x14ac:dyDescent="0.25">
      <c r="A6425" t="str">
        <f>IF(COUNTIF(B$1:B6425,B6425)=1,MAX(A$1:A6424)+1,"")</f>
        <v/>
      </c>
      <c r="B6425" s="11"/>
      <c r="C6425" s="11" t="str">
        <f>IF(COUNTIF(D$1:D6425,D6425)=1,MAX(C$1:C6424)+1,"")</f>
        <v/>
      </c>
      <c r="D6425" s="12"/>
    </row>
    <row r="6426" spans="1:4" x14ac:dyDescent="0.25">
      <c r="A6426" t="str">
        <f>IF(COUNTIF(B$1:B6426,B6426)=1,MAX(A$1:A6425)+1,"")</f>
        <v/>
      </c>
      <c r="B6426" s="11"/>
      <c r="C6426" s="11" t="str">
        <f>IF(COUNTIF(D$1:D6426,D6426)=1,MAX(C$1:C6425)+1,"")</f>
        <v/>
      </c>
      <c r="D6426" s="12"/>
    </row>
    <row r="6427" spans="1:4" x14ac:dyDescent="0.25">
      <c r="A6427" t="str">
        <f>IF(COUNTIF(B$1:B6427,B6427)=1,MAX(A$1:A6426)+1,"")</f>
        <v/>
      </c>
      <c r="B6427" s="11"/>
      <c r="C6427" s="11" t="str">
        <f>IF(COUNTIF(D$1:D6427,D6427)=1,MAX(C$1:C6426)+1,"")</f>
        <v/>
      </c>
      <c r="D6427" s="12"/>
    </row>
    <row r="6428" spans="1:4" x14ac:dyDescent="0.25">
      <c r="A6428" t="str">
        <f>IF(COUNTIF(B$1:B6428,B6428)=1,MAX(A$1:A6427)+1,"")</f>
        <v/>
      </c>
      <c r="B6428" s="11"/>
      <c r="C6428" s="11" t="str">
        <f>IF(COUNTIF(D$1:D6428,D6428)=1,MAX(C$1:C6427)+1,"")</f>
        <v/>
      </c>
      <c r="D6428" s="12"/>
    </row>
    <row r="6429" spans="1:4" x14ac:dyDescent="0.25">
      <c r="A6429" t="str">
        <f>IF(COUNTIF(B$1:B6429,B6429)=1,MAX(A$1:A6428)+1,"")</f>
        <v/>
      </c>
      <c r="B6429" s="11"/>
      <c r="C6429" s="11" t="str">
        <f>IF(COUNTIF(D$1:D6429,D6429)=1,MAX(C$1:C6428)+1,"")</f>
        <v/>
      </c>
      <c r="D6429" s="12"/>
    </row>
    <row r="6430" spans="1:4" x14ac:dyDescent="0.25">
      <c r="A6430" t="str">
        <f>IF(COUNTIF(B$1:B6430,B6430)=1,MAX(A$1:A6429)+1,"")</f>
        <v/>
      </c>
      <c r="B6430" s="11"/>
      <c r="C6430" s="11" t="str">
        <f>IF(COUNTIF(D$1:D6430,D6430)=1,MAX(C$1:C6429)+1,"")</f>
        <v/>
      </c>
      <c r="D6430" s="12"/>
    </row>
    <row r="6431" spans="1:4" x14ac:dyDescent="0.25">
      <c r="A6431" t="str">
        <f>IF(COUNTIF(B$1:B6431,B6431)=1,MAX(A$1:A6430)+1,"")</f>
        <v/>
      </c>
      <c r="B6431" s="11"/>
      <c r="C6431" s="11" t="str">
        <f>IF(COUNTIF(D$1:D6431,D6431)=1,MAX(C$1:C6430)+1,"")</f>
        <v/>
      </c>
      <c r="D6431" s="12"/>
    </row>
    <row r="6432" spans="1:4" x14ac:dyDescent="0.25">
      <c r="A6432" t="str">
        <f>IF(COUNTIF(B$1:B6432,B6432)=1,MAX(A$1:A6431)+1,"")</f>
        <v/>
      </c>
      <c r="B6432" s="11"/>
      <c r="C6432" s="11" t="str">
        <f>IF(COUNTIF(D$1:D6432,D6432)=1,MAX(C$1:C6431)+1,"")</f>
        <v/>
      </c>
      <c r="D6432" s="12"/>
    </row>
    <row r="6433" spans="1:4" x14ac:dyDescent="0.25">
      <c r="A6433" t="str">
        <f>IF(COUNTIF(B$1:B6433,B6433)=1,MAX(A$1:A6432)+1,"")</f>
        <v/>
      </c>
      <c r="B6433" s="11"/>
      <c r="C6433" s="11" t="str">
        <f>IF(COUNTIF(D$1:D6433,D6433)=1,MAX(C$1:C6432)+1,"")</f>
        <v/>
      </c>
      <c r="D6433" s="12"/>
    </row>
    <row r="6434" spans="1:4" x14ac:dyDescent="0.25">
      <c r="A6434" t="str">
        <f>IF(COUNTIF(B$1:B6434,B6434)=1,MAX(A$1:A6433)+1,"")</f>
        <v/>
      </c>
      <c r="B6434" s="11"/>
      <c r="C6434" s="11" t="str">
        <f>IF(COUNTIF(D$1:D6434,D6434)=1,MAX(C$1:C6433)+1,"")</f>
        <v/>
      </c>
      <c r="D6434" s="12"/>
    </row>
    <row r="6435" spans="1:4" x14ac:dyDescent="0.25">
      <c r="A6435" t="str">
        <f>IF(COUNTIF(B$1:B6435,B6435)=1,MAX(A$1:A6434)+1,"")</f>
        <v/>
      </c>
      <c r="B6435" s="11"/>
      <c r="C6435" s="11" t="str">
        <f>IF(COUNTIF(D$1:D6435,D6435)=1,MAX(C$1:C6434)+1,"")</f>
        <v/>
      </c>
      <c r="D6435" s="12"/>
    </row>
    <row r="6436" spans="1:4" x14ac:dyDescent="0.25">
      <c r="A6436" t="str">
        <f>IF(COUNTIF(B$1:B6436,B6436)=1,MAX(A$1:A6435)+1,"")</f>
        <v/>
      </c>
      <c r="B6436" s="11"/>
      <c r="C6436" s="11" t="str">
        <f>IF(COUNTIF(D$1:D6436,D6436)=1,MAX(C$1:C6435)+1,"")</f>
        <v/>
      </c>
      <c r="D6436" s="12"/>
    </row>
    <row r="6437" spans="1:4" x14ac:dyDescent="0.25">
      <c r="A6437" t="str">
        <f>IF(COUNTIF(B$1:B6437,B6437)=1,MAX(A$1:A6436)+1,"")</f>
        <v/>
      </c>
      <c r="B6437" s="11"/>
      <c r="C6437" s="11" t="str">
        <f>IF(COUNTIF(D$1:D6437,D6437)=1,MAX(C$1:C6436)+1,"")</f>
        <v/>
      </c>
      <c r="D6437" s="12"/>
    </row>
    <row r="6438" spans="1:4" x14ac:dyDescent="0.25">
      <c r="A6438" t="str">
        <f>IF(COUNTIF(B$1:B6438,B6438)=1,MAX(A$1:A6437)+1,"")</f>
        <v/>
      </c>
      <c r="B6438" s="11"/>
      <c r="C6438" s="11" t="str">
        <f>IF(COUNTIF(D$1:D6438,D6438)=1,MAX(C$1:C6437)+1,"")</f>
        <v/>
      </c>
      <c r="D6438" s="12"/>
    </row>
    <row r="6439" spans="1:4" x14ac:dyDescent="0.25">
      <c r="A6439" t="str">
        <f>IF(COUNTIF(B$1:B6439,B6439)=1,MAX(A$1:A6438)+1,"")</f>
        <v/>
      </c>
      <c r="B6439" s="11"/>
      <c r="C6439" s="11" t="str">
        <f>IF(COUNTIF(D$1:D6439,D6439)=1,MAX(C$1:C6438)+1,"")</f>
        <v/>
      </c>
      <c r="D6439" s="12"/>
    </row>
    <row r="6440" spans="1:4" x14ac:dyDescent="0.25">
      <c r="A6440" t="str">
        <f>IF(COUNTIF(B$1:B6440,B6440)=1,MAX(A$1:A6439)+1,"")</f>
        <v/>
      </c>
      <c r="B6440" s="11"/>
      <c r="C6440" s="11" t="str">
        <f>IF(COUNTIF(D$1:D6440,D6440)=1,MAX(C$1:C6439)+1,"")</f>
        <v/>
      </c>
      <c r="D6440" s="12"/>
    </row>
    <row r="6441" spans="1:4" x14ac:dyDescent="0.25">
      <c r="A6441" t="str">
        <f>IF(COUNTIF(B$1:B6441,B6441)=1,MAX(A$1:A6440)+1,"")</f>
        <v/>
      </c>
      <c r="B6441" s="11"/>
      <c r="C6441" s="11" t="str">
        <f>IF(COUNTIF(D$1:D6441,D6441)=1,MAX(C$1:C6440)+1,"")</f>
        <v/>
      </c>
      <c r="D6441" s="12"/>
    </row>
    <row r="6442" spans="1:4" x14ac:dyDescent="0.25">
      <c r="A6442" t="str">
        <f>IF(COUNTIF(B$1:B6442,B6442)=1,MAX(A$1:A6441)+1,"")</f>
        <v/>
      </c>
      <c r="B6442" s="11"/>
      <c r="C6442" s="11" t="str">
        <f>IF(COUNTIF(D$1:D6442,D6442)=1,MAX(C$1:C6441)+1,"")</f>
        <v/>
      </c>
      <c r="D6442" s="12"/>
    </row>
    <row r="6443" spans="1:4" x14ac:dyDescent="0.25">
      <c r="A6443" t="str">
        <f>IF(COUNTIF(B$1:B6443,B6443)=1,MAX(A$1:A6442)+1,"")</f>
        <v/>
      </c>
      <c r="B6443" s="11"/>
      <c r="C6443" s="11" t="str">
        <f>IF(COUNTIF(D$1:D6443,D6443)=1,MAX(C$1:C6442)+1,"")</f>
        <v/>
      </c>
      <c r="D6443" s="12"/>
    </row>
    <row r="6444" spans="1:4" x14ac:dyDescent="0.25">
      <c r="A6444" t="str">
        <f>IF(COUNTIF(B$1:B6444,B6444)=1,MAX(A$1:A6443)+1,"")</f>
        <v/>
      </c>
      <c r="B6444" s="11"/>
      <c r="C6444" s="11" t="str">
        <f>IF(COUNTIF(D$1:D6444,D6444)=1,MAX(C$1:C6443)+1,"")</f>
        <v/>
      </c>
      <c r="D6444" s="12"/>
    </row>
    <row r="6445" spans="1:4" x14ac:dyDescent="0.25">
      <c r="A6445" t="str">
        <f>IF(COUNTIF(B$1:B6445,B6445)=1,MAX(A$1:A6444)+1,"")</f>
        <v/>
      </c>
      <c r="B6445" s="11"/>
      <c r="C6445" s="11" t="str">
        <f>IF(COUNTIF(D$1:D6445,D6445)=1,MAX(C$1:C6444)+1,"")</f>
        <v/>
      </c>
      <c r="D6445" s="12"/>
    </row>
    <row r="6446" spans="1:4" x14ac:dyDescent="0.25">
      <c r="A6446" t="str">
        <f>IF(COUNTIF(B$1:B6446,B6446)=1,MAX(A$1:A6445)+1,"")</f>
        <v/>
      </c>
      <c r="B6446" s="11"/>
      <c r="C6446" s="11" t="str">
        <f>IF(COUNTIF(D$1:D6446,D6446)=1,MAX(C$1:C6445)+1,"")</f>
        <v/>
      </c>
      <c r="D6446" s="12"/>
    </row>
    <row r="6447" spans="1:4" x14ac:dyDescent="0.25">
      <c r="A6447" t="str">
        <f>IF(COUNTIF(B$1:B6447,B6447)=1,MAX(A$1:A6446)+1,"")</f>
        <v/>
      </c>
      <c r="B6447" s="11"/>
      <c r="C6447" s="11" t="str">
        <f>IF(COUNTIF(D$1:D6447,D6447)=1,MAX(C$1:C6446)+1,"")</f>
        <v/>
      </c>
      <c r="D6447" s="12"/>
    </row>
    <row r="6448" spans="1:4" x14ac:dyDescent="0.25">
      <c r="A6448" t="str">
        <f>IF(COUNTIF(B$1:B6448,B6448)=1,MAX(A$1:A6447)+1,"")</f>
        <v/>
      </c>
      <c r="B6448" s="11"/>
      <c r="C6448" s="11" t="str">
        <f>IF(COUNTIF(D$1:D6448,D6448)=1,MAX(C$1:C6447)+1,"")</f>
        <v/>
      </c>
      <c r="D6448" s="12"/>
    </row>
    <row r="6449" spans="1:4" x14ac:dyDescent="0.25">
      <c r="A6449" t="str">
        <f>IF(COUNTIF(B$1:B6449,B6449)=1,MAX(A$1:A6448)+1,"")</f>
        <v/>
      </c>
      <c r="B6449" s="11"/>
      <c r="C6449" s="11" t="str">
        <f>IF(COUNTIF(D$1:D6449,D6449)=1,MAX(C$1:C6448)+1,"")</f>
        <v/>
      </c>
      <c r="D6449" s="12"/>
    </row>
    <row r="6450" spans="1:4" x14ac:dyDescent="0.25">
      <c r="A6450" t="str">
        <f>IF(COUNTIF(B$1:B6450,B6450)=1,MAX(A$1:A6449)+1,"")</f>
        <v/>
      </c>
      <c r="B6450" s="11"/>
      <c r="C6450" s="11" t="str">
        <f>IF(COUNTIF(D$1:D6450,D6450)=1,MAX(C$1:C6449)+1,"")</f>
        <v/>
      </c>
      <c r="D6450" s="12"/>
    </row>
    <row r="6451" spans="1:4" x14ac:dyDescent="0.25">
      <c r="A6451" t="str">
        <f>IF(COUNTIF(B$1:B6451,B6451)=1,MAX(A$1:A6450)+1,"")</f>
        <v/>
      </c>
      <c r="B6451" s="11"/>
      <c r="C6451" s="11" t="str">
        <f>IF(COUNTIF(D$1:D6451,D6451)=1,MAX(C$1:C6450)+1,"")</f>
        <v/>
      </c>
      <c r="D6451" s="12"/>
    </row>
    <row r="6452" spans="1:4" x14ac:dyDescent="0.25">
      <c r="A6452" t="str">
        <f>IF(COUNTIF(B$1:B6452,B6452)=1,MAX(A$1:A6451)+1,"")</f>
        <v/>
      </c>
      <c r="B6452" s="11"/>
      <c r="C6452" s="11" t="str">
        <f>IF(COUNTIF(D$1:D6452,D6452)=1,MAX(C$1:C6451)+1,"")</f>
        <v/>
      </c>
      <c r="D6452" s="12"/>
    </row>
    <row r="6453" spans="1:4" x14ac:dyDescent="0.25">
      <c r="A6453" t="str">
        <f>IF(COUNTIF(B$1:B6453,B6453)=1,MAX(A$1:A6452)+1,"")</f>
        <v/>
      </c>
      <c r="B6453" s="11"/>
      <c r="C6453" s="11" t="str">
        <f>IF(COUNTIF(D$1:D6453,D6453)=1,MAX(C$1:C6452)+1,"")</f>
        <v/>
      </c>
      <c r="D6453" s="12"/>
    </row>
    <row r="6454" spans="1:4" x14ac:dyDescent="0.25">
      <c r="A6454" t="str">
        <f>IF(COUNTIF(B$1:B6454,B6454)=1,MAX(A$1:A6453)+1,"")</f>
        <v/>
      </c>
      <c r="B6454" s="11"/>
      <c r="C6454" s="11" t="str">
        <f>IF(COUNTIF(D$1:D6454,D6454)=1,MAX(C$1:C6453)+1,"")</f>
        <v/>
      </c>
      <c r="D6454" s="12"/>
    </row>
    <row r="6455" spans="1:4" x14ac:dyDescent="0.25">
      <c r="A6455" t="str">
        <f>IF(COUNTIF(B$1:B6455,B6455)=1,MAX(A$1:A6454)+1,"")</f>
        <v/>
      </c>
      <c r="B6455" s="11"/>
      <c r="C6455" s="11" t="str">
        <f>IF(COUNTIF(D$1:D6455,D6455)=1,MAX(C$1:C6454)+1,"")</f>
        <v/>
      </c>
      <c r="D6455" s="12"/>
    </row>
    <row r="6456" spans="1:4" x14ac:dyDescent="0.25">
      <c r="A6456" t="str">
        <f>IF(COUNTIF(B$1:B6456,B6456)=1,MAX(A$1:A6455)+1,"")</f>
        <v/>
      </c>
      <c r="B6456" s="11"/>
      <c r="C6456" s="11" t="str">
        <f>IF(COUNTIF(D$1:D6456,D6456)=1,MAX(C$1:C6455)+1,"")</f>
        <v/>
      </c>
      <c r="D6456" s="12"/>
    </row>
    <row r="6457" spans="1:4" x14ac:dyDescent="0.25">
      <c r="A6457" t="str">
        <f>IF(COUNTIF(B$1:B6457,B6457)=1,MAX(A$1:A6456)+1,"")</f>
        <v/>
      </c>
      <c r="B6457" s="11"/>
      <c r="C6457" s="11" t="str">
        <f>IF(COUNTIF(D$1:D6457,D6457)=1,MAX(C$1:C6456)+1,"")</f>
        <v/>
      </c>
      <c r="D6457" s="12"/>
    </row>
    <row r="6458" spans="1:4" x14ac:dyDescent="0.25">
      <c r="A6458" t="str">
        <f>IF(COUNTIF(B$1:B6458,B6458)=1,MAX(A$1:A6457)+1,"")</f>
        <v/>
      </c>
      <c r="B6458" s="11"/>
      <c r="C6458" s="11" t="str">
        <f>IF(COUNTIF(D$1:D6458,D6458)=1,MAX(C$1:C6457)+1,"")</f>
        <v/>
      </c>
      <c r="D6458" s="12"/>
    </row>
    <row r="6459" spans="1:4" x14ac:dyDescent="0.25">
      <c r="A6459" t="str">
        <f>IF(COUNTIF(B$1:B6459,B6459)=1,MAX(A$1:A6458)+1,"")</f>
        <v/>
      </c>
      <c r="B6459" s="11"/>
      <c r="C6459" s="11" t="str">
        <f>IF(COUNTIF(D$1:D6459,D6459)=1,MAX(C$1:C6458)+1,"")</f>
        <v/>
      </c>
      <c r="D6459" s="12"/>
    </row>
    <row r="6460" spans="1:4" x14ac:dyDescent="0.25">
      <c r="A6460" t="str">
        <f>IF(COUNTIF(B$1:B6460,B6460)=1,MAX(A$1:A6459)+1,"")</f>
        <v/>
      </c>
      <c r="B6460" s="11"/>
      <c r="C6460" s="11" t="str">
        <f>IF(COUNTIF(D$1:D6460,D6460)=1,MAX(C$1:C6459)+1,"")</f>
        <v/>
      </c>
      <c r="D6460" s="12"/>
    </row>
    <row r="6461" spans="1:4" x14ac:dyDescent="0.25">
      <c r="A6461" t="str">
        <f>IF(COUNTIF(B$1:B6461,B6461)=1,MAX(A$1:A6460)+1,"")</f>
        <v/>
      </c>
      <c r="B6461" s="11"/>
      <c r="C6461" s="11" t="str">
        <f>IF(COUNTIF(D$1:D6461,D6461)=1,MAX(C$1:C6460)+1,"")</f>
        <v/>
      </c>
      <c r="D6461" s="12"/>
    </row>
    <row r="6462" spans="1:4" x14ac:dyDescent="0.25">
      <c r="A6462" t="str">
        <f>IF(COUNTIF(B$1:B6462,B6462)=1,MAX(A$1:A6461)+1,"")</f>
        <v/>
      </c>
      <c r="B6462" s="11"/>
      <c r="C6462" s="11" t="str">
        <f>IF(COUNTIF(D$1:D6462,D6462)=1,MAX(C$1:C6461)+1,"")</f>
        <v/>
      </c>
      <c r="D6462" s="12"/>
    </row>
    <row r="6463" spans="1:4" x14ac:dyDescent="0.25">
      <c r="A6463" t="str">
        <f>IF(COUNTIF(B$1:B6463,B6463)=1,MAX(A$1:A6462)+1,"")</f>
        <v/>
      </c>
      <c r="B6463" s="11"/>
      <c r="C6463" s="11" t="str">
        <f>IF(COUNTIF(D$1:D6463,D6463)=1,MAX(C$1:C6462)+1,"")</f>
        <v/>
      </c>
      <c r="D6463" s="12"/>
    </row>
    <row r="6464" spans="1:4" x14ac:dyDescent="0.25">
      <c r="A6464" t="str">
        <f>IF(COUNTIF(B$1:B6464,B6464)=1,MAX(A$1:A6463)+1,"")</f>
        <v/>
      </c>
      <c r="B6464" s="11"/>
      <c r="C6464" s="11" t="str">
        <f>IF(COUNTIF(D$1:D6464,D6464)=1,MAX(C$1:C6463)+1,"")</f>
        <v/>
      </c>
      <c r="D6464" s="12"/>
    </row>
    <row r="6465" spans="1:4" x14ac:dyDescent="0.25">
      <c r="A6465" t="str">
        <f>IF(COUNTIF(B$1:B6465,B6465)=1,MAX(A$1:A6464)+1,"")</f>
        <v/>
      </c>
      <c r="B6465" s="11"/>
      <c r="C6465" s="11" t="str">
        <f>IF(COUNTIF(D$1:D6465,D6465)=1,MAX(C$1:C6464)+1,"")</f>
        <v/>
      </c>
      <c r="D6465" s="12"/>
    </row>
    <row r="6466" spans="1:4" x14ac:dyDescent="0.25">
      <c r="A6466" t="str">
        <f>IF(COUNTIF(B$1:B6466,B6466)=1,MAX(A$1:A6465)+1,"")</f>
        <v/>
      </c>
      <c r="B6466" s="11"/>
      <c r="C6466" s="11" t="str">
        <f>IF(COUNTIF(D$1:D6466,D6466)=1,MAX(C$1:C6465)+1,"")</f>
        <v/>
      </c>
      <c r="D6466" s="12"/>
    </row>
    <row r="6467" spans="1:4" x14ac:dyDescent="0.25">
      <c r="A6467" t="str">
        <f>IF(COUNTIF(B$1:B6467,B6467)=1,MAX(A$1:A6466)+1,"")</f>
        <v/>
      </c>
      <c r="B6467" s="11"/>
      <c r="C6467" s="11" t="str">
        <f>IF(COUNTIF(D$1:D6467,D6467)=1,MAX(C$1:C6466)+1,"")</f>
        <v/>
      </c>
      <c r="D6467" s="12"/>
    </row>
    <row r="6468" spans="1:4" x14ac:dyDescent="0.25">
      <c r="A6468" t="str">
        <f>IF(COUNTIF(B$1:B6468,B6468)=1,MAX(A$1:A6467)+1,"")</f>
        <v/>
      </c>
      <c r="B6468" s="11"/>
      <c r="C6468" s="11" t="str">
        <f>IF(COUNTIF(D$1:D6468,D6468)=1,MAX(C$1:C6467)+1,"")</f>
        <v/>
      </c>
      <c r="D6468" s="12"/>
    </row>
    <row r="6469" spans="1:4" x14ac:dyDescent="0.25">
      <c r="A6469" t="str">
        <f>IF(COUNTIF(B$1:B6469,B6469)=1,MAX(A$1:A6468)+1,"")</f>
        <v/>
      </c>
      <c r="B6469" s="11"/>
      <c r="C6469" s="11" t="str">
        <f>IF(COUNTIF(D$1:D6469,D6469)=1,MAX(C$1:C6468)+1,"")</f>
        <v/>
      </c>
      <c r="D6469" s="12"/>
    </row>
    <row r="6470" spans="1:4" x14ac:dyDescent="0.25">
      <c r="A6470" t="str">
        <f>IF(COUNTIF(B$1:B6470,B6470)=1,MAX(A$1:A6469)+1,"")</f>
        <v/>
      </c>
      <c r="B6470" s="11"/>
      <c r="C6470" s="11" t="str">
        <f>IF(COUNTIF(D$1:D6470,D6470)=1,MAX(C$1:C6469)+1,"")</f>
        <v/>
      </c>
      <c r="D6470" s="12"/>
    </row>
    <row r="6471" spans="1:4" x14ac:dyDescent="0.25">
      <c r="A6471" t="str">
        <f>IF(COUNTIF(B$1:B6471,B6471)=1,MAX(A$1:A6470)+1,"")</f>
        <v/>
      </c>
      <c r="B6471" s="11"/>
      <c r="C6471" s="11" t="str">
        <f>IF(COUNTIF(D$1:D6471,D6471)=1,MAX(C$1:C6470)+1,"")</f>
        <v/>
      </c>
      <c r="D6471" s="12"/>
    </row>
    <row r="6472" spans="1:4" x14ac:dyDescent="0.25">
      <c r="A6472" t="str">
        <f>IF(COUNTIF(B$1:B6472,B6472)=1,MAX(A$1:A6471)+1,"")</f>
        <v/>
      </c>
      <c r="B6472" s="11"/>
      <c r="C6472" s="11" t="str">
        <f>IF(COUNTIF(D$1:D6472,D6472)=1,MAX(C$1:C6471)+1,"")</f>
        <v/>
      </c>
      <c r="D6472" s="12"/>
    </row>
    <row r="6473" spans="1:4" x14ac:dyDescent="0.25">
      <c r="A6473" t="str">
        <f>IF(COUNTIF(B$1:B6473,B6473)=1,MAX(A$1:A6472)+1,"")</f>
        <v/>
      </c>
      <c r="B6473" s="11"/>
      <c r="C6473" s="11" t="str">
        <f>IF(COUNTIF(D$1:D6473,D6473)=1,MAX(C$1:C6472)+1,"")</f>
        <v/>
      </c>
      <c r="D6473" s="12"/>
    </row>
    <row r="6474" spans="1:4" x14ac:dyDescent="0.25">
      <c r="A6474" t="str">
        <f>IF(COUNTIF(B$1:B6474,B6474)=1,MAX(A$1:A6473)+1,"")</f>
        <v/>
      </c>
      <c r="B6474" s="11"/>
      <c r="C6474" s="11" t="str">
        <f>IF(COUNTIF(D$1:D6474,D6474)=1,MAX(C$1:C6473)+1,"")</f>
        <v/>
      </c>
      <c r="D6474" s="12"/>
    </row>
    <row r="6475" spans="1:4" x14ac:dyDescent="0.25">
      <c r="A6475" t="str">
        <f>IF(COUNTIF(B$1:B6475,B6475)=1,MAX(A$1:A6474)+1,"")</f>
        <v/>
      </c>
      <c r="B6475" s="11"/>
      <c r="C6475" s="11" t="str">
        <f>IF(COUNTIF(D$1:D6475,D6475)=1,MAX(C$1:C6474)+1,"")</f>
        <v/>
      </c>
      <c r="D6475" s="12"/>
    </row>
    <row r="6476" spans="1:4" x14ac:dyDescent="0.25">
      <c r="A6476" t="str">
        <f>IF(COUNTIF(B$1:B6476,B6476)=1,MAX(A$1:A6475)+1,"")</f>
        <v/>
      </c>
      <c r="B6476" s="11"/>
      <c r="C6476" s="11" t="str">
        <f>IF(COUNTIF(D$1:D6476,D6476)=1,MAX(C$1:C6475)+1,"")</f>
        <v/>
      </c>
      <c r="D6476" s="12"/>
    </row>
    <row r="6477" spans="1:4" x14ac:dyDescent="0.25">
      <c r="A6477" t="str">
        <f>IF(COUNTIF(B$1:B6477,B6477)=1,MAX(A$1:A6476)+1,"")</f>
        <v/>
      </c>
      <c r="B6477" s="11"/>
      <c r="C6477" s="11" t="str">
        <f>IF(COUNTIF(D$1:D6477,D6477)=1,MAX(C$1:C6476)+1,"")</f>
        <v/>
      </c>
      <c r="D6477" s="12"/>
    </row>
    <row r="6478" spans="1:4" x14ac:dyDescent="0.25">
      <c r="A6478" t="str">
        <f>IF(COUNTIF(B$1:B6478,B6478)=1,MAX(A$1:A6477)+1,"")</f>
        <v/>
      </c>
      <c r="B6478" s="11"/>
      <c r="C6478" s="11" t="str">
        <f>IF(COUNTIF(D$1:D6478,D6478)=1,MAX(C$1:C6477)+1,"")</f>
        <v/>
      </c>
      <c r="D6478" s="12"/>
    </row>
    <row r="6479" spans="1:4" x14ac:dyDescent="0.25">
      <c r="A6479" t="str">
        <f>IF(COUNTIF(B$1:B6479,B6479)=1,MAX(A$1:A6478)+1,"")</f>
        <v/>
      </c>
      <c r="B6479" s="11"/>
      <c r="C6479" s="11" t="str">
        <f>IF(COUNTIF(D$1:D6479,D6479)=1,MAX(C$1:C6478)+1,"")</f>
        <v/>
      </c>
      <c r="D6479" s="12"/>
    </row>
    <row r="6480" spans="1:4" x14ac:dyDescent="0.25">
      <c r="A6480" t="str">
        <f>IF(COUNTIF(B$1:B6480,B6480)=1,MAX(A$1:A6479)+1,"")</f>
        <v/>
      </c>
      <c r="B6480" s="11"/>
      <c r="C6480" s="11" t="str">
        <f>IF(COUNTIF(D$1:D6480,D6480)=1,MAX(C$1:C6479)+1,"")</f>
        <v/>
      </c>
      <c r="D6480" s="12"/>
    </row>
    <row r="6481" spans="1:4" x14ac:dyDescent="0.25">
      <c r="A6481" t="str">
        <f>IF(COUNTIF(B$1:B6481,B6481)=1,MAX(A$1:A6480)+1,"")</f>
        <v/>
      </c>
      <c r="B6481" s="11"/>
      <c r="C6481" s="11" t="str">
        <f>IF(COUNTIF(D$1:D6481,D6481)=1,MAX(C$1:C6480)+1,"")</f>
        <v/>
      </c>
      <c r="D6481" s="12"/>
    </row>
    <row r="6482" spans="1:4" x14ac:dyDescent="0.25">
      <c r="A6482" t="str">
        <f>IF(COUNTIF(B$1:B6482,B6482)=1,MAX(A$1:A6481)+1,"")</f>
        <v/>
      </c>
      <c r="B6482" s="11"/>
      <c r="C6482" s="11" t="str">
        <f>IF(COUNTIF(D$1:D6482,D6482)=1,MAX(C$1:C6481)+1,"")</f>
        <v/>
      </c>
      <c r="D6482" s="12"/>
    </row>
    <row r="6483" spans="1:4" x14ac:dyDescent="0.25">
      <c r="A6483" t="str">
        <f>IF(COUNTIF(B$1:B6483,B6483)=1,MAX(A$1:A6482)+1,"")</f>
        <v/>
      </c>
      <c r="B6483" s="11"/>
      <c r="C6483" s="11" t="str">
        <f>IF(COUNTIF(D$1:D6483,D6483)=1,MAX(C$1:C6482)+1,"")</f>
        <v/>
      </c>
      <c r="D6483" s="12"/>
    </row>
    <row r="6484" spans="1:4" x14ac:dyDescent="0.25">
      <c r="A6484" t="str">
        <f>IF(COUNTIF(B$1:B6484,B6484)=1,MAX(A$1:A6483)+1,"")</f>
        <v/>
      </c>
      <c r="B6484" s="11"/>
      <c r="C6484" s="11" t="str">
        <f>IF(COUNTIF(D$1:D6484,D6484)=1,MAX(C$1:C6483)+1,"")</f>
        <v/>
      </c>
      <c r="D6484" s="12"/>
    </row>
    <row r="6485" spans="1:4" x14ac:dyDescent="0.25">
      <c r="A6485" t="str">
        <f>IF(COUNTIF(B$1:B6485,B6485)=1,MAX(A$1:A6484)+1,"")</f>
        <v/>
      </c>
      <c r="B6485" s="11"/>
      <c r="C6485" s="11" t="str">
        <f>IF(COUNTIF(D$1:D6485,D6485)=1,MAX(C$1:C6484)+1,"")</f>
        <v/>
      </c>
      <c r="D6485" s="12"/>
    </row>
    <row r="6486" spans="1:4" x14ac:dyDescent="0.25">
      <c r="A6486" t="str">
        <f>IF(COUNTIF(B$1:B6486,B6486)=1,MAX(A$1:A6485)+1,"")</f>
        <v/>
      </c>
      <c r="B6486" s="11"/>
      <c r="C6486" s="11" t="str">
        <f>IF(COUNTIF(D$1:D6486,D6486)=1,MAX(C$1:C6485)+1,"")</f>
        <v/>
      </c>
      <c r="D6486" s="12"/>
    </row>
    <row r="6487" spans="1:4" x14ac:dyDescent="0.25">
      <c r="A6487" t="str">
        <f>IF(COUNTIF(B$1:B6487,B6487)=1,MAX(A$1:A6486)+1,"")</f>
        <v/>
      </c>
      <c r="B6487" s="11"/>
      <c r="C6487" s="11" t="str">
        <f>IF(COUNTIF(D$1:D6487,D6487)=1,MAX(C$1:C6486)+1,"")</f>
        <v/>
      </c>
      <c r="D6487" s="12"/>
    </row>
    <row r="6488" spans="1:4" x14ac:dyDescent="0.25">
      <c r="A6488" t="str">
        <f>IF(COUNTIF(B$1:B6488,B6488)=1,MAX(A$1:A6487)+1,"")</f>
        <v/>
      </c>
      <c r="B6488" s="11"/>
      <c r="C6488" s="11" t="str">
        <f>IF(COUNTIF(D$1:D6488,D6488)=1,MAX(C$1:C6487)+1,"")</f>
        <v/>
      </c>
      <c r="D6488" s="12"/>
    </row>
    <row r="6489" spans="1:4" x14ac:dyDescent="0.25">
      <c r="A6489" t="str">
        <f>IF(COUNTIF(B$1:B6489,B6489)=1,MAX(A$1:A6488)+1,"")</f>
        <v/>
      </c>
      <c r="B6489" s="11"/>
      <c r="C6489" s="11" t="str">
        <f>IF(COUNTIF(D$1:D6489,D6489)=1,MAX(C$1:C6488)+1,"")</f>
        <v/>
      </c>
      <c r="D6489" s="12"/>
    </row>
    <row r="6490" spans="1:4" x14ac:dyDescent="0.25">
      <c r="A6490" t="str">
        <f>IF(COUNTIF(B$1:B6490,B6490)=1,MAX(A$1:A6489)+1,"")</f>
        <v/>
      </c>
      <c r="B6490" s="11"/>
      <c r="C6490" s="11" t="str">
        <f>IF(COUNTIF(D$1:D6490,D6490)=1,MAX(C$1:C6489)+1,"")</f>
        <v/>
      </c>
      <c r="D6490" s="12"/>
    </row>
    <row r="6491" spans="1:4" x14ac:dyDescent="0.25">
      <c r="A6491" t="str">
        <f>IF(COUNTIF(B$1:B6491,B6491)=1,MAX(A$1:A6490)+1,"")</f>
        <v/>
      </c>
      <c r="B6491" s="11"/>
      <c r="C6491" s="11" t="str">
        <f>IF(COUNTIF(D$1:D6491,D6491)=1,MAX(C$1:C6490)+1,"")</f>
        <v/>
      </c>
      <c r="D6491" s="12"/>
    </row>
    <row r="6492" spans="1:4" x14ac:dyDescent="0.25">
      <c r="A6492" t="str">
        <f>IF(COUNTIF(B$1:B6492,B6492)=1,MAX(A$1:A6491)+1,"")</f>
        <v/>
      </c>
      <c r="B6492" s="11"/>
      <c r="C6492" s="11" t="str">
        <f>IF(COUNTIF(D$1:D6492,D6492)=1,MAX(C$1:C6491)+1,"")</f>
        <v/>
      </c>
      <c r="D6492" s="12"/>
    </row>
    <row r="6493" spans="1:4" x14ac:dyDescent="0.25">
      <c r="A6493" t="str">
        <f>IF(COUNTIF(B$1:B6493,B6493)=1,MAX(A$1:A6492)+1,"")</f>
        <v/>
      </c>
      <c r="B6493" s="11"/>
      <c r="C6493" s="11" t="str">
        <f>IF(COUNTIF(D$1:D6493,D6493)=1,MAX(C$1:C6492)+1,"")</f>
        <v/>
      </c>
      <c r="D6493" s="12"/>
    </row>
    <row r="6494" spans="1:4" x14ac:dyDescent="0.25">
      <c r="A6494" t="str">
        <f>IF(COUNTIF(B$1:B6494,B6494)=1,MAX(A$1:A6493)+1,"")</f>
        <v/>
      </c>
      <c r="B6494" s="11"/>
      <c r="C6494" s="11" t="str">
        <f>IF(COUNTIF(D$1:D6494,D6494)=1,MAX(C$1:C6493)+1,"")</f>
        <v/>
      </c>
      <c r="D6494" s="12"/>
    </row>
    <row r="6495" spans="1:4" x14ac:dyDescent="0.25">
      <c r="A6495" t="str">
        <f>IF(COUNTIF(B$1:B6495,B6495)=1,MAX(A$1:A6494)+1,"")</f>
        <v/>
      </c>
      <c r="B6495" s="11"/>
      <c r="C6495" s="11" t="str">
        <f>IF(COUNTIF(D$1:D6495,D6495)=1,MAX(C$1:C6494)+1,"")</f>
        <v/>
      </c>
      <c r="D6495" s="12"/>
    </row>
    <row r="6496" spans="1:4" x14ac:dyDescent="0.25">
      <c r="A6496" t="str">
        <f>IF(COUNTIF(B$1:B6496,B6496)=1,MAX(A$1:A6495)+1,"")</f>
        <v/>
      </c>
      <c r="B6496" s="11"/>
      <c r="C6496" s="11" t="str">
        <f>IF(COUNTIF(D$1:D6496,D6496)=1,MAX(C$1:C6495)+1,"")</f>
        <v/>
      </c>
      <c r="D6496" s="12"/>
    </row>
    <row r="6497" spans="1:4" x14ac:dyDescent="0.25">
      <c r="A6497" t="str">
        <f>IF(COUNTIF(B$1:B6497,B6497)=1,MAX(A$1:A6496)+1,"")</f>
        <v/>
      </c>
      <c r="B6497" s="11"/>
      <c r="C6497" s="11" t="str">
        <f>IF(COUNTIF(D$1:D6497,D6497)=1,MAX(C$1:C6496)+1,"")</f>
        <v/>
      </c>
      <c r="D6497" s="12"/>
    </row>
    <row r="6498" spans="1:4" x14ac:dyDescent="0.25">
      <c r="A6498" t="str">
        <f>IF(COUNTIF(B$1:B6498,B6498)=1,MAX(A$1:A6497)+1,"")</f>
        <v/>
      </c>
      <c r="B6498" s="11"/>
      <c r="C6498" s="11" t="str">
        <f>IF(COUNTIF(D$1:D6498,D6498)=1,MAX(C$1:C6497)+1,"")</f>
        <v/>
      </c>
      <c r="D6498" s="12"/>
    </row>
    <row r="6499" spans="1:4" x14ac:dyDescent="0.25">
      <c r="A6499" t="str">
        <f>IF(COUNTIF(B$1:B6499,B6499)=1,MAX(A$1:A6498)+1,"")</f>
        <v/>
      </c>
      <c r="B6499" s="11"/>
      <c r="C6499" s="11" t="str">
        <f>IF(COUNTIF(D$1:D6499,D6499)=1,MAX(C$1:C6498)+1,"")</f>
        <v/>
      </c>
      <c r="D6499" s="12"/>
    </row>
    <row r="6500" spans="1:4" x14ac:dyDescent="0.25">
      <c r="A6500" t="str">
        <f>IF(COUNTIF(B$1:B6500,B6500)=1,MAX(A$1:A6499)+1,"")</f>
        <v/>
      </c>
      <c r="B6500" s="11"/>
      <c r="C6500" s="11" t="str">
        <f>IF(COUNTIF(D$1:D6500,D6500)=1,MAX(C$1:C6499)+1,"")</f>
        <v/>
      </c>
      <c r="D6500" s="12"/>
    </row>
    <row r="6501" spans="1:4" x14ac:dyDescent="0.25">
      <c r="A6501" t="str">
        <f>IF(COUNTIF(B$1:B6501,B6501)=1,MAX(A$1:A6500)+1,"")</f>
        <v/>
      </c>
      <c r="B6501" s="11"/>
      <c r="C6501" s="11" t="str">
        <f>IF(COUNTIF(D$1:D6501,D6501)=1,MAX(C$1:C6500)+1,"")</f>
        <v/>
      </c>
      <c r="D6501" s="12"/>
    </row>
    <row r="6502" spans="1:4" x14ac:dyDescent="0.25">
      <c r="A6502" t="str">
        <f>IF(COUNTIF(B$1:B6502,B6502)=1,MAX(A$1:A6501)+1,"")</f>
        <v/>
      </c>
      <c r="B6502" s="11"/>
      <c r="C6502" s="11" t="str">
        <f>IF(COUNTIF(D$1:D6502,D6502)=1,MAX(C$1:C6501)+1,"")</f>
        <v/>
      </c>
      <c r="D6502" s="12"/>
    </row>
    <row r="6503" spans="1:4" x14ac:dyDescent="0.25">
      <c r="A6503" t="str">
        <f>IF(COUNTIF(B$1:B6503,B6503)=1,MAX(A$1:A6502)+1,"")</f>
        <v/>
      </c>
      <c r="B6503" s="11"/>
      <c r="C6503" s="11" t="str">
        <f>IF(COUNTIF(D$1:D6503,D6503)=1,MAX(C$1:C6502)+1,"")</f>
        <v/>
      </c>
      <c r="D6503" s="12"/>
    </row>
    <row r="6504" spans="1:4" x14ac:dyDescent="0.25">
      <c r="A6504" t="str">
        <f>IF(COUNTIF(B$1:B6504,B6504)=1,MAX(A$1:A6503)+1,"")</f>
        <v/>
      </c>
      <c r="B6504" s="11"/>
      <c r="C6504" s="11" t="str">
        <f>IF(COUNTIF(D$1:D6504,D6504)=1,MAX(C$1:C6503)+1,"")</f>
        <v/>
      </c>
      <c r="D6504" s="12"/>
    </row>
    <row r="6505" spans="1:4" x14ac:dyDescent="0.25">
      <c r="A6505" t="str">
        <f>IF(COUNTIF(B$1:B6505,B6505)=1,MAX(A$1:A6504)+1,"")</f>
        <v/>
      </c>
      <c r="B6505" s="11"/>
      <c r="C6505" s="11" t="str">
        <f>IF(COUNTIF(D$1:D6505,D6505)=1,MAX(C$1:C6504)+1,"")</f>
        <v/>
      </c>
      <c r="D6505" s="12"/>
    </row>
    <row r="6506" spans="1:4" x14ac:dyDescent="0.25">
      <c r="A6506" t="str">
        <f>IF(COUNTIF(B$1:B6506,B6506)=1,MAX(A$1:A6505)+1,"")</f>
        <v/>
      </c>
      <c r="B6506" s="11"/>
      <c r="C6506" s="11" t="str">
        <f>IF(COUNTIF(D$1:D6506,D6506)=1,MAX(C$1:C6505)+1,"")</f>
        <v/>
      </c>
      <c r="D6506" s="12"/>
    </row>
    <row r="6507" spans="1:4" x14ac:dyDescent="0.25">
      <c r="A6507" t="str">
        <f>IF(COUNTIF(B$1:B6507,B6507)=1,MAX(A$1:A6506)+1,"")</f>
        <v/>
      </c>
      <c r="B6507" s="11"/>
      <c r="C6507" s="11" t="str">
        <f>IF(COUNTIF(D$1:D6507,D6507)=1,MAX(C$1:C6506)+1,"")</f>
        <v/>
      </c>
      <c r="D6507" s="12"/>
    </row>
    <row r="6508" spans="1:4" x14ac:dyDescent="0.25">
      <c r="A6508" t="str">
        <f>IF(COUNTIF(B$1:B6508,B6508)=1,MAX(A$1:A6507)+1,"")</f>
        <v/>
      </c>
      <c r="B6508" s="11"/>
      <c r="C6508" s="11" t="str">
        <f>IF(COUNTIF(D$1:D6508,D6508)=1,MAX(C$1:C6507)+1,"")</f>
        <v/>
      </c>
      <c r="D6508" s="12"/>
    </row>
    <row r="6509" spans="1:4" x14ac:dyDescent="0.25">
      <c r="A6509" t="str">
        <f>IF(COUNTIF(B$1:B6509,B6509)=1,MAX(A$1:A6508)+1,"")</f>
        <v/>
      </c>
      <c r="B6509" s="11"/>
      <c r="C6509" s="11" t="str">
        <f>IF(COUNTIF(D$1:D6509,D6509)=1,MAX(C$1:C6508)+1,"")</f>
        <v/>
      </c>
      <c r="D6509" s="12"/>
    </row>
    <row r="6510" spans="1:4" x14ac:dyDescent="0.25">
      <c r="A6510" t="str">
        <f>IF(COUNTIF(B$1:B6510,B6510)=1,MAX(A$1:A6509)+1,"")</f>
        <v/>
      </c>
      <c r="B6510" s="11"/>
      <c r="C6510" s="11" t="str">
        <f>IF(COUNTIF(D$1:D6510,D6510)=1,MAX(C$1:C6509)+1,"")</f>
        <v/>
      </c>
      <c r="D6510" s="12"/>
    </row>
    <row r="6511" spans="1:4" x14ac:dyDescent="0.25">
      <c r="A6511" t="str">
        <f>IF(COUNTIF(B$1:B6511,B6511)=1,MAX(A$1:A6510)+1,"")</f>
        <v/>
      </c>
      <c r="B6511" s="11"/>
      <c r="C6511" s="11" t="str">
        <f>IF(COUNTIF(D$1:D6511,D6511)=1,MAX(C$1:C6510)+1,"")</f>
        <v/>
      </c>
      <c r="D6511" s="12"/>
    </row>
    <row r="6512" spans="1:4" x14ac:dyDescent="0.25">
      <c r="A6512" t="str">
        <f>IF(COUNTIF(B$1:B6512,B6512)=1,MAX(A$1:A6511)+1,"")</f>
        <v/>
      </c>
      <c r="B6512" s="11"/>
      <c r="C6512" s="11" t="str">
        <f>IF(COUNTIF(D$1:D6512,D6512)=1,MAX(C$1:C6511)+1,"")</f>
        <v/>
      </c>
      <c r="D6512" s="12"/>
    </row>
    <row r="6513" spans="1:4" x14ac:dyDescent="0.25">
      <c r="A6513" t="str">
        <f>IF(COUNTIF(B$1:B6513,B6513)=1,MAX(A$1:A6512)+1,"")</f>
        <v/>
      </c>
      <c r="B6513" s="11"/>
      <c r="C6513" s="11" t="str">
        <f>IF(COUNTIF(D$1:D6513,D6513)=1,MAX(C$1:C6512)+1,"")</f>
        <v/>
      </c>
      <c r="D6513" s="12"/>
    </row>
    <row r="6514" spans="1:4" x14ac:dyDescent="0.25">
      <c r="A6514" t="str">
        <f>IF(COUNTIF(B$1:B6514,B6514)=1,MAX(A$1:A6513)+1,"")</f>
        <v/>
      </c>
      <c r="B6514" s="11"/>
      <c r="C6514" s="11" t="str">
        <f>IF(COUNTIF(D$1:D6514,D6514)=1,MAX(C$1:C6513)+1,"")</f>
        <v/>
      </c>
      <c r="D6514" s="12"/>
    </row>
    <row r="6515" spans="1:4" x14ac:dyDescent="0.25">
      <c r="A6515" t="str">
        <f>IF(COUNTIF(B$1:B6515,B6515)=1,MAX(A$1:A6514)+1,"")</f>
        <v/>
      </c>
      <c r="B6515" s="11"/>
      <c r="C6515" s="11" t="str">
        <f>IF(COUNTIF(D$1:D6515,D6515)=1,MAX(C$1:C6514)+1,"")</f>
        <v/>
      </c>
      <c r="D6515" s="12"/>
    </row>
    <row r="6516" spans="1:4" x14ac:dyDescent="0.25">
      <c r="A6516" t="str">
        <f>IF(COUNTIF(B$1:B6516,B6516)=1,MAX(A$1:A6515)+1,"")</f>
        <v/>
      </c>
      <c r="B6516" s="11"/>
      <c r="C6516" s="11" t="str">
        <f>IF(COUNTIF(D$1:D6516,D6516)=1,MAX(C$1:C6515)+1,"")</f>
        <v/>
      </c>
      <c r="D6516" s="12"/>
    </row>
    <row r="6517" spans="1:4" x14ac:dyDescent="0.25">
      <c r="A6517" t="str">
        <f>IF(COUNTIF(B$1:B6517,B6517)=1,MAX(A$1:A6516)+1,"")</f>
        <v/>
      </c>
      <c r="B6517" s="11"/>
      <c r="C6517" s="11" t="str">
        <f>IF(COUNTIF(D$1:D6517,D6517)=1,MAX(C$1:C6516)+1,"")</f>
        <v/>
      </c>
      <c r="D6517" s="12"/>
    </row>
    <row r="6518" spans="1:4" x14ac:dyDescent="0.25">
      <c r="A6518" t="str">
        <f>IF(COUNTIF(B$1:B6518,B6518)=1,MAX(A$1:A6517)+1,"")</f>
        <v/>
      </c>
      <c r="B6518" s="11"/>
      <c r="C6518" s="11" t="str">
        <f>IF(COUNTIF(D$1:D6518,D6518)=1,MAX(C$1:C6517)+1,"")</f>
        <v/>
      </c>
      <c r="D6518" s="12"/>
    </row>
    <row r="6519" spans="1:4" x14ac:dyDescent="0.25">
      <c r="A6519" t="str">
        <f>IF(COUNTIF(B$1:B6519,B6519)=1,MAX(A$1:A6518)+1,"")</f>
        <v/>
      </c>
      <c r="B6519" s="11"/>
      <c r="C6519" s="11" t="str">
        <f>IF(COUNTIF(D$1:D6519,D6519)=1,MAX(C$1:C6518)+1,"")</f>
        <v/>
      </c>
      <c r="D6519" s="12"/>
    </row>
    <row r="6520" spans="1:4" x14ac:dyDescent="0.25">
      <c r="A6520" t="str">
        <f>IF(COUNTIF(B$1:B6520,B6520)=1,MAX(A$1:A6519)+1,"")</f>
        <v/>
      </c>
      <c r="B6520" s="11"/>
      <c r="C6520" s="11" t="str">
        <f>IF(COUNTIF(D$1:D6520,D6520)=1,MAX(C$1:C6519)+1,"")</f>
        <v/>
      </c>
      <c r="D6520" s="12"/>
    </row>
    <row r="6521" spans="1:4" x14ac:dyDescent="0.25">
      <c r="A6521" t="str">
        <f>IF(COUNTIF(B$1:B6521,B6521)=1,MAX(A$1:A6520)+1,"")</f>
        <v/>
      </c>
      <c r="B6521" s="11"/>
      <c r="C6521" s="11" t="str">
        <f>IF(COUNTIF(D$1:D6521,D6521)=1,MAX(C$1:C6520)+1,"")</f>
        <v/>
      </c>
      <c r="D6521" s="12"/>
    </row>
    <row r="6522" spans="1:4" x14ac:dyDescent="0.25">
      <c r="A6522" t="str">
        <f>IF(COUNTIF(B$1:B6522,B6522)=1,MAX(A$1:A6521)+1,"")</f>
        <v/>
      </c>
      <c r="B6522" s="11"/>
      <c r="C6522" s="11" t="str">
        <f>IF(COUNTIF(D$1:D6522,D6522)=1,MAX(C$1:C6521)+1,"")</f>
        <v/>
      </c>
      <c r="D6522" s="12"/>
    </row>
    <row r="6523" spans="1:4" x14ac:dyDescent="0.25">
      <c r="A6523" t="str">
        <f>IF(COUNTIF(B$1:B6523,B6523)=1,MAX(A$1:A6522)+1,"")</f>
        <v/>
      </c>
      <c r="B6523" s="11"/>
      <c r="C6523" s="11" t="str">
        <f>IF(COUNTIF(D$1:D6523,D6523)=1,MAX(C$1:C6522)+1,"")</f>
        <v/>
      </c>
      <c r="D6523" s="12"/>
    </row>
    <row r="6524" spans="1:4" x14ac:dyDescent="0.25">
      <c r="A6524" t="str">
        <f>IF(COUNTIF(B$1:B6524,B6524)=1,MAX(A$1:A6523)+1,"")</f>
        <v/>
      </c>
      <c r="B6524" s="11"/>
      <c r="C6524" s="11" t="str">
        <f>IF(COUNTIF(D$1:D6524,D6524)=1,MAX(C$1:C6523)+1,"")</f>
        <v/>
      </c>
      <c r="D6524" s="12"/>
    </row>
    <row r="6525" spans="1:4" x14ac:dyDescent="0.25">
      <c r="A6525" t="str">
        <f>IF(COUNTIF(B$1:B6525,B6525)=1,MAX(A$1:A6524)+1,"")</f>
        <v/>
      </c>
      <c r="B6525" s="11"/>
      <c r="C6525" s="11" t="str">
        <f>IF(COUNTIF(D$1:D6525,D6525)=1,MAX(C$1:C6524)+1,"")</f>
        <v/>
      </c>
      <c r="D6525" s="12"/>
    </row>
    <row r="6526" spans="1:4" x14ac:dyDescent="0.25">
      <c r="A6526" t="str">
        <f>IF(COUNTIF(B$1:B6526,B6526)=1,MAX(A$1:A6525)+1,"")</f>
        <v/>
      </c>
      <c r="B6526" s="11"/>
      <c r="C6526" s="11" t="str">
        <f>IF(COUNTIF(D$1:D6526,D6526)=1,MAX(C$1:C6525)+1,"")</f>
        <v/>
      </c>
      <c r="D6526" s="12"/>
    </row>
    <row r="6527" spans="1:4" x14ac:dyDescent="0.25">
      <c r="A6527" t="str">
        <f>IF(COUNTIF(B$1:B6527,B6527)=1,MAX(A$1:A6526)+1,"")</f>
        <v/>
      </c>
      <c r="B6527" s="11"/>
      <c r="C6527" s="11" t="str">
        <f>IF(COUNTIF(D$1:D6527,D6527)=1,MAX(C$1:C6526)+1,"")</f>
        <v/>
      </c>
      <c r="D6527" s="12"/>
    </row>
    <row r="6528" spans="1:4" x14ac:dyDescent="0.25">
      <c r="A6528" t="str">
        <f>IF(COUNTIF(B$1:B6528,B6528)=1,MAX(A$1:A6527)+1,"")</f>
        <v/>
      </c>
      <c r="B6528" s="11"/>
      <c r="C6528" s="11" t="str">
        <f>IF(COUNTIF(D$1:D6528,D6528)=1,MAX(C$1:C6527)+1,"")</f>
        <v/>
      </c>
      <c r="D6528" s="12"/>
    </row>
    <row r="6529" spans="1:4" x14ac:dyDescent="0.25">
      <c r="A6529" t="str">
        <f>IF(COUNTIF(B$1:B6529,B6529)=1,MAX(A$1:A6528)+1,"")</f>
        <v/>
      </c>
      <c r="B6529" s="11"/>
      <c r="C6529" s="11" t="str">
        <f>IF(COUNTIF(D$1:D6529,D6529)=1,MAX(C$1:C6528)+1,"")</f>
        <v/>
      </c>
      <c r="D6529" s="12"/>
    </row>
    <row r="6530" spans="1:4" x14ac:dyDescent="0.25">
      <c r="A6530" t="str">
        <f>IF(COUNTIF(B$1:B6530,B6530)=1,MAX(A$1:A6529)+1,"")</f>
        <v/>
      </c>
      <c r="B6530" s="11"/>
      <c r="C6530" s="11" t="str">
        <f>IF(COUNTIF(D$1:D6530,D6530)=1,MAX(C$1:C6529)+1,"")</f>
        <v/>
      </c>
      <c r="D6530" s="12"/>
    </row>
    <row r="6531" spans="1:4" x14ac:dyDescent="0.25">
      <c r="A6531" t="str">
        <f>IF(COUNTIF(B$1:B6531,B6531)=1,MAX(A$1:A6530)+1,"")</f>
        <v/>
      </c>
      <c r="B6531" s="11"/>
      <c r="C6531" s="11" t="str">
        <f>IF(COUNTIF(D$1:D6531,D6531)=1,MAX(C$1:C6530)+1,"")</f>
        <v/>
      </c>
      <c r="D6531" s="12"/>
    </row>
    <row r="6532" spans="1:4" x14ac:dyDescent="0.25">
      <c r="A6532" t="str">
        <f>IF(COUNTIF(B$1:B6532,B6532)=1,MAX(A$1:A6531)+1,"")</f>
        <v/>
      </c>
      <c r="B6532" s="11"/>
      <c r="C6532" s="11" t="str">
        <f>IF(COUNTIF(D$1:D6532,D6532)=1,MAX(C$1:C6531)+1,"")</f>
        <v/>
      </c>
      <c r="D6532" s="12"/>
    </row>
    <row r="6533" spans="1:4" x14ac:dyDescent="0.25">
      <c r="A6533" t="str">
        <f>IF(COUNTIF(B$1:B6533,B6533)=1,MAX(A$1:A6532)+1,"")</f>
        <v/>
      </c>
      <c r="B6533" s="11"/>
      <c r="C6533" s="11" t="str">
        <f>IF(COUNTIF(D$1:D6533,D6533)=1,MAX(C$1:C6532)+1,"")</f>
        <v/>
      </c>
      <c r="D6533" s="12"/>
    </row>
    <row r="6534" spans="1:4" x14ac:dyDescent="0.25">
      <c r="A6534" t="str">
        <f>IF(COUNTIF(B$1:B6534,B6534)=1,MAX(A$1:A6533)+1,"")</f>
        <v/>
      </c>
      <c r="B6534" s="11"/>
      <c r="C6534" s="11" t="str">
        <f>IF(COUNTIF(D$1:D6534,D6534)=1,MAX(C$1:C6533)+1,"")</f>
        <v/>
      </c>
      <c r="D6534" s="12"/>
    </row>
    <row r="6535" spans="1:4" x14ac:dyDescent="0.25">
      <c r="A6535" t="str">
        <f>IF(COUNTIF(B$1:B6535,B6535)=1,MAX(A$1:A6534)+1,"")</f>
        <v/>
      </c>
      <c r="B6535" s="11"/>
      <c r="C6535" s="11" t="str">
        <f>IF(COUNTIF(D$1:D6535,D6535)=1,MAX(C$1:C6534)+1,"")</f>
        <v/>
      </c>
      <c r="D6535" s="12"/>
    </row>
    <row r="6536" spans="1:4" x14ac:dyDescent="0.25">
      <c r="A6536" t="str">
        <f>IF(COUNTIF(B$1:B6536,B6536)=1,MAX(A$1:A6535)+1,"")</f>
        <v/>
      </c>
      <c r="B6536" s="11"/>
      <c r="C6536" s="11" t="str">
        <f>IF(COUNTIF(D$1:D6536,D6536)=1,MAX(C$1:C6535)+1,"")</f>
        <v/>
      </c>
      <c r="D6536" s="12"/>
    </row>
    <row r="6537" spans="1:4" x14ac:dyDescent="0.25">
      <c r="A6537" t="str">
        <f>IF(COUNTIF(B$1:B6537,B6537)=1,MAX(A$1:A6536)+1,"")</f>
        <v/>
      </c>
      <c r="B6537" s="11"/>
      <c r="C6537" s="11" t="str">
        <f>IF(COUNTIF(D$1:D6537,D6537)=1,MAX(C$1:C6536)+1,"")</f>
        <v/>
      </c>
      <c r="D6537" s="12"/>
    </row>
    <row r="6538" spans="1:4" x14ac:dyDescent="0.25">
      <c r="A6538" t="str">
        <f>IF(COUNTIF(B$1:B6538,B6538)=1,MAX(A$1:A6537)+1,"")</f>
        <v/>
      </c>
      <c r="B6538" s="11"/>
      <c r="C6538" s="11" t="str">
        <f>IF(COUNTIF(D$1:D6538,D6538)=1,MAX(C$1:C6537)+1,"")</f>
        <v/>
      </c>
      <c r="D6538" s="12"/>
    </row>
    <row r="6539" spans="1:4" x14ac:dyDescent="0.25">
      <c r="A6539" t="str">
        <f>IF(COUNTIF(B$1:B6539,B6539)=1,MAX(A$1:A6538)+1,"")</f>
        <v/>
      </c>
      <c r="B6539" s="11"/>
      <c r="C6539" s="11" t="str">
        <f>IF(COUNTIF(D$1:D6539,D6539)=1,MAX(C$1:C6538)+1,"")</f>
        <v/>
      </c>
      <c r="D6539" s="12"/>
    </row>
    <row r="6540" spans="1:4" x14ac:dyDescent="0.25">
      <c r="A6540" t="str">
        <f>IF(COUNTIF(B$1:B6540,B6540)=1,MAX(A$1:A6539)+1,"")</f>
        <v/>
      </c>
      <c r="B6540" s="11"/>
      <c r="C6540" s="11" t="str">
        <f>IF(COUNTIF(D$1:D6540,D6540)=1,MAX(C$1:C6539)+1,"")</f>
        <v/>
      </c>
      <c r="D6540" s="12"/>
    </row>
    <row r="6541" spans="1:4" x14ac:dyDescent="0.25">
      <c r="A6541" t="str">
        <f>IF(COUNTIF(B$1:B6541,B6541)=1,MAX(A$1:A6540)+1,"")</f>
        <v/>
      </c>
      <c r="B6541" s="11"/>
      <c r="C6541" s="11" t="str">
        <f>IF(COUNTIF(D$1:D6541,D6541)=1,MAX(C$1:C6540)+1,"")</f>
        <v/>
      </c>
      <c r="D6541" s="12"/>
    </row>
    <row r="6542" spans="1:4" x14ac:dyDescent="0.25">
      <c r="A6542" t="str">
        <f>IF(COUNTIF(B$1:B6542,B6542)=1,MAX(A$1:A6541)+1,"")</f>
        <v/>
      </c>
      <c r="B6542" s="11"/>
      <c r="C6542" s="11" t="str">
        <f>IF(COUNTIF(D$1:D6542,D6542)=1,MAX(C$1:C6541)+1,"")</f>
        <v/>
      </c>
      <c r="D6542" s="12"/>
    </row>
    <row r="6543" spans="1:4" x14ac:dyDescent="0.25">
      <c r="A6543" t="str">
        <f>IF(COUNTIF(B$1:B6543,B6543)=1,MAX(A$1:A6542)+1,"")</f>
        <v/>
      </c>
      <c r="B6543" s="11"/>
      <c r="C6543" s="11" t="str">
        <f>IF(COUNTIF(D$1:D6543,D6543)=1,MAX(C$1:C6542)+1,"")</f>
        <v/>
      </c>
      <c r="D6543" s="12"/>
    </row>
    <row r="6544" spans="1:4" x14ac:dyDescent="0.25">
      <c r="A6544" t="str">
        <f>IF(COUNTIF(B$1:B6544,B6544)=1,MAX(A$1:A6543)+1,"")</f>
        <v/>
      </c>
      <c r="B6544" s="11"/>
      <c r="C6544" s="11" t="str">
        <f>IF(COUNTIF(D$1:D6544,D6544)=1,MAX(C$1:C6543)+1,"")</f>
        <v/>
      </c>
      <c r="D6544" s="12"/>
    </row>
    <row r="6545" spans="1:4" x14ac:dyDescent="0.25">
      <c r="A6545" t="str">
        <f>IF(COUNTIF(B$1:B6545,B6545)=1,MAX(A$1:A6544)+1,"")</f>
        <v/>
      </c>
      <c r="B6545" s="11"/>
      <c r="C6545" s="11" t="str">
        <f>IF(COUNTIF(D$1:D6545,D6545)=1,MAX(C$1:C6544)+1,"")</f>
        <v/>
      </c>
      <c r="D6545" s="12"/>
    </row>
    <row r="6546" spans="1:4" x14ac:dyDescent="0.25">
      <c r="A6546" t="str">
        <f>IF(COUNTIF(B$1:B6546,B6546)=1,MAX(A$1:A6545)+1,"")</f>
        <v/>
      </c>
      <c r="B6546" s="11"/>
      <c r="C6546" s="11" t="str">
        <f>IF(COUNTIF(D$1:D6546,D6546)=1,MAX(C$1:C6545)+1,"")</f>
        <v/>
      </c>
      <c r="D6546" s="12"/>
    </row>
    <row r="6547" spans="1:4" x14ac:dyDescent="0.25">
      <c r="A6547" t="str">
        <f>IF(COUNTIF(B$1:B6547,B6547)=1,MAX(A$1:A6546)+1,"")</f>
        <v/>
      </c>
      <c r="B6547" s="11"/>
      <c r="C6547" s="11" t="str">
        <f>IF(COUNTIF(D$1:D6547,D6547)=1,MAX(C$1:C6546)+1,"")</f>
        <v/>
      </c>
      <c r="D6547" s="12"/>
    </row>
    <row r="6548" spans="1:4" x14ac:dyDescent="0.25">
      <c r="A6548" t="str">
        <f>IF(COUNTIF(B$1:B6548,B6548)=1,MAX(A$1:A6547)+1,"")</f>
        <v/>
      </c>
      <c r="B6548" s="11"/>
      <c r="C6548" s="11" t="str">
        <f>IF(COUNTIF(D$1:D6548,D6548)=1,MAX(C$1:C6547)+1,"")</f>
        <v/>
      </c>
      <c r="D6548" s="12"/>
    </row>
    <row r="6549" spans="1:4" x14ac:dyDescent="0.25">
      <c r="A6549" t="str">
        <f>IF(COUNTIF(B$1:B6549,B6549)=1,MAX(A$1:A6548)+1,"")</f>
        <v/>
      </c>
      <c r="B6549" s="11"/>
      <c r="C6549" s="11" t="str">
        <f>IF(COUNTIF(D$1:D6549,D6549)=1,MAX(C$1:C6548)+1,"")</f>
        <v/>
      </c>
      <c r="D6549" s="12"/>
    </row>
    <row r="6550" spans="1:4" x14ac:dyDescent="0.25">
      <c r="A6550" t="str">
        <f>IF(COUNTIF(B$1:B6550,B6550)=1,MAX(A$1:A6549)+1,"")</f>
        <v/>
      </c>
      <c r="B6550" s="11"/>
      <c r="C6550" s="11" t="str">
        <f>IF(COUNTIF(D$1:D6550,D6550)=1,MAX(C$1:C6549)+1,"")</f>
        <v/>
      </c>
      <c r="D6550" s="12"/>
    </row>
    <row r="6551" spans="1:4" x14ac:dyDescent="0.25">
      <c r="A6551" t="str">
        <f>IF(COUNTIF(B$1:B6551,B6551)=1,MAX(A$1:A6550)+1,"")</f>
        <v/>
      </c>
      <c r="B6551" s="11"/>
      <c r="C6551" s="11" t="str">
        <f>IF(COUNTIF(D$1:D6551,D6551)=1,MAX(C$1:C6550)+1,"")</f>
        <v/>
      </c>
      <c r="D6551" s="12"/>
    </row>
    <row r="6552" spans="1:4" x14ac:dyDescent="0.25">
      <c r="A6552" t="str">
        <f>IF(COUNTIF(B$1:B6552,B6552)=1,MAX(A$1:A6551)+1,"")</f>
        <v/>
      </c>
      <c r="B6552" s="11"/>
      <c r="C6552" s="11" t="str">
        <f>IF(COUNTIF(D$1:D6552,D6552)=1,MAX(C$1:C6551)+1,"")</f>
        <v/>
      </c>
      <c r="D6552" s="12"/>
    </row>
    <row r="6553" spans="1:4" x14ac:dyDescent="0.25">
      <c r="A6553" t="str">
        <f>IF(COUNTIF(B$1:B6553,B6553)=1,MAX(A$1:A6552)+1,"")</f>
        <v/>
      </c>
      <c r="B6553" s="11"/>
      <c r="C6553" s="11" t="str">
        <f>IF(COUNTIF(D$1:D6553,D6553)=1,MAX(C$1:C6552)+1,"")</f>
        <v/>
      </c>
      <c r="D6553" s="12"/>
    </row>
    <row r="6554" spans="1:4" x14ac:dyDescent="0.25">
      <c r="A6554" t="str">
        <f>IF(COUNTIF(B$1:B6554,B6554)=1,MAX(A$1:A6553)+1,"")</f>
        <v/>
      </c>
      <c r="B6554" s="11"/>
      <c r="C6554" s="11" t="str">
        <f>IF(COUNTIF(D$1:D6554,D6554)=1,MAX(C$1:C6553)+1,"")</f>
        <v/>
      </c>
      <c r="D6554" s="12"/>
    </row>
    <row r="6555" spans="1:4" x14ac:dyDescent="0.25">
      <c r="A6555" t="str">
        <f>IF(COUNTIF(B$1:B6555,B6555)=1,MAX(A$1:A6554)+1,"")</f>
        <v/>
      </c>
      <c r="B6555" s="11"/>
      <c r="C6555" s="11" t="str">
        <f>IF(COUNTIF(D$1:D6555,D6555)=1,MAX(C$1:C6554)+1,"")</f>
        <v/>
      </c>
      <c r="D6555" s="12"/>
    </row>
    <row r="6556" spans="1:4" x14ac:dyDescent="0.25">
      <c r="A6556" t="str">
        <f>IF(COUNTIF(B$1:B6556,B6556)=1,MAX(A$1:A6555)+1,"")</f>
        <v/>
      </c>
      <c r="B6556" s="11"/>
      <c r="C6556" s="11" t="str">
        <f>IF(COUNTIF(D$1:D6556,D6556)=1,MAX(C$1:C6555)+1,"")</f>
        <v/>
      </c>
      <c r="D6556" s="12"/>
    </row>
    <row r="6557" spans="1:4" x14ac:dyDescent="0.25">
      <c r="A6557" t="str">
        <f>IF(COUNTIF(B$1:B6557,B6557)=1,MAX(A$1:A6556)+1,"")</f>
        <v/>
      </c>
      <c r="B6557" s="11"/>
      <c r="C6557" s="11" t="str">
        <f>IF(COUNTIF(D$1:D6557,D6557)=1,MAX(C$1:C6556)+1,"")</f>
        <v/>
      </c>
      <c r="D6557" s="12"/>
    </row>
    <row r="6558" spans="1:4" x14ac:dyDescent="0.25">
      <c r="A6558" t="str">
        <f>IF(COUNTIF(B$1:B6558,B6558)=1,MAX(A$1:A6557)+1,"")</f>
        <v/>
      </c>
      <c r="B6558" s="11"/>
      <c r="C6558" s="11" t="str">
        <f>IF(COUNTIF(D$1:D6558,D6558)=1,MAX(C$1:C6557)+1,"")</f>
        <v/>
      </c>
      <c r="D6558" s="12"/>
    </row>
    <row r="6559" spans="1:4" x14ac:dyDescent="0.25">
      <c r="A6559" t="str">
        <f>IF(COUNTIF(B$1:B6559,B6559)=1,MAX(A$1:A6558)+1,"")</f>
        <v/>
      </c>
      <c r="B6559" s="11"/>
      <c r="C6559" s="11" t="str">
        <f>IF(COUNTIF(D$1:D6559,D6559)=1,MAX(C$1:C6558)+1,"")</f>
        <v/>
      </c>
      <c r="D6559" s="12"/>
    </row>
    <row r="6560" spans="1:4" x14ac:dyDescent="0.25">
      <c r="A6560" t="str">
        <f>IF(COUNTIF(B$1:B6560,B6560)=1,MAX(A$1:A6559)+1,"")</f>
        <v/>
      </c>
      <c r="B6560" s="11"/>
      <c r="C6560" s="11" t="str">
        <f>IF(COUNTIF(D$1:D6560,D6560)=1,MAX(C$1:C6559)+1,"")</f>
        <v/>
      </c>
      <c r="D6560" s="12"/>
    </row>
    <row r="6561" spans="1:4" x14ac:dyDescent="0.25">
      <c r="A6561" t="str">
        <f>IF(COUNTIF(B$1:B6561,B6561)=1,MAX(A$1:A6560)+1,"")</f>
        <v/>
      </c>
      <c r="B6561" s="11"/>
      <c r="C6561" s="11" t="str">
        <f>IF(COUNTIF(D$1:D6561,D6561)=1,MAX(C$1:C6560)+1,"")</f>
        <v/>
      </c>
      <c r="D6561" s="12"/>
    </row>
    <row r="6562" spans="1:4" x14ac:dyDescent="0.25">
      <c r="A6562" t="str">
        <f>IF(COUNTIF(B$1:B6562,B6562)=1,MAX(A$1:A6561)+1,"")</f>
        <v/>
      </c>
      <c r="B6562" s="11"/>
      <c r="C6562" s="11" t="str">
        <f>IF(COUNTIF(D$1:D6562,D6562)=1,MAX(C$1:C6561)+1,"")</f>
        <v/>
      </c>
      <c r="D6562" s="12"/>
    </row>
    <row r="6563" spans="1:4" x14ac:dyDescent="0.25">
      <c r="A6563" t="str">
        <f>IF(COUNTIF(B$1:B6563,B6563)=1,MAX(A$1:A6562)+1,"")</f>
        <v/>
      </c>
      <c r="B6563" s="11"/>
      <c r="C6563" s="11" t="str">
        <f>IF(COUNTIF(D$1:D6563,D6563)=1,MAX(C$1:C6562)+1,"")</f>
        <v/>
      </c>
      <c r="D6563" s="12"/>
    </row>
    <row r="6564" spans="1:4" x14ac:dyDescent="0.25">
      <c r="A6564" t="str">
        <f>IF(COUNTIF(B$1:B6564,B6564)=1,MAX(A$1:A6563)+1,"")</f>
        <v/>
      </c>
      <c r="B6564" s="11"/>
      <c r="C6564" s="11" t="str">
        <f>IF(COUNTIF(D$1:D6564,D6564)=1,MAX(C$1:C6563)+1,"")</f>
        <v/>
      </c>
      <c r="D6564" s="12"/>
    </row>
    <row r="6565" spans="1:4" x14ac:dyDescent="0.25">
      <c r="A6565" t="str">
        <f>IF(COUNTIF(B$1:B6565,B6565)=1,MAX(A$1:A6564)+1,"")</f>
        <v/>
      </c>
      <c r="B6565" s="11"/>
      <c r="C6565" s="11" t="str">
        <f>IF(COUNTIF(D$1:D6565,D6565)=1,MAX(C$1:C6564)+1,"")</f>
        <v/>
      </c>
      <c r="D6565" s="12"/>
    </row>
    <row r="6566" spans="1:4" x14ac:dyDescent="0.25">
      <c r="A6566" t="str">
        <f>IF(COUNTIF(B$1:B6566,B6566)=1,MAX(A$1:A6565)+1,"")</f>
        <v/>
      </c>
      <c r="B6566" s="11"/>
      <c r="C6566" s="11" t="str">
        <f>IF(COUNTIF(D$1:D6566,D6566)=1,MAX(C$1:C6565)+1,"")</f>
        <v/>
      </c>
      <c r="D6566" s="12"/>
    </row>
    <row r="6567" spans="1:4" x14ac:dyDescent="0.25">
      <c r="A6567" t="str">
        <f>IF(COUNTIF(B$1:B6567,B6567)=1,MAX(A$1:A6566)+1,"")</f>
        <v/>
      </c>
      <c r="B6567" s="11"/>
      <c r="C6567" s="11" t="str">
        <f>IF(COUNTIF(D$1:D6567,D6567)=1,MAX(C$1:C6566)+1,"")</f>
        <v/>
      </c>
      <c r="D6567" s="12"/>
    </row>
    <row r="6568" spans="1:4" x14ac:dyDescent="0.25">
      <c r="A6568" t="str">
        <f>IF(COUNTIF(B$1:B6568,B6568)=1,MAX(A$1:A6567)+1,"")</f>
        <v/>
      </c>
      <c r="B6568" s="11"/>
      <c r="C6568" s="11" t="str">
        <f>IF(COUNTIF(D$1:D6568,D6568)=1,MAX(C$1:C6567)+1,"")</f>
        <v/>
      </c>
      <c r="D6568" s="12"/>
    </row>
    <row r="6569" spans="1:4" x14ac:dyDescent="0.25">
      <c r="A6569" t="str">
        <f>IF(COUNTIF(B$1:B6569,B6569)=1,MAX(A$1:A6568)+1,"")</f>
        <v/>
      </c>
      <c r="B6569" s="11"/>
      <c r="C6569" s="11" t="str">
        <f>IF(COUNTIF(D$1:D6569,D6569)=1,MAX(C$1:C6568)+1,"")</f>
        <v/>
      </c>
      <c r="D6569" s="12"/>
    </row>
    <row r="6570" spans="1:4" x14ac:dyDescent="0.25">
      <c r="A6570" t="str">
        <f>IF(COUNTIF(B$1:B6570,B6570)=1,MAX(A$1:A6569)+1,"")</f>
        <v/>
      </c>
      <c r="B6570" s="11"/>
      <c r="C6570" s="11" t="str">
        <f>IF(COUNTIF(D$1:D6570,D6570)=1,MAX(C$1:C6569)+1,"")</f>
        <v/>
      </c>
      <c r="D6570" s="12"/>
    </row>
    <row r="6571" spans="1:4" x14ac:dyDescent="0.25">
      <c r="A6571" t="str">
        <f>IF(COUNTIF(B$1:B6571,B6571)=1,MAX(A$1:A6570)+1,"")</f>
        <v/>
      </c>
      <c r="B6571" s="11"/>
      <c r="C6571" s="11" t="str">
        <f>IF(COUNTIF(D$1:D6571,D6571)=1,MAX(C$1:C6570)+1,"")</f>
        <v/>
      </c>
      <c r="D6571" s="12"/>
    </row>
    <row r="6572" spans="1:4" x14ac:dyDescent="0.25">
      <c r="A6572" t="str">
        <f>IF(COUNTIF(B$1:B6572,B6572)=1,MAX(A$1:A6571)+1,"")</f>
        <v/>
      </c>
      <c r="B6572" s="11"/>
      <c r="C6572" s="11" t="str">
        <f>IF(COUNTIF(D$1:D6572,D6572)=1,MAX(C$1:C6571)+1,"")</f>
        <v/>
      </c>
      <c r="D6572" s="12"/>
    </row>
    <row r="6573" spans="1:4" x14ac:dyDescent="0.25">
      <c r="A6573" t="str">
        <f>IF(COUNTIF(B$1:B6573,B6573)=1,MAX(A$1:A6572)+1,"")</f>
        <v/>
      </c>
      <c r="B6573" s="11"/>
      <c r="C6573" s="11" t="str">
        <f>IF(COUNTIF(D$1:D6573,D6573)=1,MAX(C$1:C6572)+1,"")</f>
        <v/>
      </c>
      <c r="D6573" s="12"/>
    </row>
    <row r="6574" spans="1:4" x14ac:dyDescent="0.25">
      <c r="A6574" t="str">
        <f>IF(COUNTIF(B$1:B6574,B6574)=1,MAX(A$1:A6573)+1,"")</f>
        <v/>
      </c>
      <c r="B6574" s="11"/>
      <c r="C6574" s="11" t="str">
        <f>IF(COUNTIF(D$1:D6574,D6574)=1,MAX(C$1:C6573)+1,"")</f>
        <v/>
      </c>
      <c r="D6574" s="12"/>
    </row>
    <row r="6575" spans="1:4" x14ac:dyDescent="0.25">
      <c r="A6575" t="str">
        <f>IF(COUNTIF(B$1:B6575,B6575)=1,MAX(A$1:A6574)+1,"")</f>
        <v/>
      </c>
      <c r="B6575" s="11"/>
      <c r="C6575" s="11" t="str">
        <f>IF(COUNTIF(D$1:D6575,D6575)=1,MAX(C$1:C6574)+1,"")</f>
        <v/>
      </c>
      <c r="D6575" s="12"/>
    </row>
    <row r="6576" spans="1:4" x14ac:dyDescent="0.25">
      <c r="A6576" t="str">
        <f>IF(COUNTIF(B$1:B6576,B6576)=1,MAX(A$1:A6575)+1,"")</f>
        <v/>
      </c>
      <c r="B6576" s="11"/>
      <c r="C6576" s="11" t="str">
        <f>IF(COUNTIF(D$1:D6576,D6576)=1,MAX(C$1:C6575)+1,"")</f>
        <v/>
      </c>
      <c r="D6576" s="12"/>
    </row>
    <row r="6577" spans="1:4" x14ac:dyDescent="0.25">
      <c r="A6577" t="str">
        <f>IF(COUNTIF(B$1:B6577,B6577)=1,MAX(A$1:A6576)+1,"")</f>
        <v/>
      </c>
      <c r="B6577" s="11"/>
      <c r="C6577" s="11" t="str">
        <f>IF(COUNTIF(D$1:D6577,D6577)=1,MAX(C$1:C6576)+1,"")</f>
        <v/>
      </c>
      <c r="D6577" s="12"/>
    </row>
    <row r="6578" spans="1:4" x14ac:dyDescent="0.25">
      <c r="A6578" t="str">
        <f>IF(COUNTIF(B$1:B6578,B6578)=1,MAX(A$1:A6577)+1,"")</f>
        <v/>
      </c>
      <c r="B6578" s="11"/>
      <c r="C6578" s="11" t="str">
        <f>IF(COUNTIF(D$1:D6578,D6578)=1,MAX(C$1:C6577)+1,"")</f>
        <v/>
      </c>
      <c r="D6578" s="12"/>
    </row>
    <row r="6579" spans="1:4" x14ac:dyDescent="0.25">
      <c r="A6579" t="str">
        <f>IF(COUNTIF(B$1:B6579,B6579)=1,MAX(A$1:A6578)+1,"")</f>
        <v/>
      </c>
      <c r="B6579" s="11"/>
      <c r="C6579" s="11" t="str">
        <f>IF(COUNTIF(D$1:D6579,D6579)=1,MAX(C$1:C6578)+1,"")</f>
        <v/>
      </c>
      <c r="D6579" s="12"/>
    </row>
    <row r="6580" spans="1:4" x14ac:dyDescent="0.25">
      <c r="A6580" t="str">
        <f>IF(COUNTIF(B$1:B6580,B6580)=1,MAX(A$1:A6579)+1,"")</f>
        <v/>
      </c>
      <c r="B6580" s="11"/>
      <c r="C6580" s="11" t="str">
        <f>IF(COUNTIF(D$1:D6580,D6580)=1,MAX(C$1:C6579)+1,"")</f>
        <v/>
      </c>
      <c r="D6580" s="12"/>
    </row>
    <row r="6581" spans="1:4" x14ac:dyDescent="0.25">
      <c r="A6581" t="str">
        <f>IF(COUNTIF(B$1:B6581,B6581)=1,MAX(A$1:A6580)+1,"")</f>
        <v/>
      </c>
      <c r="B6581" s="11"/>
      <c r="C6581" s="11" t="str">
        <f>IF(COUNTIF(D$1:D6581,D6581)=1,MAX(C$1:C6580)+1,"")</f>
        <v/>
      </c>
      <c r="D6581" s="12"/>
    </row>
    <row r="6582" spans="1:4" x14ac:dyDescent="0.25">
      <c r="A6582" t="str">
        <f>IF(COUNTIF(B$1:B6582,B6582)=1,MAX(A$1:A6581)+1,"")</f>
        <v/>
      </c>
      <c r="B6582" s="11"/>
      <c r="C6582" s="11" t="str">
        <f>IF(COUNTIF(D$1:D6582,D6582)=1,MAX(C$1:C6581)+1,"")</f>
        <v/>
      </c>
      <c r="D6582" s="12"/>
    </row>
    <row r="6583" spans="1:4" x14ac:dyDescent="0.25">
      <c r="A6583" t="str">
        <f>IF(COUNTIF(B$1:B6583,B6583)=1,MAX(A$1:A6582)+1,"")</f>
        <v/>
      </c>
      <c r="B6583" s="11"/>
      <c r="C6583" s="11" t="str">
        <f>IF(COUNTIF(D$1:D6583,D6583)=1,MAX(C$1:C6582)+1,"")</f>
        <v/>
      </c>
      <c r="D6583" s="12"/>
    </row>
    <row r="6584" spans="1:4" x14ac:dyDescent="0.25">
      <c r="A6584" t="str">
        <f>IF(COUNTIF(B$1:B6584,B6584)=1,MAX(A$1:A6583)+1,"")</f>
        <v/>
      </c>
      <c r="B6584" s="11"/>
      <c r="C6584" s="11" t="str">
        <f>IF(COUNTIF(D$1:D6584,D6584)=1,MAX(C$1:C6583)+1,"")</f>
        <v/>
      </c>
      <c r="D6584" s="12"/>
    </row>
    <row r="6585" spans="1:4" x14ac:dyDescent="0.25">
      <c r="A6585" t="str">
        <f>IF(COUNTIF(B$1:B6585,B6585)=1,MAX(A$1:A6584)+1,"")</f>
        <v/>
      </c>
      <c r="B6585" s="11"/>
      <c r="C6585" s="11" t="str">
        <f>IF(COUNTIF(D$1:D6585,D6585)=1,MAX(C$1:C6584)+1,"")</f>
        <v/>
      </c>
      <c r="D6585" s="12"/>
    </row>
    <row r="6586" spans="1:4" x14ac:dyDescent="0.25">
      <c r="A6586" t="str">
        <f>IF(COUNTIF(B$1:B6586,B6586)=1,MAX(A$1:A6585)+1,"")</f>
        <v/>
      </c>
      <c r="B6586" s="11"/>
      <c r="C6586" s="11" t="str">
        <f>IF(COUNTIF(D$1:D6586,D6586)=1,MAX(C$1:C6585)+1,"")</f>
        <v/>
      </c>
      <c r="D6586" s="12"/>
    </row>
    <row r="6587" spans="1:4" x14ac:dyDescent="0.25">
      <c r="A6587" t="str">
        <f>IF(COUNTIF(B$1:B6587,B6587)=1,MAX(A$1:A6586)+1,"")</f>
        <v/>
      </c>
      <c r="B6587" s="11"/>
      <c r="C6587" s="11" t="str">
        <f>IF(COUNTIF(D$1:D6587,D6587)=1,MAX(C$1:C6586)+1,"")</f>
        <v/>
      </c>
      <c r="D6587" s="12"/>
    </row>
    <row r="6588" spans="1:4" x14ac:dyDescent="0.25">
      <c r="A6588" t="str">
        <f>IF(COUNTIF(B$1:B6588,B6588)=1,MAX(A$1:A6587)+1,"")</f>
        <v/>
      </c>
      <c r="B6588" s="11"/>
      <c r="C6588" s="11" t="str">
        <f>IF(COUNTIF(D$1:D6588,D6588)=1,MAX(C$1:C6587)+1,"")</f>
        <v/>
      </c>
      <c r="D6588" s="12"/>
    </row>
    <row r="6589" spans="1:4" x14ac:dyDescent="0.25">
      <c r="A6589" t="str">
        <f>IF(COUNTIF(B$1:B6589,B6589)=1,MAX(A$1:A6588)+1,"")</f>
        <v/>
      </c>
      <c r="B6589" s="11"/>
      <c r="C6589" s="11" t="str">
        <f>IF(COUNTIF(D$1:D6589,D6589)=1,MAX(C$1:C6588)+1,"")</f>
        <v/>
      </c>
      <c r="D6589" s="12"/>
    </row>
    <row r="6590" spans="1:4" x14ac:dyDescent="0.25">
      <c r="A6590" t="str">
        <f>IF(COUNTIF(B$1:B6590,B6590)=1,MAX(A$1:A6589)+1,"")</f>
        <v/>
      </c>
      <c r="B6590" s="11"/>
      <c r="C6590" s="11" t="str">
        <f>IF(COUNTIF(D$1:D6590,D6590)=1,MAX(C$1:C6589)+1,"")</f>
        <v/>
      </c>
      <c r="D6590" s="12"/>
    </row>
    <row r="6591" spans="1:4" x14ac:dyDescent="0.25">
      <c r="A6591" t="str">
        <f>IF(COUNTIF(B$1:B6591,B6591)=1,MAX(A$1:A6590)+1,"")</f>
        <v/>
      </c>
      <c r="B6591" s="11"/>
      <c r="C6591" s="11" t="str">
        <f>IF(COUNTIF(D$1:D6591,D6591)=1,MAX(C$1:C6590)+1,"")</f>
        <v/>
      </c>
      <c r="D6591" s="12"/>
    </row>
    <row r="6592" spans="1:4" x14ac:dyDescent="0.25">
      <c r="A6592" t="str">
        <f>IF(COUNTIF(B$1:B6592,B6592)=1,MAX(A$1:A6591)+1,"")</f>
        <v/>
      </c>
      <c r="B6592" s="11"/>
      <c r="C6592" s="11" t="str">
        <f>IF(COUNTIF(D$1:D6592,D6592)=1,MAX(C$1:C6591)+1,"")</f>
        <v/>
      </c>
      <c r="D6592" s="12"/>
    </row>
  </sheetData>
  <mergeCells count="12">
    <mergeCell ref="L2:O2"/>
    <mergeCell ref="K3:K6"/>
    <mergeCell ref="L3:L6"/>
    <mergeCell ref="M3:M6"/>
    <mergeCell ref="N3:N6"/>
    <mergeCell ref="O3:O6"/>
    <mergeCell ref="R2:V2"/>
    <mergeCell ref="R3:R6"/>
    <mergeCell ref="S3:S6"/>
    <mergeCell ref="T3:T6"/>
    <mergeCell ref="U3:U6"/>
    <mergeCell ref="V3:V6"/>
  </mergeCells>
  <dataValidations disablePrompts="1" count="2">
    <dataValidation type="list" allowBlank="1" showInputMessage="1" showErrorMessage="1" sqref="B913:B1512" xr:uid="{00000000-0002-0000-0400-000000000000}">
      <formula1>INDIRECT("Beams")</formula1>
    </dataValidation>
    <dataValidation type="list" allowBlank="1" showInputMessage="1" showErrorMessage="1" sqref="D913:D1512" xr:uid="{00000000-0002-0000-0400-000001000000}">
      <formula1>INDIRECT("Columns")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A1:T408"/>
  <sheetViews>
    <sheetView workbookViewId="0">
      <pane ySplit="2" topLeftCell="A371" activePane="bottomLeft" state="frozen"/>
      <selection activeCell="P10" sqref="P10"/>
      <selection pane="bottomLeft" activeCell="C367" sqref="C367:C408"/>
    </sheetView>
  </sheetViews>
  <sheetFormatPr defaultRowHeight="15" x14ac:dyDescent="0.25"/>
  <cols>
    <col min="1" max="1" width="6.28515625" customWidth="1"/>
    <col min="3" max="3" width="17.7109375" bestFit="1" customWidth="1"/>
    <col min="4" max="4" width="11" bestFit="1" customWidth="1"/>
    <col min="5" max="5" width="11.42578125" bestFit="1" customWidth="1"/>
    <col min="6" max="6" width="7.7109375" bestFit="1" customWidth="1"/>
  </cols>
  <sheetData>
    <row r="1" spans="1:20" x14ac:dyDescent="0.25">
      <c r="B1" t="s">
        <v>630</v>
      </c>
      <c r="C1" t="s">
        <v>631</v>
      </c>
    </row>
    <row r="2" spans="1:20" x14ac:dyDescent="0.25">
      <c r="B2" t="s">
        <v>632</v>
      </c>
      <c r="C2" t="s">
        <v>632</v>
      </c>
      <c r="D2" t="s">
        <v>635</v>
      </c>
      <c r="E2" t="s">
        <v>636</v>
      </c>
      <c r="F2" t="s">
        <v>14</v>
      </c>
      <c r="I2" t="s">
        <v>2093</v>
      </c>
      <c r="J2" t="s">
        <v>2094</v>
      </c>
      <c r="K2" t="s">
        <v>2095</v>
      </c>
      <c r="L2" t="s">
        <v>2096</v>
      </c>
      <c r="M2" t="s">
        <v>2097</v>
      </c>
      <c r="N2" t="s">
        <v>2098</v>
      </c>
      <c r="O2" t="s">
        <v>2099</v>
      </c>
      <c r="P2" t="s">
        <v>2100</v>
      </c>
      <c r="Q2" t="s">
        <v>2101</v>
      </c>
      <c r="R2" t="s">
        <v>2102</v>
      </c>
    </row>
    <row r="3" spans="1:20" x14ac:dyDescent="0.25">
      <c r="A3" t="s">
        <v>2065</v>
      </c>
      <c r="B3" t="s">
        <v>711</v>
      </c>
      <c r="C3" t="s">
        <v>106</v>
      </c>
      <c r="D3">
        <v>65</v>
      </c>
      <c r="E3">
        <v>18</v>
      </c>
      <c r="F3">
        <v>3</v>
      </c>
      <c r="I3">
        <f>MATCH(Проверка!$A$3,'H1,3-6'!C3:C52,0)</f>
        <v>4</v>
      </c>
      <c r="J3">
        <f>MATCH(Проверка!$A$3,'H1,3-6'!C53:C77,0)</f>
        <v>4</v>
      </c>
      <c r="K3">
        <f>MATCH(Проверка!$A$3,'H1,3-6'!C78:C119,0)</f>
        <v>4</v>
      </c>
      <c r="L3">
        <f>MATCH(Проверка!$A$3,'H1,3-6'!C120:C161,0)</f>
        <v>4</v>
      </c>
      <c r="M3">
        <f>MATCH(Проверка!$A$3,'H1,3-6'!C162:C212,0)</f>
        <v>4</v>
      </c>
      <c r="N3">
        <f>MATCH(Проверка!$A$3,'H1,3-6'!C213:C237,0)</f>
        <v>4</v>
      </c>
      <c r="O3">
        <f>MATCH(Проверка!$A$3,'H1,3-6'!C238:C286,0)</f>
        <v>4</v>
      </c>
      <c r="P3">
        <f>MATCH(Проверка!$A$3,'H1,3-6'!C287:C324,0)</f>
        <v>4</v>
      </c>
      <c r="Q3" t="e">
        <f>MATCH(Проверка!$A$3,'H1,3-6'!K3:K52,0)</f>
        <v>#N/A</v>
      </c>
      <c r="R3" t="e">
        <f>MATCH(Проверка!$A$3,'H1,3-6'!L3:L52,0)</f>
        <v>#N/A</v>
      </c>
      <c r="T3" t="e">
        <f>HLOOKUP(Проверка!C3,'H1,3-6'!I2:R3,2,0)</f>
        <v>#N/A</v>
      </c>
    </row>
    <row r="4" spans="1:20" x14ac:dyDescent="0.25">
      <c r="A4" t="s">
        <v>2065</v>
      </c>
      <c r="B4" t="s">
        <v>712</v>
      </c>
      <c r="C4">
        <v>18</v>
      </c>
      <c r="D4">
        <v>102</v>
      </c>
      <c r="E4">
        <v>29</v>
      </c>
      <c r="F4">
        <v>3</v>
      </c>
    </row>
    <row r="5" spans="1:20" x14ac:dyDescent="0.25">
      <c r="A5" t="s">
        <v>2065</v>
      </c>
      <c r="B5" t="s">
        <v>713</v>
      </c>
      <c r="C5" t="s">
        <v>37</v>
      </c>
      <c r="D5">
        <v>112</v>
      </c>
      <c r="E5">
        <v>36</v>
      </c>
      <c r="F5">
        <v>4</v>
      </c>
    </row>
    <row r="6" spans="1:20" x14ac:dyDescent="0.25">
      <c r="A6" t="s">
        <v>2065</v>
      </c>
      <c r="B6" t="s">
        <v>714</v>
      </c>
      <c r="C6" t="s">
        <v>38</v>
      </c>
      <c r="D6">
        <v>130</v>
      </c>
      <c r="E6">
        <v>43</v>
      </c>
      <c r="F6">
        <v>4</v>
      </c>
    </row>
    <row r="7" spans="1:20" x14ac:dyDescent="0.25">
      <c r="A7" t="s">
        <v>2065</v>
      </c>
      <c r="B7" t="s">
        <v>715</v>
      </c>
      <c r="C7" t="s">
        <v>39</v>
      </c>
      <c r="D7">
        <v>102</v>
      </c>
      <c r="E7">
        <v>33</v>
      </c>
      <c r="F7">
        <v>5</v>
      </c>
    </row>
    <row r="8" spans="1:20" x14ac:dyDescent="0.25">
      <c r="A8" t="s">
        <v>2065</v>
      </c>
      <c r="B8" t="s">
        <v>716</v>
      </c>
      <c r="C8" t="s">
        <v>40</v>
      </c>
      <c r="D8">
        <v>122</v>
      </c>
      <c r="E8">
        <v>40</v>
      </c>
      <c r="F8">
        <v>5</v>
      </c>
    </row>
    <row r="9" spans="1:20" x14ac:dyDescent="0.25">
      <c r="A9" t="s">
        <v>2065</v>
      </c>
      <c r="B9" t="s">
        <v>717</v>
      </c>
      <c r="C9" t="s">
        <v>41</v>
      </c>
      <c r="D9">
        <v>168</v>
      </c>
      <c r="E9">
        <v>88</v>
      </c>
      <c r="F9">
        <v>6</v>
      </c>
    </row>
    <row r="10" spans="1:20" x14ac:dyDescent="0.25">
      <c r="A10" t="s">
        <v>2065</v>
      </c>
      <c r="B10" t="s">
        <v>718</v>
      </c>
      <c r="C10" t="s">
        <v>42</v>
      </c>
      <c r="D10">
        <v>199</v>
      </c>
      <c r="E10">
        <v>104</v>
      </c>
      <c r="F10">
        <v>6</v>
      </c>
    </row>
    <row r="11" spans="1:20" x14ac:dyDescent="0.25">
      <c r="A11" t="s">
        <v>2065</v>
      </c>
      <c r="B11" t="s">
        <v>719</v>
      </c>
      <c r="C11" t="s">
        <v>43</v>
      </c>
      <c r="D11">
        <v>244</v>
      </c>
      <c r="E11">
        <v>149</v>
      </c>
      <c r="F11">
        <v>8</v>
      </c>
    </row>
    <row r="12" spans="1:20" x14ac:dyDescent="0.25">
      <c r="A12" t="s">
        <v>2065</v>
      </c>
      <c r="B12" t="s">
        <v>720</v>
      </c>
      <c r="C12" t="s">
        <v>44</v>
      </c>
      <c r="D12">
        <v>281</v>
      </c>
      <c r="E12">
        <v>171</v>
      </c>
      <c r="F12">
        <v>8</v>
      </c>
    </row>
    <row r="13" spans="1:20" x14ac:dyDescent="0.25">
      <c r="A13" t="s">
        <v>2065</v>
      </c>
      <c r="B13" t="s">
        <v>721</v>
      </c>
      <c r="C13" t="s">
        <v>45</v>
      </c>
      <c r="D13">
        <v>351</v>
      </c>
      <c r="E13">
        <v>238</v>
      </c>
      <c r="F13">
        <v>9</v>
      </c>
    </row>
    <row r="14" spans="1:20" x14ac:dyDescent="0.25">
      <c r="A14" t="s">
        <v>2065</v>
      </c>
      <c r="B14" t="s">
        <v>722</v>
      </c>
      <c r="C14" t="s">
        <v>46</v>
      </c>
      <c r="D14">
        <v>401</v>
      </c>
      <c r="E14">
        <v>272</v>
      </c>
      <c r="F14">
        <v>9</v>
      </c>
    </row>
    <row r="15" spans="1:20" x14ac:dyDescent="0.25">
      <c r="A15" t="s">
        <v>2065</v>
      </c>
      <c r="B15" t="s">
        <v>723</v>
      </c>
      <c r="C15" t="s">
        <v>47</v>
      </c>
      <c r="D15">
        <v>401</v>
      </c>
      <c r="E15">
        <v>272</v>
      </c>
      <c r="F15">
        <v>10</v>
      </c>
    </row>
    <row r="16" spans="1:20" x14ac:dyDescent="0.25">
      <c r="A16" t="s">
        <v>2065</v>
      </c>
      <c r="B16" t="s">
        <v>724</v>
      </c>
      <c r="C16" t="s">
        <v>48</v>
      </c>
      <c r="D16">
        <v>421</v>
      </c>
      <c r="E16">
        <v>286</v>
      </c>
      <c r="F16">
        <v>11</v>
      </c>
    </row>
    <row r="17" spans="1:6" x14ac:dyDescent="0.25">
      <c r="A17" t="s">
        <v>2065</v>
      </c>
      <c r="B17" t="s">
        <v>725</v>
      </c>
      <c r="C17" t="s">
        <v>49</v>
      </c>
      <c r="D17">
        <v>505</v>
      </c>
      <c r="E17">
        <v>370</v>
      </c>
      <c r="F17">
        <v>12</v>
      </c>
    </row>
    <row r="18" spans="1:6" x14ac:dyDescent="0.25">
      <c r="A18" t="s">
        <v>2065</v>
      </c>
      <c r="B18" t="s">
        <v>726</v>
      </c>
      <c r="C18" t="s">
        <v>50</v>
      </c>
      <c r="D18">
        <v>505</v>
      </c>
      <c r="E18">
        <v>370</v>
      </c>
      <c r="F18">
        <v>13</v>
      </c>
    </row>
    <row r="19" spans="1:6" x14ac:dyDescent="0.25">
      <c r="A19" t="s">
        <v>2065</v>
      </c>
      <c r="B19" t="s">
        <v>727</v>
      </c>
      <c r="C19" t="s">
        <v>121</v>
      </c>
      <c r="D19">
        <v>505</v>
      </c>
      <c r="E19">
        <v>370</v>
      </c>
      <c r="F19">
        <v>13</v>
      </c>
    </row>
    <row r="20" spans="1:6" x14ac:dyDescent="0.25">
      <c r="A20" t="s">
        <v>2065</v>
      </c>
      <c r="B20" t="s">
        <v>728</v>
      </c>
      <c r="C20" t="s">
        <v>51</v>
      </c>
      <c r="D20">
        <v>674</v>
      </c>
      <c r="E20">
        <v>546</v>
      </c>
      <c r="F20">
        <v>15</v>
      </c>
    </row>
    <row r="21" spans="1:6" x14ac:dyDescent="0.25">
      <c r="A21" t="s">
        <v>2065</v>
      </c>
      <c r="B21" t="s">
        <v>729</v>
      </c>
      <c r="C21" t="s">
        <v>52</v>
      </c>
      <c r="D21">
        <v>674</v>
      </c>
      <c r="E21">
        <v>546</v>
      </c>
      <c r="F21">
        <v>15</v>
      </c>
    </row>
    <row r="22" spans="1:6" x14ac:dyDescent="0.25">
      <c r="A22" t="s">
        <v>2065</v>
      </c>
      <c r="B22" t="s">
        <v>730</v>
      </c>
      <c r="C22" t="s">
        <v>53</v>
      </c>
      <c r="D22">
        <v>122</v>
      </c>
      <c r="E22">
        <v>40</v>
      </c>
      <c r="F22">
        <v>5</v>
      </c>
    </row>
    <row r="23" spans="1:6" x14ac:dyDescent="0.25">
      <c r="A23" t="s">
        <v>2065</v>
      </c>
      <c r="B23" t="s">
        <v>731</v>
      </c>
      <c r="C23" t="s">
        <v>54</v>
      </c>
      <c r="D23">
        <v>140</v>
      </c>
      <c r="E23">
        <v>43</v>
      </c>
      <c r="F23">
        <v>5</v>
      </c>
    </row>
    <row r="24" spans="1:6" x14ac:dyDescent="0.25">
      <c r="A24" t="s">
        <v>2065</v>
      </c>
      <c r="B24" t="s">
        <v>732</v>
      </c>
      <c r="C24" t="s">
        <v>55</v>
      </c>
      <c r="D24">
        <v>240</v>
      </c>
      <c r="E24">
        <v>126</v>
      </c>
      <c r="F24">
        <v>5</v>
      </c>
    </row>
    <row r="25" spans="1:6" x14ac:dyDescent="0.25">
      <c r="A25" t="s">
        <v>2065</v>
      </c>
      <c r="B25" t="s">
        <v>733</v>
      </c>
      <c r="C25" t="s">
        <v>56</v>
      </c>
      <c r="D25">
        <v>253</v>
      </c>
      <c r="E25">
        <v>132</v>
      </c>
      <c r="F25">
        <v>6</v>
      </c>
    </row>
    <row r="26" spans="1:6" x14ac:dyDescent="0.25">
      <c r="A26" t="s">
        <v>2065</v>
      </c>
      <c r="B26" t="s">
        <v>734</v>
      </c>
      <c r="C26" t="s">
        <v>57</v>
      </c>
      <c r="D26">
        <v>321</v>
      </c>
      <c r="E26">
        <v>195</v>
      </c>
      <c r="F26">
        <v>7</v>
      </c>
    </row>
    <row r="27" spans="1:6" x14ac:dyDescent="0.25">
      <c r="A27" t="s">
        <v>2065</v>
      </c>
      <c r="B27" t="s">
        <v>735</v>
      </c>
      <c r="C27" t="s">
        <v>58</v>
      </c>
      <c r="D27">
        <v>337</v>
      </c>
      <c r="E27">
        <v>205</v>
      </c>
      <c r="F27">
        <v>7</v>
      </c>
    </row>
    <row r="28" spans="1:6" x14ac:dyDescent="0.25">
      <c r="A28" t="s">
        <v>2065</v>
      </c>
      <c r="B28" t="s">
        <v>736</v>
      </c>
      <c r="C28" t="s">
        <v>59</v>
      </c>
      <c r="D28">
        <v>334</v>
      </c>
      <c r="E28">
        <v>205</v>
      </c>
      <c r="F28">
        <v>9</v>
      </c>
    </row>
    <row r="29" spans="1:6" x14ac:dyDescent="0.25">
      <c r="A29" t="s">
        <v>2065</v>
      </c>
      <c r="B29" t="s">
        <v>737</v>
      </c>
      <c r="C29" t="s">
        <v>60</v>
      </c>
      <c r="D29">
        <v>337</v>
      </c>
      <c r="E29">
        <v>205</v>
      </c>
      <c r="F29">
        <v>10</v>
      </c>
    </row>
    <row r="30" spans="1:6" x14ac:dyDescent="0.25">
      <c r="A30" t="s">
        <v>2065</v>
      </c>
      <c r="B30" t="s">
        <v>738</v>
      </c>
      <c r="C30" t="s">
        <v>61</v>
      </c>
      <c r="D30">
        <v>421</v>
      </c>
      <c r="E30">
        <v>286</v>
      </c>
      <c r="F30">
        <v>12</v>
      </c>
    </row>
    <row r="31" spans="1:6" x14ac:dyDescent="0.25">
      <c r="A31" t="s">
        <v>2065</v>
      </c>
      <c r="B31" t="s">
        <v>739</v>
      </c>
      <c r="C31" t="s">
        <v>62</v>
      </c>
      <c r="D31">
        <v>505</v>
      </c>
      <c r="E31">
        <v>370</v>
      </c>
      <c r="F31">
        <v>14</v>
      </c>
    </row>
    <row r="32" spans="1:6" x14ac:dyDescent="0.25">
      <c r="A32" t="s">
        <v>2065</v>
      </c>
      <c r="B32" t="s">
        <v>740</v>
      </c>
      <c r="C32" t="s">
        <v>63</v>
      </c>
      <c r="D32">
        <v>502</v>
      </c>
      <c r="E32">
        <v>370</v>
      </c>
      <c r="F32">
        <v>14</v>
      </c>
    </row>
    <row r="33" spans="1:6" x14ac:dyDescent="0.25">
      <c r="A33" t="s">
        <v>2065</v>
      </c>
      <c r="B33" t="s">
        <v>741</v>
      </c>
      <c r="C33" t="s">
        <v>64</v>
      </c>
      <c r="D33">
        <v>502</v>
      </c>
      <c r="E33">
        <v>370</v>
      </c>
      <c r="F33">
        <v>15</v>
      </c>
    </row>
    <row r="34" spans="1:6" x14ac:dyDescent="0.25">
      <c r="A34" t="s">
        <v>2065</v>
      </c>
      <c r="B34" t="s">
        <v>742</v>
      </c>
      <c r="C34" t="s">
        <v>65</v>
      </c>
      <c r="D34">
        <v>502</v>
      </c>
      <c r="E34">
        <v>370</v>
      </c>
      <c r="F34">
        <v>15</v>
      </c>
    </row>
    <row r="35" spans="1:6" x14ac:dyDescent="0.25">
      <c r="A35" t="s">
        <v>2065</v>
      </c>
      <c r="B35" t="s">
        <v>743</v>
      </c>
      <c r="C35" t="s">
        <v>66</v>
      </c>
      <c r="D35">
        <v>590</v>
      </c>
      <c r="E35">
        <v>458</v>
      </c>
      <c r="F35">
        <v>17</v>
      </c>
    </row>
    <row r="36" spans="1:6" x14ac:dyDescent="0.25">
      <c r="A36" t="s">
        <v>2065</v>
      </c>
      <c r="B36" t="s">
        <v>744</v>
      </c>
      <c r="C36" t="s">
        <v>67</v>
      </c>
      <c r="D36">
        <v>586</v>
      </c>
      <c r="E36">
        <v>458</v>
      </c>
      <c r="F36">
        <v>17</v>
      </c>
    </row>
    <row r="37" spans="1:6" x14ac:dyDescent="0.25">
      <c r="A37" t="s">
        <v>2065</v>
      </c>
      <c r="B37" t="s">
        <v>745</v>
      </c>
      <c r="C37" t="s">
        <v>68</v>
      </c>
      <c r="D37">
        <v>586</v>
      </c>
      <c r="E37">
        <v>458</v>
      </c>
      <c r="F37">
        <v>18</v>
      </c>
    </row>
    <row r="38" spans="1:6" x14ac:dyDescent="0.25">
      <c r="A38" t="s">
        <v>2065</v>
      </c>
      <c r="B38" t="s">
        <v>746</v>
      </c>
      <c r="C38" t="s">
        <v>69</v>
      </c>
      <c r="D38">
        <v>586</v>
      </c>
      <c r="E38">
        <v>458</v>
      </c>
      <c r="F38">
        <v>18</v>
      </c>
    </row>
    <row r="39" spans="1:6" x14ac:dyDescent="0.25">
      <c r="A39" t="s">
        <v>2065</v>
      </c>
      <c r="B39" t="s">
        <v>747</v>
      </c>
      <c r="C39" t="s">
        <v>70</v>
      </c>
      <c r="D39">
        <v>947</v>
      </c>
      <c r="E39">
        <v>770</v>
      </c>
      <c r="F39">
        <v>20</v>
      </c>
    </row>
    <row r="40" spans="1:6" x14ac:dyDescent="0.25">
      <c r="A40" t="s">
        <v>2065</v>
      </c>
      <c r="B40" t="s">
        <v>748</v>
      </c>
      <c r="C40" t="s">
        <v>71</v>
      </c>
      <c r="D40">
        <v>947</v>
      </c>
      <c r="E40">
        <v>770</v>
      </c>
      <c r="F40">
        <v>20</v>
      </c>
    </row>
    <row r="41" spans="1:6" x14ac:dyDescent="0.25">
      <c r="A41" t="s">
        <v>2065</v>
      </c>
      <c r="B41" t="s">
        <v>749</v>
      </c>
      <c r="C41" t="s">
        <v>72</v>
      </c>
      <c r="D41">
        <v>1065</v>
      </c>
      <c r="E41">
        <v>896</v>
      </c>
      <c r="F41">
        <v>20</v>
      </c>
    </row>
    <row r="42" spans="1:6" x14ac:dyDescent="0.25">
      <c r="A42" t="s">
        <v>2065</v>
      </c>
      <c r="B42" t="s">
        <v>750</v>
      </c>
      <c r="C42" t="s">
        <v>73</v>
      </c>
      <c r="D42">
        <v>1538</v>
      </c>
      <c r="E42">
        <v>1398</v>
      </c>
      <c r="F42">
        <v>20</v>
      </c>
    </row>
    <row r="43" spans="1:6" x14ac:dyDescent="0.25">
      <c r="A43" t="s">
        <v>2065</v>
      </c>
      <c r="B43" t="s">
        <v>751</v>
      </c>
      <c r="C43" t="s">
        <v>304</v>
      </c>
      <c r="D43">
        <v>1775</v>
      </c>
      <c r="E43">
        <v>1647</v>
      </c>
      <c r="F43">
        <v>20</v>
      </c>
    </row>
    <row r="44" spans="1:6" x14ac:dyDescent="0.25">
      <c r="A44" t="s">
        <v>2065</v>
      </c>
      <c r="B44" t="s">
        <v>752</v>
      </c>
      <c r="C44" t="s">
        <v>306</v>
      </c>
      <c r="D44">
        <v>1893</v>
      </c>
      <c r="E44">
        <v>1765</v>
      </c>
      <c r="F44">
        <v>20</v>
      </c>
    </row>
    <row r="45" spans="1:6" x14ac:dyDescent="0.25">
      <c r="A45" t="s">
        <v>2065</v>
      </c>
      <c r="B45" t="s">
        <v>753</v>
      </c>
      <c r="C45" t="s">
        <v>308</v>
      </c>
      <c r="D45">
        <v>21</v>
      </c>
      <c r="E45">
        <v>16</v>
      </c>
      <c r="F45">
        <v>3</v>
      </c>
    </row>
    <row r="46" spans="1:6" x14ac:dyDescent="0.25">
      <c r="A46" t="s">
        <v>2065</v>
      </c>
      <c r="B46" t="s">
        <v>754</v>
      </c>
      <c r="C46" t="s">
        <v>310</v>
      </c>
      <c r="D46">
        <v>36</v>
      </c>
      <c r="E46">
        <v>16</v>
      </c>
      <c r="F46">
        <v>3</v>
      </c>
    </row>
    <row r="47" spans="1:6" x14ac:dyDescent="0.25">
      <c r="A47" t="s">
        <v>2065</v>
      </c>
      <c r="B47" t="s">
        <v>755</v>
      </c>
      <c r="C47" t="s">
        <v>312</v>
      </c>
      <c r="D47">
        <v>36</v>
      </c>
      <c r="E47">
        <v>16</v>
      </c>
      <c r="F47">
        <v>3</v>
      </c>
    </row>
    <row r="48" spans="1:6" x14ac:dyDescent="0.25">
      <c r="A48" t="s">
        <v>2065</v>
      </c>
      <c r="B48" t="s">
        <v>756</v>
      </c>
      <c r="C48" t="s">
        <v>314</v>
      </c>
      <c r="D48">
        <v>52</v>
      </c>
      <c r="E48">
        <v>26</v>
      </c>
      <c r="F48">
        <v>3</v>
      </c>
    </row>
    <row r="49" spans="1:6" x14ac:dyDescent="0.25">
      <c r="A49" t="s">
        <v>2065</v>
      </c>
      <c r="B49" t="s">
        <v>757</v>
      </c>
      <c r="C49" t="s">
        <v>316</v>
      </c>
      <c r="D49">
        <v>58</v>
      </c>
      <c r="E49">
        <v>30</v>
      </c>
      <c r="F49">
        <v>4</v>
      </c>
    </row>
    <row r="50" spans="1:6" x14ac:dyDescent="0.25">
      <c r="A50" t="s">
        <v>2065</v>
      </c>
      <c r="B50" t="s">
        <v>758</v>
      </c>
      <c r="C50" t="s">
        <v>318</v>
      </c>
      <c r="D50">
        <v>58</v>
      </c>
      <c r="E50">
        <v>30</v>
      </c>
      <c r="F50">
        <v>5</v>
      </c>
    </row>
    <row r="51" spans="1:6" x14ac:dyDescent="0.25">
      <c r="A51" t="s">
        <v>2065</v>
      </c>
      <c r="B51" t="s">
        <v>759</v>
      </c>
      <c r="C51" t="s">
        <v>320</v>
      </c>
      <c r="D51">
        <v>81</v>
      </c>
      <c r="E51">
        <v>54</v>
      </c>
      <c r="F51">
        <v>6</v>
      </c>
    </row>
    <row r="52" spans="1:6" x14ac:dyDescent="0.25">
      <c r="A52" t="s">
        <v>2065</v>
      </c>
      <c r="B52" t="s">
        <v>760</v>
      </c>
      <c r="C52" t="s">
        <v>322</v>
      </c>
      <c r="D52">
        <v>81</v>
      </c>
      <c r="E52">
        <v>70</v>
      </c>
      <c r="F52">
        <v>8</v>
      </c>
    </row>
    <row r="53" spans="1:6" x14ac:dyDescent="0.25">
      <c r="A53" t="s">
        <v>2067</v>
      </c>
      <c r="B53" t="s">
        <v>686</v>
      </c>
      <c r="C53" t="s">
        <v>106</v>
      </c>
      <c r="D53">
        <v>108</v>
      </c>
      <c r="E53">
        <v>37</v>
      </c>
      <c r="F53">
        <v>3</v>
      </c>
    </row>
    <row r="54" spans="1:6" x14ac:dyDescent="0.25">
      <c r="A54" t="s">
        <v>2067</v>
      </c>
      <c r="B54" t="s">
        <v>687</v>
      </c>
      <c r="C54">
        <v>18</v>
      </c>
      <c r="D54">
        <v>165</v>
      </c>
      <c r="E54">
        <v>65</v>
      </c>
      <c r="F54">
        <v>3</v>
      </c>
    </row>
    <row r="55" spans="1:6" x14ac:dyDescent="0.25">
      <c r="A55" t="s">
        <v>2067</v>
      </c>
      <c r="B55" t="s">
        <v>688</v>
      </c>
      <c r="C55" t="s">
        <v>37</v>
      </c>
      <c r="D55">
        <v>168</v>
      </c>
      <c r="E55">
        <v>71</v>
      </c>
      <c r="F55">
        <v>4</v>
      </c>
    </row>
    <row r="56" spans="1:6" x14ac:dyDescent="0.25">
      <c r="A56" t="s">
        <v>2067</v>
      </c>
      <c r="B56" t="s">
        <v>689</v>
      </c>
      <c r="C56" t="s">
        <v>38</v>
      </c>
      <c r="D56">
        <v>166</v>
      </c>
      <c r="E56">
        <v>71</v>
      </c>
      <c r="F56">
        <v>4</v>
      </c>
    </row>
    <row r="57" spans="1:6" x14ac:dyDescent="0.25">
      <c r="A57" t="s">
        <v>2067</v>
      </c>
      <c r="B57" t="s">
        <v>690</v>
      </c>
      <c r="C57" t="s">
        <v>39</v>
      </c>
      <c r="D57">
        <v>168</v>
      </c>
      <c r="E57">
        <v>71</v>
      </c>
      <c r="F57">
        <v>6</v>
      </c>
    </row>
    <row r="58" spans="1:6" x14ac:dyDescent="0.25">
      <c r="A58" t="s">
        <v>2067</v>
      </c>
      <c r="B58" t="s">
        <v>691</v>
      </c>
      <c r="C58" t="s">
        <v>40</v>
      </c>
      <c r="D58">
        <v>168</v>
      </c>
      <c r="E58">
        <v>71</v>
      </c>
      <c r="F58">
        <v>6</v>
      </c>
    </row>
    <row r="59" spans="1:6" x14ac:dyDescent="0.25">
      <c r="A59" t="s">
        <v>2067</v>
      </c>
      <c r="B59" t="s">
        <v>692</v>
      </c>
      <c r="C59" t="s">
        <v>41</v>
      </c>
      <c r="D59">
        <v>253</v>
      </c>
      <c r="E59">
        <v>132</v>
      </c>
      <c r="F59">
        <v>7</v>
      </c>
    </row>
    <row r="60" spans="1:6" x14ac:dyDescent="0.25">
      <c r="A60" t="s">
        <v>2067</v>
      </c>
      <c r="B60" t="s">
        <v>693</v>
      </c>
      <c r="C60" t="s">
        <v>42</v>
      </c>
      <c r="D60">
        <v>253</v>
      </c>
      <c r="E60">
        <v>132</v>
      </c>
      <c r="F60">
        <v>7</v>
      </c>
    </row>
    <row r="61" spans="1:6" x14ac:dyDescent="0.25">
      <c r="A61" t="s">
        <v>2067</v>
      </c>
      <c r="B61" t="s">
        <v>694</v>
      </c>
      <c r="C61" t="s">
        <v>43</v>
      </c>
      <c r="D61">
        <v>337</v>
      </c>
      <c r="E61">
        <v>205</v>
      </c>
      <c r="F61">
        <v>9</v>
      </c>
    </row>
    <row r="62" spans="1:6" x14ac:dyDescent="0.25">
      <c r="A62" t="s">
        <v>2067</v>
      </c>
      <c r="B62" t="s">
        <v>695</v>
      </c>
      <c r="C62" t="s">
        <v>44</v>
      </c>
      <c r="D62">
        <v>337</v>
      </c>
      <c r="E62">
        <v>205</v>
      </c>
      <c r="F62">
        <v>9</v>
      </c>
    </row>
    <row r="63" spans="1:6" x14ac:dyDescent="0.25">
      <c r="A63" t="s">
        <v>2067</v>
      </c>
      <c r="B63" t="s">
        <v>696</v>
      </c>
      <c r="C63" t="s">
        <v>45</v>
      </c>
      <c r="D63">
        <v>421</v>
      </c>
      <c r="E63">
        <v>286</v>
      </c>
      <c r="F63">
        <v>10</v>
      </c>
    </row>
    <row r="64" spans="1:6" x14ac:dyDescent="0.25">
      <c r="A64" t="s">
        <v>2067</v>
      </c>
      <c r="B64" t="s">
        <v>697</v>
      </c>
      <c r="C64" t="s">
        <v>46</v>
      </c>
      <c r="D64">
        <v>421</v>
      </c>
      <c r="E64">
        <v>286</v>
      </c>
      <c r="F64">
        <v>10</v>
      </c>
    </row>
    <row r="65" spans="1:6" x14ac:dyDescent="0.25">
      <c r="A65" t="s">
        <v>2067</v>
      </c>
      <c r="B65" t="s">
        <v>698</v>
      </c>
      <c r="C65" t="s">
        <v>47</v>
      </c>
      <c r="D65">
        <v>421</v>
      </c>
      <c r="E65">
        <v>286</v>
      </c>
      <c r="F65">
        <v>11</v>
      </c>
    </row>
    <row r="66" spans="1:6" x14ac:dyDescent="0.25">
      <c r="A66" t="s">
        <v>2067</v>
      </c>
      <c r="B66" t="s">
        <v>699</v>
      </c>
      <c r="C66" t="s">
        <v>53</v>
      </c>
      <c r="D66">
        <v>168</v>
      </c>
      <c r="E66">
        <v>71</v>
      </c>
      <c r="F66">
        <v>6</v>
      </c>
    </row>
    <row r="67" spans="1:6" x14ac:dyDescent="0.25">
      <c r="A67" t="s">
        <v>2067</v>
      </c>
      <c r="B67" t="s">
        <v>700</v>
      </c>
      <c r="C67" t="s">
        <v>54</v>
      </c>
      <c r="D67">
        <v>168</v>
      </c>
      <c r="E67">
        <v>71</v>
      </c>
      <c r="F67">
        <v>6</v>
      </c>
    </row>
    <row r="68" spans="1:6" x14ac:dyDescent="0.25">
      <c r="A68" t="s">
        <v>2067</v>
      </c>
      <c r="B68" t="s">
        <v>701</v>
      </c>
      <c r="C68" t="s">
        <v>55</v>
      </c>
      <c r="D68">
        <v>253</v>
      </c>
      <c r="E68">
        <v>132</v>
      </c>
      <c r="F68">
        <v>6</v>
      </c>
    </row>
    <row r="69" spans="1:6" x14ac:dyDescent="0.25">
      <c r="A69" t="s">
        <v>2067</v>
      </c>
      <c r="B69" t="s">
        <v>702</v>
      </c>
      <c r="C69" t="s">
        <v>57</v>
      </c>
      <c r="D69">
        <v>337</v>
      </c>
      <c r="E69">
        <v>205</v>
      </c>
      <c r="F69">
        <v>8</v>
      </c>
    </row>
    <row r="70" spans="1:6" x14ac:dyDescent="0.25">
      <c r="A70" t="s">
        <v>2067</v>
      </c>
      <c r="B70" t="s">
        <v>703</v>
      </c>
      <c r="C70" t="s">
        <v>308</v>
      </c>
      <c r="D70">
        <v>24</v>
      </c>
      <c r="E70">
        <v>23</v>
      </c>
      <c r="F70">
        <v>3</v>
      </c>
    </row>
    <row r="71" spans="1:6" x14ac:dyDescent="0.25">
      <c r="A71" t="s">
        <v>2067</v>
      </c>
      <c r="B71" t="s">
        <v>704</v>
      </c>
      <c r="C71" t="s">
        <v>310</v>
      </c>
      <c r="D71">
        <v>102</v>
      </c>
      <c r="E71">
        <v>34</v>
      </c>
      <c r="F71">
        <v>3</v>
      </c>
    </row>
    <row r="72" spans="1:6" x14ac:dyDescent="0.25">
      <c r="A72" t="s">
        <v>2067</v>
      </c>
      <c r="B72" t="s">
        <v>705</v>
      </c>
      <c r="C72" t="s">
        <v>312</v>
      </c>
      <c r="D72">
        <v>100</v>
      </c>
      <c r="E72">
        <v>34</v>
      </c>
      <c r="F72">
        <v>3</v>
      </c>
    </row>
    <row r="73" spans="1:6" x14ac:dyDescent="0.25">
      <c r="A73" t="s">
        <v>2067</v>
      </c>
      <c r="B73" t="s">
        <v>706</v>
      </c>
      <c r="C73" t="s">
        <v>314</v>
      </c>
      <c r="D73">
        <v>102</v>
      </c>
      <c r="E73">
        <v>50</v>
      </c>
      <c r="F73">
        <v>3</v>
      </c>
    </row>
    <row r="74" spans="1:6" x14ac:dyDescent="0.25">
      <c r="A74" t="s">
        <v>2067</v>
      </c>
      <c r="B74" t="s">
        <v>707</v>
      </c>
      <c r="C74" t="s">
        <v>316</v>
      </c>
      <c r="D74">
        <v>96</v>
      </c>
      <c r="E74">
        <v>71</v>
      </c>
      <c r="F74">
        <v>4</v>
      </c>
    </row>
    <row r="75" spans="1:6" x14ac:dyDescent="0.25">
      <c r="A75" t="s">
        <v>2067</v>
      </c>
      <c r="B75" t="s">
        <v>708</v>
      </c>
      <c r="C75" t="s">
        <v>318</v>
      </c>
      <c r="D75">
        <v>94</v>
      </c>
      <c r="E75">
        <v>76</v>
      </c>
      <c r="F75">
        <v>6</v>
      </c>
    </row>
    <row r="76" spans="1:6" x14ac:dyDescent="0.25">
      <c r="A76" t="s">
        <v>2067</v>
      </c>
      <c r="B76" t="s">
        <v>709</v>
      </c>
      <c r="C76" t="s">
        <v>320</v>
      </c>
      <c r="D76">
        <v>110</v>
      </c>
      <c r="E76">
        <v>118</v>
      </c>
      <c r="F76">
        <v>7</v>
      </c>
    </row>
    <row r="77" spans="1:6" x14ac:dyDescent="0.25">
      <c r="A77" t="s">
        <v>2067</v>
      </c>
      <c r="B77" t="s">
        <v>710</v>
      </c>
      <c r="C77" t="s">
        <v>322</v>
      </c>
      <c r="D77">
        <v>114</v>
      </c>
      <c r="E77">
        <v>136</v>
      </c>
      <c r="F77">
        <v>9</v>
      </c>
    </row>
    <row r="78" spans="1:6" x14ac:dyDescent="0.25">
      <c r="A78" t="s">
        <v>2068</v>
      </c>
      <c r="B78" t="s">
        <v>637</v>
      </c>
      <c r="C78" t="s">
        <v>106</v>
      </c>
      <c r="D78">
        <v>64</v>
      </c>
      <c r="E78">
        <v>12</v>
      </c>
      <c r="F78">
        <v>2</v>
      </c>
    </row>
    <row r="79" spans="1:6" x14ac:dyDescent="0.25">
      <c r="A79" t="s">
        <v>2068</v>
      </c>
      <c r="B79" t="s">
        <v>638</v>
      </c>
      <c r="C79">
        <v>18</v>
      </c>
      <c r="D79">
        <v>101</v>
      </c>
      <c r="E79">
        <v>18</v>
      </c>
      <c r="F79">
        <v>2</v>
      </c>
    </row>
    <row r="80" spans="1:6" x14ac:dyDescent="0.25">
      <c r="A80" t="s">
        <v>2068</v>
      </c>
      <c r="B80" t="s">
        <v>639</v>
      </c>
      <c r="C80" t="s">
        <v>37</v>
      </c>
      <c r="D80">
        <v>119</v>
      </c>
      <c r="E80">
        <v>25</v>
      </c>
      <c r="F80">
        <v>2</v>
      </c>
    </row>
    <row r="81" spans="1:6" x14ac:dyDescent="0.25">
      <c r="A81" t="s">
        <v>2068</v>
      </c>
      <c r="B81" t="s">
        <v>640</v>
      </c>
      <c r="C81" t="s">
        <v>38</v>
      </c>
      <c r="D81">
        <v>138</v>
      </c>
      <c r="E81">
        <v>29</v>
      </c>
      <c r="F81">
        <v>2</v>
      </c>
    </row>
    <row r="82" spans="1:6" x14ac:dyDescent="0.25">
      <c r="A82" t="s">
        <v>2068</v>
      </c>
      <c r="B82" t="s">
        <v>641</v>
      </c>
      <c r="C82" t="s">
        <v>39</v>
      </c>
      <c r="D82">
        <v>108</v>
      </c>
      <c r="E82">
        <v>23</v>
      </c>
      <c r="F82">
        <v>3</v>
      </c>
    </row>
    <row r="83" spans="1:6" x14ac:dyDescent="0.25">
      <c r="A83" t="s">
        <v>2068</v>
      </c>
      <c r="B83" t="s">
        <v>642</v>
      </c>
      <c r="C83" t="s">
        <v>40</v>
      </c>
      <c r="D83">
        <v>129</v>
      </c>
      <c r="E83">
        <v>27</v>
      </c>
      <c r="F83">
        <v>3</v>
      </c>
    </row>
    <row r="84" spans="1:6" x14ac:dyDescent="0.25">
      <c r="A84" t="s">
        <v>2068</v>
      </c>
      <c r="B84" t="s">
        <v>643</v>
      </c>
      <c r="C84" t="s">
        <v>41</v>
      </c>
      <c r="D84">
        <v>178</v>
      </c>
      <c r="E84">
        <v>66</v>
      </c>
      <c r="F84">
        <v>3</v>
      </c>
    </row>
    <row r="85" spans="1:6" x14ac:dyDescent="0.25">
      <c r="A85" t="s">
        <v>2068</v>
      </c>
      <c r="B85" t="s">
        <v>644</v>
      </c>
      <c r="C85" t="s">
        <v>42</v>
      </c>
      <c r="D85">
        <v>210</v>
      </c>
      <c r="E85">
        <v>78</v>
      </c>
      <c r="F85">
        <v>3</v>
      </c>
    </row>
    <row r="86" spans="1:6" x14ac:dyDescent="0.25">
      <c r="A86" t="s">
        <v>2068</v>
      </c>
      <c r="B86" t="s">
        <v>645</v>
      </c>
      <c r="C86" t="s">
        <v>43</v>
      </c>
      <c r="D86">
        <v>259</v>
      </c>
      <c r="E86">
        <v>116</v>
      </c>
      <c r="F86">
        <v>4</v>
      </c>
    </row>
    <row r="87" spans="1:6" x14ac:dyDescent="0.25">
      <c r="A87" t="s">
        <v>2068</v>
      </c>
      <c r="B87" t="s">
        <v>646</v>
      </c>
      <c r="C87" t="s">
        <v>44</v>
      </c>
      <c r="D87">
        <v>297</v>
      </c>
      <c r="E87">
        <v>133</v>
      </c>
      <c r="F87">
        <v>4</v>
      </c>
    </row>
    <row r="88" spans="1:6" x14ac:dyDescent="0.25">
      <c r="A88" t="s">
        <v>2068</v>
      </c>
      <c r="B88" t="s">
        <v>647</v>
      </c>
      <c r="C88" t="s">
        <v>45</v>
      </c>
      <c r="D88">
        <v>371</v>
      </c>
      <c r="E88">
        <v>191</v>
      </c>
      <c r="F88">
        <v>5</v>
      </c>
    </row>
    <row r="89" spans="1:6" x14ac:dyDescent="0.25">
      <c r="A89" t="s">
        <v>2068</v>
      </c>
      <c r="B89" t="s">
        <v>648</v>
      </c>
      <c r="C89" t="s">
        <v>46</v>
      </c>
      <c r="D89">
        <v>424</v>
      </c>
      <c r="E89">
        <v>218</v>
      </c>
      <c r="F89">
        <v>5</v>
      </c>
    </row>
    <row r="90" spans="1:6" x14ac:dyDescent="0.25">
      <c r="A90" t="s">
        <v>2068</v>
      </c>
      <c r="B90" t="s">
        <v>649</v>
      </c>
      <c r="C90" t="s">
        <v>47</v>
      </c>
      <c r="D90">
        <v>424</v>
      </c>
      <c r="E90">
        <v>218</v>
      </c>
      <c r="F90">
        <v>5</v>
      </c>
    </row>
    <row r="91" spans="1:6" x14ac:dyDescent="0.25">
      <c r="A91" t="s">
        <v>2068</v>
      </c>
      <c r="B91" t="s">
        <v>650</v>
      </c>
      <c r="C91" t="s">
        <v>48</v>
      </c>
      <c r="D91">
        <v>477</v>
      </c>
      <c r="E91">
        <v>245</v>
      </c>
      <c r="F91">
        <v>6</v>
      </c>
    </row>
    <row r="92" spans="1:6" x14ac:dyDescent="0.25">
      <c r="A92" t="s">
        <v>2068</v>
      </c>
      <c r="B92" t="s">
        <v>651</v>
      </c>
      <c r="C92" t="s">
        <v>49</v>
      </c>
      <c r="D92">
        <v>560</v>
      </c>
      <c r="E92">
        <v>321</v>
      </c>
      <c r="F92">
        <v>6</v>
      </c>
    </row>
    <row r="93" spans="1:6" x14ac:dyDescent="0.25">
      <c r="A93" t="s">
        <v>2068</v>
      </c>
      <c r="B93" t="s">
        <v>652</v>
      </c>
      <c r="C93" t="s">
        <v>50</v>
      </c>
      <c r="D93">
        <v>573</v>
      </c>
      <c r="E93">
        <v>328</v>
      </c>
      <c r="F93">
        <v>7</v>
      </c>
    </row>
    <row r="94" spans="1:6" x14ac:dyDescent="0.25">
      <c r="A94" t="s">
        <v>2068</v>
      </c>
      <c r="B94" t="s">
        <v>653</v>
      </c>
      <c r="C94" t="s">
        <v>121</v>
      </c>
      <c r="D94">
        <v>610</v>
      </c>
      <c r="E94">
        <v>365</v>
      </c>
      <c r="F94">
        <v>7</v>
      </c>
    </row>
    <row r="95" spans="1:6" x14ac:dyDescent="0.25">
      <c r="A95" t="s">
        <v>2068</v>
      </c>
      <c r="B95" t="s">
        <v>654</v>
      </c>
      <c r="C95" t="s">
        <v>51</v>
      </c>
      <c r="D95">
        <v>610</v>
      </c>
      <c r="E95">
        <v>567</v>
      </c>
      <c r="F95">
        <v>8</v>
      </c>
    </row>
    <row r="96" spans="1:6" x14ac:dyDescent="0.25">
      <c r="A96" t="s">
        <v>2068</v>
      </c>
      <c r="B96" t="s">
        <v>655</v>
      </c>
      <c r="C96" t="s">
        <v>52</v>
      </c>
      <c r="D96">
        <v>619</v>
      </c>
      <c r="E96">
        <v>624</v>
      </c>
      <c r="F96">
        <v>8</v>
      </c>
    </row>
    <row r="97" spans="1:6" x14ac:dyDescent="0.25">
      <c r="A97" t="s">
        <v>2068</v>
      </c>
      <c r="B97" t="s">
        <v>656</v>
      </c>
      <c r="C97" t="s">
        <v>53</v>
      </c>
      <c r="D97">
        <v>129</v>
      </c>
      <c r="E97">
        <v>27</v>
      </c>
      <c r="F97">
        <v>3</v>
      </c>
    </row>
    <row r="98" spans="1:6" x14ac:dyDescent="0.25">
      <c r="A98" t="s">
        <v>2068</v>
      </c>
      <c r="B98" t="s">
        <v>657</v>
      </c>
      <c r="C98" t="s">
        <v>54</v>
      </c>
      <c r="D98">
        <v>148</v>
      </c>
      <c r="E98">
        <v>30</v>
      </c>
      <c r="F98">
        <v>3</v>
      </c>
    </row>
    <row r="99" spans="1:6" x14ac:dyDescent="0.25">
      <c r="A99" t="s">
        <v>2068</v>
      </c>
      <c r="B99" t="s">
        <v>658</v>
      </c>
      <c r="C99" t="s">
        <v>55</v>
      </c>
      <c r="D99">
        <v>254</v>
      </c>
      <c r="E99">
        <v>94</v>
      </c>
      <c r="F99">
        <v>3</v>
      </c>
    </row>
    <row r="100" spans="1:6" x14ac:dyDescent="0.25">
      <c r="A100" t="s">
        <v>2068</v>
      </c>
      <c r="B100" t="s">
        <v>659</v>
      </c>
      <c r="C100" t="s">
        <v>56</v>
      </c>
      <c r="D100">
        <v>286</v>
      </c>
      <c r="E100">
        <v>106</v>
      </c>
      <c r="F100">
        <v>3</v>
      </c>
    </row>
    <row r="101" spans="1:6" x14ac:dyDescent="0.25">
      <c r="A101" t="s">
        <v>2068</v>
      </c>
      <c r="B101" t="s">
        <v>660</v>
      </c>
      <c r="C101" t="s">
        <v>57</v>
      </c>
      <c r="D101">
        <v>339</v>
      </c>
      <c r="E101">
        <v>152</v>
      </c>
      <c r="F101">
        <v>4</v>
      </c>
    </row>
    <row r="102" spans="1:6" x14ac:dyDescent="0.25">
      <c r="A102" t="s">
        <v>2068</v>
      </c>
      <c r="B102" t="s">
        <v>661</v>
      </c>
      <c r="C102" t="s">
        <v>58</v>
      </c>
      <c r="D102">
        <v>382</v>
      </c>
      <c r="E102">
        <v>171</v>
      </c>
      <c r="F102">
        <v>4</v>
      </c>
    </row>
    <row r="103" spans="1:6" x14ac:dyDescent="0.25">
      <c r="A103" t="s">
        <v>2068</v>
      </c>
      <c r="B103" t="s">
        <v>662</v>
      </c>
      <c r="C103" t="s">
        <v>59</v>
      </c>
      <c r="D103">
        <v>399</v>
      </c>
      <c r="E103">
        <v>180</v>
      </c>
      <c r="F103">
        <v>5</v>
      </c>
    </row>
    <row r="104" spans="1:6" x14ac:dyDescent="0.25">
      <c r="A104" t="s">
        <v>2068</v>
      </c>
      <c r="B104" t="s">
        <v>663</v>
      </c>
      <c r="C104" t="s">
        <v>60</v>
      </c>
      <c r="D104">
        <v>424</v>
      </c>
      <c r="E104">
        <v>190</v>
      </c>
      <c r="F104">
        <v>5</v>
      </c>
    </row>
    <row r="105" spans="1:6" x14ac:dyDescent="0.25">
      <c r="A105" t="s">
        <v>2068</v>
      </c>
      <c r="B105" t="s">
        <v>664</v>
      </c>
      <c r="C105" t="s">
        <v>61</v>
      </c>
      <c r="D105">
        <v>583</v>
      </c>
      <c r="E105">
        <v>300</v>
      </c>
      <c r="F105">
        <v>6</v>
      </c>
    </row>
    <row r="106" spans="1:6" x14ac:dyDescent="0.25">
      <c r="A106" t="s">
        <v>2068</v>
      </c>
      <c r="B106" t="s">
        <v>665</v>
      </c>
      <c r="C106" t="s">
        <v>62</v>
      </c>
      <c r="D106">
        <v>700</v>
      </c>
      <c r="E106">
        <v>401</v>
      </c>
      <c r="F106">
        <v>7</v>
      </c>
    </row>
    <row r="107" spans="1:6" x14ac:dyDescent="0.25">
      <c r="A107" t="s">
        <v>2068</v>
      </c>
      <c r="B107" t="s">
        <v>666</v>
      </c>
      <c r="C107" t="s">
        <v>63</v>
      </c>
      <c r="D107">
        <v>731</v>
      </c>
      <c r="E107">
        <v>529</v>
      </c>
      <c r="F107">
        <v>7</v>
      </c>
    </row>
    <row r="108" spans="1:6" x14ac:dyDescent="0.25">
      <c r="A108" t="s">
        <v>2068</v>
      </c>
      <c r="B108" t="s">
        <v>667</v>
      </c>
      <c r="C108" t="s">
        <v>64</v>
      </c>
      <c r="D108">
        <v>739</v>
      </c>
      <c r="E108">
        <v>552</v>
      </c>
      <c r="F108">
        <v>8</v>
      </c>
    </row>
    <row r="109" spans="1:6" x14ac:dyDescent="0.25">
      <c r="A109" t="s">
        <v>2068</v>
      </c>
      <c r="B109" t="s">
        <v>668</v>
      </c>
      <c r="C109" t="s">
        <v>65</v>
      </c>
      <c r="D109">
        <v>739</v>
      </c>
      <c r="E109">
        <v>587</v>
      </c>
      <c r="F109">
        <v>8</v>
      </c>
    </row>
    <row r="110" spans="1:6" x14ac:dyDescent="0.25">
      <c r="A110" t="s">
        <v>2068</v>
      </c>
      <c r="B110" t="s">
        <v>669</v>
      </c>
      <c r="C110" t="s">
        <v>66</v>
      </c>
      <c r="D110">
        <v>733</v>
      </c>
      <c r="E110">
        <v>556</v>
      </c>
      <c r="F110">
        <v>9</v>
      </c>
    </row>
    <row r="111" spans="1:6" x14ac:dyDescent="0.25">
      <c r="A111" t="s">
        <v>2068</v>
      </c>
      <c r="B111" t="s">
        <v>670</v>
      </c>
      <c r="C111" t="s">
        <v>67</v>
      </c>
      <c r="D111">
        <v>740</v>
      </c>
      <c r="E111">
        <v>724</v>
      </c>
      <c r="F111">
        <v>9</v>
      </c>
    </row>
    <row r="112" spans="1:6" x14ac:dyDescent="0.25">
      <c r="A112" t="s">
        <v>2068</v>
      </c>
      <c r="B112" t="s">
        <v>671</v>
      </c>
      <c r="C112" t="s">
        <v>68</v>
      </c>
      <c r="D112">
        <v>740</v>
      </c>
      <c r="E112">
        <v>780</v>
      </c>
      <c r="F112">
        <v>9</v>
      </c>
    </row>
    <row r="113" spans="1:6" x14ac:dyDescent="0.25">
      <c r="A113" t="s">
        <v>2068</v>
      </c>
      <c r="B113" t="s">
        <v>672</v>
      </c>
      <c r="C113" t="s">
        <v>69</v>
      </c>
      <c r="D113">
        <v>740</v>
      </c>
      <c r="E113">
        <v>780</v>
      </c>
      <c r="F113">
        <v>9</v>
      </c>
    </row>
    <row r="114" spans="1:6" x14ac:dyDescent="0.25">
      <c r="A114" t="s">
        <v>2068</v>
      </c>
      <c r="B114" t="s">
        <v>673</v>
      </c>
      <c r="C114" t="s">
        <v>70</v>
      </c>
      <c r="D114">
        <v>2004</v>
      </c>
      <c r="E114">
        <v>1295</v>
      </c>
      <c r="F114">
        <v>10</v>
      </c>
    </row>
    <row r="115" spans="1:6" x14ac:dyDescent="0.25">
      <c r="A115" t="s">
        <v>2068</v>
      </c>
      <c r="B115" t="s">
        <v>674</v>
      </c>
      <c r="C115" t="s">
        <v>71</v>
      </c>
      <c r="D115">
        <v>1918</v>
      </c>
      <c r="E115">
        <v>1255</v>
      </c>
      <c r="F115">
        <v>10</v>
      </c>
    </row>
    <row r="116" spans="1:6" x14ac:dyDescent="0.25">
      <c r="A116" t="s">
        <v>2068</v>
      </c>
      <c r="B116" t="s">
        <v>675</v>
      </c>
      <c r="C116" t="s">
        <v>72</v>
      </c>
      <c r="D116">
        <v>2125</v>
      </c>
      <c r="E116">
        <v>1400</v>
      </c>
      <c r="F116">
        <v>10</v>
      </c>
    </row>
    <row r="117" spans="1:6" x14ac:dyDescent="0.25">
      <c r="A117" t="s">
        <v>2068</v>
      </c>
      <c r="B117" t="s">
        <v>676</v>
      </c>
      <c r="C117" t="s">
        <v>73</v>
      </c>
      <c r="D117">
        <v>2125</v>
      </c>
      <c r="E117">
        <v>1963</v>
      </c>
      <c r="F117">
        <v>10</v>
      </c>
    </row>
    <row r="118" spans="1:6" x14ac:dyDescent="0.25">
      <c r="A118" t="s">
        <v>2068</v>
      </c>
      <c r="B118" t="s">
        <v>677</v>
      </c>
      <c r="C118" t="s">
        <v>304</v>
      </c>
      <c r="D118">
        <v>2125</v>
      </c>
      <c r="E118">
        <v>2698</v>
      </c>
      <c r="F118">
        <v>10</v>
      </c>
    </row>
    <row r="119" spans="1:6" x14ac:dyDescent="0.25">
      <c r="A119" t="s">
        <v>2068</v>
      </c>
      <c r="B119" t="s">
        <v>678</v>
      </c>
      <c r="C119" t="s">
        <v>306</v>
      </c>
      <c r="D119">
        <v>2125</v>
      </c>
      <c r="E119">
        <v>2694</v>
      </c>
      <c r="F119">
        <v>10</v>
      </c>
    </row>
    <row r="120" spans="1:6" x14ac:dyDescent="0.25">
      <c r="A120" t="s">
        <v>2069</v>
      </c>
      <c r="B120" t="s">
        <v>761</v>
      </c>
      <c r="C120" t="s">
        <v>106</v>
      </c>
      <c r="D120">
        <v>397</v>
      </c>
      <c r="E120">
        <v>57</v>
      </c>
      <c r="F120">
        <v>2</v>
      </c>
    </row>
    <row r="121" spans="1:6" x14ac:dyDescent="0.25">
      <c r="A121" t="s">
        <v>2069</v>
      </c>
      <c r="B121" t="s">
        <v>762</v>
      </c>
      <c r="C121">
        <v>18</v>
      </c>
      <c r="D121">
        <v>540</v>
      </c>
      <c r="E121">
        <v>79</v>
      </c>
      <c r="F121">
        <v>2</v>
      </c>
    </row>
    <row r="122" spans="1:6" x14ac:dyDescent="0.25">
      <c r="A122" t="s">
        <v>2069</v>
      </c>
      <c r="B122" t="s">
        <v>763</v>
      </c>
      <c r="C122" t="s">
        <v>37</v>
      </c>
      <c r="D122">
        <v>574</v>
      </c>
      <c r="E122">
        <v>96</v>
      </c>
      <c r="F122">
        <v>2</v>
      </c>
    </row>
    <row r="123" spans="1:6" x14ac:dyDescent="0.25">
      <c r="A123" t="s">
        <v>2069</v>
      </c>
      <c r="B123" t="s">
        <v>764</v>
      </c>
      <c r="C123" t="s">
        <v>38</v>
      </c>
      <c r="D123">
        <v>580</v>
      </c>
      <c r="E123">
        <v>101</v>
      </c>
      <c r="F123">
        <v>2</v>
      </c>
    </row>
    <row r="124" spans="1:6" x14ac:dyDescent="0.25">
      <c r="A124" t="s">
        <v>2069</v>
      </c>
      <c r="B124" t="s">
        <v>765</v>
      </c>
      <c r="C124" t="s">
        <v>39</v>
      </c>
      <c r="D124">
        <v>574</v>
      </c>
      <c r="E124">
        <v>93</v>
      </c>
      <c r="F124">
        <v>3</v>
      </c>
    </row>
    <row r="125" spans="1:6" x14ac:dyDescent="0.25">
      <c r="A125" t="s">
        <v>2069</v>
      </c>
      <c r="B125" t="s">
        <v>766</v>
      </c>
      <c r="C125" t="s">
        <v>40</v>
      </c>
      <c r="D125">
        <v>583</v>
      </c>
      <c r="E125">
        <v>98</v>
      </c>
      <c r="F125">
        <v>3</v>
      </c>
    </row>
    <row r="126" spans="1:6" x14ac:dyDescent="0.25">
      <c r="A126" t="s">
        <v>2069</v>
      </c>
      <c r="B126" t="s">
        <v>767</v>
      </c>
      <c r="C126" t="s">
        <v>41</v>
      </c>
      <c r="D126">
        <v>574</v>
      </c>
      <c r="E126">
        <v>230</v>
      </c>
      <c r="F126">
        <v>3</v>
      </c>
    </row>
    <row r="127" spans="1:6" x14ac:dyDescent="0.25">
      <c r="A127" t="s">
        <v>2069</v>
      </c>
      <c r="B127" t="s">
        <v>768</v>
      </c>
      <c r="C127" t="s">
        <v>42</v>
      </c>
      <c r="D127">
        <v>583</v>
      </c>
      <c r="E127">
        <v>243</v>
      </c>
      <c r="F127">
        <v>3</v>
      </c>
    </row>
    <row r="128" spans="1:6" x14ac:dyDescent="0.25">
      <c r="A128" t="s">
        <v>2069</v>
      </c>
      <c r="B128" t="s">
        <v>769</v>
      </c>
      <c r="C128" t="s">
        <v>43</v>
      </c>
      <c r="D128">
        <v>583</v>
      </c>
      <c r="E128">
        <v>362</v>
      </c>
      <c r="F128">
        <v>4</v>
      </c>
    </row>
    <row r="129" spans="1:6" x14ac:dyDescent="0.25">
      <c r="A129" t="s">
        <v>2069</v>
      </c>
      <c r="B129" t="s">
        <v>770</v>
      </c>
      <c r="C129" t="s">
        <v>44</v>
      </c>
      <c r="D129">
        <v>592</v>
      </c>
      <c r="E129">
        <v>379</v>
      </c>
      <c r="F129">
        <v>4</v>
      </c>
    </row>
    <row r="130" spans="1:6" x14ac:dyDescent="0.25">
      <c r="A130" t="s">
        <v>2069</v>
      </c>
      <c r="B130" t="s">
        <v>771</v>
      </c>
      <c r="C130" t="s">
        <v>45</v>
      </c>
      <c r="D130">
        <v>592</v>
      </c>
      <c r="E130">
        <v>432</v>
      </c>
      <c r="F130">
        <v>5</v>
      </c>
    </row>
    <row r="131" spans="1:6" x14ac:dyDescent="0.25">
      <c r="A131" t="s">
        <v>2069</v>
      </c>
      <c r="B131" t="s">
        <v>772</v>
      </c>
      <c r="C131" t="s">
        <v>46</v>
      </c>
      <c r="D131">
        <v>601</v>
      </c>
      <c r="E131">
        <v>438</v>
      </c>
      <c r="F131">
        <v>5</v>
      </c>
    </row>
    <row r="132" spans="1:6" x14ac:dyDescent="0.25">
      <c r="A132" t="s">
        <v>2069</v>
      </c>
      <c r="B132" t="s">
        <v>773</v>
      </c>
      <c r="C132" t="s">
        <v>47</v>
      </c>
      <c r="D132">
        <v>592</v>
      </c>
      <c r="E132">
        <v>490</v>
      </c>
      <c r="F132">
        <v>6</v>
      </c>
    </row>
    <row r="133" spans="1:6" x14ac:dyDescent="0.25">
      <c r="A133" t="s">
        <v>2069</v>
      </c>
      <c r="B133" t="s">
        <v>774</v>
      </c>
      <c r="C133" t="s">
        <v>48</v>
      </c>
      <c r="D133">
        <v>601</v>
      </c>
      <c r="E133">
        <v>497</v>
      </c>
      <c r="F133">
        <v>6</v>
      </c>
    </row>
    <row r="134" spans="1:6" x14ac:dyDescent="0.25">
      <c r="A134" t="s">
        <v>2069</v>
      </c>
      <c r="B134" t="s">
        <v>775</v>
      </c>
      <c r="C134" t="s">
        <v>49</v>
      </c>
      <c r="D134">
        <v>592</v>
      </c>
      <c r="E134">
        <v>543</v>
      </c>
      <c r="F134">
        <v>7</v>
      </c>
    </row>
    <row r="135" spans="1:6" x14ac:dyDescent="0.25">
      <c r="A135" t="s">
        <v>2069</v>
      </c>
      <c r="B135" t="s">
        <v>776</v>
      </c>
      <c r="C135" t="s">
        <v>50</v>
      </c>
      <c r="D135">
        <v>601</v>
      </c>
      <c r="E135">
        <v>552</v>
      </c>
      <c r="F135">
        <v>7</v>
      </c>
    </row>
    <row r="136" spans="1:6" x14ac:dyDescent="0.25">
      <c r="A136" t="s">
        <v>2069</v>
      </c>
      <c r="B136" t="s">
        <v>777</v>
      </c>
      <c r="C136" t="s">
        <v>121</v>
      </c>
      <c r="D136">
        <v>610</v>
      </c>
      <c r="E136">
        <v>560</v>
      </c>
      <c r="F136">
        <v>7</v>
      </c>
    </row>
    <row r="137" spans="1:6" x14ac:dyDescent="0.25">
      <c r="A137" t="s">
        <v>2069</v>
      </c>
      <c r="B137" t="s">
        <v>778</v>
      </c>
      <c r="C137" t="s">
        <v>51</v>
      </c>
      <c r="D137">
        <v>610</v>
      </c>
      <c r="E137">
        <v>675</v>
      </c>
      <c r="F137">
        <v>8</v>
      </c>
    </row>
    <row r="138" spans="1:6" x14ac:dyDescent="0.25">
      <c r="A138" t="s">
        <v>2069</v>
      </c>
      <c r="B138" t="s">
        <v>779</v>
      </c>
      <c r="C138" t="s">
        <v>52</v>
      </c>
      <c r="D138">
        <v>619</v>
      </c>
      <c r="E138">
        <v>684</v>
      </c>
      <c r="F138">
        <v>8</v>
      </c>
    </row>
    <row r="139" spans="1:6" x14ac:dyDescent="0.25">
      <c r="A139" t="s">
        <v>2069</v>
      </c>
      <c r="B139" t="s">
        <v>780</v>
      </c>
      <c r="C139" t="s">
        <v>53</v>
      </c>
      <c r="D139">
        <v>644</v>
      </c>
      <c r="E139">
        <v>98</v>
      </c>
      <c r="F139">
        <v>3</v>
      </c>
    </row>
    <row r="140" spans="1:6" x14ac:dyDescent="0.25">
      <c r="A140" t="s">
        <v>2069</v>
      </c>
      <c r="B140" t="s">
        <v>781</v>
      </c>
      <c r="C140" t="s">
        <v>54</v>
      </c>
      <c r="D140">
        <v>691</v>
      </c>
      <c r="E140">
        <v>98</v>
      </c>
      <c r="F140">
        <v>3</v>
      </c>
    </row>
    <row r="141" spans="1:6" x14ac:dyDescent="0.25">
      <c r="A141" t="s">
        <v>2069</v>
      </c>
      <c r="B141" t="s">
        <v>782</v>
      </c>
      <c r="C141" t="s">
        <v>55</v>
      </c>
      <c r="D141">
        <v>707</v>
      </c>
      <c r="E141">
        <v>247</v>
      </c>
      <c r="F141">
        <v>3</v>
      </c>
    </row>
    <row r="142" spans="1:6" x14ac:dyDescent="0.25">
      <c r="A142" t="s">
        <v>2069</v>
      </c>
      <c r="B142" t="s">
        <v>783</v>
      </c>
      <c r="C142" t="s">
        <v>56</v>
      </c>
      <c r="D142">
        <v>724</v>
      </c>
      <c r="E142">
        <v>259</v>
      </c>
      <c r="F142">
        <v>3</v>
      </c>
    </row>
    <row r="143" spans="1:6" x14ac:dyDescent="0.25">
      <c r="A143" t="s">
        <v>2069</v>
      </c>
      <c r="B143" t="s">
        <v>784</v>
      </c>
      <c r="C143" t="s">
        <v>57</v>
      </c>
      <c r="D143">
        <v>707</v>
      </c>
      <c r="E143">
        <v>415</v>
      </c>
      <c r="F143">
        <v>4</v>
      </c>
    </row>
    <row r="144" spans="1:6" x14ac:dyDescent="0.25">
      <c r="A144" t="s">
        <v>2069</v>
      </c>
      <c r="B144" t="s">
        <v>785</v>
      </c>
      <c r="C144" t="s">
        <v>58</v>
      </c>
      <c r="D144">
        <v>715</v>
      </c>
      <c r="E144">
        <v>389</v>
      </c>
      <c r="F144">
        <v>4</v>
      </c>
    </row>
    <row r="145" spans="1:6" x14ac:dyDescent="0.25">
      <c r="A145" t="s">
        <v>2069</v>
      </c>
      <c r="B145" t="s">
        <v>786</v>
      </c>
      <c r="C145" t="s">
        <v>59</v>
      </c>
      <c r="D145">
        <v>705</v>
      </c>
      <c r="E145">
        <v>389</v>
      </c>
      <c r="F145">
        <v>5</v>
      </c>
    </row>
    <row r="146" spans="1:6" x14ac:dyDescent="0.25">
      <c r="A146" t="s">
        <v>2069</v>
      </c>
      <c r="B146" t="s">
        <v>787</v>
      </c>
      <c r="C146" t="s">
        <v>60</v>
      </c>
      <c r="D146">
        <v>724</v>
      </c>
      <c r="E146">
        <v>389</v>
      </c>
      <c r="F146">
        <v>6</v>
      </c>
    </row>
    <row r="147" spans="1:6" x14ac:dyDescent="0.25">
      <c r="A147" t="s">
        <v>2069</v>
      </c>
      <c r="B147" t="s">
        <v>788</v>
      </c>
      <c r="C147" t="s">
        <v>61</v>
      </c>
      <c r="D147">
        <v>733</v>
      </c>
      <c r="E147">
        <v>510</v>
      </c>
      <c r="F147">
        <v>7</v>
      </c>
    </row>
    <row r="148" spans="1:6" x14ac:dyDescent="0.25">
      <c r="A148" t="s">
        <v>2069</v>
      </c>
      <c r="B148" t="s">
        <v>789</v>
      </c>
      <c r="C148" t="s">
        <v>62</v>
      </c>
      <c r="D148">
        <v>724</v>
      </c>
      <c r="E148">
        <v>639</v>
      </c>
      <c r="F148">
        <v>8</v>
      </c>
    </row>
    <row r="149" spans="1:6" x14ac:dyDescent="0.25">
      <c r="A149" t="s">
        <v>2069</v>
      </c>
      <c r="B149" t="s">
        <v>790</v>
      </c>
      <c r="C149" t="s">
        <v>63</v>
      </c>
      <c r="D149">
        <v>731</v>
      </c>
      <c r="E149">
        <v>646</v>
      </c>
      <c r="F149">
        <v>8</v>
      </c>
    </row>
    <row r="150" spans="1:6" x14ac:dyDescent="0.25">
      <c r="A150" t="s">
        <v>2069</v>
      </c>
      <c r="B150" t="s">
        <v>791</v>
      </c>
      <c r="C150" t="s">
        <v>64</v>
      </c>
      <c r="D150">
        <v>739</v>
      </c>
      <c r="E150">
        <v>658</v>
      </c>
      <c r="F150">
        <v>8</v>
      </c>
    </row>
    <row r="151" spans="1:6" x14ac:dyDescent="0.25">
      <c r="A151" t="s">
        <v>2069</v>
      </c>
      <c r="B151" t="s">
        <v>792</v>
      </c>
      <c r="C151" t="s">
        <v>65</v>
      </c>
      <c r="D151">
        <v>739</v>
      </c>
      <c r="E151">
        <v>667</v>
      </c>
      <c r="F151">
        <v>8</v>
      </c>
    </row>
    <row r="152" spans="1:6" x14ac:dyDescent="0.25">
      <c r="A152" t="s">
        <v>2069</v>
      </c>
      <c r="B152" t="s">
        <v>793</v>
      </c>
      <c r="C152" t="s">
        <v>66</v>
      </c>
      <c r="D152">
        <v>733</v>
      </c>
      <c r="E152">
        <v>784</v>
      </c>
      <c r="F152">
        <v>9</v>
      </c>
    </row>
    <row r="153" spans="1:6" x14ac:dyDescent="0.25">
      <c r="A153" t="s">
        <v>2069</v>
      </c>
      <c r="B153" t="s">
        <v>794</v>
      </c>
      <c r="C153" t="s">
        <v>67</v>
      </c>
      <c r="D153">
        <v>740</v>
      </c>
      <c r="E153">
        <v>798</v>
      </c>
      <c r="F153">
        <v>9</v>
      </c>
    </row>
    <row r="154" spans="1:6" x14ac:dyDescent="0.25">
      <c r="A154" t="s">
        <v>2069</v>
      </c>
      <c r="B154" t="s">
        <v>795</v>
      </c>
      <c r="C154" t="s">
        <v>68</v>
      </c>
      <c r="D154">
        <v>740</v>
      </c>
      <c r="E154">
        <v>809</v>
      </c>
      <c r="F154">
        <v>10</v>
      </c>
    </row>
    <row r="155" spans="1:6" x14ac:dyDescent="0.25">
      <c r="A155" t="s">
        <v>2069</v>
      </c>
      <c r="B155" t="s">
        <v>796</v>
      </c>
      <c r="C155" t="s">
        <v>69</v>
      </c>
      <c r="D155">
        <v>740</v>
      </c>
      <c r="E155">
        <v>821</v>
      </c>
      <c r="F155">
        <v>10</v>
      </c>
    </row>
    <row r="156" spans="1:6" x14ac:dyDescent="0.25">
      <c r="A156" t="s">
        <v>2069</v>
      </c>
      <c r="B156" t="s">
        <v>797</v>
      </c>
      <c r="C156" t="s">
        <v>70</v>
      </c>
      <c r="D156">
        <v>2125</v>
      </c>
      <c r="E156">
        <v>1466</v>
      </c>
      <c r="F156">
        <v>10</v>
      </c>
    </row>
    <row r="157" spans="1:6" x14ac:dyDescent="0.25">
      <c r="A157" t="s">
        <v>2069</v>
      </c>
      <c r="B157" t="s">
        <v>798</v>
      </c>
      <c r="C157" t="s">
        <v>71</v>
      </c>
      <c r="D157">
        <v>2125</v>
      </c>
      <c r="E157">
        <v>1635</v>
      </c>
      <c r="F157">
        <v>10</v>
      </c>
    </row>
    <row r="158" spans="1:6" x14ac:dyDescent="0.25">
      <c r="A158" t="s">
        <v>2069</v>
      </c>
      <c r="B158" t="s">
        <v>799</v>
      </c>
      <c r="C158" t="s">
        <v>72</v>
      </c>
      <c r="D158">
        <v>2125</v>
      </c>
      <c r="E158">
        <v>1875</v>
      </c>
      <c r="F158">
        <v>10</v>
      </c>
    </row>
    <row r="159" spans="1:6" x14ac:dyDescent="0.25">
      <c r="A159" t="s">
        <v>2069</v>
      </c>
      <c r="B159" t="s">
        <v>800</v>
      </c>
      <c r="C159" t="s">
        <v>73</v>
      </c>
      <c r="D159">
        <v>2125</v>
      </c>
      <c r="E159">
        <v>2839</v>
      </c>
      <c r="F159">
        <v>10</v>
      </c>
    </row>
    <row r="160" spans="1:6" x14ac:dyDescent="0.25">
      <c r="A160" t="s">
        <v>2069</v>
      </c>
      <c r="B160" t="s">
        <v>801</v>
      </c>
      <c r="C160" t="s">
        <v>304</v>
      </c>
      <c r="D160">
        <v>2125</v>
      </c>
      <c r="E160">
        <v>3316</v>
      </c>
      <c r="F160">
        <v>10</v>
      </c>
    </row>
    <row r="161" spans="1:6" x14ac:dyDescent="0.25">
      <c r="A161" t="s">
        <v>2069</v>
      </c>
      <c r="B161" t="s">
        <v>802</v>
      </c>
      <c r="C161" t="s">
        <v>306</v>
      </c>
      <c r="D161">
        <v>2125</v>
      </c>
      <c r="E161">
        <v>3554</v>
      </c>
      <c r="F161">
        <v>10</v>
      </c>
    </row>
    <row r="162" spans="1:6" x14ac:dyDescent="0.25">
      <c r="A162" t="s">
        <v>2070</v>
      </c>
      <c r="B162" t="s">
        <v>900</v>
      </c>
      <c r="C162" t="s">
        <v>106</v>
      </c>
      <c r="D162">
        <v>65</v>
      </c>
      <c r="E162">
        <v>22</v>
      </c>
      <c r="F162">
        <v>2</v>
      </c>
    </row>
    <row r="163" spans="1:6" x14ac:dyDescent="0.25">
      <c r="A163" t="s">
        <v>2070</v>
      </c>
      <c r="B163" t="s">
        <v>901</v>
      </c>
      <c r="C163">
        <v>18</v>
      </c>
      <c r="D163">
        <v>102</v>
      </c>
      <c r="E163">
        <v>35</v>
      </c>
      <c r="F163">
        <v>2</v>
      </c>
    </row>
    <row r="164" spans="1:6" x14ac:dyDescent="0.25">
      <c r="A164" t="s">
        <v>2070</v>
      </c>
      <c r="B164" t="s">
        <v>902</v>
      </c>
      <c r="C164" t="s">
        <v>37</v>
      </c>
      <c r="D164">
        <v>112</v>
      </c>
      <c r="E164">
        <v>43</v>
      </c>
      <c r="F164">
        <v>2</v>
      </c>
    </row>
    <row r="165" spans="1:6" x14ac:dyDescent="0.25">
      <c r="A165" t="s">
        <v>2070</v>
      </c>
      <c r="B165" t="s">
        <v>903</v>
      </c>
      <c r="C165" t="s">
        <v>38</v>
      </c>
      <c r="D165">
        <v>130</v>
      </c>
      <c r="E165">
        <v>51</v>
      </c>
      <c r="F165">
        <v>2</v>
      </c>
    </row>
    <row r="166" spans="1:6" x14ac:dyDescent="0.25">
      <c r="A166" t="s">
        <v>2070</v>
      </c>
      <c r="B166" t="s">
        <v>904</v>
      </c>
      <c r="C166" t="s">
        <v>39</v>
      </c>
      <c r="D166">
        <v>102</v>
      </c>
      <c r="E166">
        <v>39</v>
      </c>
      <c r="F166">
        <v>3</v>
      </c>
    </row>
    <row r="167" spans="1:6" x14ac:dyDescent="0.25">
      <c r="A167" t="s">
        <v>2070</v>
      </c>
      <c r="B167" t="s">
        <v>905</v>
      </c>
      <c r="C167" t="s">
        <v>40</v>
      </c>
      <c r="D167">
        <v>122</v>
      </c>
      <c r="E167">
        <v>47</v>
      </c>
      <c r="F167">
        <v>3</v>
      </c>
    </row>
    <row r="168" spans="1:6" x14ac:dyDescent="0.25">
      <c r="A168" t="s">
        <v>2070</v>
      </c>
      <c r="B168" t="s">
        <v>906</v>
      </c>
      <c r="C168" t="s">
        <v>41</v>
      </c>
      <c r="D168">
        <v>168</v>
      </c>
      <c r="E168">
        <v>99</v>
      </c>
      <c r="F168">
        <v>3</v>
      </c>
    </row>
    <row r="169" spans="1:6" x14ac:dyDescent="0.25">
      <c r="A169" t="s">
        <v>2070</v>
      </c>
      <c r="B169" t="s">
        <v>907</v>
      </c>
      <c r="C169" t="s">
        <v>42</v>
      </c>
      <c r="D169">
        <v>199</v>
      </c>
      <c r="E169">
        <v>117</v>
      </c>
      <c r="F169">
        <v>3</v>
      </c>
    </row>
    <row r="170" spans="1:6" x14ac:dyDescent="0.25">
      <c r="A170" t="s">
        <v>2070</v>
      </c>
      <c r="B170" t="s">
        <v>908</v>
      </c>
      <c r="C170" t="s">
        <v>43</v>
      </c>
      <c r="D170">
        <v>244</v>
      </c>
      <c r="E170">
        <v>164</v>
      </c>
      <c r="F170">
        <v>4</v>
      </c>
    </row>
    <row r="171" spans="1:6" x14ac:dyDescent="0.25">
      <c r="A171" t="s">
        <v>2070</v>
      </c>
      <c r="B171" t="s">
        <v>909</v>
      </c>
      <c r="C171" t="s">
        <v>44</v>
      </c>
      <c r="D171">
        <v>281</v>
      </c>
      <c r="E171">
        <v>189</v>
      </c>
      <c r="F171">
        <v>4</v>
      </c>
    </row>
    <row r="172" spans="1:6" x14ac:dyDescent="0.25">
      <c r="A172" t="s">
        <v>2070</v>
      </c>
      <c r="B172" t="s">
        <v>910</v>
      </c>
      <c r="C172" t="s">
        <v>45</v>
      </c>
      <c r="D172">
        <v>351</v>
      </c>
      <c r="E172">
        <v>258</v>
      </c>
      <c r="F172">
        <v>5</v>
      </c>
    </row>
    <row r="173" spans="1:6" x14ac:dyDescent="0.25">
      <c r="A173" t="s">
        <v>2070</v>
      </c>
      <c r="B173" t="s">
        <v>911</v>
      </c>
      <c r="C173" t="s">
        <v>46</v>
      </c>
      <c r="D173">
        <v>401</v>
      </c>
      <c r="E173">
        <v>295</v>
      </c>
      <c r="F173">
        <v>5</v>
      </c>
    </row>
    <row r="174" spans="1:6" x14ac:dyDescent="0.25">
      <c r="A174" t="s">
        <v>2070</v>
      </c>
      <c r="B174" t="s">
        <v>912</v>
      </c>
      <c r="C174" t="s">
        <v>47</v>
      </c>
      <c r="D174">
        <v>401</v>
      </c>
      <c r="E174">
        <v>295</v>
      </c>
      <c r="F174">
        <v>5</v>
      </c>
    </row>
    <row r="175" spans="1:6" x14ac:dyDescent="0.25">
      <c r="A175" t="s">
        <v>2070</v>
      </c>
      <c r="B175" t="s">
        <v>913</v>
      </c>
      <c r="C175" t="s">
        <v>48</v>
      </c>
      <c r="D175">
        <v>421</v>
      </c>
      <c r="E175">
        <v>310</v>
      </c>
      <c r="F175">
        <v>6</v>
      </c>
    </row>
    <row r="176" spans="1:6" x14ac:dyDescent="0.25">
      <c r="A176" t="s">
        <v>2070</v>
      </c>
      <c r="B176" t="s">
        <v>914</v>
      </c>
      <c r="C176" t="s">
        <v>49</v>
      </c>
      <c r="D176">
        <v>505</v>
      </c>
      <c r="E176">
        <v>397</v>
      </c>
      <c r="F176">
        <v>6</v>
      </c>
    </row>
    <row r="177" spans="1:6" x14ac:dyDescent="0.25">
      <c r="A177" t="s">
        <v>2070</v>
      </c>
      <c r="B177" t="s">
        <v>915</v>
      </c>
      <c r="C177" t="s">
        <v>50</v>
      </c>
      <c r="D177">
        <v>505</v>
      </c>
      <c r="E177">
        <v>397</v>
      </c>
      <c r="F177">
        <v>7</v>
      </c>
    </row>
    <row r="178" spans="1:6" x14ac:dyDescent="0.25">
      <c r="A178" t="s">
        <v>2070</v>
      </c>
      <c r="B178" t="s">
        <v>916</v>
      </c>
      <c r="C178" t="s">
        <v>121</v>
      </c>
      <c r="D178">
        <v>505</v>
      </c>
      <c r="E178">
        <v>397</v>
      </c>
      <c r="F178">
        <v>7</v>
      </c>
    </row>
    <row r="179" spans="1:6" x14ac:dyDescent="0.25">
      <c r="A179" t="s">
        <v>2070</v>
      </c>
      <c r="B179" t="s">
        <v>917</v>
      </c>
      <c r="C179" t="s">
        <v>51</v>
      </c>
      <c r="D179">
        <v>674</v>
      </c>
      <c r="E179">
        <v>551</v>
      </c>
      <c r="F179">
        <v>8</v>
      </c>
    </row>
    <row r="180" spans="1:6" x14ac:dyDescent="0.25">
      <c r="A180" t="s">
        <v>2070</v>
      </c>
      <c r="B180" t="s">
        <v>918</v>
      </c>
      <c r="C180" t="s">
        <v>52</v>
      </c>
      <c r="D180">
        <v>674</v>
      </c>
      <c r="E180">
        <v>575</v>
      </c>
      <c r="F180">
        <v>8</v>
      </c>
    </row>
    <row r="181" spans="1:6" x14ac:dyDescent="0.25">
      <c r="A181" t="s">
        <v>2070</v>
      </c>
      <c r="B181" t="s">
        <v>919</v>
      </c>
      <c r="C181" t="s">
        <v>53</v>
      </c>
      <c r="D181">
        <v>122</v>
      </c>
      <c r="E181">
        <v>47</v>
      </c>
      <c r="F181">
        <v>3</v>
      </c>
    </row>
    <row r="182" spans="1:6" x14ac:dyDescent="0.25">
      <c r="A182" t="s">
        <v>2070</v>
      </c>
      <c r="B182" t="s">
        <v>920</v>
      </c>
      <c r="C182" t="s">
        <v>54</v>
      </c>
      <c r="D182">
        <v>140</v>
      </c>
      <c r="E182">
        <v>51</v>
      </c>
      <c r="F182">
        <v>3</v>
      </c>
    </row>
    <row r="183" spans="1:6" x14ac:dyDescent="0.25">
      <c r="A183" t="s">
        <v>2070</v>
      </c>
      <c r="B183" t="s">
        <v>921</v>
      </c>
      <c r="C183" t="s">
        <v>55</v>
      </c>
      <c r="D183">
        <v>240</v>
      </c>
      <c r="E183">
        <v>141</v>
      </c>
      <c r="F183">
        <v>3</v>
      </c>
    </row>
    <row r="184" spans="1:6" x14ac:dyDescent="0.25">
      <c r="A184" t="s">
        <v>2070</v>
      </c>
      <c r="B184" t="s">
        <v>922</v>
      </c>
      <c r="C184" t="s">
        <v>56</v>
      </c>
      <c r="D184">
        <v>253</v>
      </c>
      <c r="E184">
        <v>149</v>
      </c>
      <c r="F184">
        <v>3</v>
      </c>
    </row>
    <row r="185" spans="1:6" x14ac:dyDescent="0.25">
      <c r="A185" t="s">
        <v>2070</v>
      </c>
      <c r="B185" t="s">
        <v>923</v>
      </c>
      <c r="C185" t="s">
        <v>57</v>
      </c>
      <c r="D185">
        <v>321</v>
      </c>
      <c r="E185">
        <v>216</v>
      </c>
      <c r="F185">
        <v>4</v>
      </c>
    </row>
    <row r="186" spans="1:6" x14ac:dyDescent="0.25">
      <c r="A186" t="s">
        <v>2070</v>
      </c>
      <c r="B186" t="s">
        <v>924</v>
      </c>
      <c r="C186" t="s">
        <v>58</v>
      </c>
      <c r="D186">
        <v>337</v>
      </c>
      <c r="E186">
        <v>227</v>
      </c>
      <c r="F186">
        <v>4</v>
      </c>
    </row>
    <row r="187" spans="1:6" x14ac:dyDescent="0.25">
      <c r="A187" t="s">
        <v>2070</v>
      </c>
      <c r="B187" t="s">
        <v>925</v>
      </c>
      <c r="C187" t="s">
        <v>59</v>
      </c>
      <c r="D187">
        <v>334</v>
      </c>
      <c r="E187">
        <v>227</v>
      </c>
      <c r="F187">
        <v>5</v>
      </c>
    </row>
    <row r="188" spans="1:6" x14ac:dyDescent="0.25">
      <c r="A188" t="s">
        <v>2070</v>
      </c>
      <c r="B188" t="s">
        <v>926</v>
      </c>
      <c r="C188" t="s">
        <v>60</v>
      </c>
      <c r="D188">
        <v>337</v>
      </c>
      <c r="E188">
        <v>227</v>
      </c>
      <c r="F188">
        <v>5</v>
      </c>
    </row>
    <row r="189" spans="1:6" x14ac:dyDescent="0.25">
      <c r="A189" t="s">
        <v>2070</v>
      </c>
      <c r="B189" t="s">
        <v>927</v>
      </c>
      <c r="C189" t="s">
        <v>61</v>
      </c>
      <c r="D189">
        <v>421</v>
      </c>
      <c r="E189">
        <v>310</v>
      </c>
      <c r="F189">
        <v>6</v>
      </c>
    </row>
    <row r="190" spans="1:6" x14ac:dyDescent="0.25">
      <c r="A190" t="s">
        <v>2070</v>
      </c>
      <c r="B190" t="s">
        <v>928</v>
      </c>
      <c r="C190" t="s">
        <v>62</v>
      </c>
      <c r="D190">
        <v>505</v>
      </c>
      <c r="E190">
        <v>397</v>
      </c>
      <c r="F190">
        <v>7</v>
      </c>
    </row>
    <row r="191" spans="1:6" x14ac:dyDescent="0.25">
      <c r="A191" t="s">
        <v>2070</v>
      </c>
      <c r="B191" t="s">
        <v>929</v>
      </c>
      <c r="C191" t="s">
        <v>63</v>
      </c>
      <c r="D191">
        <v>502</v>
      </c>
      <c r="E191">
        <v>397</v>
      </c>
      <c r="F191">
        <v>7</v>
      </c>
    </row>
    <row r="192" spans="1:6" x14ac:dyDescent="0.25">
      <c r="A192" t="s">
        <v>2070</v>
      </c>
      <c r="B192" t="s">
        <v>930</v>
      </c>
      <c r="C192" t="s">
        <v>64</v>
      </c>
      <c r="D192">
        <v>502</v>
      </c>
      <c r="E192">
        <v>397</v>
      </c>
      <c r="F192">
        <v>8</v>
      </c>
    </row>
    <row r="193" spans="1:6" x14ac:dyDescent="0.25">
      <c r="A193" t="s">
        <v>2070</v>
      </c>
      <c r="B193" t="s">
        <v>931</v>
      </c>
      <c r="C193" t="s">
        <v>65</v>
      </c>
      <c r="D193">
        <v>502</v>
      </c>
      <c r="E193">
        <v>397</v>
      </c>
      <c r="F193">
        <v>8</v>
      </c>
    </row>
    <row r="194" spans="1:6" x14ac:dyDescent="0.25">
      <c r="A194" t="s">
        <v>2070</v>
      </c>
      <c r="B194" t="s">
        <v>932</v>
      </c>
      <c r="C194" t="s">
        <v>66</v>
      </c>
      <c r="D194">
        <v>590</v>
      </c>
      <c r="E194">
        <v>486</v>
      </c>
      <c r="F194">
        <v>9</v>
      </c>
    </row>
    <row r="195" spans="1:6" x14ac:dyDescent="0.25">
      <c r="A195" t="s">
        <v>2070</v>
      </c>
      <c r="B195" t="s">
        <v>933</v>
      </c>
      <c r="C195" t="s">
        <v>67</v>
      </c>
      <c r="D195">
        <v>586</v>
      </c>
      <c r="E195">
        <v>486</v>
      </c>
      <c r="F195">
        <v>9</v>
      </c>
    </row>
    <row r="196" spans="1:6" x14ac:dyDescent="0.25">
      <c r="A196" t="s">
        <v>2070</v>
      </c>
      <c r="B196" t="s">
        <v>934</v>
      </c>
      <c r="C196" t="s">
        <v>68</v>
      </c>
      <c r="D196">
        <v>586</v>
      </c>
      <c r="E196">
        <v>486</v>
      </c>
      <c r="F196">
        <v>9</v>
      </c>
    </row>
    <row r="197" spans="1:6" x14ac:dyDescent="0.25">
      <c r="A197" t="s">
        <v>2070</v>
      </c>
      <c r="B197" t="s">
        <v>935</v>
      </c>
      <c r="C197" t="s">
        <v>69</v>
      </c>
      <c r="D197">
        <v>586</v>
      </c>
      <c r="E197">
        <v>486</v>
      </c>
      <c r="F197">
        <v>9</v>
      </c>
    </row>
    <row r="198" spans="1:6" x14ac:dyDescent="0.25">
      <c r="A198" t="s">
        <v>2070</v>
      </c>
      <c r="B198" t="s">
        <v>936</v>
      </c>
      <c r="C198" t="s">
        <v>197</v>
      </c>
      <c r="D198">
        <v>154</v>
      </c>
      <c r="E198">
        <v>74</v>
      </c>
      <c r="F198">
        <v>4</v>
      </c>
    </row>
    <row r="199" spans="1:6" x14ac:dyDescent="0.25">
      <c r="A199" t="s">
        <v>2070</v>
      </c>
      <c r="B199" t="s">
        <v>937</v>
      </c>
      <c r="C199" t="s">
        <v>70</v>
      </c>
      <c r="D199">
        <v>947</v>
      </c>
      <c r="E199">
        <v>805</v>
      </c>
      <c r="F199">
        <v>10</v>
      </c>
    </row>
    <row r="200" spans="1:6" x14ac:dyDescent="0.25">
      <c r="A200" t="s">
        <v>2070</v>
      </c>
      <c r="B200" t="s">
        <v>938</v>
      </c>
      <c r="C200" t="s">
        <v>71</v>
      </c>
      <c r="D200">
        <v>947</v>
      </c>
      <c r="E200">
        <v>805</v>
      </c>
      <c r="F200">
        <v>10</v>
      </c>
    </row>
    <row r="201" spans="1:6" x14ac:dyDescent="0.25">
      <c r="A201" t="s">
        <v>2070</v>
      </c>
      <c r="B201" t="s">
        <v>939</v>
      </c>
      <c r="C201" t="s">
        <v>72</v>
      </c>
      <c r="D201">
        <v>1065</v>
      </c>
      <c r="E201">
        <v>930</v>
      </c>
      <c r="F201">
        <v>10</v>
      </c>
    </row>
    <row r="202" spans="1:6" x14ac:dyDescent="0.25">
      <c r="A202" t="s">
        <v>2070</v>
      </c>
      <c r="B202" t="s">
        <v>940</v>
      </c>
      <c r="C202" t="s">
        <v>73</v>
      </c>
      <c r="D202">
        <v>1538</v>
      </c>
      <c r="E202">
        <v>1429</v>
      </c>
      <c r="F202">
        <v>10</v>
      </c>
    </row>
    <row r="203" spans="1:6" x14ac:dyDescent="0.25">
      <c r="A203" t="s">
        <v>2070</v>
      </c>
      <c r="B203" t="s">
        <v>941</v>
      </c>
      <c r="C203" t="s">
        <v>304</v>
      </c>
      <c r="D203">
        <v>1775</v>
      </c>
      <c r="E203">
        <v>1661</v>
      </c>
      <c r="F203">
        <v>10</v>
      </c>
    </row>
    <row r="204" spans="1:6" x14ac:dyDescent="0.25">
      <c r="A204" t="s">
        <v>2070</v>
      </c>
      <c r="B204" t="s">
        <v>942</v>
      </c>
      <c r="C204" t="s">
        <v>306</v>
      </c>
      <c r="D204">
        <v>1893</v>
      </c>
      <c r="E204">
        <v>1770</v>
      </c>
      <c r="F204">
        <v>10</v>
      </c>
    </row>
    <row r="205" spans="1:6" x14ac:dyDescent="0.25">
      <c r="A205" t="s">
        <v>2070</v>
      </c>
      <c r="B205" t="s">
        <v>943</v>
      </c>
      <c r="C205" t="s">
        <v>308</v>
      </c>
      <c r="D205">
        <v>20</v>
      </c>
      <c r="E205">
        <v>19</v>
      </c>
      <c r="F205">
        <v>2</v>
      </c>
    </row>
    <row r="206" spans="1:6" x14ac:dyDescent="0.25">
      <c r="A206" t="s">
        <v>2070</v>
      </c>
      <c r="B206" t="s">
        <v>944</v>
      </c>
      <c r="C206" t="s">
        <v>310</v>
      </c>
      <c r="D206">
        <v>26</v>
      </c>
      <c r="E206">
        <v>20</v>
      </c>
      <c r="F206">
        <v>2</v>
      </c>
    </row>
    <row r="207" spans="1:6" x14ac:dyDescent="0.25">
      <c r="A207" t="s">
        <v>2070</v>
      </c>
      <c r="B207" t="s">
        <v>945</v>
      </c>
      <c r="C207" t="s">
        <v>312</v>
      </c>
      <c r="D207">
        <v>26</v>
      </c>
      <c r="E207">
        <v>20</v>
      </c>
      <c r="F207">
        <v>2</v>
      </c>
    </row>
    <row r="208" spans="1:6" x14ac:dyDescent="0.25">
      <c r="A208" t="s">
        <v>2070</v>
      </c>
      <c r="B208" t="s">
        <v>946</v>
      </c>
      <c r="C208" t="s">
        <v>314</v>
      </c>
      <c r="D208">
        <v>38</v>
      </c>
      <c r="E208">
        <v>31</v>
      </c>
      <c r="F208">
        <v>2</v>
      </c>
    </row>
    <row r="209" spans="1:6" x14ac:dyDescent="0.25">
      <c r="A209" t="s">
        <v>2070</v>
      </c>
      <c r="B209" t="s">
        <v>947</v>
      </c>
      <c r="C209" t="s">
        <v>316</v>
      </c>
      <c r="D209">
        <v>38</v>
      </c>
      <c r="E209">
        <v>31</v>
      </c>
      <c r="F209">
        <v>2</v>
      </c>
    </row>
    <row r="210" spans="1:6" x14ac:dyDescent="0.25">
      <c r="A210" t="s">
        <v>2070</v>
      </c>
      <c r="B210" t="s">
        <v>948</v>
      </c>
      <c r="C210" t="s">
        <v>318</v>
      </c>
      <c r="D210">
        <v>38</v>
      </c>
      <c r="E210">
        <v>31</v>
      </c>
      <c r="F210">
        <v>3</v>
      </c>
    </row>
    <row r="211" spans="1:6" x14ac:dyDescent="0.25">
      <c r="A211" t="s">
        <v>2070</v>
      </c>
      <c r="B211" t="s">
        <v>949</v>
      </c>
      <c r="C211" t="s">
        <v>320</v>
      </c>
      <c r="D211">
        <v>77</v>
      </c>
      <c r="E211">
        <v>55</v>
      </c>
      <c r="F211">
        <v>3</v>
      </c>
    </row>
    <row r="212" spans="1:6" x14ac:dyDescent="0.25">
      <c r="A212" t="s">
        <v>2070</v>
      </c>
      <c r="B212" t="s">
        <v>950</v>
      </c>
      <c r="C212" t="s">
        <v>322</v>
      </c>
      <c r="D212">
        <v>77</v>
      </c>
      <c r="E212">
        <v>70</v>
      </c>
      <c r="F212">
        <v>4</v>
      </c>
    </row>
    <row r="213" spans="1:6" x14ac:dyDescent="0.25">
      <c r="A213" t="s">
        <v>2072</v>
      </c>
      <c r="B213" t="s">
        <v>951</v>
      </c>
      <c r="C213" t="s">
        <v>106</v>
      </c>
      <c r="D213">
        <v>108</v>
      </c>
      <c r="E213">
        <v>44</v>
      </c>
      <c r="F213">
        <v>3</v>
      </c>
    </row>
    <row r="214" spans="1:6" x14ac:dyDescent="0.25">
      <c r="A214" t="s">
        <v>2072</v>
      </c>
      <c r="B214" t="s">
        <v>952</v>
      </c>
      <c r="C214">
        <v>18</v>
      </c>
      <c r="D214">
        <v>165</v>
      </c>
      <c r="E214">
        <v>75</v>
      </c>
      <c r="F214">
        <v>3</v>
      </c>
    </row>
    <row r="215" spans="1:6" x14ac:dyDescent="0.25">
      <c r="A215" t="s">
        <v>2072</v>
      </c>
      <c r="B215" t="s">
        <v>953</v>
      </c>
      <c r="C215" t="s">
        <v>37</v>
      </c>
      <c r="D215">
        <v>168</v>
      </c>
      <c r="E215">
        <v>81</v>
      </c>
      <c r="F215">
        <v>4</v>
      </c>
    </row>
    <row r="216" spans="1:6" x14ac:dyDescent="0.25">
      <c r="A216" t="s">
        <v>2072</v>
      </c>
      <c r="B216" t="s">
        <v>954</v>
      </c>
      <c r="C216" t="s">
        <v>38</v>
      </c>
      <c r="D216">
        <v>166</v>
      </c>
      <c r="E216">
        <v>81</v>
      </c>
      <c r="F216">
        <v>4</v>
      </c>
    </row>
    <row r="217" spans="1:6" x14ac:dyDescent="0.25">
      <c r="A217" t="s">
        <v>2072</v>
      </c>
      <c r="B217" t="s">
        <v>955</v>
      </c>
      <c r="C217" t="s">
        <v>39</v>
      </c>
      <c r="D217">
        <v>168</v>
      </c>
      <c r="E217">
        <v>81</v>
      </c>
      <c r="F217">
        <v>6</v>
      </c>
    </row>
    <row r="218" spans="1:6" x14ac:dyDescent="0.25">
      <c r="A218" t="s">
        <v>2072</v>
      </c>
      <c r="B218" t="s">
        <v>956</v>
      </c>
      <c r="C218" t="s">
        <v>40</v>
      </c>
      <c r="D218">
        <v>168</v>
      </c>
      <c r="E218">
        <v>81</v>
      </c>
      <c r="F218">
        <v>6</v>
      </c>
    </row>
    <row r="219" spans="1:6" x14ac:dyDescent="0.25">
      <c r="A219" t="s">
        <v>2072</v>
      </c>
      <c r="B219" t="s">
        <v>957</v>
      </c>
      <c r="C219" t="s">
        <v>41</v>
      </c>
      <c r="D219">
        <v>253</v>
      </c>
      <c r="E219">
        <v>149</v>
      </c>
      <c r="F219">
        <v>7</v>
      </c>
    </row>
    <row r="220" spans="1:6" x14ac:dyDescent="0.25">
      <c r="A220" t="s">
        <v>2072</v>
      </c>
      <c r="B220" t="s">
        <v>958</v>
      </c>
      <c r="C220" t="s">
        <v>42</v>
      </c>
      <c r="D220">
        <v>253</v>
      </c>
      <c r="E220">
        <v>149</v>
      </c>
      <c r="F220">
        <v>7</v>
      </c>
    </row>
    <row r="221" spans="1:6" x14ac:dyDescent="0.25">
      <c r="A221" t="s">
        <v>2072</v>
      </c>
      <c r="B221" t="s">
        <v>959</v>
      </c>
      <c r="C221" t="s">
        <v>43</v>
      </c>
      <c r="D221">
        <v>337</v>
      </c>
      <c r="E221">
        <v>227</v>
      </c>
      <c r="F221">
        <v>9</v>
      </c>
    </row>
    <row r="222" spans="1:6" x14ac:dyDescent="0.25">
      <c r="A222" t="s">
        <v>2072</v>
      </c>
      <c r="B222" t="s">
        <v>960</v>
      </c>
      <c r="C222" t="s">
        <v>44</v>
      </c>
      <c r="D222">
        <v>337</v>
      </c>
      <c r="E222">
        <v>227</v>
      </c>
      <c r="F222">
        <v>9</v>
      </c>
    </row>
    <row r="223" spans="1:6" x14ac:dyDescent="0.25">
      <c r="A223" t="s">
        <v>2072</v>
      </c>
      <c r="B223" t="s">
        <v>961</v>
      </c>
      <c r="C223" t="s">
        <v>45</v>
      </c>
      <c r="D223">
        <v>421</v>
      </c>
      <c r="E223">
        <v>310</v>
      </c>
      <c r="F223">
        <v>10</v>
      </c>
    </row>
    <row r="224" spans="1:6" x14ac:dyDescent="0.25">
      <c r="A224" t="s">
        <v>2072</v>
      </c>
      <c r="B224" t="s">
        <v>962</v>
      </c>
      <c r="C224" t="s">
        <v>46</v>
      </c>
      <c r="D224">
        <v>421</v>
      </c>
      <c r="E224">
        <v>310</v>
      </c>
      <c r="F224">
        <v>10</v>
      </c>
    </row>
    <row r="225" spans="1:6" x14ac:dyDescent="0.25">
      <c r="A225" t="s">
        <v>2072</v>
      </c>
      <c r="B225" t="s">
        <v>963</v>
      </c>
      <c r="C225" t="s">
        <v>47</v>
      </c>
      <c r="D225">
        <v>421</v>
      </c>
      <c r="E225">
        <v>310</v>
      </c>
      <c r="F225">
        <v>11</v>
      </c>
    </row>
    <row r="226" spans="1:6" x14ac:dyDescent="0.25">
      <c r="A226" t="s">
        <v>2072</v>
      </c>
      <c r="B226" t="s">
        <v>964</v>
      </c>
      <c r="C226" t="s">
        <v>53</v>
      </c>
      <c r="D226">
        <v>168</v>
      </c>
      <c r="E226">
        <v>81</v>
      </c>
      <c r="F226">
        <v>6</v>
      </c>
    </row>
    <row r="227" spans="1:6" x14ac:dyDescent="0.25">
      <c r="A227" t="s">
        <v>2072</v>
      </c>
      <c r="B227" t="s">
        <v>965</v>
      </c>
      <c r="C227" t="s">
        <v>54</v>
      </c>
      <c r="D227">
        <v>168</v>
      </c>
      <c r="E227">
        <v>81</v>
      </c>
      <c r="F227">
        <v>6</v>
      </c>
    </row>
    <row r="228" spans="1:6" x14ac:dyDescent="0.25">
      <c r="A228" t="s">
        <v>2072</v>
      </c>
      <c r="B228" t="s">
        <v>966</v>
      </c>
      <c r="C228" t="s">
        <v>55</v>
      </c>
      <c r="D228">
        <v>253</v>
      </c>
      <c r="E228">
        <v>149</v>
      </c>
      <c r="F228">
        <v>6</v>
      </c>
    </row>
    <row r="229" spans="1:6" x14ac:dyDescent="0.25">
      <c r="A229" t="s">
        <v>2072</v>
      </c>
      <c r="B229" t="s">
        <v>967</v>
      </c>
      <c r="C229" t="s">
        <v>57</v>
      </c>
      <c r="D229">
        <v>337</v>
      </c>
      <c r="E229">
        <v>227</v>
      </c>
      <c r="F229">
        <v>8</v>
      </c>
    </row>
    <row r="230" spans="1:6" x14ac:dyDescent="0.25">
      <c r="A230" t="s">
        <v>2072</v>
      </c>
      <c r="B230" t="s">
        <v>968</v>
      </c>
      <c r="C230" t="s">
        <v>308</v>
      </c>
      <c r="D230">
        <v>35</v>
      </c>
      <c r="E230">
        <v>40</v>
      </c>
      <c r="F230">
        <v>2</v>
      </c>
    </row>
    <row r="231" spans="1:6" x14ac:dyDescent="0.25">
      <c r="A231" t="s">
        <v>2072</v>
      </c>
      <c r="B231" t="s">
        <v>969</v>
      </c>
      <c r="C231" t="s">
        <v>310</v>
      </c>
      <c r="D231">
        <v>35</v>
      </c>
      <c r="E231">
        <v>40</v>
      </c>
      <c r="F231">
        <v>2</v>
      </c>
    </row>
    <row r="232" spans="1:6" x14ac:dyDescent="0.25">
      <c r="A232" t="s">
        <v>2072</v>
      </c>
      <c r="B232" t="s">
        <v>970</v>
      </c>
      <c r="C232" t="s">
        <v>312</v>
      </c>
      <c r="D232">
        <v>35</v>
      </c>
      <c r="E232">
        <v>40</v>
      </c>
      <c r="F232">
        <v>2</v>
      </c>
    </row>
    <row r="233" spans="1:6" x14ac:dyDescent="0.25">
      <c r="A233" t="s">
        <v>2072</v>
      </c>
      <c r="B233" t="s">
        <v>971</v>
      </c>
      <c r="C233" t="s">
        <v>314</v>
      </c>
      <c r="D233">
        <v>50</v>
      </c>
      <c r="E233">
        <v>68</v>
      </c>
      <c r="F233">
        <v>2</v>
      </c>
    </row>
    <row r="234" spans="1:6" x14ac:dyDescent="0.25">
      <c r="A234" t="s">
        <v>2072</v>
      </c>
      <c r="B234" t="s">
        <v>972</v>
      </c>
      <c r="C234" t="s">
        <v>316</v>
      </c>
      <c r="D234">
        <v>50</v>
      </c>
      <c r="E234">
        <v>73</v>
      </c>
      <c r="F234">
        <v>2</v>
      </c>
    </row>
    <row r="235" spans="1:6" x14ac:dyDescent="0.25">
      <c r="A235" t="s">
        <v>2072</v>
      </c>
      <c r="B235" t="s">
        <v>973</v>
      </c>
      <c r="C235" t="s">
        <v>318</v>
      </c>
      <c r="D235">
        <v>50</v>
      </c>
      <c r="E235">
        <v>73</v>
      </c>
      <c r="F235">
        <v>3</v>
      </c>
    </row>
    <row r="236" spans="1:6" x14ac:dyDescent="0.25">
      <c r="A236" t="s">
        <v>2072</v>
      </c>
      <c r="B236" t="s">
        <v>974</v>
      </c>
      <c r="C236" t="s">
        <v>320</v>
      </c>
      <c r="D236">
        <v>97</v>
      </c>
      <c r="E236">
        <v>131</v>
      </c>
      <c r="F236">
        <v>3</v>
      </c>
    </row>
    <row r="237" spans="1:6" x14ac:dyDescent="0.25">
      <c r="A237" t="s">
        <v>2072</v>
      </c>
      <c r="B237" t="s">
        <v>975</v>
      </c>
      <c r="C237" t="s">
        <v>322</v>
      </c>
      <c r="D237">
        <v>97</v>
      </c>
      <c r="E237">
        <v>134</v>
      </c>
      <c r="F237">
        <v>4</v>
      </c>
    </row>
    <row r="238" spans="1:6" x14ac:dyDescent="0.25">
      <c r="A238" t="s">
        <v>2071</v>
      </c>
      <c r="B238" t="s">
        <v>976</v>
      </c>
      <c r="C238" t="s">
        <v>106</v>
      </c>
      <c r="D238">
        <v>113</v>
      </c>
      <c r="E238">
        <v>27</v>
      </c>
      <c r="F238">
        <v>3</v>
      </c>
    </row>
    <row r="239" spans="1:6" x14ac:dyDescent="0.25">
      <c r="A239" t="s">
        <v>2071</v>
      </c>
      <c r="B239" t="s">
        <v>977</v>
      </c>
      <c r="C239">
        <v>18</v>
      </c>
      <c r="D239">
        <v>175</v>
      </c>
      <c r="E239">
        <v>44</v>
      </c>
      <c r="F239">
        <v>3</v>
      </c>
    </row>
    <row r="240" spans="1:6" x14ac:dyDescent="0.25">
      <c r="A240" t="s">
        <v>2071</v>
      </c>
      <c r="B240" t="s">
        <v>978</v>
      </c>
      <c r="C240" t="s">
        <v>37</v>
      </c>
      <c r="D240">
        <v>201</v>
      </c>
      <c r="E240">
        <v>53</v>
      </c>
      <c r="F240">
        <v>4</v>
      </c>
    </row>
    <row r="241" spans="1:6" x14ac:dyDescent="0.25">
      <c r="A241" t="s">
        <v>2071</v>
      </c>
      <c r="B241" t="s">
        <v>979</v>
      </c>
      <c r="C241" t="s">
        <v>38</v>
      </c>
      <c r="D241">
        <v>232</v>
      </c>
      <c r="E241">
        <v>63</v>
      </c>
      <c r="F241">
        <v>4</v>
      </c>
    </row>
    <row r="242" spans="1:6" x14ac:dyDescent="0.25">
      <c r="A242" t="s">
        <v>2071</v>
      </c>
      <c r="B242" t="s">
        <v>980</v>
      </c>
      <c r="C242" t="s">
        <v>39</v>
      </c>
      <c r="D242">
        <v>183</v>
      </c>
      <c r="E242">
        <v>48</v>
      </c>
      <c r="F242">
        <v>6</v>
      </c>
    </row>
    <row r="243" spans="1:6" x14ac:dyDescent="0.25">
      <c r="A243" t="s">
        <v>2071</v>
      </c>
      <c r="B243" t="s">
        <v>981</v>
      </c>
      <c r="C243" t="s">
        <v>40</v>
      </c>
      <c r="D243">
        <v>219</v>
      </c>
      <c r="E243">
        <v>58</v>
      </c>
      <c r="F243">
        <v>6</v>
      </c>
    </row>
    <row r="244" spans="1:6" x14ac:dyDescent="0.25">
      <c r="A244" t="s">
        <v>2071</v>
      </c>
      <c r="B244" t="s">
        <v>982</v>
      </c>
      <c r="C244" t="s">
        <v>41</v>
      </c>
      <c r="D244">
        <v>264</v>
      </c>
      <c r="E244">
        <v>128</v>
      </c>
      <c r="F244">
        <v>7</v>
      </c>
    </row>
    <row r="245" spans="1:6" x14ac:dyDescent="0.25">
      <c r="A245" t="s">
        <v>2071</v>
      </c>
      <c r="B245" t="s">
        <v>983</v>
      </c>
      <c r="C245" t="s">
        <v>42</v>
      </c>
      <c r="D245">
        <v>312</v>
      </c>
      <c r="E245">
        <v>152</v>
      </c>
      <c r="F245">
        <v>7</v>
      </c>
    </row>
    <row r="246" spans="1:6" x14ac:dyDescent="0.25">
      <c r="A246" t="s">
        <v>2071</v>
      </c>
      <c r="B246" t="s">
        <v>984</v>
      </c>
      <c r="C246" t="s">
        <v>43</v>
      </c>
      <c r="D246">
        <v>357</v>
      </c>
      <c r="E246">
        <v>206</v>
      </c>
      <c r="F246">
        <v>9</v>
      </c>
    </row>
    <row r="247" spans="1:6" x14ac:dyDescent="0.25">
      <c r="A247" t="s">
        <v>2071</v>
      </c>
      <c r="B247" t="s">
        <v>985</v>
      </c>
      <c r="C247" t="s">
        <v>44</v>
      </c>
      <c r="D247">
        <v>391</v>
      </c>
      <c r="E247">
        <v>228</v>
      </c>
      <c r="F247">
        <v>9</v>
      </c>
    </row>
    <row r="248" spans="1:6" x14ac:dyDescent="0.25">
      <c r="A248" t="s">
        <v>2071</v>
      </c>
      <c r="B248" t="s">
        <v>986</v>
      </c>
      <c r="C248" t="s">
        <v>45</v>
      </c>
      <c r="D248">
        <v>467</v>
      </c>
      <c r="E248">
        <v>262</v>
      </c>
      <c r="F248">
        <v>10</v>
      </c>
    </row>
    <row r="249" spans="1:6" x14ac:dyDescent="0.25">
      <c r="A249" t="s">
        <v>2071</v>
      </c>
      <c r="B249" t="s">
        <v>987</v>
      </c>
      <c r="C249" t="s">
        <v>46</v>
      </c>
      <c r="D249">
        <v>534</v>
      </c>
      <c r="E249">
        <v>302</v>
      </c>
      <c r="F249">
        <v>10</v>
      </c>
    </row>
    <row r="250" spans="1:6" x14ac:dyDescent="0.25">
      <c r="A250" t="s">
        <v>2071</v>
      </c>
      <c r="B250" t="s">
        <v>988</v>
      </c>
      <c r="C250" t="s">
        <v>47</v>
      </c>
      <c r="D250">
        <v>534</v>
      </c>
      <c r="E250">
        <v>319</v>
      </c>
      <c r="F250">
        <v>11</v>
      </c>
    </row>
    <row r="251" spans="1:6" x14ac:dyDescent="0.25">
      <c r="A251" t="s">
        <v>2071</v>
      </c>
      <c r="B251" t="s">
        <v>989</v>
      </c>
      <c r="C251" t="s">
        <v>48</v>
      </c>
      <c r="D251">
        <v>600</v>
      </c>
      <c r="E251">
        <v>319</v>
      </c>
      <c r="F251">
        <v>12</v>
      </c>
    </row>
    <row r="252" spans="1:6" x14ac:dyDescent="0.25">
      <c r="A252" t="s">
        <v>2071</v>
      </c>
      <c r="B252" t="s">
        <v>990</v>
      </c>
      <c r="C252" t="s">
        <v>49</v>
      </c>
      <c r="D252">
        <v>682</v>
      </c>
      <c r="E252">
        <v>401</v>
      </c>
      <c r="F252">
        <v>13</v>
      </c>
    </row>
    <row r="253" spans="1:6" x14ac:dyDescent="0.25">
      <c r="A253" t="s">
        <v>2071</v>
      </c>
      <c r="B253" t="s">
        <v>991</v>
      </c>
      <c r="C253" t="s">
        <v>50</v>
      </c>
      <c r="D253">
        <v>697</v>
      </c>
      <c r="E253">
        <v>415</v>
      </c>
      <c r="F253">
        <v>14</v>
      </c>
    </row>
    <row r="254" spans="1:6" x14ac:dyDescent="0.25">
      <c r="A254" t="s">
        <v>2071</v>
      </c>
      <c r="B254" t="s">
        <v>992</v>
      </c>
      <c r="C254" t="s">
        <v>121</v>
      </c>
      <c r="D254">
        <v>775</v>
      </c>
      <c r="E254">
        <v>464</v>
      </c>
      <c r="F254">
        <v>14</v>
      </c>
    </row>
    <row r="255" spans="1:6" x14ac:dyDescent="0.25">
      <c r="A255" t="s">
        <v>2071</v>
      </c>
      <c r="B255" t="s">
        <v>993</v>
      </c>
      <c r="C255" t="s">
        <v>51</v>
      </c>
      <c r="D255">
        <v>990</v>
      </c>
      <c r="E255">
        <v>551</v>
      </c>
      <c r="F255">
        <v>17</v>
      </c>
    </row>
    <row r="256" spans="1:6" x14ac:dyDescent="0.25">
      <c r="A256" t="s">
        <v>2071</v>
      </c>
      <c r="B256" t="s">
        <v>994</v>
      </c>
      <c r="C256" t="s">
        <v>52</v>
      </c>
      <c r="D256">
        <v>1089</v>
      </c>
      <c r="E256">
        <v>609</v>
      </c>
      <c r="F256">
        <v>17</v>
      </c>
    </row>
    <row r="257" spans="1:6" x14ac:dyDescent="0.25">
      <c r="A257" t="s">
        <v>2071</v>
      </c>
      <c r="B257" t="s">
        <v>995</v>
      </c>
      <c r="C257" t="s">
        <v>53</v>
      </c>
      <c r="D257">
        <v>219</v>
      </c>
      <c r="E257">
        <v>58</v>
      </c>
      <c r="F257">
        <v>6</v>
      </c>
    </row>
    <row r="258" spans="1:6" x14ac:dyDescent="0.25">
      <c r="A258" t="s">
        <v>2071</v>
      </c>
      <c r="B258" t="s">
        <v>996</v>
      </c>
      <c r="C258" t="s">
        <v>54</v>
      </c>
      <c r="D258">
        <v>241</v>
      </c>
      <c r="E258">
        <v>64</v>
      </c>
      <c r="F258">
        <v>6</v>
      </c>
    </row>
    <row r="259" spans="1:6" x14ac:dyDescent="0.25">
      <c r="A259" t="s">
        <v>2071</v>
      </c>
      <c r="B259" t="s">
        <v>997</v>
      </c>
      <c r="C259" t="s">
        <v>55</v>
      </c>
      <c r="D259">
        <v>361</v>
      </c>
      <c r="E259">
        <v>175</v>
      </c>
      <c r="F259">
        <v>6</v>
      </c>
    </row>
    <row r="260" spans="1:6" x14ac:dyDescent="0.25">
      <c r="A260" t="s">
        <v>2071</v>
      </c>
      <c r="B260" t="s">
        <v>998</v>
      </c>
      <c r="C260" t="s">
        <v>56</v>
      </c>
      <c r="D260">
        <v>407</v>
      </c>
      <c r="E260">
        <v>182</v>
      </c>
      <c r="F260">
        <v>7</v>
      </c>
    </row>
    <row r="261" spans="1:6" x14ac:dyDescent="0.25">
      <c r="A261" t="s">
        <v>2071</v>
      </c>
      <c r="B261" t="s">
        <v>999</v>
      </c>
      <c r="C261" t="s">
        <v>57</v>
      </c>
      <c r="D261">
        <v>447</v>
      </c>
      <c r="E261">
        <v>252</v>
      </c>
      <c r="F261">
        <v>8</v>
      </c>
    </row>
    <row r="262" spans="1:6" x14ac:dyDescent="0.25">
      <c r="A262" t="s">
        <v>2071</v>
      </c>
      <c r="B262" t="s">
        <v>1000</v>
      </c>
      <c r="C262" t="s">
        <v>58</v>
      </c>
      <c r="D262">
        <v>503</v>
      </c>
      <c r="E262">
        <v>253</v>
      </c>
      <c r="F262">
        <v>8</v>
      </c>
    </row>
    <row r="263" spans="1:6" x14ac:dyDescent="0.25">
      <c r="A263" t="s">
        <v>2071</v>
      </c>
      <c r="B263" t="s">
        <v>1001</v>
      </c>
      <c r="C263" t="s">
        <v>59</v>
      </c>
      <c r="D263">
        <v>527</v>
      </c>
      <c r="E263">
        <v>253</v>
      </c>
      <c r="F263">
        <v>10</v>
      </c>
    </row>
    <row r="264" spans="1:6" x14ac:dyDescent="0.25">
      <c r="A264" t="s">
        <v>2071</v>
      </c>
      <c r="B264" t="s">
        <v>1002</v>
      </c>
      <c r="C264" t="s">
        <v>60</v>
      </c>
      <c r="D264">
        <v>559</v>
      </c>
      <c r="E264">
        <v>253</v>
      </c>
      <c r="F264">
        <v>11</v>
      </c>
    </row>
    <row r="265" spans="1:6" x14ac:dyDescent="0.25">
      <c r="A265" t="s">
        <v>2071</v>
      </c>
      <c r="B265" t="s">
        <v>1003</v>
      </c>
      <c r="C265" t="s">
        <v>61</v>
      </c>
      <c r="D265">
        <v>734</v>
      </c>
      <c r="E265">
        <v>279</v>
      </c>
      <c r="F265">
        <v>13</v>
      </c>
    </row>
    <row r="266" spans="1:6" x14ac:dyDescent="0.25">
      <c r="A266" t="s">
        <v>2071</v>
      </c>
      <c r="B266" t="s">
        <v>1004</v>
      </c>
      <c r="C266" t="s">
        <v>62</v>
      </c>
      <c r="D266">
        <v>852</v>
      </c>
      <c r="E266">
        <v>485</v>
      </c>
      <c r="F266">
        <v>15</v>
      </c>
    </row>
    <row r="267" spans="1:6" x14ac:dyDescent="0.25">
      <c r="A267" t="s">
        <v>2071</v>
      </c>
      <c r="B267" t="s">
        <v>1005</v>
      </c>
      <c r="C267" t="s">
        <v>63</v>
      </c>
      <c r="D267">
        <v>1006</v>
      </c>
      <c r="E267">
        <v>485</v>
      </c>
      <c r="F267">
        <v>15</v>
      </c>
    </row>
    <row r="268" spans="1:6" x14ac:dyDescent="0.25">
      <c r="A268" t="s">
        <v>2071</v>
      </c>
      <c r="B268" t="s">
        <v>1006</v>
      </c>
      <c r="C268" t="s">
        <v>64</v>
      </c>
      <c r="D268">
        <v>1006</v>
      </c>
      <c r="E268">
        <v>485</v>
      </c>
      <c r="F268">
        <v>17</v>
      </c>
    </row>
    <row r="269" spans="1:6" x14ac:dyDescent="0.25">
      <c r="A269" t="s">
        <v>2071</v>
      </c>
      <c r="B269" t="s">
        <v>1007</v>
      </c>
      <c r="C269" t="s">
        <v>65</v>
      </c>
      <c r="D269">
        <v>1006</v>
      </c>
      <c r="E269">
        <v>485</v>
      </c>
      <c r="F269">
        <v>17</v>
      </c>
    </row>
    <row r="270" spans="1:6" x14ac:dyDescent="0.25">
      <c r="A270" t="s">
        <v>2071</v>
      </c>
      <c r="B270" t="s">
        <v>1008</v>
      </c>
      <c r="C270" t="s">
        <v>66</v>
      </c>
      <c r="D270">
        <v>1059</v>
      </c>
      <c r="E270">
        <v>570</v>
      </c>
      <c r="F270">
        <v>19</v>
      </c>
    </row>
    <row r="271" spans="1:6" x14ac:dyDescent="0.25">
      <c r="A271" t="s">
        <v>2071</v>
      </c>
      <c r="B271" t="s">
        <v>1009</v>
      </c>
      <c r="C271" t="s">
        <v>67</v>
      </c>
      <c r="D271">
        <v>1175</v>
      </c>
      <c r="E271">
        <v>570</v>
      </c>
      <c r="F271">
        <v>19</v>
      </c>
    </row>
    <row r="272" spans="1:6" x14ac:dyDescent="0.25">
      <c r="A272" t="s">
        <v>2071</v>
      </c>
      <c r="B272" t="s">
        <v>1010</v>
      </c>
      <c r="C272" t="s">
        <v>68</v>
      </c>
      <c r="D272">
        <v>1175</v>
      </c>
      <c r="E272">
        <v>570</v>
      </c>
      <c r="F272">
        <v>20</v>
      </c>
    </row>
    <row r="273" spans="1:6" x14ac:dyDescent="0.25">
      <c r="A273" t="s">
        <v>2071</v>
      </c>
      <c r="B273" t="s">
        <v>1011</v>
      </c>
      <c r="C273" t="s">
        <v>69</v>
      </c>
      <c r="D273">
        <v>1175</v>
      </c>
      <c r="E273">
        <v>570</v>
      </c>
      <c r="F273">
        <v>20</v>
      </c>
    </row>
    <row r="274" spans="1:6" x14ac:dyDescent="0.25">
      <c r="A274" t="s">
        <v>2071</v>
      </c>
      <c r="B274" t="s">
        <v>1012</v>
      </c>
      <c r="C274" t="s">
        <v>70</v>
      </c>
      <c r="D274">
        <v>1898</v>
      </c>
      <c r="E274">
        <v>874</v>
      </c>
      <c r="F274">
        <v>20</v>
      </c>
    </row>
    <row r="275" spans="1:6" x14ac:dyDescent="0.25">
      <c r="A275" t="s">
        <v>2071</v>
      </c>
      <c r="B275" t="s">
        <v>1013</v>
      </c>
      <c r="C275" t="s">
        <v>71</v>
      </c>
      <c r="D275">
        <v>1898</v>
      </c>
      <c r="E275">
        <v>874</v>
      </c>
      <c r="F275">
        <v>20</v>
      </c>
    </row>
    <row r="276" spans="1:6" x14ac:dyDescent="0.25">
      <c r="A276" t="s">
        <v>2071</v>
      </c>
      <c r="B276" t="s">
        <v>1014</v>
      </c>
      <c r="C276" t="s">
        <v>72</v>
      </c>
      <c r="D276">
        <v>2135</v>
      </c>
      <c r="E276">
        <v>985</v>
      </c>
      <c r="F276">
        <v>20</v>
      </c>
    </row>
    <row r="277" spans="1:6" x14ac:dyDescent="0.25">
      <c r="A277" t="s">
        <v>2071</v>
      </c>
      <c r="B277" t="s">
        <v>1015</v>
      </c>
      <c r="C277" t="s">
        <v>73</v>
      </c>
      <c r="D277">
        <v>3084</v>
      </c>
      <c r="E277">
        <v>1598</v>
      </c>
      <c r="F277">
        <v>20</v>
      </c>
    </row>
    <row r="278" spans="1:6" x14ac:dyDescent="0.25">
      <c r="A278" t="s">
        <v>2071</v>
      </c>
      <c r="B278" t="s">
        <v>1016</v>
      </c>
      <c r="C278" t="s">
        <v>304</v>
      </c>
      <c r="D278">
        <v>3559</v>
      </c>
      <c r="E278">
        <v>1844</v>
      </c>
      <c r="F278">
        <v>20</v>
      </c>
    </row>
    <row r="279" spans="1:6" x14ac:dyDescent="0.25">
      <c r="A279" t="s">
        <v>2071</v>
      </c>
      <c r="B279" t="s">
        <v>1017</v>
      </c>
      <c r="C279" t="s">
        <v>306</v>
      </c>
      <c r="D279">
        <v>3796</v>
      </c>
      <c r="E279">
        <v>1967</v>
      </c>
      <c r="F279">
        <v>20</v>
      </c>
    </row>
    <row r="280" spans="1:6" x14ac:dyDescent="0.25">
      <c r="A280" t="s">
        <v>2071</v>
      </c>
      <c r="B280" t="s">
        <v>1018</v>
      </c>
      <c r="C280" t="s">
        <v>310</v>
      </c>
      <c r="D280">
        <v>27</v>
      </c>
      <c r="E280">
        <v>24</v>
      </c>
      <c r="F280">
        <v>3</v>
      </c>
    </row>
    <row r="281" spans="1:6" x14ac:dyDescent="0.25">
      <c r="A281" t="s">
        <v>2071</v>
      </c>
      <c r="B281" t="s">
        <v>1019</v>
      </c>
      <c r="C281" t="s">
        <v>312</v>
      </c>
      <c r="D281">
        <v>27</v>
      </c>
      <c r="E281">
        <v>24</v>
      </c>
      <c r="F281">
        <v>3</v>
      </c>
    </row>
    <row r="282" spans="1:6" x14ac:dyDescent="0.25">
      <c r="A282" t="s">
        <v>2071</v>
      </c>
      <c r="B282" t="s">
        <v>1020</v>
      </c>
      <c r="C282" t="s">
        <v>314</v>
      </c>
      <c r="D282">
        <v>36</v>
      </c>
      <c r="E282">
        <v>33</v>
      </c>
      <c r="F282">
        <v>3</v>
      </c>
    </row>
    <row r="283" spans="1:6" x14ac:dyDescent="0.25">
      <c r="A283" t="s">
        <v>2071</v>
      </c>
      <c r="B283" t="s">
        <v>1021</v>
      </c>
      <c r="C283" t="s">
        <v>316</v>
      </c>
      <c r="D283">
        <v>40</v>
      </c>
      <c r="E283">
        <v>33</v>
      </c>
      <c r="F283">
        <v>4</v>
      </c>
    </row>
    <row r="284" spans="1:6" x14ac:dyDescent="0.25">
      <c r="A284" t="s">
        <v>2071</v>
      </c>
      <c r="B284" t="s">
        <v>1022</v>
      </c>
      <c r="C284" t="s">
        <v>318</v>
      </c>
      <c r="D284">
        <v>42</v>
      </c>
      <c r="E284">
        <v>43</v>
      </c>
      <c r="F284">
        <v>6</v>
      </c>
    </row>
    <row r="285" spans="1:6" x14ac:dyDescent="0.25">
      <c r="A285" t="s">
        <v>2071</v>
      </c>
      <c r="B285" t="s">
        <v>1023</v>
      </c>
      <c r="C285" t="s">
        <v>320</v>
      </c>
      <c r="D285">
        <v>72</v>
      </c>
      <c r="E285">
        <v>50</v>
      </c>
      <c r="F285">
        <v>7</v>
      </c>
    </row>
    <row r="286" spans="1:6" x14ac:dyDescent="0.25">
      <c r="A286" t="s">
        <v>2071</v>
      </c>
      <c r="B286" t="s">
        <v>1024</v>
      </c>
      <c r="C286" t="s">
        <v>322</v>
      </c>
      <c r="D286">
        <v>95</v>
      </c>
      <c r="E286">
        <v>68</v>
      </c>
      <c r="F286">
        <v>9</v>
      </c>
    </row>
    <row r="287" spans="1:6" x14ac:dyDescent="0.25">
      <c r="A287" t="s">
        <v>2073</v>
      </c>
      <c r="B287" t="s">
        <v>1025</v>
      </c>
      <c r="C287" t="s">
        <v>106</v>
      </c>
      <c r="D287">
        <v>216</v>
      </c>
      <c r="E287">
        <v>68</v>
      </c>
      <c r="F287">
        <v>4</v>
      </c>
    </row>
    <row r="288" spans="1:6" x14ac:dyDescent="0.25">
      <c r="A288" t="s">
        <v>2073</v>
      </c>
      <c r="B288" t="s">
        <v>1026</v>
      </c>
      <c r="C288">
        <v>18</v>
      </c>
      <c r="D288">
        <v>334</v>
      </c>
      <c r="E288">
        <v>97</v>
      </c>
      <c r="F288">
        <v>4</v>
      </c>
    </row>
    <row r="289" spans="1:6" x14ac:dyDescent="0.25">
      <c r="A289" t="s">
        <v>2073</v>
      </c>
      <c r="B289" t="s">
        <v>1027</v>
      </c>
      <c r="C289" t="s">
        <v>37</v>
      </c>
      <c r="D289">
        <v>337</v>
      </c>
      <c r="E289">
        <v>112</v>
      </c>
      <c r="F289">
        <v>5</v>
      </c>
    </row>
    <row r="290" spans="1:6" x14ac:dyDescent="0.25">
      <c r="A290" t="s">
        <v>2073</v>
      </c>
      <c r="B290" t="s">
        <v>1028</v>
      </c>
      <c r="C290" t="s">
        <v>38</v>
      </c>
      <c r="D290">
        <v>334</v>
      </c>
      <c r="E290">
        <v>120</v>
      </c>
      <c r="F290">
        <v>5</v>
      </c>
    </row>
    <row r="291" spans="1:6" x14ac:dyDescent="0.25">
      <c r="A291" t="s">
        <v>2073</v>
      </c>
      <c r="B291" t="s">
        <v>1029</v>
      </c>
      <c r="C291" t="s">
        <v>39</v>
      </c>
      <c r="D291">
        <v>337</v>
      </c>
      <c r="E291">
        <v>107</v>
      </c>
      <c r="F291">
        <v>6</v>
      </c>
    </row>
    <row r="292" spans="1:6" x14ac:dyDescent="0.25">
      <c r="A292" t="s">
        <v>2073</v>
      </c>
      <c r="B292" t="s">
        <v>1030</v>
      </c>
      <c r="C292" t="s">
        <v>40</v>
      </c>
      <c r="D292">
        <v>337</v>
      </c>
      <c r="E292">
        <v>117</v>
      </c>
      <c r="F292">
        <v>6</v>
      </c>
    </row>
    <row r="293" spans="1:6" x14ac:dyDescent="0.25">
      <c r="A293" t="s">
        <v>2073</v>
      </c>
      <c r="B293" t="s">
        <v>1031</v>
      </c>
      <c r="C293" t="s">
        <v>41</v>
      </c>
      <c r="D293">
        <v>505</v>
      </c>
      <c r="E293">
        <v>215</v>
      </c>
      <c r="F293">
        <v>7</v>
      </c>
    </row>
    <row r="294" spans="1:6" x14ac:dyDescent="0.25">
      <c r="A294" t="s">
        <v>2073</v>
      </c>
      <c r="B294" t="s">
        <v>1032</v>
      </c>
      <c r="C294" t="s">
        <v>42</v>
      </c>
      <c r="D294">
        <v>505</v>
      </c>
      <c r="E294">
        <v>215</v>
      </c>
      <c r="F294">
        <v>7</v>
      </c>
    </row>
    <row r="295" spans="1:6" x14ac:dyDescent="0.25">
      <c r="A295" t="s">
        <v>2073</v>
      </c>
      <c r="B295" t="s">
        <v>1033</v>
      </c>
      <c r="C295" t="s">
        <v>43</v>
      </c>
      <c r="D295">
        <v>674</v>
      </c>
      <c r="E295">
        <v>316</v>
      </c>
      <c r="F295">
        <v>10</v>
      </c>
    </row>
    <row r="296" spans="1:6" x14ac:dyDescent="0.25">
      <c r="A296" t="s">
        <v>2073</v>
      </c>
      <c r="B296" t="s">
        <v>1034</v>
      </c>
      <c r="C296" t="s">
        <v>44</v>
      </c>
      <c r="D296">
        <v>674</v>
      </c>
      <c r="E296">
        <v>316</v>
      </c>
      <c r="F296">
        <v>10</v>
      </c>
    </row>
    <row r="297" spans="1:6" x14ac:dyDescent="0.25">
      <c r="A297" t="s">
        <v>2073</v>
      </c>
      <c r="B297" t="s">
        <v>1035</v>
      </c>
      <c r="C297" t="s">
        <v>45</v>
      </c>
      <c r="D297">
        <v>842</v>
      </c>
      <c r="E297">
        <v>398</v>
      </c>
      <c r="F297">
        <v>11</v>
      </c>
    </row>
    <row r="298" spans="1:6" x14ac:dyDescent="0.25">
      <c r="A298" t="s">
        <v>2073</v>
      </c>
      <c r="B298" t="s">
        <v>1036</v>
      </c>
      <c r="C298" t="s">
        <v>46</v>
      </c>
      <c r="D298">
        <v>842</v>
      </c>
      <c r="E298">
        <v>398</v>
      </c>
      <c r="F298">
        <v>11</v>
      </c>
    </row>
    <row r="299" spans="1:6" x14ac:dyDescent="0.25">
      <c r="A299" t="s">
        <v>2073</v>
      </c>
      <c r="B299" t="s">
        <v>1037</v>
      </c>
      <c r="C299" t="s">
        <v>47</v>
      </c>
      <c r="D299">
        <v>842</v>
      </c>
      <c r="E299">
        <v>398</v>
      </c>
      <c r="F299">
        <v>12</v>
      </c>
    </row>
    <row r="300" spans="1:6" x14ac:dyDescent="0.25">
      <c r="A300" t="s">
        <v>2073</v>
      </c>
      <c r="B300" t="s">
        <v>1038</v>
      </c>
      <c r="C300" t="s">
        <v>48</v>
      </c>
      <c r="D300">
        <v>842</v>
      </c>
      <c r="E300">
        <v>410</v>
      </c>
      <c r="F300">
        <v>13</v>
      </c>
    </row>
    <row r="301" spans="1:6" x14ac:dyDescent="0.25">
      <c r="A301" t="s">
        <v>2073</v>
      </c>
      <c r="B301" t="s">
        <v>1039</v>
      </c>
      <c r="C301" t="s">
        <v>49</v>
      </c>
      <c r="D301">
        <v>1011</v>
      </c>
      <c r="E301">
        <v>499</v>
      </c>
      <c r="F301">
        <v>15</v>
      </c>
    </row>
    <row r="302" spans="1:6" x14ac:dyDescent="0.25">
      <c r="A302" t="s">
        <v>2073</v>
      </c>
      <c r="B302" t="s">
        <v>1040</v>
      </c>
      <c r="C302" t="s">
        <v>50</v>
      </c>
      <c r="D302">
        <v>1011</v>
      </c>
      <c r="E302">
        <v>499</v>
      </c>
      <c r="F302">
        <v>16</v>
      </c>
    </row>
    <row r="303" spans="1:6" x14ac:dyDescent="0.25">
      <c r="A303" t="s">
        <v>2073</v>
      </c>
      <c r="B303" t="s">
        <v>1041</v>
      </c>
      <c r="C303" t="s">
        <v>121</v>
      </c>
      <c r="D303">
        <v>1011</v>
      </c>
      <c r="E303">
        <v>499</v>
      </c>
      <c r="F303">
        <v>16</v>
      </c>
    </row>
    <row r="304" spans="1:6" x14ac:dyDescent="0.25">
      <c r="A304" t="s">
        <v>2073</v>
      </c>
      <c r="B304" t="s">
        <v>1042</v>
      </c>
      <c r="C304" t="s">
        <v>51</v>
      </c>
      <c r="D304">
        <v>1348</v>
      </c>
      <c r="E304">
        <v>673</v>
      </c>
      <c r="F304">
        <v>18</v>
      </c>
    </row>
    <row r="305" spans="1:6" x14ac:dyDescent="0.25">
      <c r="A305" t="s">
        <v>2073</v>
      </c>
      <c r="B305" t="s">
        <v>1043</v>
      </c>
      <c r="C305" t="s">
        <v>52</v>
      </c>
      <c r="D305">
        <v>1348</v>
      </c>
      <c r="E305">
        <v>673</v>
      </c>
      <c r="F305">
        <v>18</v>
      </c>
    </row>
    <row r="306" spans="1:6" x14ac:dyDescent="0.25">
      <c r="A306" t="s">
        <v>2073</v>
      </c>
      <c r="B306" t="s">
        <v>1044</v>
      </c>
      <c r="C306" t="s">
        <v>53</v>
      </c>
      <c r="D306">
        <v>337</v>
      </c>
      <c r="E306">
        <v>117</v>
      </c>
      <c r="F306">
        <v>6</v>
      </c>
    </row>
    <row r="307" spans="1:6" x14ac:dyDescent="0.25">
      <c r="A307" t="s">
        <v>2073</v>
      </c>
      <c r="B307" t="s">
        <v>1045</v>
      </c>
      <c r="C307" t="s">
        <v>54</v>
      </c>
      <c r="D307">
        <v>337</v>
      </c>
      <c r="E307">
        <v>119</v>
      </c>
      <c r="F307">
        <v>6</v>
      </c>
    </row>
    <row r="308" spans="1:6" x14ac:dyDescent="0.25">
      <c r="A308" t="s">
        <v>2073</v>
      </c>
      <c r="B308" t="s">
        <v>1046</v>
      </c>
      <c r="C308" t="s">
        <v>55</v>
      </c>
      <c r="D308">
        <v>505</v>
      </c>
      <c r="E308">
        <v>215</v>
      </c>
      <c r="F308">
        <v>6</v>
      </c>
    </row>
    <row r="309" spans="1:6" x14ac:dyDescent="0.25">
      <c r="A309" t="s">
        <v>2073</v>
      </c>
      <c r="B309" t="s">
        <v>1047</v>
      </c>
      <c r="C309" t="s">
        <v>56</v>
      </c>
      <c r="D309">
        <v>505</v>
      </c>
      <c r="E309">
        <v>215</v>
      </c>
      <c r="F309">
        <v>7</v>
      </c>
    </row>
    <row r="310" spans="1:6" x14ac:dyDescent="0.25">
      <c r="A310" t="s">
        <v>2073</v>
      </c>
      <c r="B310" t="s">
        <v>1048</v>
      </c>
      <c r="C310" t="s">
        <v>57</v>
      </c>
      <c r="D310">
        <v>674</v>
      </c>
      <c r="E310">
        <v>316</v>
      </c>
      <c r="F310">
        <v>8</v>
      </c>
    </row>
    <row r="311" spans="1:6" x14ac:dyDescent="0.25">
      <c r="A311" t="s">
        <v>2073</v>
      </c>
      <c r="B311" t="s">
        <v>1049</v>
      </c>
      <c r="C311" t="s">
        <v>58</v>
      </c>
      <c r="D311">
        <v>674</v>
      </c>
      <c r="E311">
        <v>316</v>
      </c>
      <c r="F311">
        <v>8</v>
      </c>
    </row>
    <row r="312" spans="1:6" x14ac:dyDescent="0.25">
      <c r="A312" t="s">
        <v>2073</v>
      </c>
      <c r="B312" t="s">
        <v>1050</v>
      </c>
      <c r="C312" t="s">
        <v>59</v>
      </c>
      <c r="D312">
        <v>668</v>
      </c>
      <c r="E312">
        <v>316</v>
      </c>
      <c r="F312">
        <v>11</v>
      </c>
    </row>
    <row r="313" spans="1:6" x14ac:dyDescent="0.25">
      <c r="A313" t="s">
        <v>2073</v>
      </c>
      <c r="B313" t="s">
        <v>1051</v>
      </c>
      <c r="C313" t="s">
        <v>60</v>
      </c>
      <c r="D313">
        <v>674</v>
      </c>
      <c r="E313">
        <v>316</v>
      </c>
      <c r="F313">
        <v>12</v>
      </c>
    </row>
    <row r="314" spans="1:6" x14ac:dyDescent="0.25">
      <c r="A314" t="s">
        <v>2073</v>
      </c>
      <c r="B314" t="s">
        <v>1052</v>
      </c>
      <c r="C314" t="s">
        <v>61</v>
      </c>
      <c r="D314">
        <v>842</v>
      </c>
      <c r="E314">
        <v>410</v>
      </c>
      <c r="F314">
        <v>15</v>
      </c>
    </row>
    <row r="315" spans="1:6" x14ac:dyDescent="0.25">
      <c r="A315" t="s">
        <v>2073</v>
      </c>
      <c r="B315" t="s">
        <v>1053</v>
      </c>
      <c r="C315" t="s">
        <v>62</v>
      </c>
      <c r="D315">
        <v>1011</v>
      </c>
      <c r="E315">
        <v>499</v>
      </c>
      <c r="F315">
        <v>17</v>
      </c>
    </row>
    <row r="316" spans="1:6" x14ac:dyDescent="0.25">
      <c r="A316" t="s">
        <v>2073</v>
      </c>
      <c r="B316" t="s">
        <v>1054</v>
      </c>
      <c r="C316" t="s">
        <v>66</v>
      </c>
      <c r="D316">
        <v>1179</v>
      </c>
      <c r="E316">
        <v>745</v>
      </c>
      <c r="F316">
        <v>20</v>
      </c>
    </row>
    <row r="317" spans="1:6" x14ac:dyDescent="0.25">
      <c r="A317" t="s">
        <v>2073</v>
      </c>
      <c r="B317" t="s">
        <v>1055</v>
      </c>
      <c r="C317" t="s">
        <v>308</v>
      </c>
      <c r="D317">
        <v>21</v>
      </c>
      <c r="E317">
        <v>19</v>
      </c>
      <c r="F317">
        <v>3</v>
      </c>
    </row>
    <row r="318" spans="1:6" x14ac:dyDescent="0.25">
      <c r="A318" t="s">
        <v>2073</v>
      </c>
      <c r="B318" t="s">
        <v>1056</v>
      </c>
      <c r="C318" t="s">
        <v>310</v>
      </c>
      <c r="D318">
        <v>34</v>
      </c>
      <c r="E318">
        <v>58</v>
      </c>
      <c r="F318">
        <v>3</v>
      </c>
    </row>
    <row r="319" spans="1:6" x14ac:dyDescent="0.25">
      <c r="A319" t="s">
        <v>2073</v>
      </c>
      <c r="B319" t="s">
        <v>1057</v>
      </c>
      <c r="C319" t="s">
        <v>312</v>
      </c>
      <c r="D319">
        <v>36</v>
      </c>
      <c r="E319">
        <v>60</v>
      </c>
      <c r="F319">
        <v>3</v>
      </c>
    </row>
    <row r="320" spans="1:6" x14ac:dyDescent="0.25">
      <c r="A320" t="s">
        <v>2073</v>
      </c>
      <c r="B320" t="s">
        <v>1058</v>
      </c>
      <c r="C320" t="s">
        <v>314</v>
      </c>
      <c r="D320">
        <v>44</v>
      </c>
      <c r="E320">
        <v>68</v>
      </c>
      <c r="F320">
        <v>3</v>
      </c>
    </row>
    <row r="321" spans="1:6" x14ac:dyDescent="0.25">
      <c r="A321" t="s">
        <v>2073</v>
      </c>
      <c r="B321" t="s">
        <v>1059</v>
      </c>
      <c r="C321" t="s">
        <v>316</v>
      </c>
      <c r="D321">
        <v>47</v>
      </c>
      <c r="E321">
        <v>74</v>
      </c>
      <c r="F321">
        <v>4</v>
      </c>
    </row>
    <row r="322" spans="1:6" x14ac:dyDescent="0.25">
      <c r="A322" t="s">
        <v>2073</v>
      </c>
      <c r="B322" t="s">
        <v>1060</v>
      </c>
      <c r="C322" t="s">
        <v>318</v>
      </c>
      <c r="D322">
        <v>82</v>
      </c>
      <c r="E322">
        <v>114</v>
      </c>
      <c r="F322">
        <v>6</v>
      </c>
    </row>
    <row r="323" spans="1:6" x14ac:dyDescent="0.25">
      <c r="A323" t="s">
        <v>2073</v>
      </c>
      <c r="B323" t="s">
        <v>1061</v>
      </c>
      <c r="C323" t="s">
        <v>320</v>
      </c>
      <c r="D323">
        <v>93</v>
      </c>
      <c r="E323">
        <v>175</v>
      </c>
      <c r="F323">
        <v>7</v>
      </c>
    </row>
    <row r="324" spans="1:6" x14ac:dyDescent="0.25">
      <c r="A324" t="s">
        <v>2073</v>
      </c>
      <c r="B324" t="s">
        <v>1062</v>
      </c>
      <c r="C324" t="s">
        <v>322</v>
      </c>
      <c r="D324">
        <v>118</v>
      </c>
      <c r="E324">
        <v>188</v>
      </c>
      <c r="F324">
        <v>9</v>
      </c>
    </row>
    <row r="325" spans="1:6" x14ac:dyDescent="0.25">
      <c r="A325" t="s">
        <v>2074</v>
      </c>
      <c r="B325" t="s">
        <v>1063</v>
      </c>
      <c r="C325" t="s">
        <v>106</v>
      </c>
      <c r="D325">
        <v>64</v>
      </c>
      <c r="E325">
        <v>12</v>
      </c>
      <c r="F325">
        <v>2</v>
      </c>
    </row>
    <row r="326" spans="1:6" x14ac:dyDescent="0.25">
      <c r="A326" t="s">
        <v>2074</v>
      </c>
      <c r="B326" t="s">
        <v>1064</v>
      </c>
      <c r="C326">
        <v>18</v>
      </c>
      <c r="D326">
        <v>101</v>
      </c>
      <c r="E326">
        <v>18</v>
      </c>
      <c r="F326">
        <v>2</v>
      </c>
    </row>
    <row r="327" spans="1:6" x14ac:dyDescent="0.25">
      <c r="A327" t="s">
        <v>2074</v>
      </c>
      <c r="B327" t="s">
        <v>1065</v>
      </c>
      <c r="C327" t="s">
        <v>37</v>
      </c>
      <c r="D327">
        <v>119</v>
      </c>
      <c r="E327">
        <v>25</v>
      </c>
      <c r="F327">
        <v>2</v>
      </c>
    </row>
    <row r="328" spans="1:6" x14ac:dyDescent="0.25">
      <c r="A328" t="s">
        <v>2074</v>
      </c>
      <c r="B328" t="s">
        <v>1066</v>
      </c>
      <c r="C328" t="s">
        <v>38</v>
      </c>
      <c r="D328">
        <v>138</v>
      </c>
      <c r="E328">
        <v>29</v>
      </c>
      <c r="F328">
        <v>2</v>
      </c>
    </row>
    <row r="329" spans="1:6" x14ac:dyDescent="0.25">
      <c r="A329" t="s">
        <v>2074</v>
      </c>
      <c r="B329" t="s">
        <v>1067</v>
      </c>
      <c r="C329" t="s">
        <v>39</v>
      </c>
      <c r="D329">
        <v>108</v>
      </c>
      <c r="E329">
        <v>23</v>
      </c>
      <c r="F329">
        <v>3</v>
      </c>
    </row>
    <row r="330" spans="1:6" x14ac:dyDescent="0.25">
      <c r="A330" t="s">
        <v>2074</v>
      </c>
      <c r="B330" t="s">
        <v>1068</v>
      </c>
      <c r="C330" t="s">
        <v>40</v>
      </c>
      <c r="D330">
        <v>129</v>
      </c>
      <c r="E330">
        <v>27</v>
      </c>
      <c r="F330">
        <v>3</v>
      </c>
    </row>
    <row r="331" spans="1:6" x14ac:dyDescent="0.25">
      <c r="A331" t="s">
        <v>2074</v>
      </c>
      <c r="B331" t="s">
        <v>1069</v>
      </c>
      <c r="C331" t="s">
        <v>41</v>
      </c>
      <c r="D331">
        <v>178</v>
      </c>
      <c r="E331">
        <v>66</v>
      </c>
      <c r="F331">
        <v>3</v>
      </c>
    </row>
    <row r="332" spans="1:6" x14ac:dyDescent="0.25">
      <c r="A332" t="s">
        <v>2074</v>
      </c>
      <c r="B332" t="s">
        <v>1070</v>
      </c>
      <c r="C332" t="s">
        <v>42</v>
      </c>
      <c r="D332">
        <v>210</v>
      </c>
      <c r="E332">
        <v>78</v>
      </c>
      <c r="F332">
        <v>3</v>
      </c>
    </row>
    <row r="333" spans="1:6" x14ac:dyDescent="0.25">
      <c r="A333" t="s">
        <v>2074</v>
      </c>
      <c r="B333" t="s">
        <v>1071</v>
      </c>
      <c r="C333" t="s">
        <v>43</v>
      </c>
      <c r="D333">
        <v>259</v>
      </c>
      <c r="E333">
        <v>116</v>
      </c>
      <c r="F333">
        <v>4</v>
      </c>
    </row>
    <row r="334" spans="1:6" x14ac:dyDescent="0.25">
      <c r="A334" t="s">
        <v>2074</v>
      </c>
      <c r="B334" t="s">
        <v>1072</v>
      </c>
      <c r="C334" t="s">
        <v>44</v>
      </c>
      <c r="D334">
        <v>297</v>
      </c>
      <c r="E334">
        <v>133</v>
      </c>
      <c r="F334">
        <v>4</v>
      </c>
    </row>
    <row r="335" spans="1:6" x14ac:dyDescent="0.25">
      <c r="A335" t="s">
        <v>2074</v>
      </c>
      <c r="B335" t="s">
        <v>1073</v>
      </c>
      <c r="C335" t="s">
        <v>45</v>
      </c>
      <c r="D335">
        <v>371</v>
      </c>
      <c r="E335">
        <v>191</v>
      </c>
      <c r="F335">
        <v>5</v>
      </c>
    </row>
    <row r="336" spans="1:6" x14ac:dyDescent="0.25">
      <c r="A336" t="s">
        <v>2074</v>
      </c>
      <c r="B336" t="s">
        <v>1074</v>
      </c>
      <c r="C336" t="s">
        <v>46</v>
      </c>
      <c r="D336">
        <v>424</v>
      </c>
      <c r="E336">
        <v>218</v>
      </c>
      <c r="F336">
        <v>5</v>
      </c>
    </row>
    <row r="337" spans="1:6" x14ac:dyDescent="0.25">
      <c r="A337" t="s">
        <v>2074</v>
      </c>
      <c r="B337" t="s">
        <v>1075</v>
      </c>
      <c r="C337" t="s">
        <v>47</v>
      </c>
      <c r="D337">
        <v>424</v>
      </c>
      <c r="E337">
        <v>218</v>
      </c>
      <c r="F337">
        <v>5</v>
      </c>
    </row>
    <row r="338" spans="1:6" x14ac:dyDescent="0.25">
      <c r="A338" t="s">
        <v>2074</v>
      </c>
      <c r="B338" t="s">
        <v>1076</v>
      </c>
      <c r="C338" t="s">
        <v>48</v>
      </c>
      <c r="D338">
        <v>477</v>
      </c>
      <c r="E338">
        <v>245</v>
      </c>
      <c r="F338">
        <v>6</v>
      </c>
    </row>
    <row r="339" spans="1:6" x14ac:dyDescent="0.25">
      <c r="A339" t="s">
        <v>2074</v>
      </c>
      <c r="B339" t="s">
        <v>1077</v>
      </c>
      <c r="C339" t="s">
        <v>49</v>
      </c>
      <c r="D339">
        <v>560</v>
      </c>
      <c r="E339">
        <v>321</v>
      </c>
      <c r="F339">
        <v>6</v>
      </c>
    </row>
    <row r="340" spans="1:6" x14ac:dyDescent="0.25">
      <c r="A340" t="s">
        <v>2074</v>
      </c>
      <c r="B340" t="s">
        <v>1078</v>
      </c>
      <c r="C340" t="s">
        <v>50</v>
      </c>
      <c r="D340">
        <v>573</v>
      </c>
      <c r="E340">
        <v>328</v>
      </c>
      <c r="F340">
        <v>7</v>
      </c>
    </row>
    <row r="341" spans="1:6" x14ac:dyDescent="0.25">
      <c r="A341" t="s">
        <v>2074</v>
      </c>
      <c r="B341" t="s">
        <v>1079</v>
      </c>
      <c r="C341" t="s">
        <v>121</v>
      </c>
      <c r="D341">
        <v>636</v>
      </c>
      <c r="E341">
        <v>365</v>
      </c>
      <c r="F341">
        <v>7</v>
      </c>
    </row>
    <row r="342" spans="1:6" x14ac:dyDescent="0.25">
      <c r="A342" t="s">
        <v>2074</v>
      </c>
      <c r="B342" t="s">
        <v>1080</v>
      </c>
      <c r="C342" t="s">
        <v>51</v>
      </c>
      <c r="D342">
        <v>848</v>
      </c>
      <c r="E342">
        <v>567</v>
      </c>
      <c r="F342">
        <v>8</v>
      </c>
    </row>
    <row r="343" spans="1:6" x14ac:dyDescent="0.25">
      <c r="A343" t="s">
        <v>2074</v>
      </c>
      <c r="B343" t="s">
        <v>1081</v>
      </c>
      <c r="C343" t="s">
        <v>52</v>
      </c>
      <c r="D343">
        <v>933</v>
      </c>
      <c r="E343">
        <v>624</v>
      </c>
      <c r="F343">
        <v>8</v>
      </c>
    </row>
    <row r="344" spans="1:6" x14ac:dyDescent="0.25">
      <c r="A344" t="s">
        <v>2074</v>
      </c>
      <c r="B344" t="s">
        <v>1082</v>
      </c>
      <c r="C344" t="s">
        <v>53</v>
      </c>
      <c r="D344">
        <v>129</v>
      </c>
      <c r="E344">
        <v>27</v>
      </c>
      <c r="F344">
        <v>3</v>
      </c>
    </row>
    <row r="345" spans="1:6" x14ac:dyDescent="0.25">
      <c r="A345" t="s">
        <v>2074</v>
      </c>
      <c r="B345" t="s">
        <v>1083</v>
      </c>
      <c r="C345" t="s">
        <v>54</v>
      </c>
      <c r="D345">
        <v>148</v>
      </c>
      <c r="E345">
        <v>30</v>
      </c>
      <c r="F345">
        <v>3</v>
      </c>
    </row>
    <row r="346" spans="1:6" x14ac:dyDescent="0.25">
      <c r="A346" t="s">
        <v>2074</v>
      </c>
      <c r="B346" t="s">
        <v>1084</v>
      </c>
      <c r="C346" t="s">
        <v>55</v>
      </c>
      <c r="D346">
        <v>254</v>
      </c>
      <c r="E346">
        <v>94</v>
      </c>
      <c r="F346">
        <v>3</v>
      </c>
    </row>
    <row r="347" spans="1:6" x14ac:dyDescent="0.25">
      <c r="A347" t="s">
        <v>2074</v>
      </c>
      <c r="B347" t="s">
        <v>1085</v>
      </c>
      <c r="C347" t="s">
        <v>56</v>
      </c>
      <c r="D347">
        <v>286</v>
      </c>
      <c r="E347">
        <v>106</v>
      </c>
      <c r="F347">
        <v>3</v>
      </c>
    </row>
    <row r="348" spans="1:6" x14ac:dyDescent="0.25">
      <c r="A348" t="s">
        <v>2074</v>
      </c>
      <c r="B348" t="s">
        <v>1086</v>
      </c>
      <c r="C348" t="s">
        <v>57</v>
      </c>
      <c r="D348">
        <v>339</v>
      </c>
      <c r="E348">
        <v>152</v>
      </c>
      <c r="F348">
        <v>4</v>
      </c>
    </row>
    <row r="349" spans="1:6" x14ac:dyDescent="0.25">
      <c r="A349" t="s">
        <v>2074</v>
      </c>
      <c r="B349" t="s">
        <v>1087</v>
      </c>
      <c r="C349" t="s">
        <v>58</v>
      </c>
      <c r="D349">
        <v>382</v>
      </c>
      <c r="E349">
        <v>171</v>
      </c>
      <c r="F349">
        <v>4</v>
      </c>
    </row>
    <row r="350" spans="1:6" x14ac:dyDescent="0.25">
      <c r="A350" t="s">
        <v>2074</v>
      </c>
      <c r="B350" t="s">
        <v>1088</v>
      </c>
      <c r="C350" t="s">
        <v>59</v>
      </c>
      <c r="D350">
        <v>399</v>
      </c>
      <c r="E350">
        <v>180</v>
      </c>
      <c r="F350">
        <v>5</v>
      </c>
    </row>
    <row r="351" spans="1:6" x14ac:dyDescent="0.25">
      <c r="A351" t="s">
        <v>2074</v>
      </c>
      <c r="B351" t="s">
        <v>1089</v>
      </c>
      <c r="C351" t="s">
        <v>60</v>
      </c>
      <c r="D351">
        <v>424</v>
      </c>
      <c r="E351">
        <v>190</v>
      </c>
      <c r="F351">
        <v>5</v>
      </c>
    </row>
    <row r="352" spans="1:6" x14ac:dyDescent="0.25">
      <c r="A352" t="s">
        <v>2074</v>
      </c>
      <c r="B352" t="s">
        <v>1090</v>
      </c>
      <c r="C352" t="s">
        <v>61</v>
      </c>
      <c r="D352">
        <v>583</v>
      </c>
      <c r="E352">
        <v>300</v>
      </c>
      <c r="F352">
        <v>6</v>
      </c>
    </row>
    <row r="353" spans="1:6" x14ac:dyDescent="0.25">
      <c r="A353" t="s">
        <v>2074</v>
      </c>
      <c r="B353" t="s">
        <v>1091</v>
      </c>
      <c r="C353" t="s">
        <v>62</v>
      </c>
      <c r="D353">
        <v>700</v>
      </c>
      <c r="E353">
        <v>401</v>
      </c>
      <c r="F353">
        <v>7</v>
      </c>
    </row>
    <row r="354" spans="1:6" x14ac:dyDescent="0.25">
      <c r="A354" t="s">
        <v>2074</v>
      </c>
      <c r="B354" t="s">
        <v>1092</v>
      </c>
      <c r="C354" t="s">
        <v>63</v>
      </c>
      <c r="D354">
        <v>884</v>
      </c>
      <c r="E354">
        <v>529</v>
      </c>
      <c r="F354">
        <v>7</v>
      </c>
    </row>
    <row r="355" spans="1:6" x14ac:dyDescent="0.25">
      <c r="A355" t="s">
        <v>2074</v>
      </c>
      <c r="B355" t="s">
        <v>1093</v>
      </c>
      <c r="C355" t="s">
        <v>64</v>
      </c>
      <c r="D355">
        <v>955</v>
      </c>
      <c r="E355">
        <v>552</v>
      </c>
      <c r="F355">
        <v>8</v>
      </c>
    </row>
    <row r="356" spans="1:6" x14ac:dyDescent="0.25">
      <c r="A356" t="s">
        <v>2074</v>
      </c>
      <c r="B356" t="s">
        <v>1094</v>
      </c>
      <c r="C356" t="s">
        <v>65</v>
      </c>
      <c r="D356">
        <v>1011</v>
      </c>
      <c r="E356">
        <v>587</v>
      </c>
      <c r="F356">
        <v>8</v>
      </c>
    </row>
    <row r="357" spans="1:6" x14ac:dyDescent="0.25">
      <c r="A357" t="s">
        <v>2074</v>
      </c>
      <c r="B357" t="s">
        <v>1095</v>
      </c>
      <c r="C357" t="s">
        <v>66</v>
      </c>
      <c r="D357">
        <v>891</v>
      </c>
      <c r="E357">
        <v>556</v>
      </c>
      <c r="F357">
        <v>9</v>
      </c>
    </row>
    <row r="358" spans="1:6" x14ac:dyDescent="0.25">
      <c r="A358" t="s">
        <v>2074</v>
      </c>
      <c r="B358" t="s">
        <v>1096</v>
      </c>
      <c r="C358" t="s">
        <v>67</v>
      </c>
      <c r="D358">
        <v>1151</v>
      </c>
      <c r="E358">
        <v>724</v>
      </c>
      <c r="F358">
        <v>9</v>
      </c>
    </row>
    <row r="359" spans="1:6" x14ac:dyDescent="0.25">
      <c r="A359" t="s">
        <v>2074</v>
      </c>
      <c r="B359" t="s">
        <v>1097</v>
      </c>
      <c r="C359" t="s">
        <v>68</v>
      </c>
      <c r="D359">
        <v>1240</v>
      </c>
      <c r="E359">
        <v>780</v>
      </c>
      <c r="F359">
        <v>9</v>
      </c>
    </row>
    <row r="360" spans="1:6" x14ac:dyDescent="0.25">
      <c r="A360" t="s">
        <v>2074</v>
      </c>
      <c r="B360" t="s">
        <v>1098</v>
      </c>
      <c r="C360" t="s">
        <v>69</v>
      </c>
      <c r="D360">
        <v>1240</v>
      </c>
      <c r="E360">
        <v>780</v>
      </c>
      <c r="F360">
        <v>9</v>
      </c>
    </row>
    <row r="361" spans="1:6" x14ac:dyDescent="0.25">
      <c r="A361" t="s">
        <v>2074</v>
      </c>
      <c r="B361" t="s">
        <v>1099</v>
      </c>
      <c r="C361" t="s">
        <v>70</v>
      </c>
      <c r="D361">
        <v>2004</v>
      </c>
      <c r="E361">
        <v>1319</v>
      </c>
      <c r="F361">
        <v>10</v>
      </c>
    </row>
    <row r="362" spans="1:6" x14ac:dyDescent="0.25">
      <c r="A362" t="s">
        <v>2074</v>
      </c>
      <c r="B362" t="s">
        <v>1100</v>
      </c>
      <c r="C362" t="s">
        <v>71</v>
      </c>
      <c r="D362">
        <v>1939</v>
      </c>
      <c r="E362">
        <v>1255</v>
      </c>
      <c r="F362">
        <v>10</v>
      </c>
    </row>
    <row r="363" spans="1:6" x14ac:dyDescent="0.25">
      <c r="A363" t="s">
        <v>2074</v>
      </c>
      <c r="B363" t="s">
        <v>1101</v>
      </c>
      <c r="C363" t="s">
        <v>72</v>
      </c>
      <c r="D363">
        <v>2181</v>
      </c>
      <c r="E363">
        <v>1400</v>
      </c>
      <c r="F363">
        <v>10</v>
      </c>
    </row>
    <row r="364" spans="1:6" x14ac:dyDescent="0.25">
      <c r="A364" t="s">
        <v>2074</v>
      </c>
      <c r="B364" t="s">
        <v>1102</v>
      </c>
      <c r="C364" t="s">
        <v>73</v>
      </c>
      <c r="D364">
        <v>3150</v>
      </c>
      <c r="E364">
        <v>1963</v>
      </c>
      <c r="F364">
        <v>10</v>
      </c>
    </row>
    <row r="365" spans="1:6" x14ac:dyDescent="0.25">
      <c r="A365" t="s">
        <v>2074</v>
      </c>
      <c r="B365" t="s">
        <v>1103</v>
      </c>
      <c r="C365" t="s">
        <v>304</v>
      </c>
      <c r="D365">
        <v>3757</v>
      </c>
      <c r="E365">
        <v>2698</v>
      </c>
      <c r="F365">
        <v>10</v>
      </c>
    </row>
    <row r="366" spans="1:6" x14ac:dyDescent="0.25">
      <c r="A366" t="s">
        <v>2074</v>
      </c>
      <c r="B366" t="s">
        <v>1104</v>
      </c>
      <c r="C366" t="s">
        <v>306</v>
      </c>
      <c r="D366">
        <v>4007</v>
      </c>
      <c r="E366">
        <v>2694</v>
      </c>
      <c r="F366">
        <v>10</v>
      </c>
    </row>
    <row r="367" spans="1:6" x14ac:dyDescent="0.25">
      <c r="A367" t="s">
        <v>2075</v>
      </c>
      <c r="B367" t="s">
        <v>1105</v>
      </c>
      <c r="C367" t="s">
        <v>106</v>
      </c>
      <c r="D367">
        <v>407</v>
      </c>
      <c r="E367">
        <v>57</v>
      </c>
      <c r="F367">
        <v>2</v>
      </c>
    </row>
    <row r="368" spans="1:6" x14ac:dyDescent="0.25">
      <c r="A368" t="s">
        <v>2075</v>
      </c>
      <c r="B368" t="s">
        <v>1106</v>
      </c>
      <c r="C368">
        <v>18</v>
      </c>
      <c r="D368">
        <v>571</v>
      </c>
      <c r="E368">
        <v>79</v>
      </c>
      <c r="F368">
        <v>2</v>
      </c>
    </row>
    <row r="369" spans="1:6" x14ac:dyDescent="0.25">
      <c r="A369" t="s">
        <v>2075</v>
      </c>
      <c r="B369" t="s">
        <v>1107</v>
      </c>
      <c r="C369" t="s">
        <v>37</v>
      </c>
      <c r="D369">
        <v>644</v>
      </c>
      <c r="E369">
        <v>96</v>
      </c>
      <c r="F369">
        <v>2</v>
      </c>
    </row>
    <row r="370" spans="1:6" x14ac:dyDescent="0.25">
      <c r="A370" t="s">
        <v>2075</v>
      </c>
      <c r="B370" t="s">
        <v>1108</v>
      </c>
      <c r="C370" t="s">
        <v>38</v>
      </c>
      <c r="D370">
        <v>630</v>
      </c>
      <c r="E370">
        <v>101</v>
      </c>
      <c r="F370">
        <v>2</v>
      </c>
    </row>
    <row r="371" spans="1:6" x14ac:dyDescent="0.25">
      <c r="A371" t="s">
        <v>2075</v>
      </c>
      <c r="B371" t="s">
        <v>1109</v>
      </c>
      <c r="C371" t="s">
        <v>39</v>
      </c>
      <c r="D371">
        <v>624</v>
      </c>
      <c r="E371">
        <v>93</v>
      </c>
      <c r="F371">
        <v>3</v>
      </c>
    </row>
    <row r="372" spans="1:6" x14ac:dyDescent="0.25">
      <c r="A372" t="s">
        <v>2075</v>
      </c>
      <c r="B372" t="s">
        <v>1110</v>
      </c>
      <c r="C372" t="s">
        <v>40</v>
      </c>
      <c r="D372">
        <v>644</v>
      </c>
      <c r="E372">
        <v>98</v>
      </c>
      <c r="F372">
        <v>3</v>
      </c>
    </row>
    <row r="373" spans="1:6" x14ac:dyDescent="0.25">
      <c r="A373" t="s">
        <v>2075</v>
      </c>
      <c r="B373" t="s">
        <v>1111</v>
      </c>
      <c r="C373" t="s">
        <v>41</v>
      </c>
      <c r="D373">
        <v>791</v>
      </c>
      <c r="E373">
        <v>230</v>
      </c>
      <c r="F373">
        <v>3</v>
      </c>
    </row>
    <row r="374" spans="1:6" x14ac:dyDescent="0.25">
      <c r="A374" t="s">
        <v>2075</v>
      </c>
      <c r="B374" t="s">
        <v>1112</v>
      </c>
      <c r="C374" t="s">
        <v>42</v>
      </c>
      <c r="D374">
        <v>846</v>
      </c>
      <c r="E374">
        <v>243</v>
      </c>
      <c r="F374">
        <v>3</v>
      </c>
    </row>
    <row r="375" spans="1:6" x14ac:dyDescent="0.25">
      <c r="A375" t="s">
        <v>2075</v>
      </c>
      <c r="B375" t="s">
        <v>1113</v>
      </c>
      <c r="C375" t="s">
        <v>43</v>
      </c>
      <c r="D375">
        <v>978</v>
      </c>
      <c r="E375">
        <v>362</v>
      </c>
      <c r="F375">
        <v>4</v>
      </c>
    </row>
    <row r="376" spans="1:6" x14ac:dyDescent="0.25">
      <c r="A376" t="s">
        <v>2075</v>
      </c>
      <c r="B376" t="s">
        <v>1114</v>
      </c>
      <c r="C376" t="s">
        <v>44</v>
      </c>
      <c r="D376">
        <v>1073</v>
      </c>
      <c r="E376">
        <v>396</v>
      </c>
      <c r="F376">
        <v>4</v>
      </c>
    </row>
    <row r="377" spans="1:6" x14ac:dyDescent="0.25">
      <c r="A377" t="s">
        <v>2075</v>
      </c>
      <c r="B377" t="s">
        <v>1115</v>
      </c>
      <c r="C377" t="s">
        <v>45</v>
      </c>
      <c r="D377">
        <v>1198</v>
      </c>
      <c r="E377">
        <v>455</v>
      </c>
      <c r="F377">
        <v>5</v>
      </c>
    </row>
    <row r="378" spans="1:6" x14ac:dyDescent="0.25">
      <c r="A378" t="s">
        <v>2075</v>
      </c>
      <c r="B378" t="s">
        <v>1116</v>
      </c>
      <c r="C378" t="s">
        <v>46</v>
      </c>
      <c r="D378">
        <v>1369</v>
      </c>
      <c r="E378">
        <v>523</v>
      </c>
      <c r="F378">
        <v>5</v>
      </c>
    </row>
    <row r="379" spans="1:6" x14ac:dyDescent="0.25">
      <c r="A379" t="s">
        <v>2075</v>
      </c>
      <c r="B379" t="s">
        <v>1117</v>
      </c>
      <c r="C379" t="s">
        <v>47</v>
      </c>
      <c r="D379">
        <v>1369</v>
      </c>
      <c r="E379">
        <v>545</v>
      </c>
      <c r="F379">
        <v>6</v>
      </c>
    </row>
    <row r="380" spans="1:6" x14ac:dyDescent="0.25">
      <c r="A380" t="s">
        <v>2075</v>
      </c>
      <c r="B380" t="s">
        <v>1118</v>
      </c>
      <c r="C380" t="s">
        <v>48</v>
      </c>
      <c r="D380">
        <v>1427</v>
      </c>
      <c r="E380">
        <v>545</v>
      </c>
      <c r="F380">
        <v>6</v>
      </c>
    </row>
    <row r="381" spans="1:6" x14ac:dyDescent="0.25">
      <c r="A381" t="s">
        <v>2075</v>
      </c>
      <c r="B381" t="s">
        <v>1119</v>
      </c>
      <c r="C381" t="s">
        <v>49</v>
      </c>
      <c r="D381">
        <v>1611</v>
      </c>
      <c r="E381">
        <v>691</v>
      </c>
      <c r="F381">
        <v>7</v>
      </c>
    </row>
    <row r="382" spans="1:6" x14ac:dyDescent="0.25">
      <c r="A382" t="s">
        <v>2075</v>
      </c>
      <c r="B382" t="s">
        <v>1120</v>
      </c>
      <c r="C382" t="s">
        <v>50</v>
      </c>
      <c r="D382">
        <v>1658</v>
      </c>
      <c r="E382">
        <v>646</v>
      </c>
      <c r="F382">
        <v>7</v>
      </c>
    </row>
    <row r="383" spans="1:6" x14ac:dyDescent="0.25">
      <c r="A383" t="s">
        <v>2075</v>
      </c>
      <c r="B383" t="s">
        <v>1121</v>
      </c>
      <c r="C383" t="s">
        <v>121</v>
      </c>
      <c r="D383">
        <v>1658</v>
      </c>
      <c r="E383">
        <v>646</v>
      </c>
      <c r="F383">
        <v>7</v>
      </c>
    </row>
    <row r="384" spans="1:6" x14ac:dyDescent="0.25">
      <c r="A384" t="s">
        <v>2075</v>
      </c>
      <c r="B384" t="s">
        <v>1122</v>
      </c>
      <c r="C384" t="s">
        <v>51</v>
      </c>
      <c r="D384">
        <v>2118</v>
      </c>
      <c r="E384">
        <v>917</v>
      </c>
      <c r="F384">
        <v>8</v>
      </c>
    </row>
    <row r="385" spans="1:6" x14ac:dyDescent="0.25">
      <c r="A385" t="s">
        <v>2075</v>
      </c>
      <c r="B385" t="s">
        <v>1123</v>
      </c>
      <c r="C385" t="s">
        <v>52</v>
      </c>
      <c r="D385">
        <v>2118</v>
      </c>
      <c r="E385">
        <v>917</v>
      </c>
      <c r="F385">
        <v>8</v>
      </c>
    </row>
    <row r="386" spans="1:6" x14ac:dyDescent="0.25">
      <c r="A386" t="s">
        <v>2075</v>
      </c>
      <c r="B386" t="s">
        <v>1124</v>
      </c>
      <c r="C386" t="s">
        <v>53</v>
      </c>
      <c r="D386">
        <v>644</v>
      </c>
      <c r="E386">
        <v>98</v>
      </c>
      <c r="F386">
        <v>3</v>
      </c>
    </row>
    <row r="387" spans="1:6" x14ac:dyDescent="0.25">
      <c r="A387" t="s">
        <v>2075</v>
      </c>
      <c r="B387" t="s">
        <v>1125</v>
      </c>
      <c r="C387" t="s">
        <v>54</v>
      </c>
      <c r="D387">
        <v>691</v>
      </c>
      <c r="E387">
        <v>98</v>
      </c>
      <c r="F387">
        <v>3</v>
      </c>
    </row>
    <row r="388" spans="1:6" x14ac:dyDescent="0.25">
      <c r="A388" t="s">
        <v>2075</v>
      </c>
      <c r="B388" t="s">
        <v>1126</v>
      </c>
      <c r="C388" t="s">
        <v>55</v>
      </c>
      <c r="D388">
        <v>940</v>
      </c>
      <c r="E388">
        <v>247</v>
      </c>
      <c r="F388">
        <v>3</v>
      </c>
    </row>
    <row r="389" spans="1:6" x14ac:dyDescent="0.25">
      <c r="A389" t="s">
        <v>2075</v>
      </c>
      <c r="B389" t="s">
        <v>1127</v>
      </c>
      <c r="C389" t="s">
        <v>56</v>
      </c>
      <c r="D389">
        <v>967</v>
      </c>
      <c r="E389">
        <v>259</v>
      </c>
      <c r="F389">
        <v>3</v>
      </c>
    </row>
    <row r="390" spans="1:6" x14ac:dyDescent="0.25">
      <c r="A390" t="s">
        <v>2075</v>
      </c>
      <c r="B390" t="s">
        <v>1128</v>
      </c>
      <c r="C390" t="s">
        <v>57</v>
      </c>
      <c r="D390">
        <v>1163</v>
      </c>
      <c r="E390">
        <v>415</v>
      </c>
      <c r="F390">
        <v>4</v>
      </c>
    </row>
    <row r="391" spans="1:6" x14ac:dyDescent="0.25">
      <c r="A391" t="s">
        <v>2075</v>
      </c>
      <c r="B391" t="s">
        <v>1129</v>
      </c>
      <c r="C391" t="s">
        <v>58</v>
      </c>
      <c r="D391">
        <v>1197</v>
      </c>
      <c r="E391">
        <v>389</v>
      </c>
      <c r="F391">
        <v>4</v>
      </c>
    </row>
    <row r="392" spans="1:6" x14ac:dyDescent="0.25">
      <c r="A392" t="s">
        <v>2075</v>
      </c>
      <c r="B392" t="s">
        <v>1130</v>
      </c>
      <c r="C392" t="s">
        <v>59</v>
      </c>
      <c r="D392">
        <v>1187</v>
      </c>
      <c r="E392">
        <v>389</v>
      </c>
      <c r="F392">
        <v>5</v>
      </c>
    </row>
    <row r="393" spans="1:6" x14ac:dyDescent="0.25">
      <c r="A393" t="s">
        <v>2075</v>
      </c>
      <c r="B393" t="s">
        <v>1131</v>
      </c>
      <c r="C393" t="s">
        <v>60</v>
      </c>
      <c r="D393">
        <v>1197</v>
      </c>
      <c r="E393">
        <v>389</v>
      </c>
      <c r="F393">
        <v>6</v>
      </c>
    </row>
    <row r="394" spans="1:6" x14ac:dyDescent="0.25">
      <c r="A394" t="s">
        <v>2075</v>
      </c>
      <c r="B394" t="s">
        <v>1132</v>
      </c>
      <c r="C394" t="s">
        <v>61</v>
      </c>
      <c r="D394">
        <v>1427</v>
      </c>
      <c r="E394">
        <v>510</v>
      </c>
      <c r="F394">
        <v>7</v>
      </c>
    </row>
    <row r="395" spans="1:6" x14ac:dyDescent="0.25">
      <c r="A395" t="s">
        <v>2075</v>
      </c>
      <c r="B395" t="s">
        <v>1133</v>
      </c>
      <c r="C395" t="s">
        <v>62</v>
      </c>
      <c r="D395">
        <v>1658</v>
      </c>
      <c r="E395">
        <v>646</v>
      </c>
      <c r="F395">
        <v>8</v>
      </c>
    </row>
    <row r="396" spans="1:6" x14ac:dyDescent="0.25">
      <c r="A396" t="s">
        <v>2075</v>
      </c>
      <c r="B396" t="s">
        <v>1134</v>
      </c>
      <c r="C396" t="s">
        <v>63</v>
      </c>
      <c r="D396">
        <v>1460</v>
      </c>
      <c r="E396">
        <v>646</v>
      </c>
      <c r="F396">
        <v>8</v>
      </c>
    </row>
    <row r="397" spans="1:6" x14ac:dyDescent="0.25">
      <c r="A397" t="s">
        <v>2075</v>
      </c>
      <c r="B397" t="s">
        <v>1135</v>
      </c>
      <c r="C397" t="s">
        <v>64</v>
      </c>
      <c r="D397">
        <v>1515</v>
      </c>
      <c r="E397">
        <v>800</v>
      </c>
      <c r="F397">
        <v>8</v>
      </c>
    </row>
    <row r="398" spans="1:6" x14ac:dyDescent="0.25">
      <c r="A398" t="s">
        <v>2075</v>
      </c>
      <c r="B398" t="s">
        <v>1136</v>
      </c>
      <c r="C398" t="s">
        <v>65</v>
      </c>
      <c r="D398">
        <v>1570</v>
      </c>
      <c r="E398">
        <v>808</v>
      </c>
      <c r="F398">
        <v>8</v>
      </c>
    </row>
    <row r="399" spans="1:6" x14ac:dyDescent="0.25">
      <c r="A399" t="s">
        <v>2075</v>
      </c>
      <c r="B399" t="s">
        <v>1137</v>
      </c>
      <c r="C399" t="s">
        <v>66</v>
      </c>
      <c r="D399">
        <v>2146</v>
      </c>
      <c r="E399">
        <v>974</v>
      </c>
      <c r="F399">
        <v>9</v>
      </c>
    </row>
    <row r="400" spans="1:6" x14ac:dyDescent="0.25">
      <c r="A400" t="s">
        <v>2075</v>
      </c>
      <c r="B400" t="s">
        <v>1138</v>
      </c>
      <c r="C400" t="s">
        <v>67</v>
      </c>
      <c r="D400">
        <v>2284</v>
      </c>
      <c r="E400">
        <v>974</v>
      </c>
      <c r="F400">
        <v>9</v>
      </c>
    </row>
    <row r="401" spans="1:6" x14ac:dyDescent="0.25">
      <c r="A401" t="s">
        <v>2075</v>
      </c>
      <c r="B401" t="s">
        <v>1139</v>
      </c>
      <c r="C401" t="s">
        <v>68</v>
      </c>
      <c r="D401">
        <v>2279</v>
      </c>
      <c r="E401">
        <v>974</v>
      </c>
      <c r="F401">
        <v>10</v>
      </c>
    </row>
    <row r="402" spans="1:6" x14ac:dyDescent="0.25">
      <c r="A402" t="s">
        <v>2075</v>
      </c>
      <c r="B402" t="s">
        <v>1140</v>
      </c>
      <c r="C402" t="s">
        <v>69</v>
      </c>
      <c r="D402">
        <v>2300</v>
      </c>
      <c r="E402">
        <v>974</v>
      </c>
      <c r="F402">
        <v>10</v>
      </c>
    </row>
    <row r="403" spans="1:6" x14ac:dyDescent="0.25">
      <c r="A403" t="s">
        <v>2075</v>
      </c>
      <c r="B403" t="s">
        <v>1141</v>
      </c>
      <c r="C403" t="s">
        <v>70</v>
      </c>
      <c r="D403">
        <v>3563</v>
      </c>
      <c r="E403">
        <v>1462</v>
      </c>
      <c r="F403">
        <v>10</v>
      </c>
    </row>
    <row r="404" spans="1:6" x14ac:dyDescent="0.25">
      <c r="A404" t="s">
        <v>2075</v>
      </c>
      <c r="B404" t="s">
        <v>1142</v>
      </c>
      <c r="C404" t="s">
        <v>71</v>
      </c>
      <c r="D404">
        <v>3502</v>
      </c>
      <c r="E404">
        <v>1570</v>
      </c>
      <c r="F404">
        <v>10</v>
      </c>
    </row>
    <row r="405" spans="1:6" x14ac:dyDescent="0.25">
      <c r="A405" t="s">
        <v>2075</v>
      </c>
      <c r="B405" t="s">
        <v>1143</v>
      </c>
      <c r="C405" t="s">
        <v>72</v>
      </c>
      <c r="D405">
        <v>3705</v>
      </c>
      <c r="E405">
        <v>1800</v>
      </c>
      <c r="F405">
        <v>10</v>
      </c>
    </row>
    <row r="406" spans="1:6" x14ac:dyDescent="0.25">
      <c r="A406" t="s">
        <v>2075</v>
      </c>
      <c r="B406" t="s">
        <v>1144</v>
      </c>
      <c r="C406" t="s">
        <v>73</v>
      </c>
      <c r="D406">
        <v>4979</v>
      </c>
      <c r="E406">
        <v>2725</v>
      </c>
      <c r="F406">
        <v>10</v>
      </c>
    </row>
    <row r="407" spans="1:6" x14ac:dyDescent="0.25">
      <c r="A407" t="s">
        <v>2075</v>
      </c>
      <c r="B407" t="s">
        <v>1145</v>
      </c>
      <c r="C407" t="s">
        <v>304</v>
      </c>
      <c r="D407">
        <v>5449</v>
      </c>
      <c r="E407">
        <v>3184</v>
      </c>
      <c r="F407">
        <v>10</v>
      </c>
    </row>
    <row r="408" spans="1:6" x14ac:dyDescent="0.25">
      <c r="A408" t="s">
        <v>2075</v>
      </c>
      <c r="B408" t="s">
        <v>1146</v>
      </c>
      <c r="C408" t="s">
        <v>306</v>
      </c>
      <c r="D408">
        <v>5855</v>
      </c>
      <c r="E408">
        <v>3412</v>
      </c>
      <c r="F408">
        <v>10</v>
      </c>
    </row>
  </sheetData>
  <autoFilter ref="A2:F2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24"/>
  <dimension ref="A2:D171"/>
  <sheetViews>
    <sheetView zoomScale="85" zoomScaleNormal="85" workbookViewId="0">
      <selection activeCell="D2" sqref="D2"/>
    </sheetView>
  </sheetViews>
  <sheetFormatPr defaultRowHeight="15" x14ac:dyDescent="0.25"/>
  <cols>
    <col min="1" max="1" width="9.140625" style="1"/>
    <col min="3" max="3" width="15.140625" customWidth="1"/>
    <col min="4" max="4" width="9.140625" style="106"/>
  </cols>
  <sheetData>
    <row r="2" spans="1:4" x14ac:dyDescent="0.25">
      <c r="A2" s="105" t="s">
        <v>254</v>
      </c>
      <c r="B2" s="110" t="s">
        <v>2179</v>
      </c>
      <c r="C2" s="107" t="s">
        <v>2180</v>
      </c>
      <c r="D2" s="108">
        <v>63</v>
      </c>
    </row>
    <row r="3" spans="1:4" x14ac:dyDescent="0.25">
      <c r="A3" s="105" t="s">
        <v>254</v>
      </c>
      <c r="B3" s="107" t="s">
        <v>2181</v>
      </c>
      <c r="C3" s="107" t="s">
        <v>2182</v>
      </c>
      <c r="D3" s="108">
        <v>81</v>
      </c>
    </row>
    <row r="4" spans="1:4" x14ac:dyDescent="0.25">
      <c r="A4" s="105" t="s">
        <v>254</v>
      </c>
      <c r="B4" s="107" t="s">
        <v>2183</v>
      </c>
      <c r="C4" s="107" t="s">
        <v>2184</v>
      </c>
      <c r="D4" s="108">
        <v>90</v>
      </c>
    </row>
    <row r="5" spans="1:4" x14ac:dyDescent="0.25">
      <c r="A5" s="105" t="s">
        <v>254</v>
      </c>
      <c r="B5" s="107" t="s">
        <v>2185</v>
      </c>
      <c r="C5" s="107" t="s">
        <v>2186</v>
      </c>
      <c r="D5" s="108">
        <v>117</v>
      </c>
    </row>
    <row r="6" spans="1:4" x14ac:dyDescent="0.25">
      <c r="A6" s="105" t="s">
        <v>254</v>
      </c>
      <c r="B6" s="107" t="s">
        <v>2187</v>
      </c>
      <c r="C6" s="107" t="s">
        <v>2188</v>
      </c>
      <c r="D6" s="108">
        <v>137</v>
      </c>
    </row>
    <row r="7" spans="1:4" x14ac:dyDescent="0.25">
      <c r="A7" s="105" t="s">
        <v>254</v>
      </c>
      <c r="B7" s="107" t="s">
        <v>2189</v>
      </c>
      <c r="C7" s="107" t="s">
        <v>2190</v>
      </c>
      <c r="D7" s="108">
        <v>205</v>
      </c>
    </row>
    <row r="8" spans="1:4" x14ac:dyDescent="0.25">
      <c r="A8" s="105" t="s">
        <v>254</v>
      </c>
      <c r="B8" s="107" t="s">
        <v>2191</v>
      </c>
      <c r="C8" s="107" t="s">
        <v>2192</v>
      </c>
      <c r="D8" s="108">
        <v>270</v>
      </c>
    </row>
    <row r="9" spans="1:4" x14ac:dyDescent="0.25">
      <c r="A9" s="105" t="s">
        <v>254</v>
      </c>
      <c r="B9" s="107" t="s">
        <v>2193</v>
      </c>
      <c r="C9" s="107" t="s">
        <v>2194</v>
      </c>
      <c r="D9" s="108">
        <v>275</v>
      </c>
    </row>
    <row r="10" spans="1:4" x14ac:dyDescent="0.25">
      <c r="A10" s="105" t="s">
        <v>254</v>
      </c>
      <c r="B10" s="107" t="s">
        <v>2195</v>
      </c>
      <c r="C10" s="107" t="s">
        <v>2196</v>
      </c>
      <c r="D10" s="108">
        <v>235</v>
      </c>
    </row>
    <row r="11" spans="1:4" x14ac:dyDescent="0.25">
      <c r="A11" s="105" t="s">
        <v>254</v>
      </c>
      <c r="B11" s="107" t="s">
        <v>2197</v>
      </c>
      <c r="C11" s="107" t="s">
        <v>2198</v>
      </c>
      <c r="D11" s="108">
        <v>324</v>
      </c>
    </row>
    <row r="12" spans="1:4" x14ac:dyDescent="0.25">
      <c r="A12" s="105" t="s">
        <v>254</v>
      </c>
      <c r="B12" s="107" t="s">
        <v>2199</v>
      </c>
      <c r="C12" s="107" t="s">
        <v>2200</v>
      </c>
      <c r="D12" s="108">
        <v>349</v>
      </c>
    </row>
    <row r="13" spans="1:4" x14ac:dyDescent="0.25">
      <c r="A13" s="105" t="s">
        <v>254</v>
      </c>
      <c r="B13" s="107" t="s">
        <v>2201</v>
      </c>
      <c r="C13" s="107" t="s">
        <v>2202</v>
      </c>
      <c r="D13" s="108">
        <v>459</v>
      </c>
    </row>
    <row r="14" spans="1:4" x14ac:dyDescent="0.25">
      <c r="A14" s="105" t="s">
        <v>254</v>
      </c>
      <c r="B14" s="107" t="s">
        <v>2203</v>
      </c>
      <c r="C14" s="107" t="s">
        <v>2204</v>
      </c>
      <c r="D14" s="108">
        <v>466</v>
      </c>
    </row>
    <row r="15" spans="1:4" x14ac:dyDescent="0.25">
      <c r="A15" s="105" t="s">
        <v>254</v>
      </c>
      <c r="B15" s="107" t="s">
        <v>2205</v>
      </c>
      <c r="C15" s="107" t="s">
        <v>2206</v>
      </c>
      <c r="D15" s="108">
        <v>664</v>
      </c>
    </row>
    <row r="16" spans="1:4" x14ac:dyDescent="0.25">
      <c r="A16" s="105" t="s">
        <v>254</v>
      </c>
      <c r="B16" s="107" t="s">
        <v>2207</v>
      </c>
      <c r="C16" s="107" t="s">
        <v>2208</v>
      </c>
      <c r="D16" s="108">
        <v>583</v>
      </c>
    </row>
    <row r="17" spans="1:4" x14ac:dyDescent="0.25">
      <c r="A17" s="105" t="s">
        <v>254</v>
      </c>
      <c r="B17" s="107" t="s">
        <v>2209</v>
      </c>
      <c r="C17" s="107" t="s">
        <v>2210</v>
      </c>
      <c r="D17" s="108">
        <v>144</v>
      </c>
    </row>
    <row r="18" spans="1:4" x14ac:dyDescent="0.25">
      <c r="A18" s="105" t="s">
        <v>254</v>
      </c>
      <c r="B18" s="107" t="s">
        <v>2211</v>
      </c>
      <c r="C18" s="107" t="s">
        <v>2212</v>
      </c>
      <c r="D18" s="108">
        <v>176</v>
      </c>
    </row>
    <row r="19" spans="1:4" x14ac:dyDescent="0.25">
      <c r="A19" s="105" t="s">
        <v>254</v>
      </c>
      <c r="B19" s="107" t="s">
        <v>2213</v>
      </c>
      <c r="C19" s="107" t="s">
        <v>2214</v>
      </c>
      <c r="D19" s="108">
        <v>191</v>
      </c>
    </row>
    <row r="20" spans="1:4" x14ac:dyDescent="0.25">
      <c r="A20" s="105" t="s">
        <v>254</v>
      </c>
      <c r="B20" s="107" t="s">
        <v>2215</v>
      </c>
      <c r="C20" s="107" t="s">
        <v>2216</v>
      </c>
      <c r="D20" s="108">
        <v>235</v>
      </c>
    </row>
    <row r="21" spans="1:4" x14ac:dyDescent="0.25">
      <c r="A21" s="105" t="s">
        <v>254</v>
      </c>
      <c r="B21" s="107" t="s">
        <v>2217</v>
      </c>
      <c r="C21" s="107" t="s">
        <v>2218</v>
      </c>
      <c r="D21" s="108">
        <v>274</v>
      </c>
    </row>
    <row r="22" spans="1:4" x14ac:dyDescent="0.25">
      <c r="A22" s="105" t="s">
        <v>254</v>
      </c>
      <c r="B22" s="107" t="s">
        <v>2219</v>
      </c>
      <c r="C22" s="107" t="s">
        <v>2220</v>
      </c>
      <c r="D22" s="108">
        <v>411</v>
      </c>
    </row>
    <row r="23" spans="1:4" x14ac:dyDescent="0.25">
      <c r="A23" s="105" t="s">
        <v>254</v>
      </c>
      <c r="B23" s="107" t="s">
        <v>2221</v>
      </c>
      <c r="C23" s="107" t="s">
        <v>2222</v>
      </c>
      <c r="D23" s="108">
        <v>549</v>
      </c>
    </row>
    <row r="24" spans="1:4" x14ac:dyDescent="0.25">
      <c r="A24" s="105" t="s">
        <v>254</v>
      </c>
      <c r="B24" s="107" t="s">
        <v>2223</v>
      </c>
      <c r="C24" s="107" t="s">
        <v>2224</v>
      </c>
      <c r="D24" s="108">
        <v>711</v>
      </c>
    </row>
    <row r="25" spans="1:4" x14ac:dyDescent="0.25">
      <c r="A25" s="105" t="s">
        <v>254</v>
      </c>
      <c r="B25" s="107" t="s">
        <v>2225</v>
      </c>
      <c r="C25" s="107" t="s">
        <v>2226</v>
      </c>
      <c r="D25" s="108">
        <v>470</v>
      </c>
    </row>
    <row r="26" spans="1:4" x14ac:dyDescent="0.25">
      <c r="A26" s="105" t="s">
        <v>254</v>
      </c>
      <c r="B26" s="107" t="s">
        <v>2227</v>
      </c>
      <c r="C26" s="107" t="s">
        <v>2228</v>
      </c>
      <c r="D26" s="108">
        <v>648</v>
      </c>
    </row>
    <row r="27" spans="1:4" x14ac:dyDescent="0.25">
      <c r="A27" s="105" t="s">
        <v>254</v>
      </c>
      <c r="B27" s="107" t="s">
        <v>2229</v>
      </c>
      <c r="C27" s="107" t="s">
        <v>2230</v>
      </c>
      <c r="D27" s="108">
        <v>699</v>
      </c>
    </row>
    <row r="28" spans="1:4" x14ac:dyDescent="0.25">
      <c r="A28" s="105" t="s">
        <v>254</v>
      </c>
      <c r="B28" s="107" t="s">
        <v>2231</v>
      </c>
      <c r="C28" s="107" t="s">
        <v>2232</v>
      </c>
      <c r="D28" s="108">
        <v>1030</v>
      </c>
    </row>
    <row r="29" spans="1:4" x14ac:dyDescent="0.25">
      <c r="A29" s="105" t="s">
        <v>254</v>
      </c>
      <c r="B29" s="107" t="s">
        <v>2233</v>
      </c>
      <c r="C29" s="107" t="s">
        <v>2234</v>
      </c>
      <c r="D29" s="108">
        <v>933</v>
      </c>
    </row>
    <row r="30" spans="1:4" x14ac:dyDescent="0.25">
      <c r="A30" s="105" t="s">
        <v>254</v>
      </c>
      <c r="B30" s="107" t="s">
        <v>2235</v>
      </c>
      <c r="C30" s="107" t="s">
        <v>2236</v>
      </c>
      <c r="D30" s="108">
        <v>1566</v>
      </c>
    </row>
    <row r="31" spans="1:4" x14ac:dyDescent="0.25">
      <c r="A31" s="105" t="s">
        <v>254</v>
      </c>
      <c r="B31" s="107" t="s">
        <v>2237</v>
      </c>
      <c r="C31" s="107" t="s">
        <v>2238</v>
      </c>
      <c r="D31" s="108">
        <v>1166</v>
      </c>
    </row>
    <row r="32" spans="1:4" x14ac:dyDescent="0.25">
      <c r="A32" s="105" t="s">
        <v>254</v>
      </c>
      <c r="B32" s="107" t="s">
        <v>2239</v>
      </c>
      <c r="C32" s="107" t="s">
        <v>2240</v>
      </c>
      <c r="D32" s="108">
        <v>486</v>
      </c>
    </row>
    <row r="33" spans="1:4" x14ac:dyDescent="0.25">
      <c r="A33" s="105" t="s">
        <v>254</v>
      </c>
      <c r="B33" s="107" t="s">
        <v>2241</v>
      </c>
      <c r="C33" s="107" t="s">
        <v>2242</v>
      </c>
      <c r="D33" s="108">
        <v>699</v>
      </c>
    </row>
    <row r="34" spans="1:4" x14ac:dyDescent="0.25">
      <c r="A34" s="105" t="s">
        <v>254</v>
      </c>
      <c r="B34" s="107" t="s">
        <v>2243</v>
      </c>
      <c r="C34" s="107" t="s">
        <v>2244</v>
      </c>
      <c r="D34" s="108">
        <v>699</v>
      </c>
    </row>
    <row r="35" spans="1:4" x14ac:dyDescent="0.25">
      <c r="A35" s="105" t="s">
        <v>254</v>
      </c>
      <c r="B35" s="107" t="s">
        <v>2245</v>
      </c>
      <c r="C35" s="107" t="s">
        <v>2246</v>
      </c>
      <c r="D35" s="108">
        <v>933</v>
      </c>
    </row>
    <row r="36" spans="1:4" x14ac:dyDescent="0.25">
      <c r="A36" s="105" t="s">
        <v>254</v>
      </c>
      <c r="B36" s="107" t="s">
        <v>2247</v>
      </c>
      <c r="C36" s="107" t="s">
        <v>2248</v>
      </c>
      <c r="D36" s="108">
        <v>207</v>
      </c>
    </row>
    <row r="37" spans="1:4" x14ac:dyDescent="0.25">
      <c r="A37" s="105" t="s">
        <v>254</v>
      </c>
      <c r="B37" s="107" t="s">
        <v>2249</v>
      </c>
      <c r="C37" s="107" t="s">
        <v>2250</v>
      </c>
      <c r="D37" s="108">
        <v>207</v>
      </c>
    </row>
    <row r="38" spans="1:4" x14ac:dyDescent="0.25">
      <c r="A38" s="105" t="s">
        <v>254</v>
      </c>
      <c r="B38" s="107" t="s">
        <v>2251</v>
      </c>
      <c r="C38" s="107" t="s">
        <v>2252</v>
      </c>
      <c r="D38" s="108">
        <v>324</v>
      </c>
    </row>
    <row r="39" spans="1:4" x14ac:dyDescent="0.25">
      <c r="A39" s="105" t="s">
        <v>254</v>
      </c>
      <c r="B39" s="107" t="s">
        <v>2253</v>
      </c>
      <c r="C39" s="107" t="s">
        <v>2254</v>
      </c>
      <c r="D39" s="108">
        <v>486</v>
      </c>
    </row>
    <row r="40" spans="1:4" x14ac:dyDescent="0.25">
      <c r="A40" s="105" t="s">
        <v>254</v>
      </c>
      <c r="B40" s="107" t="s">
        <v>2255</v>
      </c>
      <c r="C40" s="107" t="s">
        <v>2256</v>
      </c>
      <c r="D40" s="108">
        <v>324</v>
      </c>
    </row>
    <row r="41" spans="1:4" x14ac:dyDescent="0.25">
      <c r="A41" s="105" t="s">
        <v>254</v>
      </c>
      <c r="B41" s="107" t="s">
        <v>2257</v>
      </c>
      <c r="C41" s="107" t="s">
        <v>2258</v>
      </c>
      <c r="D41" s="108">
        <v>486</v>
      </c>
    </row>
    <row r="42" spans="1:4" x14ac:dyDescent="0.25">
      <c r="A42" s="105" t="s">
        <v>254</v>
      </c>
      <c r="B42" s="107" t="s">
        <v>2259</v>
      </c>
      <c r="C42" s="107" t="s">
        <v>2260</v>
      </c>
      <c r="D42" s="108">
        <v>466</v>
      </c>
    </row>
    <row r="43" spans="1:4" x14ac:dyDescent="0.25">
      <c r="A43" s="105" t="s">
        <v>254</v>
      </c>
      <c r="B43" s="107" t="s">
        <v>2261</v>
      </c>
      <c r="C43" s="107" t="s">
        <v>2262</v>
      </c>
      <c r="D43" s="108">
        <v>699</v>
      </c>
    </row>
    <row r="44" spans="1:4" x14ac:dyDescent="0.25">
      <c r="A44" s="105" t="s">
        <v>254</v>
      </c>
      <c r="B44" s="107" t="s">
        <v>2263</v>
      </c>
      <c r="C44" s="107" t="s">
        <v>53</v>
      </c>
      <c r="D44" s="108">
        <v>572</v>
      </c>
    </row>
    <row r="45" spans="1:4" x14ac:dyDescent="0.25">
      <c r="A45" s="105" t="s">
        <v>254</v>
      </c>
      <c r="B45" s="107" t="s">
        <v>2264</v>
      </c>
      <c r="C45" s="107" t="s">
        <v>54</v>
      </c>
      <c r="D45" s="108">
        <v>636</v>
      </c>
    </row>
    <row r="46" spans="1:4" x14ac:dyDescent="0.25">
      <c r="A46" s="105" t="s">
        <v>254</v>
      </c>
      <c r="B46" s="107" t="s">
        <v>2265</v>
      </c>
      <c r="C46" s="107" t="s">
        <v>55</v>
      </c>
      <c r="D46" s="108">
        <v>831</v>
      </c>
    </row>
    <row r="47" spans="1:4" x14ac:dyDescent="0.25">
      <c r="A47" s="105" t="s">
        <v>254</v>
      </c>
      <c r="B47" s="107" t="s">
        <v>2266</v>
      </c>
      <c r="C47" s="107" t="s">
        <v>56</v>
      </c>
      <c r="D47" s="108">
        <v>900</v>
      </c>
    </row>
    <row r="48" spans="1:4" x14ac:dyDescent="0.25">
      <c r="A48" s="105" t="s">
        <v>254</v>
      </c>
      <c r="B48" s="107" t="s">
        <v>2267</v>
      </c>
      <c r="C48" s="107" t="s">
        <v>57</v>
      </c>
      <c r="D48" s="108">
        <v>959</v>
      </c>
    </row>
    <row r="49" spans="1:4" x14ac:dyDescent="0.25">
      <c r="A49" s="105" t="s">
        <v>254</v>
      </c>
      <c r="B49" s="107" t="s">
        <v>2268</v>
      </c>
      <c r="C49" s="107" t="s">
        <v>58</v>
      </c>
      <c r="D49" s="108">
        <v>1036</v>
      </c>
    </row>
    <row r="50" spans="1:4" x14ac:dyDescent="0.25">
      <c r="A50" s="105" t="s">
        <v>254</v>
      </c>
      <c r="B50" s="107" t="s">
        <v>2269</v>
      </c>
      <c r="C50" s="107" t="s">
        <v>59</v>
      </c>
      <c r="D50" s="108">
        <v>1297</v>
      </c>
    </row>
    <row r="51" spans="1:4" x14ac:dyDescent="0.25">
      <c r="A51" s="105" t="s">
        <v>254</v>
      </c>
      <c r="B51" s="107" t="s">
        <v>2270</v>
      </c>
      <c r="C51" s="107" t="s">
        <v>60</v>
      </c>
      <c r="D51" s="108">
        <v>1374</v>
      </c>
    </row>
    <row r="52" spans="1:4" x14ac:dyDescent="0.25">
      <c r="A52" s="105" t="s">
        <v>254</v>
      </c>
      <c r="B52" s="107" t="s">
        <v>2271</v>
      </c>
      <c r="C52" s="107" t="s">
        <v>61</v>
      </c>
      <c r="D52" s="108">
        <v>1620</v>
      </c>
    </row>
    <row r="53" spans="1:4" x14ac:dyDescent="0.25">
      <c r="A53" s="105" t="s">
        <v>254</v>
      </c>
      <c r="B53" s="107" t="s">
        <v>2272</v>
      </c>
      <c r="C53" s="107" t="s">
        <v>62</v>
      </c>
      <c r="D53" s="108">
        <v>1426</v>
      </c>
    </row>
    <row r="54" spans="1:4" x14ac:dyDescent="0.25">
      <c r="A54" s="105" t="s">
        <v>254</v>
      </c>
      <c r="B54" s="107" t="s">
        <v>2273</v>
      </c>
      <c r="C54" s="107" t="s">
        <v>63</v>
      </c>
      <c r="D54" s="108">
        <v>1799</v>
      </c>
    </row>
    <row r="55" spans="1:4" x14ac:dyDescent="0.25">
      <c r="A55" s="105" t="s">
        <v>254</v>
      </c>
      <c r="B55" s="107" t="s">
        <v>2274</v>
      </c>
      <c r="C55" s="107" t="s">
        <v>64</v>
      </c>
      <c r="D55" s="108">
        <v>1924</v>
      </c>
    </row>
    <row r="56" spans="1:4" x14ac:dyDescent="0.25">
      <c r="A56" s="105" t="s">
        <v>254</v>
      </c>
      <c r="B56" s="107" t="s">
        <v>2275</v>
      </c>
      <c r="C56" s="107" t="s">
        <v>65</v>
      </c>
      <c r="D56" s="108">
        <v>2048</v>
      </c>
    </row>
    <row r="57" spans="1:4" x14ac:dyDescent="0.25">
      <c r="A57" s="105" t="s">
        <v>254</v>
      </c>
      <c r="B57" s="107" t="s">
        <v>2276</v>
      </c>
      <c r="C57" s="107" t="s">
        <v>66</v>
      </c>
      <c r="D57" s="108">
        <v>1960</v>
      </c>
    </row>
    <row r="58" spans="1:4" x14ac:dyDescent="0.25">
      <c r="A58" s="105" t="s">
        <v>254</v>
      </c>
      <c r="B58" s="107" t="s">
        <v>2277</v>
      </c>
      <c r="C58" s="107" t="s">
        <v>67</v>
      </c>
      <c r="D58" s="108">
        <v>2082</v>
      </c>
    </row>
    <row r="59" spans="1:4" x14ac:dyDescent="0.25">
      <c r="A59" s="105" t="s">
        <v>254</v>
      </c>
      <c r="B59" s="107" t="s">
        <v>2278</v>
      </c>
      <c r="C59" s="107" t="s">
        <v>68</v>
      </c>
      <c r="D59" s="108">
        <v>2337</v>
      </c>
    </row>
    <row r="60" spans="1:4" x14ac:dyDescent="0.25">
      <c r="A60" s="105" t="s">
        <v>254</v>
      </c>
      <c r="B60" s="107" t="s">
        <v>2279</v>
      </c>
      <c r="C60" s="107" t="s">
        <v>69</v>
      </c>
      <c r="D60" s="108">
        <v>2603</v>
      </c>
    </row>
    <row r="61" spans="1:4" x14ac:dyDescent="0.25">
      <c r="A61" s="105" t="s">
        <v>254</v>
      </c>
      <c r="B61" s="107" t="s">
        <v>2280</v>
      </c>
      <c r="C61" s="107" t="s">
        <v>79</v>
      </c>
      <c r="D61" s="108">
        <v>617</v>
      </c>
    </row>
    <row r="62" spans="1:4" x14ac:dyDescent="0.25">
      <c r="A62" s="105" t="s">
        <v>254</v>
      </c>
      <c r="B62" s="107" t="s">
        <v>2281</v>
      </c>
      <c r="C62" s="107" t="s">
        <v>197</v>
      </c>
      <c r="D62" s="108">
        <v>654</v>
      </c>
    </row>
    <row r="63" spans="1:4" x14ac:dyDescent="0.25">
      <c r="A63" s="105" t="s">
        <v>254</v>
      </c>
      <c r="B63" s="107" t="s">
        <v>2282</v>
      </c>
      <c r="C63" s="107" t="s">
        <v>77</v>
      </c>
      <c r="D63" s="108">
        <v>848</v>
      </c>
    </row>
    <row r="64" spans="1:4" x14ac:dyDescent="0.25">
      <c r="A64" s="105" t="s">
        <v>254</v>
      </c>
      <c r="B64" s="107" t="s">
        <v>2283</v>
      </c>
      <c r="C64" s="107" t="s">
        <v>74</v>
      </c>
      <c r="D64" s="108">
        <v>975</v>
      </c>
    </row>
    <row r="65" spans="1:4" x14ac:dyDescent="0.25">
      <c r="A65" s="105" t="s">
        <v>254</v>
      </c>
      <c r="B65" s="107" t="s">
        <v>2284</v>
      </c>
      <c r="C65" s="107" t="s">
        <v>80</v>
      </c>
      <c r="D65" s="108">
        <v>991</v>
      </c>
    </row>
    <row r="66" spans="1:4" x14ac:dyDescent="0.25">
      <c r="A66" s="105" t="s">
        <v>254</v>
      </c>
      <c r="B66" s="107" t="s">
        <v>2285</v>
      </c>
      <c r="C66" s="107" t="s">
        <v>81</v>
      </c>
      <c r="D66" s="108">
        <v>1105</v>
      </c>
    </row>
    <row r="67" spans="1:4" x14ac:dyDescent="0.25">
      <c r="A67" s="105" t="s">
        <v>254</v>
      </c>
      <c r="B67" s="107" t="s">
        <v>2286</v>
      </c>
      <c r="C67" s="107" t="s">
        <v>82</v>
      </c>
      <c r="D67" s="108">
        <v>1248</v>
      </c>
    </row>
    <row r="68" spans="1:4" x14ac:dyDescent="0.25">
      <c r="A68" s="105" t="s">
        <v>254</v>
      </c>
      <c r="B68" s="107" t="s">
        <v>2287</v>
      </c>
      <c r="C68" s="107" t="s">
        <v>83</v>
      </c>
      <c r="D68" s="108">
        <v>1373</v>
      </c>
    </row>
    <row r="69" spans="1:4" x14ac:dyDescent="0.25">
      <c r="A69" s="105" t="s">
        <v>254</v>
      </c>
      <c r="B69" s="107" t="s">
        <v>2288</v>
      </c>
      <c r="C69" s="107" t="s">
        <v>84</v>
      </c>
      <c r="D69" s="108">
        <v>1399</v>
      </c>
    </row>
    <row r="70" spans="1:4" x14ac:dyDescent="0.25">
      <c r="A70" s="105" t="s">
        <v>254</v>
      </c>
      <c r="B70" s="107" t="s">
        <v>2289</v>
      </c>
      <c r="C70" s="107" t="s">
        <v>75</v>
      </c>
      <c r="D70" s="108">
        <v>1369</v>
      </c>
    </row>
    <row r="71" spans="1:4" x14ac:dyDescent="0.25">
      <c r="A71" s="105" t="s">
        <v>254</v>
      </c>
      <c r="B71" s="107" t="s">
        <v>2290</v>
      </c>
      <c r="C71" s="107" t="s">
        <v>85</v>
      </c>
      <c r="D71" s="108">
        <v>1602</v>
      </c>
    </row>
    <row r="72" spans="1:4" x14ac:dyDescent="0.25">
      <c r="A72" s="105" t="s">
        <v>254</v>
      </c>
      <c r="B72" s="107" t="s">
        <v>2291</v>
      </c>
      <c r="C72" s="107" t="s">
        <v>76</v>
      </c>
      <c r="D72" s="108">
        <v>1861</v>
      </c>
    </row>
    <row r="73" spans="1:4" x14ac:dyDescent="0.25">
      <c r="A73" s="105" t="s">
        <v>254</v>
      </c>
      <c r="B73" s="107" t="s">
        <v>2292</v>
      </c>
      <c r="C73" s="107" t="s">
        <v>78</v>
      </c>
      <c r="D73" s="108">
        <v>2086</v>
      </c>
    </row>
    <row r="74" spans="1:4" x14ac:dyDescent="0.25">
      <c r="A74" s="105" t="s">
        <v>254</v>
      </c>
      <c r="B74" s="107" t="s">
        <v>2293</v>
      </c>
      <c r="C74" s="107" t="s">
        <v>86</v>
      </c>
      <c r="D74" s="108">
        <v>2259</v>
      </c>
    </row>
    <row r="75" spans="1:4" x14ac:dyDescent="0.25">
      <c r="A75" s="105" t="s">
        <v>254</v>
      </c>
      <c r="B75" s="107" t="s">
        <v>2294</v>
      </c>
      <c r="C75" s="107" t="s">
        <v>87</v>
      </c>
      <c r="D75" s="108">
        <v>2777</v>
      </c>
    </row>
    <row r="76" spans="1:4" x14ac:dyDescent="0.25">
      <c r="A76" s="105" t="s">
        <v>254</v>
      </c>
      <c r="B76" s="107" t="s">
        <v>2295</v>
      </c>
      <c r="C76" s="107" t="s">
        <v>252</v>
      </c>
      <c r="D76" s="108">
        <v>3481</v>
      </c>
    </row>
    <row r="77" spans="1:4" x14ac:dyDescent="0.25">
      <c r="A77" s="105" t="s">
        <v>254</v>
      </c>
      <c r="B77" s="107" t="s">
        <v>2296</v>
      </c>
      <c r="C77" s="1" t="s">
        <v>595</v>
      </c>
      <c r="D77" s="108">
        <v>205</v>
      </c>
    </row>
    <row r="78" spans="1:4" x14ac:dyDescent="0.25">
      <c r="A78" s="105" t="s">
        <v>254</v>
      </c>
      <c r="B78" s="107" t="s">
        <v>2297</v>
      </c>
      <c r="C78" s="1" t="s">
        <v>596</v>
      </c>
      <c r="D78" s="108">
        <v>300</v>
      </c>
    </row>
    <row r="79" spans="1:4" x14ac:dyDescent="0.25">
      <c r="A79" s="105" t="s">
        <v>254</v>
      </c>
      <c r="B79" s="107" t="s">
        <v>2298</v>
      </c>
      <c r="C79" s="1" t="s">
        <v>597</v>
      </c>
      <c r="D79" s="108">
        <v>356</v>
      </c>
    </row>
    <row r="80" spans="1:4" x14ac:dyDescent="0.25">
      <c r="A80" s="105" t="s">
        <v>254</v>
      </c>
      <c r="B80" s="107" t="s">
        <v>2299</v>
      </c>
      <c r="C80" s="1" t="s">
        <v>598</v>
      </c>
      <c r="D80" s="108">
        <v>480</v>
      </c>
    </row>
    <row r="81" spans="1:4" x14ac:dyDescent="0.25">
      <c r="A81" s="105" t="s">
        <v>254</v>
      </c>
      <c r="B81" s="107" t="s">
        <v>2300</v>
      </c>
      <c r="C81" s="1" t="s">
        <v>599</v>
      </c>
      <c r="D81" s="108">
        <v>538</v>
      </c>
    </row>
    <row r="82" spans="1:4" x14ac:dyDescent="0.25">
      <c r="A82" s="105" t="s">
        <v>254</v>
      </c>
      <c r="B82" s="107" t="s">
        <v>2301</v>
      </c>
      <c r="C82" s="1" t="s">
        <v>600</v>
      </c>
      <c r="D82" s="108">
        <v>733</v>
      </c>
    </row>
    <row r="83" spans="1:4" x14ac:dyDescent="0.25">
      <c r="A83" s="105" t="s">
        <v>254</v>
      </c>
      <c r="B83" s="107" t="s">
        <v>2302</v>
      </c>
      <c r="C83" s="1" t="s">
        <v>601</v>
      </c>
      <c r="D83" s="108">
        <v>849</v>
      </c>
    </row>
    <row r="84" spans="1:4" x14ac:dyDescent="0.25">
      <c r="A84" s="105" t="s">
        <v>2177</v>
      </c>
      <c r="B84" s="107" t="s">
        <v>2303</v>
      </c>
      <c r="C84" s="107" t="s">
        <v>2180</v>
      </c>
      <c r="D84" s="108">
        <v>72</v>
      </c>
    </row>
    <row r="85" spans="1:4" x14ac:dyDescent="0.25">
      <c r="A85" s="105" t="s">
        <v>2177</v>
      </c>
      <c r="B85" s="107" t="s">
        <v>2304</v>
      </c>
      <c r="C85" s="107" t="s">
        <v>2182</v>
      </c>
      <c r="D85" s="108">
        <v>88</v>
      </c>
    </row>
    <row r="86" spans="1:4" x14ac:dyDescent="0.25">
      <c r="A86" s="105" t="s">
        <v>2177</v>
      </c>
      <c r="B86" s="107" t="s">
        <v>2305</v>
      </c>
      <c r="C86" s="107" t="s">
        <v>2184</v>
      </c>
      <c r="D86" s="108">
        <v>99</v>
      </c>
    </row>
    <row r="87" spans="1:4" x14ac:dyDescent="0.25">
      <c r="A87" s="105" t="s">
        <v>2177</v>
      </c>
      <c r="B87" s="107" t="s">
        <v>2306</v>
      </c>
      <c r="C87" s="107" t="s">
        <v>2186</v>
      </c>
      <c r="D87" s="108">
        <v>122</v>
      </c>
    </row>
    <row r="88" spans="1:4" x14ac:dyDescent="0.25">
      <c r="A88" s="105" t="s">
        <v>2177</v>
      </c>
      <c r="B88" s="107" t="s">
        <v>2307</v>
      </c>
      <c r="C88" s="107" t="s">
        <v>2188</v>
      </c>
      <c r="D88" s="108">
        <v>180</v>
      </c>
    </row>
    <row r="89" spans="1:4" x14ac:dyDescent="0.25">
      <c r="A89" s="105" t="s">
        <v>2177</v>
      </c>
      <c r="B89" s="107" t="s">
        <v>2308</v>
      </c>
      <c r="C89" s="107" t="s">
        <v>2190</v>
      </c>
      <c r="D89" s="108">
        <v>202</v>
      </c>
    </row>
    <row r="90" spans="1:4" x14ac:dyDescent="0.25">
      <c r="A90" s="105" t="s">
        <v>2177</v>
      </c>
      <c r="B90" s="107" t="s">
        <v>2309</v>
      </c>
      <c r="C90" s="107" t="s">
        <v>2192</v>
      </c>
      <c r="D90" s="108">
        <v>270</v>
      </c>
    </row>
    <row r="91" spans="1:4" x14ac:dyDescent="0.25">
      <c r="A91" s="105" t="s">
        <v>2177</v>
      </c>
      <c r="B91" s="107" t="s">
        <v>2310</v>
      </c>
      <c r="C91" s="107" t="s">
        <v>2194</v>
      </c>
      <c r="D91" s="108">
        <v>295</v>
      </c>
    </row>
    <row r="92" spans="1:4" x14ac:dyDescent="0.25">
      <c r="A92" s="105" t="s">
        <v>2177</v>
      </c>
      <c r="B92" s="107" t="s">
        <v>2311</v>
      </c>
      <c r="C92" s="107" t="s">
        <v>2196</v>
      </c>
      <c r="D92" s="108">
        <v>254</v>
      </c>
    </row>
    <row r="93" spans="1:4" x14ac:dyDescent="0.25">
      <c r="A93" s="105" t="s">
        <v>2177</v>
      </c>
      <c r="B93" s="107" t="s">
        <v>2312</v>
      </c>
      <c r="C93" s="107" t="s">
        <v>2198</v>
      </c>
      <c r="D93" s="108">
        <v>331</v>
      </c>
    </row>
    <row r="94" spans="1:4" x14ac:dyDescent="0.25">
      <c r="A94" s="105" t="s">
        <v>2177</v>
      </c>
      <c r="B94" s="107" t="s">
        <v>2313</v>
      </c>
      <c r="C94" s="107" t="s">
        <v>2200</v>
      </c>
      <c r="D94" s="108">
        <v>374</v>
      </c>
    </row>
    <row r="95" spans="1:4" x14ac:dyDescent="0.25">
      <c r="A95" s="105" t="s">
        <v>2177</v>
      </c>
      <c r="B95" s="107" t="s">
        <v>2314</v>
      </c>
      <c r="C95" s="107" t="s">
        <v>2202</v>
      </c>
      <c r="D95" s="108">
        <v>414</v>
      </c>
    </row>
    <row r="96" spans="1:4" x14ac:dyDescent="0.25">
      <c r="A96" s="105" t="s">
        <v>2177</v>
      </c>
      <c r="B96" s="107" t="s">
        <v>2315</v>
      </c>
      <c r="C96" s="107" t="s">
        <v>2204</v>
      </c>
      <c r="D96" s="108">
        <v>439</v>
      </c>
    </row>
    <row r="97" spans="1:4" x14ac:dyDescent="0.25">
      <c r="A97" s="105" t="s">
        <v>2177</v>
      </c>
      <c r="B97" s="107" t="s">
        <v>2316</v>
      </c>
      <c r="C97" s="107" t="s">
        <v>2206</v>
      </c>
      <c r="D97" s="108">
        <v>626</v>
      </c>
    </row>
    <row r="98" spans="1:4" x14ac:dyDescent="0.25">
      <c r="A98" s="105" t="s">
        <v>2177</v>
      </c>
      <c r="B98" s="107" t="s">
        <v>2317</v>
      </c>
      <c r="C98" s="107" t="s">
        <v>2208</v>
      </c>
      <c r="D98" s="108">
        <v>571</v>
      </c>
    </row>
    <row r="99" spans="1:4" x14ac:dyDescent="0.25">
      <c r="A99" s="105" t="s">
        <v>2177</v>
      </c>
      <c r="B99" s="107" t="s">
        <v>2318</v>
      </c>
      <c r="C99" s="107" t="s">
        <v>2210</v>
      </c>
      <c r="D99" s="108">
        <v>202</v>
      </c>
    </row>
    <row r="100" spans="1:4" x14ac:dyDescent="0.25">
      <c r="A100" s="105" t="s">
        <v>2177</v>
      </c>
      <c r="B100" s="107" t="s">
        <v>2319</v>
      </c>
      <c r="C100" s="107" t="s">
        <v>2212</v>
      </c>
      <c r="D100" s="108">
        <v>245</v>
      </c>
    </row>
    <row r="101" spans="1:4" x14ac:dyDescent="0.25">
      <c r="A101" s="105" t="s">
        <v>2177</v>
      </c>
      <c r="B101" s="107" t="s">
        <v>2320</v>
      </c>
      <c r="C101" s="107" t="s">
        <v>2214</v>
      </c>
      <c r="D101" s="108">
        <v>261</v>
      </c>
    </row>
    <row r="102" spans="1:4" x14ac:dyDescent="0.25">
      <c r="A102" s="105" t="s">
        <v>2177</v>
      </c>
      <c r="B102" s="107" t="s">
        <v>2321</v>
      </c>
      <c r="C102" s="107" t="s">
        <v>2216</v>
      </c>
      <c r="D102" s="108">
        <v>322</v>
      </c>
    </row>
    <row r="103" spans="1:4" x14ac:dyDescent="0.25">
      <c r="A103" s="105" t="s">
        <v>2177</v>
      </c>
      <c r="B103" s="107" t="s">
        <v>2322</v>
      </c>
      <c r="C103" s="107" t="s">
        <v>2218</v>
      </c>
      <c r="D103" s="108">
        <v>477</v>
      </c>
    </row>
    <row r="104" spans="1:4" x14ac:dyDescent="0.25">
      <c r="A104" s="105" t="s">
        <v>2177</v>
      </c>
      <c r="B104" s="107" t="s">
        <v>2323</v>
      </c>
      <c r="C104" s="107" t="s">
        <v>2220</v>
      </c>
      <c r="D104" s="108">
        <v>508</v>
      </c>
    </row>
    <row r="105" spans="1:4" x14ac:dyDescent="0.25">
      <c r="A105" s="105" t="s">
        <v>2177</v>
      </c>
      <c r="B105" s="107" t="s">
        <v>2324</v>
      </c>
      <c r="C105" s="107" t="s">
        <v>2222</v>
      </c>
      <c r="D105" s="108">
        <v>698</v>
      </c>
    </row>
    <row r="106" spans="1:4" x14ac:dyDescent="0.25">
      <c r="A106" s="105" t="s">
        <v>2177</v>
      </c>
      <c r="B106" s="107" t="s">
        <v>2325</v>
      </c>
      <c r="C106" s="107" t="s">
        <v>2224</v>
      </c>
      <c r="D106" s="108">
        <v>763</v>
      </c>
    </row>
    <row r="107" spans="1:4" x14ac:dyDescent="0.25">
      <c r="A107" s="105" t="s">
        <v>2177</v>
      </c>
      <c r="B107" s="107" t="s">
        <v>2326</v>
      </c>
      <c r="C107" s="107" t="s">
        <v>2226</v>
      </c>
      <c r="D107" s="108">
        <v>608</v>
      </c>
    </row>
    <row r="108" spans="1:4" x14ac:dyDescent="0.25">
      <c r="A108" s="105" t="s">
        <v>2177</v>
      </c>
      <c r="B108" s="107" t="s">
        <v>2327</v>
      </c>
      <c r="C108" s="107" t="s">
        <v>2228</v>
      </c>
      <c r="D108" s="108">
        <v>900</v>
      </c>
    </row>
    <row r="109" spans="1:4" x14ac:dyDescent="0.25">
      <c r="A109" s="105" t="s">
        <v>2177</v>
      </c>
      <c r="B109" s="107" t="s">
        <v>2328</v>
      </c>
      <c r="C109" s="107" t="s">
        <v>2230</v>
      </c>
      <c r="D109" s="108">
        <v>976</v>
      </c>
    </row>
    <row r="110" spans="1:4" x14ac:dyDescent="0.25">
      <c r="A110" s="105" t="s">
        <v>2177</v>
      </c>
      <c r="B110" s="107" t="s">
        <v>2329</v>
      </c>
      <c r="C110" s="107" t="s">
        <v>2232</v>
      </c>
      <c r="D110" s="108">
        <v>1076</v>
      </c>
    </row>
    <row r="111" spans="1:4" x14ac:dyDescent="0.25">
      <c r="A111" s="105" t="s">
        <v>2177</v>
      </c>
      <c r="B111" s="107" t="s">
        <v>2330</v>
      </c>
      <c r="C111" s="107" t="s">
        <v>2234</v>
      </c>
      <c r="D111" s="108">
        <v>1138</v>
      </c>
    </row>
    <row r="112" spans="1:4" x14ac:dyDescent="0.25">
      <c r="A112" s="105" t="s">
        <v>2177</v>
      </c>
      <c r="B112" s="107" t="s">
        <v>2331</v>
      </c>
      <c r="C112" s="107" t="s">
        <v>2236</v>
      </c>
      <c r="D112" s="108">
        <v>1544</v>
      </c>
    </row>
    <row r="113" spans="1:4" x14ac:dyDescent="0.25">
      <c r="A113" s="105" t="s">
        <v>2177</v>
      </c>
      <c r="B113" s="107" t="s">
        <v>2332</v>
      </c>
      <c r="C113" s="107" t="s">
        <v>2238</v>
      </c>
      <c r="D113" s="108">
        <v>1570</v>
      </c>
    </row>
    <row r="114" spans="1:4" x14ac:dyDescent="0.25">
      <c r="A114" s="105" t="s">
        <v>2177</v>
      </c>
      <c r="B114" s="107" t="s">
        <v>2333</v>
      </c>
      <c r="C114" s="107" t="s">
        <v>2240</v>
      </c>
      <c r="D114" s="108">
        <v>933</v>
      </c>
    </row>
    <row r="115" spans="1:4" x14ac:dyDescent="0.25">
      <c r="A115" s="105" t="s">
        <v>2177</v>
      </c>
      <c r="B115" s="107" t="s">
        <v>2334</v>
      </c>
      <c r="C115" s="107" t="s">
        <v>2242</v>
      </c>
      <c r="D115" s="108">
        <v>1399</v>
      </c>
    </row>
    <row r="116" spans="1:4" x14ac:dyDescent="0.25">
      <c r="A116" s="105" t="s">
        <v>2177</v>
      </c>
      <c r="B116" s="107" t="s">
        <v>2335</v>
      </c>
      <c r="C116" s="107" t="s">
        <v>2244</v>
      </c>
      <c r="D116" s="108">
        <v>1600</v>
      </c>
    </row>
    <row r="117" spans="1:4" x14ac:dyDescent="0.25">
      <c r="A117" s="105" t="s">
        <v>2177</v>
      </c>
      <c r="B117" s="107" t="s">
        <v>2336</v>
      </c>
      <c r="C117" s="107" t="s">
        <v>2246</v>
      </c>
      <c r="D117" s="108">
        <v>1903</v>
      </c>
    </row>
    <row r="118" spans="1:4" x14ac:dyDescent="0.25">
      <c r="A118" s="105" t="s">
        <v>2177</v>
      </c>
      <c r="B118" s="107" t="s">
        <v>2337</v>
      </c>
      <c r="C118" s="107" t="s">
        <v>2248</v>
      </c>
      <c r="D118" s="108">
        <v>381</v>
      </c>
    </row>
    <row r="119" spans="1:4" x14ac:dyDescent="0.25">
      <c r="A119" s="105" t="s">
        <v>2177</v>
      </c>
      <c r="B119" s="107" t="s">
        <v>2338</v>
      </c>
      <c r="C119" s="107" t="s">
        <v>2250</v>
      </c>
      <c r="D119" s="108">
        <v>470</v>
      </c>
    </row>
    <row r="120" spans="1:4" x14ac:dyDescent="0.25">
      <c r="A120" s="105" t="s">
        <v>2177</v>
      </c>
      <c r="B120" s="107" t="s">
        <v>2339</v>
      </c>
      <c r="C120" s="107" t="s">
        <v>2252</v>
      </c>
      <c r="D120" s="108">
        <v>618</v>
      </c>
    </row>
    <row r="121" spans="1:4" x14ac:dyDescent="0.25">
      <c r="A121" s="105" t="s">
        <v>2177</v>
      </c>
      <c r="B121" s="107" t="s">
        <v>2340</v>
      </c>
      <c r="C121" s="107" t="s">
        <v>2254</v>
      </c>
      <c r="D121" s="108">
        <v>810</v>
      </c>
    </row>
    <row r="122" spans="1:4" x14ac:dyDescent="0.25">
      <c r="A122" s="105" t="s">
        <v>2177</v>
      </c>
      <c r="B122" s="107" t="s">
        <v>2341</v>
      </c>
      <c r="C122" s="107" t="s">
        <v>2256</v>
      </c>
      <c r="D122" s="108">
        <v>622</v>
      </c>
    </row>
    <row r="123" spans="1:4" x14ac:dyDescent="0.25">
      <c r="A123" s="105" t="s">
        <v>2177</v>
      </c>
      <c r="B123" s="107" t="s">
        <v>2342</v>
      </c>
      <c r="C123" s="107" t="s">
        <v>2258</v>
      </c>
      <c r="D123" s="108">
        <v>810</v>
      </c>
    </row>
    <row r="124" spans="1:4" x14ac:dyDescent="0.25">
      <c r="A124" s="105" t="s">
        <v>2177</v>
      </c>
      <c r="B124" s="107" t="s">
        <v>2343</v>
      </c>
      <c r="C124" s="107" t="s">
        <v>2260</v>
      </c>
      <c r="D124" s="108">
        <v>933</v>
      </c>
    </row>
    <row r="125" spans="1:4" x14ac:dyDescent="0.25">
      <c r="A125" s="105" t="s">
        <v>2177</v>
      </c>
      <c r="B125" s="107" t="s">
        <v>2344</v>
      </c>
      <c r="C125" s="107" t="s">
        <v>2262</v>
      </c>
      <c r="D125" s="108">
        <v>1220</v>
      </c>
    </row>
    <row r="126" spans="1:4" x14ac:dyDescent="0.25">
      <c r="A126" s="105" t="s">
        <v>2177</v>
      </c>
      <c r="B126" s="107" t="s">
        <v>2345</v>
      </c>
      <c r="C126" s="107" t="s">
        <v>53</v>
      </c>
      <c r="D126" s="108">
        <v>1143</v>
      </c>
    </row>
    <row r="127" spans="1:4" x14ac:dyDescent="0.25">
      <c r="A127" s="105" t="s">
        <v>2177</v>
      </c>
      <c r="B127" s="107" t="s">
        <v>2346</v>
      </c>
      <c r="C127" s="107" t="s">
        <v>54</v>
      </c>
      <c r="D127" s="108">
        <v>1170</v>
      </c>
    </row>
    <row r="128" spans="1:4" x14ac:dyDescent="0.25">
      <c r="A128" s="105" t="s">
        <v>2177</v>
      </c>
      <c r="B128" s="107" t="s">
        <v>2347</v>
      </c>
      <c r="C128" s="107" t="s">
        <v>55</v>
      </c>
      <c r="D128" s="108">
        <v>1737</v>
      </c>
    </row>
    <row r="129" spans="1:4" x14ac:dyDescent="0.25">
      <c r="A129" s="105" t="s">
        <v>2177</v>
      </c>
      <c r="B129" s="107" t="s">
        <v>2348</v>
      </c>
      <c r="C129" s="107" t="s">
        <v>56</v>
      </c>
      <c r="D129" s="108">
        <v>1836</v>
      </c>
    </row>
    <row r="130" spans="1:4" x14ac:dyDescent="0.25">
      <c r="A130" s="105" t="s">
        <v>2177</v>
      </c>
      <c r="B130" s="107" t="s">
        <v>2349</v>
      </c>
      <c r="C130" s="107" t="s">
        <v>57</v>
      </c>
      <c r="D130" s="108">
        <v>1944</v>
      </c>
    </row>
    <row r="131" spans="1:4" x14ac:dyDescent="0.25">
      <c r="A131" s="105" t="s">
        <v>2177</v>
      </c>
      <c r="B131" s="107" t="s">
        <v>2350</v>
      </c>
      <c r="C131" s="107" t="s">
        <v>58</v>
      </c>
      <c r="D131" s="108">
        <v>2115</v>
      </c>
    </row>
    <row r="132" spans="1:4" x14ac:dyDescent="0.25">
      <c r="A132" s="105" t="s">
        <v>2177</v>
      </c>
      <c r="B132" s="107" t="s">
        <v>2351</v>
      </c>
      <c r="C132" s="107" t="s">
        <v>59</v>
      </c>
      <c r="D132" s="108">
        <v>2592</v>
      </c>
    </row>
    <row r="133" spans="1:4" x14ac:dyDescent="0.25">
      <c r="A133" s="105" t="s">
        <v>2177</v>
      </c>
      <c r="B133" s="107" t="s">
        <v>2352</v>
      </c>
      <c r="C133" s="107" t="s">
        <v>60</v>
      </c>
      <c r="D133" s="108">
        <v>3024</v>
      </c>
    </row>
    <row r="134" spans="1:4" x14ac:dyDescent="0.25">
      <c r="A134" s="105" t="s">
        <v>2177</v>
      </c>
      <c r="B134" s="107" t="s">
        <v>2353</v>
      </c>
      <c r="C134" s="107" t="s">
        <v>61</v>
      </c>
      <c r="D134" s="108">
        <v>2790</v>
      </c>
    </row>
    <row r="135" spans="1:4" x14ac:dyDescent="0.25">
      <c r="A135" s="105" t="s">
        <v>2177</v>
      </c>
      <c r="B135" s="107" t="s">
        <v>2354</v>
      </c>
      <c r="C135" s="107" t="s">
        <v>62</v>
      </c>
      <c r="D135" s="108">
        <v>3204</v>
      </c>
    </row>
    <row r="136" spans="1:4" x14ac:dyDescent="0.25">
      <c r="A136" s="105" t="s">
        <v>2177</v>
      </c>
      <c r="B136" s="107" t="s">
        <v>2355</v>
      </c>
      <c r="C136" s="107" t="s">
        <v>63</v>
      </c>
      <c r="D136" s="108">
        <v>3780</v>
      </c>
    </row>
    <row r="137" spans="1:4" x14ac:dyDescent="0.25">
      <c r="A137" s="105" t="s">
        <v>2177</v>
      </c>
      <c r="B137" s="107" t="s">
        <v>2356</v>
      </c>
      <c r="C137" s="107" t="s">
        <v>64</v>
      </c>
      <c r="D137" s="108">
        <v>4167</v>
      </c>
    </row>
    <row r="138" spans="1:4" x14ac:dyDescent="0.25">
      <c r="A138" s="105" t="s">
        <v>2177</v>
      </c>
      <c r="B138" s="107" t="s">
        <v>2357</v>
      </c>
      <c r="C138" s="107" t="s">
        <v>65</v>
      </c>
      <c r="D138" s="108">
        <v>4338</v>
      </c>
    </row>
    <row r="139" spans="1:4" x14ac:dyDescent="0.25">
      <c r="A139" s="105" t="s">
        <v>2177</v>
      </c>
      <c r="B139" s="107" t="s">
        <v>2358</v>
      </c>
      <c r="C139" s="107" t="s">
        <v>66</v>
      </c>
      <c r="D139" s="108">
        <v>4140</v>
      </c>
    </row>
    <row r="140" spans="1:4" x14ac:dyDescent="0.25">
      <c r="A140" s="105" t="s">
        <v>2177</v>
      </c>
      <c r="B140" s="107" t="s">
        <v>2359</v>
      </c>
      <c r="C140" s="107" t="s">
        <v>67</v>
      </c>
      <c r="D140" s="108">
        <v>3798</v>
      </c>
    </row>
    <row r="141" spans="1:4" x14ac:dyDescent="0.25">
      <c r="A141" s="105" t="s">
        <v>2177</v>
      </c>
      <c r="B141" s="107" t="s">
        <v>2360</v>
      </c>
      <c r="C141" s="107" t="s">
        <v>68</v>
      </c>
      <c r="D141" s="108">
        <v>4365</v>
      </c>
    </row>
    <row r="142" spans="1:4" x14ac:dyDescent="0.25">
      <c r="A142" s="105" t="s">
        <v>2177</v>
      </c>
      <c r="B142" s="107" t="s">
        <v>2361</v>
      </c>
      <c r="C142" s="107" t="s">
        <v>69</v>
      </c>
      <c r="D142" s="108">
        <v>4410</v>
      </c>
    </row>
    <row r="143" spans="1:4" x14ac:dyDescent="0.25">
      <c r="A143" s="105" t="s">
        <v>2177</v>
      </c>
      <c r="B143" s="107" t="s">
        <v>2362</v>
      </c>
      <c r="C143" s="107" t="s">
        <v>79</v>
      </c>
      <c r="D143" s="108">
        <v>1440</v>
      </c>
    </row>
    <row r="144" spans="1:4" x14ac:dyDescent="0.25">
      <c r="A144" s="105" t="s">
        <v>2177</v>
      </c>
      <c r="B144" s="107" t="s">
        <v>2363</v>
      </c>
      <c r="C144" s="107" t="s">
        <v>197</v>
      </c>
      <c r="D144" s="108">
        <v>1485</v>
      </c>
    </row>
    <row r="145" spans="1:4" x14ac:dyDescent="0.25">
      <c r="A145" s="105" t="s">
        <v>2177</v>
      </c>
      <c r="B145" s="107" t="s">
        <v>2364</v>
      </c>
      <c r="C145" s="107" t="s">
        <v>77</v>
      </c>
      <c r="D145" s="108">
        <v>2007</v>
      </c>
    </row>
    <row r="146" spans="1:4" x14ac:dyDescent="0.25">
      <c r="A146" s="105" t="s">
        <v>2177</v>
      </c>
      <c r="B146" s="107" t="s">
        <v>2365</v>
      </c>
      <c r="C146" s="107" t="s">
        <v>74</v>
      </c>
      <c r="D146" s="108">
        <v>2115</v>
      </c>
    </row>
    <row r="147" spans="1:4" x14ac:dyDescent="0.25">
      <c r="A147" s="105" t="s">
        <v>2177</v>
      </c>
      <c r="B147" s="107" t="s">
        <v>2366</v>
      </c>
      <c r="C147" s="107" t="s">
        <v>80</v>
      </c>
      <c r="D147" s="108">
        <v>2160</v>
      </c>
    </row>
    <row r="148" spans="1:4" x14ac:dyDescent="0.25">
      <c r="A148" s="105" t="s">
        <v>2177</v>
      </c>
      <c r="B148" s="107" t="s">
        <v>2367</v>
      </c>
      <c r="C148" s="107" t="s">
        <v>81</v>
      </c>
      <c r="D148" s="108">
        <v>2034</v>
      </c>
    </row>
    <row r="149" spans="1:4" x14ac:dyDescent="0.25">
      <c r="A149" s="105" t="s">
        <v>2177</v>
      </c>
      <c r="B149" s="107" t="s">
        <v>2368</v>
      </c>
      <c r="C149" s="107" t="s">
        <v>82</v>
      </c>
      <c r="D149" s="108">
        <v>2295</v>
      </c>
    </row>
    <row r="150" spans="1:4" x14ac:dyDescent="0.25">
      <c r="A150" s="105" t="s">
        <v>2177</v>
      </c>
      <c r="B150" s="107" t="s">
        <v>2369</v>
      </c>
      <c r="C150" s="107" t="s">
        <v>83</v>
      </c>
      <c r="D150" s="108">
        <v>2790</v>
      </c>
    </row>
    <row r="151" spans="1:4" x14ac:dyDescent="0.25">
      <c r="A151" s="105" t="s">
        <v>2177</v>
      </c>
      <c r="B151" s="107" t="s">
        <v>2370</v>
      </c>
      <c r="C151" s="107" t="s">
        <v>84</v>
      </c>
      <c r="D151" s="108">
        <v>2808</v>
      </c>
    </row>
    <row r="152" spans="1:4" x14ac:dyDescent="0.25">
      <c r="A152" s="105" t="s">
        <v>2177</v>
      </c>
      <c r="B152" s="107" t="s">
        <v>2371</v>
      </c>
      <c r="C152" s="107" t="s">
        <v>75</v>
      </c>
      <c r="D152" s="108">
        <v>2903</v>
      </c>
    </row>
    <row r="153" spans="1:4" x14ac:dyDescent="0.25">
      <c r="A153" s="105" t="s">
        <v>2177</v>
      </c>
      <c r="B153" s="107" t="s">
        <v>2372</v>
      </c>
      <c r="C153" s="107" t="s">
        <v>85</v>
      </c>
      <c r="D153" s="108">
        <v>3708</v>
      </c>
    </row>
    <row r="154" spans="1:4" x14ac:dyDescent="0.25">
      <c r="A154" s="105" t="s">
        <v>2177</v>
      </c>
      <c r="B154" s="107" t="s">
        <v>2373</v>
      </c>
      <c r="C154" s="107" t="s">
        <v>76</v>
      </c>
      <c r="D154" s="108">
        <v>3825</v>
      </c>
    </row>
    <row r="155" spans="1:4" x14ac:dyDescent="0.25">
      <c r="A155" s="105" t="s">
        <v>2177</v>
      </c>
      <c r="B155" s="107" t="s">
        <v>2374</v>
      </c>
      <c r="C155" s="107" t="s">
        <v>78</v>
      </c>
      <c r="D155" s="108">
        <v>4635</v>
      </c>
    </row>
    <row r="156" spans="1:4" x14ac:dyDescent="0.25">
      <c r="A156" s="105" t="s">
        <v>2177</v>
      </c>
      <c r="B156" s="107" t="s">
        <v>2375</v>
      </c>
      <c r="C156" s="107" t="s">
        <v>86</v>
      </c>
      <c r="D156" s="108">
        <v>5445</v>
      </c>
    </row>
    <row r="157" spans="1:4" x14ac:dyDescent="0.25">
      <c r="A157" s="105" t="s">
        <v>2177</v>
      </c>
      <c r="B157" s="107" t="s">
        <v>2376</v>
      </c>
      <c r="C157" s="107" t="s">
        <v>87</v>
      </c>
      <c r="D157" s="108">
        <v>7020</v>
      </c>
    </row>
    <row r="158" spans="1:4" x14ac:dyDescent="0.25">
      <c r="A158" s="105" t="s">
        <v>2177</v>
      </c>
      <c r="B158" s="107" t="s">
        <v>2377</v>
      </c>
      <c r="C158" s="107" t="s">
        <v>252</v>
      </c>
      <c r="D158" s="108">
        <v>5850</v>
      </c>
    </row>
    <row r="159" spans="1:4" x14ac:dyDescent="0.25">
      <c r="A159" s="105" t="s">
        <v>2177</v>
      </c>
      <c r="B159" s="107" t="s">
        <v>2378</v>
      </c>
      <c r="C159" s="1" t="s">
        <v>595</v>
      </c>
      <c r="D159" s="108">
        <v>339</v>
      </c>
    </row>
    <row r="160" spans="1:4" x14ac:dyDescent="0.25">
      <c r="A160" s="105" t="s">
        <v>2177</v>
      </c>
      <c r="B160" s="107" t="s">
        <v>2379</v>
      </c>
      <c r="C160" s="1" t="s">
        <v>596</v>
      </c>
      <c r="D160" s="108">
        <v>445</v>
      </c>
    </row>
    <row r="161" spans="1:4" x14ac:dyDescent="0.25">
      <c r="A161" s="105" t="s">
        <v>2177</v>
      </c>
      <c r="B161" s="107" t="s">
        <v>2380</v>
      </c>
      <c r="C161" s="1" t="s">
        <v>597</v>
      </c>
      <c r="D161" s="108">
        <v>568</v>
      </c>
    </row>
    <row r="162" spans="1:4" x14ac:dyDescent="0.25">
      <c r="A162" s="105" t="s">
        <v>2177</v>
      </c>
      <c r="B162" s="107" t="s">
        <v>2381</v>
      </c>
      <c r="C162" s="1" t="s">
        <v>598</v>
      </c>
      <c r="D162" s="108">
        <v>763</v>
      </c>
    </row>
    <row r="163" spans="1:4" x14ac:dyDescent="0.25">
      <c r="A163" s="105" t="s">
        <v>2177</v>
      </c>
      <c r="B163" s="107" t="s">
        <v>2382</v>
      </c>
      <c r="C163" s="1" t="s">
        <v>599</v>
      </c>
      <c r="D163" s="108">
        <v>875</v>
      </c>
    </row>
    <row r="164" spans="1:4" x14ac:dyDescent="0.25">
      <c r="A164" s="105" t="s">
        <v>2177</v>
      </c>
      <c r="B164" s="107" t="s">
        <v>2383</v>
      </c>
      <c r="C164" s="1" t="s">
        <v>600</v>
      </c>
      <c r="D164" s="108">
        <v>1272</v>
      </c>
    </row>
    <row r="165" spans="1:4" x14ac:dyDescent="0.25">
      <c r="A165" s="105" t="s">
        <v>2177</v>
      </c>
      <c r="B165" s="107" t="s">
        <v>2384</v>
      </c>
      <c r="C165" s="1" t="s">
        <v>601</v>
      </c>
      <c r="D165" s="108">
        <v>1625</v>
      </c>
    </row>
    <row r="166" spans="1:4" x14ac:dyDescent="0.25">
      <c r="A166" s="105" t="s">
        <v>2178</v>
      </c>
      <c r="B166" s="109" t="s">
        <v>2385</v>
      </c>
      <c r="C166" s="1" t="s">
        <v>596</v>
      </c>
      <c r="D166" s="109">
        <v>520</v>
      </c>
    </row>
    <row r="167" spans="1:4" x14ac:dyDescent="0.25">
      <c r="A167" s="105" t="s">
        <v>2178</v>
      </c>
      <c r="B167" s="109" t="s">
        <v>2386</v>
      </c>
      <c r="C167" s="1" t="s">
        <v>597</v>
      </c>
      <c r="D167" s="109">
        <v>625</v>
      </c>
    </row>
    <row r="168" spans="1:4" x14ac:dyDescent="0.25">
      <c r="A168" s="105" t="s">
        <v>2178</v>
      </c>
      <c r="B168" s="109" t="s">
        <v>2387</v>
      </c>
      <c r="C168" s="1" t="s">
        <v>598</v>
      </c>
      <c r="D168" s="109">
        <v>875</v>
      </c>
    </row>
    <row r="169" spans="1:4" x14ac:dyDescent="0.25">
      <c r="A169" s="105" t="s">
        <v>2178</v>
      </c>
      <c r="B169" s="109" t="s">
        <v>2388</v>
      </c>
      <c r="C169" s="1" t="s">
        <v>599</v>
      </c>
      <c r="D169" s="109">
        <v>1025</v>
      </c>
    </row>
    <row r="170" spans="1:4" x14ac:dyDescent="0.25">
      <c r="A170" s="105" t="s">
        <v>2178</v>
      </c>
      <c r="B170" s="109" t="s">
        <v>2389</v>
      </c>
      <c r="C170" s="1" t="s">
        <v>600</v>
      </c>
      <c r="D170" s="109">
        <v>1500</v>
      </c>
    </row>
    <row r="171" spans="1:4" x14ac:dyDescent="0.25">
      <c r="A171" s="105" t="s">
        <v>2178</v>
      </c>
      <c r="B171" s="109" t="s">
        <v>2390</v>
      </c>
      <c r="C171" s="1" t="s">
        <v>601</v>
      </c>
      <c r="D171" s="109">
        <v>2100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/>
  <dimension ref="A1:I98"/>
  <sheetViews>
    <sheetView workbookViewId="0">
      <selection activeCell="C3" sqref="C3:C52"/>
    </sheetView>
  </sheetViews>
  <sheetFormatPr defaultRowHeight="15" x14ac:dyDescent="0.25"/>
  <cols>
    <col min="4" max="4" width="11.85546875" bestFit="1" customWidth="1"/>
    <col min="5" max="5" width="11.42578125" bestFit="1" customWidth="1"/>
    <col min="6" max="6" width="11.85546875" bestFit="1" customWidth="1"/>
    <col min="7" max="7" width="11.42578125" bestFit="1" customWidth="1"/>
    <col min="8" max="8" width="7.7109375" bestFit="1" customWidth="1"/>
    <col min="9" max="9" width="7.5703125" bestFit="1" customWidth="1"/>
  </cols>
  <sheetData>
    <row r="1" spans="1:9" ht="105" x14ac:dyDescent="0.25">
      <c r="A1" s="58"/>
      <c r="B1" s="64" t="s">
        <v>630</v>
      </c>
      <c r="C1" s="64" t="s">
        <v>631</v>
      </c>
      <c r="D1" s="342" t="s">
        <v>681</v>
      </c>
      <c r="E1" s="342"/>
      <c r="F1" s="343" t="s">
        <v>682</v>
      </c>
      <c r="G1" s="343"/>
      <c r="H1" s="58"/>
      <c r="I1" s="58"/>
    </row>
    <row r="2" spans="1:9" x14ac:dyDescent="0.25">
      <c r="A2" s="58"/>
      <c r="B2" s="58" t="s">
        <v>632</v>
      </c>
      <c r="C2" s="58" t="s">
        <v>632</v>
      </c>
      <c r="D2" s="60" t="s">
        <v>683</v>
      </c>
      <c r="E2" s="60" t="s">
        <v>636</v>
      </c>
      <c r="F2" s="59" t="s">
        <v>683</v>
      </c>
      <c r="G2" s="59" t="s">
        <v>636</v>
      </c>
      <c r="H2" s="58" t="s">
        <v>14</v>
      </c>
      <c r="I2" s="58" t="s">
        <v>685</v>
      </c>
    </row>
    <row r="3" spans="1:9" x14ac:dyDescent="0.25">
      <c r="A3" s="58" t="s">
        <v>2066</v>
      </c>
      <c r="B3" s="58" t="s">
        <v>263</v>
      </c>
      <c r="C3" s="58" t="s">
        <v>106</v>
      </c>
      <c r="D3" s="60">
        <v>163</v>
      </c>
      <c r="E3" s="60">
        <v>97</v>
      </c>
      <c r="F3" s="59">
        <v>130</v>
      </c>
      <c r="G3" s="59">
        <v>78</v>
      </c>
      <c r="H3" s="58">
        <v>17</v>
      </c>
      <c r="I3" s="58">
        <v>1</v>
      </c>
    </row>
    <row r="4" spans="1:9" x14ac:dyDescent="0.25">
      <c r="A4" s="58" t="s">
        <v>2066</v>
      </c>
      <c r="B4" s="58" t="s">
        <v>264</v>
      </c>
      <c r="C4" s="58">
        <v>18</v>
      </c>
      <c r="D4" s="60">
        <v>171</v>
      </c>
      <c r="E4" s="60">
        <v>139</v>
      </c>
      <c r="F4" s="59">
        <v>137</v>
      </c>
      <c r="G4" s="59">
        <v>111</v>
      </c>
      <c r="H4" s="58">
        <v>22</v>
      </c>
      <c r="I4" s="58">
        <v>1</v>
      </c>
    </row>
    <row r="5" spans="1:9" x14ac:dyDescent="0.25">
      <c r="A5" s="58" t="s">
        <v>2066</v>
      </c>
      <c r="B5" s="58" t="s">
        <v>265</v>
      </c>
      <c r="C5" s="58" t="s">
        <v>37</v>
      </c>
      <c r="D5" s="60">
        <v>180</v>
      </c>
      <c r="E5" s="60">
        <v>170</v>
      </c>
      <c r="F5" s="59">
        <v>144</v>
      </c>
      <c r="G5" s="59">
        <v>136</v>
      </c>
      <c r="H5" s="58">
        <v>29</v>
      </c>
      <c r="I5" s="58">
        <v>1</v>
      </c>
    </row>
    <row r="6" spans="1:9" x14ac:dyDescent="0.25">
      <c r="A6" s="58" t="s">
        <v>2066</v>
      </c>
      <c r="B6" s="58" t="s">
        <v>266</v>
      </c>
      <c r="C6" s="58" t="s">
        <v>38</v>
      </c>
      <c r="D6" s="60">
        <v>209</v>
      </c>
      <c r="E6" s="60">
        <v>202</v>
      </c>
      <c r="F6" s="59">
        <v>167</v>
      </c>
      <c r="G6" s="59">
        <v>162</v>
      </c>
      <c r="H6" s="58">
        <v>36</v>
      </c>
      <c r="I6" s="58">
        <v>2</v>
      </c>
    </row>
    <row r="7" spans="1:9" x14ac:dyDescent="0.25">
      <c r="A7" s="58" t="s">
        <v>2066</v>
      </c>
      <c r="B7" s="58" t="s">
        <v>267</v>
      </c>
      <c r="C7" s="58" t="s">
        <v>39</v>
      </c>
      <c r="D7" s="60">
        <v>247</v>
      </c>
      <c r="E7" s="60">
        <v>194</v>
      </c>
      <c r="F7" s="59">
        <v>198</v>
      </c>
      <c r="G7" s="59">
        <v>155</v>
      </c>
      <c r="H7" s="58">
        <v>40</v>
      </c>
      <c r="I7" s="58">
        <v>1</v>
      </c>
    </row>
    <row r="8" spans="1:9" x14ac:dyDescent="0.25">
      <c r="A8" s="58" t="s">
        <v>2066</v>
      </c>
      <c r="B8" s="58" t="s">
        <v>268</v>
      </c>
      <c r="C8" s="58" t="s">
        <v>40</v>
      </c>
      <c r="D8" s="60">
        <v>275</v>
      </c>
      <c r="E8" s="60">
        <v>233</v>
      </c>
      <c r="F8" s="59">
        <v>220</v>
      </c>
      <c r="G8" s="59">
        <v>186</v>
      </c>
      <c r="H8" s="58">
        <v>45</v>
      </c>
      <c r="I8" s="58">
        <v>3</v>
      </c>
    </row>
    <row r="9" spans="1:9" x14ac:dyDescent="0.25">
      <c r="A9" s="58" t="s">
        <v>2066</v>
      </c>
      <c r="B9" s="58" t="s">
        <v>269</v>
      </c>
      <c r="C9" s="58" t="s">
        <v>41</v>
      </c>
      <c r="D9" s="60">
        <v>285</v>
      </c>
      <c r="E9" s="60">
        <v>256</v>
      </c>
      <c r="F9" s="59">
        <v>228</v>
      </c>
      <c r="G9" s="59">
        <v>205</v>
      </c>
      <c r="H9" s="58">
        <v>49</v>
      </c>
      <c r="I9" s="58">
        <v>1</v>
      </c>
    </row>
    <row r="10" spans="1:9" x14ac:dyDescent="0.25">
      <c r="A10" s="58" t="s">
        <v>2066</v>
      </c>
      <c r="B10" s="58" t="s">
        <v>270</v>
      </c>
      <c r="C10" s="58" t="s">
        <v>42</v>
      </c>
      <c r="D10" s="60">
        <v>294</v>
      </c>
      <c r="E10" s="60">
        <v>303</v>
      </c>
      <c r="F10" s="59">
        <v>235</v>
      </c>
      <c r="G10" s="59">
        <v>242</v>
      </c>
      <c r="H10" s="58">
        <v>59</v>
      </c>
      <c r="I10" s="58">
        <v>3</v>
      </c>
    </row>
    <row r="11" spans="1:9" x14ac:dyDescent="0.25">
      <c r="A11" s="58" t="s">
        <v>2066</v>
      </c>
      <c r="B11" s="58" t="s">
        <v>271</v>
      </c>
      <c r="C11" s="58" t="s">
        <v>43</v>
      </c>
      <c r="D11" s="60">
        <v>304</v>
      </c>
      <c r="E11" s="60">
        <v>326</v>
      </c>
      <c r="F11" s="59">
        <v>243</v>
      </c>
      <c r="G11" s="59">
        <v>261</v>
      </c>
      <c r="H11" s="58">
        <v>68</v>
      </c>
      <c r="I11" s="58">
        <v>6</v>
      </c>
    </row>
    <row r="12" spans="1:9" x14ac:dyDescent="0.25">
      <c r="A12" s="58" t="s">
        <v>2066</v>
      </c>
      <c r="B12" s="58" t="s">
        <v>272</v>
      </c>
      <c r="C12" s="58" t="s">
        <v>44</v>
      </c>
      <c r="D12" s="60">
        <v>304</v>
      </c>
      <c r="E12" s="60">
        <v>360</v>
      </c>
      <c r="F12" s="59">
        <v>243</v>
      </c>
      <c r="G12" s="59">
        <v>288</v>
      </c>
      <c r="H12" s="58">
        <v>79</v>
      </c>
      <c r="I12" s="58">
        <v>5</v>
      </c>
    </row>
    <row r="13" spans="1:9" x14ac:dyDescent="0.25">
      <c r="A13" s="58" t="s">
        <v>2066</v>
      </c>
      <c r="B13" s="58" t="s">
        <v>273</v>
      </c>
      <c r="C13" s="58" t="s">
        <v>45</v>
      </c>
      <c r="D13" s="60">
        <v>304</v>
      </c>
      <c r="E13" s="60">
        <v>371</v>
      </c>
      <c r="F13" s="59">
        <v>243</v>
      </c>
      <c r="G13" s="59">
        <v>297</v>
      </c>
      <c r="H13" s="58">
        <v>87</v>
      </c>
      <c r="I13" s="58">
        <v>4</v>
      </c>
    </row>
    <row r="14" spans="1:9" x14ac:dyDescent="0.25">
      <c r="A14" s="58" t="s">
        <v>2066</v>
      </c>
      <c r="B14" s="58" t="s">
        <v>274</v>
      </c>
      <c r="C14" s="58" t="s">
        <v>46</v>
      </c>
      <c r="D14" s="60">
        <v>361</v>
      </c>
      <c r="E14" s="60">
        <v>371</v>
      </c>
      <c r="F14" s="59">
        <v>289</v>
      </c>
      <c r="G14" s="59">
        <v>297</v>
      </c>
      <c r="H14" s="58">
        <v>111</v>
      </c>
      <c r="I14" s="58">
        <v>4</v>
      </c>
    </row>
    <row r="15" spans="1:9" x14ac:dyDescent="0.25">
      <c r="A15" s="58" t="s">
        <v>2066</v>
      </c>
      <c r="B15" s="58" t="s">
        <v>275</v>
      </c>
      <c r="C15" s="58" t="s">
        <v>47</v>
      </c>
      <c r="D15" s="60">
        <v>361</v>
      </c>
      <c r="E15" s="60">
        <v>371</v>
      </c>
      <c r="F15" s="59">
        <v>289</v>
      </c>
      <c r="G15" s="59">
        <v>297</v>
      </c>
      <c r="H15" s="58">
        <v>99</v>
      </c>
      <c r="I15" s="58">
        <v>4</v>
      </c>
    </row>
    <row r="16" spans="1:9" x14ac:dyDescent="0.25">
      <c r="A16" s="58" t="s">
        <v>2066</v>
      </c>
      <c r="B16" s="58" t="s">
        <v>276</v>
      </c>
      <c r="C16" s="58" t="s">
        <v>48</v>
      </c>
      <c r="D16" s="60">
        <v>361</v>
      </c>
      <c r="E16" s="60">
        <v>371</v>
      </c>
      <c r="F16" s="59">
        <v>289</v>
      </c>
      <c r="G16" s="59">
        <v>297</v>
      </c>
      <c r="H16" s="58">
        <v>116</v>
      </c>
      <c r="I16" s="58">
        <v>4</v>
      </c>
    </row>
    <row r="17" spans="1:9" x14ac:dyDescent="0.25">
      <c r="A17" s="58" t="s">
        <v>2066</v>
      </c>
      <c r="B17" s="58" t="s">
        <v>277</v>
      </c>
      <c r="C17" s="58" t="s">
        <v>49</v>
      </c>
      <c r="D17" s="60">
        <v>361</v>
      </c>
      <c r="E17" s="60">
        <v>371</v>
      </c>
      <c r="F17" s="59">
        <v>289</v>
      </c>
      <c r="G17" s="59">
        <v>297</v>
      </c>
      <c r="H17" s="58">
        <v>90</v>
      </c>
      <c r="I17" s="58">
        <v>5</v>
      </c>
    </row>
    <row r="18" spans="1:9" x14ac:dyDescent="0.25">
      <c r="A18" s="58" t="s">
        <v>2066</v>
      </c>
      <c r="B18" s="58" t="s">
        <v>278</v>
      </c>
      <c r="C18" s="58" t="s">
        <v>50</v>
      </c>
      <c r="D18" s="60">
        <v>361</v>
      </c>
      <c r="E18" s="60">
        <v>371</v>
      </c>
      <c r="F18" s="59">
        <v>289</v>
      </c>
      <c r="G18" s="59">
        <v>297</v>
      </c>
      <c r="H18" s="58">
        <v>105</v>
      </c>
      <c r="I18" s="58">
        <v>5</v>
      </c>
    </row>
    <row r="19" spans="1:9" x14ac:dyDescent="0.25">
      <c r="A19" s="58" t="s">
        <v>2066</v>
      </c>
      <c r="B19" s="58" t="s">
        <v>279</v>
      </c>
      <c r="C19" s="58" t="s">
        <v>121</v>
      </c>
      <c r="D19" s="60">
        <v>361</v>
      </c>
      <c r="E19" s="60">
        <v>371</v>
      </c>
      <c r="F19" s="59">
        <v>289</v>
      </c>
      <c r="G19" s="59">
        <v>297</v>
      </c>
      <c r="H19" s="58">
        <v>122</v>
      </c>
      <c r="I19" s="58">
        <v>5</v>
      </c>
    </row>
    <row r="20" spans="1:9" x14ac:dyDescent="0.25">
      <c r="A20" s="58" t="s">
        <v>2066</v>
      </c>
      <c r="B20" s="58" t="s">
        <v>280</v>
      </c>
      <c r="C20" s="58" t="s">
        <v>51</v>
      </c>
      <c r="D20" s="60">
        <v>432</v>
      </c>
      <c r="E20" s="60">
        <v>371</v>
      </c>
      <c r="F20" s="59">
        <v>346</v>
      </c>
      <c r="G20" s="59">
        <v>297</v>
      </c>
      <c r="H20" s="58">
        <v>99</v>
      </c>
      <c r="I20" s="58">
        <v>4</v>
      </c>
    </row>
    <row r="21" spans="1:9" x14ac:dyDescent="0.25">
      <c r="A21" s="58" t="s">
        <v>2066</v>
      </c>
      <c r="B21" s="58" t="s">
        <v>281</v>
      </c>
      <c r="C21" s="58" t="s">
        <v>52</v>
      </c>
      <c r="D21" s="60">
        <v>441</v>
      </c>
      <c r="E21" s="60">
        <v>371</v>
      </c>
      <c r="F21" s="59">
        <v>353</v>
      </c>
      <c r="G21" s="59">
        <v>297</v>
      </c>
      <c r="H21" s="58">
        <v>112</v>
      </c>
      <c r="I21" s="58">
        <v>2</v>
      </c>
    </row>
    <row r="22" spans="1:9" x14ac:dyDescent="0.25">
      <c r="A22" s="58" t="s">
        <v>2066</v>
      </c>
      <c r="B22" s="58" t="s">
        <v>282</v>
      </c>
      <c r="C22" s="58" t="s">
        <v>53</v>
      </c>
      <c r="D22" s="60">
        <v>237</v>
      </c>
      <c r="E22" s="60">
        <v>183</v>
      </c>
      <c r="F22" s="59">
        <v>190</v>
      </c>
      <c r="G22" s="59">
        <v>146</v>
      </c>
      <c r="H22" s="58">
        <v>71</v>
      </c>
      <c r="I22" s="58">
        <v>4</v>
      </c>
    </row>
    <row r="23" spans="1:9" x14ac:dyDescent="0.25">
      <c r="A23" s="58" t="s">
        <v>2066</v>
      </c>
      <c r="B23" s="58" t="s">
        <v>283</v>
      </c>
      <c r="C23" s="58" t="s">
        <v>54</v>
      </c>
      <c r="D23" s="60">
        <v>237</v>
      </c>
      <c r="E23" s="60">
        <v>253</v>
      </c>
      <c r="F23" s="59">
        <v>190</v>
      </c>
      <c r="G23" s="59">
        <v>202</v>
      </c>
      <c r="H23" s="58">
        <v>79</v>
      </c>
      <c r="I23" s="58">
        <v>6</v>
      </c>
    </row>
    <row r="24" spans="1:9" x14ac:dyDescent="0.25">
      <c r="A24" s="58" t="s">
        <v>2066</v>
      </c>
      <c r="B24" s="58" t="s">
        <v>284</v>
      </c>
      <c r="C24" s="58" t="s">
        <v>55</v>
      </c>
      <c r="D24" s="60">
        <v>285</v>
      </c>
      <c r="E24" s="60">
        <v>348</v>
      </c>
      <c r="F24" s="59">
        <v>228</v>
      </c>
      <c r="G24" s="59">
        <v>278</v>
      </c>
      <c r="H24" s="58">
        <v>84</v>
      </c>
      <c r="I24" s="58">
        <v>6</v>
      </c>
    </row>
    <row r="25" spans="1:9" x14ac:dyDescent="0.25">
      <c r="A25" s="58" t="s">
        <v>2066</v>
      </c>
      <c r="B25" s="58" t="s">
        <v>285</v>
      </c>
      <c r="C25" s="58" t="s">
        <v>56</v>
      </c>
      <c r="D25" s="60">
        <v>285</v>
      </c>
      <c r="E25" s="60">
        <v>371</v>
      </c>
      <c r="F25" s="59">
        <v>228</v>
      </c>
      <c r="G25" s="59">
        <v>297</v>
      </c>
      <c r="H25" s="58">
        <v>89</v>
      </c>
      <c r="I25" s="58">
        <v>5</v>
      </c>
    </row>
    <row r="26" spans="1:9" x14ac:dyDescent="0.25">
      <c r="A26" s="58" t="s">
        <v>2066</v>
      </c>
      <c r="B26" s="58" t="s">
        <v>286</v>
      </c>
      <c r="C26" s="58" t="s">
        <v>57</v>
      </c>
      <c r="D26" s="60">
        <v>304</v>
      </c>
      <c r="E26" s="60">
        <v>371</v>
      </c>
      <c r="F26" s="59">
        <v>243</v>
      </c>
      <c r="G26" s="59">
        <v>297</v>
      </c>
      <c r="H26" s="58">
        <v>86</v>
      </c>
      <c r="I26" s="58">
        <v>5</v>
      </c>
    </row>
    <row r="27" spans="1:9" x14ac:dyDescent="0.25">
      <c r="A27" s="58" t="s">
        <v>2066</v>
      </c>
      <c r="B27" s="58" t="s">
        <v>287</v>
      </c>
      <c r="C27" s="58" t="s">
        <v>58</v>
      </c>
      <c r="D27" s="60">
        <v>313</v>
      </c>
      <c r="E27" s="60">
        <v>371</v>
      </c>
      <c r="F27" s="59">
        <v>250</v>
      </c>
      <c r="G27" s="59">
        <v>297</v>
      </c>
      <c r="H27" s="58">
        <v>106</v>
      </c>
      <c r="I27" s="58">
        <v>5</v>
      </c>
    </row>
    <row r="28" spans="1:9" x14ac:dyDescent="0.25">
      <c r="A28" s="58" t="s">
        <v>2066</v>
      </c>
      <c r="B28" s="58" t="s">
        <v>288</v>
      </c>
      <c r="C28" s="58" t="s">
        <v>59</v>
      </c>
      <c r="D28" s="60">
        <v>413</v>
      </c>
      <c r="E28" s="60">
        <v>371</v>
      </c>
      <c r="F28" s="59">
        <v>330</v>
      </c>
      <c r="G28" s="59">
        <v>297</v>
      </c>
      <c r="H28" s="58">
        <v>120</v>
      </c>
      <c r="I28" s="58">
        <v>1</v>
      </c>
    </row>
    <row r="29" spans="1:9" x14ac:dyDescent="0.25">
      <c r="A29" s="58" t="s">
        <v>2066</v>
      </c>
      <c r="B29" s="58" t="s">
        <v>289</v>
      </c>
      <c r="C29" s="58" t="s">
        <v>60</v>
      </c>
      <c r="D29" s="60">
        <v>394</v>
      </c>
      <c r="E29" s="60">
        <v>371</v>
      </c>
      <c r="F29" s="59">
        <v>315</v>
      </c>
      <c r="G29" s="59">
        <v>297</v>
      </c>
      <c r="H29" s="58">
        <v>126</v>
      </c>
      <c r="I29" s="58">
        <v>5</v>
      </c>
    </row>
    <row r="30" spans="1:9" x14ac:dyDescent="0.25">
      <c r="A30" s="58" t="s">
        <v>2066</v>
      </c>
      <c r="B30" s="58" t="s">
        <v>290</v>
      </c>
      <c r="C30" s="58" t="s">
        <v>61</v>
      </c>
      <c r="D30" s="60">
        <v>413</v>
      </c>
      <c r="E30" s="60">
        <v>371</v>
      </c>
      <c r="F30" s="59">
        <v>330</v>
      </c>
      <c r="G30" s="59">
        <v>297</v>
      </c>
      <c r="H30" s="58">
        <v>129</v>
      </c>
      <c r="I30" s="58">
        <v>4</v>
      </c>
    </row>
    <row r="31" spans="1:9" x14ac:dyDescent="0.25">
      <c r="A31" s="58" t="s">
        <v>2066</v>
      </c>
      <c r="B31" s="58" t="s">
        <v>291</v>
      </c>
      <c r="C31" s="58" t="s">
        <v>62</v>
      </c>
      <c r="D31" s="60">
        <v>427</v>
      </c>
      <c r="E31" s="60">
        <v>371</v>
      </c>
      <c r="F31" s="59">
        <v>342</v>
      </c>
      <c r="G31" s="59">
        <v>297</v>
      </c>
      <c r="H31" s="58">
        <v>135</v>
      </c>
      <c r="I31" s="58">
        <v>2</v>
      </c>
    </row>
    <row r="32" spans="1:9" x14ac:dyDescent="0.25">
      <c r="A32" s="58" t="s">
        <v>2066</v>
      </c>
      <c r="B32" s="58" t="s">
        <v>292</v>
      </c>
      <c r="C32" s="58" t="s">
        <v>63</v>
      </c>
      <c r="D32" s="60">
        <v>437</v>
      </c>
      <c r="E32" s="60">
        <v>371</v>
      </c>
      <c r="F32" s="59">
        <v>350</v>
      </c>
      <c r="G32" s="59">
        <v>297</v>
      </c>
      <c r="H32" s="58">
        <v>110</v>
      </c>
      <c r="I32" s="58">
        <v>1</v>
      </c>
    </row>
    <row r="33" spans="1:9" x14ac:dyDescent="0.25">
      <c r="A33" s="58" t="s">
        <v>2066</v>
      </c>
      <c r="B33" s="58" t="s">
        <v>293</v>
      </c>
      <c r="C33" s="58" t="s">
        <v>64</v>
      </c>
      <c r="D33" s="60">
        <v>437</v>
      </c>
      <c r="E33" s="60">
        <v>371</v>
      </c>
      <c r="F33" s="59">
        <v>350</v>
      </c>
      <c r="G33" s="59">
        <v>297</v>
      </c>
      <c r="H33" s="58">
        <v>110</v>
      </c>
      <c r="I33" s="58">
        <v>1</v>
      </c>
    </row>
    <row r="34" spans="1:9" x14ac:dyDescent="0.25">
      <c r="A34" s="58" t="s">
        <v>2066</v>
      </c>
      <c r="B34" s="58" t="s">
        <v>294</v>
      </c>
      <c r="C34" s="58" t="s">
        <v>65</v>
      </c>
      <c r="D34" s="60">
        <v>437</v>
      </c>
      <c r="E34" s="60">
        <v>371</v>
      </c>
      <c r="F34" s="59">
        <v>350</v>
      </c>
      <c r="G34" s="59">
        <v>297</v>
      </c>
      <c r="H34" s="58">
        <v>110</v>
      </c>
      <c r="I34" s="58">
        <v>1</v>
      </c>
    </row>
    <row r="35" spans="1:9" x14ac:dyDescent="0.25">
      <c r="A35" s="58" t="s">
        <v>2066</v>
      </c>
      <c r="B35" s="58" t="s">
        <v>295</v>
      </c>
      <c r="C35" s="58" t="s">
        <v>66</v>
      </c>
      <c r="D35" s="60">
        <v>437</v>
      </c>
      <c r="E35" s="60">
        <v>371</v>
      </c>
      <c r="F35" s="59">
        <v>350</v>
      </c>
      <c r="G35" s="59">
        <v>297</v>
      </c>
      <c r="H35" s="58">
        <v>140</v>
      </c>
      <c r="I35" s="58">
        <v>1</v>
      </c>
    </row>
    <row r="36" spans="1:9" x14ac:dyDescent="0.25">
      <c r="A36" s="58" t="s">
        <v>2066</v>
      </c>
      <c r="B36" s="58" t="s">
        <v>296</v>
      </c>
      <c r="C36" s="58" t="s">
        <v>67</v>
      </c>
      <c r="D36" s="60">
        <v>441</v>
      </c>
      <c r="E36" s="60">
        <v>371</v>
      </c>
      <c r="F36" s="59">
        <v>353</v>
      </c>
      <c r="G36" s="59">
        <v>297</v>
      </c>
      <c r="H36" s="58">
        <v>120</v>
      </c>
      <c r="I36" s="58">
        <v>1</v>
      </c>
    </row>
    <row r="37" spans="1:9" x14ac:dyDescent="0.25">
      <c r="A37" s="58" t="s">
        <v>2066</v>
      </c>
      <c r="B37" s="58" t="s">
        <v>297</v>
      </c>
      <c r="C37" s="58" t="s">
        <v>68</v>
      </c>
      <c r="D37" s="60">
        <v>441</v>
      </c>
      <c r="E37" s="60">
        <v>371</v>
      </c>
      <c r="F37" s="59">
        <v>353</v>
      </c>
      <c r="G37" s="59">
        <v>297</v>
      </c>
      <c r="H37" s="58">
        <v>120</v>
      </c>
      <c r="I37" s="58">
        <v>1</v>
      </c>
    </row>
    <row r="38" spans="1:9" x14ac:dyDescent="0.25">
      <c r="A38" s="58" t="s">
        <v>2066</v>
      </c>
      <c r="B38" s="58" t="s">
        <v>298</v>
      </c>
      <c r="C38" s="58" t="s">
        <v>69</v>
      </c>
      <c r="D38" s="60">
        <v>441</v>
      </c>
      <c r="E38" s="60">
        <v>371</v>
      </c>
      <c r="F38" s="59">
        <v>353</v>
      </c>
      <c r="G38" s="59">
        <v>297</v>
      </c>
      <c r="H38" s="58">
        <v>120</v>
      </c>
      <c r="I38" s="58">
        <v>1</v>
      </c>
    </row>
    <row r="39" spans="1:9" x14ac:dyDescent="0.25">
      <c r="A39" s="58" t="s">
        <v>2066</v>
      </c>
      <c r="B39" s="58" t="s">
        <v>299</v>
      </c>
      <c r="C39" s="58" t="s">
        <v>70</v>
      </c>
      <c r="D39" s="60">
        <v>456</v>
      </c>
      <c r="E39" s="60">
        <v>371</v>
      </c>
      <c r="F39" s="59">
        <v>365</v>
      </c>
      <c r="G39" s="59">
        <v>315</v>
      </c>
      <c r="H39" s="58">
        <v>90</v>
      </c>
      <c r="I39" s="58">
        <v>1</v>
      </c>
    </row>
    <row r="40" spans="1:9" x14ac:dyDescent="0.25">
      <c r="A40" s="58" t="s">
        <v>2066</v>
      </c>
      <c r="B40" s="58" t="s">
        <v>300</v>
      </c>
      <c r="C40" s="58" t="s">
        <v>71</v>
      </c>
      <c r="D40" s="60">
        <v>456</v>
      </c>
      <c r="E40" s="60">
        <v>371</v>
      </c>
      <c r="F40" s="59">
        <v>365</v>
      </c>
      <c r="G40" s="59">
        <v>315</v>
      </c>
      <c r="H40" s="58">
        <v>90</v>
      </c>
      <c r="I40" s="58">
        <v>1</v>
      </c>
    </row>
    <row r="41" spans="1:9" x14ac:dyDescent="0.25">
      <c r="A41" s="58" t="s">
        <v>2066</v>
      </c>
      <c r="B41" s="58" t="s">
        <v>301</v>
      </c>
      <c r="C41" s="58" t="s">
        <v>72</v>
      </c>
      <c r="D41" s="60">
        <v>456</v>
      </c>
      <c r="E41" s="60">
        <v>371</v>
      </c>
      <c r="F41" s="59">
        <v>365</v>
      </c>
      <c r="G41" s="59">
        <v>315</v>
      </c>
      <c r="H41" s="58">
        <v>85</v>
      </c>
      <c r="I41" s="58">
        <v>1</v>
      </c>
    </row>
    <row r="42" spans="1:9" x14ac:dyDescent="0.25">
      <c r="A42" s="58" t="s">
        <v>2066</v>
      </c>
      <c r="B42" s="58" t="s">
        <v>302</v>
      </c>
      <c r="C42" s="58" t="s">
        <v>73</v>
      </c>
      <c r="D42" s="60">
        <v>456</v>
      </c>
      <c r="E42" s="60">
        <v>371</v>
      </c>
      <c r="F42" s="59">
        <v>365</v>
      </c>
      <c r="G42" s="59">
        <v>315</v>
      </c>
      <c r="H42" s="58">
        <v>90</v>
      </c>
      <c r="I42" s="58">
        <v>1</v>
      </c>
    </row>
    <row r="43" spans="1:9" x14ac:dyDescent="0.25">
      <c r="A43" s="58" t="s">
        <v>2066</v>
      </c>
      <c r="B43" s="58" t="s">
        <v>303</v>
      </c>
      <c r="C43" s="58" t="s">
        <v>304</v>
      </c>
      <c r="D43" s="60">
        <v>475</v>
      </c>
      <c r="E43" s="60">
        <v>371</v>
      </c>
      <c r="F43" s="59">
        <v>380</v>
      </c>
      <c r="G43" s="59">
        <v>315</v>
      </c>
      <c r="H43" s="58">
        <v>50</v>
      </c>
      <c r="I43" s="58">
        <v>1</v>
      </c>
    </row>
    <row r="44" spans="1:9" x14ac:dyDescent="0.25">
      <c r="A44" s="58" t="s">
        <v>2066</v>
      </c>
      <c r="B44" s="58" t="s">
        <v>305</v>
      </c>
      <c r="C44" s="58" t="s">
        <v>306</v>
      </c>
      <c r="D44" s="60">
        <v>475</v>
      </c>
      <c r="E44" s="60">
        <v>371</v>
      </c>
      <c r="F44" s="59">
        <v>380</v>
      </c>
      <c r="G44" s="59">
        <v>315</v>
      </c>
      <c r="H44" s="58">
        <v>50</v>
      </c>
      <c r="I44" s="58">
        <v>1</v>
      </c>
    </row>
    <row r="45" spans="1:9" x14ac:dyDescent="0.25">
      <c r="A45" s="58" t="s">
        <v>2066</v>
      </c>
      <c r="B45" s="58" t="s">
        <v>307</v>
      </c>
      <c r="C45" s="58" t="s">
        <v>308</v>
      </c>
      <c r="D45" s="60">
        <v>107</v>
      </c>
      <c r="E45" s="60">
        <v>33</v>
      </c>
      <c r="F45" s="59">
        <v>86</v>
      </c>
      <c r="G45" s="59">
        <v>26</v>
      </c>
      <c r="H45" s="58">
        <v>15</v>
      </c>
      <c r="I45" s="58">
        <v>1</v>
      </c>
    </row>
    <row r="46" spans="1:9" x14ac:dyDescent="0.25">
      <c r="A46" s="58" t="s">
        <v>2066</v>
      </c>
      <c r="B46" s="58" t="s">
        <v>309</v>
      </c>
      <c r="C46" s="58" t="s">
        <v>310</v>
      </c>
      <c r="D46" s="60">
        <v>147</v>
      </c>
      <c r="E46" s="60">
        <v>34</v>
      </c>
      <c r="F46" s="59">
        <v>118</v>
      </c>
      <c r="G46" s="59">
        <v>27</v>
      </c>
      <c r="H46" s="58">
        <v>17</v>
      </c>
      <c r="I46" s="58">
        <v>1</v>
      </c>
    </row>
    <row r="47" spans="1:9" x14ac:dyDescent="0.25">
      <c r="A47" s="58" t="s">
        <v>2066</v>
      </c>
      <c r="B47" s="58" t="s">
        <v>311</v>
      </c>
      <c r="C47" s="58" t="s">
        <v>312</v>
      </c>
      <c r="D47" s="60">
        <v>155</v>
      </c>
      <c r="E47" s="60">
        <v>38</v>
      </c>
      <c r="F47" s="59">
        <v>124</v>
      </c>
      <c r="G47" s="59">
        <v>30</v>
      </c>
      <c r="H47" s="58">
        <v>17</v>
      </c>
      <c r="I47" s="58">
        <v>1</v>
      </c>
    </row>
    <row r="48" spans="1:9" x14ac:dyDescent="0.25">
      <c r="A48" s="58" t="s">
        <v>2066</v>
      </c>
      <c r="B48" s="58" t="s">
        <v>313</v>
      </c>
      <c r="C48" s="58" t="s">
        <v>314</v>
      </c>
      <c r="D48" s="60">
        <v>170</v>
      </c>
      <c r="E48" s="60">
        <v>43</v>
      </c>
      <c r="F48" s="59">
        <v>136</v>
      </c>
      <c r="G48" s="59">
        <v>34</v>
      </c>
      <c r="H48" s="58">
        <v>22</v>
      </c>
      <c r="I48" s="58">
        <v>1</v>
      </c>
    </row>
    <row r="49" spans="1:9" x14ac:dyDescent="0.25">
      <c r="A49" s="58" t="s">
        <v>2066</v>
      </c>
      <c r="B49" s="58" t="s">
        <v>315</v>
      </c>
      <c r="C49" s="58" t="s">
        <v>316</v>
      </c>
      <c r="D49" s="60">
        <v>184</v>
      </c>
      <c r="E49" s="60">
        <v>49</v>
      </c>
      <c r="F49" s="59">
        <v>147</v>
      </c>
      <c r="G49" s="59">
        <v>39</v>
      </c>
      <c r="H49" s="58">
        <v>29</v>
      </c>
      <c r="I49" s="58">
        <v>1</v>
      </c>
    </row>
    <row r="50" spans="1:9" x14ac:dyDescent="0.25">
      <c r="A50" s="58" t="s">
        <v>2066</v>
      </c>
      <c r="B50" s="58" t="s">
        <v>317</v>
      </c>
      <c r="C50" s="58" t="s">
        <v>318</v>
      </c>
      <c r="D50" s="60">
        <v>196</v>
      </c>
      <c r="E50" s="60">
        <v>56</v>
      </c>
      <c r="F50" s="59">
        <v>157</v>
      </c>
      <c r="G50" s="59">
        <v>45</v>
      </c>
      <c r="H50" s="58">
        <v>40</v>
      </c>
      <c r="I50" s="58">
        <v>1</v>
      </c>
    </row>
    <row r="51" spans="1:9" x14ac:dyDescent="0.25">
      <c r="A51" s="58" t="s">
        <v>2066</v>
      </c>
      <c r="B51" s="58" t="s">
        <v>319</v>
      </c>
      <c r="C51" s="58" t="s">
        <v>320</v>
      </c>
      <c r="D51" s="60">
        <v>190</v>
      </c>
      <c r="E51" s="60">
        <v>65</v>
      </c>
      <c r="F51" s="59">
        <v>152</v>
      </c>
      <c r="G51" s="59">
        <v>52</v>
      </c>
      <c r="H51" s="58">
        <v>49</v>
      </c>
      <c r="I51" s="58">
        <v>1</v>
      </c>
    </row>
    <row r="52" spans="1:9" x14ac:dyDescent="0.25">
      <c r="A52" s="58" t="s">
        <v>2066</v>
      </c>
      <c r="B52" s="58" t="s">
        <v>321</v>
      </c>
      <c r="C52" s="58" t="s">
        <v>322</v>
      </c>
      <c r="D52" s="60">
        <v>275</v>
      </c>
      <c r="E52" s="60">
        <v>90</v>
      </c>
      <c r="F52" s="59">
        <v>220</v>
      </c>
      <c r="G52" s="59">
        <v>72</v>
      </c>
      <c r="H52" s="58">
        <v>68</v>
      </c>
      <c r="I52" s="58">
        <v>3</v>
      </c>
    </row>
    <row r="53" spans="1:9" x14ac:dyDescent="0.25">
      <c r="A53" s="58" t="s">
        <v>2076</v>
      </c>
      <c r="B53" s="58" t="s">
        <v>323</v>
      </c>
      <c r="C53" s="58" t="s">
        <v>106</v>
      </c>
      <c r="D53" s="60">
        <v>177</v>
      </c>
      <c r="E53" s="60">
        <v>97</v>
      </c>
      <c r="F53" s="59">
        <v>135</v>
      </c>
      <c r="G53" s="59">
        <v>56</v>
      </c>
      <c r="H53" s="58">
        <v>15</v>
      </c>
      <c r="I53" s="58">
        <v>1</v>
      </c>
    </row>
    <row r="54" spans="1:9" x14ac:dyDescent="0.25">
      <c r="A54" s="58" t="s">
        <v>2076</v>
      </c>
      <c r="B54" s="58" t="s">
        <v>324</v>
      </c>
      <c r="C54" s="58">
        <v>18</v>
      </c>
      <c r="D54" s="60">
        <v>183</v>
      </c>
      <c r="E54" s="60">
        <v>140</v>
      </c>
      <c r="F54" s="59">
        <v>148</v>
      </c>
      <c r="G54" s="59">
        <v>61</v>
      </c>
      <c r="H54" s="58">
        <v>16</v>
      </c>
      <c r="I54" s="58">
        <v>1</v>
      </c>
    </row>
    <row r="55" spans="1:9" x14ac:dyDescent="0.25">
      <c r="A55" s="58" t="s">
        <v>2076</v>
      </c>
      <c r="B55" s="58" t="s">
        <v>325</v>
      </c>
      <c r="C55" s="58" t="s">
        <v>37</v>
      </c>
      <c r="D55" s="60">
        <v>232</v>
      </c>
      <c r="E55" s="60">
        <v>171</v>
      </c>
      <c r="F55" s="59">
        <v>199</v>
      </c>
      <c r="G55" s="59">
        <v>87</v>
      </c>
      <c r="H55" s="58">
        <v>28</v>
      </c>
      <c r="I55" s="58">
        <v>2</v>
      </c>
    </row>
    <row r="56" spans="1:9" x14ac:dyDescent="0.25">
      <c r="A56" s="58" t="s">
        <v>2076</v>
      </c>
      <c r="B56" s="58" t="s">
        <v>326</v>
      </c>
      <c r="C56" s="58" t="s">
        <v>38</v>
      </c>
      <c r="D56" s="60">
        <v>239</v>
      </c>
      <c r="E56" s="60">
        <v>203</v>
      </c>
      <c r="F56" s="59">
        <v>199</v>
      </c>
      <c r="G56" s="59">
        <v>87</v>
      </c>
      <c r="H56" s="58">
        <v>33</v>
      </c>
      <c r="I56" s="58">
        <v>2</v>
      </c>
    </row>
    <row r="57" spans="1:9" x14ac:dyDescent="0.25">
      <c r="A57" s="58" t="s">
        <v>2076</v>
      </c>
      <c r="B57" s="58" t="s">
        <v>327</v>
      </c>
      <c r="C57" s="58" t="s">
        <v>39</v>
      </c>
      <c r="D57" s="60">
        <v>332</v>
      </c>
      <c r="E57" s="60">
        <v>195</v>
      </c>
      <c r="F57" s="59">
        <v>266</v>
      </c>
      <c r="G57" s="59">
        <v>155</v>
      </c>
      <c r="H57" s="58">
        <v>34</v>
      </c>
      <c r="I57" s="58">
        <v>2</v>
      </c>
    </row>
    <row r="58" spans="1:9" x14ac:dyDescent="0.25">
      <c r="A58" s="58" t="s">
        <v>2076</v>
      </c>
      <c r="B58" s="58" t="s">
        <v>328</v>
      </c>
      <c r="C58" s="58" t="s">
        <v>40</v>
      </c>
      <c r="D58" s="60">
        <v>346</v>
      </c>
      <c r="E58" s="60">
        <v>234</v>
      </c>
      <c r="F58" s="59">
        <v>271</v>
      </c>
      <c r="G58" s="59">
        <v>156</v>
      </c>
      <c r="H58" s="58">
        <v>34</v>
      </c>
      <c r="I58" s="58">
        <v>2</v>
      </c>
    </row>
    <row r="59" spans="1:9" x14ac:dyDescent="0.25">
      <c r="A59" s="58" t="s">
        <v>2076</v>
      </c>
      <c r="B59" s="58" t="s">
        <v>329</v>
      </c>
      <c r="C59" s="58" t="s">
        <v>41</v>
      </c>
      <c r="D59" s="60">
        <v>413</v>
      </c>
      <c r="E59" s="60">
        <v>258</v>
      </c>
      <c r="F59" s="59">
        <v>312</v>
      </c>
      <c r="G59" s="59">
        <v>205</v>
      </c>
      <c r="H59" s="58">
        <v>36</v>
      </c>
      <c r="I59" s="58">
        <v>3</v>
      </c>
    </row>
    <row r="60" spans="1:9" x14ac:dyDescent="0.25">
      <c r="A60" s="58" t="s">
        <v>2076</v>
      </c>
      <c r="B60" s="58" t="s">
        <v>330</v>
      </c>
      <c r="C60" s="58" t="s">
        <v>42</v>
      </c>
      <c r="D60" s="60">
        <v>413</v>
      </c>
      <c r="E60" s="60">
        <v>305</v>
      </c>
      <c r="F60" s="59">
        <v>312</v>
      </c>
      <c r="G60" s="59">
        <v>206</v>
      </c>
      <c r="H60" s="58">
        <v>36</v>
      </c>
      <c r="I60" s="58">
        <v>4</v>
      </c>
    </row>
    <row r="61" spans="1:9" x14ac:dyDescent="0.25">
      <c r="A61" s="58" t="s">
        <v>2076</v>
      </c>
      <c r="B61" s="58" t="s">
        <v>331</v>
      </c>
      <c r="C61" s="58" t="s">
        <v>43</v>
      </c>
      <c r="D61" s="60">
        <v>484</v>
      </c>
      <c r="E61" s="60">
        <v>328</v>
      </c>
      <c r="F61" s="59">
        <v>388</v>
      </c>
      <c r="G61" s="59">
        <v>305</v>
      </c>
      <c r="H61" s="58">
        <v>36</v>
      </c>
      <c r="I61" s="58">
        <v>5</v>
      </c>
    </row>
    <row r="62" spans="1:9" x14ac:dyDescent="0.25">
      <c r="A62" s="58" t="s">
        <v>2076</v>
      </c>
      <c r="B62" s="58" t="s">
        <v>332</v>
      </c>
      <c r="C62" s="58" t="s">
        <v>44</v>
      </c>
      <c r="D62" s="60">
        <v>522</v>
      </c>
      <c r="E62" s="60">
        <v>363</v>
      </c>
      <c r="F62" s="59">
        <v>399</v>
      </c>
      <c r="G62" s="59">
        <v>309</v>
      </c>
      <c r="H62" s="58">
        <v>36</v>
      </c>
      <c r="I62" s="58">
        <v>5</v>
      </c>
    </row>
    <row r="63" spans="1:9" x14ac:dyDescent="0.25">
      <c r="A63" s="58" t="s">
        <v>2076</v>
      </c>
      <c r="B63" s="58" t="s">
        <v>333</v>
      </c>
      <c r="C63" s="58" t="s">
        <v>45</v>
      </c>
      <c r="D63" s="60">
        <v>655</v>
      </c>
      <c r="E63" s="60">
        <v>413</v>
      </c>
      <c r="F63" s="59">
        <v>456</v>
      </c>
      <c r="G63" s="59">
        <v>376</v>
      </c>
      <c r="H63" s="58">
        <v>37</v>
      </c>
      <c r="I63" s="58">
        <v>5</v>
      </c>
    </row>
    <row r="64" spans="1:9" x14ac:dyDescent="0.25">
      <c r="A64" s="58" t="s">
        <v>2076</v>
      </c>
      <c r="B64" s="58" t="s">
        <v>334</v>
      </c>
      <c r="C64" s="58" t="s">
        <v>46</v>
      </c>
      <c r="D64" s="60">
        <v>660</v>
      </c>
      <c r="E64" s="60">
        <v>475</v>
      </c>
      <c r="F64" s="59">
        <v>447</v>
      </c>
      <c r="G64" s="59">
        <v>382</v>
      </c>
      <c r="H64" s="58">
        <v>37</v>
      </c>
      <c r="I64" s="58">
        <v>6</v>
      </c>
    </row>
    <row r="65" spans="1:9" x14ac:dyDescent="0.25">
      <c r="A65" s="58" t="s">
        <v>2076</v>
      </c>
      <c r="B65" s="58" t="s">
        <v>335</v>
      </c>
      <c r="C65" s="58" t="s">
        <v>47</v>
      </c>
      <c r="D65" s="60">
        <v>698</v>
      </c>
      <c r="E65" s="60">
        <v>526</v>
      </c>
      <c r="F65" s="59">
        <v>492</v>
      </c>
      <c r="G65" s="59">
        <v>454</v>
      </c>
      <c r="H65" s="58">
        <v>38</v>
      </c>
      <c r="I65" s="58">
        <v>7</v>
      </c>
    </row>
    <row r="66" spans="1:9" x14ac:dyDescent="0.25">
      <c r="A66" s="58" t="s">
        <v>2076</v>
      </c>
      <c r="B66" s="58" t="s">
        <v>336</v>
      </c>
      <c r="C66" s="58" t="s">
        <v>48</v>
      </c>
      <c r="D66" s="60">
        <v>703</v>
      </c>
      <c r="E66" s="60">
        <v>596</v>
      </c>
      <c r="F66" s="59">
        <v>492</v>
      </c>
      <c r="G66" s="59">
        <v>454</v>
      </c>
      <c r="H66" s="58">
        <v>38</v>
      </c>
      <c r="I66" s="58">
        <v>7</v>
      </c>
    </row>
    <row r="67" spans="1:9" x14ac:dyDescent="0.25">
      <c r="A67" s="58" t="s">
        <v>2076</v>
      </c>
      <c r="B67" s="58" t="s">
        <v>337</v>
      </c>
      <c r="C67" s="58" t="s">
        <v>49</v>
      </c>
      <c r="D67" s="60">
        <v>812</v>
      </c>
      <c r="E67" s="60">
        <v>631</v>
      </c>
      <c r="F67" s="59">
        <v>513</v>
      </c>
      <c r="G67" s="59">
        <v>540</v>
      </c>
      <c r="H67" s="58">
        <v>39</v>
      </c>
      <c r="I67" s="58">
        <v>9</v>
      </c>
    </row>
    <row r="68" spans="1:9" x14ac:dyDescent="0.25">
      <c r="A68" s="58" t="s">
        <v>2076</v>
      </c>
      <c r="B68" s="58" t="s">
        <v>338</v>
      </c>
      <c r="C68" s="58" t="s">
        <v>50</v>
      </c>
      <c r="D68" s="60">
        <v>812</v>
      </c>
      <c r="E68" s="60">
        <v>654</v>
      </c>
      <c r="F68" s="59">
        <v>532</v>
      </c>
      <c r="G68" s="59">
        <v>438</v>
      </c>
      <c r="H68" s="58">
        <v>57</v>
      </c>
      <c r="I68" s="58">
        <v>10</v>
      </c>
    </row>
    <row r="69" spans="1:9" x14ac:dyDescent="0.25">
      <c r="A69" s="58" t="s">
        <v>2076</v>
      </c>
      <c r="B69" s="58" t="s">
        <v>339</v>
      </c>
      <c r="C69" s="58" t="s">
        <v>121</v>
      </c>
      <c r="D69" s="60">
        <v>921</v>
      </c>
      <c r="E69" s="60">
        <v>731</v>
      </c>
      <c r="F69" s="59">
        <v>672</v>
      </c>
      <c r="G69" s="59">
        <v>574</v>
      </c>
      <c r="H69" s="58">
        <v>57</v>
      </c>
      <c r="I69" s="58">
        <v>14</v>
      </c>
    </row>
    <row r="70" spans="1:9" x14ac:dyDescent="0.25">
      <c r="A70" s="58" t="s">
        <v>2076</v>
      </c>
      <c r="B70" s="58" t="s">
        <v>340</v>
      </c>
      <c r="C70" s="58" t="s">
        <v>51</v>
      </c>
      <c r="D70" s="60">
        <v>1140</v>
      </c>
      <c r="E70" s="60">
        <v>861</v>
      </c>
      <c r="F70" s="59">
        <v>926</v>
      </c>
      <c r="G70" s="59">
        <v>739</v>
      </c>
      <c r="H70" s="58">
        <v>61</v>
      </c>
      <c r="I70" s="58">
        <v>11</v>
      </c>
    </row>
    <row r="71" spans="1:9" x14ac:dyDescent="0.25">
      <c r="A71" s="58" t="s">
        <v>2076</v>
      </c>
      <c r="B71" s="58" t="s">
        <v>341</v>
      </c>
      <c r="C71" s="58" t="s">
        <v>52</v>
      </c>
      <c r="D71" s="60">
        <v>1187</v>
      </c>
      <c r="E71" s="60">
        <v>953</v>
      </c>
      <c r="F71" s="59">
        <v>940</v>
      </c>
      <c r="G71" s="59">
        <v>829</v>
      </c>
      <c r="H71" s="58">
        <v>61</v>
      </c>
      <c r="I71" s="58">
        <v>11</v>
      </c>
    </row>
    <row r="72" spans="1:9" x14ac:dyDescent="0.25">
      <c r="A72" s="58" t="s">
        <v>2076</v>
      </c>
      <c r="B72" s="58" t="s">
        <v>342</v>
      </c>
      <c r="C72" s="58" t="s">
        <v>53</v>
      </c>
      <c r="D72" s="60">
        <v>239</v>
      </c>
      <c r="E72" s="60">
        <v>184</v>
      </c>
      <c r="F72" s="59">
        <v>214</v>
      </c>
      <c r="G72" s="59">
        <v>87</v>
      </c>
      <c r="H72" s="58">
        <v>32</v>
      </c>
      <c r="I72" s="58">
        <v>5</v>
      </c>
    </row>
    <row r="73" spans="1:9" x14ac:dyDescent="0.25">
      <c r="A73" s="58" t="s">
        <v>2076</v>
      </c>
      <c r="B73" s="58" t="s">
        <v>343</v>
      </c>
      <c r="C73" s="58" t="s">
        <v>54</v>
      </c>
      <c r="D73" s="60">
        <v>337</v>
      </c>
      <c r="E73" s="60">
        <v>255</v>
      </c>
      <c r="F73" s="59">
        <v>280</v>
      </c>
      <c r="G73" s="59">
        <v>216</v>
      </c>
      <c r="H73" s="58">
        <v>54</v>
      </c>
      <c r="I73" s="58">
        <v>7</v>
      </c>
    </row>
    <row r="74" spans="1:9" x14ac:dyDescent="0.25">
      <c r="A74" s="58" t="s">
        <v>2076</v>
      </c>
      <c r="B74" s="58" t="s">
        <v>344</v>
      </c>
      <c r="C74" s="58" t="s">
        <v>55</v>
      </c>
      <c r="D74" s="60">
        <v>432</v>
      </c>
      <c r="E74" s="60">
        <v>351</v>
      </c>
      <c r="F74" s="59">
        <v>344</v>
      </c>
      <c r="G74" s="59">
        <v>308</v>
      </c>
      <c r="H74" s="58">
        <v>56</v>
      </c>
      <c r="I74" s="58">
        <v>11</v>
      </c>
    </row>
    <row r="75" spans="1:9" x14ac:dyDescent="0.25">
      <c r="A75" s="58" t="s">
        <v>2076</v>
      </c>
      <c r="B75" s="58" t="s">
        <v>345</v>
      </c>
      <c r="C75" s="58" t="s">
        <v>56</v>
      </c>
      <c r="D75" s="60">
        <v>441</v>
      </c>
      <c r="E75" s="60">
        <v>401</v>
      </c>
      <c r="F75" s="59">
        <v>355</v>
      </c>
      <c r="G75" s="59">
        <v>313</v>
      </c>
      <c r="H75" s="58">
        <v>56</v>
      </c>
      <c r="I75" s="58">
        <v>13</v>
      </c>
    </row>
    <row r="76" spans="1:9" x14ac:dyDescent="0.25">
      <c r="A76" s="58" t="s">
        <v>2076</v>
      </c>
      <c r="B76" s="58" t="s">
        <v>346</v>
      </c>
      <c r="C76" s="58" t="s">
        <v>57</v>
      </c>
      <c r="D76" s="60">
        <v>470</v>
      </c>
      <c r="E76" s="60">
        <v>402</v>
      </c>
      <c r="F76" s="59">
        <v>370</v>
      </c>
      <c r="G76" s="59">
        <v>351</v>
      </c>
      <c r="H76" s="58">
        <v>58</v>
      </c>
      <c r="I76" s="58">
        <v>16</v>
      </c>
    </row>
    <row r="77" spans="1:9" x14ac:dyDescent="0.25">
      <c r="A77" s="58" t="s">
        <v>2076</v>
      </c>
      <c r="B77" s="58" t="s">
        <v>347</v>
      </c>
      <c r="C77" s="58" t="s">
        <v>58</v>
      </c>
      <c r="D77" s="60">
        <v>475</v>
      </c>
      <c r="E77" s="60">
        <v>459</v>
      </c>
      <c r="F77" s="59">
        <v>378</v>
      </c>
      <c r="G77" s="59">
        <v>369</v>
      </c>
      <c r="H77" s="58">
        <v>58</v>
      </c>
      <c r="I77" s="58">
        <v>17</v>
      </c>
    </row>
    <row r="78" spans="1:9" x14ac:dyDescent="0.25">
      <c r="A78" s="58" t="s">
        <v>2076</v>
      </c>
      <c r="B78" s="58" t="s">
        <v>348</v>
      </c>
      <c r="C78" s="58" t="s">
        <v>59</v>
      </c>
      <c r="D78" s="60">
        <v>627</v>
      </c>
      <c r="E78" s="60">
        <v>548</v>
      </c>
      <c r="F78" s="59">
        <v>448</v>
      </c>
      <c r="G78" s="59">
        <v>468</v>
      </c>
      <c r="H78" s="58">
        <v>61</v>
      </c>
      <c r="I78" s="58">
        <v>20</v>
      </c>
    </row>
    <row r="79" spans="1:9" x14ac:dyDescent="0.25">
      <c r="A79" s="58" t="s">
        <v>2076</v>
      </c>
      <c r="B79" s="58" t="s">
        <v>349</v>
      </c>
      <c r="C79" s="58" t="s">
        <v>60</v>
      </c>
      <c r="D79" s="60">
        <v>650</v>
      </c>
      <c r="E79" s="60">
        <v>587</v>
      </c>
      <c r="F79" s="59">
        <v>437</v>
      </c>
      <c r="G79" s="59">
        <v>472</v>
      </c>
      <c r="H79" s="58">
        <v>61</v>
      </c>
      <c r="I79" s="58">
        <v>22</v>
      </c>
    </row>
    <row r="80" spans="1:9" x14ac:dyDescent="0.25">
      <c r="A80" s="58" t="s">
        <v>2076</v>
      </c>
      <c r="B80" s="58" t="s">
        <v>350</v>
      </c>
      <c r="C80" s="58" t="s">
        <v>61</v>
      </c>
      <c r="D80" s="60">
        <v>693</v>
      </c>
      <c r="E80" s="60">
        <v>726</v>
      </c>
      <c r="F80" s="59">
        <v>508</v>
      </c>
      <c r="G80" s="59">
        <v>535</v>
      </c>
      <c r="H80" s="58">
        <v>57</v>
      </c>
      <c r="I80" s="58">
        <v>24</v>
      </c>
    </row>
    <row r="81" spans="1:9" x14ac:dyDescent="0.25">
      <c r="A81" s="58" t="s">
        <v>2076</v>
      </c>
      <c r="B81" s="58" t="s">
        <v>351</v>
      </c>
      <c r="C81" s="58" t="s">
        <v>62</v>
      </c>
      <c r="D81" s="60">
        <v>840</v>
      </c>
      <c r="E81" s="60">
        <v>791</v>
      </c>
      <c r="F81" s="59">
        <v>546</v>
      </c>
      <c r="G81" s="59">
        <v>625</v>
      </c>
      <c r="H81" s="58">
        <v>59</v>
      </c>
      <c r="I81" s="58">
        <v>23</v>
      </c>
    </row>
    <row r="82" spans="1:9" x14ac:dyDescent="0.25">
      <c r="A82" s="58" t="s">
        <v>2076</v>
      </c>
      <c r="B82" s="58" t="s">
        <v>352</v>
      </c>
      <c r="C82" s="58" t="s">
        <v>63</v>
      </c>
      <c r="D82" s="60">
        <v>855</v>
      </c>
      <c r="E82" s="60">
        <v>1039</v>
      </c>
      <c r="F82" s="59">
        <v>604</v>
      </c>
      <c r="G82" s="59">
        <v>675</v>
      </c>
      <c r="H82" s="58">
        <v>85</v>
      </c>
      <c r="I82" s="58">
        <v>25</v>
      </c>
    </row>
    <row r="83" spans="1:9" x14ac:dyDescent="0.25">
      <c r="A83" s="58" t="s">
        <v>2076</v>
      </c>
      <c r="B83" s="58" t="s">
        <v>353</v>
      </c>
      <c r="C83" s="58" t="s">
        <v>64</v>
      </c>
      <c r="D83" s="60">
        <v>859</v>
      </c>
      <c r="E83" s="60">
        <v>1054</v>
      </c>
      <c r="F83" s="59">
        <v>574</v>
      </c>
      <c r="G83" s="59">
        <v>630</v>
      </c>
      <c r="H83" s="58">
        <v>87</v>
      </c>
      <c r="I83" s="58">
        <v>27</v>
      </c>
    </row>
    <row r="84" spans="1:9" x14ac:dyDescent="0.25">
      <c r="A84" s="58" t="s">
        <v>2076</v>
      </c>
      <c r="B84" s="58" t="s">
        <v>354</v>
      </c>
      <c r="C84" s="58" t="s">
        <v>65</v>
      </c>
      <c r="D84" s="60">
        <v>950</v>
      </c>
      <c r="E84" s="60">
        <v>1133</v>
      </c>
      <c r="F84" s="59">
        <v>712</v>
      </c>
      <c r="G84" s="59">
        <v>796</v>
      </c>
      <c r="H84" s="58">
        <v>87</v>
      </c>
      <c r="I84" s="58">
        <v>29</v>
      </c>
    </row>
    <row r="85" spans="1:9" x14ac:dyDescent="0.25">
      <c r="A85" s="58" t="s">
        <v>2076</v>
      </c>
      <c r="B85" s="58" t="s">
        <v>355</v>
      </c>
      <c r="C85" s="58" t="s">
        <v>66</v>
      </c>
      <c r="D85" s="60">
        <v>1130</v>
      </c>
      <c r="E85" s="60">
        <v>1034</v>
      </c>
      <c r="F85" s="59">
        <v>874</v>
      </c>
      <c r="G85" s="59">
        <v>1071</v>
      </c>
      <c r="H85" s="58">
        <v>90</v>
      </c>
      <c r="I85" s="58">
        <v>22</v>
      </c>
    </row>
    <row r="86" spans="1:9" x14ac:dyDescent="0.25">
      <c r="A86" s="58" t="s">
        <v>2076</v>
      </c>
      <c r="B86" s="58" t="s">
        <v>356</v>
      </c>
      <c r="C86" s="58" t="s">
        <v>67</v>
      </c>
      <c r="D86" s="60">
        <v>1130</v>
      </c>
      <c r="E86" s="60">
        <v>1290</v>
      </c>
      <c r="F86" s="59">
        <v>878</v>
      </c>
      <c r="G86" s="59">
        <v>1089</v>
      </c>
      <c r="H86" s="58">
        <v>91</v>
      </c>
      <c r="I86" s="58">
        <v>25</v>
      </c>
    </row>
    <row r="87" spans="1:9" x14ac:dyDescent="0.25">
      <c r="A87" s="58" t="s">
        <v>2076</v>
      </c>
      <c r="B87" s="58" t="s">
        <v>357</v>
      </c>
      <c r="C87" s="58" t="s">
        <v>68</v>
      </c>
      <c r="D87" s="60">
        <v>1130</v>
      </c>
      <c r="E87" s="60">
        <v>1359</v>
      </c>
      <c r="F87" s="59">
        <v>874</v>
      </c>
      <c r="G87" s="59">
        <v>1093</v>
      </c>
      <c r="H87" s="58">
        <v>91</v>
      </c>
      <c r="I87" s="58">
        <v>28</v>
      </c>
    </row>
    <row r="88" spans="1:9" x14ac:dyDescent="0.25">
      <c r="A88" s="58" t="s">
        <v>2076</v>
      </c>
      <c r="B88" s="58" t="s">
        <v>358</v>
      </c>
      <c r="C88" s="58" t="s">
        <v>69</v>
      </c>
      <c r="D88" s="60">
        <v>1130</v>
      </c>
      <c r="E88" s="60">
        <v>1359</v>
      </c>
      <c r="F88" s="59">
        <v>897</v>
      </c>
      <c r="G88" s="59">
        <v>1107</v>
      </c>
      <c r="H88" s="58">
        <v>91</v>
      </c>
      <c r="I88" s="58">
        <v>30</v>
      </c>
    </row>
    <row r="89" spans="1:9" x14ac:dyDescent="0.25">
      <c r="A89" s="58" t="s">
        <v>2076</v>
      </c>
      <c r="B89" s="58" t="s">
        <v>359</v>
      </c>
      <c r="C89" s="58" t="s">
        <v>70</v>
      </c>
      <c r="D89" s="60">
        <v>2090</v>
      </c>
      <c r="E89" s="60">
        <v>2430</v>
      </c>
      <c r="F89" s="59">
        <v>1862</v>
      </c>
      <c r="G89" s="59">
        <v>1305</v>
      </c>
      <c r="H89" s="58">
        <v>189</v>
      </c>
      <c r="I89" s="58">
        <v>130</v>
      </c>
    </row>
    <row r="90" spans="1:9" x14ac:dyDescent="0.25">
      <c r="A90" s="58" t="s">
        <v>2076</v>
      </c>
      <c r="B90" s="58" t="s">
        <v>360</v>
      </c>
      <c r="C90" s="58" t="s">
        <v>71</v>
      </c>
      <c r="D90" s="60">
        <v>1710</v>
      </c>
      <c r="E90" s="60">
        <v>1890</v>
      </c>
      <c r="F90" s="59">
        <v>1577</v>
      </c>
      <c r="G90" s="59">
        <v>1062</v>
      </c>
      <c r="H90" s="58">
        <v>180</v>
      </c>
      <c r="I90" s="58">
        <v>35</v>
      </c>
    </row>
    <row r="91" spans="1:9" x14ac:dyDescent="0.25">
      <c r="A91" s="58" t="s">
        <v>2076</v>
      </c>
      <c r="B91" s="58" t="s">
        <v>361</v>
      </c>
      <c r="C91" s="58" t="s">
        <v>72</v>
      </c>
      <c r="D91" s="60">
        <v>2137</v>
      </c>
      <c r="E91" s="60">
        <v>2118</v>
      </c>
      <c r="F91" s="59">
        <v>1966</v>
      </c>
      <c r="G91" s="59">
        <v>1395</v>
      </c>
      <c r="H91" s="58">
        <v>184</v>
      </c>
      <c r="I91" s="58">
        <v>55</v>
      </c>
    </row>
    <row r="92" spans="1:9" x14ac:dyDescent="0.25">
      <c r="A92" s="58" t="s">
        <v>2076</v>
      </c>
      <c r="B92" s="58" t="s">
        <v>362</v>
      </c>
      <c r="C92" s="58" t="s">
        <v>73</v>
      </c>
      <c r="D92" s="60">
        <v>2707</v>
      </c>
      <c r="E92" s="60">
        <v>2953</v>
      </c>
      <c r="F92" s="59">
        <v>2603</v>
      </c>
      <c r="G92" s="59">
        <v>2295</v>
      </c>
      <c r="H92" s="58">
        <v>198</v>
      </c>
      <c r="I92" s="58">
        <v>80</v>
      </c>
    </row>
    <row r="93" spans="1:9" x14ac:dyDescent="0.25">
      <c r="A93" s="58" t="s">
        <v>2076</v>
      </c>
      <c r="B93" s="58" t="s">
        <v>363</v>
      </c>
      <c r="C93" s="58" t="s">
        <v>304</v>
      </c>
      <c r="D93" s="60">
        <v>3230</v>
      </c>
      <c r="E93" s="60">
        <v>3510</v>
      </c>
      <c r="F93" s="59">
        <v>3334</v>
      </c>
      <c r="G93" s="59">
        <v>2970</v>
      </c>
      <c r="H93" s="58">
        <v>225</v>
      </c>
      <c r="I93" s="58">
        <v>85</v>
      </c>
    </row>
    <row r="94" spans="1:9" x14ac:dyDescent="0.25">
      <c r="A94" s="58" t="s">
        <v>2076</v>
      </c>
      <c r="B94" s="58" t="s">
        <v>364</v>
      </c>
      <c r="C94" s="58" t="s">
        <v>306</v>
      </c>
      <c r="D94" s="60">
        <v>3230</v>
      </c>
      <c r="E94" s="60">
        <v>3645</v>
      </c>
      <c r="F94" s="59">
        <v>2992</v>
      </c>
      <c r="G94" s="59">
        <v>3132</v>
      </c>
      <c r="H94" s="58">
        <v>225</v>
      </c>
      <c r="I94" s="58">
        <v>70</v>
      </c>
    </row>
    <row r="95" spans="1:9" x14ac:dyDescent="0.25">
      <c r="A95" s="58" t="s">
        <v>2076</v>
      </c>
      <c r="B95" s="58" t="s">
        <v>365</v>
      </c>
      <c r="C95" s="58" t="s">
        <v>197</v>
      </c>
      <c r="D95" s="60">
        <v>366</v>
      </c>
      <c r="E95" s="60">
        <v>345</v>
      </c>
      <c r="F95" s="59">
        <v>322</v>
      </c>
      <c r="G95" s="59">
        <v>360</v>
      </c>
      <c r="H95" s="58">
        <v>63</v>
      </c>
      <c r="I95" s="58">
        <v>4</v>
      </c>
    </row>
    <row r="96" spans="1:9" x14ac:dyDescent="0.25">
      <c r="A96" s="58" t="s">
        <v>2076</v>
      </c>
      <c r="B96" s="58" t="s">
        <v>366</v>
      </c>
      <c r="C96" s="58" t="s">
        <v>74</v>
      </c>
      <c r="D96" s="60">
        <v>560</v>
      </c>
      <c r="E96" s="60">
        <v>510</v>
      </c>
      <c r="F96" s="59">
        <v>520</v>
      </c>
      <c r="G96" s="59">
        <v>525</v>
      </c>
      <c r="H96" s="58">
        <v>72</v>
      </c>
      <c r="I96" s="58">
        <v>4</v>
      </c>
    </row>
    <row r="97" spans="1:9" x14ac:dyDescent="0.25">
      <c r="A97" s="58" t="s">
        <v>2076</v>
      </c>
      <c r="B97" s="58" t="s">
        <v>367</v>
      </c>
      <c r="C97" s="58" t="s">
        <v>75</v>
      </c>
      <c r="D97" s="60">
        <v>955</v>
      </c>
      <c r="E97" s="60">
        <v>725</v>
      </c>
      <c r="F97" s="59">
        <v>828</v>
      </c>
      <c r="G97" s="59">
        <v>740</v>
      </c>
      <c r="H97" s="58">
        <v>85</v>
      </c>
      <c r="I97" s="58">
        <v>10</v>
      </c>
    </row>
    <row r="98" spans="1:9" x14ac:dyDescent="0.25">
      <c r="A98" s="58" t="s">
        <v>2076</v>
      </c>
      <c r="B98" s="58" t="s">
        <v>368</v>
      </c>
      <c r="C98" s="58" t="s">
        <v>76</v>
      </c>
      <c r="D98" s="60">
        <v>1145</v>
      </c>
      <c r="E98" s="60">
        <v>910</v>
      </c>
      <c r="F98" s="59">
        <v>1001</v>
      </c>
      <c r="G98" s="59">
        <v>925</v>
      </c>
      <c r="H98" s="58">
        <v>115</v>
      </c>
      <c r="I98" s="58">
        <v>16</v>
      </c>
    </row>
  </sheetData>
  <autoFilter ref="A2:I2" xr:uid="{00000000-0009-0000-0000-000007000000}"/>
  <mergeCells count="2">
    <mergeCell ref="D1:E1"/>
    <mergeCell ref="F1:G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K36"/>
  <sheetViews>
    <sheetView workbookViewId="0">
      <selection activeCell="P10" sqref="P10"/>
    </sheetView>
  </sheetViews>
  <sheetFormatPr defaultRowHeight="15" x14ac:dyDescent="0.25"/>
  <cols>
    <col min="3" max="3" width="12.7109375" customWidth="1"/>
    <col min="4" max="4" width="10.85546875" customWidth="1"/>
    <col min="5" max="5" width="14.85546875" customWidth="1"/>
    <col min="6" max="6" width="17.42578125" customWidth="1"/>
    <col min="7" max="7" width="30.85546875" bestFit="1" customWidth="1"/>
    <col min="8" max="8" width="12.28515625" customWidth="1"/>
    <col min="9" max="9" width="12" customWidth="1"/>
    <col min="10" max="10" width="12.85546875" customWidth="1"/>
    <col min="11" max="11" width="13" customWidth="1"/>
  </cols>
  <sheetData>
    <row r="1" spans="1:11" ht="60" customHeight="1" x14ac:dyDescent="0.25">
      <c r="A1" s="58" t="s">
        <v>630</v>
      </c>
      <c r="B1" s="58" t="s">
        <v>680</v>
      </c>
      <c r="C1" s="345" t="s">
        <v>1440</v>
      </c>
      <c r="D1" s="346"/>
      <c r="E1" s="346"/>
      <c r="F1" s="346"/>
      <c r="G1" s="347"/>
      <c r="H1" s="344" t="s">
        <v>681</v>
      </c>
      <c r="I1" s="344"/>
      <c r="J1" s="344"/>
      <c r="K1" s="344"/>
    </row>
    <row r="2" spans="1:11" ht="45" x14ac:dyDescent="0.25">
      <c r="A2" s="58" t="s">
        <v>632</v>
      </c>
      <c r="B2" s="58" t="s">
        <v>632</v>
      </c>
      <c r="C2" s="66" t="s">
        <v>1804</v>
      </c>
      <c r="D2" s="65" t="s">
        <v>1805</v>
      </c>
      <c r="E2" s="67" t="s">
        <v>1806</v>
      </c>
      <c r="F2" s="62" t="s">
        <v>1807</v>
      </c>
      <c r="G2" s="62"/>
      <c r="H2" s="58" t="s">
        <v>1808</v>
      </c>
      <c r="I2" s="58" t="s">
        <v>1809</v>
      </c>
      <c r="J2" s="58" t="s">
        <v>1810</v>
      </c>
      <c r="K2" s="58" t="s">
        <v>1811</v>
      </c>
    </row>
    <row r="3" spans="1:11" x14ac:dyDescent="0.25">
      <c r="A3" s="58" t="s">
        <v>415</v>
      </c>
      <c r="B3" s="58" t="s">
        <v>37</v>
      </c>
      <c r="C3" s="59" t="s">
        <v>45</v>
      </c>
      <c r="D3" s="60" t="s">
        <v>55</v>
      </c>
      <c r="E3" s="61" t="s">
        <v>77</v>
      </c>
      <c r="F3" s="62" t="s">
        <v>1812</v>
      </c>
      <c r="G3" s="62" t="str">
        <f>CONCATENATE(C3,"; ",D3,"; ",E3,"; ",F3)</f>
        <v>40Б1; 30Ш1; 25К1; H650x20+315x25</v>
      </c>
      <c r="H3" s="58">
        <v>400</v>
      </c>
      <c r="I3" s="58">
        <v>180</v>
      </c>
      <c r="J3" s="58">
        <v>30</v>
      </c>
      <c r="K3" s="58">
        <v>2</v>
      </c>
    </row>
    <row r="4" spans="1:11" x14ac:dyDescent="0.25">
      <c r="A4" s="58" t="s">
        <v>416</v>
      </c>
      <c r="B4" s="58" t="s">
        <v>38</v>
      </c>
      <c r="C4" s="59" t="s">
        <v>45</v>
      </c>
      <c r="D4" s="60" t="s">
        <v>55</v>
      </c>
      <c r="E4" s="61" t="s">
        <v>77</v>
      </c>
      <c r="F4" s="62" t="s">
        <v>1813</v>
      </c>
      <c r="G4" s="62" t="str">
        <f t="shared" ref="G4:G36" si="0">CONCATENATE(C4,"; ",D4,"; ",E4,"; ",F4)</f>
        <v>40Б1; 30Ш1; 25К1; H650x20+315x26</v>
      </c>
      <c r="H4" s="58">
        <v>410</v>
      </c>
      <c r="I4" s="58">
        <v>215</v>
      </c>
      <c r="J4" s="58">
        <v>32</v>
      </c>
      <c r="K4" s="58">
        <v>2</v>
      </c>
    </row>
    <row r="5" spans="1:11" x14ac:dyDescent="0.25">
      <c r="A5" s="58" t="s">
        <v>417</v>
      </c>
      <c r="B5" s="58" t="s">
        <v>39</v>
      </c>
      <c r="C5" s="59" t="s">
        <v>45</v>
      </c>
      <c r="D5" s="60" t="s">
        <v>55</v>
      </c>
      <c r="E5" s="61" t="s">
        <v>77</v>
      </c>
      <c r="F5" s="62" t="s">
        <v>1814</v>
      </c>
      <c r="G5" s="62" t="str">
        <f t="shared" si="0"/>
        <v>40Б1; 30Ш1; 25К1; H650x20+315x27</v>
      </c>
      <c r="H5" s="58">
        <v>440</v>
      </c>
      <c r="I5" s="58">
        <v>210</v>
      </c>
      <c r="J5" s="58">
        <v>42</v>
      </c>
      <c r="K5" s="58">
        <v>2</v>
      </c>
    </row>
    <row r="6" spans="1:11" x14ac:dyDescent="0.25">
      <c r="A6" s="58" t="s">
        <v>418</v>
      </c>
      <c r="B6" s="58" t="s">
        <v>40</v>
      </c>
      <c r="C6" s="59" t="s">
        <v>45</v>
      </c>
      <c r="D6" s="60" t="s">
        <v>56</v>
      </c>
      <c r="E6" s="61" t="s">
        <v>74</v>
      </c>
      <c r="F6" s="62" t="s">
        <v>1815</v>
      </c>
      <c r="G6" s="62" t="str">
        <f t="shared" si="0"/>
        <v>40Б1; 30Ш2; 25К2; H650x20+315x28</v>
      </c>
      <c r="H6" s="58">
        <v>460</v>
      </c>
      <c r="I6" s="58">
        <v>235</v>
      </c>
      <c r="J6" s="58">
        <v>50</v>
      </c>
      <c r="K6" s="58">
        <v>2</v>
      </c>
    </row>
    <row r="7" spans="1:11" x14ac:dyDescent="0.25">
      <c r="A7" s="58" t="s">
        <v>419</v>
      </c>
      <c r="B7" s="58" t="s">
        <v>41</v>
      </c>
      <c r="C7" s="59" t="s">
        <v>46</v>
      </c>
      <c r="D7" s="60" t="s">
        <v>57</v>
      </c>
      <c r="E7" s="61" t="s">
        <v>81</v>
      </c>
      <c r="F7" s="62" t="s">
        <v>1816</v>
      </c>
      <c r="G7" s="62" t="str">
        <f t="shared" si="0"/>
        <v>40Б2; 35Ш1; 30К1; H650x20+315x29</v>
      </c>
      <c r="H7" s="58">
        <v>630</v>
      </c>
      <c r="I7" s="58">
        <v>280</v>
      </c>
      <c r="J7" s="58">
        <v>75</v>
      </c>
      <c r="K7" s="58">
        <v>3</v>
      </c>
    </row>
    <row r="8" spans="1:11" x14ac:dyDescent="0.25">
      <c r="A8" s="58" t="s">
        <v>420</v>
      </c>
      <c r="B8" s="58" t="s">
        <v>42</v>
      </c>
      <c r="C8" s="59" t="s">
        <v>46</v>
      </c>
      <c r="D8" s="60" t="s">
        <v>58</v>
      </c>
      <c r="E8" s="61" t="s">
        <v>81</v>
      </c>
      <c r="F8" s="62" t="s">
        <v>1817</v>
      </c>
      <c r="G8" s="62" t="str">
        <f t="shared" si="0"/>
        <v>40Б2; 35Ш2; 30К1; H650x20+315x30</v>
      </c>
      <c r="H8" s="58">
        <v>710</v>
      </c>
      <c r="I8" s="58">
        <v>330</v>
      </c>
      <c r="J8" s="58">
        <v>75</v>
      </c>
      <c r="K8" s="58">
        <v>3</v>
      </c>
    </row>
    <row r="9" spans="1:11" x14ac:dyDescent="0.25">
      <c r="A9" s="58" t="s">
        <v>421</v>
      </c>
      <c r="B9" s="58" t="s">
        <v>43</v>
      </c>
      <c r="C9" s="59" t="s">
        <v>47</v>
      </c>
      <c r="D9" s="60" t="s">
        <v>58</v>
      </c>
      <c r="E9" s="61" t="s">
        <v>82</v>
      </c>
      <c r="F9" s="62" t="s">
        <v>1818</v>
      </c>
      <c r="G9" s="62" t="str">
        <f t="shared" si="0"/>
        <v>45Б1; 35Ш2; 30К2; H650x20+315x31</v>
      </c>
      <c r="H9" s="58">
        <v>750</v>
      </c>
      <c r="I9" s="58">
        <v>350</v>
      </c>
      <c r="J9" s="58">
        <v>75</v>
      </c>
      <c r="K9" s="58">
        <v>3</v>
      </c>
    </row>
    <row r="10" spans="1:11" x14ac:dyDescent="0.25">
      <c r="A10" s="58" t="s">
        <v>422</v>
      </c>
      <c r="B10" s="58" t="s">
        <v>44</v>
      </c>
      <c r="C10" s="59" t="s">
        <v>48</v>
      </c>
      <c r="D10" s="60" t="s">
        <v>59</v>
      </c>
      <c r="E10" s="61" t="s">
        <v>83</v>
      </c>
      <c r="F10" s="62" t="s">
        <v>1819</v>
      </c>
      <c r="G10" s="62" t="str">
        <f t="shared" si="0"/>
        <v>45Б2; 40Ш1; 30К3; H650x20+315x32</v>
      </c>
      <c r="H10" s="58">
        <v>770</v>
      </c>
      <c r="I10" s="58">
        <v>380</v>
      </c>
      <c r="J10" s="58">
        <v>75</v>
      </c>
      <c r="K10" s="58">
        <v>3</v>
      </c>
    </row>
    <row r="11" spans="1:11" x14ac:dyDescent="0.25">
      <c r="A11" s="58" t="s">
        <v>423</v>
      </c>
      <c r="B11" s="58" t="s">
        <v>45</v>
      </c>
      <c r="C11" s="59" t="s">
        <v>48</v>
      </c>
      <c r="D11" s="60" t="s">
        <v>59</v>
      </c>
      <c r="E11" s="61" t="s">
        <v>83</v>
      </c>
      <c r="F11" s="62" t="s">
        <v>1812</v>
      </c>
      <c r="G11" s="62" t="str">
        <f t="shared" si="0"/>
        <v>45Б2; 40Ш1; 30К3; H650x20+315x25</v>
      </c>
      <c r="H11" s="58">
        <v>840</v>
      </c>
      <c r="I11" s="58">
        <v>450</v>
      </c>
      <c r="J11" s="58">
        <v>50</v>
      </c>
      <c r="K11" s="58">
        <v>10</v>
      </c>
    </row>
    <row r="12" spans="1:11" x14ac:dyDescent="0.25">
      <c r="A12" s="58" t="s">
        <v>424</v>
      </c>
      <c r="B12" s="58" t="s">
        <v>46</v>
      </c>
      <c r="C12" s="59"/>
      <c r="D12" s="60" t="s">
        <v>60</v>
      </c>
      <c r="E12" s="61" t="s">
        <v>75</v>
      </c>
      <c r="F12" s="62" t="s">
        <v>1813</v>
      </c>
      <c r="G12" s="62" t="str">
        <f t="shared" si="0"/>
        <v>; 40Ш2; 35К1; H650x20+315x26</v>
      </c>
      <c r="H12" s="58">
        <v>1040</v>
      </c>
      <c r="I12" s="58">
        <v>520</v>
      </c>
      <c r="J12" s="58">
        <v>50</v>
      </c>
      <c r="K12" s="58">
        <v>10</v>
      </c>
    </row>
    <row r="13" spans="1:11" x14ac:dyDescent="0.25">
      <c r="A13" s="58" t="s">
        <v>425</v>
      </c>
      <c r="B13" s="58" t="s">
        <v>47</v>
      </c>
      <c r="C13" s="59" t="s">
        <v>51</v>
      </c>
      <c r="D13" s="60" t="s">
        <v>61</v>
      </c>
      <c r="E13" s="61" t="s">
        <v>85</v>
      </c>
      <c r="F13" s="62" t="s">
        <v>1814</v>
      </c>
      <c r="G13" s="62" t="str">
        <f t="shared" si="0"/>
        <v>60Б1; 45Ш1; 35К2; H650x20+315x27</v>
      </c>
      <c r="H13" s="58">
        <v>1075</v>
      </c>
      <c r="I13" s="58">
        <v>570</v>
      </c>
      <c r="J13" s="58">
        <v>45</v>
      </c>
      <c r="K13" s="58">
        <v>9</v>
      </c>
    </row>
    <row r="14" spans="1:11" x14ac:dyDescent="0.25">
      <c r="A14" s="58" t="s">
        <v>426</v>
      </c>
      <c r="B14" s="58" t="s">
        <v>48</v>
      </c>
      <c r="C14" s="59" t="s">
        <v>52</v>
      </c>
      <c r="D14" s="60" t="s">
        <v>62</v>
      </c>
      <c r="E14" s="61" t="s">
        <v>76</v>
      </c>
      <c r="F14" s="62" t="s">
        <v>1815</v>
      </c>
      <c r="G14" s="62" t="str">
        <f t="shared" si="0"/>
        <v>60Б2; 50Ш1; 40К1; H650x20+315x28</v>
      </c>
      <c r="H14" s="58">
        <v>1140</v>
      </c>
      <c r="I14" s="58">
        <v>650</v>
      </c>
      <c r="J14" s="58">
        <v>50</v>
      </c>
      <c r="K14" s="58">
        <v>10</v>
      </c>
    </row>
    <row r="15" spans="1:11" x14ac:dyDescent="0.25">
      <c r="A15" s="58" t="s">
        <v>427</v>
      </c>
      <c r="B15" s="58" t="s">
        <v>49</v>
      </c>
      <c r="C15" s="59" t="s">
        <v>52</v>
      </c>
      <c r="D15" s="60" t="s">
        <v>62</v>
      </c>
      <c r="E15" s="61" t="s">
        <v>76</v>
      </c>
      <c r="F15" s="62" t="s">
        <v>1816</v>
      </c>
      <c r="G15" s="62" t="str">
        <f t="shared" si="0"/>
        <v>60Б2; 50Ш1; 40К1; H650x20+315x29</v>
      </c>
      <c r="H15" s="58">
        <v>1175</v>
      </c>
      <c r="I15" s="58">
        <v>695</v>
      </c>
      <c r="J15" s="58">
        <v>55</v>
      </c>
      <c r="K15" s="58">
        <v>11</v>
      </c>
    </row>
    <row r="16" spans="1:11" x14ac:dyDescent="0.25">
      <c r="A16" s="58" t="s">
        <v>428</v>
      </c>
      <c r="B16" s="58" t="s">
        <v>50</v>
      </c>
      <c r="C16" s="59" t="s">
        <v>52</v>
      </c>
      <c r="D16" s="60" t="s">
        <v>62</v>
      </c>
      <c r="E16" s="61" t="s">
        <v>76</v>
      </c>
      <c r="F16" s="62" t="s">
        <v>1817</v>
      </c>
      <c r="G16" s="62" t="str">
        <f t="shared" si="0"/>
        <v>60Б2; 50Ш1; 40К1; H650x20+315x30</v>
      </c>
      <c r="H16" s="58">
        <v>1175</v>
      </c>
      <c r="I16" s="58">
        <v>720</v>
      </c>
      <c r="J16" s="58">
        <v>60</v>
      </c>
      <c r="K16" s="58">
        <v>11</v>
      </c>
    </row>
    <row r="17" spans="1:11" x14ac:dyDescent="0.25">
      <c r="A17" s="58" t="s">
        <v>429</v>
      </c>
      <c r="B17" s="58" t="s">
        <v>121</v>
      </c>
      <c r="C17" s="59" t="s">
        <v>52</v>
      </c>
      <c r="D17" s="60" t="s">
        <v>63</v>
      </c>
      <c r="E17" s="61" t="s">
        <v>76</v>
      </c>
      <c r="F17" s="62" t="s">
        <v>1818</v>
      </c>
      <c r="G17" s="62" t="str">
        <f t="shared" si="0"/>
        <v>60Б2; 50Ш2; 40К1; H650x20+315x31</v>
      </c>
      <c r="H17" s="58">
        <v>1175</v>
      </c>
      <c r="I17" s="58">
        <v>805</v>
      </c>
      <c r="J17" s="58">
        <v>60</v>
      </c>
      <c r="K17" s="58">
        <v>11</v>
      </c>
    </row>
    <row r="18" spans="1:11" x14ac:dyDescent="0.25">
      <c r="A18" s="58" t="s">
        <v>430</v>
      </c>
      <c r="B18" s="58" t="s">
        <v>51</v>
      </c>
      <c r="C18" s="59"/>
      <c r="D18" s="60" t="s">
        <v>64</v>
      </c>
      <c r="E18" s="61" t="s">
        <v>78</v>
      </c>
      <c r="F18" s="62" t="s">
        <v>1819</v>
      </c>
      <c r="G18" s="62" t="str">
        <f t="shared" si="0"/>
        <v>; 50Ш3; 40К2; H650x20+315x32</v>
      </c>
      <c r="H18" s="58">
        <v>1750</v>
      </c>
      <c r="I18" s="58">
        <v>940</v>
      </c>
      <c r="J18" s="58">
        <v>70</v>
      </c>
      <c r="K18" s="58">
        <v>12</v>
      </c>
    </row>
    <row r="19" spans="1:11" x14ac:dyDescent="0.25">
      <c r="A19" s="58" t="s">
        <v>431</v>
      </c>
      <c r="B19" s="58" t="s">
        <v>52</v>
      </c>
      <c r="C19" s="59"/>
      <c r="D19" s="60" t="s">
        <v>64</v>
      </c>
      <c r="E19" s="61" t="s">
        <v>78</v>
      </c>
      <c r="F19" s="62" t="s">
        <v>1812</v>
      </c>
      <c r="G19" s="62" t="str">
        <f t="shared" si="0"/>
        <v>; 50Ш3; 40К2; H650x20+315x25</v>
      </c>
      <c r="H19" s="58">
        <v>1750</v>
      </c>
      <c r="I19" s="58">
        <v>1040</v>
      </c>
      <c r="J19" s="58">
        <v>75</v>
      </c>
      <c r="K19" s="58">
        <v>12</v>
      </c>
    </row>
    <row r="20" spans="1:11" x14ac:dyDescent="0.25">
      <c r="A20" s="58" t="s">
        <v>432</v>
      </c>
      <c r="B20" s="58" t="s">
        <v>53</v>
      </c>
      <c r="C20" s="59" t="s">
        <v>45</v>
      </c>
      <c r="D20" s="60" t="s">
        <v>55</v>
      </c>
      <c r="E20" s="61" t="s">
        <v>77</v>
      </c>
      <c r="F20" s="62" t="s">
        <v>1817</v>
      </c>
      <c r="G20" s="62" t="str">
        <f t="shared" si="0"/>
        <v>40Б1; 30Ш1; 25К1; H650x20+315x30</v>
      </c>
      <c r="H20" s="58">
        <v>410</v>
      </c>
      <c r="I20" s="58">
        <v>200</v>
      </c>
      <c r="J20" s="58">
        <v>40</v>
      </c>
      <c r="K20" s="58">
        <v>3</v>
      </c>
    </row>
    <row r="21" spans="1:11" x14ac:dyDescent="0.25">
      <c r="A21" s="58" t="s">
        <v>433</v>
      </c>
      <c r="B21" s="58" t="s">
        <v>54</v>
      </c>
      <c r="C21" s="59" t="s">
        <v>45</v>
      </c>
      <c r="D21" s="60" t="s">
        <v>57</v>
      </c>
      <c r="E21" s="61" t="s">
        <v>81</v>
      </c>
      <c r="F21" s="62" t="s">
        <v>1818</v>
      </c>
      <c r="G21" s="62" t="str">
        <f t="shared" si="0"/>
        <v>40Б1; 35Ш1; 30К1; H650x20+315x31</v>
      </c>
      <c r="H21" s="58">
        <v>485</v>
      </c>
      <c r="I21" s="58">
        <v>280</v>
      </c>
      <c r="J21" s="58">
        <v>50</v>
      </c>
      <c r="K21" s="58">
        <v>4</v>
      </c>
    </row>
    <row r="22" spans="1:11" x14ac:dyDescent="0.25">
      <c r="A22" s="58" t="s">
        <v>434</v>
      </c>
      <c r="B22" s="58" t="s">
        <v>55</v>
      </c>
      <c r="C22" s="59" t="s">
        <v>48</v>
      </c>
      <c r="D22" s="60" t="s">
        <v>59</v>
      </c>
      <c r="E22" s="61" t="s">
        <v>82</v>
      </c>
      <c r="F22" s="62" t="s">
        <v>1819</v>
      </c>
      <c r="G22" s="62" t="str">
        <f t="shared" si="0"/>
        <v>45Б2; 40Ш1; 30К2; H650x20+315x32</v>
      </c>
      <c r="H22" s="58">
        <v>765</v>
      </c>
      <c r="I22" s="58">
        <v>380</v>
      </c>
      <c r="J22" s="58">
        <v>60</v>
      </c>
      <c r="K22" s="58">
        <v>5</v>
      </c>
    </row>
    <row r="23" spans="1:11" x14ac:dyDescent="0.25">
      <c r="A23" s="58" t="s">
        <v>435</v>
      </c>
      <c r="B23" s="58" t="s">
        <v>56</v>
      </c>
      <c r="C23" s="59" t="s">
        <v>48</v>
      </c>
      <c r="D23" s="60" t="s">
        <v>59</v>
      </c>
      <c r="E23" s="61" t="s">
        <v>83</v>
      </c>
      <c r="F23" s="62" t="s">
        <v>1820</v>
      </c>
      <c r="G23" s="62" t="str">
        <f t="shared" si="0"/>
        <v>45Б2; 40Ш1; 30К3; H650x20+315x33</v>
      </c>
      <c r="H23" s="58">
        <v>765</v>
      </c>
      <c r="I23" s="58">
        <v>440</v>
      </c>
      <c r="J23" s="58">
        <v>65</v>
      </c>
      <c r="K23" s="58">
        <v>5</v>
      </c>
    </row>
    <row r="24" spans="1:11" x14ac:dyDescent="0.25">
      <c r="A24" s="58" t="s">
        <v>436</v>
      </c>
      <c r="B24" s="58" t="s">
        <v>57</v>
      </c>
      <c r="C24" s="59" t="s">
        <v>50</v>
      </c>
      <c r="D24" s="60" t="s">
        <v>60</v>
      </c>
      <c r="E24" s="61" t="s">
        <v>75</v>
      </c>
      <c r="F24" s="62" t="s">
        <v>1821</v>
      </c>
      <c r="G24" s="62" t="str">
        <f t="shared" si="0"/>
        <v>50Б2; 40Ш2; 35К1; H650x20+315x34</v>
      </c>
      <c r="H24" s="58">
        <v>840</v>
      </c>
      <c r="I24" s="58">
        <v>440</v>
      </c>
      <c r="J24" s="58">
        <v>55</v>
      </c>
      <c r="K24" s="58">
        <v>5</v>
      </c>
    </row>
    <row r="25" spans="1:11" x14ac:dyDescent="0.25">
      <c r="A25" s="58" t="s">
        <v>437</v>
      </c>
      <c r="B25" s="58" t="s">
        <v>58</v>
      </c>
      <c r="C25" s="59" t="s">
        <v>121</v>
      </c>
      <c r="D25" s="60" t="s">
        <v>60</v>
      </c>
      <c r="E25" s="61" t="s">
        <v>75</v>
      </c>
      <c r="F25" s="62" t="s">
        <v>1822</v>
      </c>
      <c r="G25" s="62" t="str">
        <f t="shared" si="0"/>
        <v>50Б3; 40Ш2; 35К1; H650x20+315x35</v>
      </c>
      <c r="H25" s="58">
        <v>950</v>
      </c>
      <c r="I25" s="58">
        <v>500</v>
      </c>
      <c r="J25" s="58">
        <v>65</v>
      </c>
      <c r="K25" s="58">
        <v>6</v>
      </c>
    </row>
    <row r="26" spans="1:11" x14ac:dyDescent="0.25">
      <c r="A26" s="58" t="s">
        <v>438</v>
      </c>
      <c r="B26" s="58" t="s">
        <v>59</v>
      </c>
      <c r="C26" s="59" t="s">
        <v>121</v>
      </c>
      <c r="D26" s="60" t="s">
        <v>60</v>
      </c>
      <c r="E26" s="61" t="s">
        <v>85</v>
      </c>
      <c r="F26" s="62" t="s">
        <v>1823</v>
      </c>
      <c r="G26" s="62" t="str">
        <f t="shared" si="0"/>
        <v>50Б3; 40Ш2; 35К2; H650x20+315x36</v>
      </c>
      <c r="H26" s="58">
        <v>940</v>
      </c>
      <c r="I26" s="58">
        <v>600</v>
      </c>
      <c r="J26" s="58">
        <v>70</v>
      </c>
      <c r="K26" s="58">
        <v>6</v>
      </c>
    </row>
    <row r="27" spans="1:11" x14ac:dyDescent="0.25">
      <c r="A27" s="58" t="s">
        <v>439</v>
      </c>
      <c r="B27" s="58" t="s">
        <v>60</v>
      </c>
      <c r="C27" s="59" t="s">
        <v>51</v>
      </c>
      <c r="D27" s="60" t="s">
        <v>60</v>
      </c>
      <c r="E27" s="61" t="s">
        <v>85</v>
      </c>
      <c r="F27" s="62" t="s">
        <v>1824</v>
      </c>
      <c r="G27" s="62" t="str">
        <f t="shared" si="0"/>
        <v>60Б1; 40Ш2; 35К2; H650x20+315x37</v>
      </c>
      <c r="H27" s="58">
        <v>1125</v>
      </c>
      <c r="I27" s="58">
        <v>640</v>
      </c>
      <c r="J27" s="58">
        <v>75</v>
      </c>
      <c r="K27" s="58">
        <v>7</v>
      </c>
    </row>
    <row r="28" spans="1:11" x14ac:dyDescent="0.25">
      <c r="A28" s="58" t="s">
        <v>440</v>
      </c>
      <c r="B28" s="58" t="s">
        <v>61</v>
      </c>
      <c r="C28" s="59" t="s">
        <v>51</v>
      </c>
      <c r="D28" s="60" t="s">
        <v>60</v>
      </c>
      <c r="E28" s="61" t="s">
        <v>85</v>
      </c>
      <c r="F28" s="62" t="s">
        <v>1825</v>
      </c>
      <c r="G28" s="62" t="str">
        <f t="shared" si="0"/>
        <v>60Б1; 40Ш2; 35К2; H650x20+315x38</v>
      </c>
      <c r="H28" s="58">
        <v>1125</v>
      </c>
      <c r="I28" s="58">
        <v>790</v>
      </c>
      <c r="J28" s="58">
        <v>75</v>
      </c>
      <c r="K28" s="58">
        <v>7</v>
      </c>
    </row>
    <row r="29" spans="1:11" x14ac:dyDescent="0.25">
      <c r="A29" s="58" t="s">
        <v>441</v>
      </c>
      <c r="B29" s="58" t="s">
        <v>62</v>
      </c>
      <c r="C29" s="59" t="s">
        <v>629</v>
      </c>
      <c r="D29" s="60" t="s">
        <v>63</v>
      </c>
      <c r="E29" s="61" t="s">
        <v>76</v>
      </c>
      <c r="F29" s="62" t="s">
        <v>1826</v>
      </c>
      <c r="G29" s="62" t="str">
        <f t="shared" si="0"/>
        <v>-; 50Ш2; 40К1; H650x20+315x39</v>
      </c>
      <c r="H29" s="58">
        <v>1485</v>
      </c>
      <c r="I29" s="58">
        <v>870</v>
      </c>
      <c r="J29" s="58">
        <v>85</v>
      </c>
      <c r="K29" s="58">
        <v>8</v>
      </c>
    </row>
    <row r="30" spans="1:11" x14ac:dyDescent="0.25">
      <c r="A30" s="58" t="s">
        <v>442</v>
      </c>
      <c r="B30" s="58" t="s">
        <v>63</v>
      </c>
      <c r="C30" s="59"/>
      <c r="D30" s="60" t="s">
        <v>63</v>
      </c>
      <c r="E30" s="61" t="s">
        <v>76</v>
      </c>
      <c r="F30" s="62" t="s">
        <v>1827</v>
      </c>
      <c r="G30" s="62" t="str">
        <f t="shared" si="0"/>
        <v>; 50Ш2; 40К1; H650x20+315x40</v>
      </c>
      <c r="H30" s="58">
        <v>1490</v>
      </c>
      <c r="I30" s="58">
        <v>1140</v>
      </c>
      <c r="J30" s="58">
        <v>95</v>
      </c>
      <c r="K30" s="58">
        <v>11</v>
      </c>
    </row>
    <row r="31" spans="1:11" x14ac:dyDescent="0.25">
      <c r="A31" s="58" t="s">
        <v>443</v>
      </c>
      <c r="B31" s="58" t="s">
        <v>64</v>
      </c>
      <c r="C31" s="59"/>
      <c r="D31" s="60" t="s">
        <v>63</v>
      </c>
      <c r="E31" s="61" t="s">
        <v>76</v>
      </c>
      <c r="F31" s="62" t="s">
        <v>1828</v>
      </c>
      <c r="G31" s="62" t="str">
        <f t="shared" si="0"/>
        <v>; 50Ш2; 40К1; H650x20+315x41</v>
      </c>
      <c r="H31" s="58">
        <v>1490</v>
      </c>
      <c r="I31" s="58">
        <v>1160</v>
      </c>
      <c r="J31" s="58">
        <v>100</v>
      </c>
      <c r="K31" s="58">
        <v>11</v>
      </c>
    </row>
    <row r="32" spans="1:11" x14ac:dyDescent="0.25">
      <c r="A32" s="58" t="s">
        <v>444</v>
      </c>
      <c r="B32" s="58" t="s">
        <v>65</v>
      </c>
      <c r="C32" s="59"/>
      <c r="D32" s="60" t="s">
        <v>63</v>
      </c>
      <c r="E32" s="61" t="s">
        <v>76</v>
      </c>
      <c r="F32" s="62" t="s">
        <v>1829</v>
      </c>
      <c r="G32" s="62" t="str">
        <f t="shared" si="0"/>
        <v>; 50Ш2; 40К1; H650x20+315x42</v>
      </c>
      <c r="H32" s="58">
        <v>1525</v>
      </c>
      <c r="I32" s="58">
        <v>1250</v>
      </c>
      <c r="J32" s="58">
        <v>110</v>
      </c>
      <c r="K32" s="58">
        <v>12</v>
      </c>
    </row>
    <row r="33" spans="1:11" x14ac:dyDescent="0.25">
      <c r="A33" s="58" t="s">
        <v>445</v>
      </c>
      <c r="B33" s="58" t="s">
        <v>66</v>
      </c>
      <c r="C33" s="59"/>
      <c r="D33" s="60" t="s">
        <v>64</v>
      </c>
      <c r="E33" s="61" t="s">
        <v>78</v>
      </c>
      <c r="F33" s="62" t="s">
        <v>1830</v>
      </c>
      <c r="G33" s="62" t="str">
        <f t="shared" si="0"/>
        <v>; 50Ш3; 40К2; H650x20+315x43</v>
      </c>
      <c r="H33" s="58">
        <v>1765</v>
      </c>
      <c r="I33" s="58">
        <v>1140</v>
      </c>
      <c r="J33" s="58">
        <v>125</v>
      </c>
      <c r="K33" s="58">
        <v>14</v>
      </c>
    </row>
    <row r="34" spans="1:11" x14ac:dyDescent="0.25">
      <c r="A34" s="58" t="s">
        <v>446</v>
      </c>
      <c r="B34" s="58" t="s">
        <v>67</v>
      </c>
      <c r="C34" s="59"/>
      <c r="D34" s="60" t="s">
        <v>64</v>
      </c>
      <c r="E34" s="61" t="s">
        <v>86</v>
      </c>
      <c r="F34" s="62" t="s">
        <v>1831</v>
      </c>
      <c r="G34" s="62" t="str">
        <f t="shared" si="0"/>
        <v>; 50Ш3; 40К3; H650x20+315x44</v>
      </c>
      <c r="H34" s="58">
        <v>1765</v>
      </c>
      <c r="I34" s="58">
        <v>1420</v>
      </c>
      <c r="J34" s="58">
        <v>135</v>
      </c>
      <c r="K34" s="58">
        <v>16</v>
      </c>
    </row>
    <row r="35" spans="1:11" x14ac:dyDescent="0.25">
      <c r="A35" s="58" t="s">
        <v>447</v>
      </c>
      <c r="B35" s="58" t="s">
        <v>68</v>
      </c>
      <c r="C35" s="59"/>
      <c r="D35" s="60" t="s">
        <v>64</v>
      </c>
      <c r="E35" s="61" t="s">
        <v>86</v>
      </c>
      <c r="F35" s="62" t="s">
        <v>1832</v>
      </c>
      <c r="G35" s="62" t="str">
        <f t="shared" si="0"/>
        <v>; 50Ш3; 40К3; H650x20+315x45</v>
      </c>
      <c r="H35" s="58">
        <v>1785</v>
      </c>
      <c r="I35" s="58">
        <v>1615</v>
      </c>
      <c r="J35" s="58">
        <v>145</v>
      </c>
      <c r="K35" s="58">
        <v>18</v>
      </c>
    </row>
    <row r="36" spans="1:11" x14ac:dyDescent="0.25">
      <c r="A36" s="58" t="s">
        <v>448</v>
      </c>
      <c r="B36" s="58" t="s">
        <v>69</v>
      </c>
      <c r="C36" s="59"/>
      <c r="D36" s="60" t="s">
        <v>64</v>
      </c>
      <c r="E36" s="61" t="s">
        <v>86</v>
      </c>
      <c r="F36" s="62" t="s">
        <v>1833</v>
      </c>
      <c r="G36" s="62" t="str">
        <f t="shared" si="0"/>
        <v>; 50Ш3; 40К3; H650x20+315x46</v>
      </c>
      <c r="H36" s="58">
        <v>1800</v>
      </c>
      <c r="I36" s="58">
        <v>1810</v>
      </c>
      <c r="J36" s="58">
        <v>155</v>
      </c>
      <c r="K36" s="58">
        <v>20</v>
      </c>
    </row>
  </sheetData>
  <mergeCells count="2">
    <mergeCell ref="H1:K1"/>
    <mergeCell ref="C1:G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7"/>
  <dimension ref="A1:G143"/>
  <sheetViews>
    <sheetView workbookViewId="0">
      <selection activeCell="P10" sqref="P10"/>
    </sheetView>
  </sheetViews>
  <sheetFormatPr defaultRowHeight="15" x14ac:dyDescent="0.25"/>
  <cols>
    <col min="4" max="18" width="11" customWidth="1"/>
  </cols>
  <sheetData>
    <row r="1" spans="1:7" ht="105" x14ac:dyDescent="0.25">
      <c r="B1" s="57" t="s">
        <v>630</v>
      </c>
      <c r="C1" s="57" t="s">
        <v>631</v>
      </c>
      <c r="D1" s="191" t="s">
        <v>633</v>
      </c>
      <c r="E1" s="191"/>
      <c r="F1" s="191"/>
      <c r="G1" s="191"/>
    </row>
    <row r="2" spans="1:7" x14ac:dyDescent="0.25">
      <c r="B2" t="s">
        <v>632</v>
      </c>
      <c r="C2" t="s">
        <v>632</v>
      </c>
      <c r="D2" t="s">
        <v>1147</v>
      </c>
      <c r="E2" t="s">
        <v>636</v>
      </c>
      <c r="F2" t="s">
        <v>14</v>
      </c>
      <c r="G2" t="s">
        <v>685</v>
      </c>
    </row>
    <row r="3" spans="1:7" x14ac:dyDescent="0.25">
      <c r="A3" t="s">
        <v>2077</v>
      </c>
      <c r="B3" t="s">
        <v>449</v>
      </c>
      <c r="C3" t="s">
        <v>106</v>
      </c>
      <c r="D3">
        <v>200</v>
      </c>
      <c r="E3">
        <v>50</v>
      </c>
      <c r="F3">
        <v>9</v>
      </c>
      <c r="G3">
        <v>1</v>
      </c>
    </row>
    <row r="4" spans="1:7" x14ac:dyDescent="0.25">
      <c r="A4" t="s">
        <v>2077</v>
      </c>
      <c r="B4" t="s">
        <v>450</v>
      </c>
      <c r="C4">
        <v>18</v>
      </c>
      <c r="D4">
        <v>209</v>
      </c>
      <c r="E4">
        <v>141</v>
      </c>
      <c r="F4">
        <v>9</v>
      </c>
      <c r="G4">
        <v>1</v>
      </c>
    </row>
    <row r="5" spans="1:7" x14ac:dyDescent="0.25">
      <c r="A5" t="s">
        <v>2077</v>
      </c>
      <c r="B5" t="s">
        <v>451</v>
      </c>
      <c r="C5" t="s">
        <v>37</v>
      </c>
      <c r="D5">
        <v>232</v>
      </c>
      <c r="E5">
        <v>162</v>
      </c>
      <c r="F5">
        <v>10</v>
      </c>
      <c r="G5">
        <v>2</v>
      </c>
    </row>
    <row r="6" spans="1:7" x14ac:dyDescent="0.25">
      <c r="A6" t="s">
        <v>2077</v>
      </c>
      <c r="B6" t="s">
        <v>452</v>
      </c>
      <c r="C6" t="s">
        <v>38</v>
      </c>
      <c r="D6">
        <v>252</v>
      </c>
      <c r="E6">
        <v>192</v>
      </c>
      <c r="F6">
        <v>15</v>
      </c>
      <c r="G6">
        <v>2</v>
      </c>
    </row>
    <row r="7" spans="1:7" x14ac:dyDescent="0.25">
      <c r="A7" t="s">
        <v>2077</v>
      </c>
      <c r="B7" t="s">
        <v>453</v>
      </c>
      <c r="C7" t="s">
        <v>39</v>
      </c>
      <c r="D7">
        <v>350</v>
      </c>
      <c r="E7">
        <v>185</v>
      </c>
      <c r="F7">
        <v>17</v>
      </c>
      <c r="G7">
        <v>2</v>
      </c>
    </row>
    <row r="8" spans="1:7" x14ac:dyDescent="0.25">
      <c r="A8" t="s">
        <v>2077</v>
      </c>
      <c r="B8" t="s">
        <v>454</v>
      </c>
      <c r="C8" t="s">
        <v>40</v>
      </c>
      <c r="D8">
        <v>365</v>
      </c>
      <c r="E8">
        <v>222</v>
      </c>
      <c r="F8">
        <v>20</v>
      </c>
      <c r="G8">
        <v>2</v>
      </c>
    </row>
    <row r="9" spans="1:7" x14ac:dyDescent="0.25">
      <c r="A9" t="s">
        <v>2077</v>
      </c>
      <c r="B9" t="s">
        <v>455</v>
      </c>
      <c r="C9" t="s">
        <v>41</v>
      </c>
      <c r="D9">
        <v>435</v>
      </c>
      <c r="E9">
        <v>245</v>
      </c>
      <c r="F9">
        <v>22</v>
      </c>
      <c r="G9">
        <v>3</v>
      </c>
    </row>
    <row r="10" spans="1:7" x14ac:dyDescent="0.25">
      <c r="A10" t="s">
        <v>2077</v>
      </c>
      <c r="B10" t="s">
        <v>456</v>
      </c>
      <c r="C10" t="s">
        <v>42</v>
      </c>
      <c r="D10">
        <v>435</v>
      </c>
      <c r="E10">
        <v>289</v>
      </c>
      <c r="F10">
        <v>25</v>
      </c>
      <c r="G10">
        <v>3</v>
      </c>
    </row>
    <row r="11" spans="1:7" x14ac:dyDescent="0.25">
      <c r="A11" t="s">
        <v>2077</v>
      </c>
      <c r="B11" t="s">
        <v>457</v>
      </c>
      <c r="C11" t="s">
        <v>43</v>
      </c>
      <c r="D11">
        <v>510</v>
      </c>
      <c r="E11">
        <v>311</v>
      </c>
      <c r="F11">
        <v>27</v>
      </c>
      <c r="G11">
        <v>8</v>
      </c>
    </row>
    <row r="12" spans="1:7" x14ac:dyDescent="0.25">
      <c r="A12" t="s">
        <v>2077</v>
      </c>
      <c r="B12" t="s">
        <v>458</v>
      </c>
      <c r="C12" t="s">
        <v>44</v>
      </c>
      <c r="D12">
        <v>550</v>
      </c>
      <c r="E12">
        <v>344</v>
      </c>
      <c r="F12">
        <v>30</v>
      </c>
      <c r="G12">
        <v>9</v>
      </c>
    </row>
    <row r="13" spans="1:7" x14ac:dyDescent="0.25">
      <c r="A13" t="s">
        <v>2077</v>
      </c>
      <c r="B13" t="s">
        <v>459</v>
      </c>
      <c r="C13" t="s">
        <v>45</v>
      </c>
      <c r="D13">
        <v>605</v>
      </c>
      <c r="E13">
        <v>392</v>
      </c>
      <c r="F13">
        <v>40</v>
      </c>
      <c r="G13">
        <v>9</v>
      </c>
    </row>
    <row r="14" spans="1:7" x14ac:dyDescent="0.25">
      <c r="A14" t="s">
        <v>2077</v>
      </c>
      <c r="B14" t="s">
        <v>460</v>
      </c>
      <c r="C14" t="s">
        <v>46</v>
      </c>
      <c r="D14">
        <v>615</v>
      </c>
      <c r="E14">
        <v>451</v>
      </c>
      <c r="F14">
        <v>45</v>
      </c>
      <c r="G14">
        <v>10</v>
      </c>
    </row>
    <row r="15" spans="1:7" x14ac:dyDescent="0.25">
      <c r="A15" t="s">
        <v>2077</v>
      </c>
      <c r="B15" t="s">
        <v>461</v>
      </c>
      <c r="C15" t="s">
        <v>47</v>
      </c>
      <c r="D15">
        <v>698</v>
      </c>
      <c r="E15">
        <v>499</v>
      </c>
      <c r="F15">
        <v>50</v>
      </c>
      <c r="G15">
        <v>8</v>
      </c>
    </row>
    <row r="16" spans="1:7" x14ac:dyDescent="0.25">
      <c r="A16" t="s">
        <v>2077</v>
      </c>
      <c r="B16" t="s">
        <v>462</v>
      </c>
      <c r="C16" t="s">
        <v>48</v>
      </c>
      <c r="D16">
        <v>703</v>
      </c>
      <c r="E16">
        <v>510</v>
      </c>
      <c r="F16">
        <v>52</v>
      </c>
      <c r="G16">
        <v>8</v>
      </c>
    </row>
    <row r="17" spans="1:7" x14ac:dyDescent="0.25">
      <c r="A17" t="s">
        <v>2077</v>
      </c>
      <c r="B17" t="s">
        <v>463</v>
      </c>
      <c r="C17" t="s">
        <v>49</v>
      </c>
      <c r="D17">
        <v>812</v>
      </c>
      <c r="E17">
        <v>589</v>
      </c>
      <c r="F17">
        <v>55</v>
      </c>
      <c r="G17">
        <v>7</v>
      </c>
    </row>
    <row r="18" spans="1:7" x14ac:dyDescent="0.25">
      <c r="A18" t="s">
        <v>2077</v>
      </c>
      <c r="B18" t="s">
        <v>464</v>
      </c>
      <c r="C18" t="s">
        <v>50</v>
      </c>
      <c r="D18">
        <v>812</v>
      </c>
      <c r="E18">
        <v>589</v>
      </c>
      <c r="F18">
        <v>55</v>
      </c>
      <c r="G18">
        <v>6</v>
      </c>
    </row>
    <row r="19" spans="1:7" x14ac:dyDescent="0.25">
      <c r="A19" t="s">
        <v>2077</v>
      </c>
      <c r="B19" t="s">
        <v>465</v>
      </c>
      <c r="C19" t="s">
        <v>121</v>
      </c>
      <c r="D19">
        <v>921</v>
      </c>
      <c r="E19">
        <v>694</v>
      </c>
      <c r="F19">
        <v>60</v>
      </c>
      <c r="G19">
        <v>8</v>
      </c>
    </row>
    <row r="20" spans="1:7" x14ac:dyDescent="0.25">
      <c r="A20" t="s">
        <v>2077</v>
      </c>
      <c r="B20" t="s">
        <v>466</v>
      </c>
      <c r="C20" t="s">
        <v>51</v>
      </c>
      <c r="D20">
        <v>1200</v>
      </c>
      <c r="E20">
        <v>817</v>
      </c>
      <c r="F20">
        <v>65</v>
      </c>
      <c r="G20">
        <v>2</v>
      </c>
    </row>
    <row r="21" spans="1:7" x14ac:dyDescent="0.25">
      <c r="A21" t="s">
        <v>2077</v>
      </c>
      <c r="B21" t="s">
        <v>467</v>
      </c>
      <c r="C21" t="s">
        <v>52</v>
      </c>
      <c r="D21">
        <v>1200</v>
      </c>
      <c r="E21">
        <v>905</v>
      </c>
      <c r="F21">
        <v>70</v>
      </c>
      <c r="G21">
        <v>1</v>
      </c>
    </row>
    <row r="22" spans="1:7" x14ac:dyDescent="0.25">
      <c r="A22" t="s">
        <v>2077</v>
      </c>
      <c r="B22" t="s">
        <v>468</v>
      </c>
      <c r="C22" t="s">
        <v>53</v>
      </c>
      <c r="D22">
        <v>252</v>
      </c>
      <c r="E22">
        <v>174</v>
      </c>
      <c r="F22">
        <v>20</v>
      </c>
      <c r="G22">
        <v>5</v>
      </c>
    </row>
    <row r="23" spans="1:7" x14ac:dyDescent="0.25">
      <c r="A23" t="s">
        <v>2077</v>
      </c>
      <c r="B23" t="s">
        <v>469</v>
      </c>
      <c r="C23" t="s">
        <v>54</v>
      </c>
      <c r="D23">
        <v>355</v>
      </c>
      <c r="E23">
        <v>242</v>
      </c>
      <c r="F23">
        <v>25</v>
      </c>
      <c r="G23">
        <v>6</v>
      </c>
    </row>
    <row r="24" spans="1:7" x14ac:dyDescent="0.25">
      <c r="A24" t="s">
        <v>2077</v>
      </c>
      <c r="B24" t="s">
        <v>470</v>
      </c>
      <c r="C24" t="s">
        <v>55</v>
      </c>
      <c r="D24">
        <v>455</v>
      </c>
      <c r="E24">
        <v>333</v>
      </c>
      <c r="F24">
        <v>30</v>
      </c>
      <c r="G24">
        <v>8</v>
      </c>
    </row>
    <row r="25" spans="1:7" x14ac:dyDescent="0.25">
      <c r="A25" t="s">
        <v>2077</v>
      </c>
      <c r="B25" t="s">
        <v>471</v>
      </c>
      <c r="C25" t="s">
        <v>56</v>
      </c>
      <c r="D25">
        <v>465</v>
      </c>
      <c r="E25">
        <v>380</v>
      </c>
      <c r="F25">
        <v>35</v>
      </c>
      <c r="G25">
        <v>12</v>
      </c>
    </row>
    <row r="26" spans="1:7" x14ac:dyDescent="0.25">
      <c r="A26" t="s">
        <v>2077</v>
      </c>
      <c r="B26" t="s">
        <v>472</v>
      </c>
      <c r="C26" t="s">
        <v>57</v>
      </c>
      <c r="D26">
        <v>495</v>
      </c>
      <c r="E26">
        <v>381</v>
      </c>
      <c r="F26">
        <v>40</v>
      </c>
      <c r="G26">
        <v>7</v>
      </c>
    </row>
    <row r="27" spans="1:7" x14ac:dyDescent="0.25">
      <c r="A27" t="s">
        <v>2077</v>
      </c>
      <c r="B27" t="s">
        <v>473</v>
      </c>
      <c r="C27" t="s">
        <v>58</v>
      </c>
      <c r="D27">
        <v>500</v>
      </c>
      <c r="E27">
        <v>436</v>
      </c>
      <c r="F27">
        <v>45</v>
      </c>
      <c r="G27">
        <v>10</v>
      </c>
    </row>
    <row r="28" spans="1:7" x14ac:dyDescent="0.25">
      <c r="A28" t="s">
        <v>2077</v>
      </c>
      <c r="B28" t="s">
        <v>474</v>
      </c>
      <c r="C28" t="s">
        <v>59</v>
      </c>
      <c r="D28">
        <v>627</v>
      </c>
      <c r="E28">
        <v>520</v>
      </c>
      <c r="F28">
        <v>50</v>
      </c>
      <c r="G28">
        <v>6</v>
      </c>
    </row>
    <row r="29" spans="1:7" x14ac:dyDescent="0.25">
      <c r="A29" t="s">
        <v>2077</v>
      </c>
      <c r="B29" t="s">
        <v>475</v>
      </c>
      <c r="C29" t="s">
        <v>60</v>
      </c>
      <c r="D29">
        <v>640</v>
      </c>
      <c r="E29">
        <v>529</v>
      </c>
      <c r="F29">
        <v>55</v>
      </c>
      <c r="G29">
        <v>7</v>
      </c>
    </row>
    <row r="30" spans="1:7" x14ac:dyDescent="0.25">
      <c r="A30" t="s">
        <v>2077</v>
      </c>
      <c r="B30" t="s">
        <v>476</v>
      </c>
      <c r="C30" t="s">
        <v>61</v>
      </c>
      <c r="D30">
        <v>730</v>
      </c>
      <c r="E30">
        <v>589</v>
      </c>
      <c r="F30">
        <v>55</v>
      </c>
      <c r="G30">
        <v>12</v>
      </c>
    </row>
    <row r="31" spans="1:7" x14ac:dyDescent="0.25">
      <c r="A31" t="s">
        <v>2077</v>
      </c>
      <c r="B31" t="s">
        <v>477</v>
      </c>
      <c r="C31" t="s">
        <v>62</v>
      </c>
      <c r="D31">
        <v>840</v>
      </c>
      <c r="E31">
        <v>646</v>
      </c>
      <c r="F31">
        <v>55</v>
      </c>
      <c r="G31">
        <v>20</v>
      </c>
    </row>
    <row r="32" spans="1:7" x14ac:dyDescent="0.25">
      <c r="A32" t="s">
        <v>2077</v>
      </c>
      <c r="B32" t="s">
        <v>478</v>
      </c>
      <c r="C32" t="s">
        <v>63</v>
      </c>
      <c r="D32">
        <v>855</v>
      </c>
      <c r="E32">
        <v>987</v>
      </c>
      <c r="F32">
        <v>60</v>
      </c>
      <c r="G32">
        <v>20</v>
      </c>
    </row>
    <row r="33" spans="1:7" x14ac:dyDescent="0.25">
      <c r="A33" t="s">
        <v>2077</v>
      </c>
      <c r="B33" t="s">
        <v>479</v>
      </c>
      <c r="C33" t="s">
        <v>64</v>
      </c>
      <c r="D33">
        <v>859</v>
      </c>
      <c r="E33">
        <v>1001</v>
      </c>
      <c r="F33">
        <v>60</v>
      </c>
      <c r="G33">
        <v>10</v>
      </c>
    </row>
    <row r="34" spans="1:7" x14ac:dyDescent="0.25">
      <c r="A34" t="s">
        <v>2077</v>
      </c>
      <c r="B34" t="s">
        <v>480</v>
      </c>
      <c r="C34" t="s">
        <v>65</v>
      </c>
      <c r="D34">
        <v>950</v>
      </c>
      <c r="E34">
        <v>1076</v>
      </c>
      <c r="F34">
        <v>65</v>
      </c>
      <c r="G34">
        <v>22</v>
      </c>
    </row>
    <row r="35" spans="1:7" x14ac:dyDescent="0.25">
      <c r="A35" t="s">
        <v>2077</v>
      </c>
      <c r="B35" t="s">
        <v>481</v>
      </c>
      <c r="C35" t="s">
        <v>66</v>
      </c>
      <c r="D35">
        <v>1130</v>
      </c>
      <c r="E35">
        <v>982</v>
      </c>
      <c r="F35">
        <v>67</v>
      </c>
      <c r="G35">
        <v>15</v>
      </c>
    </row>
    <row r="36" spans="1:7" x14ac:dyDescent="0.25">
      <c r="A36" t="s">
        <v>2077</v>
      </c>
      <c r="B36" t="s">
        <v>482</v>
      </c>
      <c r="C36" t="s">
        <v>67</v>
      </c>
      <c r="D36">
        <v>1190</v>
      </c>
      <c r="E36">
        <v>1225</v>
      </c>
      <c r="F36">
        <v>70</v>
      </c>
      <c r="G36">
        <v>8</v>
      </c>
    </row>
    <row r="37" spans="1:7" x14ac:dyDescent="0.25">
      <c r="A37" t="s">
        <v>2077</v>
      </c>
      <c r="B37" t="s">
        <v>483</v>
      </c>
      <c r="C37" t="s">
        <v>68</v>
      </c>
      <c r="D37">
        <v>1190</v>
      </c>
      <c r="E37">
        <v>1291</v>
      </c>
      <c r="F37">
        <v>70</v>
      </c>
      <c r="G37">
        <v>10</v>
      </c>
    </row>
    <row r="38" spans="1:7" x14ac:dyDescent="0.25">
      <c r="A38" t="s">
        <v>2077</v>
      </c>
      <c r="B38" t="s">
        <v>484</v>
      </c>
      <c r="C38" t="s">
        <v>69</v>
      </c>
      <c r="D38">
        <v>1190</v>
      </c>
      <c r="E38">
        <v>1291</v>
      </c>
      <c r="F38">
        <v>70</v>
      </c>
      <c r="G38">
        <v>13</v>
      </c>
    </row>
    <row r="39" spans="1:7" x14ac:dyDescent="0.25">
      <c r="A39" t="s">
        <v>2077</v>
      </c>
      <c r="B39" t="s">
        <v>485</v>
      </c>
      <c r="C39" t="s">
        <v>1148</v>
      </c>
      <c r="D39">
        <v>290</v>
      </c>
      <c r="E39">
        <v>200</v>
      </c>
      <c r="F39">
        <v>23</v>
      </c>
      <c r="G39">
        <v>6</v>
      </c>
    </row>
    <row r="40" spans="1:7" x14ac:dyDescent="0.25">
      <c r="A40" t="s">
        <v>2077</v>
      </c>
      <c r="B40" t="s">
        <v>486</v>
      </c>
      <c r="C40" t="s">
        <v>1149</v>
      </c>
      <c r="D40">
        <v>467</v>
      </c>
      <c r="E40">
        <v>319</v>
      </c>
      <c r="F40">
        <v>33</v>
      </c>
      <c r="G40">
        <v>8</v>
      </c>
    </row>
    <row r="41" spans="1:7" x14ac:dyDescent="0.25">
      <c r="A41" t="s">
        <v>2077</v>
      </c>
      <c r="B41" t="s">
        <v>487</v>
      </c>
      <c r="C41" t="s">
        <v>1150</v>
      </c>
      <c r="D41">
        <v>762</v>
      </c>
      <c r="E41">
        <v>630</v>
      </c>
      <c r="F41">
        <v>65</v>
      </c>
      <c r="G41">
        <v>8</v>
      </c>
    </row>
    <row r="42" spans="1:7" x14ac:dyDescent="0.25">
      <c r="A42" t="s">
        <v>2077</v>
      </c>
      <c r="B42" t="s">
        <v>488</v>
      </c>
      <c r="C42" t="s">
        <v>1151</v>
      </c>
      <c r="D42">
        <v>838</v>
      </c>
      <c r="E42">
        <v>692</v>
      </c>
      <c r="F42">
        <v>72</v>
      </c>
      <c r="G42">
        <v>9</v>
      </c>
    </row>
    <row r="43" spans="1:7" x14ac:dyDescent="0.25">
      <c r="A43" t="s">
        <v>2077</v>
      </c>
      <c r="B43" t="s">
        <v>489</v>
      </c>
      <c r="C43" t="s">
        <v>70</v>
      </c>
      <c r="D43">
        <v>2200</v>
      </c>
      <c r="E43">
        <v>2308</v>
      </c>
      <c r="F43">
        <v>110</v>
      </c>
      <c r="G43">
        <v>15</v>
      </c>
    </row>
    <row r="44" spans="1:7" x14ac:dyDescent="0.25">
      <c r="A44" t="s">
        <v>2077</v>
      </c>
      <c r="B44" t="s">
        <v>491</v>
      </c>
      <c r="C44" t="s">
        <v>71</v>
      </c>
      <c r="D44">
        <v>1800</v>
      </c>
      <c r="E44">
        <v>1795</v>
      </c>
      <c r="F44">
        <v>80</v>
      </c>
      <c r="G44">
        <v>30</v>
      </c>
    </row>
    <row r="45" spans="1:7" x14ac:dyDescent="0.25">
      <c r="A45" t="s">
        <v>2077</v>
      </c>
      <c r="B45" t="s">
        <v>493</v>
      </c>
      <c r="C45" t="s">
        <v>72</v>
      </c>
      <c r="D45">
        <v>1950</v>
      </c>
      <c r="E45">
        <v>2012</v>
      </c>
      <c r="F45">
        <v>90</v>
      </c>
      <c r="G45">
        <v>30</v>
      </c>
    </row>
    <row r="46" spans="1:7" x14ac:dyDescent="0.25">
      <c r="A46" t="s">
        <v>2077</v>
      </c>
      <c r="B46" t="s">
        <v>495</v>
      </c>
      <c r="C46" t="s">
        <v>73</v>
      </c>
      <c r="D46">
        <v>2250</v>
      </c>
      <c r="E46">
        <v>2805</v>
      </c>
      <c r="F46">
        <v>100</v>
      </c>
      <c r="G46">
        <v>30</v>
      </c>
    </row>
    <row r="47" spans="1:7" x14ac:dyDescent="0.25">
      <c r="A47" t="s">
        <v>2077</v>
      </c>
      <c r="B47" t="s">
        <v>497</v>
      </c>
      <c r="C47" t="s">
        <v>304</v>
      </c>
      <c r="D47">
        <v>2750</v>
      </c>
      <c r="E47">
        <v>3334</v>
      </c>
      <c r="F47">
        <v>120</v>
      </c>
      <c r="G47">
        <v>30</v>
      </c>
    </row>
    <row r="48" spans="1:7" x14ac:dyDescent="0.25">
      <c r="A48" t="s">
        <v>2077</v>
      </c>
      <c r="B48" t="s">
        <v>499</v>
      </c>
      <c r="C48" t="s">
        <v>306</v>
      </c>
      <c r="D48">
        <v>2900</v>
      </c>
      <c r="E48">
        <v>3462</v>
      </c>
      <c r="F48">
        <v>110</v>
      </c>
      <c r="G48">
        <v>30</v>
      </c>
    </row>
    <row r="49" spans="1:7" x14ac:dyDescent="0.25">
      <c r="A49" t="s">
        <v>2078</v>
      </c>
      <c r="B49" t="s">
        <v>500</v>
      </c>
      <c r="C49" t="s">
        <v>106</v>
      </c>
      <c r="D49">
        <v>300</v>
      </c>
      <c r="E49">
        <v>100</v>
      </c>
      <c r="F49">
        <v>18</v>
      </c>
      <c r="G49">
        <v>1</v>
      </c>
    </row>
    <row r="50" spans="1:7" x14ac:dyDescent="0.25">
      <c r="A50" t="s">
        <v>2078</v>
      </c>
      <c r="B50" t="s">
        <v>501</v>
      </c>
      <c r="C50">
        <v>18</v>
      </c>
      <c r="D50">
        <v>360</v>
      </c>
      <c r="E50">
        <v>145</v>
      </c>
      <c r="F50">
        <v>30</v>
      </c>
      <c r="G50">
        <v>1</v>
      </c>
    </row>
    <row r="51" spans="1:7" x14ac:dyDescent="0.25">
      <c r="A51" t="s">
        <v>2078</v>
      </c>
      <c r="B51" t="s">
        <v>502</v>
      </c>
      <c r="C51" t="s">
        <v>37</v>
      </c>
      <c r="D51">
        <v>400</v>
      </c>
      <c r="E51">
        <v>187</v>
      </c>
      <c r="F51">
        <v>35</v>
      </c>
      <c r="G51">
        <v>2</v>
      </c>
    </row>
    <row r="52" spans="1:7" x14ac:dyDescent="0.25">
      <c r="A52" t="s">
        <v>2078</v>
      </c>
      <c r="B52" t="s">
        <v>503</v>
      </c>
      <c r="C52" t="s">
        <v>38</v>
      </c>
      <c r="D52">
        <v>405</v>
      </c>
      <c r="E52">
        <v>220</v>
      </c>
      <c r="F52">
        <v>38</v>
      </c>
      <c r="G52">
        <v>2</v>
      </c>
    </row>
    <row r="53" spans="1:7" x14ac:dyDescent="0.25">
      <c r="A53" t="s">
        <v>2078</v>
      </c>
      <c r="B53" t="s">
        <v>504</v>
      </c>
      <c r="C53" t="s">
        <v>39</v>
      </c>
      <c r="D53">
        <v>440</v>
      </c>
      <c r="E53">
        <v>215</v>
      </c>
      <c r="F53">
        <v>42</v>
      </c>
      <c r="G53">
        <v>2</v>
      </c>
    </row>
    <row r="54" spans="1:7" x14ac:dyDescent="0.25">
      <c r="A54" t="s">
        <v>2078</v>
      </c>
      <c r="B54" t="s">
        <v>505</v>
      </c>
      <c r="C54" t="s">
        <v>40</v>
      </c>
      <c r="D54">
        <v>460</v>
      </c>
      <c r="E54">
        <v>235</v>
      </c>
      <c r="F54">
        <v>50</v>
      </c>
      <c r="G54">
        <v>3</v>
      </c>
    </row>
    <row r="55" spans="1:7" x14ac:dyDescent="0.25">
      <c r="A55" t="s">
        <v>2078</v>
      </c>
      <c r="B55" t="s">
        <v>506</v>
      </c>
      <c r="C55" t="s">
        <v>41</v>
      </c>
      <c r="D55">
        <v>600</v>
      </c>
      <c r="E55">
        <v>280</v>
      </c>
      <c r="F55">
        <v>75</v>
      </c>
      <c r="G55">
        <v>3</v>
      </c>
    </row>
    <row r="56" spans="1:7" x14ac:dyDescent="0.25">
      <c r="A56" t="s">
        <v>2078</v>
      </c>
      <c r="B56" t="s">
        <v>507</v>
      </c>
      <c r="C56" t="s">
        <v>42</v>
      </c>
      <c r="D56">
        <v>710</v>
      </c>
      <c r="E56">
        <v>330</v>
      </c>
      <c r="F56">
        <v>75</v>
      </c>
      <c r="G56">
        <v>3</v>
      </c>
    </row>
    <row r="57" spans="1:7" x14ac:dyDescent="0.25">
      <c r="A57" t="s">
        <v>2078</v>
      </c>
      <c r="B57" t="s">
        <v>508</v>
      </c>
      <c r="C57" t="s">
        <v>43</v>
      </c>
      <c r="D57">
        <v>750</v>
      </c>
      <c r="E57">
        <v>350</v>
      </c>
      <c r="F57">
        <v>75</v>
      </c>
      <c r="G57">
        <v>8</v>
      </c>
    </row>
    <row r="58" spans="1:7" x14ac:dyDescent="0.25">
      <c r="A58" t="s">
        <v>2078</v>
      </c>
      <c r="B58" t="s">
        <v>509</v>
      </c>
      <c r="C58" t="s">
        <v>44</v>
      </c>
      <c r="D58">
        <v>770</v>
      </c>
      <c r="E58">
        <v>380</v>
      </c>
      <c r="F58">
        <v>85</v>
      </c>
      <c r="G58">
        <v>9</v>
      </c>
    </row>
    <row r="59" spans="1:7" x14ac:dyDescent="0.25">
      <c r="A59" t="s">
        <v>2078</v>
      </c>
      <c r="B59" t="s">
        <v>510</v>
      </c>
      <c r="C59" t="s">
        <v>45</v>
      </c>
      <c r="D59">
        <v>840</v>
      </c>
      <c r="E59">
        <v>450</v>
      </c>
      <c r="F59">
        <v>85</v>
      </c>
      <c r="G59">
        <v>9</v>
      </c>
    </row>
    <row r="60" spans="1:7" x14ac:dyDescent="0.25">
      <c r="A60" t="s">
        <v>2078</v>
      </c>
      <c r="B60" t="s">
        <v>511</v>
      </c>
      <c r="C60" t="s">
        <v>46</v>
      </c>
      <c r="D60">
        <v>965</v>
      </c>
      <c r="E60">
        <v>520</v>
      </c>
      <c r="F60">
        <v>90</v>
      </c>
      <c r="G60">
        <v>10</v>
      </c>
    </row>
    <row r="61" spans="1:7" x14ac:dyDescent="0.25">
      <c r="A61" t="s">
        <v>2078</v>
      </c>
      <c r="B61" t="s">
        <v>512</v>
      </c>
      <c r="C61" t="s">
        <v>47</v>
      </c>
      <c r="D61">
        <v>1025</v>
      </c>
      <c r="E61">
        <v>570</v>
      </c>
      <c r="F61">
        <v>90</v>
      </c>
      <c r="G61">
        <v>10</v>
      </c>
    </row>
    <row r="62" spans="1:7" x14ac:dyDescent="0.25">
      <c r="A62" t="s">
        <v>2078</v>
      </c>
      <c r="B62" t="s">
        <v>513</v>
      </c>
      <c r="C62" t="s">
        <v>48</v>
      </c>
      <c r="D62">
        <v>1100</v>
      </c>
      <c r="E62">
        <v>650</v>
      </c>
      <c r="F62">
        <v>100</v>
      </c>
      <c r="G62">
        <v>10</v>
      </c>
    </row>
    <row r="63" spans="1:7" x14ac:dyDescent="0.25">
      <c r="A63" t="s">
        <v>2078</v>
      </c>
      <c r="B63" t="s">
        <v>514</v>
      </c>
      <c r="C63" t="s">
        <v>49</v>
      </c>
      <c r="D63">
        <v>1130</v>
      </c>
      <c r="E63">
        <v>695</v>
      </c>
      <c r="F63">
        <v>100</v>
      </c>
      <c r="G63">
        <v>10</v>
      </c>
    </row>
    <row r="64" spans="1:7" x14ac:dyDescent="0.25">
      <c r="A64" t="s">
        <v>2078</v>
      </c>
      <c r="B64" t="s">
        <v>515</v>
      </c>
      <c r="C64" t="s">
        <v>50</v>
      </c>
      <c r="D64">
        <v>1150</v>
      </c>
      <c r="E64">
        <v>720</v>
      </c>
      <c r="F64">
        <v>105</v>
      </c>
      <c r="G64">
        <v>10</v>
      </c>
    </row>
    <row r="65" spans="1:7" x14ac:dyDescent="0.25">
      <c r="A65" t="s">
        <v>2078</v>
      </c>
      <c r="B65" t="s">
        <v>516</v>
      </c>
      <c r="C65" t="s">
        <v>121</v>
      </c>
      <c r="D65">
        <v>1170</v>
      </c>
      <c r="E65">
        <v>805</v>
      </c>
      <c r="F65">
        <v>110</v>
      </c>
      <c r="G65">
        <v>10</v>
      </c>
    </row>
    <row r="66" spans="1:7" x14ac:dyDescent="0.25">
      <c r="A66" t="s">
        <v>2078</v>
      </c>
      <c r="B66" t="s">
        <v>517</v>
      </c>
      <c r="C66" t="s">
        <v>51</v>
      </c>
      <c r="D66">
        <v>1600</v>
      </c>
      <c r="E66">
        <v>940</v>
      </c>
      <c r="F66">
        <v>120</v>
      </c>
      <c r="G66">
        <v>11</v>
      </c>
    </row>
    <row r="67" spans="1:7" x14ac:dyDescent="0.25">
      <c r="A67" t="s">
        <v>2078</v>
      </c>
      <c r="B67" t="s">
        <v>518</v>
      </c>
      <c r="C67" t="s">
        <v>52</v>
      </c>
      <c r="D67">
        <v>1600</v>
      </c>
      <c r="E67">
        <v>1040</v>
      </c>
      <c r="F67">
        <v>125</v>
      </c>
      <c r="G67">
        <v>11</v>
      </c>
    </row>
    <row r="68" spans="1:7" x14ac:dyDescent="0.25">
      <c r="A68" t="s">
        <v>2078</v>
      </c>
      <c r="B68" t="s">
        <v>519</v>
      </c>
      <c r="C68" t="s">
        <v>53</v>
      </c>
      <c r="D68">
        <v>400</v>
      </c>
      <c r="E68">
        <v>200</v>
      </c>
      <c r="F68">
        <v>40</v>
      </c>
      <c r="G68">
        <v>5</v>
      </c>
    </row>
    <row r="69" spans="1:7" x14ac:dyDescent="0.25">
      <c r="A69" t="s">
        <v>2078</v>
      </c>
      <c r="B69" t="s">
        <v>520</v>
      </c>
      <c r="C69" t="s">
        <v>54</v>
      </c>
      <c r="D69">
        <v>480</v>
      </c>
      <c r="E69">
        <v>280</v>
      </c>
      <c r="F69">
        <v>50</v>
      </c>
      <c r="G69">
        <v>6</v>
      </c>
    </row>
    <row r="70" spans="1:7" x14ac:dyDescent="0.25">
      <c r="A70" t="s">
        <v>2078</v>
      </c>
      <c r="B70" t="s">
        <v>521</v>
      </c>
      <c r="C70" t="s">
        <v>55</v>
      </c>
      <c r="D70">
        <v>765</v>
      </c>
      <c r="E70">
        <v>380</v>
      </c>
      <c r="F70">
        <v>60</v>
      </c>
      <c r="G70">
        <v>8</v>
      </c>
    </row>
    <row r="71" spans="1:7" x14ac:dyDescent="0.25">
      <c r="A71" t="s">
        <v>2078</v>
      </c>
      <c r="B71" t="s">
        <v>522</v>
      </c>
      <c r="C71" t="s">
        <v>56</v>
      </c>
      <c r="D71">
        <v>770</v>
      </c>
      <c r="E71">
        <v>440</v>
      </c>
      <c r="F71">
        <v>65</v>
      </c>
      <c r="G71">
        <v>12</v>
      </c>
    </row>
    <row r="72" spans="1:7" x14ac:dyDescent="0.25">
      <c r="A72" t="s">
        <v>2078</v>
      </c>
      <c r="B72" t="s">
        <v>523</v>
      </c>
      <c r="C72" t="s">
        <v>57</v>
      </c>
      <c r="D72">
        <v>840</v>
      </c>
      <c r="E72">
        <v>440</v>
      </c>
      <c r="F72">
        <v>70</v>
      </c>
      <c r="G72">
        <v>12</v>
      </c>
    </row>
    <row r="73" spans="1:7" x14ac:dyDescent="0.25">
      <c r="A73" t="s">
        <v>2078</v>
      </c>
      <c r="B73" t="s">
        <v>524</v>
      </c>
      <c r="C73" t="s">
        <v>58</v>
      </c>
      <c r="D73">
        <v>950</v>
      </c>
      <c r="E73">
        <v>500</v>
      </c>
      <c r="F73">
        <v>80</v>
      </c>
      <c r="G73">
        <v>12</v>
      </c>
    </row>
    <row r="74" spans="1:7" x14ac:dyDescent="0.25">
      <c r="A74" t="s">
        <v>2078</v>
      </c>
      <c r="B74" t="s">
        <v>525</v>
      </c>
      <c r="C74" t="s">
        <v>59</v>
      </c>
      <c r="D74">
        <v>975</v>
      </c>
      <c r="E74">
        <v>600</v>
      </c>
      <c r="F74">
        <v>85</v>
      </c>
      <c r="G74">
        <v>12</v>
      </c>
    </row>
    <row r="75" spans="1:7" x14ac:dyDescent="0.25">
      <c r="A75" t="s">
        <v>2078</v>
      </c>
      <c r="B75" t="s">
        <v>526</v>
      </c>
      <c r="C75" t="s">
        <v>60</v>
      </c>
      <c r="D75">
        <v>1125</v>
      </c>
      <c r="E75">
        <v>640</v>
      </c>
      <c r="F75">
        <v>95</v>
      </c>
      <c r="G75">
        <v>14</v>
      </c>
    </row>
    <row r="76" spans="1:7" x14ac:dyDescent="0.25">
      <c r="A76" t="s">
        <v>2078</v>
      </c>
      <c r="B76" t="s">
        <v>527</v>
      </c>
      <c r="C76" t="s">
        <v>61</v>
      </c>
      <c r="D76">
        <v>1125</v>
      </c>
      <c r="E76">
        <v>790</v>
      </c>
      <c r="F76">
        <v>105</v>
      </c>
      <c r="G76">
        <v>15</v>
      </c>
    </row>
    <row r="77" spans="1:7" x14ac:dyDescent="0.25">
      <c r="A77" t="s">
        <v>2078</v>
      </c>
      <c r="B77" t="s">
        <v>528</v>
      </c>
      <c r="C77" t="s">
        <v>62</v>
      </c>
      <c r="D77">
        <v>1400</v>
      </c>
      <c r="E77">
        <v>870</v>
      </c>
      <c r="F77">
        <v>105</v>
      </c>
      <c r="G77">
        <v>20</v>
      </c>
    </row>
    <row r="78" spans="1:7" x14ac:dyDescent="0.25">
      <c r="A78" t="s">
        <v>2078</v>
      </c>
      <c r="B78" t="s">
        <v>529</v>
      </c>
      <c r="C78" t="s">
        <v>63</v>
      </c>
      <c r="D78">
        <v>1425</v>
      </c>
      <c r="E78">
        <v>1140</v>
      </c>
      <c r="F78">
        <v>115</v>
      </c>
      <c r="G78">
        <v>20</v>
      </c>
    </row>
    <row r="79" spans="1:7" x14ac:dyDescent="0.25">
      <c r="A79" t="s">
        <v>2078</v>
      </c>
      <c r="B79" t="s">
        <v>530</v>
      </c>
      <c r="C79" t="s">
        <v>64</v>
      </c>
      <c r="D79">
        <v>1450</v>
      </c>
      <c r="E79">
        <v>1160</v>
      </c>
      <c r="F79">
        <v>120</v>
      </c>
      <c r="G79">
        <v>20</v>
      </c>
    </row>
    <row r="80" spans="1:7" x14ac:dyDescent="0.25">
      <c r="A80" t="s">
        <v>2078</v>
      </c>
      <c r="B80" t="s">
        <v>531</v>
      </c>
      <c r="C80" t="s">
        <v>65</v>
      </c>
      <c r="D80">
        <v>1475</v>
      </c>
      <c r="E80">
        <v>1250</v>
      </c>
      <c r="F80">
        <v>125</v>
      </c>
      <c r="G80">
        <v>22</v>
      </c>
    </row>
    <row r="81" spans="1:7" x14ac:dyDescent="0.25">
      <c r="A81" t="s">
        <v>2078</v>
      </c>
      <c r="B81" t="s">
        <v>532</v>
      </c>
      <c r="C81" t="s">
        <v>66</v>
      </c>
      <c r="D81">
        <v>1650</v>
      </c>
      <c r="E81">
        <v>1130</v>
      </c>
      <c r="F81">
        <v>120</v>
      </c>
      <c r="G81">
        <v>18</v>
      </c>
    </row>
    <row r="82" spans="1:7" x14ac:dyDescent="0.25">
      <c r="A82" t="s">
        <v>2078</v>
      </c>
      <c r="B82" t="s">
        <v>533</v>
      </c>
      <c r="C82" t="s">
        <v>67</v>
      </c>
      <c r="D82">
        <v>1675</v>
      </c>
      <c r="E82">
        <v>1420</v>
      </c>
      <c r="F82">
        <v>130</v>
      </c>
      <c r="G82">
        <v>19</v>
      </c>
    </row>
    <row r="83" spans="1:7" x14ac:dyDescent="0.25">
      <c r="A83" t="s">
        <v>2078</v>
      </c>
      <c r="B83" t="s">
        <v>534</v>
      </c>
      <c r="C83" t="s">
        <v>68</v>
      </c>
      <c r="D83">
        <v>1700</v>
      </c>
      <c r="E83">
        <v>1610</v>
      </c>
      <c r="F83">
        <v>135</v>
      </c>
      <c r="G83">
        <v>22</v>
      </c>
    </row>
    <row r="84" spans="1:7" x14ac:dyDescent="0.25">
      <c r="A84" t="s">
        <v>2078</v>
      </c>
      <c r="B84" t="s">
        <v>535</v>
      </c>
      <c r="C84" t="s">
        <v>69</v>
      </c>
      <c r="D84">
        <v>1725</v>
      </c>
      <c r="E84">
        <v>1810</v>
      </c>
      <c r="F84">
        <v>150</v>
      </c>
      <c r="G84">
        <v>13</v>
      </c>
    </row>
    <row r="85" spans="1:7" x14ac:dyDescent="0.25">
      <c r="A85" t="s">
        <v>2078</v>
      </c>
      <c r="B85" t="s">
        <v>536</v>
      </c>
      <c r="C85" t="s">
        <v>197</v>
      </c>
      <c r="D85">
        <v>410</v>
      </c>
      <c r="E85">
        <v>260</v>
      </c>
      <c r="F85">
        <v>40</v>
      </c>
      <c r="G85">
        <v>5</v>
      </c>
    </row>
    <row r="86" spans="1:7" x14ac:dyDescent="0.25">
      <c r="A86" t="s">
        <v>2078</v>
      </c>
      <c r="B86" t="s">
        <v>537</v>
      </c>
      <c r="C86" t="s">
        <v>77</v>
      </c>
      <c r="D86">
        <v>480</v>
      </c>
      <c r="E86">
        <v>330</v>
      </c>
      <c r="F86">
        <v>51</v>
      </c>
      <c r="G86">
        <v>9</v>
      </c>
    </row>
    <row r="87" spans="1:7" x14ac:dyDescent="0.25">
      <c r="A87" t="s">
        <v>2078</v>
      </c>
      <c r="B87" t="s">
        <v>538</v>
      </c>
      <c r="C87" t="s">
        <v>76</v>
      </c>
      <c r="D87">
        <v>990</v>
      </c>
      <c r="E87">
        <v>720</v>
      </c>
      <c r="F87">
        <v>90</v>
      </c>
      <c r="G87">
        <v>12</v>
      </c>
    </row>
    <row r="88" spans="1:7" x14ac:dyDescent="0.25">
      <c r="A88" t="s">
        <v>2078</v>
      </c>
      <c r="B88" t="s">
        <v>539</v>
      </c>
      <c r="C88" t="s">
        <v>78</v>
      </c>
      <c r="D88">
        <v>1130</v>
      </c>
      <c r="E88">
        <v>810</v>
      </c>
      <c r="F88">
        <v>100</v>
      </c>
      <c r="G88">
        <v>15</v>
      </c>
    </row>
    <row r="89" spans="1:7" x14ac:dyDescent="0.25">
      <c r="A89" t="s">
        <v>2078</v>
      </c>
      <c r="B89" t="s">
        <v>540</v>
      </c>
      <c r="C89" t="s">
        <v>70</v>
      </c>
      <c r="D89">
        <v>2420</v>
      </c>
      <c r="E89">
        <v>2538</v>
      </c>
      <c r="F89">
        <v>121</v>
      </c>
      <c r="G89">
        <v>17</v>
      </c>
    </row>
    <row r="90" spans="1:7" x14ac:dyDescent="0.25">
      <c r="A90" t="s">
        <v>2078</v>
      </c>
      <c r="B90" t="s">
        <v>541</v>
      </c>
      <c r="C90" t="s">
        <v>71</v>
      </c>
      <c r="D90">
        <v>2160</v>
      </c>
      <c r="E90">
        <v>2154</v>
      </c>
      <c r="F90">
        <v>96</v>
      </c>
      <c r="G90">
        <v>36</v>
      </c>
    </row>
    <row r="91" spans="1:7" x14ac:dyDescent="0.25">
      <c r="A91" t="s">
        <v>2078</v>
      </c>
      <c r="B91" t="s">
        <v>542</v>
      </c>
      <c r="C91" t="s">
        <v>72</v>
      </c>
      <c r="D91">
        <v>2340</v>
      </c>
      <c r="E91">
        <v>2414</v>
      </c>
      <c r="F91">
        <v>108</v>
      </c>
      <c r="G91">
        <v>36</v>
      </c>
    </row>
    <row r="92" spans="1:7" x14ac:dyDescent="0.25">
      <c r="A92" t="s">
        <v>2078</v>
      </c>
      <c r="B92" t="s">
        <v>543</v>
      </c>
      <c r="C92" t="s">
        <v>73</v>
      </c>
      <c r="D92">
        <v>2767</v>
      </c>
      <c r="E92">
        <v>3450</v>
      </c>
      <c r="F92">
        <v>123</v>
      </c>
      <c r="G92">
        <v>37</v>
      </c>
    </row>
    <row r="93" spans="1:7" x14ac:dyDescent="0.25">
      <c r="A93" t="s">
        <v>2078</v>
      </c>
      <c r="B93" t="s">
        <v>544</v>
      </c>
      <c r="C93" t="s">
        <v>304</v>
      </c>
      <c r="D93">
        <v>3300</v>
      </c>
      <c r="E93">
        <v>4000</v>
      </c>
      <c r="F93">
        <v>144</v>
      </c>
      <c r="G93">
        <v>36</v>
      </c>
    </row>
    <row r="94" spans="1:7" x14ac:dyDescent="0.25">
      <c r="A94" t="s">
        <v>2078</v>
      </c>
      <c r="B94" t="s">
        <v>545</v>
      </c>
      <c r="C94" t="s">
        <v>306</v>
      </c>
      <c r="D94">
        <v>3480</v>
      </c>
      <c r="E94">
        <v>4154</v>
      </c>
      <c r="F94">
        <v>132</v>
      </c>
      <c r="G94">
        <v>36</v>
      </c>
    </row>
    <row r="95" spans="1:7" x14ac:dyDescent="0.25">
      <c r="A95" t="s">
        <v>2079</v>
      </c>
      <c r="B95" t="s">
        <v>546</v>
      </c>
      <c r="C95" t="s">
        <v>106</v>
      </c>
      <c r="D95">
        <v>155</v>
      </c>
      <c r="E95">
        <v>50</v>
      </c>
      <c r="F95">
        <v>2</v>
      </c>
      <c r="G95">
        <v>1</v>
      </c>
    </row>
    <row r="96" spans="1:7" x14ac:dyDescent="0.25">
      <c r="A96" t="s">
        <v>2079</v>
      </c>
      <c r="B96" t="s">
        <v>547</v>
      </c>
      <c r="C96">
        <v>18</v>
      </c>
      <c r="D96">
        <v>160</v>
      </c>
      <c r="E96">
        <v>80</v>
      </c>
      <c r="F96">
        <v>3</v>
      </c>
      <c r="G96">
        <v>1</v>
      </c>
    </row>
    <row r="97" spans="1:7" x14ac:dyDescent="0.25">
      <c r="A97" t="s">
        <v>2079</v>
      </c>
      <c r="B97" t="s">
        <v>548</v>
      </c>
      <c r="C97" t="s">
        <v>37</v>
      </c>
      <c r="D97">
        <v>210</v>
      </c>
      <c r="E97">
        <v>108</v>
      </c>
      <c r="F97">
        <v>4</v>
      </c>
      <c r="G97">
        <v>2</v>
      </c>
    </row>
    <row r="98" spans="1:7" x14ac:dyDescent="0.25">
      <c r="A98" t="s">
        <v>2079</v>
      </c>
      <c r="B98" t="s">
        <v>549</v>
      </c>
      <c r="C98" t="s">
        <v>38</v>
      </c>
      <c r="D98">
        <v>235</v>
      </c>
      <c r="E98">
        <v>108</v>
      </c>
      <c r="F98">
        <v>5</v>
      </c>
      <c r="G98">
        <v>2</v>
      </c>
    </row>
    <row r="99" spans="1:7" x14ac:dyDescent="0.25">
      <c r="A99" t="s">
        <v>2079</v>
      </c>
      <c r="B99" t="s">
        <v>550</v>
      </c>
      <c r="C99" t="s">
        <v>39</v>
      </c>
      <c r="D99">
        <v>323</v>
      </c>
      <c r="E99">
        <v>175</v>
      </c>
      <c r="F99">
        <v>6</v>
      </c>
      <c r="G99">
        <v>2</v>
      </c>
    </row>
    <row r="100" spans="1:7" x14ac:dyDescent="0.25">
      <c r="A100" t="s">
        <v>2079</v>
      </c>
      <c r="B100" t="s">
        <v>551</v>
      </c>
      <c r="C100" t="s">
        <v>40</v>
      </c>
      <c r="D100">
        <v>325</v>
      </c>
      <c r="E100">
        <v>210</v>
      </c>
      <c r="F100">
        <v>6</v>
      </c>
      <c r="G100">
        <v>2</v>
      </c>
    </row>
    <row r="101" spans="1:7" x14ac:dyDescent="0.25">
      <c r="A101" t="s">
        <v>2079</v>
      </c>
      <c r="B101" t="s">
        <v>552</v>
      </c>
      <c r="C101" t="s">
        <v>41</v>
      </c>
      <c r="D101">
        <v>400</v>
      </c>
      <c r="E101">
        <v>232</v>
      </c>
      <c r="F101">
        <v>6</v>
      </c>
      <c r="G101">
        <v>2</v>
      </c>
    </row>
    <row r="102" spans="1:7" x14ac:dyDescent="0.25">
      <c r="A102" t="s">
        <v>2079</v>
      </c>
      <c r="B102" t="s">
        <v>553</v>
      </c>
      <c r="C102" t="s">
        <v>42</v>
      </c>
      <c r="D102">
        <v>415</v>
      </c>
      <c r="E102">
        <v>274</v>
      </c>
      <c r="F102">
        <v>6</v>
      </c>
      <c r="G102">
        <v>1</v>
      </c>
    </row>
    <row r="103" spans="1:7" x14ac:dyDescent="0.25">
      <c r="A103" t="s">
        <v>2079</v>
      </c>
      <c r="B103" t="s">
        <v>554</v>
      </c>
      <c r="C103" t="s">
        <v>43</v>
      </c>
      <c r="D103">
        <v>500</v>
      </c>
      <c r="E103">
        <v>250</v>
      </c>
      <c r="F103">
        <v>5</v>
      </c>
      <c r="G103">
        <v>1</v>
      </c>
    </row>
    <row r="104" spans="1:7" x14ac:dyDescent="0.25">
      <c r="A104" t="s">
        <v>2079</v>
      </c>
      <c r="B104" t="s">
        <v>555</v>
      </c>
      <c r="C104" t="s">
        <v>44</v>
      </c>
      <c r="D104">
        <v>550</v>
      </c>
      <c r="E104">
        <v>315</v>
      </c>
      <c r="F104">
        <v>6</v>
      </c>
      <c r="G104">
        <v>2</v>
      </c>
    </row>
    <row r="105" spans="1:7" x14ac:dyDescent="0.25">
      <c r="A105" t="s">
        <v>2079</v>
      </c>
      <c r="B105" t="s">
        <v>556</v>
      </c>
      <c r="C105" t="s">
        <v>45</v>
      </c>
      <c r="D105">
        <v>600</v>
      </c>
      <c r="E105">
        <v>371</v>
      </c>
      <c r="F105">
        <v>7</v>
      </c>
      <c r="G105">
        <v>3</v>
      </c>
    </row>
    <row r="106" spans="1:7" x14ac:dyDescent="0.25">
      <c r="A106" t="s">
        <v>2079</v>
      </c>
      <c r="B106" t="s">
        <v>557</v>
      </c>
      <c r="C106" t="s">
        <v>46</v>
      </c>
      <c r="D106">
        <v>610</v>
      </c>
      <c r="E106">
        <v>390</v>
      </c>
      <c r="F106">
        <v>7</v>
      </c>
      <c r="G106">
        <v>3</v>
      </c>
    </row>
    <row r="107" spans="1:7" x14ac:dyDescent="0.25">
      <c r="A107" t="s">
        <v>2079</v>
      </c>
      <c r="B107" t="s">
        <v>558</v>
      </c>
      <c r="C107" t="s">
        <v>47</v>
      </c>
      <c r="D107">
        <v>650</v>
      </c>
      <c r="E107">
        <v>450</v>
      </c>
      <c r="F107">
        <v>7</v>
      </c>
      <c r="G107">
        <v>3</v>
      </c>
    </row>
    <row r="108" spans="1:7" x14ac:dyDescent="0.25">
      <c r="A108" t="s">
        <v>2079</v>
      </c>
      <c r="B108" t="s">
        <v>559</v>
      </c>
      <c r="C108" t="s">
        <v>48</v>
      </c>
      <c r="D108">
        <v>703</v>
      </c>
      <c r="E108">
        <v>490</v>
      </c>
      <c r="F108">
        <v>7</v>
      </c>
      <c r="G108">
        <v>3</v>
      </c>
    </row>
    <row r="109" spans="1:7" x14ac:dyDescent="0.25">
      <c r="A109" t="s">
        <v>2079</v>
      </c>
      <c r="B109" t="s">
        <v>560</v>
      </c>
      <c r="C109" t="s">
        <v>49</v>
      </c>
      <c r="D109">
        <v>760</v>
      </c>
      <c r="E109">
        <v>560</v>
      </c>
      <c r="F109">
        <v>6</v>
      </c>
      <c r="G109">
        <v>2</v>
      </c>
    </row>
    <row r="110" spans="1:7" x14ac:dyDescent="0.25">
      <c r="A110" t="s">
        <v>2079</v>
      </c>
      <c r="B110" t="s">
        <v>561</v>
      </c>
      <c r="C110" t="s">
        <v>50</v>
      </c>
      <c r="D110">
        <v>770</v>
      </c>
      <c r="E110">
        <v>570</v>
      </c>
      <c r="F110">
        <v>7</v>
      </c>
      <c r="G110">
        <v>3</v>
      </c>
    </row>
    <row r="111" spans="1:7" x14ac:dyDescent="0.25">
      <c r="A111" t="s">
        <v>2079</v>
      </c>
      <c r="B111" t="s">
        <v>562</v>
      </c>
      <c r="C111" t="s">
        <v>121</v>
      </c>
      <c r="D111">
        <v>855</v>
      </c>
      <c r="E111">
        <v>657</v>
      </c>
      <c r="F111">
        <v>11</v>
      </c>
      <c r="G111">
        <v>5</v>
      </c>
    </row>
    <row r="112" spans="1:7" x14ac:dyDescent="0.25">
      <c r="A112" t="s">
        <v>2079</v>
      </c>
      <c r="B112" t="s">
        <v>563</v>
      </c>
      <c r="C112" t="s">
        <v>51</v>
      </c>
      <c r="D112">
        <v>940</v>
      </c>
      <c r="E112">
        <v>774</v>
      </c>
      <c r="F112">
        <v>17</v>
      </c>
      <c r="G112">
        <v>7</v>
      </c>
    </row>
    <row r="113" spans="1:7" x14ac:dyDescent="0.25">
      <c r="A113" t="s">
        <v>2079</v>
      </c>
      <c r="B113" t="s">
        <v>564</v>
      </c>
      <c r="C113" t="s">
        <v>52</v>
      </c>
      <c r="D113">
        <v>940</v>
      </c>
      <c r="E113">
        <v>846</v>
      </c>
      <c r="F113">
        <v>15</v>
      </c>
      <c r="G113">
        <v>5</v>
      </c>
    </row>
    <row r="114" spans="1:7" x14ac:dyDescent="0.25">
      <c r="A114" t="s">
        <v>2079</v>
      </c>
      <c r="B114" t="s">
        <v>565</v>
      </c>
      <c r="C114" t="s">
        <v>53</v>
      </c>
      <c r="D114">
        <v>239</v>
      </c>
      <c r="E114">
        <v>135</v>
      </c>
      <c r="F114">
        <v>4</v>
      </c>
      <c r="G114">
        <v>2</v>
      </c>
    </row>
    <row r="115" spans="1:7" x14ac:dyDescent="0.25">
      <c r="A115" t="s">
        <v>2079</v>
      </c>
      <c r="B115" t="s">
        <v>566</v>
      </c>
      <c r="C115" t="s">
        <v>54</v>
      </c>
      <c r="D115">
        <v>337</v>
      </c>
      <c r="E115">
        <v>229</v>
      </c>
      <c r="F115">
        <v>6</v>
      </c>
      <c r="G115">
        <v>3</v>
      </c>
    </row>
    <row r="116" spans="1:7" x14ac:dyDescent="0.25">
      <c r="A116" t="s">
        <v>2079</v>
      </c>
      <c r="B116" t="s">
        <v>567</v>
      </c>
      <c r="C116" t="s">
        <v>55</v>
      </c>
      <c r="D116">
        <v>415</v>
      </c>
      <c r="E116">
        <v>315</v>
      </c>
      <c r="F116">
        <v>7</v>
      </c>
      <c r="G116">
        <v>3</v>
      </c>
    </row>
    <row r="117" spans="1:7" x14ac:dyDescent="0.25">
      <c r="A117" t="s">
        <v>2079</v>
      </c>
      <c r="B117" t="s">
        <v>568</v>
      </c>
      <c r="C117" t="s">
        <v>56</v>
      </c>
      <c r="D117">
        <v>430</v>
      </c>
      <c r="E117">
        <v>360</v>
      </c>
      <c r="F117">
        <v>7</v>
      </c>
      <c r="G117">
        <v>3</v>
      </c>
    </row>
    <row r="118" spans="1:7" x14ac:dyDescent="0.25">
      <c r="A118" t="s">
        <v>2079</v>
      </c>
      <c r="B118" t="s">
        <v>569</v>
      </c>
      <c r="C118" t="s">
        <v>57</v>
      </c>
      <c r="D118">
        <v>465</v>
      </c>
      <c r="E118">
        <v>361</v>
      </c>
      <c r="F118">
        <v>8</v>
      </c>
      <c r="G118">
        <v>4</v>
      </c>
    </row>
    <row r="119" spans="1:7" x14ac:dyDescent="0.25">
      <c r="A119" t="s">
        <v>2079</v>
      </c>
      <c r="B119" t="s">
        <v>570</v>
      </c>
      <c r="C119" t="s">
        <v>58</v>
      </c>
      <c r="D119">
        <v>465</v>
      </c>
      <c r="E119">
        <v>413</v>
      </c>
      <c r="F119">
        <v>8</v>
      </c>
      <c r="G119">
        <v>4</v>
      </c>
    </row>
    <row r="120" spans="1:7" x14ac:dyDescent="0.25">
      <c r="A120" t="s">
        <v>2079</v>
      </c>
      <c r="B120" t="s">
        <v>571</v>
      </c>
      <c r="C120" t="s">
        <v>59</v>
      </c>
      <c r="D120">
        <v>620</v>
      </c>
      <c r="E120">
        <v>380</v>
      </c>
      <c r="F120">
        <v>7</v>
      </c>
      <c r="G120">
        <v>3</v>
      </c>
    </row>
    <row r="121" spans="1:7" x14ac:dyDescent="0.25">
      <c r="A121" t="s">
        <v>2079</v>
      </c>
      <c r="B121" t="s">
        <v>572</v>
      </c>
      <c r="C121" t="s">
        <v>60</v>
      </c>
      <c r="D121">
        <v>600</v>
      </c>
      <c r="E121">
        <v>370</v>
      </c>
      <c r="F121">
        <v>7</v>
      </c>
      <c r="G121">
        <v>3</v>
      </c>
    </row>
    <row r="122" spans="1:7" x14ac:dyDescent="0.25">
      <c r="A122" t="s">
        <v>2079</v>
      </c>
      <c r="B122" t="s">
        <v>573</v>
      </c>
      <c r="C122" t="s">
        <v>61</v>
      </c>
      <c r="D122">
        <v>680</v>
      </c>
      <c r="E122">
        <v>450</v>
      </c>
      <c r="F122">
        <v>8</v>
      </c>
      <c r="G122">
        <v>4</v>
      </c>
    </row>
    <row r="123" spans="1:7" x14ac:dyDescent="0.25">
      <c r="A123" t="s">
        <v>2079</v>
      </c>
      <c r="B123" t="s">
        <v>574</v>
      </c>
      <c r="C123" t="s">
        <v>62</v>
      </c>
      <c r="D123">
        <v>720</v>
      </c>
      <c r="E123">
        <v>520</v>
      </c>
      <c r="F123">
        <v>18</v>
      </c>
      <c r="G123">
        <v>10</v>
      </c>
    </row>
    <row r="124" spans="1:7" x14ac:dyDescent="0.25">
      <c r="A124" t="s">
        <v>2079</v>
      </c>
      <c r="B124" t="s">
        <v>575</v>
      </c>
      <c r="C124" t="s">
        <v>63</v>
      </c>
      <c r="D124">
        <v>750</v>
      </c>
      <c r="E124">
        <v>590</v>
      </c>
      <c r="F124">
        <v>18</v>
      </c>
      <c r="G124">
        <v>10</v>
      </c>
    </row>
    <row r="125" spans="1:7" x14ac:dyDescent="0.25">
      <c r="A125" t="s">
        <v>2079</v>
      </c>
      <c r="B125" t="s">
        <v>576</v>
      </c>
      <c r="C125" t="s">
        <v>64</v>
      </c>
      <c r="D125">
        <v>800</v>
      </c>
      <c r="E125">
        <v>570</v>
      </c>
      <c r="F125">
        <v>18</v>
      </c>
      <c r="G125">
        <v>10</v>
      </c>
    </row>
    <row r="126" spans="1:7" x14ac:dyDescent="0.25">
      <c r="A126" t="s">
        <v>2079</v>
      </c>
      <c r="B126" t="s">
        <v>577</v>
      </c>
      <c r="C126" t="s">
        <v>65</v>
      </c>
      <c r="D126">
        <v>860</v>
      </c>
      <c r="E126">
        <v>650</v>
      </c>
      <c r="F126">
        <v>21</v>
      </c>
      <c r="G126">
        <v>11</v>
      </c>
    </row>
    <row r="127" spans="1:7" x14ac:dyDescent="0.25">
      <c r="A127" t="s">
        <v>2079</v>
      </c>
      <c r="B127" t="s">
        <v>578</v>
      </c>
      <c r="C127" t="s">
        <v>66</v>
      </c>
      <c r="D127">
        <v>928</v>
      </c>
      <c r="E127">
        <v>800</v>
      </c>
      <c r="F127">
        <v>22</v>
      </c>
      <c r="G127">
        <v>10</v>
      </c>
    </row>
    <row r="128" spans="1:7" x14ac:dyDescent="0.25">
      <c r="A128" t="s">
        <v>2079</v>
      </c>
      <c r="B128" t="s">
        <v>579</v>
      </c>
      <c r="C128" t="s">
        <v>67</v>
      </c>
      <c r="D128">
        <v>938</v>
      </c>
      <c r="E128">
        <v>850</v>
      </c>
      <c r="F128">
        <v>20</v>
      </c>
      <c r="G128">
        <v>12</v>
      </c>
    </row>
    <row r="129" spans="1:7" x14ac:dyDescent="0.25">
      <c r="A129" t="s">
        <v>2079</v>
      </c>
      <c r="B129" t="s">
        <v>580</v>
      </c>
      <c r="C129" t="s">
        <v>68</v>
      </c>
      <c r="D129">
        <v>946</v>
      </c>
      <c r="E129">
        <v>900</v>
      </c>
      <c r="F129">
        <v>25</v>
      </c>
      <c r="G129">
        <v>8</v>
      </c>
    </row>
    <row r="130" spans="1:7" x14ac:dyDescent="0.25">
      <c r="A130" t="s">
        <v>2079</v>
      </c>
      <c r="B130" t="s">
        <v>581</v>
      </c>
      <c r="C130" t="s">
        <v>69</v>
      </c>
      <c r="D130">
        <v>950</v>
      </c>
      <c r="E130">
        <v>850</v>
      </c>
      <c r="F130">
        <v>25</v>
      </c>
      <c r="G130">
        <v>10</v>
      </c>
    </row>
    <row r="131" spans="1:7" x14ac:dyDescent="0.25">
      <c r="A131" t="s">
        <v>2079</v>
      </c>
      <c r="B131" t="s">
        <v>582</v>
      </c>
      <c r="C131" t="s">
        <v>70</v>
      </c>
      <c r="D131">
        <v>1800</v>
      </c>
      <c r="E131">
        <v>1944</v>
      </c>
      <c r="F131">
        <v>100</v>
      </c>
      <c r="G131">
        <v>20</v>
      </c>
    </row>
    <row r="132" spans="1:7" x14ac:dyDescent="0.25">
      <c r="A132" t="s">
        <v>2079</v>
      </c>
      <c r="B132" t="s">
        <v>583</v>
      </c>
      <c r="C132" t="s">
        <v>71</v>
      </c>
      <c r="D132">
        <v>1885</v>
      </c>
      <c r="E132">
        <v>1485</v>
      </c>
      <c r="F132">
        <v>80</v>
      </c>
      <c r="G132">
        <v>20</v>
      </c>
    </row>
    <row r="133" spans="1:7" x14ac:dyDescent="0.25">
      <c r="A133" t="s">
        <v>2079</v>
      </c>
      <c r="B133" t="s">
        <v>584</v>
      </c>
      <c r="C133" t="s">
        <v>72</v>
      </c>
      <c r="D133">
        <v>1600</v>
      </c>
      <c r="E133">
        <v>1800</v>
      </c>
      <c r="F133">
        <v>50</v>
      </c>
      <c r="G133">
        <v>15</v>
      </c>
    </row>
    <row r="134" spans="1:7" x14ac:dyDescent="0.25">
      <c r="A134" t="s">
        <v>2079</v>
      </c>
      <c r="B134" t="s">
        <v>585</v>
      </c>
      <c r="C134" t="s">
        <v>73</v>
      </c>
      <c r="D134">
        <v>2327</v>
      </c>
      <c r="E134">
        <v>2657</v>
      </c>
      <c r="F134">
        <v>20</v>
      </c>
      <c r="G134">
        <v>10</v>
      </c>
    </row>
    <row r="135" spans="1:7" x14ac:dyDescent="0.25">
      <c r="A135" t="s">
        <v>2079</v>
      </c>
      <c r="B135" t="s">
        <v>586</v>
      </c>
      <c r="C135" t="s">
        <v>304</v>
      </c>
      <c r="D135">
        <v>2600</v>
      </c>
      <c r="E135">
        <v>3159</v>
      </c>
      <c r="F135">
        <v>30</v>
      </c>
      <c r="G135">
        <v>10</v>
      </c>
    </row>
    <row r="136" spans="1:7" x14ac:dyDescent="0.25">
      <c r="A136" t="s">
        <v>2079</v>
      </c>
      <c r="B136" t="s">
        <v>587</v>
      </c>
      <c r="C136" t="s">
        <v>306</v>
      </c>
      <c r="D136">
        <v>2400</v>
      </c>
      <c r="E136">
        <v>3280</v>
      </c>
      <c r="F136">
        <v>100</v>
      </c>
      <c r="G136">
        <v>70</v>
      </c>
    </row>
    <row r="137" spans="1:7" x14ac:dyDescent="0.25">
      <c r="A137" t="s">
        <v>2079</v>
      </c>
      <c r="B137" t="s">
        <v>588</v>
      </c>
      <c r="C137" t="s">
        <v>310</v>
      </c>
      <c r="D137">
        <v>70</v>
      </c>
      <c r="E137">
        <v>33</v>
      </c>
      <c r="F137">
        <v>1</v>
      </c>
      <c r="G137">
        <v>1</v>
      </c>
    </row>
    <row r="138" spans="1:7" x14ac:dyDescent="0.25">
      <c r="A138" t="s">
        <v>2079</v>
      </c>
      <c r="B138" t="s">
        <v>589</v>
      </c>
      <c r="C138" t="s">
        <v>312</v>
      </c>
      <c r="D138">
        <v>140</v>
      </c>
      <c r="E138">
        <v>15</v>
      </c>
      <c r="F138">
        <v>1</v>
      </c>
      <c r="G138">
        <v>1</v>
      </c>
    </row>
    <row r="139" spans="1:7" x14ac:dyDescent="0.25">
      <c r="A139" t="s">
        <v>2079</v>
      </c>
      <c r="B139" t="s">
        <v>590</v>
      </c>
      <c r="C139" t="s">
        <v>314</v>
      </c>
      <c r="D139">
        <v>167</v>
      </c>
      <c r="E139">
        <v>30</v>
      </c>
      <c r="F139">
        <v>3</v>
      </c>
      <c r="G139">
        <v>1</v>
      </c>
    </row>
    <row r="140" spans="1:7" x14ac:dyDescent="0.25">
      <c r="A140" t="s">
        <v>2079</v>
      </c>
      <c r="B140" t="s">
        <v>591</v>
      </c>
      <c r="C140" t="s">
        <v>316</v>
      </c>
      <c r="D140">
        <v>167</v>
      </c>
      <c r="E140">
        <v>35</v>
      </c>
      <c r="F140">
        <v>4</v>
      </c>
      <c r="G140">
        <v>1</v>
      </c>
    </row>
    <row r="141" spans="1:7" x14ac:dyDescent="0.25">
      <c r="A141" t="s">
        <v>2079</v>
      </c>
      <c r="B141" t="s">
        <v>592</v>
      </c>
      <c r="C141" t="s">
        <v>318</v>
      </c>
      <c r="D141">
        <v>180</v>
      </c>
      <c r="E141">
        <v>54</v>
      </c>
      <c r="F141">
        <v>20</v>
      </c>
      <c r="G141">
        <v>1</v>
      </c>
    </row>
    <row r="142" spans="1:7" x14ac:dyDescent="0.25">
      <c r="A142" t="s">
        <v>2079</v>
      </c>
      <c r="B142" t="s">
        <v>593</v>
      </c>
      <c r="C142" t="s">
        <v>320</v>
      </c>
      <c r="D142">
        <v>194</v>
      </c>
      <c r="E142">
        <v>63</v>
      </c>
      <c r="F142">
        <v>49</v>
      </c>
      <c r="G142">
        <v>2</v>
      </c>
    </row>
    <row r="143" spans="1:7" x14ac:dyDescent="0.25">
      <c r="A143" t="s">
        <v>2079</v>
      </c>
      <c r="B143" t="s">
        <v>594</v>
      </c>
      <c r="C143" t="s">
        <v>322</v>
      </c>
      <c r="D143">
        <v>252</v>
      </c>
      <c r="E143">
        <v>75</v>
      </c>
      <c r="F143">
        <v>45</v>
      </c>
      <c r="G143">
        <v>1</v>
      </c>
    </row>
  </sheetData>
  <mergeCells count="1">
    <mergeCell ref="D1:G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8"/>
  <dimension ref="A1:S144"/>
  <sheetViews>
    <sheetView workbookViewId="0">
      <selection activeCell="S12" sqref="S12"/>
    </sheetView>
  </sheetViews>
  <sheetFormatPr defaultRowHeight="15" x14ac:dyDescent="0.25"/>
  <cols>
    <col min="4" max="4" width="11.5703125" customWidth="1"/>
    <col min="5" max="5" width="12.28515625" customWidth="1"/>
    <col min="6" max="6" width="11.5703125" customWidth="1"/>
    <col min="7" max="7" width="11.7109375" customWidth="1"/>
    <col min="8" max="8" width="11.42578125" customWidth="1"/>
    <col min="9" max="9" width="10.85546875" customWidth="1"/>
    <col min="10" max="11" width="11.28515625" customWidth="1"/>
    <col min="12" max="12" width="12.140625" customWidth="1"/>
  </cols>
  <sheetData>
    <row r="1" spans="1:19" ht="78" customHeight="1" x14ac:dyDescent="0.25">
      <c r="A1" s="58"/>
      <c r="B1" s="58" t="s">
        <v>630</v>
      </c>
      <c r="C1" s="58" t="s">
        <v>631</v>
      </c>
      <c r="D1" s="354" t="s">
        <v>1152</v>
      </c>
      <c r="E1" s="355"/>
      <c r="F1" s="352" t="s">
        <v>1153</v>
      </c>
      <c r="G1" s="353"/>
      <c r="H1" s="350" t="s">
        <v>1154</v>
      </c>
      <c r="I1" s="351"/>
      <c r="J1" s="348" t="s">
        <v>1155</v>
      </c>
      <c r="K1" s="349"/>
      <c r="L1" s="356" t="s">
        <v>1156</v>
      </c>
      <c r="M1" s="357"/>
      <c r="N1" s="74"/>
    </row>
    <row r="2" spans="1:19" x14ac:dyDescent="0.25">
      <c r="A2" s="58"/>
      <c r="B2" s="58" t="s">
        <v>632</v>
      </c>
      <c r="C2" s="58" t="s">
        <v>632</v>
      </c>
      <c r="D2" s="62" t="s">
        <v>635</v>
      </c>
      <c r="E2" s="62" t="s">
        <v>636</v>
      </c>
      <c r="F2" s="59" t="s">
        <v>635</v>
      </c>
      <c r="G2" s="59" t="s">
        <v>636</v>
      </c>
      <c r="H2" s="60" t="s">
        <v>635</v>
      </c>
      <c r="I2" s="60" t="s">
        <v>636</v>
      </c>
      <c r="J2" s="61" t="s">
        <v>635</v>
      </c>
      <c r="K2" s="61" t="s">
        <v>636</v>
      </c>
      <c r="L2" s="63" t="s">
        <v>635</v>
      </c>
      <c r="M2" s="63" t="s">
        <v>636</v>
      </c>
      <c r="N2" s="58" t="s">
        <v>14</v>
      </c>
    </row>
    <row r="3" spans="1:19" x14ac:dyDescent="0.25">
      <c r="A3" s="58" t="s">
        <v>2080</v>
      </c>
      <c r="B3" s="58" t="s">
        <v>1157</v>
      </c>
      <c r="C3" s="58" t="s">
        <v>106</v>
      </c>
      <c r="D3" s="62">
        <v>32</v>
      </c>
      <c r="E3" s="62">
        <v>21</v>
      </c>
      <c r="F3" s="59">
        <v>32</v>
      </c>
      <c r="G3" s="59">
        <v>22</v>
      </c>
      <c r="H3" s="60">
        <v>32</v>
      </c>
      <c r="I3" s="60">
        <v>20</v>
      </c>
      <c r="J3" s="61">
        <v>22</v>
      </c>
      <c r="K3" s="61">
        <v>19</v>
      </c>
      <c r="L3" s="63">
        <v>32</v>
      </c>
      <c r="M3" s="63">
        <v>20</v>
      </c>
      <c r="N3" s="58">
        <v>1</v>
      </c>
    </row>
    <row r="4" spans="1:19" x14ac:dyDescent="0.25">
      <c r="A4" s="58" t="s">
        <v>2080</v>
      </c>
      <c r="B4" s="58" t="s">
        <v>1158</v>
      </c>
      <c r="C4" s="58">
        <v>18</v>
      </c>
      <c r="D4" s="62">
        <v>40</v>
      </c>
      <c r="E4" s="62">
        <v>38</v>
      </c>
      <c r="F4" s="59">
        <v>58</v>
      </c>
      <c r="G4" s="59">
        <v>39</v>
      </c>
      <c r="H4" s="60">
        <v>42</v>
      </c>
      <c r="I4" s="60">
        <v>36</v>
      </c>
      <c r="J4" s="61">
        <v>26</v>
      </c>
      <c r="K4" s="61">
        <v>35</v>
      </c>
      <c r="L4" s="63">
        <v>39</v>
      </c>
      <c r="M4" s="63">
        <v>36</v>
      </c>
      <c r="N4" s="58">
        <v>1</v>
      </c>
      <c r="Q4">
        <v>1</v>
      </c>
      <c r="R4">
        <v>3</v>
      </c>
      <c r="S4">
        <v>4</v>
      </c>
    </row>
    <row r="5" spans="1:19" x14ac:dyDescent="0.25">
      <c r="A5" s="58" t="s">
        <v>2080</v>
      </c>
      <c r="B5" s="58" t="s">
        <v>1159</v>
      </c>
      <c r="C5" s="58" t="s">
        <v>37</v>
      </c>
      <c r="D5" s="62">
        <v>58</v>
      </c>
      <c r="E5" s="62">
        <v>43</v>
      </c>
      <c r="F5" s="59">
        <v>74</v>
      </c>
      <c r="G5" s="59">
        <v>44</v>
      </c>
      <c r="H5" s="60">
        <v>62</v>
      </c>
      <c r="I5" s="60">
        <v>41</v>
      </c>
      <c r="J5" s="61">
        <v>37</v>
      </c>
      <c r="K5" s="61">
        <v>40</v>
      </c>
      <c r="L5" s="63">
        <v>57</v>
      </c>
      <c r="M5" s="63">
        <v>41</v>
      </c>
      <c r="N5" s="58">
        <v>1</v>
      </c>
      <c r="Q5">
        <v>2</v>
      </c>
      <c r="R5">
        <v>5</v>
      </c>
      <c r="S5">
        <v>6</v>
      </c>
    </row>
    <row r="6" spans="1:19" x14ac:dyDescent="0.25">
      <c r="A6" s="58" t="s">
        <v>2080</v>
      </c>
      <c r="B6" s="58" t="s">
        <v>1160</v>
      </c>
      <c r="C6" s="58" t="s">
        <v>38</v>
      </c>
      <c r="D6" s="62">
        <v>58</v>
      </c>
      <c r="E6" s="62">
        <v>51</v>
      </c>
      <c r="F6" s="59">
        <v>90</v>
      </c>
      <c r="G6" s="59">
        <v>52</v>
      </c>
      <c r="H6" s="60">
        <v>62</v>
      </c>
      <c r="I6" s="60">
        <v>48</v>
      </c>
      <c r="J6" s="61">
        <v>37</v>
      </c>
      <c r="K6" s="61">
        <v>47</v>
      </c>
      <c r="L6" s="63">
        <v>57</v>
      </c>
      <c r="M6" s="63">
        <v>48</v>
      </c>
      <c r="N6" s="58">
        <v>1</v>
      </c>
      <c r="Q6">
        <v>3</v>
      </c>
      <c r="R6">
        <v>7</v>
      </c>
      <c r="S6">
        <v>8</v>
      </c>
    </row>
    <row r="7" spans="1:19" x14ac:dyDescent="0.25">
      <c r="A7" s="58" t="s">
        <v>2080</v>
      </c>
      <c r="B7" s="58" t="s">
        <v>1161</v>
      </c>
      <c r="C7" s="58" t="s">
        <v>39</v>
      </c>
      <c r="D7" s="62">
        <v>58</v>
      </c>
      <c r="E7" s="62">
        <v>39</v>
      </c>
      <c r="F7" s="59">
        <v>97</v>
      </c>
      <c r="G7" s="59">
        <v>40</v>
      </c>
      <c r="H7" s="60">
        <v>62</v>
      </c>
      <c r="I7" s="60">
        <v>37</v>
      </c>
      <c r="J7" s="61">
        <v>37</v>
      </c>
      <c r="K7" s="61">
        <v>36</v>
      </c>
      <c r="L7" s="63">
        <v>57</v>
      </c>
      <c r="M7" s="63">
        <v>37</v>
      </c>
      <c r="N7" s="58">
        <v>1</v>
      </c>
      <c r="Q7">
        <v>4</v>
      </c>
      <c r="R7">
        <v>9</v>
      </c>
      <c r="S7">
        <v>10</v>
      </c>
    </row>
    <row r="8" spans="1:19" x14ac:dyDescent="0.25">
      <c r="A8" s="58" t="s">
        <v>2080</v>
      </c>
      <c r="B8" s="58" t="s">
        <v>1162</v>
      </c>
      <c r="C8" s="58" t="s">
        <v>40</v>
      </c>
      <c r="D8" s="62">
        <v>58</v>
      </c>
      <c r="E8" s="62">
        <v>47</v>
      </c>
      <c r="F8" s="59">
        <v>99</v>
      </c>
      <c r="G8" s="59">
        <v>48</v>
      </c>
      <c r="H8" s="60">
        <v>62</v>
      </c>
      <c r="I8" s="60">
        <v>45</v>
      </c>
      <c r="J8" s="61">
        <v>37</v>
      </c>
      <c r="K8" s="61">
        <v>44</v>
      </c>
      <c r="L8" s="63">
        <v>57</v>
      </c>
      <c r="M8" s="63">
        <v>45</v>
      </c>
      <c r="N8" s="58">
        <v>1</v>
      </c>
      <c r="Q8">
        <v>5</v>
      </c>
      <c r="R8">
        <v>11</v>
      </c>
      <c r="S8">
        <v>12</v>
      </c>
    </row>
    <row r="9" spans="1:19" x14ac:dyDescent="0.25">
      <c r="A9" s="58" t="s">
        <v>2080</v>
      </c>
      <c r="B9" s="58" t="s">
        <v>1163</v>
      </c>
      <c r="C9" s="58" t="s">
        <v>41</v>
      </c>
      <c r="D9" s="62">
        <v>75</v>
      </c>
      <c r="E9" s="62">
        <v>82</v>
      </c>
      <c r="F9" s="59">
        <v>126</v>
      </c>
      <c r="G9" s="59">
        <v>83</v>
      </c>
      <c r="H9" s="60">
        <v>81</v>
      </c>
      <c r="I9" s="60">
        <v>78</v>
      </c>
      <c r="J9" s="61">
        <v>48</v>
      </c>
      <c r="K9" s="61">
        <v>76</v>
      </c>
      <c r="L9" s="63">
        <v>75</v>
      </c>
      <c r="M9" s="63">
        <v>69</v>
      </c>
      <c r="N9" s="58">
        <v>4</v>
      </c>
    </row>
    <row r="10" spans="1:19" x14ac:dyDescent="0.25">
      <c r="A10" s="58" t="s">
        <v>2080</v>
      </c>
      <c r="B10" s="58" t="s">
        <v>1164</v>
      </c>
      <c r="C10" s="58" t="s">
        <v>42</v>
      </c>
      <c r="D10" s="62">
        <v>75</v>
      </c>
      <c r="E10" s="62">
        <v>97</v>
      </c>
      <c r="F10" s="59">
        <v>126</v>
      </c>
      <c r="G10" s="59">
        <v>98</v>
      </c>
      <c r="H10" s="60">
        <v>81</v>
      </c>
      <c r="I10" s="60">
        <v>92</v>
      </c>
      <c r="J10" s="61">
        <v>48</v>
      </c>
      <c r="K10" s="61">
        <v>90</v>
      </c>
      <c r="L10" s="63">
        <v>75</v>
      </c>
      <c r="M10" s="63">
        <v>82</v>
      </c>
      <c r="N10" s="58">
        <v>4</v>
      </c>
    </row>
    <row r="11" spans="1:19" x14ac:dyDescent="0.25">
      <c r="A11" s="58" t="s">
        <v>2080</v>
      </c>
      <c r="B11" s="58" t="s">
        <v>1165</v>
      </c>
      <c r="C11" s="58" t="s">
        <v>43</v>
      </c>
      <c r="D11" s="62">
        <v>75</v>
      </c>
      <c r="E11" s="62">
        <v>139</v>
      </c>
      <c r="F11" s="59" t="s">
        <v>629</v>
      </c>
      <c r="G11" s="59" t="s">
        <v>629</v>
      </c>
      <c r="H11" s="60">
        <v>81</v>
      </c>
      <c r="I11" s="60">
        <v>134</v>
      </c>
      <c r="J11" s="61">
        <v>48</v>
      </c>
      <c r="K11" s="61">
        <v>120</v>
      </c>
      <c r="L11" s="63">
        <v>75</v>
      </c>
      <c r="M11" s="63">
        <v>103</v>
      </c>
      <c r="N11" s="58">
        <v>4</v>
      </c>
    </row>
    <row r="12" spans="1:19" x14ac:dyDescent="0.25">
      <c r="A12" s="58" t="s">
        <v>2080</v>
      </c>
      <c r="B12" s="58" t="s">
        <v>1166</v>
      </c>
      <c r="C12" s="58" t="s">
        <v>44</v>
      </c>
      <c r="D12" s="62">
        <v>75</v>
      </c>
      <c r="E12" s="62">
        <v>163</v>
      </c>
      <c r="F12" s="59" t="s">
        <v>629</v>
      </c>
      <c r="G12" s="59" t="s">
        <v>629</v>
      </c>
      <c r="H12" s="60">
        <v>81</v>
      </c>
      <c r="I12" s="60">
        <v>156</v>
      </c>
      <c r="J12" s="61">
        <v>48</v>
      </c>
      <c r="K12" s="61">
        <v>140</v>
      </c>
      <c r="L12" s="63">
        <v>75</v>
      </c>
      <c r="M12" s="63">
        <v>120</v>
      </c>
      <c r="N12" s="58">
        <v>4</v>
      </c>
    </row>
    <row r="13" spans="1:19" x14ac:dyDescent="0.25">
      <c r="A13" s="58" t="s">
        <v>2080</v>
      </c>
      <c r="B13" s="58" t="s">
        <v>1167</v>
      </c>
      <c r="C13" s="58" t="s">
        <v>45</v>
      </c>
      <c r="D13" s="62">
        <v>75</v>
      </c>
      <c r="E13" s="62">
        <v>208</v>
      </c>
      <c r="F13" s="59" t="s">
        <v>629</v>
      </c>
      <c r="G13" s="59" t="s">
        <v>629</v>
      </c>
      <c r="H13" s="60">
        <v>81</v>
      </c>
      <c r="I13" s="60">
        <v>207</v>
      </c>
      <c r="J13" s="61">
        <v>48</v>
      </c>
      <c r="K13" s="61">
        <v>180</v>
      </c>
      <c r="L13" s="63">
        <v>75</v>
      </c>
      <c r="M13" s="63">
        <v>156</v>
      </c>
      <c r="N13" s="58">
        <v>4</v>
      </c>
    </row>
    <row r="14" spans="1:19" x14ac:dyDescent="0.25">
      <c r="A14" s="58" t="s">
        <v>2080</v>
      </c>
      <c r="B14" s="58" t="s">
        <v>1168</v>
      </c>
      <c r="C14" s="58" t="s">
        <v>46</v>
      </c>
      <c r="D14" s="62">
        <v>75</v>
      </c>
      <c r="E14" s="62">
        <v>237</v>
      </c>
      <c r="F14" s="59" t="s">
        <v>629</v>
      </c>
      <c r="G14" s="59" t="s">
        <v>629</v>
      </c>
      <c r="H14" s="60">
        <v>81</v>
      </c>
      <c r="I14" s="60">
        <v>236</v>
      </c>
      <c r="J14" s="61">
        <v>48</v>
      </c>
      <c r="K14" s="61">
        <v>206</v>
      </c>
      <c r="L14" s="63">
        <v>75</v>
      </c>
      <c r="M14" s="63">
        <v>178</v>
      </c>
      <c r="N14" s="58">
        <v>4</v>
      </c>
    </row>
    <row r="15" spans="1:19" x14ac:dyDescent="0.25">
      <c r="A15" s="58" t="s">
        <v>2080</v>
      </c>
      <c r="B15" s="58" t="s">
        <v>1169</v>
      </c>
      <c r="C15" s="58" t="s">
        <v>47</v>
      </c>
      <c r="D15" s="62">
        <v>75</v>
      </c>
      <c r="E15" s="62">
        <v>237</v>
      </c>
      <c r="F15" s="59" t="s">
        <v>629</v>
      </c>
      <c r="G15" s="59" t="s">
        <v>629</v>
      </c>
      <c r="H15" s="60">
        <v>81</v>
      </c>
      <c r="I15" s="60">
        <v>236</v>
      </c>
      <c r="J15" s="61">
        <v>48</v>
      </c>
      <c r="K15" s="61">
        <v>206</v>
      </c>
      <c r="L15" s="63">
        <v>75</v>
      </c>
      <c r="M15" s="63">
        <v>178</v>
      </c>
      <c r="N15" s="58">
        <v>4</v>
      </c>
    </row>
    <row r="16" spans="1:19" x14ac:dyDescent="0.25">
      <c r="A16" s="58" t="s">
        <v>2080</v>
      </c>
      <c r="B16" s="58" t="s">
        <v>1170</v>
      </c>
      <c r="C16" s="58" t="s">
        <v>48</v>
      </c>
      <c r="D16" s="62">
        <v>75</v>
      </c>
      <c r="E16" s="62">
        <v>267</v>
      </c>
      <c r="F16" s="59" t="s">
        <v>629</v>
      </c>
      <c r="G16" s="59" t="s">
        <v>629</v>
      </c>
      <c r="H16" s="60">
        <v>81</v>
      </c>
      <c r="I16" s="60">
        <v>264</v>
      </c>
      <c r="J16" s="61">
        <v>48</v>
      </c>
      <c r="K16" s="61">
        <v>231</v>
      </c>
      <c r="L16" s="63">
        <v>75</v>
      </c>
      <c r="M16" s="63">
        <v>201</v>
      </c>
      <c r="N16" s="58">
        <v>4</v>
      </c>
    </row>
    <row r="17" spans="1:14" x14ac:dyDescent="0.25">
      <c r="A17" s="58" t="s">
        <v>2080</v>
      </c>
      <c r="B17" s="58" t="s">
        <v>1171</v>
      </c>
      <c r="C17" s="58" t="s">
        <v>49</v>
      </c>
      <c r="D17" s="62">
        <v>75</v>
      </c>
      <c r="E17" s="62">
        <v>297</v>
      </c>
      <c r="F17" s="59" t="s">
        <v>629</v>
      </c>
      <c r="G17" s="59" t="s">
        <v>629</v>
      </c>
      <c r="H17" s="60">
        <v>81</v>
      </c>
      <c r="I17" s="60">
        <v>296</v>
      </c>
      <c r="J17" s="61">
        <v>48</v>
      </c>
      <c r="K17" s="61">
        <v>280</v>
      </c>
      <c r="L17" s="63">
        <v>75</v>
      </c>
      <c r="M17" s="63">
        <v>245</v>
      </c>
      <c r="N17" s="58">
        <v>4</v>
      </c>
    </row>
    <row r="18" spans="1:14" x14ac:dyDescent="0.25">
      <c r="A18" s="58" t="s">
        <v>2080</v>
      </c>
      <c r="B18" s="58" t="s">
        <v>1172</v>
      </c>
      <c r="C18" s="58" t="s">
        <v>50</v>
      </c>
      <c r="D18" s="62">
        <v>75</v>
      </c>
      <c r="E18" s="62">
        <v>304</v>
      </c>
      <c r="F18" s="59" t="s">
        <v>629</v>
      </c>
      <c r="G18" s="59" t="s">
        <v>629</v>
      </c>
      <c r="H18" s="60">
        <v>81</v>
      </c>
      <c r="I18" s="60">
        <v>303</v>
      </c>
      <c r="J18" s="61">
        <v>48</v>
      </c>
      <c r="K18" s="61">
        <v>286</v>
      </c>
      <c r="L18" s="63">
        <v>75</v>
      </c>
      <c r="M18" s="63">
        <v>250</v>
      </c>
      <c r="N18" s="58">
        <v>4</v>
      </c>
    </row>
    <row r="19" spans="1:14" x14ac:dyDescent="0.25">
      <c r="A19" s="58" t="s">
        <v>2080</v>
      </c>
      <c r="B19" s="58" t="s">
        <v>1173</v>
      </c>
      <c r="C19" s="58" t="s">
        <v>121</v>
      </c>
      <c r="D19" s="62">
        <v>75</v>
      </c>
      <c r="E19" s="62">
        <v>338</v>
      </c>
      <c r="F19" s="59" t="s">
        <v>629</v>
      </c>
      <c r="G19" s="59" t="s">
        <v>629</v>
      </c>
      <c r="H19" s="60">
        <v>81</v>
      </c>
      <c r="I19" s="60">
        <v>337</v>
      </c>
      <c r="J19" s="61">
        <v>48</v>
      </c>
      <c r="K19" s="61">
        <v>318</v>
      </c>
      <c r="L19" s="63">
        <v>75</v>
      </c>
      <c r="M19" s="63">
        <v>278</v>
      </c>
      <c r="N19" s="58">
        <v>4</v>
      </c>
    </row>
    <row r="20" spans="1:14" x14ac:dyDescent="0.25">
      <c r="A20" s="58" t="s">
        <v>2080</v>
      </c>
      <c r="B20" s="58" t="s">
        <v>1174</v>
      </c>
      <c r="C20" s="58" t="s">
        <v>51</v>
      </c>
      <c r="D20" s="62">
        <v>91</v>
      </c>
      <c r="E20" s="62">
        <v>421</v>
      </c>
      <c r="F20" s="59" t="s">
        <v>629</v>
      </c>
      <c r="G20" s="59" t="s">
        <v>629</v>
      </c>
      <c r="H20" s="60">
        <v>99</v>
      </c>
      <c r="I20" s="60">
        <v>420</v>
      </c>
      <c r="J20" s="61">
        <v>59</v>
      </c>
      <c r="K20" s="61">
        <v>419</v>
      </c>
      <c r="L20" s="63">
        <v>92</v>
      </c>
      <c r="M20" s="63">
        <v>398</v>
      </c>
      <c r="N20" s="58">
        <v>8</v>
      </c>
    </row>
    <row r="21" spans="1:14" x14ac:dyDescent="0.25">
      <c r="A21" s="58" t="s">
        <v>2080</v>
      </c>
      <c r="B21" s="58" t="s">
        <v>1175</v>
      </c>
      <c r="C21" s="58" t="s">
        <v>52</v>
      </c>
      <c r="D21" s="62">
        <v>91</v>
      </c>
      <c r="E21" s="62">
        <v>463</v>
      </c>
      <c r="F21" s="59" t="s">
        <v>629</v>
      </c>
      <c r="G21" s="59" t="s">
        <v>629</v>
      </c>
      <c r="H21" s="60">
        <v>99</v>
      </c>
      <c r="I21" s="60">
        <v>462</v>
      </c>
      <c r="J21" s="61">
        <v>59</v>
      </c>
      <c r="K21" s="61">
        <v>461</v>
      </c>
      <c r="L21" s="63">
        <v>92</v>
      </c>
      <c r="M21" s="63">
        <v>438</v>
      </c>
      <c r="N21" s="58">
        <v>8</v>
      </c>
    </row>
    <row r="22" spans="1:14" x14ac:dyDescent="0.25">
      <c r="A22" s="58" t="s">
        <v>2080</v>
      </c>
      <c r="B22" s="58" t="s">
        <v>1176</v>
      </c>
      <c r="C22" s="58" t="s">
        <v>53</v>
      </c>
      <c r="D22" s="62">
        <v>62</v>
      </c>
      <c r="E22" s="62">
        <v>47</v>
      </c>
      <c r="F22" s="59">
        <v>62</v>
      </c>
      <c r="G22" s="59">
        <v>48</v>
      </c>
      <c r="H22" s="60">
        <v>62</v>
      </c>
      <c r="I22" s="60">
        <v>45</v>
      </c>
      <c r="J22" s="61">
        <v>48</v>
      </c>
      <c r="K22" s="61">
        <v>44</v>
      </c>
      <c r="L22" s="63">
        <v>62</v>
      </c>
      <c r="M22" s="63">
        <v>45</v>
      </c>
      <c r="N22" s="58">
        <v>4</v>
      </c>
    </row>
    <row r="23" spans="1:14" x14ac:dyDescent="0.25">
      <c r="A23" s="58" t="s">
        <v>2080</v>
      </c>
      <c r="B23" s="58" t="s">
        <v>1177</v>
      </c>
      <c r="C23" s="58" t="s">
        <v>54</v>
      </c>
      <c r="D23" s="62">
        <v>75</v>
      </c>
      <c r="E23" s="62">
        <v>55</v>
      </c>
      <c r="F23" s="59">
        <v>126</v>
      </c>
      <c r="G23" s="59">
        <v>56</v>
      </c>
      <c r="H23" s="60">
        <v>81</v>
      </c>
      <c r="I23" s="60">
        <v>52</v>
      </c>
      <c r="J23" s="61">
        <v>48</v>
      </c>
      <c r="K23" s="61">
        <v>51</v>
      </c>
      <c r="L23" s="63">
        <v>75</v>
      </c>
      <c r="M23" s="63">
        <v>52</v>
      </c>
      <c r="N23" s="58">
        <v>4</v>
      </c>
    </row>
    <row r="24" spans="1:14" x14ac:dyDescent="0.25">
      <c r="A24" s="58" t="s">
        <v>2080</v>
      </c>
      <c r="B24" s="58" t="s">
        <v>1178</v>
      </c>
      <c r="C24" s="58" t="s">
        <v>55</v>
      </c>
      <c r="D24" s="62">
        <v>75</v>
      </c>
      <c r="E24" s="62">
        <v>119</v>
      </c>
      <c r="F24" s="59">
        <v>126</v>
      </c>
      <c r="G24" s="59">
        <v>120</v>
      </c>
      <c r="H24" s="60">
        <v>81</v>
      </c>
      <c r="I24" s="60">
        <v>113</v>
      </c>
      <c r="J24" s="61">
        <v>48</v>
      </c>
      <c r="K24" s="61">
        <v>111</v>
      </c>
      <c r="L24" s="63">
        <v>75</v>
      </c>
      <c r="M24" s="63">
        <v>101</v>
      </c>
      <c r="N24" s="58">
        <v>4</v>
      </c>
    </row>
    <row r="25" spans="1:14" x14ac:dyDescent="0.25">
      <c r="A25" s="58" t="s">
        <v>2080</v>
      </c>
      <c r="B25" s="58" t="s">
        <v>1179</v>
      </c>
      <c r="C25" s="58" t="s">
        <v>56</v>
      </c>
      <c r="D25" s="62">
        <v>75</v>
      </c>
      <c r="E25" s="62">
        <v>125</v>
      </c>
      <c r="F25" s="59">
        <v>126</v>
      </c>
      <c r="G25" s="59">
        <v>126</v>
      </c>
      <c r="H25" s="60">
        <v>81</v>
      </c>
      <c r="I25" s="60">
        <v>119</v>
      </c>
      <c r="J25" s="61">
        <v>48</v>
      </c>
      <c r="K25" s="61">
        <v>116</v>
      </c>
      <c r="L25" s="63">
        <v>75</v>
      </c>
      <c r="M25" s="63">
        <v>114</v>
      </c>
      <c r="N25" s="58">
        <v>4</v>
      </c>
    </row>
    <row r="26" spans="1:14" x14ac:dyDescent="0.25">
      <c r="A26" s="58" t="s">
        <v>2080</v>
      </c>
      <c r="B26" s="58" t="s">
        <v>1180</v>
      </c>
      <c r="C26" s="58" t="s">
        <v>57</v>
      </c>
      <c r="D26" s="62">
        <v>75</v>
      </c>
      <c r="E26" s="62">
        <v>186</v>
      </c>
      <c r="F26" s="59">
        <v>126</v>
      </c>
      <c r="G26" s="59">
        <v>188</v>
      </c>
      <c r="H26" s="60">
        <v>81</v>
      </c>
      <c r="I26" s="60">
        <v>178</v>
      </c>
      <c r="J26" s="61">
        <v>48</v>
      </c>
      <c r="K26" s="61">
        <v>160</v>
      </c>
      <c r="L26" s="63">
        <v>75</v>
      </c>
      <c r="M26" s="63">
        <v>138</v>
      </c>
      <c r="N26" s="58">
        <v>8</v>
      </c>
    </row>
    <row r="27" spans="1:14" x14ac:dyDescent="0.25">
      <c r="A27" s="58" t="s">
        <v>2080</v>
      </c>
      <c r="B27" s="58" t="s">
        <v>1181</v>
      </c>
      <c r="C27" s="58" t="s">
        <v>58</v>
      </c>
      <c r="D27" s="62">
        <v>75</v>
      </c>
      <c r="E27" s="62">
        <v>195</v>
      </c>
      <c r="F27" s="59">
        <v>126</v>
      </c>
      <c r="G27" s="59">
        <v>197</v>
      </c>
      <c r="H27" s="60">
        <v>81</v>
      </c>
      <c r="I27" s="60">
        <v>187</v>
      </c>
      <c r="J27" s="61">
        <v>48</v>
      </c>
      <c r="K27" s="61">
        <v>180</v>
      </c>
      <c r="L27" s="63">
        <v>75</v>
      </c>
      <c r="M27" s="63">
        <v>155</v>
      </c>
      <c r="N27" s="58">
        <v>8</v>
      </c>
    </row>
    <row r="28" spans="1:14" x14ac:dyDescent="0.25">
      <c r="A28" s="58" t="s">
        <v>2080</v>
      </c>
      <c r="B28" s="58" t="s">
        <v>1182</v>
      </c>
      <c r="C28" s="58" t="s">
        <v>59</v>
      </c>
      <c r="D28" s="62">
        <v>75</v>
      </c>
      <c r="E28" s="62">
        <v>195</v>
      </c>
      <c r="F28" s="59" t="s">
        <v>629</v>
      </c>
      <c r="G28" s="59" t="s">
        <v>629</v>
      </c>
      <c r="H28" s="60">
        <v>81</v>
      </c>
      <c r="I28" s="60">
        <v>187</v>
      </c>
      <c r="J28" s="61">
        <v>48</v>
      </c>
      <c r="K28" s="61">
        <v>183</v>
      </c>
      <c r="L28" s="63">
        <v>75</v>
      </c>
      <c r="M28" s="63">
        <v>163</v>
      </c>
      <c r="N28" s="58">
        <v>8</v>
      </c>
    </row>
    <row r="29" spans="1:14" x14ac:dyDescent="0.25">
      <c r="A29" s="58" t="s">
        <v>2080</v>
      </c>
      <c r="B29" s="58" t="s">
        <v>1183</v>
      </c>
      <c r="C29" s="58" t="s">
        <v>60</v>
      </c>
      <c r="D29" s="62">
        <v>75</v>
      </c>
      <c r="E29" s="62">
        <v>195</v>
      </c>
      <c r="F29" s="59" t="s">
        <v>629</v>
      </c>
      <c r="G29" s="59" t="s">
        <v>629</v>
      </c>
      <c r="H29" s="60">
        <v>81</v>
      </c>
      <c r="I29" s="60">
        <v>187</v>
      </c>
      <c r="J29" s="61">
        <v>48</v>
      </c>
      <c r="K29" s="61">
        <v>183</v>
      </c>
      <c r="L29" s="63">
        <v>75</v>
      </c>
      <c r="M29" s="63">
        <v>172</v>
      </c>
      <c r="N29" s="58">
        <v>4</v>
      </c>
    </row>
    <row r="30" spans="1:14" x14ac:dyDescent="0.25">
      <c r="A30" s="58" t="s">
        <v>2080</v>
      </c>
      <c r="B30" s="58" t="s">
        <v>1184</v>
      </c>
      <c r="C30" s="58" t="s">
        <v>61</v>
      </c>
      <c r="D30" s="62">
        <v>75</v>
      </c>
      <c r="E30" s="62">
        <v>274</v>
      </c>
      <c r="F30" s="59" t="s">
        <v>629</v>
      </c>
      <c r="G30" s="59" t="s">
        <v>629</v>
      </c>
      <c r="H30" s="60">
        <v>81</v>
      </c>
      <c r="I30" s="60">
        <v>264</v>
      </c>
      <c r="J30" s="61">
        <v>48</v>
      </c>
      <c r="K30" s="61">
        <v>258</v>
      </c>
      <c r="L30" s="63">
        <v>75</v>
      </c>
      <c r="M30" s="63">
        <v>245</v>
      </c>
      <c r="N30" s="58">
        <v>8</v>
      </c>
    </row>
    <row r="31" spans="1:14" x14ac:dyDescent="0.25">
      <c r="A31" s="58" t="s">
        <v>2080</v>
      </c>
      <c r="B31" s="58" t="s">
        <v>1185</v>
      </c>
      <c r="C31" s="58" t="s">
        <v>62</v>
      </c>
      <c r="D31" s="62">
        <v>75</v>
      </c>
      <c r="E31" s="62">
        <v>357</v>
      </c>
      <c r="F31" s="59" t="s">
        <v>629</v>
      </c>
      <c r="G31" s="59" t="s">
        <v>629</v>
      </c>
      <c r="H31" s="60">
        <v>81</v>
      </c>
      <c r="I31" s="60">
        <v>346</v>
      </c>
      <c r="J31" s="61">
        <v>48</v>
      </c>
      <c r="K31" s="61">
        <v>340</v>
      </c>
      <c r="L31" s="63">
        <v>75</v>
      </c>
      <c r="M31" s="63">
        <v>306</v>
      </c>
      <c r="N31" s="58">
        <v>8</v>
      </c>
    </row>
    <row r="32" spans="1:14" x14ac:dyDescent="0.25">
      <c r="A32" s="58" t="s">
        <v>2080</v>
      </c>
      <c r="B32" s="58" t="s">
        <v>1186</v>
      </c>
      <c r="C32" s="58" t="s">
        <v>63</v>
      </c>
      <c r="D32" s="62">
        <v>75</v>
      </c>
      <c r="E32" s="62">
        <v>357</v>
      </c>
      <c r="F32" s="59" t="s">
        <v>629</v>
      </c>
      <c r="G32" s="59" t="s">
        <v>629</v>
      </c>
      <c r="H32" s="60">
        <v>81</v>
      </c>
      <c r="I32" s="60">
        <v>346</v>
      </c>
      <c r="J32" s="61">
        <v>48</v>
      </c>
      <c r="K32" s="61">
        <v>340</v>
      </c>
      <c r="L32" s="63">
        <v>75</v>
      </c>
      <c r="M32" s="63">
        <v>346</v>
      </c>
      <c r="N32" s="58">
        <v>4</v>
      </c>
    </row>
    <row r="33" spans="1:14" x14ac:dyDescent="0.25">
      <c r="A33" s="58" t="s">
        <v>2080</v>
      </c>
      <c r="B33" s="58" t="s">
        <v>1187</v>
      </c>
      <c r="C33" s="58" t="s">
        <v>64</v>
      </c>
      <c r="D33" s="62">
        <v>91</v>
      </c>
      <c r="E33" s="62">
        <v>357</v>
      </c>
      <c r="F33" s="59" t="s">
        <v>629</v>
      </c>
      <c r="G33" s="59" t="s">
        <v>629</v>
      </c>
      <c r="H33" s="60">
        <v>99</v>
      </c>
      <c r="I33" s="60">
        <v>346</v>
      </c>
      <c r="J33" s="61">
        <v>59</v>
      </c>
      <c r="K33" s="61">
        <v>340</v>
      </c>
      <c r="L33" s="63">
        <v>92</v>
      </c>
      <c r="M33" s="63">
        <v>346</v>
      </c>
      <c r="N33" s="58">
        <v>8</v>
      </c>
    </row>
    <row r="34" spans="1:14" x14ac:dyDescent="0.25">
      <c r="A34" s="58" t="s">
        <v>2080</v>
      </c>
      <c r="B34" s="58" t="s">
        <v>1188</v>
      </c>
      <c r="C34" s="58" t="s">
        <v>65</v>
      </c>
      <c r="D34" s="62">
        <v>91</v>
      </c>
      <c r="E34" s="62">
        <v>357</v>
      </c>
      <c r="F34" s="59" t="s">
        <v>629</v>
      </c>
      <c r="G34" s="59" t="s">
        <v>629</v>
      </c>
      <c r="H34" s="60">
        <v>99</v>
      </c>
      <c r="I34" s="60">
        <v>346</v>
      </c>
      <c r="J34" s="61">
        <v>59</v>
      </c>
      <c r="K34" s="61">
        <v>340</v>
      </c>
      <c r="L34" s="63">
        <v>92</v>
      </c>
      <c r="M34" s="63">
        <v>346</v>
      </c>
      <c r="N34" s="58">
        <v>8</v>
      </c>
    </row>
    <row r="35" spans="1:14" x14ac:dyDescent="0.25">
      <c r="A35" s="58" t="s">
        <v>2080</v>
      </c>
      <c r="B35" s="58" t="s">
        <v>1189</v>
      </c>
      <c r="C35" s="58" t="s">
        <v>66</v>
      </c>
      <c r="D35" s="62">
        <v>91</v>
      </c>
      <c r="E35" s="62">
        <v>443</v>
      </c>
      <c r="F35" s="59" t="s">
        <v>629</v>
      </c>
      <c r="G35" s="59" t="s">
        <v>629</v>
      </c>
      <c r="H35" s="60">
        <v>99</v>
      </c>
      <c r="I35" s="60">
        <v>431</v>
      </c>
      <c r="J35" s="61">
        <v>59</v>
      </c>
      <c r="K35" s="61">
        <v>425</v>
      </c>
      <c r="L35" s="63">
        <v>92</v>
      </c>
      <c r="M35" s="63">
        <v>404</v>
      </c>
      <c r="N35" s="58">
        <v>8</v>
      </c>
    </row>
    <row r="36" spans="1:14" x14ac:dyDescent="0.25">
      <c r="A36" s="58" t="s">
        <v>2080</v>
      </c>
      <c r="B36" s="58" t="s">
        <v>1190</v>
      </c>
      <c r="C36" s="58" t="s">
        <v>67</v>
      </c>
      <c r="D36" s="62">
        <v>91</v>
      </c>
      <c r="E36" s="62">
        <v>443</v>
      </c>
      <c r="F36" s="59" t="s">
        <v>629</v>
      </c>
      <c r="G36" s="59" t="s">
        <v>629</v>
      </c>
      <c r="H36" s="60">
        <v>99</v>
      </c>
      <c r="I36" s="60">
        <v>431</v>
      </c>
      <c r="J36" s="61">
        <v>59</v>
      </c>
      <c r="K36" s="61">
        <v>425</v>
      </c>
      <c r="L36" s="63">
        <v>92</v>
      </c>
      <c r="M36" s="63">
        <v>431</v>
      </c>
      <c r="N36" s="58">
        <v>8</v>
      </c>
    </row>
    <row r="37" spans="1:14" x14ac:dyDescent="0.25">
      <c r="A37" s="58" t="s">
        <v>2080</v>
      </c>
      <c r="B37" s="58" t="s">
        <v>1191</v>
      </c>
      <c r="C37" s="58" t="s">
        <v>68</v>
      </c>
      <c r="D37" s="62">
        <v>91</v>
      </c>
      <c r="E37" s="62">
        <v>443</v>
      </c>
      <c r="F37" s="59" t="s">
        <v>629</v>
      </c>
      <c r="G37" s="59" t="s">
        <v>629</v>
      </c>
      <c r="H37" s="60">
        <v>99</v>
      </c>
      <c r="I37" s="60">
        <v>431</v>
      </c>
      <c r="J37" s="61">
        <v>59</v>
      </c>
      <c r="K37" s="61">
        <v>425</v>
      </c>
      <c r="L37" s="63">
        <v>92</v>
      </c>
      <c r="M37" s="63">
        <v>431</v>
      </c>
      <c r="N37" s="58">
        <v>8</v>
      </c>
    </row>
    <row r="38" spans="1:14" x14ac:dyDescent="0.25">
      <c r="A38" s="58" t="s">
        <v>2080</v>
      </c>
      <c r="B38" s="58" t="s">
        <v>1192</v>
      </c>
      <c r="C38" s="58" t="s">
        <v>69</v>
      </c>
      <c r="D38" s="62" t="s">
        <v>629</v>
      </c>
      <c r="E38" s="62" t="s">
        <v>629</v>
      </c>
      <c r="F38" s="59" t="s">
        <v>629</v>
      </c>
      <c r="G38" s="59" t="s">
        <v>629</v>
      </c>
      <c r="H38" s="60">
        <v>99</v>
      </c>
      <c r="I38" s="60">
        <v>431</v>
      </c>
      <c r="J38" s="61">
        <v>59</v>
      </c>
      <c r="K38" s="61">
        <v>425</v>
      </c>
      <c r="L38" s="63">
        <v>92</v>
      </c>
      <c r="M38" s="63">
        <v>431</v>
      </c>
      <c r="N38" s="58">
        <v>8</v>
      </c>
    </row>
    <row r="39" spans="1:14" x14ac:dyDescent="0.25">
      <c r="A39" s="58" t="s">
        <v>2080</v>
      </c>
      <c r="B39" s="58" t="s">
        <v>1193</v>
      </c>
      <c r="C39" s="58" t="s">
        <v>70</v>
      </c>
      <c r="D39" s="62" t="s">
        <v>629</v>
      </c>
      <c r="E39" s="62" t="s">
        <v>629</v>
      </c>
      <c r="F39" s="59" t="s">
        <v>629</v>
      </c>
      <c r="G39" s="59" t="s">
        <v>629</v>
      </c>
      <c r="H39" s="60" t="s">
        <v>629</v>
      </c>
      <c r="I39" s="60" t="s">
        <v>629</v>
      </c>
      <c r="J39" s="61">
        <v>80</v>
      </c>
      <c r="K39" s="61">
        <v>729</v>
      </c>
      <c r="L39" s="63" t="s">
        <v>629</v>
      </c>
      <c r="M39" s="63" t="s">
        <v>629</v>
      </c>
      <c r="N39" s="58">
        <v>18</v>
      </c>
    </row>
    <row r="40" spans="1:14" x14ac:dyDescent="0.25">
      <c r="A40" s="58" t="s">
        <v>2080</v>
      </c>
      <c r="B40" s="58" t="s">
        <v>1194</v>
      </c>
      <c r="C40" s="58" t="s">
        <v>71</v>
      </c>
      <c r="D40" s="62" t="s">
        <v>629</v>
      </c>
      <c r="E40" s="62" t="s">
        <v>629</v>
      </c>
      <c r="F40" s="59" t="s">
        <v>629</v>
      </c>
      <c r="G40" s="59" t="s">
        <v>629</v>
      </c>
      <c r="H40" s="60">
        <v>146</v>
      </c>
      <c r="I40" s="60">
        <v>738</v>
      </c>
      <c r="J40" s="61">
        <v>86</v>
      </c>
      <c r="K40" s="61">
        <v>729</v>
      </c>
      <c r="L40" s="63">
        <v>136</v>
      </c>
      <c r="M40" s="63">
        <v>738</v>
      </c>
      <c r="N40" s="58">
        <v>18</v>
      </c>
    </row>
    <row r="41" spans="1:14" x14ac:dyDescent="0.25">
      <c r="A41" s="58" t="s">
        <v>2080</v>
      </c>
      <c r="B41" s="58" t="s">
        <v>1195</v>
      </c>
      <c r="C41" s="58" t="s">
        <v>72</v>
      </c>
      <c r="D41" s="62" t="s">
        <v>629</v>
      </c>
      <c r="E41" s="62" t="s">
        <v>629</v>
      </c>
      <c r="F41" s="59" t="s">
        <v>629</v>
      </c>
      <c r="G41" s="59" t="s">
        <v>629</v>
      </c>
      <c r="H41" s="60" t="s">
        <v>629</v>
      </c>
      <c r="I41" s="60" t="s">
        <v>629</v>
      </c>
      <c r="J41" s="61">
        <v>86</v>
      </c>
      <c r="K41" s="61">
        <v>854</v>
      </c>
      <c r="L41" s="63">
        <v>136</v>
      </c>
      <c r="M41" s="63">
        <v>863</v>
      </c>
      <c r="N41" s="58">
        <v>18</v>
      </c>
    </row>
    <row r="42" spans="1:14" x14ac:dyDescent="0.25">
      <c r="A42" s="58" t="s">
        <v>2080</v>
      </c>
      <c r="B42" s="58" t="s">
        <v>1196</v>
      </c>
      <c r="C42" s="58" t="s">
        <v>73</v>
      </c>
      <c r="D42" s="62" t="s">
        <v>629</v>
      </c>
      <c r="E42" s="62" t="s">
        <v>629</v>
      </c>
      <c r="F42" s="59" t="s">
        <v>629</v>
      </c>
      <c r="G42" s="59" t="s">
        <v>629</v>
      </c>
      <c r="H42" s="60" t="s">
        <v>629</v>
      </c>
      <c r="I42" s="60" t="s">
        <v>629</v>
      </c>
      <c r="J42" s="61">
        <v>86</v>
      </c>
      <c r="K42" s="61">
        <v>1329</v>
      </c>
      <c r="L42" s="63" t="s">
        <v>629</v>
      </c>
      <c r="M42" s="63" t="s">
        <v>629</v>
      </c>
      <c r="N42" s="58">
        <v>23</v>
      </c>
    </row>
    <row r="43" spans="1:14" x14ac:dyDescent="0.25">
      <c r="A43" s="58" t="s">
        <v>2080</v>
      </c>
      <c r="B43" s="58" t="s">
        <v>1197</v>
      </c>
      <c r="C43" s="58" t="s">
        <v>304</v>
      </c>
      <c r="D43" s="62" t="s">
        <v>629</v>
      </c>
      <c r="E43" s="62" t="s">
        <v>629</v>
      </c>
      <c r="F43" s="59" t="s">
        <v>629</v>
      </c>
      <c r="G43" s="59" t="s">
        <v>629</v>
      </c>
      <c r="H43" s="60" t="s">
        <v>629</v>
      </c>
      <c r="I43" s="60" t="s">
        <v>629</v>
      </c>
      <c r="J43" s="61">
        <v>86</v>
      </c>
      <c r="K43" s="61">
        <v>1611</v>
      </c>
      <c r="L43" s="63" t="s">
        <v>629</v>
      </c>
      <c r="M43" s="63" t="s">
        <v>629</v>
      </c>
      <c r="N43" s="58">
        <v>23</v>
      </c>
    </row>
    <row r="44" spans="1:14" x14ac:dyDescent="0.25">
      <c r="A44" s="58" t="s">
        <v>2080</v>
      </c>
      <c r="B44" s="58" t="s">
        <v>1198</v>
      </c>
      <c r="C44" s="58" t="s">
        <v>306</v>
      </c>
      <c r="D44" s="62" t="s">
        <v>629</v>
      </c>
      <c r="E44" s="62" t="s">
        <v>629</v>
      </c>
      <c r="F44" s="59" t="s">
        <v>629</v>
      </c>
      <c r="G44" s="59" t="s">
        <v>629</v>
      </c>
      <c r="H44" s="60" t="s">
        <v>629</v>
      </c>
      <c r="I44" s="60" t="s">
        <v>629</v>
      </c>
      <c r="J44" s="61">
        <v>86</v>
      </c>
      <c r="K44" s="61">
        <v>1737</v>
      </c>
      <c r="L44" s="63" t="s">
        <v>629</v>
      </c>
      <c r="M44" s="63" t="s">
        <v>629</v>
      </c>
      <c r="N44" s="58">
        <v>23</v>
      </c>
    </row>
    <row r="45" spans="1:14" x14ac:dyDescent="0.25">
      <c r="A45" s="58" t="s">
        <v>2080</v>
      </c>
      <c r="B45" s="58" t="s">
        <v>1199</v>
      </c>
      <c r="C45" s="58" t="s">
        <v>310</v>
      </c>
      <c r="D45" s="62" t="s">
        <v>629</v>
      </c>
      <c r="E45" s="62" t="s">
        <v>629</v>
      </c>
      <c r="F45" s="59" t="s">
        <v>629</v>
      </c>
      <c r="G45" s="59" t="s">
        <v>629</v>
      </c>
      <c r="H45" s="60" t="s">
        <v>629</v>
      </c>
      <c r="I45" s="60" t="s">
        <v>629</v>
      </c>
      <c r="J45" s="61" t="s">
        <v>629</v>
      </c>
      <c r="K45" s="61" t="s">
        <v>629</v>
      </c>
      <c r="L45" s="63" t="s">
        <v>629</v>
      </c>
      <c r="M45" s="63" t="s">
        <v>629</v>
      </c>
      <c r="N45" s="58">
        <v>2</v>
      </c>
    </row>
    <row r="46" spans="1:14" x14ac:dyDescent="0.25">
      <c r="A46" s="58" t="s">
        <v>2080</v>
      </c>
      <c r="B46" s="58" t="s">
        <v>1200</v>
      </c>
      <c r="C46" s="58" t="s">
        <v>312</v>
      </c>
      <c r="D46" s="62">
        <v>32</v>
      </c>
      <c r="E46" s="62">
        <v>17</v>
      </c>
      <c r="F46" s="59" t="s">
        <v>629</v>
      </c>
      <c r="G46" s="59" t="s">
        <v>629</v>
      </c>
      <c r="H46" s="60" t="s">
        <v>629</v>
      </c>
      <c r="I46" s="60" t="s">
        <v>629</v>
      </c>
      <c r="J46" s="61" t="s">
        <v>629</v>
      </c>
      <c r="K46" s="61" t="s">
        <v>629</v>
      </c>
      <c r="L46" s="63" t="s">
        <v>629</v>
      </c>
      <c r="M46" s="63" t="s">
        <v>629</v>
      </c>
      <c r="N46" s="58">
        <v>2</v>
      </c>
    </row>
    <row r="47" spans="1:14" x14ac:dyDescent="0.25">
      <c r="A47" s="58" t="s">
        <v>2080</v>
      </c>
      <c r="B47" s="58" t="s">
        <v>1201</v>
      </c>
      <c r="C47" s="58" t="s">
        <v>314</v>
      </c>
      <c r="D47" s="62">
        <v>34</v>
      </c>
      <c r="E47" s="62">
        <v>22</v>
      </c>
      <c r="F47" s="59">
        <v>34</v>
      </c>
      <c r="G47" s="59">
        <v>22</v>
      </c>
      <c r="H47" s="60">
        <v>34</v>
      </c>
      <c r="I47" s="60">
        <v>15</v>
      </c>
      <c r="J47" s="61">
        <v>34</v>
      </c>
      <c r="K47" s="61">
        <v>8</v>
      </c>
      <c r="L47" s="63" t="s">
        <v>629</v>
      </c>
      <c r="M47" s="63" t="s">
        <v>629</v>
      </c>
      <c r="N47" s="58">
        <v>2</v>
      </c>
    </row>
    <row r="48" spans="1:14" x14ac:dyDescent="0.25">
      <c r="A48" s="58" t="s">
        <v>2080</v>
      </c>
      <c r="B48" s="58" t="s">
        <v>1202</v>
      </c>
      <c r="C48" s="58" t="s">
        <v>316</v>
      </c>
      <c r="D48" s="62">
        <v>38</v>
      </c>
      <c r="E48" s="62">
        <v>23</v>
      </c>
      <c r="F48" s="59">
        <v>38</v>
      </c>
      <c r="G48" s="59">
        <v>23</v>
      </c>
      <c r="H48" s="60">
        <v>38</v>
      </c>
      <c r="I48" s="60">
        <v>16</v>
      </c>
      <c r="J48" s="61">
        <v>38</v>
      </c>
      <c r="K48" s="61">
        <v>12</v>
      </c>
      <c r="L48" s="63" t="s">
        <v>629</v>
      </c>
      <c r="M48" s="63" t="s">
        <v>629</v>
      </c>
      <c r="N48" s="58">
        <v>2</v>
      </c>
    </row>
    <row r="49" spans="1:14" x14ac:dyDescent="0.25">
      <c r="A49" s="58" t="s">
        <v>2080</v>
      </c>
      <c r="B49" s="58" t="s">
        <v>1203</v>
      </c>
      <c r="C49" s="58" t="s">
        <v>318</v>
      </c>
      <c r="D49" s="62">
        <v>42</v>
      </c>
      <c r="E49" s="62">
        <v>25</v>
      </c>
      <c r="F49" s="59">
        <v>42</v>
      </c>
      <c r="G49" s="59">
        <v>25</v>
      </c>
      <c r="H49" s="60" t="str">
        <f>IFERROR((INDEX('H8-10'!B52:B102,MATCH(K5,'H1,3-6'!C162:C212,0))),"—")</f>
        <v>—</v>
      </c>
      <c r="I49" s="60">
        <v>18</v>
      </c>
      <c r="J49" s="61">
        <v>42</v>
      </c>
      <c r="K49" s="61">
        <v>9</v>
      </c>
      <c r="L49" s="63">
        <v>42</v>
      </c>
      <c r="M49" s="63">
        <v>6</v>
      </c>
      <c r="N49" s="58">
        <v>2</v>
      </c>
    </row>
    <row r="50" spans="1:14" x14ac:dyDescent="0.25">
      <c r="A50" s="58" t="s">
        <v>2080</v>
      </c>
      <c r="B50" s="58" t="s">
        <v>1204</v>
      </c>
      <c r="C50" s="58" t="s">
        <v>320</v>
      </c>
      <c r="D50" s="62">
        <v>48</v>
      </c>
      <c r="E50" s="62">
        <v>33</v>
      </c>
      <c r="F50" s="59">
        <v>48</v>
      </c>
      <c r="G50" s="59">
        <v>27</v>
      </c>
      <c r="H50" s="60">
        <v>48</v>
      </c>
      <c r="I50" s="60">
        <v>31</v>
      </c>
      <c r="J50" s="61">
        <v>48</v>
      </c>
      <c r="K50" s="61">
        <v>21</v>
      </c>
      <c r="L50" s="63">
        <v>48</v>
      </c>
      <c r="M50" s="63">
        <v>19</v>
      </c>
      <c r="N50" s="58">
        <v>2</v>
      </c>
    </row>
    <row r="51" spans="1:14" x14ac:dyDescent="0.25">
      <c r="A51" s="58" t="s">
        <v>2080</v>
      </c>
      <c r="B51" s="58" t="s">
        <v>1205</v>
      </c>
      <c r="C51" s="58" t="s">
        <v>322</v>
      </c>
      <c r="D51" s="62">
        <v>68</v>
      </c>
      <c r="E51" s="62">
        <v>48</v>
      </c>
      <c r="F51" s="59">
        <v>68</v>
      </c>
      <c r="G51" s="59">
        <v>47</v>
      </c>
      <c r="H51" s="60">
        <v>68</v>
      </c>
      <c r="I51" s="60">
        <v>43</v>
      </c>
      <c r="J51" s="61">
        <v>68</v>
      </c>
      <c r="K51" s="61">
        <v>38</v>
      </c>
      <c r="L51" s="63">
        <v>68</v>
      </c>
      <c r="M51" s="63">
        <v>35</v>
      </c>
      <c r="N51" s="58">
        <v>4</v>
      </c>
    </row>
    <row r="52" spans="1:14" x14ac:dyDescent="0.25">
      <c r="A52" s="58" t="s">
        <v>2081</v>
      </c>
      <c r="B52" s="58" t="s">
        <v>1206</v>
      </c>
      <c r="C52" s="58" t="s">
        <v>106</v>
      </c>
      <c r="D52" s="62">
        <v>42</v>
      </c>
      <c r="E52" s="62">
        <v>35</v>
      </c>
      <c r="F52" s="59">
        <v>52</v>
      </c>
      <c r="G52" s="59">
        <v>29</v>
      </c>
      <c r="H52" s="60">
        <v>52</v>
      </c>
      <c r="I52" s="60">
        <v>22</v>
      </c>
      <c r="J52" s="61">
        <v>52</v>
      </c>
      <c r="K52" s="61">
        <v>12</v>
      </c>
      <c r="L52" s="63">
        <v>52</v>
      </c>
      <c r="M52" s="63">
        <v>9</v>
      </c>
      <c r="N52" s="58">
        <v>1</v>
      </c>
    </row>
    <row r="53" spans="1:14" x14ac:dyDescent="0.25">
      <c r="A53" s="58" t="s">
        <v>2081</v>
      </c>
      <c r="B53" s="58" t="s">
        <v>1207</v>
      </c>
      <c r="C53" s="58">
        <v>18</v>
      </c>
      <c r="D53" s="62">
        <v>49</v>
      </c>
      <c r="E53" s="62">
        <v>53</v>
      </c>
      <c r="F53" s="59">
        <v>92</v>
      </c>
      <c r="G53" s="59">
        <v>49</v>
      </c>
      <c r="H53" s="60">
        <v>77</v>
      </c>
      <c r="I53" s="60">
        <v>36</v>
      </c>
      <c r="J53" s="61">
        <v>92</v>
      </c>
      <c r="K53" s="61">
        <v>19</v>
      </c>
      <c r="L53" s="63">
        <v>92</v>
      </c>
      <c r="M53" s="63">
        <v>14</v>
      </c>
      <c r="N53" s="58">
        <v>1</v>
      </c>
    </row>
    <row r="54" spans="1:14" x14ac:dyDescent="0.25">
      <c r="A54" s="58" t="s">
        <v>2081</v>
      </c>
      <c r="B54" s="58" t="s">
        <v>1208</v>
      </c>
      <c r="C54" s="58" t="s">
        <v>37</v>
      </c>
      <c r="D54" s="62">
        <v>58</v>
      </c>
      <c r="E54" s="62">
        <v>64</v>
      </c>
      <c r="F54" s="59">
        <v>108</v>
      </c>
      <c r="G54" s="59">
        <v>61</v>
      </c>
      <c r="H54" s="60">
        <v>91</v>
      </c>
      <c r="I54" s="60">
        <v>46</v>
      </c>
      <c r="J54" s="61">
        <v>112</v>
      </c>
      <c r="K54" s="61">
        <v>25</v>
      </c>
      <c r="L54" s="63">
        <v>112</v>
      </c>
      <c r="M54" s="63">
        <v>18</v>
      </c>
      <c r="N54" s="58">
        <v>1</v>
      </c>
    </row>
    <row r="55" spans="1:14" x14ac:dyDescent="0.25">
      <c r="A55" s="58" t="s">
        <v>2081</v>
      </c>
      <c r="B55" s="58" t="s">
        <v>1209</v>
      </c>
      <c r="C55" s="58" t="s">
        <v>38</v>
      </c>
      <c r="D55" s="62">
        <v>58</v>
      </c>
      <c r="E55" s="62">
        <v>64</v>
      </c>
      <c r="F55" s="59">
        <v>108</v>
      </c>
      <c r="G55" s="59">
        <v>61</v>
      </c>
      <c r="H55" s="60">
        <v>91</v>
      </c>
      <c r="I55" s="60">
        <v>46</v>
      </c>
      <c r="J55" s="61">
        <v>116</v>
      </c>
      <c r="K55" s="61">
        <v>25</v>
      </c>
      <c r="L55" s="63">
        <v>116</v>
      </c>
      <c r="M55" s="63">
        <v>18</v>
      </c>
      <c r="N55" s="58">
        <v>1</v>
      </c>
    </row>
    <row r="56" spans="1:14" x14ac:dyDescent="0.25">
      <c r="A56" s="58" t="s">
        <v>2081</v>
      </c>
      <c r="B56" s="58" t="s">
        <v>1210</v>
      </c>
      <c r="C56" s="58" t="s">
        <v>39</v>
      </c>
      <c r="D56" s="62">
        <v>58</v>
      </c>
      <c r="E56" s="62">
        <v>64</v>
      </c>
      <c r="F56" s="59">
        <v>108</v>
      </c>
      <c r="G56" s="59">
        <v>61</v>
      </c>
      <c r="H56" s="60">
        <v>91</v>
      </c>
      <c r="I56" s="60">
        <v>46</v>
      </c>
      <c r="J56" s="61">
        <v>126</v>
      </c>
      <c r="K56" s="61">
        <v>25</v>
      </c>
      <c r="L56" s="63">
        <v>163</v>
      </c>
      <c r="M56" s="63">
        <v>18</v>
      </c>
      <c r="N56" s="58">
        <v>1</v>
      </c>
    </row>
    <row r="57" spans="1:14" x14ac:dyDescent="0.25">
      <c r="A57" s="58" t="s">
        <v>2081</v>
      </c>
      <c r="B57" s="58" t="s">
        <v>1211</v>
      </c>
      <c r="C57" s="58" t="s">
        <v>40</v>
      </c>
      <c r="D57" s="62">
        <v>58</v>
      </c>
      <c r="E57" s="62">
        <v>64</v>
      </c>
      <c r="F57" s="59">
        <v>108</v>
      </c>
      <c r="G57" s="59">
        <v>61</v>
      </c>
      <c r="H57" s="60">
        <v>91</v>
      </c>
      <c r="I57" s="60">
        <v>46</v>
      </c>
      <c r="J57" s="61">
        <v>126</v>
      </c>
      <c r="K57" s="61">
        <v>25</v>
      </c>
      <c r="L57" s="63">
        <v>168</v>
      </c>
      <c r="M57" s="63">
        <v>18</v>
      </c>
      <c r="N57" s="58">
        <v>1</v>
      </c>
    </row>
    <row r="58" spans="1:14" x14ac:dyDescent="0.25">
      <c r="A58" s="58" t="s">
        <v>2081</v>
      </c>
      <c r="B58" s="58" t="s">
        <v>1212</v>
      </c>
      <c r="C58" s="58" t="s">
        <v>41</v>
      </c>
      <c r="D58" s="62">
        <v>75</v>
      </c>
      <c r="E58" s="62">
        <v>124</v>
      </c>
      <c r="F58" s="59">
        <v>138</v>
      </c>
      <c r="G58" s="59">
        <v>118</v>
      </c>
      <c r="H58" s="60">
        <v>118</v>
      </c>
      <c r="I58" s="60">
        <v>92</v>
      </c>
      <c r="J58" s="61">
        <v>165</v>
      </c>
      <c r="K58" s="61">
        <v>51</v>
      </c>
      <c r="L58" s="63">
        <v>220</v>
      </c>
      <c r="M58" s="63">
        <v>38</v>
      </c>
      <c r="N58" s="58">
        <v>5</v>
      </c>
    </row>
    <row r="59" spans="1:14" x14ac:dyDescent="0.25">
      <c r="A59" s="58" t="s">
        <v>2081</v>
      </c>
      <c r="B59" s="58" t="s">
        <v>1213</v>
      </c>
      <c r="C59" s="58" t="s">
        <v>42</v>
      </c>
      <c r="D59" s="62">
        <v>75</v>
      </c>
      <c r="E59" s="62">
        <v>125</v>
      </c>
      <c r="F59" s="59">
        <v>138</v>
      </c>
      <c r="G59" s="59">
        <v>118</v>
      </c>
      <c r="H59" s="60">
        <v>118</v>
      </c>
      <c r="I59" s="60">
        <v>92</v>
      </c>
      <c r="J59" s="61">
        <v>165</v>
      </c>
      <c r="K59" s="61">
        <v>51</v>
      </c>
      <c r="L59" s="63">
        <v>225</v>
      </c>
      <c r="M59" s="63">
        <v>38</v>
      </c>
      <c r="N59" s="58">
        <v>5</v>
      </c>
    </row>
    <row r="60" spans="1:14" x14ac:dyDescent="0.25">
      <c r="A60" s="58" t="s">
        <v>2081</v>
      </c>
      <c r="B60" s="58" t="s">
        <v>1214</v>
      </c>
      <c r="C60" s="58" t="s">
        <v>43</v>
      </c>
      <c r="D60" s="62">
        <v>75</v>
      </c>
      <c r="E60" s="62">
        <v>188</v>
      </c>
      <c r="F60" s="59" t="s">
        <v>629</v>
      </c>
      <c r="G60" s="59" t="s">
        <v>629</v>
      </c>
      <c r="H60" s="60">
        <v>118</v>
      </c>
      <c r="I60" s="60">
        <v>148</v>
      </c>
      <c r="J60" s="61">
        <v>165</v>
      </c>
      <c r="K60" s="61">
        <v>85</v>
      </c>
      <c r="L60" s="63">
        <v>272</v>
      </c>
      <c r="M60" s="63">
        <v>64</v>
      </c>
      <c r="N60" s="58">
        <v>5</v>
      </c>
    </row>
    <row r="61" spans="1:14" x14ac:dyDescent="0.25">
      <c r="A61" s="58" t="s">
        <v>2081</v>
      </c>
      <c r="B61" s="58" t="s">
        <v>1215</v>
      </c>
      <c r="C61" s="58" t="s">
        <v>44</v>
      </c>
      <c r="D61" s="62">
        <v>75</v>
      </c>
      <c r="E61" s="62">
        <v>195</v>
      </c>
      <c r="F61" s="59" t="s">
        <v>629</v>
      </c>
      <c r="G61" s="59" t="s">
        <v>629</v>
      </c>
      <c r="H61" s="60">
        <v>118</v>
      </c>
      <c r="I61" s="60">
        <v>148</v>
      </c>
      <c r="J61" s="61">
        <v>165</v>
      </c>
      <c r="K61" s="61">
        <v>85</v>
      </c>
      <c r="L61" s="63">
        <v>281</v>
      </c>
      <c r="M61" s="63">
        <v>64</v>
      </c>
      <c r="N61" s="58">
        <v>5</v>
      </c>
    </row>
    <row r="62" spans="1:14" x14ac:dyDescent="0.25">
      <c r="A62" s="58" t="s">
        <v>2081</v>
      </c>
      <c r="B62" s="58" t="s">
        <v>1216</v>
      </c>
      <c r="C62" s="58" t="s">
        <v>45</v>
      </c>
      <c r="D62" s="62">
        <v>75</v>
      </c>
      <c r="E62" s="62">
        <v>273</v>
      </c>
      <c r="F62" s="59" t="s">
        <v>629</v>
      </c>
      <c r="G62" s="59" t="s">
        <v>629</v>
      </c>
      <c r="H62" s="60">
        <v>118</v>
      </c>
      <c r="I62" s="60">
        <v>213</v>
      </c>
      <c r="J62" s="61">
        <v>165</v>
      </c>
      <c r="K62" s="61">
        <v>125</v>
      </c>
      <c r="L62" s="63">
        <v>328</v>
      </c>
      <c r="M62" s="63">
        <v>95</v>
      </c>
      <c r="N62" s="58">
        <v>5</v>
      </c>
    </row>
    <row r="63" spans="1:14" x14ac:dyDescent="0.25">
      <c r="A63" s="58" t="s">
        <v>2081</v>
      </c>
      <c r="B63" s="58" t="s">
        <v>1217</v>
      </c>
      <c r="C63" s="58" t="s">
        <v>46</v>
      </c>
      <c r="D63" s="62">
        <v>75</v>
      </c>
      <c r="E63" s="62">
        <v>273</v>
      </c>
      <c r="F63" s="59" t="s">
        <v>629</v>
      </c>
      <c r="G63" s="59" t="s">
        <v>629</v>
      </c>
      <c r="H63" s="60">
        <v>118</v>
      </c>
      <c r="I63" s="60">
        <v>213</v>
      </c>
      <c r="J63" s="61">
        <v>165</v>
      </c>
      <c r="K63" s="61">
        <v>125</v>
      </c>
      <c r="L63" s="63">
        <v>337</v>
      </c>
      <c r="M63" s="63">
        <v>95</v>
      </c>
      <c r="N63" s="58">
        <v>5</v>
      </c>
    </row>
    <row r="64" spans="1:14" x14ac:dyDescent="0.25">
      <c r="A64" s="58" t="s">
        <v>2081</v>
      </c>
      <c r="B64" s="58" t="s">
        <v>1218</v>
      </c>
      <c r="C64" s="58" t="s">
        <v>47</v>
      </c>
      <c r="D64" s="62">
        <v>75</v>
      </c>
      <c r="E64" s="62">
        <v>273</v>
      </c>
      <c r="F64" s="59" t="s">
        <v>629</v>
      </c>
      <c r="G64" s="59" t="s">
        <v>629</v>
      </c>
      <c r="H64" s="60">
        <v>118</v>
      </c>
      <c r="I64" s="60">
        <v>213</v>
      </c>
      <c r="J64" s="61">
        <v>165</v>
      </c>
      <c r="K64" s="61">
        <v>125</v>
      </c>
      <c r="L64" s="63">
        <v>351</v>
      </c>
      <c r="M64" s="63">
        <v>95</v>
      </c>
      <c r="N64" s="58">
        <v>5</v>
      </c>
    </row>
    <row r="65" spans="1:14" x14ac:dyDescent="0.25">
      <c r="A65" s="58" t="s">
        <v>2081</v>
      </c>
      <c r="B65" s="58" t="s">
        <v>1219</v>
      </c>
      <c r="C65" s="58" t="s">
        <v>48</v>
      </c>
      <c r="D65" s="62">
        <v>75</v>
      </c>
      <c r="E65" s="62">
        <v>273</v>
      </c>
      <c r="F65" s="59" t="s">
        <v>629</v>
      </c>
      <c r="G65" s="59" t="s">
        <v>629</v>
      </c>
      <c r="H65" s="60">
        <v>118</v>
      </c>
      <c r="I65" s="60">
        <v>213</v>
      </c>
      <c r="J65" s="61">
        <v>165</v>
      </c>
      <c r="K65" s="61">
        <v>125</v>
      </c>
      <c r="L65" s="63">
        <v>361</v>
      </c>
      <c r="M65" s="63">
        <v>95</v>
      </c>
      <c r="N65" s="58">
        <v>5</v>
      </c>
    </row>
    <row r="66" spans="1:14" x14ac:dyDescent="0.25">
      <c r="A66" s="58" t="s">
        <v>2081</v>
      </c>
      <c r="B66" s="58" t="s">
        <v>1220</v>
      </c>
      <c r="C66" s="58" t="s">
        <v>49</v>
      </c>
      <c r="D66" s="62">
        <v>75</v>
      </c>
      <c r="E66" s="62">
        <v>356</v>
      </c>
      <c r="F66" s="59" t="s">
        <v>629</v>
      </c>
      <c r="G66" s="59" t="s">
        <v>629</v>
      </c>
      <c r="H66" s="60">
        <v>118</v>
      </c>
      <c r="I66" s="60">
        <v>285</v>
      </c>
      <c r="J66" s="61">
        <v>165</v>
      </c>
      <c r="K66" s="61">
        <v>173</v>
      </c>
      <c r="L66" s="63">
        <v>397</v>
      </c>
      <c r="M66" s="63">
        <v>131</v>
      </c>
      <c r="N66" s="58">
        <v>5</v>
      </c>
    </row>
    <row r="67" spans="1:14" x14ac:dyDescent="0.25">
      <c r="A67" s="58" t="s">
        <v>2081</v>
      </c>
      <c r="B67" s="58" t="s">
        <v>1221</v>
      </c>
      <c r="C67" s="58" t="s">
        <v>50</v>
      </c>
      <c r="D67" s="62">
        <v>75</v>
      </c>
      <c r="E67" s="62">
        <v>356</v>
      </c>
      <c r="F67" s="59" t="s">
        <v>629</v>
      </c>
      <c r="G67" s="59" t="s">
        <v>629</v>
      </c>
      <c r="H67" s="60">
        <v>118</v>
      </c>
      <c r="I67" s="60">
        <v>285</v>
      </c>
      <c r="J67" s="61">
        <v>165</v>
      </c>
      <c r="K67" s="61">
        <v>173</v>
      </c>
      <c r="L67" s="63">
        <v>407</v>
      </c>
      <c r="M67" s="63">
        <v>131</v>
      </c>
      <c r="N67" s="58">
        <v>5</v>
      </c>
    </row>
    <row r="68" spans="1:14" x14ac:dyDescent="0.25">
      <c r="A68" s="58" t="s">
        <v>2081</v>
      </c>
      <c r="B68" s="58" t="s">
        <v>1222</v>
      </c>
      <c r="C68" s="58" t="s">
        <v>121</v>
      </c>
      <c r="D68" s="62">
        <v>75</v>
      </c>
      <c r="E68" s="62">
        <v>356</v>
      </c>
      <c r="F68" s="59" t="s">
        <v>629</v>
      </c>
      <c r="G68" s="59" t="s">
        <v>629</v>
      </c>
      <c r="H68" s="60">
        <v>118</v>
      </c>
      <c r="I68" s="60">
        <v>285</v>
      </c>
      <c r="J68" s="61">
        <v>165</v>
      </c>
      <c r="K68" s="61">
        <v>173</v>
      </c>
      <c r="L68" s="63">
        <v>416</v>
      </c>
      <c r="M68" s="63">
        <v>131</v>
      </c>
      <c r="N68" s="58">
        <v>5</v>
      </c>
    </row>
    <row r="69" spans="1:14" x14ac:dyDescent="0.25">
      <c r="A69" s="58" t="s">
        <v>2081</v>
      </c>
      <c r="B69" s="58" t="s">
        <v>1223</v>
      </c>
      <c r="C69" s="58" t="s">
        <v>51</v>
      </c>
      <c r="D69" s="62">
        <v>90</v>
      </c>
      <c r="E69" s="62">
        <v>530</v>
      </c>
      <c r="F69" s="59" t="s">
        <v>629</v>
      </c>
      <c r="G69" s="59" t="s">
        <v>629</v>
      </c>
      <c r="H69" s="60">
        <v>145</v>
      </c>
      <c r="I69" s="60">
        <v>445</v>
      </c>
      <c r="J69" s="61">
        <v>202</v>
      </c>
      <c r="K69" s="61">
        <v>285</v>
      </c>
      <c r="L69" s="63">
        <v>527</v>
      </c>
      <c r="M69" s="63">
        <v>220</v>
      </c>
      <c r="N69" s="58">
        <v>10</v>
      </c>
    </row>
    <row r="70" spans="1:14" x14ac:dyDescent="0.25">
      <c r="A70" s="58" t="s">
        <v>2081</v>
      </c>
      <c r="B70" s="58" t="s">
        <v>1224</v>
      </c>
      <c r="C70" s="58" t="s">
        <v>52</v>
      </c>
      <c r="D70" s="62">
        <v>90</v>
      </c>
      <c r="E70" s="62">
        <v>530</v>
      </c>
      <c r="F70" s="59" t="s">
        <v>629</v>
      </c>
      <c r="G70" s="59" t="s">
        <v>629</v>
      </c>
      <c r="H70" s="60">
        <v>145</v>
      </c>
      <c r="I70" s="60">
        <v>445</v>
      </c>
      <c r="J70" s="61">
        <v>202</v>
      </c>
      <c r="K70" s="61">
        <v>285</v>
      </c>
      <c r="L70" s="63">
        <v>527</v>
      </c>
      <c r="M70" s="63">
        <v>220</v>
      </c>
      <c r="N70" s="58">
        <v>10</v>
      </c>
    </row>
    <row r="71" spans="1:14" x14ac:dyDescent="0.25">
      <c r="A71" s="58" t="s">
        <v>2081</v>
      </c>
      <c r="B71" s="58" t="s">
        <v>1225</v>
      </c>
      <c r="C71" s="58" t="s">
        <v>53</v>
      </c>
      <c r="D71" s="62">
        <v>75</v>
      </c>
      <c r="E71" s="62">
        <v>66</v>
      </c>
      <c r="F71" s="59">
        <v>87</v>
      </c>
      <c r="G71" s="59">
        <v>62</v>
      </c>
      <c r="H71" s="60">
        <v>87</v>
      </c>
      <c r="I71" s="60">
        <v>47</v>
      </c>
      <c r="J71" s="61">
        <v>87</v>
      </c>
      <c r="K71" s="61">
        <v>26</v>
      </c>
      <c r="L71" s="63">
        <v>87</v>
      </c>
      <c r="M71" s="63">
        <v>19</v>
      </c>
      <c r="N71" s="58">
        <v>5</v>
      </c>
    </row>
    <row r="72" spans="1:14" x14ac:dyDescent="0.25">
      <c r="A72" s="58" t="s">
        <v>2081</v>
      </c>
      <c r="B72" s="58" t="s">
        <v>1226</v>
      </c>
      <c r="C72" s="58" t="s">
        <v>54</v>
      </c>
      <c r="D72" s="62">
        <v>75</v>
      </c>
      <c r="E72" s="62">
        <v>66</v>
      </c>
      <c r="F72" s="59">
        <v>138</v>
      </c>
      <c r="G72" s="59">
        <v>62</v>
      </c>
      <c r="H72" s="60">
        <v>118</v>
      </c>
      <c r="I72" s="60">
        <v>47</v>
      </c>
      <c r="J72" s="61">
        <v>153</v>
      </c>
      <c r="K72" s="61">
        <v>26</v>
      </c>
      <c r="L72" s="63">
        <v>153</v>
      </c>
      <c r="M72" s="63">
        <v>19</v>
      </c>
      <c r="N72" s="58">
        <v>5</v>
      </c>
    </row>
    <row r="73" spans="1:14" x14ac:dyDescent="0.25">
      <c r="A73" s="58" t="s">
        <v>2081</v>
      </c>
      <c r="B73" s="58" t="s">
        <v>1227</v>
      </c>
      <c r="C73" s="58" t="s">
        <v>55</v>
      </c>
      <c r="D73" s="62">
        <v>75</v>
      </c>
      <c r="E73" s="62">
        <v>125</v>
      </c>
      <c r="F73" s="59">
        <v>138</v>
      </c>
      <c r="G73" s="59">
        <v>118</v>
      </c>
      <c r="H73" s="60">
        <v>118</v>
      </c>
      <c r="I73" s="60">
        <v>92</v>
      </c>
      <c r="J73" s="61">
        <v>165</v>
      </c>
      <c r="K73" s="61">
        <v>51</v>
      </c>
      <c r="L73" s="63">
        <v>211</v>
      </c>
      <c r="M73" s="63">
        <v>38</v>
      </c>
      <c r="N73" s="58">
        <v>5</v>
      </c>
    </row>
    <row r="74" spans="1:14" x14ac:dyDescent="0.25">
      <c r="A74" s="58" t="s">
        <v>2081</v>
      </c>
      <c r="B74" s="58" t="s">
        <v>1228</v>
      </c>
      <c r="C74" s="58" t="s">
        <v>56</v>
      </c>
      <c r="D74" s="62">
        <v>75</v>
      </c>
      <c r="E74" s="62">
        <v>125</v>
      </c>
      <c r="F74" s="59">
        <v>138</v>
      </c>
      <c r="G74" s="59">
        <v>118</v>
      </c>
      <c r="H74" s="60">
        <v>118</v>
      </c>
      <c r="I74" s="60">
        <v>92</v>
      </c>
      <c r="J74" s="61">
        <v>165</v>
      </c>
      <c r="K74" s="61">
        <v>51</v>
      </c>
      <c r="L74" s="63">
        <v>225</v>
      </c>
      <c r="M74" s="63">
        <v>38</v>
      </c>
      <c r="N74" s="58">
        <v>5</v>
      </c>
    </row>
    <row r="75" spans="1:14" x14ac:dyDescent="0.25">
      <c r="A75" s="58" t="s">
        <v>2081</v>
      </c>
      <c r="B75" s="58" t="s">
        <v>1229</v>
      </c>
      <c r="C75" s="58" t="s">
        <v>57</v>
      </c>
      <c r="D75" s="62">
        <v>75</v>
      </c>
      <c r="E75" s="62">
        <v>195</v>
      </c>
      <c r="F75" s="59">
        <v>138</v>
      </c>
      <c r="G75" s="59">
        <v>186</v>
      </c>
      <c r="H75" s="60">
        <v>118</v>
      </c>
      <c r="I75" s="60">
        <v>148</v>
      </c>
      <c r="J75" s="61">
        <v>165</v>
      </c>
      <c r="K75" s="61">
        <v>85</v>
      </c>
      <c r="L75" s="63">
        <v>248</v>
      </c>
      <c r="M75" s="63">
        <v>64</v>
      </c>
      <c r="N75" s="58">
        <v>10</v>
      </c>
    </row>
    <row r="76" spans="1:14" x14ac:dyDescent="0.25">
      <c r="A76" s="58" t="s">
        <v>2081</v>
      </c>
      <c r="B76" s="58" t="s">
        <v>1230</v>
      </c>
      <c r="C76" s="58" t="s">
        <v>58</v>
      </c>
      <c r="D76" s="62">
        <v>75</v>
      </c>
      <c r="E76" s="62">
        <v>195</v>
      </c>
      <c r="F76" s="59">
        <v>138</v>
      </c>
      <c r="G76" s="59">
        <v>186</v>
      </c>
      <c r="H76" s="60">
        <v>118</v>
      </c>
      <c r="I76" s="60">
        <v>148</v>
      </c>
      <c r="J76" s="61">
        <v>165</v>
      </c>
      <c r="K76" s="61">
        <v>85</v>
      </c>
      <c r="L76" s="63">
        <v>259</v>
      </c>
      <c r="M76" s="63">
        <v>64</v>
      </c>
      <c r="N76" s="58">
        <v>10</v>
      </c>
    </row>
    <row r="77" spans="1:14" x14ac:dyDescent="0.25">
      <c r="A77" s="58" t="s">
        <v>2081</v>
      </c>
      <c r="B77" s="58" t="s">
        <v>1231</v>
      </c>
      <c r="C77" s="58" t="s">
        <v>59</v>
      </c>
      <c r="D77" s="62">
        <v>75</v>
      </c>
      <c r="E77" s="62">
        <v>195</v>
      </c>
      <c r="F77" s="59" t="s">
        <v>629</v>
      </c>
      <c r="G77" s="59" t="s">
        <v>629</v>
      </c>
      <c r="H77" s="60">
        <v>118</v>
      </c>
      <c r="I77" s="60">
        <v>148</v>
      </c>
      <c r="J77" s="61">
        <v>165</v>
      </c>
      <c r="K77" s="61">
        <v>85</v>
      </c>
      <c r="L77" s="63">
        <v>265</v>
      </c>
      <c r="M77" s="63">
        <v>64</v>
      </c>
      <c r="N77" s="58">
        <v>10</v>
      </c>
    </row>
    <row r="78" spans="1:14" x14ac:dyDescent="0.25">
      <c r="A78" s="58" t="s">
        <v>2081</v>
      </c>
      <c r="B78" s="58" t="s">
        <v>1232</v>
      </c>
      <c r="C78" s="58" t="s">
        <v>60</v>
      </c>
      <c r="D78" s="62">
        <v>75</v>
      </c>
      <c r="E78" s="62">
        <v>195</v>
      </c>
      <c r="F78" s="59" t="s">
        <v>629</v>
      </c>
      <c r="G78" s="59" t="s">
        <v>629</v>
      </c>
      <c r="H78" s="60">
        <v>118</v>
      </c>
      <c r="I78" s="60">
        <v>148</v>
      </c>
      <c r="J78" s="61">
        <v>165</v>
      </c>
      <c r="K78" s="61">
        <v>85</v>
      </c>
      <c r="L78" s="63">
        <v>281</v>
      </c>
      <c r="M78" s="63">
        <v>64</v>
      </c>
      <c r="N78" s="58">
        <v>5</v>
      </c>
    </row>
    <row r="79" spans="1:14" x14ac:dyDescent="0.25">
      <c r="A79" s="58" t="s">
        <v>2081</v>
      </c>
      <c r="B79" s="58" t="s">
        <v>1233</v>
      </c>
      <c r="C79" s="58" t="s">
        <v>61</v>
      </c>
      <c r="D79" s="62">
        <v>75</v>
      </c>
      <c r="E79" s="62">
        <v>273</v>
      </c>
      <c r="F79" s="59" t="s">
        <v>629</v>
      </c>
      <c r="G79" s="59" t="s">
        <v>629</v>
      </c>
      <c r="H79" s="60">
        <v>118</v>
      </c>
      <c r="I79" s="60">
        <v>213</v>
      </c>
      <c r="J79" s="61">
        <v>165</v>
      </c>
      <c r="K79" s="61">
        <v>125</v>
      </c>
      <c r="L79" s="63">
        <v>337</v>
      </c>
      <c r="M79" s="63">
        <v>95</v>
      </c>
      <c r="N79" s="58">
        <v>10</v>
      </c>
    </row>
    <row r="80" spans="1:14" x14ac:dyDescent="0.25">
      <c r="A80" s="58" t="s">
        <v>2081</v>
      </c>
      <c r="B80" s="58" t="s">
        <v>1234</v>
      </c>
      <c r="C80" s="58" t="s">
        <v>62</v>
      </c>
      <c r="D80" s="62">
        <v>75</v>
      </c>
      <c r="E80" s="62">
        <v>356</v>
      </c>
      <c r="F80" s="59" t="s">
        <v>629</v>
      </c>
      <c r="G80" s="59" t="s">
        <v>629</v>
      </c>
      <c r="H80" s="60">
        <v>118</v>
      </c>
      <c r="I80" s="60">
        <v>285</v>
      </c>
      <c r="J80" s="61">
        <v>165</v>
      </c>
      <c r="K80" s="61">
        <v>173</v>
      </c>
      <c r="L80" s="63">
        <v>434</v>
      </c>
      <c r="M80" s="63">
        <v>131</v>
      </c>
      <c r="N80" s="58">
        <v>10</v>
      </c>
    </row>
    <row r="81" spans="1:14" x14ac:dyDescent="0.25">
      <c r="A81" s="58" t="s">
        <v>2081</v>
      </c>
      <c r="B81" s="58" t="s">
        <v>1235</v>
      </c>
      <c r="C81" s="58" t="s">
        <v>63</v>
      </c>
      <c r="D81" s="62">
        <v>75</v>
      </c>
      <c r="E81" s="62">
        <v>356</v>
      </c>
      <c r="F81" s="59" t="s">
        <v>629</v>
      </c>
      <c r="G81" s="59" t="s">
        <v>629</v>
      </c>
      <c r="H81" s="60">
        <v>118</v>
      </c>
      <c r="I81" s="60">
        <v>285</v>
      </c>
      <c r="J81" s="61">
        <v>165</v>
      </c>
      <c r="K81" s="61">
        <v>173</v>
      </c>
      <c r="L81" s="63">
        <v>434</v>
      </c>
      <c r="M81" s="63">
        <v>131</v>
      </c>
      <c r="N81" s="58">
        <v>5</v>
      </c>
    </row>
    <row r="82" spans="1:14" x14ac:dyDescent="0.25">
      <c r="A82" s="58" t="s">
        <v>2081</v>
      </c>
      <c r="B82" s="58" t="s">
        <v>1236</v>
      </c>
      <c r="C82" s="58" t="s">
        <v>64</v>
      </c>
      <c r="D82" s="62">
        <v>90</v>
      </c>
      <c r="E82" s="62">
        <v>356</v>
      </c>
      <c r="F82" s="59" t="s">
        <v>629</v>
      </c>
      <c r="G82" s="59" t="s">
        <v>629</v>
      </c>
      <c r="H82" s="60">
        <v>145</v>
      </c>
      <c r="I82" s="60">
        <v>285</v>
      </c>
      <c r="J82" s="61">
        <v>202</v>
      </c>
      <c r="K82" s="61">
        <v>173</v>
      </c>
      <c r="L82" s="63">
        <v>400</v>
      </c>
      <c r="M82" s="63">
        <v>131</v>
      </c>
      <c r="N82" s="58">
        <v>10</v>
      </c>
    </row>
    <row r="83" spans="1:14" x14ac:dyDescent="0.25">
      <c r="A83" s="58" t="s">
        <v>2081</v>
      </c>
      <c r="B83" s="58" t="s">
        <v>1237</v>
      </c>
      <c r="C83" s="58" t="s">
        <v>65</v>
      </c>
      <c r="D83" s="62">
        <v>90</v>
      </c>
      <c r="E83" s="62">
        <v>356</v>
      </c>
      <c r="F83" s="59" t="s">
        <v>629</v>
      </c>
      <c r="G83" s="59" t="s">
        <v>629</v>
      </c>
      <c r="H83" s="60">
        <v>145</v>
      </c>
      <c r="I83" s="60">
        <v>285</v>
      </c>
      <c r="J83" s="61">
        <v>202</v>
      </c>
      <c r="K83" s="61">
        <v>173</v>
      </c>
      <c r="L83" s="63">
        <v>414</v>
      </c>
      <c r="M83" s="63">
        <v>131</v>
      </c>
      <c r="N83" s="58">
        <v>10</v>
      </c>
    </row>
    <row r="84" spans="1:14" x14ac:dyDescent="0.25">
      <c r="A84" s="58" t="s">
        <v>2081</v>
      </c>
      <c r="B84" s="58" t="s">
        <v>1238</v>
      </c>
      <c r="C84" s="58" t="s">
        <v>66</v>
      </c>
      <c r="D84" s="62">
        <v>90</v>
      </c>
      <c r="E84" s="62">
        <v>442</v>
      </c>
      <c r="F84" s="59" t="s">
        <v>629</v>
      </c>
      <c r="G84" s="59" t="s">
        <v>629</v>
      </c>
      <c r="H84" s="60">
        <v>145</v>
      </c>
      <c r="I84" s="60">
        <v>363</v>
      </c>
      <c r="J84" s="61">
        <v>202</v>
      </c>
      <c r="K84" s="61">
        <v>226</v>
      </c>
      <c r="L84" s="63">
        <v>502</v>
      </c>
      <c r="M84" s="63">
        <v>173</v>
      </c>
      <c r="N84" s="58">
        <v>10</v>
      </c>
    </row>
    <row r="85" spans="1:14" x14ac:dyDescent="0.25">
      <c r="A85" s="58" t="s">
        <v>2081</v>
      </c>
      <c r="B85" s="58" t="s">
        <v>1239</v>
      </c>
      <c r="C85" s="58" t="s">
        <v>67</v>
      </c>
      <c r="D85" s="62">
        <v>90</v>
      </c>
      <c r="E85" s="62">
        <v>442</v>
      </c>
      <c r="F85" s="59" t="s">
        <v>629</v>
      </c>
      <c r="G85" s="59" t="s">
        <v>629</v>
      </c>
      <c r="H85" s="60">
        <v>145</v>
      </c>
      <c r="I85" s="60">
        <v>363</v>
      </c>
      <c r="J85" s="61">
        <v>202</v>
      </c>
      <c r="K85" s="61">
        <v>226</v>
      </c>
      <c r="L85" s="63">
        <v>469</v>
      </c>
      <c r="M85" s="63">
        <v>173</v>
      </c>
      <c r="N85" s="58">
        <v>10</v>
      </c>
    </row>
    <row r="86" spans="1:14" x14ac:dyDescent="0.25">
      <c r="A86" s="58" t="s">
        <v>2081</v>
      </c>
      <c r="B86" s="58" t="s">
        <v>1240</v>
      </c>
      <c r="C86" s="58" t="s">
        <v>68</v>
      </c>
      <c r="D86" s="62">
        <v>90</v>
      </c>
      <c r="E86" s="62">
        <v>442</v>
      </c>
      <c r="F86" s="59" t="s">
        <v>629</v>
      </c>
      <c r="G86" s="59" t="s">
        <v>629</v>
      </c>
      <c r="H86" s="60">
        <v>145</v>
      </c>
      <c r="I86" s="60">
        <v>363</v>
      </c>
      <c r="J86" s="61">
        <v>202</v>
      </c>
      <c r="K86" s="61">
        <v>226</v>
      </c>
      <c r="L86" s="63">
        <v>489</v>
      </c>
      <c r="M86" s="63">
        <v>173</v>
      </c>
      <c r="N86" s="58">
        <v>10</v>
      </c>
    </row>
    <row r="87" spans="1:14" x14ac:dyDescent="0.25">
      <c r="A87" s="58" t="s">
        <v>2081</v>
      </c>
      <c r="B87" s="58" t="s">
        <v>1241</v>
      </c>
      <c r="C87" s="58" t="s">
        <v>69</v>
      </c>
      <c r="D87" s="62" t="s">
        <v>629</v>
      </c>
      <c r="E87" s="62" t="s">
        <v>629</v>
      </c>
      <c r="F87" s="59" t="s">
        <v>629</v>
      </c>
      <c r="G87" s="59" t="s">
        <v>629</v>
      </c>
      <c r="H87" s="60">
        <v>145</v>
      </c>
      <c r="I87" s="60">
        <v>363</v>
      </c>
      <c r="J87" s="61">
        <v>202</v>
      </c>
      <c r="K87" s="61">
        <v>226</v>
      </c>
      <c r="L87" s="63">
        <v>510</v>
      </c>
      <c r="M87" s="63">
        <v>173</v>
      </c>
      <c r="N87" s="58">
        <v>10</v>
      </c>
    </row>
    <row r="88" spans="1:14" x14ac:dyDescent="0.25">
      <c r="A88" s="58" t="s">
        <v>2081</v>
      </c>
      <c r="B88" s="58" t="s">
        <v>1242</v>
      </c>
      <c r="C88" s="58" t="s">
        <v>70</v>
      </c>
      <c r="D88" s="62" t="s">
        <v>629</v>
      </c>
      <c r="E88" s="62" t="s">
        <v>629</v>
      </c>
      <c r="F88" s="59" t="s">
        <v>629</v>
      </c>
      <c r="G88" s="59" t="s">
        <v>629</v>
      </c>
      <c r="H88" s="60" t="s">
        <v>629</v>
      </c>
      <c r="I88" s="60" t="s">
        <v>629</v>
      </c>
      <c r="J88" s="61">
        <v>224</v>
      </c>
      <c r="K88" s="61">
        <v>472</v>
      </c>
      <c r="L88" s="63" t="s">
        <v>629</v>
      </c>
      <c r="M88" s="63" t="s">
        <v>629</v>
      </c>
      <c r="N88" s="58">
        <v>20</v>
      </c>
    </row>
    <row r="89" spans="1:14" x14ac:dyDescent="0.25">
      <c r="A89" s="58" t="s">
        <v>2081</v>
      </c>
      <c r="B89" s="58" t="s">
        <v>1243</v>
      </c>
      <c r="C89" s="58" t="s">
        <v>71</v>
      </c>
      <c r="D89" s="62" t="s">
        <v>629</v>
      </c>
      <c r="E89" s="62" t="s">
        <v>629</v>
      </c>
      <c r="F89" s="59" t="s">
        <v>629</v>
      </c>
      <c r="G89" s="59" t="s">
        <v>629</v>
      </c>
      <c r="H89" s="60">
        <v>161</v>
      </c>
      <c r="I89" s="60">
        <v>710</v>
      </c>
      <c r="J89" s="61">
        <v>224</v>
      </c>
      <c r="K89" s="61">
        <v>472</v>
      </c>
      <c r="L89" s="63">
        <v>579</v>
      </c>
      <c r="M89" s="63">
        <v>367</v>
      </c>
      <c r="N89" s="58">
        <v>20</v>
      </c>
    </row>
    <row r="90" spans="1:14" x14ac:dyDescent="0.25">
      <c r="A90" s="58" t="s">
        <v>2081</v>
      </c>
      <c r="B90" s="58" t="s">
        <v>1244</v>
      </c>
      <c r="C90" s="58" t="s">
        <v>72</v>
      </c>
      <c r="D90" s="62" t="s">
        <v>629</v>
      </c>
      <c r="E90" s="62" t="s">
        <v>629</v>
      </c>
      <c r="F90" s="59" t="s">
        <v>629</v>
      </c>
      <c r="G90" s="59" t="s">
        <v>629</v>
      </c>
      <c r="H90" s="60" t="s">
        <v>629</v>
      </c>
      <c r="I90" s="60" t="s">
        <v>629</v>
      </c>
      <c r="J90" s="61">
        <v>224</v>
      </c>
      <c r="K90" s="61">
        <v>574</v>
      </c>
      <c r="L90" s="63">
        <v>579</v>
      </c>
      <c r="M90" s="63">
        <v>450</v>
      </c>
      <c r="N90" s="58">
        <v>20</v>
      </c>
    </row>
    <row r="91" spans="1:14" x14ac:dyDescent="0.25">
      <c r="A91" s="58" t="s">
        <v>2081</v>
      </c>
      <c r="B91" s="58" t="s">
        <v>1245</v>
      </c>
      <c r="C91" s="58" t="s">
        <v>73</v>
      </c>
      <c r="D91" s="62" t="s">
        <v>629</v>
      </c>
      <c r="E91" s="62" t="s">
        <v>629</v>
      </c>
      <c r="F91" s="59" t="s">
        <v>629</v>
      </c>
      <c r="G91" s="59" t="s">
        <v>629</v>
      </c>
      <c r="H91" s="60" t="s">
        <v>629</v>
      </c>
      <c r="I91" s="60" t="s">
        <v>629</v>
      </c>
      <c r="J91" s="61">
        <v>224</v>
      </c>
      <c r="K91" s="61">
        <v>1026</v>
      </c>
      <c r="L91" s="63" t="s">
        <v>629</v>
      </c>
      <c r="M91" s="63" t="s">
        <v>629</v>
      </c>
      <c r="N91" s="58">
        <v>25</v>
      </c>
    </row>
    <row r="92" spans="1:14" x14ac:dyDescent="0.25">
      <c r="A92" s="58" t="s">
        <v>2081</v>
      </c>
      <c r="B92" s="58" t="s">
        <v>1246</v>
      </c>
      <c r="C92" s="58" t="s">
        <v>304</v>
      </c>
      <c r="D92" s="62" t="s">
        <v>629</v>
      </c>
      <c r="E92" s="62" t="s">
        <v>629</v>
      </c>
      <c r="F92" s="59" t="s">
        <v>629</v>
      </c>
      <c r="G92" s="59" t="s">
        <v>629</v>
      </c>
      <c r="H92" s="60" t="s">
        <v>629</v>
      </c>
      <c r="I92" s="60" t="s">
        <v>629</v>
      </c>
      <c r="J92" s="61">
        <v>224</v>
      </c>
      <c r="K92" s="61">
        <v>1269</v>
      </c>
      <c r="L92" s="63" t="s">
        <v>629</v>
      </c>
      <c r="M92" s="63" t="s">
        <v>629</v>
      </c>
      <c r="N92" s="58">
        <v>25</v>
      </c>
    </row>
    <row r="93" spans="1:14" x14ac:dyDescent="0.25">
      <c r="A93" s="58" t="s">
        <v>2081</v>
      </c>
      <c r="B93" s="58" t="s">
        <v>1247</v>
      </c>
      <c r="C93" s="58" t="s">
        <v>306</v>
      </c>
      <c r="D93" s="62" t="s">
        <v>629</v>
      </c>
      <c r="E93" s="62" t="s">
        <v>629</v>
      </c>
      <c r="F93" s="59" t="s">
        <v>629</v>
      </c>
      <c r="G93" s="59" t="s">
        <v>629</v>
      </c>
      <c r="H93" s="60" t="s">
        <v>629</v>
      </c>
      <c r="I93" s="60" t="s">
        <v>629</v>
      </c>
      <c r="J93" s="61">
        <v>224</v>
      </c>
      <c r="K93" s="61">
        <v>1393</v>
      </c>
      <c r="L93" s="63" t="s">
        <v>629</v>
      </c>
      <c r="M93" s="63" t="s">
        <v>629</v>
      </c>
      <c r="N93" s="58">
        <v>25</v>
      </c>
    </row>
    <row r="94" spans="1:14" x14ac:dyDescent="0.25">
      <c r="A94" s="58" t="s">
        <v>2081</v>
      </c>
      <c r="B94" s="58" t="s">
        <v>1248</v>
      </c>
      <c r="C94" s="58" t="s">
        <v>197</v>
      </c>
      <c r="D94" s="62">
        <v>75</v>
      </c>
      <c r="E94" s="62">
        <v>66</v>
      </c>
      <c r="F94" s="59">
        <v>87</v>
      </c>
      <c r="G94" s="59">
        <v>62</v>
      </c>
      <c r="H94" s="60">
        <v>87</v>
      </c>
      <c r="I94" s="60">
        <v>47</v>
      </c>
      <c r="J94" s="61">
        <v>87</v>
      </c>
      <c r="K94" s="61">
        <v>26</v>
      </c>
      <c r="L94" s="63">
        <v>87</v>
      </c>
      <c r="M94" s="63">
        <v>19</v>
      </c>
      <c r="N94" s="58">
        <v>5</v>
      </c>
    </row>
    <row r="95" spans="1:14" x14ac:dyDescent="0.25">
      <c r="A95" s="58" t="s">
        <v>2081</v>
      </c>
      <c r="B95" s="58" t="s">
        <v>1249</v>
      </c>
      <c r="C95" s="58" t="s">
        <v>75</v>
      </c>
      <c r="D95" s="62">
        <v>75</v>
      </c>
      <c r="E95" s="62">
        <v>195</v>
      </c>
      <c r="F95" s="59">
        <v>138</v>
      </c>
      <c r="G95" s="59">
        <v>186</v>
      </c>
      <c r="H95" s="60">
        <v>118</v>
      </c>
      <c r="I95" s="60">
        <v>148</v>
      </c>
      <c r="J95" s="61">
        <v>165</v>
      </c>
      <c r="K95" s="61">
        <v>85</v>
      </c>
      <c r="L95" s="63">
        <v>248</v>
      </c>
      <c r="M95" s="63">
        <v>64</v>
      </c>
      <c r="N95" s="58">
        <v>10</v>
      </c>
    </row>
    <row r="96" spans="1:14" x14ac:dyDescent="0.25">
      <c r="A96" s="58" t="s">
        <v>2081</v>
      </c>
      <c r="B96" s="58" t="s">
        <v>1250</v>
      </c>
      <c r="C96" s="58" t="s">
        <v>310</v>
      </c>
      <c r="D96" s="62" t="s">
        <v>629</v>
      </c>
      <c r="E96" s="62" t="s">
        <v>629</v>
      </c>
      <c r="F96" s="59" t="s">
        <v>629</v>
      </c>
      <c r="G96" s="59" t="s">
        <v>629</v>
      </c>
      <c r="H96" s="60" t="s">
        <v>629</v>
      </c>
      <c r="I96" s="60" t="s">
        <v>629</v>
      </c>
      <c r="J96" s="61" t="s">
        <v>629</v>
      </c>
      <c r="K96" s="61" t="s">
        <v>629</v>
      </c>
      <c r="L96" s="63" t="s">
        <v>629</v>
      </c>
      <c r="M96" s="63" t="s">
        <v>629</v>
      </c>
      <c r="N96" s="58" t="s">
        <v>629</v>
      </c>
    </row>
    <row r="97" spans="1:14" x14ac:dyDescent="0.25">
      <c r="A97" s="58" t="s">
        <v>2081</v>
      </c>
      <c r="B97" s="58" t="s">
        <v>1251</v>
      </c>
      <c r="C97" s="58" t="s">
        <v>312</v>
      </c>
      <c r="D97" s="62">
        <v>46</v>
      </c>
      <c r="E97" s="62">
        <v>32</v>
      </c>
      <c r="F97" s="59" t="s">
        <v>629</v>
      </c>
      <c r="G97" s="59" t="s">
        <v>629</v>
      </c>
      <c r="H97" s="60" t="s">
        <v>629</v>
      </c>
      <c r="I97" s="60" t="s">
        <v>629</v>
      </c>
      <c r="J97" s="61" t="s">
        <v>629</v>
      </c>
      <c r="K97" s="61" t="s">
        <v>629</v>
      </c>
      <c r="L97" s="63" t="s">
        <v>629</v>
      </c>
      <c r="M97" s="63" t="s">
        <v>629</v>
      </c>
      <c r="N97" s="58">
        <v>5</v>
      </c>
    </row>
    <row r="98" spans="1:14" x14ac:dyDescent="0.25">
      <c r="A98" s="58" t="s">
        <v>2081</v>
      </c>
      <c r="B98" s="58" t="s">
        <v>1252</v>
      </c>
      <c r="C98" s="58" t="s">
        <v>314</v>
      </c>
      <c r="D98" s="62">
        <v>52</v>
      </c>
      <c r="E98" s="62">
        <v>29</v>
      </c>
      <c r="F98" s="59">
        <v>50</v>
      </c>
      <c r="G98" s="59">
        <v>32</v>
      </c>
      <c r="H98" s="60">
        <v>48</v>
      </c>
      <c r="I98" s="60">
        <v>21</v>
      </c>
      <c r="J98" s="61">
        <v>50</v>
      </c>
      <c r="K98" s="61">
        <v>14</v>
      </c>
      <c r="L98" s="63" t="s">
        <v>629</v>
      </c>
      <c r="M98" s="63" t="s">
        <v>629</v>
      </c>
      <c r="N98" s="58">
        <v>10</v>
      </c>
    </row>
    <row r="99" spans="1:14" x14ac:dyDescent="0.25">
      <c r="A99" s="58" t="s">
        <v>2081</v>
      </c>
      <c r="B99" s="58" t="s">
        <v>1253</v>
      </c>
      <c r="C99" s="58" t="s">
        <v>316</v>
      </c>
      <c r="D99" s="62">
        <v>54</v>
      </c>
      <c r="E99" s="62">
        <v>45</v>
      </c>
      <c r="F99" s="59">
        <v>54</v>
      </c>
      <c r="G99" s="59">
        <v>43</v>
      </c>
      <c r="H99" s="60">
        <v>54</v>
      </c>
      <c r="I99" s="60">
        <v>41</v>
      </c>
      <c r="J99" s="61">
        <v>53</v>
      </c>
      <c r="K99" s="61">
        <v>23</v>
      </c>
      <c r="L99" s="63">
        <v>53</v>
      </c>
      <c r="M99" s="63">
        <v>23</v>
      </c>
      <c r="N99" s="58">
        <v>10</v>
      </c>
    </row>
    <row r="100" spans="1:14" x14ac:dyDescent="0.25">
      <c r="A100" s="58" t="s">
        <v>2081</v>
      </c>
      <c r="B100" s="58" t="s">
        <v>1254</v>
      </c>
      <c r="C100" s="58" t="s">
        <v>318</v>
      </c>
      <c r="D100" s="62">
        <v>54</v>
      </c>
      <c r="E100" s="62">
        <v>58</v>
      </c>
      <c r="F100" s="59">
        <v>54</v>
      </c>
      <c r="G100" s="59">
        <v>56</v>
      </c>
      <c r="H100" s="60">
        <v>54</v>
      </c>
      <c r="I100" s="60">
        <v>54</v>
      </c>
      <c r="J100" s="61">
        <v>53</v>
      </c>
      <c r="K100" s="61">
        <v>32</v>
      </c>
      <c r="L100" s="63">
        <v>53</v>
      </c>
      <c r="M100" s="63">
        <v>23</v>
      </c>
      <c r="N100" s="58">
        <v>15</v>
      </c>
    </row>
    <row r="101" spans="1:14" x14ac:dyDescent="0.25">
      <c r="A101" s="58" t="s">
        <v>2081</v>
      </c>
      <c r="B101" s="58" t="s">
        <v>1255</v>
      </c>
      <c r="C101" s="58" t="s">
        <v>320</v>
      </c>
      <c r="D101" s="62">
        <v>95</v>
      </c>
      <c r="E101" s="62">
        <v>83</v>
      </c>
      <c r="F101" s="59">
        <v>90</v>
      </c>
      <c r="G101" s="59">
        <v>82</v>
      </c>
      <c r="H101" s="60">
        <v>95</v>
      </c>
      <c r="I101" s="60">
        <v>73</v>
      </c>
      <c r="J101" s="61">
        <v>94</v>
      </c>
      <c r="K101" s="61">
        <v>50</v>
      </c>
      <c r="L101" s="63">
        <v>92</v>
      </c>
      <c r="M101" s="63">
        <v>38</v>
      </c>
      <c r="N101" s="58">
        <v>15</v>
      </c>
    </row>
    <row r="102" spans="1:14" x14ac:dyDescent="0.25">
      <c r="A102" s="58" t="s">
        <v>2081</v>
      </c>
      <c r="B102" s="58" t="s">
        <v>1256</v>
      </c>
      <c r="C102" s="58" t="s">
        <v>322</v>
      </c>
      <c r="D102" s="62">
        <v>102</v>
      </c>
      <c r="E102" s="62">
        <v>108</v>
      </c>
      <c r="F102" s="59">
        <v>102</v>
      </c>
      <c r="G102" s="59">
        <v>108</v>
      </c>
      <c r="H102" s="60">
        <v>100</v>
      </c>
      <c r="I102" s="60">
        <v>87</v>
      </c>
      <c r="J102" s="61">
        <v>100</v>
      </c>
      <c r="K102" s="61">
        <v>50</v>
      </c>
      <c r="L102" s="63">
        <v>97</v>
      </c>
      <c r="M102" s="63">
        <v>38</v>
      </c>
      <c r="N102" s="58">
        <v>15</v>
      </c>
    </row>
    <row r="103" spans="1:14" x14ac:dyDescent="0.25">
      <c r="A103" s="58" t="s">
        <v>2082</v>
      </c>
      <c r="B103" s="58" t="s">
        <v>1257</v>
      </c>
      <c r="C103" s="58" t="s">
        <v>106</v>
      </c>
      <c r="D103" s="62">
        <v>28</v>
      </c>
      <c r="E103" s="62">
        <v>7</v>
      </c>
      <c r="F103" s="59">
        <v>28</v>
      </c>
      <c r="G103" s="59">
        <v>6</v>
      </c>
      <c r="H103" s="60">
        <v>28</v>
      </c>
      <c r="I103" s="60">
        <v>5</v>
      </c>
      <c r="J103" s="61">
        <v>28</v>
      </c>
      <c r="K103" s="61">
        <v>3</v>
      </c>
      <c r="L103" s="63">
        <v>28</v>
      </c>
      <c r="M103" s="63">
        <v>3</v>
      </c>
      <c r="N103" s="58">
        <v>1</v>
      </c>
    </row>
    <row r="104" spans="1:14" x14ac:dyDescent="0.25">
      <c r="A104" s="58" t="s">
        <v>2082</v>
      </c>
      <c r="B104" s="58" t="s">
        <v>1258</v>
      </c>
      <c r="C104" s="58">
        <v>18</v>
      </c>
      <c r="D104" s="62">
        <v>48</v>
      </c>
      <c r="E104" s="62">
        <v>11</v>
      </c>
      <c r="F104" s="59">
        <v>48</v>
      </c>
      <c r="G104" s="59">
        <v>10</v>
      </c>
      <c r="H104" s="60">
        <v>48</v>
      </c>
      <c r="I104" s="60">
        <v>9</v>
      </c>
      <c r="J104" s="61">
        <v>48</v>
      </c>
      <c r="K104" s="61">
        <v>6</v>
      </c>
      <c r="L104" s="63">
        <v>48</v>
      </c>
      <c r="M104" s="63">
        <v>5</v>
      </c>
      <c r="N104" s="58">
        <v>1</v>
      </c>
    </row>
    <row r="105" spans="1:14" x14ac:dyDescent="0.25">
      <c r="A105" s="58" t="s">
        <v>2082</v>
      </c>
      <c r="B105" s="58" t="s">
        <v>1259</v>
      </c>
      <c r="C105" s="58" t="s">
        <v>37</v>
      </c>
      <c r="D105" s="62">
        <v>71</v>
      </c>
      <c r="E105" s="62">
        <v>14</v>
      </c>
      <c r="F105" s="59">
        <v>71</v>
      </c>
      <c r="G105" s="59">
        <v>13</v>
      </c>
      <c r="H105" s="60">
        <v>71</v>
      </c>
      <c r="I105" s="60">
        <v>11</v>
      </c>
      <c r="J105" s="61">
        <v>71</v>
      </c>
      <c r="K105" s="61">
        <v>8</v>
      </c>
      <c r="L105" s="63">
        <v>71</v>
      </c>
      <c r="M105" s="63">
        <v>6</v>
      </c>
      <c r="N105" s="58">
        <v>1</v>
      </c>
    </row>
    <row r="106" spans="1:14" x14ac:dyDescent="0.25">
      <c r="A106" s="58" t="s">
        <v>2082</v>
      </c>
      <c r="B106" s="58" t="s">
        <v>1260</v>
      </c>
      <c r="C106" s="58" t="s">
        <v>38</v>
      </c>
      <c r="D106" s="62">
        <v>88</v>
      </c>
      <c r="E106" s="62">
        <v>16</v>
      </c>
      <c r="F106" s="59">
        <v>88</v>
      </c>
      <c r="G106" s="59">
        <v>16</v>
      </c>
      <c r="H106" s="60">
        <v>88</v>
      </c>
      <c r="I106" s="60">
        <v>13</v>
      </c>
      <c r="J106" s="61">
        <v>88</v>
      </c>
      <c r="K106" s="61">
        <v>9</v>
      </c>
      <c r="L106" s="63">
        <v>88</v>
      </c>
      <c r="M106" s="63">
        <v>8</v>
      </c>
      <c r="N106" s="58">
        <v>1</v>
      </c>
    </row>
    <row r="107" spans="1:14" x14ac:dyDescent="0.25">
      <c r="A107" s="58" t="s">
        <v>2082</v>
      </c>
      <c r="B107" s="58" t="s">
        <v>1261</v>
      </c>
      <c r="C107" s="58" t="s">
        <v>39</v>
      </c>
      <c r="D107" s="62">
        <v>99</v>
      </c>
      <c r="E107" s="62">
        <v>13</v>
      </c>
      <c r="F107" s="59">
        <v>99</v>
      </c>
      <c r="G107" s="59">
        <v>12</v>
      </c>
      <c r="H107" s="60">
        <v>99</v>
      </c>
      <c r="I107" s="60">
        <v>10</v>
      </c>
      <c r="J107" s="61">
        <v>99</v>
      </c>
      <c r="K107" s="61">
        <v>7</v>
      </c>
      <c r="L107" s="63">
        <v>99</v>
      </c>
      <c r="M107" s="63">
        <v>6</v>
      </c>
      <c r="N107" s="58">
        <v>1</v>
      </c>
    </row>
    <row r="108" spans="1:14" x14ac:dyDescent="0.25">
      <c r="A108" s="58" t="s">
        <v>2082</v>
      </c>
      <c r="B108" s="58" t="s">
        <v>1262</v>
      </c>
      <c r="C108" s="58" t="s">
        <v>40</v>
      </c>
      <c r="D108" s="62">
        <v>122</v>
      </c>
      <c r="E108" s="62">
        <v>15</v>
      </c>
      <c r="F108" s="59">
        <v>122</v>
      </c>
      <c r="G108" s="59">
        <v>14</v>
      </c>
      <c r="H108" s="60">
        <v>122</v>
      </c>
      <c r="I108" s="60">
        <v>12</v>
      </c>
      <c r="J108" s="61">
        <v>122</v>
      </c>
      <c r="K108" s="61">
        <v>8</v>
      </c>
      <c r="L108" s="63">
        <v>122</v>
      </c>
      <c r="M108" s="63">
        <v>7</v>
      </c>
      <c r="N108" s="58">
        <v>1</v>
      </c>
    </row>
    <row r="109" spans="1:14" x14ac:dyDescent="0.25">
      <c r="A109" s="58" t="s">
        <v>2082</v>
      </c>
      <c r="B109" s="58" t="s">
        <v>1263</v>
      </c>
      <c r="C109" s="58" t="s">
        <v>41</v>
      </c>
      <c r="D109" s="62">
        <v>146</v>
      </c>
      <c r="E109" s="62">
        <v>38</v>
      </c>
      <c r="F109" s="59">
        <v>146</v>
      </c>
      <c r="G109" s="59">
        <v>36</v>
      </c>
      <c r="H109" s="60">
        <v>146</v>
      </c>
      <c r="I109" s="60">
        <v>31</v>
      </c>
      <c r="J109" s="61">
        <v>146</v>
      </c>
      <c r="K109" s="61">
        <v>21</v>
      </c>
      <c r="L109" s="63">
        <v>146</v>
      </c>
      <c r="M109" s="63">
        <v>18</v>
      </c>
      <c r="N109" s="58">
        <v>4</v>
      </c>
    </row>
    <row r="110" spans="1:14" x14ac:dyDescent="0.25">
      <c r="A110" s="58" t="s">
        <v>2082</v>
      </c>
      <c r="B110" s="58" t="s">
        <v>1264</v>
      </c>
      <c r="C110" s="58" t="s">
        <v>42</v>
      </c>
      <c r="D110" s="62">
        <v>177</v>
      </c>
      <c r="E110" s="62">
        <v>45</v>
      </c>
      <c r="F110" s="59">
        <v>177</v>
      </c>
      <c r="G110" s="59">
        <v>43</v>
      </c>
      <c r="H110" s="60">
        <v>177</v>
      </c>
      <c r="I110" s="60">
        <v>36</v>
      </c>
      <c r="J110" s="61">
        <v>177</v>
      </c>
      <c r="K110" s="61">
        <v>25</v>
      </c>
      <c r="L110" s="63">
        <v>177</v>
      </c>
      <c r="M110" s="63">
        <v>21</v>
      </c>
      <c r="N110" s="58">
        <v>4</v>
      </c>
    </row>
    <row r="111" spans="1:14" x14ac:dyDescent="0.25">
      <c r="A111" s="58" t="s">
        <v>2082</v>
      </c>
      <c r="B111" s="58" t="s">
        <v>1265</v>
      </c>
      <c r="C111" s="58" t="s">
        <v>43</v>
      </c>
      <c r="D111" s="62">
        <v>198</v>
      </c>
      <c r="E111" s="62">
        <v>69</v>
      </c>
      <c r="F111" s="59" t="s">
        <v>629</v>
      </c>
      <c r="G111" s="59" t="s">
        <v>629</v>
      </c>
      <c r="H111" s="60">
        <v>198</v>
      </c>
      <c r="I111" s="60">
        <v>56</v>
      </c>
      <c r="J111" s="61">
        <v>198</v>
      </c>
      <c r="K111" s="61">
        <v>40</v>
      </c>
      <c r="L111" s="63">
        <v>198</v>
      </c>
      <c r="M111" s="63">
        <v>33</v>
      </c>
      <c r="N111" s="58">
        <v>4</v>
      </c>
    </row>
    <row r="112" spans="1:14" x14ac:dyDescent="0.25">
      <c r="A112" s="58" t="s">
        <v>2082</v>
      </c>
      <c r="B112" s="58" t="s">
        <v>1266</v>
      </c>
      <c r="C112" s="58" t="s">
        <v>44</v>
      </c>
      <c r="D112" s="62">
        <v>234</v>
      </c>
      <c r="E112" s="62">
        <v>79</v>
      </c>
      <c r="F112" s="59" t="s">
        <v>629</v>
      </c>
      <c r="G112" s="59" t="s">
        <v>629</v>
      </c>
      <c r="H112" s="60">
        <v>234</v>
      </c>
      <c r="I112" s="60">
        <v>64</v>
      </c>
      <c r="J112" s="61">
        <v>234</v>
      </c>
      <c r="K112" s="61">
        <v>45</v>
      </c>
      <c r="L112" s="63">
        <v>234</v>
      </c>
      <c r="M112" s="63">
        <v>38</v>
      </c>
      <c r="N112" s="58">
        <v>4</v>
      </c>
    </row>
    <row r="113" spans="1:14" x14ac:dyDescent="0.25">
      <c r="A113" s="58" t="s">
        <v>2082</v>
      </c>
      <c r="B113" s="58" t="s">
        <v>1267</v>
      </c>
      <c r="C113" s="58" t="s">
        <v>45</v>
      </c>
      <c r="D113" s="62">
        <v>274</v>
      </c>
      <c r="E113" s="62">
        <v>117</v>
      </c>
      <c r="F113" s="59" t="s">
        <v>629</v>
      </c>
      <c r="G113" s="59" t="s">
        <v>629</v>
      </c>
      <c r="H113" s="60">
        <v>274</v>
      </c>
      <c r="I113" s="60">
        <v>96</v>
      </c>
      <c r="J113" s="61">
        <v>274</v>
      </c>
      <c r="K113" s="61">
        <v>68</v>
      </c>
      <c r="L113" s="63">
        <v>274</v>
      </c>
      <c r="M113" s="63">
        <v>56</v>
      </c>
      <c r="N113" s="58">
        <v>4</v>
      </c>
    </row>
    <row r="114" spans="1:14" x14ac:dyDescent="0.25">
      <c r="A114" s="58" t="s">
        <v>2082</v>
      </c>
      <c r="B114" s="58" t="s">
        <v>1268</v>
      </c>
      <c r="C114" s="58" t="s">
        <v>46</v>
      </c>
      <c r="D114" s="62">
        <v>321</v>
      </c>
      <c r="E114" s="62">
        <v>133</v>
      </c>
      <c r="F114" s="59" t="s">
        <v>629</v>
      </c>
      <c r="G114" s="59" t="s">
        <v>629</v>
      </c>
      <c r="H114" s="60">
        <v>321</v>
      </c>
      <c r="I114" s="60">
        <v>109</v>
      </c>
      <c r="J114" s="61">
        <v>321</v>
      </c>
      <c r="K114" s="61">
        <v>78</v>
      </c>
      <c r="L114" s="63">
        <v>321</v>
      </c>
      <c r="M114" s="63">
        <v>64</v>
      </c>
      <c r="N114" s="58">
        <v>4</v>
      </c>
    </row>
    <row r="115" spans="1:14" x14ac:dyDescent="0.25">
      <c r="A115" s="58" t="s">
        <v>2082</v>
      </c>
      <c r="B115" s="58" t="s">
        <v>1269</v>
      </c>
      <c r="C115" s="58" t="s">
        <v>47</v>
      </c>
      <c r="D115" s="62">
        <v>335</v>
      </c>
      <c r="E115" s="62">
        <v>133</v>
      </c>
      <c r="F115" s="59" t="s">
        <v>629</v>
      </c>
      <c r="G115" s="59" t="s">
        <v>629</v>
      </c>
      <c r="H115" s="60">
        <v>335</v>
      </c>
      <c r="I115" s="60">
        <v>109</v>
      </c>
      <c r="J115" s="61">
        <v>335</v>
      </c>
      <c r="K115" s="61">
        <v>78</v>
      </c>
      <c r="L115" s="63">
        <v>335</v>
      </c>
      <c r="M115" s="63">
        <v>64</v>
      </c>
      <c r="N115" s="58">
        <v>4</v>
      </c>
    </row>
    <row r="116" spans="1:14" x14ac:dyDescent="0.25">
      <c r="A116" s="58" t="s">
        <v>2082</v>
      </c>
      <c r="B116" s="58" t="s">
        <v>1270</v>
      </c>
      <c r="C116" s="58" t="s">
        <v>48</v>
      </c>
      <c r="D116" s="62">
        <v>387</v>
      </c>
      <c r="E116" s="62">
        <v>150</v>
      </c>
      <c r="F116" s="59" t="s">
        <v>629</v>
      </c>
      <c r="G116" s="59" t="s">
        <v>629</v>
      </c>
      <c r="H116" s="60">
        <v>387</v>
      </c>
      <c r="I116" s="60">
        <v>123</v>
      </c>
      <c r="J116" s="61">
        <v>387</v>
      </c>
      <c r="K116" s="61">
        <v>87</v>
      </c>
      <c r="L116" s="63">
        <v>387</v>
      </c>
      <c r="M116" s="63">
        <v>72</v>
      </c>
      <c r="N116" s="58">
        <v>4</v>
      </c>
    </row>
    <row r="117" spans="1:14" x14ac:dyDescent="0.25">
      <c r="A117" s="58" t="s">
        <v>2082</v>
      </c>
      <c r="B117" s="58" t="s">
        <v>1271</v>
      </c>
      <c r="C117" s="58" t="s">
        <v>49</v>
      </c>
      <c r="D117" s="62">
        <v>417</v>
      </c>
      <c r="E117" s="62">
        <v>201</v>
      </c>
      <c r="F117" s="59" t="s">
        <v>629</v>
      </c>
      <c r="G117" s="59" t="s">
        <v>629</v>
      </c>
      <c r="H117" s="60">
        <v>417</v>
      </c>
      <c r="I117" s="60">
        <v>166</v>
      </c>
      <c r="J117" s="61">
        <v>417</v>
      </c>
      <c r="K117" s="61">
        <v>119</v>
      </c>
      <c r="L117" s="63">
        <v>417</v>
      </c>
      <c r="M117" s="63">
        <v>99</v>
      </c>
      <c r="N117" s="58">
        <v>4</v>
      </c>
    </row>
    <row r="118" spans="1:14" x14ac:dyDescent="0.25">
      <c r="A118" s="58" t="s">
        <v>2082</v>
      </c>
      <c r="B118" s="58" t="s">
        <v>1272</v>
      </c>
      <c r="C118" s="58" t="s">
        <v>50</v>
      </c>
      <c r="D118" s="62">
        <v>436</v>
      </c>
      <c r="E118" s="62">
        <v>206</v>
      </c>
      <c r="F118" s="59" t="s">
        <v>629</v>
      </c>
      <c r="G118" s="59" t="s">
        <v>629</v>
      </c>
      <c r="H118" s="60">
        <v>436</v>
      </c>
      <c r="I118" s="60">
        <v>170</v>
      </c>
      <c r="J118" s="61">
        <v>436</v>
      </c>
      <c r="K118" s="61">
        <v>121</v>
      </c>
      <c r="L118" s="63">
        <v>436</v>
      </c>
      <c r="M118" s="63">
        <v>101</v>
      </c>
      <c r="N118" s="58">
        <v>4</v>
      </c>
    </row>
    <row r="119" spans="1:14" x14ac:dyDescent="0.25">
      <c r="A119" s="58" t="s">
        <v>2082</v>
      </c>
      <c r="B119" s="58" t="s">
        <v>1273</v>
      </c>
      <c r="C119" s="58" t="s">
        <v>121</v>
      </c>
      <c r="D119" s="62">
        <v>496</v>
      </c>
      <c r="E119" s="62">
        <v>229</v>
      </c>
      <c r="F119" s="59" t="s">
        <v>629</v>
      </c>
      <c r="G119" s="59" t="s">
        <v>629</v>
      </c>
      <c r="H119" s="60">
        <v>496</v>
      </c>
      <c r="I119" s="60">
        <v>189</v>
      </c>
      <c r="J119" s="61">
        <v>496</v>
      </c>
      <c r="K119" s="61">
        <v>135</v>
      </c>
      <c r="L119" s="63">
        <v>496</v>
      </c>
      <c r="M119" s="63">
        <v>112</v>
      </c>
      <c r="N119" s="58">
        <v>4</v>
      </c>
    </row>
    <row r="120" spans="1:14" x14ac:dyDescent="0.25">
      <c r="A120" s="58" t="s">
        <v>2082</v>
      </c>
      <c r="B120" s="58" t="s">
        <v>1274</v>
      </c>
      <c r="C120" s="58" t="s">
        <v>51</v>
      </c>
      <c r="D120" s="62">
        <v>746</v>
      </c>
      <c r="E120" s="62">
        <v>375</v>
      </c>
      <c r="F120" s="59" t="s">
        <v>629</v>
      </c>
      <c r="G120" s="59" t="s">
        <v>629</v>
      </c>
      <c r="H120" s="60">
        <v>746</v>
      </c>
      <c r="I120" s="60">
        <v>313</v>
      </c>
      <c r="J120" s="61">
        <v>746</v>
      </c>
      <c r="K120" s="61">
        <v>227</v>
      </c>
      <c r="L120" s="63">
        <v>746</v>
      </c>
      <c r="M120" s="63">
        <v>190</v>
      </c>
      <c r="N120" s="58">
        <v>8</v>
      </c>
    </row>
    <row r="121" spans="1:14" x14ac:dyDescent="0.25">
      <c r="A121" s="58" t="s">
        <v>2082</v>
      </c>
      <c r="B121" s="58" t="s">
        <v>1275</v>
      </c>
      <c r="C121" s="58" t="s">
        <v>52</v>
      </c>
      <c r="D121" s="62">
        <v>837</v>
      </c>
      <c r="E121" s="62">
        <v>413</v>
      </c>
      <c r="F121" s="59" t="s">
        <v>629</v>
      </c>
      <c r="G121" s="59" t="s">
        <v>629</v>
      </c>
      <c r="H121" s="60">
        <v>837</v>
      </c>
      <c r="I121" s="60">
        <v>345</v>
      </c>
      <c r="J121" s="61">
        <v>837</v>
      </c>
      <c r="K121" s="61">
        <v>250</v>
      </c>
      <c r="L121" s="63">
        <v>837</v>
      </c>
      <c r="M121" s="63">
        <v>209</v>
      </c>
      <c r="N121" s="58">
        <v>8</v>
      </c>
    </row>
    <row r="122" spans="1:14" x14ac:dyDescent="0.25">
      <c r="A122" s="58" t="s">
        <v>2082</v>
      </c>
      <c r="B122" s="58" t="s">
        <v>1276</v>
      </c>
      <c r="C122" s="58" t="s">
        <v>53</v>
      </c>
      <c r="D122" s="62">
        <v>56</v>
      </c>
      <c r="E122" s="62">
        <v>15</v>
      </c>
      <c r="F122" s="59">
        <v>56</v>
      </c>
      <c r="G122" s="59">
        <v>14</v>
      </c>
      <c r="H122" s="60">
        <v>56</v>
      </c>
      <c r="I122" s="60">
        <v>12</v>
      </c>
      <c r="J122" s="61">
        <v>56</v>
      </c>
      <c r="K122" s="61">
        <v>8</v>
      </c>
      <c r="L122" s="63">
        <v>56</v>
      </c>
      <c r="M122" s="63">
        <v>7</v>
      </c>
      <c r="N122" s="58">
        <v>4</v>
      </c>
    </row>
    <row r="123" spans="1:14" x14ac:dyDescent="0.25">
      <c r="A123" s="58" t="s">
        <v>2082</v>
      </c>
      <c r="B123" s="58" t="s">
        <v>1277</v>
      </c>
      <c r="C123" s="58" t="s">
        <v>54</v>
      </c>
      <c r="D123" s="62">
        <v>128</v>
      </c>
      <c r="E123" s="62">
        <v>17</v>
      </c>
      <c r="F123" s="59">
        <v>128</v>
      </c>
      <c r="G123" s="59">
        <v>16</v>
      </c>
      <c r="H123" s="60">
        <v>128</v>
      </c>
      <c r="I123" s="60">
        <v>13</v>
      </c>
      <c r="J123" s="61">
        <v>128</v>
      </c>
      <c r="K123" s="61">
        <v>9</v>
      </c>
      <c r="L123" s="63">
        <v>128</v>
      </c>
      <c r="M123" s="63">
        <v>8</v>
      </c>
      <c r="N123" s="58">
        <v>4</v>
      </c>
    </row>
    <row r="124" spans="1:14" x14ac:dyDescent="0.25">
      <c r="A124" s="58" t="s">
        <v>2082</v>
      </c>
      <c r="B124" s="58" t="s">
        <v>1278</v>
      </c>
      <c r="C124" s="58" t="s">
        <v>55</v>
      </c>
      <c r="D124" s="62">
        <v>201</v>
      </c>
      <c r="E124" s="62">
        <v>53</v>
      </c>
      <c r="F124" s="59">
        <v>201</v>
      </c>
      <c r="G124" s="59">
        <v>50</v>
      </c>
      <c r="H124" s="60">
        <v>201</v>
      </c>
      <c r="I124" s="60">
        <v>42</v>
      </c>
      <c r="J124" s="61">
        <v>201</v>
      </c>
      <c r="K124" s="61">
        <v>29</v>
      </c>
      <c r="L124" s="63">
        <v>201</v>
      </c>
      <c r="M124" s="63">
        <v>24</v>
      </c>
      <c r="N124" s="58">
        <v>4</v>
      </c>
    </row>
    <row r="125" spans="1:14" x14ac:dyDescent="0.25">
      <c r="A125" s="58" t="s">
        <v>2082</v>
      </c>
      <c r="B125" s="58" t="s">
        <v>1279</v>
      </c>
      <c r="C125" s="58" t="s">
        <v>56</v>
      </c>
      <c r="D125" s="62">
        <v>241</v>
      </c>
      <c r="E125" s="62">
        <v>59</v>
      </c>
      <c r="F125" s="59">
        <v>241</v>
      </c>
      <c r="G125" s="59">
        <v>56</v>
      </c>
      <c r="H125" s="60">
        <v>241</v>
      </c>
      <c r="I125" s="60">
        <v>47</v>
      </c>
      <c r="J125" s="61">
        <v>241</v>
      </c>
      <c r="K125" s="61">
        <v>33</v>
      </c>
      <c r="L125" s="63">
        <v>241</v>
      </c>
      <c r="M125" s="63">
        <v>27</v>
      </c>
      <c r="N125" s="58">
        <v>4</v>
      </c>
    </row>
    <row r="126" spans="1:14" x14ac:dyDescent="0.25">
      <c r="A126" s="58" t="s">
        <v>2082</v>
      </c>
      <c r="B126" s="58" t="s">
        <v>1280</v>
      </c>
      <c r="C126" s="58" t="s">
        <v>57</v>
      </c>
      <c r="D126" s="62">
        <v>236</v>
      </c>
      <c r="E126" s="62">
        <v>90</v>
      </c>
      <c r="F126" s="59">
        <v>236</v>
      </c>
      <c r="G126" s="59">
        <v>86</v>
      </c>
      <c r="H126" s="60">
        <v>236</v>
      </c>
      <c r="I126" s="60">
        <v>74</v>
      </c>
      <c r="J126" s="61">
        <v>236</v>
      </c>
      <c r="K126" s="61">
        <v>52</v>
      </c>
      <c r="L126" s="63">
        <v>236</v>
      </c>
      <c r="M126" s="63">
        <v>43</v>
      </c>
      <c r="N126" s="58">
        <v>8</v>
      </c>
    </row>
    <row r="127" spans="1:14" x14ac:dyDescent="0.25">
      <c r="A127" s="58" t="s">
        <v>2082</v>
      </c>
      <c r="B127" s="58" t="s">
        <v>1281</v>
      </c>
      <c r="C127" s="58" t="s">
        <v>58</v>
      </c>
      <c r="D127" s="62">
        <v>278</v>
      </c>
      <c r="E127" s="62">
        <v>102</v>
      </c>
      <c r="F127" s="59">
        <v>278</v>
      </c>
      <c r="G127" s="59">
        <v>97</v>
      </c>
      <c r="H127" s="60">
        <v>278</v>
      </c>
      <c r="I127" s="60">
        <v>83</v>
      </c>
      <c r="J127" s="61">
        <v>278</v>
      </c>
      <c r="K127" s="61">
        <v>58</v>
      </c>
      <c r="L127" s="63">
        <v>278</v>
      </c>
      <c r="M127" s="63">
        <v>48</v>
      </c>
      <c r="N127" s="58">
        <v>8</v>
      </c>
    </row>
    <row r="128" spans="1:14" x14ac:dyDescent="0.25">
      <c r="A128" s="58" t="s">
        <v>2082</v>
      </c>
      <c r="B128" s="58" t="s">
        <v>1282</v>
      </c>
      <c r="C128" s="58" t="s">
        <v>59</v>
      </c>
      <c r="D128" s="62">
        <v>301</v>
      </c>
      <c r="E128" s="62">
        <v>107</v>
      </c>
      <c r="F128" s="59" t="s">
        <v>629</v>
      </c>
      <c r="G128" s="59" t="s">
        <v>629</v>
      </c>
      <c r="H128" s="60">
        <v>301</v>
      </c>
      <c r="I128" s="60">
        <v>87</v>
      </c>
      <c r="J128" s="61">
        <v>301</v>
      </c>
      <c r="K128" s="61">
        <v>62</v>
      </c>
      <c r="L128" s="63">
        <v>301</v>
      </c>
      <c r="M128" s="63">
        <v>51</v>
      </c>
      <c r="N128" s="58">
        <v>8</v>
      </c>
    </row>
    <row r="129" spans="1:14" x14ac:dyDescent="0.25">
      <c r="A129" s="58" t="s">
        <v>2082</v>
      </c>
      <c r="B129" s="58" t="s">
        <v>1283</v>
      </c>
      <c r="C129" s="58" t="s">
        <v>60</v>
      </c>
      <c r="D129" s="62">
        <v>335</v>
      </c>
      <c r="E129" s="62">
        <v>113</v>
      </c>
      <c r="F129" s="59" t="s">
        <v>629</v>
      </c>
      <c r="G129" s="59" t="s">
        <v>629</v>
      </c>
      <c r="H129" s="60">
        <v>335</v>
      </c>
      <c r="I129" s="60">
        <v>92</v>
      </c>
      <c r="J129" s="61">
        <v>335</v>
      </c>
      <c r="K129" s="61">
        <v>65</v>
      </c>
      <c r="L129" s="63">
        <v>335</v>
      </c>
      <c r="M129" s="63">
        <v>54</v>
      </c>
      <c r="N129" s="58">
        <v>4</v>
      </c>
    </row>
    <row r="130" spans="1:14" x14ac:dyDescent="0.25">
      <c r="A130" s="58" t="s">
        <v>2082</v>
      </c>
      <c r="B130" s="58" t="s">
        <v>1284</v>
      </c>
      <c r="C130" s="58" t="s">
        <v>61</v>
      </c>
      <c r="D130" s="62">
        <v>442</v>
      </c>
      <c r="E130" s="62">
        <v>183</v>
      </c>
      <c r="F130" s="59" t="s">
        <v>629</v>
      </c>
      <c r="G130" s="59" t="s">
        <v>629</v>
      </c>
      <c r="H130" s="60">
        <v>442</v>
      </c>
      <c r="I130" s="60">
        <v>150</v>
      </c>
      <c r="J130" s="61">
        <v>442</v>
      </c>
      <c r="K130" s="61">
        <v>107</v>
      </c>
      <c r="L130" s="63">
        <v>442</v>
      </c>
      <c r="M130" s="63">
        <v>88</v>
      </c>
      <c r="N130" s="58">
        <v>8</v>
      </c>
    </row>
    <row r="131" spans="1:14" x14ac:dyDescent="0.25">
      <c r="A131" s="58" t="s">
        <v>2082</v>
      </c>
      <c r="B131" s="58" t="s">
        <v>1285</v>
      </c>
      <c r="C131" s="58" t="s">
        <v>62</v>
      </c>
      <c r="D131" s="62">
        <v>627</v>
      </c>
      <c r="E131" s="62">
        <v>252</v>
      </c>
      <c r="F131" s="59" t="s">
        <v>629</v>
      </c>
      <c r="G131" s="59" t="s">
        <v>629</v>
      </c>
      <c r="H131" s="60">
        <v>627</v>
      </c>
      <c r="I131" s="60">
        <v>207</v>
      </c>
      <c r="J131" s="61">
        <v>627</v>
      </c>
      <c r="K131" s="61">
        <v>148</v>
      </c>
      <c r="L131" s="63">
        <v>627</v>
      </c>
      <c r="M131" s="63">
        <v>123</v>
      </c>
      <c r="N131" s="58">
        <v>8</v>
      </c>
    </row>
    <row r="132" spans="1:14" x14ac:dyDescent="0.25">
      <c r="A132" s="58" t="s">
        <v>2082</v>
      </c>
      <c r="B132" s="58" t="s">
        <v>1286</v>
      </c>
      <c r="C132" s="58" t="s">
        <v>63</v>
      </c>
      <c r="D132" s="62">
        <v>826</v>
      </c>
      <c r="E132" s="62">
        <v>332</v>
      </c>
      <c r="F132" s="59" t="s">
        <v>629</v>
      </c>
      <c r="G132" s="59" t="s">
        <v>629</v>
      </c>
      <c r="H132" s="60">
        <v>826</v>
      </c>
      <c r="I132" s="60">
        <v>273</v>
      </c>
      <c r="J132" s="61">
        <v>826</v>
      </c>
      <c r="K132" s="61">
        <v>195</v>
      </c>
      <c r="L132" s="63">
        <v>826</v>
      </c>
      <c r="M132" s="63">
        <v>162</v>
      </c>
      <c r="N132" s="58">
        <v>4</v>
      </c>
    </row>
    <row r="133" spans="1:14" x14ac:dyDescent="0.25">
      <c r="A133" s="58" t="s">
        <v>2082</v>
      </c>
      <c r="B133" s="58" t="s">
        <v>1287</v>
      </c>
      <c r="C133" s="58" t="s">
        <v>64</v>
      </c>
      <c r="D133" s="62">
        <v>721</v>
      </c>
      <c r="E133" s="62">
        <v>346</v>
      </c>
      <c r="F133" s="59" t="s">
        <v>629</v>
      </c>
      <c r="G133" s="59" t="s">
        <v>629</v>
      </c>
      <c r="H133" s="60">
        <v>721</v>
      </c>
      <c r="I133" s="60">
        <v>285</v>
      </c>
      <c r="J133" s="61">
        <v>721</v>
      </c>
      <c r="K133" s="61">
        <v>204</v>
      </c>
      <c r="L133" s="63">
        <v>721</v>
      </c>
      <c r="M133" s="63">
        <v>169</v>
      </c>
      <c r="N133" s="58">
        <v>8</v>
      </c>
    </row>
    <row r="134" spans="1:14" x14ac:dyDescent="0.25">
      <c r="A134" s="58" t="s">
        <v>2082</v>
      </c>
      <c r="B134" s="58" t="s">
        <v>1288</v>
      </c>
      <c r="C134" s="58" t="s">
        <v>65</v>
      </c>
      <c r="D134" s="62">
        <v>789</v>
      </c>
      <c r="E134" s="62">
        <v>369</v>
      </c>
      <c r="F134" s="59" t="s">
        <v>629</v>
      </c>
      <c r="G134" s="59" t="s">
        <v>629</v>
      </c>
      <c r="H134" s="60">
        <v>789</v>
      </c>
      <c r="I134" s="60">
        <v>304</v>
      </c>
      <c r="J134" s="61">
        <v>789</v>
      </c>
      <c r="K134" s="61">
        <v>217</v>
      </c>
      <c r="L134" s="63">
        <v>789</v>
      </c>
      <c r="M134" s="63">
        <v>180</v>
      </c>
      <c r="N134" s="58">
        <v>8</v>
      </c>
    </row>
    <row r="135" spans="1:14" x14ac:dyDescent="0.25">
      <c r="A135" s="58" t="s">
        <v>2082</v>
      </c>
      <c r="B135" s="58" t="s">
        <v>1289</v>
      </c>
      <c r="C135" s="58" t="s">
        <v>66</v>
      </c>
      <c r="D135" s="62">
        <v>718</v>
      </c>
      <c r="E135" s="62">
        <v>358</v>
      </c>
      <c r="F135" s="59" t="s">
        <v>629</v>
      </c>
      <c r="G135" s="59" t="s">
        <v>629</v>
      </c>
      <c r="H135" s="60">
        <v>718</v>
      </c>
      <c r="I135" s="60">
        <v>297</v>
      </c>
      <c r="J135" s="61">
        <v>718</v>
      </c>
      <c r="K135" s="61">
        <v>214</v>
      </c>
      <c r="L135" s="63">
        <v>718</v>
      </c>
      <c r="M135" s="63">
        <v>178</v>
      </c>
      <c r="N135" s="58">
        <v>8</v>
      </c>
    </row>
    <row r="136" spans="1:14" x14ac:dyDescent="0.25">
      <c r="A136" s="58" t="s">
        <v>2082</v>
      </c>
      <c r="B136" s="58" t="s">
        <v>1290</v>
      </c>
      <c r="C136" s="58" t="s">
        <v>67</v>
      </c>
      <c r="D136" s="62">
        <v>874</v>
      </c>
      <c r="E136" s="62">
        <v>466</v>
      </c>
      <c r="F136" s="59" t="s">
        <v>629</v>
      </c>
      <c r="G136" s="59" t="s">
        <v>629</v>
      </c>
      <c r="H136" s="60">
        <v>874</v>
      </c>
      <c r="I136" s="60">
        <v>387</v>
      </c>
      <c r="J136" s="61">
        <v>874</v>
      </c>
      <c r="K136" s="61">
        <v>279</v>
      </c>
      <c r="L136" s="63">
        <v>874</v>
      </c>
      <c r="M136" s="63">
        <v>232</v>
      </c>
      <c r="N136" s="58">
        <v>8</v>
      </c>
    </row>
    <row r="137" spans="1:14" x14ac:dyDescent="0.25">
      <c r="A137" s="58" t="s">
        <v>2082</v>
      </c>
      <c r="B137" s="58" t="s">
        <v>1291</v>
      </c>
      <c r="C137" s="58" t="s">
        <v>68</v>
      </c>
      <c r="D137" s="62">
        <v>980</v>
      </c>
      <c r="E137" s="62">
        <v>502</v>
      </c>
      <c r="F137" s="59" t="s">
        <v>629</v>
      </c>
      <c r="G137" s="59" t="s">
        <v>629</v>
      </c>
      <c r="H137" s="60">
        <v>980</v>
      </c>
      <c r="I137" s="60">
        <v>417</v>
      </c>
      <c r="J137" s="61">
        <v>980</v>
      </c>
      <c r="K137" s="61">
        <v>300</v>
      </c>
      <c r="L137" s="63">
        <v>980</v>
      </c>
      <c r="M137" s="63">
        <v>250</v>
      </c>
      <c r="N137" s="58">
        <v>8</v>
      </c>
    </row>
    <row r="138" spans="1:14" x14ac:dyDescent="0.25">
      <c r="A138" s="58" t="s">
        <v>2082</v>
      </c>
      <c r="B138" s="58" t="s">
        <v>1292</v>
      </c>
      <c r="C138" s="58" t="s">
        <v>69</v>
      </c>
      <c r="D138" s="62" t="s">
        <v>629</v>
      </c>
      <c r="E138" s="62" t="s">
        <v>629</v>
      </c>
      <c r="F138" s="59" t="s">
        <v>629</v>
      </c>
      <c r="G138" s="59" t="s">
        <v>629</v>
      </c>
      <c r="H138" s="60">
        <v>1022</v>
      </c>
      <c r="I138" s="60">
        <v>417</v>
      </c>
      <c r="J138" s="61">
        <v>1022</v>
      </c>
      <c r="K138" s="61">
        <v>300</v>
      </c>
      <c r="L138" s="63">
        <v>1022</v>
      </c>
      <c r="M138" s="63">
        <v>250</v>
      </c>
      <c r="N138" s="58">
        <v>8</v>
      </c>
    </row>
    <row r="139" spans="1:14" x14ac:dyDescent="0.25">
      <c r="A139" s="58" t="s">
        <v>2082</v>
      </c>
      <c r="B139" s="58" t="s">
        <v>1293</v>
      </c>
      <c r="C139" s="58" t="s">
        <v>70</v>
      </c>
      <c r="D139" s="62" t="s">
        <v>629</v>
      </c>
      <c r="E139" s="62" t="s">
        <v>629</v>
      </c>
      <c r="F139" s="59" t="s">
        <v>629</v>
      </c>
      <c r="G139" s="59" t="s">
        <v>629</v>
      </c>
      <c r="H139" s="60" t="s">
        <v>629</v>
      </c>
      <c r="I139" s="60" t="s">
        <v>629</v>
      </c>
      <c r="J139" s="61">
        <v>1898</v>
      </c>
      <c r="K139" s="61">
        <v>600</v>
      </c>
      <c r="L139" s="63" t="s">
        <v>629</v>
      </c>
      <c r="M139" s="63" t="s">
        <v>629</v>
      </c>
      <c r="N139" s="58">
        <v>18</v>
      </c>
    </row>
    <row r="140" spans="1:14" x14ac:dyDescent="0.25">
      <c r="A140" s="58" t="s">
        <v>2082</v>
      </c>
      <c r="B140" s="58" t="s">
        <v>1294</v>
      </c>
      <c r="C140" s="58" t="s">
        <v>71</v>
      </c>
      <c r="D140" s="62" t="s">
        <v>629</v>
      </c>
      <c r="E140" s="62" t="s">
        <v>629</v>
      </c>
      <c r="F140" s="59" t="s">
        <v>629</v>
      </c>
      <c r="G140" s="59" t="s">
        <v>629</v>
      </c>
      <c r="H140" s="60">
        <v>1543</v>
      </c>
      <c r="I140" s="60">
        <v>784</v>
      </c>
      <c r="J140" s="61">
        <v>1543</v>
      </c>
      <c r="K140" s="61">
        <v>581</v>
      </c>
      <c r="L140" s="63">
        <v>1543</v>
      </c>
      <c r="M140" s="63">
        <v>489</v>
      </c>
      <c r="N140" s="58">
        <v>18</v>
      </c>
    </row>
    <row r="141" spans="1:14" x14ac:dyDescent="0.25">
      <c r="A141" s="58" t="s">
        <v>2082</v>
      </c>
      <c r="B141" s="58" t="s">
        <v>1295</v>
      </c>
      <c r="C141" s="58" t="s">
        <v>72</v>
      </c>
      <c r="D141" s="62" t="s">
        <v>629</v>
      </c>
      <c r="E141" s="62" t="s">
        <v>629</v>
      </c>
      <c r="F141" s="59" t="s">
        <v>629</v>
      </c>
      <c r="G141" s="59" t="s">
        <v>629</v>
      </c>
      <c r="H141" s="60" t="s">
        <v>629</v>
      </c>
      <c r="I141" s="60" t="s">
        <v>629</v>
      </c>
      <c r="J141" s="61">
        <v>1644</v>
      </c>
      <c r="K141" s="61">
        <v>718</v>
      </c>
      <c r="L141" s="63">
        <v>1644</v>
      </c>
      <c r="M141" s="63">
        <v>606</v>
      </c>
      <c r="N141" s="58">
        <v>18</v>
      </c>
    </row>
    <row r="142" spans="1:14" x14ac:dyDescent="0.25">
      <c r="A142" s="58" t="s">
        <v>2082</v>
      </c>
      <c r="B142" s="58" t="s">
        <v>1296</v>
      </c>
      <c r="C142" s="58" t="s">
        <v>73</v>
      </c>
      <c r="D142" s="62" t="s">
        <v>629</v>
      </c>
      <c r="E142" s="62" t="s">
        <v>629</v>
      </c>
      <c r="F142" s="59" t="s">
        <v>629</v>
      </c>
      <c r="G142" s="59" t="s">
        <v>629</v>
      </c>
      <c r="H142" s="60" t="s">
        <v>629</v>
      </c>
      <c r="I142" s="60" t="s">
        <v>629</v>
      </c>
      <c r="J142" s="61">
        <v>2764</v>
      </c>
      <c r="K142" s="61">
        <v>1374</v>
      </c>
      <c r="L142" s="63" t="s">
        <v>629</v>
      </c>
      <c r="M142" s="63" t="s">
        <v>629</v>
      </c>
      <c r="N142" s="58">
        <v>23</v>
      </c>
    </row>
    <row r="143" spans="1:14" x14ac:dyDescent="0.25">
      <c r="A143" s="58" t="s">
        <v>2082</v>
      </c>
      <c r="B143" s="58" t="s">
        <v>1297</v>
      </c>
      <c r="C143" s="58" t="s">
        <v>304</v>
      </c>
      <c r="D143" s="62" t="s">
        <v>629</v>
      </c>
      <c r="E143" s="62" t="s">
        <v>629</v>
      </c>
      <c r="F143" s="59" t="s">
        <v>629</v>
      </c>
      <c r="G143" s="59" t="s">
        <v>629</v>
      </c>
      <c r="H143" s="60" t="s">
        <v>629</v>
      </c>
      <c r="I143" s="60" t="s">
        <v>629</v>
      </c>
      <c r="J143" s="61">
        <v>3139</v>
      </c>
      <c r="K143" s="61">
        <v>1814</v>
      </c>
      <c r="L143" s="63" t="s">
        <v>629</v>
      </c>
      <c r="M143" s="63" t="s">
        <v>629</v>
      </c>
      <c r="N143" s="58">
        <v>23</v>
      </c>
    </row>
    <row r="144" spans="1:14" x14ac:dyDescent="0.25">
      <c r="A144" s="58" t="s">
        <v>2082</v>
      </c>
      <c r="B144" s="58" t="s">
        <v>1298</v>
      </c>
      <c r="C144" s="58" t="s">
        <v>306</v>
      </c>
      <c r="D144" s="62" t="s">
        <v>629</v>
      </c>
      <c r="E144" s="62" t="s">
        <v>629</v>
      </c>
      <c r="F144" s="59" t="s">
        <v>629</v>
      </c>
      <c r="G144" s="59" t="s">
        <v>629</v>
      </c>
      <c r="H144" s="60" t="s">
        <v>629</v>
      </c>
      <c r="I144" s="60" t="s">
        <v>629</v>
      </c>
      <c r="J144" s="61">
        <v>3466</v>
      </c>
      <c r="K144" s="61">
        <v>2023</v>
      </c>
      <c r="L144" s="63" t="s">
        <v>629</v>
      </c>
      <c r="M144" s="63" t="s">
        <v>629</v>
      </c>
      <c r="N144" s="63">
        <v>23</v>
      </c>
    </row>
  </sheetData>
  <mergeCells count="5">
    <mergeCell ref="J1:K1"/>
    <mergeCell ref="H1:I1"/>
    <mergeCell ref="F1:G1"/>
    <mergeCell ref="D1:E1"/>
    <mergeCell ref="L1:M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/>
  <dimension ref="A1:E44"/>
  <sheetViews>
    <sheetView workbookViewId="0">
      <selection activeCell="B3" sqref="B3:B44"/>
    </sheetView>
  </sheetViews>
  <sheetFormatPr defaultRowHeight="15" x14ac:dyDescent="0.25"/>
  <cols>
    <col min="3" max="3" width="16.85546875" customWidth="1"/>
    <col min="4" max="4" width="10.7109375" customWidth="1"/>
    <col min="5" max="5" width="11.28515625" customWidth="1"/>
  </cols>
  <sheetData>
    <row r="1" spans="1:5" x14ac:dyDescent="0.25">
      <c r="A1" s="58" t="s">
        <v>630</v>
      </c>
      <c r="B1" s="58" t="s">
        <v>1299</v>
      </c>
      <c r="C1" s="63" t="s">
        <v>1300</v>
      </c>
      <c r="D1" s="58" t="s">
        <v>1301</v>
      </c>
      <c r="E1" s="58" t="s">
        <v>632</v>
      </c>
    </row>
    <row r="2" spans="1:5" x14ac:dyDescent="0.25">
      <c r="A2" s="58" t="s">
        <v>632</v>
      </c>
      <c r="B2" s="58" t="s">
        <v>632</v>
      </c>
      <c r="C2" s="63" t="s">
        <v>632</v>
      </c>
      <c r="D2" s="58" t="s">
        <v>1147</v>
      </c>
      <c r="E2" s="58" t="s">
        <v>636</v>
      </c>
    </row>
    <row r="3" spans="1:5" x14ac:dyDescent="0.25">
      <c r="A3" s="58" t="s">
        <v>1302</v>
      </c>
      <c r="B3" s="58" t="s">
        <v>106</v>
      </c>
      <c r="C3" s="63" t="s">
        <v>1303</v>
      </c>
      <c r="D3" s="58">
        <v>5</v>
      </c>
      <c r="E3" s="58">
        <v>120</v>
      </c>
    </row>
    <row r="4" spans="1:5" x14ac:dyDescent="0.25">
      <c r="A4" s="58" t="s">
        <v>1304</v>
      </c>
      <c r="B4" s="58">
        <v>18</v>
      </c>
      <c r="C4" s="63" t="s">
        <v>1303</v>
      </c>
      <c r="D4" s="58">
        <v>5</v>
      </c>
      <c r="E4" s="58">
        <v>140</v>
      </c>
    </row>
    <row r="5" spans="1:5" x14ac:dyDescent="0.25">
      <c r="A5" s="58" t="s">
        <v>1305</v>
      </c>
      <c r="B5" s="58" t="s">
        <v>37</v>
      </c>
      <c r="C5" s="63" t="s">
        <v>1303</v>
      </c>
      <c r="D5" s="58">
        <v>5</v>
      </c>
      <c r="E5" s="58">
        <v>190</v>
      </c>
    </row>
    <row r="6" spans="1:5" x14ac:dyDescent="0.25">
      <c r="A6" s="58" t="s">
        <v>1306</v>
      </c>
      <c r="B6" s="58" t="s">
        <v>38</v>
      </c>
      <c r="C6" s="63" t="s">
        <v>1303</v>
      </c>
      <c r="D6" s="58">
        <v>5</v>
      </c>
      <c r="E6" s="58">
        <v>220</v>
      </c>
    </row>
    <row r="7" spans="1:5" x14ac:dyDescent="0.25">
      <c r="A7" s="58" t="s">
        <v>1307</v>
      </c>
      <c r="B7" s="58" t="s">
        <v>39</v>
      </c>
      <c r="C7" s="63" t="s">
        <v>1303</v>
      </c>
      <c r="D7" s="58">
        <v>5</v>
      </c>
      <c r="E7" s="58">
        <v>230</v>
      </c>
    </row>
    <row r="8" spans="1:5" x14ac:dyDescent="0.25">
      <c r="A8" s="58" t="s">
        <v>1308</v>
      </c>
      <c r="B8" s="58" t="s">
        <v>40</v>
      </c>
      <c r="C8" s="63" t="s">
        <v>1303</v>
      </c>
      <c r="D8" s="58">
        <v>5</v>
      </c>
      <c r="E8" s="58">
        <v>300</v>
      </c>
    </row>
    <row r="9" spans="1:5" x14ac:dyDescent="0.25">
      <c r="A9" s="58" t="s">
        <v>1309</v>
      </c>
      <c r="B9" s="58" t="s">
        <v>41</v>
      </c>
      <c r="C9" s="63" t="s">
        <v>1303</v>
      </c>
      <c r="D9" s="58">
        <v>5</v>
      </c>
      <c r="E9" s="58">
        <v>220</v>
      </c>
    </row>
    <row r="10" spans="1:5" x14ac:dyDescent="0.25">
      <c r="A10" s="58" t="s">
        <v>1310</v>
      </c>
      <c r="B10" s="58" t="s">
        <v>42</v>
      </c>
      <c r="C10" s="63" t="s">
        <v>1303</v>
      </c>
      <c r="D10" s="58">
        <v>5</v>
      </c>
      <c r="E10" s="58">
        <v>280</v>
      </c>
    </row>
    <row r="11" spans="1:5" x14ac:dyDescent="0.25">
      <c r="A11" s="58" t="s">
        <v>1311</v>
      </c>
      <c r="B11" s="58" t="s">
        <v>43</v>
      </c>
      <c r="C11" s="63" t="s">
        <v>1303</v>
      </c>
      <c r="D11" s="58">
        <v>5</v>
      </c>
      <c r="E11" s="58">
        <v>326</v>
      </c>
    </row>
    <row r="12" spans="1:5" x14ac:dyDescent="0.25">
      <c r="A12" s="58" t="s">
        <v>1312</v>
      </c>
      <c r="B12" s="58" t="s">
        <v>44</v>
      </c>
      <c r="C12" s="63" t="s">
        <v>1303</v>
      </c>
      <c r="D12" s="58">
        <v>5</v>
      </c>
      <c r="E12" s="58">
        <v>360</v>
      </c>
    </row>
    <row r="13" spans="1:5" x14ac:dyDescent="0.25">
      <c r="A13" s="58" t="s">
        <v>1313</v>
      </c>
      <c r="B13" s="58" t="s">
        <v>45</v>
      </c>
      <c r="C13" s="63" t="s">
        <v>1314</v>
      </c>
      <c r="D13" s="58">
        <v>15</v>
      </c>
      <c r="E13" s="58">
        <v>409</v>
      </c>
    </row>
    <row r="14" spans="1:5" x14ac:dyDescent="0.25">
      <c r="A14" s="58" t="s">
        <v>1315</v>
      </c>
      <c r="B14" s="58" t="s">
        <v>46</v>
      </c>
      <c r="C14" s="63" t="s">
        <v>1314</v>
      </c>
      <c r="D14" s="58">
        <v>15</v>
      </c>
      <c r="E14" s="58">
        <v>471</v>
      </c>
    </row>
    <row r="15" spans="1:5" x14ac:dyDescent="0.25">
      <c r="A15" s="58" t="s">
        <v>1316</v>
      </c>
      <c r="B15" s="58" t="s">
        <v>47</v>
      </c>
      <c r="C15" s="63" t="s">
        <v>1314</v>
      </c>
      <c r="D15" s="58">
        <v>15</v>
      </c>
      <c r="E15" s="58">
        <v>522</v>
      </c>
    </row>
    <row r="16" spans="1:5" x14ac:dyDescent="0.25">
      <c r="A16" s="58" t="s">
        <v>1317</v>
      </c>
      <c r="B16" s="58" t="s">
        <v>48</v>
      </c>
      <c r="C16" s="63" t="s">
        <v>1314</v>
      </c>
      <c r="D16" s="58">
        <v>15</v>
      </c>
      <c r="E16" s="58">
        <v>591</v>
      </c>
    </row>
    <row r="17" spans="1:5" x14ac:dyDescent="0.25">
      <c r="A17" s="58" t="s">
        <v>1318</v>
      </c>
      <c r="B17" s="58" t="s">
        <v>49</v>
      </c>
      <c r="C17" s="63" t="s">
        <v>1314</v>
      </c>
      <c r="D17" s="58">
        <v>25</v>
      </c>
      <c r="E17" s="58">
        <v>626</v>
      </c>
    </row>
    <row r="18" spans="1:5" x14ac:dyDescent="0.25">
      <c r="A18" s="58" t="s">
        <v>1319</v>
      </c>
      <c r="B18" s="58" t="s">
        <v>50</v>
      </c>
      <c r="C18" s="63" t="s">
        <v>1314</v>
      </c>
      <c r="D18" s="58">
        <v>25</v>
      </c>
      <c r="E18" s="58">
        <v>648</v>
      </c>
    </row>
    <row r="19" spans="1:5" x14ac:dyDescent="0.25">
      <c r="A19" s="58" t="s">
        <v>1320</v>
      </c>
      <c r="B19" s="58" t="s">
        <v>121</v>
      </c>
      <c r="C19" s="63" t="s">
        <v>1314</v>
      </c>
      <c r="D19" s="58">
        <v>25</v>
      </c>
      <c r="E19" s="58">
        <v>700</v>
      </c>
    </row>
    <row r="20" spans="1:5" x14ac:dyDescent="0.25">
      <c r="A20" s="58" t="s">
        <v>1321</v>
      </c>
      <c r="B20" s="58" t="s">
        <v>51</v>
      </c>
      <c r="C20" s="63" t="s">
        <v>1314</v>
      </c>
      <c r="D20" s="58">
        <v>25</v>
      </c>
      <c r="E20" s="58">
        <v>854</v>
      </c>
    </row>
    <row r="21" spans="1:5" x14ac:dyDescent="0.25">
      <c r="A21" s="58" t="s">
        <v>1322</v>
      </c>
      <c r="B21" s="58" t="s">
        <v>52</v>
      </c>
      <c r="C21" s="63" t="s">
        <v>1314</v>
      </c>
      <c r="D21" s="58">
        <v>5</v>
      </c>
      <c r="E21" s="58">
        <v>944</v>
      </c>
    </row>
    <row r="22" spans="1:5" x14ac:dyDescent="0.25">
      <c r="A22" s="58" t="s">
        <v>1323</v>
      </c>
      <c r="B22" s="58" t="s">
        <v>53</v>
      </c>
      <c r="C22" s="63" t="s">
        <v>1303</v>
      </c>
      <c r="D22" s="58">
        <v>5</v>
      </c>
      <c r="E22" s="58">
        <v>183</v>
      </c>
    </row>
    <row r="23" spans="1:5" x14ac:dyDescent="0.25">
      <c r="A23" s="58" t="s">
        <v>1324</v>
      </c>
      <c r="B23" s="58" t="s">
        <v>54</v>
      </c>
      <c r="C23" s="63" t="s">
        <v>1303</v>
      </c>
      <c r="D23" s="58">
        <v>15</v>
      </c>
      <c r="E23" s="58">
        <v>253</v>
      </c>
    </row>
    <row r="24" spans="1:5" x14ac:dyDescent="0.25">
      <c r="A24" s="58" t="s">
        <v>1325</v>
      </c>
      <c r="B24" s="58" t="s">
        <v>55</v>
      </c>
      <c r="C24" s="63" t="s">
        <v>1314</v>
      </c>
      <c r="D24" s="58">
        <v>15</v>
      </c>
      <c r="E24" s="58">
        <v>348</v>
      </c>
    </row>
    <row r="25" spans="1:5" x14ac:dyDescent="0.25">
      <c r="A25" s="58" t="s">
        <v>1326</v>
      </c>
      <c r="B25" s="58" t="s">
        <v>56</v>
      </c>
      <c r="C25" s="63" t="s">
        <v>1314</v>
      </c>
      <c r="D25" s="58">
        <v>15</v>
      </c>
      <c r="E25" s="58">
        <v>398</v>
      </c>
    </row>
    <row r="26" spans="1:5" x14ac:dyDescent="0.25">
      <c r="A26" s="58" t="s">
        <v>1327</v>
      </c>
      <c r="B26" s="58" t="s">
        <v>57</v>
      </c>
      <c r="C26" s="63" t="s">
        <v>1328</v>
      </c>
      <c r="D26" s="58">
        <v>15</v>
      </c>
      <c r="E26" s="58">
        <v>398</v>
      </c>
    </row>
    <row r="27" spans="1:5" x14ac:dyDescent="0.25">
      <c r="A27" s="58" t="s">
        <v>1329</v>
      </c>
      <c r="B27" s="58" t="s">
        <v>58</v>
      </c>
      <c r="C27" s="63" t="s">
        <v>1328</v>
      </c>
      <c r="D27" s="58">
        <v>15</v>
      </c>
      <c r="E27" s="58">
        <v>455</v>
      </c>
    </row>
    <row r="28" spans="1:5" x14ac:dyDescent="0.25">
      <c r="A28" s="58" t="s">
        <v>1330</v>
      </c>
      <c r="B28" s="58" t="s">
        <v>59</v>
      </c>
      <c r="C28" s="63" t="s">
        <v>1328</v>
      </c>
      <c r="D28" s="58">
        <v>15</v>
      </c>
      <c r="E28" s="58">
        <v>543</v>
      </c>
    </row>
    <row r="29" spans="1:5" x14ac:dyDescent="0.25">
      <c r="A29" s="58" t="s">
        <v>1331</v>
      </c>
      <c r="B29" s="58" t="s">
        <v>60</v>
      </c>
      <c r="C29" s="63" t="s">
        <v>1328</v>
      </c>
      <c r="D29" s="58">
        <v>15</v>
      </c>
      <c r="E29" s="58">
        <v>582</v>
      </c>
    </row>
    <row r="30" spans="1:5" x14ac:dyDescent="0.25">
      <c r="A30" s="58" t="s">
        <v>1332</v>
      </c>
      <c r="B30" s="58" t="s">
        <v>61</v>
      </c>
      <c r="C30" s="63" t="s">
        <v>1328</v>
      </c>
      <c r="D30" s="58">
        <v>25</v>
      </c>
      <c r="E30" s="58">
        <v>719</v>
      </c>
    </row>
    <row r="31" spans="1:5" x14ac:dyDescent="0.25">
      <c r="A31" s="58" t="s">
        <v>1333</v>
      </c>
      <c r="B31" s="58" t="s">
        <v>62</v>
      </c>
      <c r="C31" s="63" t="s">
        <v>1328</v>
      </c>
      <c r="D31" s="58">
        <v>25</v>
      </c>
      <c r="E31" s="58">
        <v>784</v>
      </c>
    </row>
    <row r="32" spans="1:5" x14ac:dyDescent="0.25">
      <c r="A32" s="58" t="s">
        <v>1334</v>
      </c>
      <c r="B32" s="58" t="s">
        <v>63</v>
      </c>
      <c r="C32" s="63" t="s">
        <v>1328</v>
      </c>
      <c r="D32" s="58">
        <v>25</v>
      </c>
      <c r="E32" s="58">
        <v>1030</v>
      </c>
    </row>
    <row r="33" spans="1:5" x14ac:dyDescent="0.25">
      <c r="A33" s="58" t="s">
        <v>1335</v>
      </c>
      <c r="B33" s="58" t="s">
        <v>64</v>
      </c>
      <c r="C33" s="63" t="s">
        <v>1328</v>
      </c>
      <c r="D33" s="58">
        <v>25</v>
      </c>
      <c r="E33" s="58">
        <v>1047</v>
      </c>
    </row>
    <row r="34" spans="1:5" x14ac:dyDescent="0.25">
      <c r="A34" s="58" t="s">
        <v>1336</v>
      </c>
      <c r="B34" s="58" t="s">
        <v>65</v>
      </c>
      <c r="C34" s="63" t="s">
        <v>1328</v>
      </c>
      <c r="D34" s="58">
        <v>25</v>
      </c>
      <c r="E34" s="58">
        <v>1126</v>
      </c>
    </row>
    <row r="35" spans="1:5" x14ac:dyDescent="0.25">
      <c r="A35" s="58" t="s">
        <v>1337</v>
      </c>
      <c r="B35" s="58" t="s">
        <v>66</v>
      </c>
      <c r="C35" s="63" t="s">
        <v>1328</v>
      </c>
      <c r="D35" s="58">
        <v>25</v>
      </c>
      <c r="E35" s="58">
        <v>1025</v>
      </c>
    </row>
    <row r="36" spans="1:5" x14ac:dyDescent="0.25">
      <c r="A36" s="58" t="s">
        <v>1338</v>
      </c>
      <c r="B36" s="58" t="s">
        <v>67</v>
      </c>
      <c r="C36" s="63" t="s">
        <v>1328</v>
      </c>
      <c r="D36" s="58">
        <v>25</v>
      </c>
      <c r="E36" s="58">
        <v>1282</v>
      </c>
    </row>
    <row r="37" spans="1:5" x14ac:dyDescent="0.25">
      <c r="A37" s="58" t="s">
        <v>1339</v>
      </c>
      <c r="B37" s="58" t="s">
        <v>68</v>
      </c>
      <c r="C37" s="63" t="s">
        <v>1328</v>
      </c>
      <c r="D37" s="58">
        <v>25</v>
      </c>
      <c r="E37" s="58">
        <v>1457</v>
      </c>
    </row>
    <row r="38" spans="1:5" x14ac:dyDescent="0.25">
      <c r="A38" s="58" t="s">
        <v>1340</v>
      </c>
      <c r="B38" s="58" t="s">
        <v>69</v>
      </c>
      <c r="C38" s="63" t="s">
        <v>1328</v>
      </c>
      <c r="D38" s="58">
        <v>25</v>
      </c>
      <c r="E38" s="58">
        <v>1634</v>
      </c>
    </row>
    <row r="39" spans="1:5" x14ac:dyDescent="0.25">
      <c r="A39" s="58" t="s">
        <v>1341</v>
      </c>
      <c r="B39" s="58" t="s">
        <v>70</v>
      </c>
      <c r="C39" s="63" t="s">
        <v>1328</v>
      </c>
      <c r="D39" s="58">
        <v>65</v>
      </c>
      <c r="E39" s="58">
        <v>4676</v>
      </c>
    </row>
    <row r="40" spans="1:5" x14ac:dyDescent="0.25">
      <c r="A40" s="58" t="s">
        <v>1342</v>
      </c>
      <c r="B40" s="58" t="s">
        <v>71</v>
      </c>
      <c r="C40" s="63" t="s">
        <v>1328</v>
      </c>
      <c r="D40" s="58">
        <v>65</v>
      </c>
      <c r="E40" s="58">
        <v>2074</v>
      </c>
    </row>
    <row r="41" spans="1:5" x14ac:dyDescent="0.25">
      <c r="A41" s="58" t="s">
        <v>1343</v>
      </c>
      <c r="B41" s="58" t="s">
        <v>72</v>
      </c>
      <c r="C41" s="63" t="s">
        <v>1328</v>
      </c>
      <c r="D41" s="58">
        <v>65</v>
      </c>
      <c r="E41" s="58">
        <v>2324</v>
      </c>
    </row>
    <row r="42" spans="1:5" x14ac:dyDescent="0.25">
      <c r="A42" s="58" t="s">
        <v>1344</v>
      </c>
      <c r="B42" s="58" t="s">
        <v>73</v>
      </c>
      <c r="C42" s="63" t="s">
        <v>1328</v>
      </c>
      <c r="D42" s="58">
        <v>65</v>
      </c>
      <c r="E42" s="58">
        <v>3239</v>
      </c>
    </row>
    <row r="43" spans="1:5" x14ac:dyDescent="0.25">
      <c r="A43" s="58" t="s">
        <v>1345</v>
      </c>
      <c r="B43" s="58" t="s">
        <v>304</v>
      </c>
      <c r="C43" s="63" t="s">
        <v>1328</v>
      </c>
      <c r="D43" s="58">
        <v>65</v>
      </c>
      <c r="E43" s="58">
        <v>4441</v>
      </c>
    </row>
    <row r="44" spans="1:5" x14ac:dyDescent="0.25">
      <c r="A44" s="58" t="s">
        <v>1346</v>
      </c>
      <c r="B44" s="58" t="s">
        <v>306</v>
      </c>
      <c r="C44" s="63" t="s">
        <v>1328</v>
      </c>
      <c r="D44" s="58">
        <v>65</v>
      </c>
      <c r="E44" s="58">
        <v>4800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1"/>
  <dimension ref="A1:T11"/>
  <sheetViews>
    <sheetView workbookViewId="0">
      <selection activeCell="Q17" sqref="Q17"/>
    </sheetView>
  </sheetViews>
  <sheetFormatPr defaultRowHeight="15" x14ac:dyDescent="0.25"/>
  <sheetData>
    <row r="1" spans="1:20" ht="60" customHeight="1" x14ac:dyDescent="0.25">
      <c r="A1" s="58" t="s">
        <v>630</v>
      </c>
      <c r="B1" s="58" t="s">
        <v>631</v>
      </c>
      <c r="C1" s="356" t="s">
        <v>2029</v>
      </c>
      <c r="D1" s="358"/>
      <c r="E1" s="357"/>
      <c r="F1" s="352" t="s">
        <v>2030</v>
      </c>
      <c r="G1" s="359"/>
      <c r="H1" s="353"/>
      <c r="I1" s="350" t="s">
        <v>2031</v>
      </c>
      <c r="J1" s="360"/>
      <c r="K1" s="351"/>
      <c r="L1" s="348" t="s">
        <v>2032</v>
      </c>
      <c r="M1" s="361"/>
      <c r="N1" s="349"/>
    </row>
    <row r="2" spans="1:20" x14ac:dyDescent="0.25">
      <c r="A2" s="58" t="s">
        <v>632</v>
      </c>
      <c r="B2" s="58" t="s">
        <v>632</v>
      </c>
      <c r="C2" s="63" t="s">
        <v>633</v>
      </c>
      <c r="D2" s="63" t="s">
        <v>632</v>
      </c>
      <c r="E2" s="63" t="s">
        <v>634</v>
      </c>
      <c r="F2" s="59" t="s">
        <v>633</v>
      </c>
      <c r="G2" s="59" t="s">
        <v>632</v>
      </c>
      <c r="H2" s="59" t="s">
        <v>634</v>
      </c>
      <c r="I2" s="60" t="s">
        <v>633</v>
      </c>
      <c r="J2" s="60" t="s">
        <v>632</v>
      </c>
      <c r="K2" s="60" t="s">
        <v>634</v>
      </c>
      <c r="L2" s="61" t="s">
        <v>633</v>
      </c>
      <c r="M2" s="61" t="s">
        <v>632</v>
      </c>
      <c r="N2" s="61" t="s">
        <v>634</v>
      </c>
    </row>
    <row r="3" spans="1:20" x14ac:dyDescent="0.25">
      <c r="A3" s="58" t="s">
        <v>632</v>
      </c>
      <c r="B3" s="58" t="s">
        <v>632</v>
      </c>
      <c r="C3" s="63" t="s">
        <v>635</v>
      </c>
      <c r="D3" s="63" t="s">
        <v>636</v>
      </c>
      <c r="E3" s="63" t="s">
        <v>14</v>
      </c>
      <c r="F3" s="59" t="s">
        <v>635</v>
      </c>
      <c r="G3" s="59" t="s">
        <v>636</v>
      </c>
      <c r="H3" s="59" t="s">
        <v>14</v>
      </c>
      <c r="I3" s="60" t="s">
        <v>635</v>
      </c>
      <c r="J3" s="60" t="s">
        <v>636</v>
      </c>
      <c r="K3" s="60" t="s">
        <v>14</v>
      </c>
      <c r="L3" s="61" t="s">
        <v>635</v>
      </c>
      <c r="M3" s="61" t="s">
        <v>636</v>
      </c>
      <c r="N3" s="61" t="s">
        <v>14</v>
      </c>
    </row>
    <row r="4" spans="1:20" x14ac:dyDescent="0.25">
      <c r="A4" s="58" t="s">
        <v>2033</v>
      </c>
      <c r="B4" s="58" t="s">
        <v>308</v>
      </c>
      <c r="C4" s="63" t="s">
        <v>629</v>
      </c>
      <c r="D4" s="63" t="s">
        <v>629</v>
      </c>
      <c r="E4" s="63" t="s">
        <v>629</v>
      </c>
      <c r="F4" s="59" t="s">
        <v>629</v>
      </c>
      <c r="G4" s="59" t="s">
        <v>629</v>
      </c>
      <c r="H4" s="59" t="s">
        <v>629</v>
      </c>
      <c r="I4" s="60" t="s">
        <v>629</v>
      </c>
      <c r="J4" s="60" t="s">
        <v>629</v>
      </c>
      <c r="K4" s="60" t="s">
        <v>629</v>
      </c>
      <c r="L4" s="61">
        <v>10</v>
      </c>
      <c r="M4" s="61">
        <v>16</v>
      </c>
      <c r="N4" s="61">
        <v>5</v>
      </c>
      <c r="Q4">
        <v>1</v>
      </c>
      <c r="R4">
        <v>3</v>
      </c>
      <c r="S4">
        <v>4</v>
      </c>
      <c r="T4">
        <v>5</v>
      </c>
    </row>
    <row r="5" spans="1:20" x14ac:dyDescent="0.25">
      <c r="A5" s="58" t="s">
        <v>2034</v>
      </c>
      <c r="B5" s="58" t="s">
        <v>310</v>
      </c>
      <c r="C5" s="63">
        <v>27</v>
      </c>
      <c r="D5" s="63">
        <v>22</v>
      </c>
      <c r="E5" s="63">
        <v>3</v>
      </c>
      <c r="F5" s="59" t="s">
        <v>629</v>
      </c>
      <c r="G5" s="59" t="s">
        <v>629</v>
      </c>
      <c r="H5" s="59" t="s">
        <v>629</v>
      </c>
      <c r="I5" s="60" t="s">
        <v>629</v>
      </c>
      <c r="J5" s="60" t="s">
        <v>629</v>
      </c>
      <c r="K5" s="60" t="s">
        <v>629</v>
      </c>
      <c r="L5" s="61" t="s">
        <v>629</v>
      </c>
      <c r="M5" s="61" t="s">
        <v>629</v>
      </c>
      <c r="N5" s="61" t="s">
        <v>629</v>
      </c>
      <c r="Q5">
        <v>2</v>
      </c>
      <c r="R5">
        <v>6</v>
      </c>
      <c r="S5">
        <v>7</v>
      </c>
      <c r="T5">
        <v>8</v>
      </c>
    </row>
    <row r="6" spans="1:20" x14ac:dyDescent="0.25">
      <c r="A6" s="58" t="s">
        <v>2035</v>
      </c>
      <c r="B6" s="58" t="s">
        <v>312</v>
      </c>
      <c r="C6" s="63">
        <v>27</v>
      </c>
      <c r="D6" s="63">
        <v>23</v>
      </c>
      <c r="E6" s="63">
        <v>4</v>
      </c>
      <c r="F6" s="59">
        <v>42</v>
      </c>
      <c r="G6" s="59">
        <v>25</v>
      </c>
      <c r="H6" s="59">
        <v>4</v>
      </c>
      <c r="I6" s="60">
        <v>20</v>
      </c>
      <c r="J6" s="60">
        <v>21</v>
      </c>
      <c r="K6" s="60">
        <v>4</v>
      </c>
      <c r="L6" s="61" t="s">
        <v>629</v>
      </c>
      <c r="M6" s="61" t="s">
        <v>629</v>
      </c>
      <c r="N6" s="61" t="s">
        <v>629</v>
      </c>
      <c r="Q6">
        <v>3</v>
      </c>
      <c r="R6">
        <v>9</v>
      </c>
      <c r="S6">
        <v>10</v>
      </c>
      <c r="T6">
        <v>11</v>
      </c>
    </row>
    <row r="7" spans="1:20" x14ac:dyDescent="0.25">
      <c r="A7" s="58" t="s">
        <v>2036</v>
      </c>
      <c r="B7" s="58" t="s">
        <v>314</v>
      </c>
      <c r="C7" s="63">
        <v>27</v>
      </c>
      <c r="D7" s="63">
        <v>27</v>
      </c>
      <c r="E7" s="63">
        <v>4</v>
      </c>
      <c r="F7" s="59">
        <v>47</v>
      </c>
      <c r="G7" s="59">
        <v>27</v>
      </c>
      <c r="H7" s="59">
        <v>4</v>
      </c>
      <c r="I7" s="60">
        <v>20</v>
      </c>
      <c r="J7" s="60">
        <v>21</v>
      </c>
      <c r="K7" s="60">
        <v>4</v>
      </c>
      <c r="L7" s="61" t="s">
        <v>629</v>
      </c>
      <c r="M7" s="61" t="s">
        <v>629</v>
      </c>
      <c r="N7" s="61" t="s">
        <v>629</v>
      </c>
      <c r="Q7">
        <v>4</v>
      </c>
      <c r="R7">
        <v>12</v>
      </c>
      <c r="S7">
        <v>13</v>
      </c>
      <c r="T7">
        <v>14</v>
      </c>
    </row>
    <row r="8" spans="1:20" x14ac:dyDescent="0.25">
      <c r="A8" s="58" t="s">
        <v>2037</v>
      </c>
      <c r="B8" s="58" t="s">
        <v>316</v>
      </c>
      <c r="C8" s="63">
        <v>27</v>
      </c>
      <c r="D8" s="63">
        <v>29</v>
      </c>
      <c r="E8" s="63">
        <v>6</v>
      </c>
      <c r="F8" s="59">
        <v>47</v>
      </c>
      <c r="G8" s="59">
        <v>30</v>
      </c>
      <c r="H8" s="59">
        <v>6</v>
      </c>
      <c r="I8" s="60">
        <v>20</v>
      </c>
      <c r="J8" s="60">
        <v>21</v>
      </c>
      <c r="K8" s="60">
        <v>4</v>
      </c>
      <c r="L8" s="61" t="s">
        <v>629</v>
      </c>
      <c r="M8" s="61" t="s">
        <v>629</v>
      </c>
      <c r="N8" s="61" t="s">
        <v>629</v>
      </c>
    </row>
    <row r="9" spans="1:20" x14ac:dyDescent="0.25">
      <c r="A9" s="58" t="s">
        <v>2038</v>
      </c>
      <c r="B9" s="58" t="s">
        <v>318</v>
      </c>
      <c r="C9" s="63">
        <v>37</v>
      </c>
      <c r="D9" s="63">
        <v>37</v>
      </c>
      <c r="E9" s="63">
        <v>6</v>
      </c>
      <c r="F9" s="59">
        <v>47</v>
      </c>
      <c r="G9" s="59">
        <v>34</v>
      </c>
      <c r="H9" s="59">
        <v>6</v>
      </c>
      <c r="I9" s="60">
        <v>20</v>
      </c>
      <c r="J9" s="60">
        <v>29</v>
      </c>
      <c r="K9" s="60">
        <v>4</v>
      </c>
      <c r="L9" s="61" t="s">
        <v>629</v>
      </c>
      <c r="M9" s="61" t="s">
        <v>629</v>
      </c>
      <c r="N9" s="61" t="s">
        <v>629</v>
      </c>
    </row>
    <row r="10" spans="1:20" x14ac:dyDescent="0.25">
      <c r="A10" s="58" t="s">
        <v>2039</v>
      </c>
      <c r="B10" s="58" t="s">
        <v>320</v>
      </c>
      <c r="C10" s="63">
        <v>52</v>
      </c>
      <c r="D10" s="63">
        <v>52</v>
      </c>
      <c r="E10" s="63">
        <v>10</v>
      </c>
      <c r="F10" s="59">
        <v>74</v>
      </c>
      <c r="G10" s="59">
        <v>62</v>
      </c>
      <c r="H10" s="59">
        <v>10</v>
      </c>
      <c r="I10" s="60">
        <v>41</v>
      </c>
      <c r="J10" s="60">
        <v>37</v>
      </c>
      <c r="K10" s="60">
        <v>5</v>
      </c>
      <c r="L10" s="61" t="s">
        <v>629</v>
      </c>
      <c r="M10" s="61" t="s">
        <v>629</v>
      </c>
      <c r="N10" s="61" t="s">
        <v>629</v>
      </c>
    </row>
    <row r="11" spans="1:20" x14ac:dyDescent="0.25">
      <c r="A11" s="58" t="s">
        <v>2040</v>
      </c>
      <c r="B11" s="58" t="s">
        <v>322</v>
      </c>
      <c r="C11" s="63">
        <v>57</v>
      </c>
      <c r="D11" s="63">
        <v>68</v>
      </c>
      <c r="E11" s="63">
        <v>10</v>
      </c>
      <c r="F11" s="59">
        <v>81</v>
      </c>
      <c r="G11" s="59">
        <v>90</v>
      </c>
      <c r="H11" s="59">
        <v>10</v>
      </c>
      <c r="I11" s="60">
        <v>49</v>
      </c>
      <c r="J11" s="60">
        <v>52</v>
      </c>
      <c r="K11" s="60">
        <v>10</v>
      </c>
      <c r="L11" s="61" t="s">
        <v>629</v>
      </c>
      <c r="M11" s="61" t="s">
        <v>629</v>
      </c>
      <c r="N11" s="61" t="s">
        <v>629</v>
      </c>
    </row>
  </sheetData>
  <mergeCells count="4">
    <mergeCell ref="C1:E1"/>
    <mergeCell ref="F1:H1"/>
    <mergeCell ref="I1:K1"/>
    <mergeCell ref="L1:N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2"/>
  <dimension ref="A1:E25"/>
  <sheetViews>
    <sheetView workbookViewId="0">
      <selection activeCell="B4" sqref="B4:B11"/>
    </sheetView>
  </sheetViews>
  <sheetFormatPr defaultRowHeight="15" x14ac:dyDescent="0.25"/>
  <cols>
    <col min="3" max="3" width="14.42578125" customWidth="1"/>
    <col min="5" max="5" width="13.42578125" customWidth="1"/>
  </cols>
  <sheetData>
    <row r="1" spans="1:5" x14ac:dyDescent="0.25">
      <c r="A1" s="58" t="s">
        <v>630</v>
      </c>
      <c r="B1" s="58" t="s">
        <v>631</v>
      </c>
      <c r="C1" s="58" t="s">
        <v>1990</v>
      </c>
      <c r="D1" s="58" t="s">
        <v>632</v>
      </c>
      <c r="E1" s="58" t="s">
        <v>2041</v>
      </c>
    </row>
    <row r="2" spans="1:5" x14ac:dyDescent="0.25">
      <c r="A2" s="58" t="s">
        <v>632</v>
      </c>
      <c r="B2" s="58" t="s">
        <v>632</v>
      </c>
      <c r="C2" s="58" t="s">
        <v>636</v>
      </c>
      <c r="D2" s="58" t="s">
        <v>14</v>
      </c>
      <c r="E2" s="61" t="s">
        <v>1147</v>
      </c>
    </row>
    <row r="3" spans="1:5" x14ac:dyDescent="0.25">
      <c r="A3" s="58" t="s">
        <v>2042</v>
      </c>
      <c r="B3" s="58" t="s">
        <v>106</v>
      </c>
      <c r="C3" s="58">
        <v>15</v>
      </c>
      <c r="D3" s="58">
        <v>2</v>
      </c>
      <c r="E3" s="61">
        <v>70</v>
      </c>
    </row>
    <row r="4" spans="1:5" x14ac:dyDescent="0.25">
      <c r="A4" s="58" t="s">
        <v>2043</v>
      </c>
      <c r="B4" s="58">
        <v>18</v>
      </c>
      <c r="C4" s="58">
        <v>17</v>
      </c>
      <c r="D4" s="58">
        <v>2</v>
      </c>
      <c r="E4" s="61">
        <v>90</v>
      </c>
    </row>
    <row r="5" spans="1:5" x14ac:dyDescent="0.25">
      <c r="A5" s="58" t="s">
        <v>2044</v>
      </c>
      <c r="B5" s="58" t="s">
        <v>37</v>
      </c>
      <c r="C5" s="58">
        <v>28</v>
      </c>
      <c r="D5" s="58">
        <v>2</v>
      </c>
      <c r="E5" s="61">
        <v>95</v>
      </c>
    </row>
    <row r="6" spans="1:5" x14ac:dyDescent="0.25">
      <c r="A6" s="58" t="s">
        <v>2045</v>
      </c>
      <c r="B6" s="58" t="s">
        <v>38</v>
      </c>
      <c r="C6" s="58">
        <v>35</v>
      </c>
      <c r="D6" s="58">
        <v>2</v>
      </c>
      <c r="E6" s="61">
        <v>95</v>
      </c>
    </row>
    <row r="7" spans="1:5" x14ac:dyDescent="0.25">
      <c r="A7" s="58" t="s">
        <v>2046</v>
      </c>
      <c r="B7" s="58" t="s">
        <v>39</v>
      </c>
      <c r="C7" s="58">
        <v>32</v>
      </c>
      <c r="D7" s="58">
        <v>2</v>
      </c>
      <c r="E7" s="61">
        <v>110</v>
      </c>
    </row>
    <row r="8" spans="1:5" x14ac:dyDescent="0.25">
      <c r="A8" s="58" t="s">
        <v>2047</v>
      </c>
      <c r="B8" s="58" t="s">
        <v>40</v>
      </c>
      <c r="C8" s="58">
        <v>39</v>
      </c>
      <c r="D8" s="58">
        <v>2</v>
      </c>
      <c r="E8" s="61">
        <v>135</v>
      </c>
    </row>
    <row r="9" spans="1:5" x14ac:dyDescent="0.25">
      <c r="A9" s="58" t="s">
        <v>2048</v>
      </c>
      <c r="B9" s="58" t="s">
        <v>41</v>
      </c>
      <c r="C9" s="58">
        <v>56</v>
      </c>
      <c r="D9" s="58">
        <v>3</v>
      </c>
      <c r="E9" s="61">
        <v>180</v>
      </c>
    </row>
    <row r="10" spans="1:5" x14ac:dyDescent="0.25">
      <c r="A10" s="58" t="s">
        <v>2049</v>
      </c>
      <c r="B10" s="58" t="s">
        <v>42</v>
      </c>
      <c r="C10" s="58">
        <v>66</v>
      </c>
      <c r="D10" s="58">
        <v>3</v>
      </c>
      <c r="E10" s="61">
        <v>195</v>
      </c>
    </row>
    <row r="11" spans="1:5" x14ac:dyDescent="0.25">
      <c r="A11" s="58" t="s">
        <v>2050</v>
      </c>
      <c r="B11" s="58" t="s">
        <v>43</v>
      </c>
      <c r="C11" s="58">
        <v>80</v>
      </c>
      <c r="D11" s="58">
        <v>3</v>
      </c>
      <c r="E11" s="61">
        <v>250</v>
      </c>
    </row>
    <row r="12" spans="1:5" x14ac:dyDescent="0.25">
      <c r="A12" s="58" t="s">
        <v>2051</v>
      </c>
      <c r="B12" s="58" t="s">
        <v>44</v>
      </c>
      <c r="C12" s="58">
        <v>95</v>
      </c>
      <c r="D12" s="58">
        <v>3</v>
      </c>
      <c r="E12" s="61">
        <v>270</v>
      </c>
    </row>
    <row r="13" spans="1:5" x14ac:dyDescent="0.25">
      <c r="A13" s="58" t="s">
        <v>2052</v>
      </c>
      <c r="B13" s="58" t="s">
        <v>53</v>
      </c>
      <c r="C13" s="58">
        <v>38</v>
      </c>
      <c r="D13" s="58">
        <v>2</v>
      </c>
      <c r="E13" s="61">
        <v>100</v>
      </c>
    </row>
    <row r="14" spans="1:5" x14ac:dyDescent="0.25">
      <c r="A14" s="58" t="s">
        <v>2053</v>
      </c>
      <c r="B14" s="58" t="s">
        <v>54</v>
      </c>
      <c r="C14" s="58">
        <v>44</v>
      </c>
      <c r="D14" s="58">
        <v>3</v>
      </c>
      <c r="E14" s="61">
        <v>115</v>
      </c>
    </row>
    <row r="15" spans="1:5" x14ac:dyDescent="0.25">
      <c r="A15" s="58" t="s">
        <v>2054</v>
      </c>
      <c r="B15" s="58" t="s">
        <v>55</v>
      </c>
      <c r="C15" s="58">
        <v>77</v>
      </c>
      <c r="D15" s="58">
        <v>4</v>
      </c>
      <c r="E15" s="61">
        <v>190</v>
      </c>
    </row>
    <row r="16" spans="1:5" x14ac:dyDescent="0.25">
      <c r="A16" s="58" t="s">
        <v>2055</v>
      </c>
      <c r="B16" s="58" t="s">
        <v>56</v>
      </c>
      <c r="C16" s="58">
        <v>82</v>
      </c>
      <c r="D16" s="58">
        <v>4</v>
      </c>
      <c r="E16" s="61">
        <v>220</v>
      </c>
    </row>
    <row r="17" spans="1:5" x14ac:dyDescent="0.25">
      <c r="A17" s="58" t="s">
        <v>2056</v>
      </c>
      <c r="B17" s="58" t="s">
        <v>57</v>
      </c>
      <c r="C17" s="58">
        <v>110</v>
      </c>
      <c r="D17" s="58">
        <v>5</v>
      </c>
      <c r="E17" s="61">
        <v>290</v>
      </c>
    </row>
    <row r="18" spans="1:5" x14ac:dyDescent="0.25">
      <c r="A18" s="58" t="s">
        <v>2057</v>
      </c>
      <c r="B18" s="58" t="s">
        <v>58</v>
      </c>
      <c r="C18" s="58">
        <v>120</v>
      </c>
      <c r="D18" s="58">
        <v>5</v>
      </c>
      <c r="E18" s="61">
        <v>320</v>
      </c>
    </row>
    <row r="19" spans="1:5" x14ac:dyDescent="0.25">
      <c r="A19" s="58" t="s">
        <v>2058</v>
      </c>
      <c r="B19" s="58" t="s">
        <v>310</v>
      </c>
      <c r="C19" s="58">
        <v>28</v>
      </c>
      <c r="D19" s="58">
        <v>1</v>
      </c>
      <c r="E19" s="61">
        <v>40</v>
      </c>
    </row>
    <row r="20" spans="1:5" x14ac:dyDescent="0.25">
      <c r="A20" s="58" t="s">
        <v>2059</v>
      </c>
      <c r="B20" s="58" t="s">
        <v>312</v>
      </c>
      <c r="C20" s="58">
        <v>30</v>
      </c>
      <c r="D20" s="58">
        <v>1</v>
      </c>
      <c r="E20" s="61">
        <v>40</v>
      </c>
    </row>
    <row r="21" spans="1:5" x14ac:dyDescent="0.25">
      <c r="A21" s="58" t="s">
        <v>2060</v>
      </c>
      <c r="B21" s="58" t="s">
        <v>314</v>
      </c>
      <c r="C21" s="58">
        <v>40</v>
      </c>
      <c r="D21" s="58">
        <v>1</v>
      </c>
      <c r="E21" s="61">
        <v>45</v>
      </c>
    </row>
    <row r="22" spans="1:5" x14ac:dyDescent="0.25">
      <c r="A22" s="58" t="s">
        <v>2061</v>
      </c>
      <c r="B22" s="58" t="s">
        <v>316</v>
      </c>
      <c r="C22" s="58">
        <v>43</v>
      </c>
      <c r="D22" s="58">
        <v>2</v>
      </c>
      <c r="E22" s="61">
        <v>52</v>
      </c>
    </row>
    <row r="23" spans="1:5" x14ac:dyDescent="0.25">
      <c r="A23" s="58" t="s">
        <v>2062</v>
      </c>
      <c r="B23" s="58" t="s">
        <v>318</v>
      </c>
      <c r="C23" s="58">
        <v>52</v>
      </c>
      <c r="D23" s="58">
        <v>2</v>
      </c>
      <c r="E23" s="61">
        <v>52</v>
      </c>
    </row>
    <row r="24" spans="1:5" x14ac:dyDescent="0.25">
      <c r="A24" s="58" t="s">
        <v>2063</v>
      </c>
      <c r="B24" s="58" t="s">
        <v>320</v>
      </c>
      <c r="C24" s="58">
        <v>65</v>
      </c>
      <c r="D24" s="58">
        <v>2</v>
      </c>
      <c r="E24" s="61">
        <v>70</v>
      </c>
    </row>
    <row r="25" spans="1:5" x14ac:dyDescent="0.25">
      <c r="A25" s="58" t="s">
        <v>2064</v>
      </c>
      <c r="B25" s="58" t="s">
        <v>322</v>
      </c>
      <c r="C25" s="58">
        <v>80</v>
      </c>
      <c r="D25" s="58">
        <v>3</v>
      </c>
      <c r="E25" s="61">
        <v>80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E102"/>
  <sheetViews>
    <sheetView tabSelected="1" workbookViewId="0">
      <selection activeCell="B4" sqref="B4:B11"/>
    </sheetView>
  </sheetViews>
  <sheetFormatPr defaultRowHeight="15" x14ac:dyDescent="0.25"/>
  <cols>
    <col min="4" max="4" width="13.140625" customWidth="1"/>
    <col min="5" max="5" width="15.140625" customWidth="1"/>
  </cols>
  <sheetData>
    <row r="1" spans="1:5" x14ac:dyDescent="0.25">
      <c r="B1" t="s">
        <v>630</v>
      </c>
      <c r="C1" t="s">
        <v>631</v>
      </c>
      <c r="D1" s="191" t="s">
        <v>633</v>
      </c>
      <c r="E1" s="191"/>
    </row>
    <row r="2" spans="1:5" x14ac:dyDescent="0.25">
      <c r="B2" t="s">
        <v>632</v>
      </c>
      <c r="C2" t="s">
        <v>632</v>
      </c>
      <c r="D2" t="s">
        <v>13</v>
      </c>
      <c r="E2" t="s">
        <v>14</v>
      </c>
    </row>
    <row r="3" spans="1:5" x14ac:dyDescent="0.25">
      <c r="A3" t="s">
        <v>2083</v>
      </c>
      <c r="B3" t="s">
        <v>803</v>
      </c>
      <c r="C3" t="s">
        <v>106</v>
      </c>
      <c r="D3">
        <v>44</v>
      </c>
      <c r="E3">
        <v>3</v>
      </c>
    </row>
    <row r="4" spans="1:5" x14ac:dyDescent="0.25">
      <c r="A4" t="s">
        <v>2083</v>
      </c>
      <c r="B4" t="s">
        <v>804</v>
      </c>
      <c r="C4">
        <v>18</v>
      </c>
      <c r="D4">
        <v>58</v>
      </c>
      <c r="E4">
        <v>3</v>
      </c>
    </row>
    <row r="5" spans="1:5" x14ac:dyDescent="0.25">
      <c r="A5" t="s">
        <v>2083</v>
      </c>
      <c r="B5" t="s">
        <v>805</v>
      </c>
      <c r="C5" t="s">
        <v>37</v>
      </c>
      <c r="D5">
        <v>62</v>
      </c>
      <c r="E5">
        <v>4</v>
      </c>
    </row>
    <row r="6" spans="1:5" x14ac:dyDescent="0.25">
      <c r="A6" t="s">
        <v>2083</v>
      </c>
      <c r="B6" t="s">
        <v>806</v>
      </c>
      <c r="C6" t="s">
        <v>38</v>
      </c>
      <c r="D6">
        <v>70</v>
      </c>
      <c r="E6">
        <v>4</v>
      </c>
    </row>
    <row r="7" spans="1:5" x14ac:dyDescent="0.25">
      <c r="A7" t="s">
        <v>2083</v>
      </c>
      <c r="B7" t="s">
        <v>807</v>
      </c>
      <c r="C7" t="s">
        <v>39</v>
      </c>
      <c r="D7">
        <v>62</v>
      </c>
      <c r="E7">
        <v>5</v>
      </c>
    </row>
    <row r="8" spans="1:5" x14ac:dyDescent="0.25">
      <c r="A8" t="s">
        <v>2083</v>
      </c>
      <c r="B8" t="s">
        <v>808</v>
      </c>
      <c r="C8" t="s">
        <v>40</v>
      </c>
      <c r="D8">
        <v>70</v>
      </c>
      <c r="E8">
        <v>5</v>
      </c>
    </row>
    <row r="9" spans="1:5" x14ac:dyDescent="0.25">
      <c r="A9" t="s">
        <v>2083</v>
      </c>
      <c r="B9" t="s">
        <v>809</v>
      </c>
      <c r="C9" t="s">
        <v>41</v>
      </c>
      <c r="D9">
        <v>125</v>
      </c>
      <c r="E9">
        <v>6</v>
      </c>
    </row>
    <row r="10" spans="1:5" x14ac:dyDescent="0.25">
      <c r="A10" t="s">
        <v>2083</v>
      </c>
      <c r="B10" t="s">
        <v>810</v>
      </c>
      <c r="C10" t="s">
        <v>42</v>
      </c>
      <c r="D10">
        <v>141</v>
      </c>
      <c r="E10">
        <v>6</v>
      </c>
    </row>
    <row r="11" spans="1:5" x14ac:dyDescent="0.25">
      <c r="A11" t="s">
        <v>2083</v>
      </c>
      <c r="B11" t="s">
        <v>811</v>
      </c>
      <c r="C11" t="s">
        <v>43</v>
      </c>
      <c r="D11">
        <v>206</v>
      </c>
      <c r="E11">
        <v>8</v>
      </c>
    </row>
    <row r="12" spans="1:5" x14ac:dyDescent="0.25">
      <c r="A12" t="s">
        <v>2083</v>
      </c>
      <c r="B12" t="s">
        <v>812</v>
      </c>
      <c r="C12" t="s">
        <v>44</v>
      </c>
      <c r="D12">
        <v>206</v>
      </c>
      <c r="E12">
        <v>8</v>
      </c>
    </row>
    <row r="13" spans="1:5" x14ac:dyDescent="0.25">
      <c r="A13" t="s">
        <v>2083</v>
      </c>
      <c r="B13" t="s">
        <v>813</v>
      </c>
      <c r="C13" t="s">
        <v>45</v>
      </c>
      <c r="D13">
        <v>263</v>
      </c>
      <c r="E13">
        <v>9</v>
      </c>
    </row>
    <row r="14" spans="1:5" x14ac:dyDescent="0.25">
      <c r="A14" t="s">
        <v>2083</v>
      </c>
      <c r="B14" t="s">
        <v>814</v>
      </c>
      <c r="C14" t="s">
        <v>46</v>
      </c>
      <c r="D14">
        <v>302</v>
      </c>
      <c r="E14">
        <v>9</v>
      </c>
    </row>
    <row r="15" spans="1:5" x14ac:dyDescent="0.25">
      <c r="A15" t="s">
        <v>2083</v>
      </c>
      <c r="B15" t="s">
        <v>815</v>
      </c>
      <c r="C15" t="s">
        <v>47</v>
      </c>
      <c r="D15">
        <v>302</v>
      </c>
      <c r="E15">
        <v>10</v>
      </c>
    </row>
    <row r="16" spans="1:5" x14ac:dyDescent="0.25">
      <c r="A16" t="s">
        <v>2083</v>
      </c>
      <c r="B16" t="s">
        <v>816</v>
      </c>
      <c r="C16" t="s">
        <v>48</v>
      </c>
      <c r="D16">
        <v>378</v>
      </c>
      <c r="E16">
        <v>10</v>
      </c>
    </row>
    <row r="17" spans="1:5" x14ac:dyDescent="0.25">
      <c r="A17" t="s">
        <v>2083</v>
      </c>
      <c r="B17" t="s">
        <v>817</v>
      </c>
      <c r="C17" t="s">
        <v>49</v>
      </c>
      <c r="D17">
        <v>403</v>
      </c>
      <c r="E17">
        <v>11</v>
      </c>
    </row>
    <row r="18" spans="1:5" x14ac:dyDescent="0.25">
      <c r="A18" t="s">
        <v>2083</v>
      </c>
      <c r="B18" t="s">
        <v>818</v>
      </c>
      <c r="C18" t="s">
        <v>50</v>
      </c>
      <c r="D18">
        <v>416</v>
      </c>
      <c r="E18">
        <v>12</v>
      </c>
    </row>
    <row r="19" spans="1:5" x14ac:dyDescent="0.25">
      <c r="A19" t="s">
        <v>2083</v>
      </c>
      <c r="B19" t="s">
        <v>819</v>
      </c>
      <c r="C19" t="s">
        <v>121</v>
      </c>
      <c r="D19">
        <v>465</v>
      </c>
      <c r="E19">
        <v>12</v>
      </c>
    </row>
    <row r="20" spans="1:5" x14ac:dyDescent="0.25">
      <c r="A20" t="s">
        <v>2083</v>
      </c>
      <c r="B20" t="s">
        <v>820</v>
      </c>
      <c r="C20" t="s">
        <v>51</v>
      </c>
      <c r="D20">
        <v>533</v>
      </c>
      <c r="E20">
        <v>14</v>
      </c>
    </row>
    <row r="21" spans="1:5" x14ac:dyDescent="0.25">
      <c r="A21" t="s">
        <v>2083</v>
      </c>
      <c r="B21" t="s">
        <v>821</v>
      </c>
      <c r="C21" t="s">
        <v>52</v>
      </c>
      <c r="D21">
        <v>611</v>
      </c>
      <c r="E21">
        <v>14</v>
      </c>
    </row>
    <row r="22" spans="1:5" x14ac:dyDescent="0.25">
      <c r="A22" t="s">
        <v>2083</v>
      </c>
      <c r="B22" t="s">
        <v>822</v>
      </c>
      <c r="C22" t="s">
        <v>53</v>
      </c>
      <c r="D22">
        <v>60</v>
      </c>
      <c r="E22">
        <v>5</v>
      </c>
    </row>
    <row r="23" spans="1:5" x14ac:dyDescent="0.25">
      <c r="A23" t="s">
        <v>2083</v>
      </c>
      <c r="B23" t="s">
        <v>823</v>
      </c>
      <c r="C23" t="s">
        <v>54</v>
      </c>
      <c r="D23">
        <v>62</v>
      </c>
      <c r="E23">
        <v>5</v>
      </c>
    </row>
    <row r="24" spans="1:5" x14ac:dyDescent="0.25">
      <c r="A24" t="s">
        <v>2083</v>
      </c>
      <c r="B24" t="s">
        <v>824</v>
      </c>
      <c r="C24" t="s">
        <v>55</v>
      </c>
      <c r="D24">
        <v>125</v>
      </c>
      <c r="E24">
        <v>5</v>
      </c>
    </row>
    <row r="25" spans="1:5" x14ac:dyDescent="0.25">
      <c r="A25" t="s">
        <v>2083</v>
      </c>
      <c r="B25" t="s">
        <v>825</v>
      </c>
      <c r="C25" t="s">
        <v>56</v>
      </c>
      <c r="D25">
        <v>157</v>
      </c>
      <c r="E25">
        <v>6</v>
      </c>
    </row>
    <row r="26" spans="1:5" x14ac:dyDescent="0.25">
      <c r="A26" t="s">
        <v>2083</v>
      </c>
      <c r="B26" t="s">
        <v>826</v>
      </c>
      <c r="C26" t="s">
        <v>57</v>
      </c>
      <c r="D26">
        <v>253</v>
      </c>
      <c r="E26">
        <v>7</v>
      </c>
    </row>
    <row r="27" spans="1:5" x14ac:dyDescent="0.25">
      <c r="A27" t="s">
        <v>2083</v>
      </c>
      <c r="B27" t="s">
        <v>827</v>
      </c>
      <c r="C27" t="s">
        <v>58</v>
      </c>
      <c r="D27">
        <v>258</v>
      </c>
      <c r="E27">
        <v>7</v>
      </c>
    </row>
    <row r="28" spans="1:5" x14ac:dyDescent="0.25">
      <c r="A28" t="s">
        <v>2083</v>
      </c>
      <c r="B28" t="s">
        <v>828</v>
      </c>
      <c r="C28" t="s">
        <v>59</v>
      </c>
      <c r="D28">
        <v>258</v>
      </c>
      <c r="E28">
        <v>9</v>
      </c>
    </row>
    <row r="29" spans="1:5" x14ac:dyDescent="0.25">
      <c r="A29" t="s">
        <v>2083</v>
      </c>
      <c r="B29" t="s">
        <v>829</v>
      </c>
      <c r="C29" t="s">
        <v>60</v>
      </c>
      <c r="D29">
        <v>258</v>
      </c>
      <c r="E29">
        <v>10</v>
      </c>
    </row>
    <row r="30" spans="1:5" x14ac:dyDescent="0.25">
      <c r="A30" t="s">
        <v>2083</v>
      </c>
      <c r="B30" t="s">
        <v>830</v>
      </c>
      <c r="C30" t="s">
        <v>61</v>
      </c>
      <c r="D30">
        <v>422</v>
      </c>
      <c r="E30">
        <v>11</v>
      </c>
    </row>
    <row r="31" spans="1:5" x14ac:dyDescent="0.25">
      <c r="A31" t="s">
        <v>2083</v>
      </c>
      <c r="B31" t="s">
        <v>831</v>
      </c>
      <c r="C31" t="s">
        <v>62</v>
      </c>
      <c r="D31">
        <v>502</v>
      </c>
      <c r="E31">
        <v>13</v>
      </c>
    </row>
    <row r="32" spans="1:5" x14ac:dyDescent="0.25">
      <c r="A32" t="s">
        <v>2083</v>
      </c>
      <c r="B32" t="s">
        <v>832</v>
      </c>
      <c r="C32" t="s">
        <v>63</v>
      </c>
      <c r="D32">
        <v>506</v>
      </c>
      <c r="E32">
        <v>13</v>
      </c>
    </row>
    <row r="33" spans="1:5" x14ac:dyDescent="0.25">
      <c r="A33" t="s">
        <v>2083</v>
      </c>
      <c r="B33" t="s">
        <v>833</v>
      </c>
      <c r="C33" t="s">
        <v>64</v>
      </c>
      <c r="D33">
        <v>506</v>
      </c>
      <c r="E33">
        <v>14</v>
      </c>
    </row>
    <row r="34" spans="1:5" x14ac:dyDescent="0.25">
      <c r="A34" t="s">
        <v>2083</v>
      </c>
      <c r="B34" t="s">
        <v>834</v>
      </c>
      <c r="C34" t="s">
        <v>65</v>
      </c>
      <c r="D34">
        <v>506</v>
      </c>
      <c r="E34">
        <v>14</v>
      </c>
    </row>
    <row r="35" spans="1:5" x14ac:dyDescent="0.25">
      <c r="A35" t="s">
        <v>2083</v>
      </c>
      <c r="B35" t="s">
        <v>835</v>
      </c>
      <c r="C35" t="s">
        <v>66</v>
      </c>
      <c r="D35">
        <v>591</v>
      </c>
      <c r="E35">
        <v>16</v>
      </c>
    </row>
    <row r="36" spans="1:5" x14ac:dyDescent="0.25">
      <c r="A36" t="s">
        <v>2083</v>
      </c>
      <c r="B36" t="s">
        <v>836</v>
      </c>
      <c r="C36" t="s">
        <v>67</v>
      </c>
      <c r="D36">
        <v>591</v>
      </c>
      <c r="E36">
        <v>16</v>
      </c>
    </row>
    <row r="37" spans="1:5" x14ac:dyDescent="0.25">
      <c r="A37" t="s">
        <v>2083</v>
      </c>
      <c r="B37" t="s">
        <v>837</v>
      </c>
      <c r="C37" t="s">
        <v>68</v>
      </c>
      <c r="D37">
        <v>591</v>
      </c>
      <c r="E37">
        <v>17</v>
      </c>
    </row>
    <row r="38" spans="1:5" x14ac:dyDescent="0.25">
      <c r="A38" t="s">
        <v>2083</v>
      </c>
      <c r="B38" t="s">
        <v>838</v>
      </c>
      <c r="C38" t="s">
        <v>69</v>
      </c>
      <c r="D38">
        <v>591</v>
      </c>
      <c r="E38">
        <v>17</v>
      </c>
    </row>
    <row r="39" spans="1:5" x14ac:dyDescent="0.25">
      <c r="A39" t="s">
        <v>2083</v>
      </c>
      <c r="B39" t="s">
        <v>839</v>
      </c>
      <c r="C39" t="s">
        <v>70</v>
      </c>
      <c r="D39">
        <v>924</v>
      </c>
      <c r="E39">
        <v>19</v>
      </c>
    </row>
    <row r="40" spans="1:5" x14ac:dyDescent="0.25">
      <c r="A40" t="s">
        <v>2083</v>
      </c>
      <c r="B40" t="s">
        <v>840</v>
      </c>
      <c r="C40" t="s">
        <v>71</v>
      </c>
      <c r="D40">
        <v>924</v>
      </c>
      <c r="E40">
        <v>19</v>
      </c>
    </row>
    <row r="41" spans="1:5" x14ac:dyDescent="0.25">
      <c r="A41" t="s">
        <v>2083</v>
      </c>
      <c r="B41" t="s">
        <v>841</v>
      </c>
      <c r="C41" t="s">
        <v>72</v>
      </c>
      <c r="D41">
        <v>1032</v>
      </c>
      <c r="E41">
        <v>19</v>
      </c>
    </row>
    <row r="42" spans="1:5" x14ac:dyDescent="0.25">
      <c r="A42" t="s">
        <v>2083</v>
      </c>
      <c r="B42" t="s">
        <v>842</v>
      </c>
      <c r="C42" t="s">
        <v>73</v>
      </c>
      <c r="D42">
        <v>1463</v>
      </c>
      <c r="E42">
        <v>19</v>
      </c>
    </row>
    <row r="43" spans="1:5" x14ac:dyDescent="0.25">
      <c r="A43" t="s">
        <v>2083</v>
      </c>
      <c r="B43" t="s">
        <v>843</v>
      </c>
      <c r="C43" t="s">
        <v>304</v>
      </c>
      <c r="D43">
        <v>1679</v>
      </c>
      <c r="E43">
        <v>19</v>
      </c>
    </row>
    <row r="44" spans="1:5" x14ac:dyDescent="0.25">
      <c r="A44" t="s">
        <v>2083</v>
      </c>
      <c r="B44" t="s">
        <v>844</v>
      </c>
      <c r="C44" t="s">
        <v>306</v>
      </c>
      <c r="D44">
        <v>1787</v>
      </c>
      <c r="E44">
        <v>19</v>
      </c>
    </row>
    <row r="45" spans="1:5" x14ac:dyDescent="0.25">
      <c r="A45" t="s">
        <v>2083</v>
      </c>
      <c r="B45" t="s">
        <v>845</v>
      </c>
      <c r="C45" t="s">
        <v>308</v>
      </c>
      <c r="D45">
        <v>16</v>
      </c>
      <c r="E45">
        <v>3</v>
      </c>
    </row>
    <row r="46" spans="1:5" x14ac:dyDescent="0.25">
      <c r="A46" t="s">
        <v>2083</v>
      </c>
      <c r="B46" t="s">
        <v>846</v>
      </c>
      <c r="C46" t="s">
        <v>310</v>
      </c>
      <c r="D46">
        <v>16</v>
      </c>
      <c r="E46">
        <v>3</v>
      </c>
    </row>
    <row r="47" spans="1:5" x14ac:dyDescent="0.25">
      <c r="A47" t="s">
        <v>2083</v>
      </c>
      <c r="B47" t="s">
        <v>847</v>
      </c>
      <c r="C47" t="s">
        <v>312</v>
      </c>
      <c r="D47">
        <v>16</v>
      </c>
      <c r="E47">
        <v>3</v>
      </c>
    </row>
    <row r="48" spans="1:5" x14ac:dyDescent="0.25">
      <c r="A48" t="s">
        <v>2083</v>
      </c>
      <c r="B48" t="s">
        <v>848</v>
      </c>
      <c r="C48" t="s">
        <v>314</v>
      </c>
      <c r="D48">
        <v>26</v>
      </c>
      <c r="E48">
        <v>3</v>
      </c>
    </row>
    <row r="49" spans="1:5" x14ac:dyDescent="0.25">
      <c r="A49" t="s">
        <v>2083</v>
      </c>
      <c r="B49" t="s">
        <v>849</v>
      </c>
      <c r="C49" t="s">
        <v>316</v>
      </c>
      <c r="D49">
        <v>30</v>
      </c>
      <c r="E49">
        <v>4</v>
      </c>
    </row>
    <row r="50" spans="1:5" x14ac:dyDescent="0.25">
      <c r="A50" t="s">
        <v>2083</v>
      </c>
      <c r="B50" t="s">
        <v>850</v>
      </c>
      <c r="C50" t="s">
        <v>318</v>
      </c>
      <c r="D50">
        <v>30</v>
      </c>
      <c r="E50">
        <v>5</v>
      </c>
    </row>
    <row r="51" spans="1:5" x14ac:dyDescent="0.25">
      <c r="A51" t="s">
        <v>2083</v>
      </c>
      <c r="B51" t="s">
        <v>851</v>
      </c>
      <c r="C51" t="s">
        <v>320</v>
      </c>
      <c r="D51">
        <v>54</v>
      </c>
      <c r="E51">
        <v>6</v>
      </c>
    </row>
    <row r="52" spans="1:5" x14ac:dyDescent="0.25">
      <c r="A52" t="s">
        <v>2083</v>
      </c>
      <c r="B52" t="s">
        <v>852</v>
      </c>
      <c r="C52" t="s">
        <v>322</v>
      </c>
      <c r="D52">
        <v>70</v>
      </c>
      <c r="E52">
        <v>8</v>
      </c>
    </row>
    <row r="53" spans="1:5" x14ac:dyDescent="0.25">
      <c r="A53" t="s">
        <v>2084</v>
      </c>
      <c r="B53" t="s">
        <v>1347</v>
      </c>
      <c r="C53" t="s">
        <v>106</v>
      </c>
      <c r="D53">
        <v>59</v>
      </c>
      <c r="E53">
        <v>3</v>
      </c>
    </row>
    <row r="54" spans="1:5" x14ac:dyDescent="0.25">
      <c r="A54" t="s">
        <v>2084</v>
      </c>
      <c r="B54" t="s">
        <v>1348</v>
      </c>
      <c r="C54">
        <v>18</v>
      </c>
      <c r="D54">
        <v>95</v>
      </c>
      <c r="E54">
        <v>3</v>
      </c>
    </row>
    <row r="55" spans="1:5" x14ac:dyDescent="0.25">
      <c r="A55" t="s">
        <v>2084</v>
      </c>
      <c r="B55" t="s">
        <v>1349</v>
      </c>
      <c r="C55" t="s">
        <v>37</v>
      </c>
      <c r="D55">
        <v>109</v>
      </c>
      <c r="E55">
        <v>4</v>
      </c>
    </row>
    <row r="56" spans="1:5" x14ac:dyDescent="0.25">
      <c r="A56" t="s">
        <v>2084</v>
      </c>
      <c r="B56" t="s">
        <v>1350</v>
      </c>
      <c r="C56" t="s">
        <v>38</v>
      </c>
      <c r="D56">
        <v>130</v>
      </c>
      <c r="E56">
        <v>4</v>
      </c>
    </row>
    <row r="57" spans="1:5" x14ac:dyDescent="0.25">
      <c r="A57" t="s">
        <v>2084</v>
      </c>
      <c r="B57" t="s">
        <v>1351</v>
      </c>
      <c r="C57" t="s">
        <v>39</v>
      </c>
      <c r="D57">
        <v>102</v>
      </c>
      <c r="E57">
        <v>5</v>
      </c>
    </row>
    <row r="58" spans="1:5" x14ac:dyDescent="0.25">
      <c r="A58" t="s">
        <v>2084</v>
      </c>
      <c r="B58" t="s">
        <v>1352</v>
      </c>
      <c r="C58" t="s">
        <v>40</v>
      </c>
      <c r="D58">
        <v>122</v>
      </c>
      <c r="E58">
        <v>5</v>
      </c>
    </row>
    <row r="59" spans="1:5" x14ac:dyDescent="0.25">
      <c r="A59" t="s">
        <v>2084</v>
      </c>
      <c r="B59" t="s">
        <v>1353</v>
      </c>
      <c r="C59" t="s">
        <v>41</v>
      </c>
      <c r="D59">
        <v>164</v>
      </c>
      <c r="E59">
        <v>6</v>
      </c>
    </row>
    <row r="60" spans="1:5" x14ac:dyDescent="0.25">
      <c r="A60" t="s">
        <v>2084</v>
      </c>
      <c r="B60" t="s">
        <v>1354</v>
      </c>
      <c r="C60" t="s">
        <v>42</v>
      </c>
      <c r="D60">
        <v>194</v>
      </c>
      <c r="E60">
        <v>6</v>
      </c>
    </row>
    <row r="61" spans="1:5" x14ac:dyDescent="0.25">
      <c r="A61" t="s">
        <v>2084</v>
      </c>
      <c r="B61" t="s">
        <v>1355</v>
      </c>
      <c r="C61" t="s">
        <v>43</v>
      </c>
      <c r="D61">
        <v>208</v>
      </c>
      <c r="E61">
        <v>8</v>
      </c>
    </row>
    <row r="62" spans="1:5" x14ac:dyDescent="0.25">
      <c r="A62" t="s">
        <v>2084</v>
      </c>
      <c r="B62" t="s">
        <v>1356</v>
      </c>
      <c r="C62" t="s">
        <v>44</v>
      </c>
      <c r="D62">
        <v>230</v>
      </c>
      <c r="E62">
        <v>8</v>
      </c>
    </row>
    <row r="63" spans="1:5" x14ac:dyDescent="0.25">
      <c r="A63" t="s">
        <v>2084</v>
      </c>
      <c r="B63" t="s">
        <v>1357</v>
      </c>
      <c r="C63" t="s">
        <v>45</v>
      </c>
      <c r="D63">
        <v>264</v>
      </c>
      <c r="E63">
        <v>9</v>
      </c>
    </row>
    <row r="64" spans="1:5" x14ac:dyDescent="0.25">
      <c r="A64" t="s">
        <v>2084</v>
      </c>
      <c r="B64" t="s">
        <v>1358</v>
      </c>
      <c r="C64" t="s">
        <v>46</v>
      </c>
      <c r="D64">
        <v>303</v>
      </c>
      <c r="E64">
        <v>9</v>
      </c>
    </row>
    <row r="65" spans="1:5" x14ac:dyDescent="0.25">
      <c r="A65" t="s">
        <v>2084</v>
      </c>
      <c r="B65" t="s">
        <v>1359</v>
      </c>
      <c r="C65" t="s">
        <v>47</v>
      </c>
      <c r="D65">
        <v>336</v>
      </c>
      <c r="E65">
        <v>10</v>
      </c>
    </row>
    <row r="66" spans="1:5" x14ac:dyDescent="0.25">
      <c r="A66" t="s">
        <v>2084</v>
      </c>
      <c r="B66" t="s">
        <v>1360</v>
      </c>
      <c r="C66" t="s">
        <v>48</v>
      </c>
      <c r="D66">
        <v>380</v>
      </c>
      <c r="E66">
        <v>10</v>
      </c>
    </row>
    <row r="67" spans="1:5" x14ac:dyDescent="0.25">
      <c r="A67" t="s">
        <v>2084</v>
      </c>
      <c r="B67" t="s">
        <v>1361</v>
      </c>
      <c r="C67" t="s">
        <v>49</v>
      </c>
      <c r="D67">
        <v>403</v>
      </c>
      <c r="E67">
        <v>11</v>
      </c>
    </row>
    <row r="68" spans="1:5" x14ac:dyDescent="0.25">
      <c r="A68" t="s">
        <v>2084</v>
      </c>
      <c r="B68" t="s">
        <v>1362</v>
      </c>
      <c r="C68" t="s">
        <v>50</v>
      </c>
      <c r="D68">
        <v>417</v>
      </c>
      <c r="E68">
        <v>12</v>
      </c>
    </row>
    <row r="69" spans="1:5" x14ac:dyDescent="0.25">
      <c r="A69" t="s">
        <v>2084</v>
      </c>
      <c r="B69" t="s">
        <v>1363</v>
      </c>
      <c r="C69" t="s">
        <v>121</v>
      </c>
      <c r="D69">
        <v>466</v>
      </c>
      <c r="E69">
        <v>12</v>
      </c>
    </row>
    <row r="70" spans="1:5" x14ac:dyDescent="0.25">
      <c r="A70" t="s">
        <v>2084</v>
      </c>
      <c r="B70" t="s">
        <v>1364</v>
      </c>
      <c r="C70" t="s">
        <v>51</v>
      </c>
      <c r="D70">
        <v>553</v>
      </c>
      <c r="E70">
        <v>14</v>
      </c>
    </row>
    <row r="71" spans="1:5" x14ac:dyDescent="0.25">
      <c r="A71" t="s">
        <v>2084</v>
      </c>
      <c r="B71" t="s">
        <v>1365</v>
      </c>
      <c r="C71" t="s">
        <v>52</v>
      </c>
      <c r="D71">
        <v>611</v>
      </c>
      <c r="E71">
        <v>14</v>
      </c>
    </row>
    <row r="72" spans="1:5" x14ac:dyDescent="0.25">
      <c r="A72" t="s">
        <v>2084</v>
      </c>
      <c r="B72" t="s">
        <v>1366</v>
      </c>
      <c r="C72" t="s">
        <v>53</v>
      </c>
      <c r="D72">
        <v>117</v>
      </c>
      <c r="E72">
        <v>5</v>
      </c>
    </row>
    <row r="73" spans="1:5" x14ac:dyDescent="0.25">
      <c r="A73" t="s">
        <v>2084</v>
      </c>
      <c r="B73" t="s">
        <v>1367</v>
      </c>
      <c r="C73" t="s">
        <v>54</v>
      </c>
      <c r="D73">
        <v>141</v>
      </c>
      <c r="E73">
        <v>5</v>
      </c>
    </row>
    <row r="74" spans="1:5" x14ac:dyDescent="0.25">
      <c r="A74" t="s">
        <v>2084</v>
      </c>
      <c r="B74" t="s">
        <v>1368</v>
      </c>
      <c r="C74" t="s">
        <v>55</v>
      </c>
      <c r="D74">
        <v>222</v>
      </c>
      <c r="E74">
        <v>5</v>
      </c>
    </row>
    <row r="75" spans="1:5" x14ac:dyDescent="0.25">
      <c r="A75" t="s">
        <v>2084</v>
      </c>
      <c r="B75" t="s">
        <v>1369</v>
      </c>
      <c r="C75" t="s">
        <v>56</v>
      </c>
      <c r="D75">
        <v>229</v>
      </c>
      <c r="E75">
        <v>6</v>
      </c>
    </row>
    <row r="76" spans="1:5" x14ac:dyDescent="0.25">
      <c r="A76" t="s">
        <v>2084</v>
      </c>
      <c r="B76" t="s">
        <v>1370</v>
      </c>
      <c r="C76" t="s">
        <v>57</v>
      </c>
      <c r="D76">
        <v>254</v>
      </c>
      <c r="E76">
        <v>7</v>
      </c>
    </row>
    <row r="77" spans="1:5" x14ac:dyDescent="0.25">
      <c r="A77" t="s">
        <v>2084</v>
      </c>
      <c r="B77" t="s">
        <v>1371</v>
      </c>
      <c r="C77" t="s">
        <v>58</v>
      </c>
      <c r="D77">
        <v>289</v>
      </c>
      <c r="E77">
        <v>7</v>
      </c>
    </row>
    <row r="78" spans="1:5" x14ac:dyDescent="0.25">
      <c r="A78" t="s">
        <v>2084</v>
      </c>
      <c r="B78" t="s">
        <v>1372</v>
      </c>
      <c r="C78" t="s">
        <v>59</v>
      </c>
      <c r="D78">
        <v>338</v>
      </c>
      <c r="E78">
        <v>9</v>
      </c>
    </row>
    <row r="79" spans="1:5" x14ac:dyDescent="0.25">
      <c r="A79" t="s">
        <v>2084</v>
      </c>
      <c r="B79" t="s">
        <v>1373</v>
      </c>
      <c r="C79" t="s">
        <v>60</v>
      </c>
      <c r="D79">
        <v>338</v>
      </c>
      <c r="E79">
        <v>10</v>
      </c>
    </row>
    <row r="80" spans="1:5" x14ac:dyDescent="0.25">
      <c r="A80" t="s">
        <v>2084</v>
      </c>
      <c r="B80" t="s">
        <v>1374</v>
      </c>
      <c r="C80" t="s">
        <v>61</v>
      </c>
      <c r="D80">
        <v>422</v>
      </c>
      <c r="E80">
        <v>11</v>
      </c>
    </row>
    <row r="81" spans="1:5" x14ac:dyDescent="0.25">
      <c r="A81" t="s">
        <v>2084</v>
      </c>
      <c r="B81" t="s">
        <v>1375</v>
      </c>
      <c r="C81" t="s">
        <v>62</v>
      </c>
      <c r="D81">
        <v>502</v>
      </c>
      <c r="E81">
        <v>13</v>
      </c>
    </row>
    <row r="82" spans="1:5" x14ac:dyDescent="0.25">
      <c r="A82" t="s">
        <v>2084</v>
      </c>
      <c r="B82" t="s">
        <v>1376</v>
      </c>
      <c r="C82" t="s">
        <v>63</v>
      </c>
      <c r="D82">
        <v>507</v>
      </c>
      <c r="E82">
        <v>13</v>
      </c>
    </row>
    <row r="83" spans="1:5" x14ac:dyDescent="0.25">
      <c r="A83" t="s">
        <v>2084</v>
      </c>
      <c r="B83" t="s">
        <v>1377</v>
      </c>
      <c r="C83" t="s">
        <v>64</v>
      </c>
      <c r="D83">
        <v>507</v>
      </c>
      <c r="E83">
        <v>14</v>
      </c>
    </row>
    <row r="84" spans="1:5" x14ac:dyDescent="0.25">
      <c r="A84" t="s">
        <v>2084</v>
      </c>
      <c r="B84" t="s">
        <v>1378</v>
      </c>
      <c r="C84" t="s">
        <v>65</v>
      </c>
      <c r="D84">
        <v>507</v>
      </c>
      <c r="E84">
        <v>14</v>
      </c>
    </row>
    <row r="85" spans="1:5" x14ac:dyDescent="0.25">
      <c r="A85" t="s">
        <v>2084</v>
      </c>
      <c r="B85" t="s">
        <v>1379</v>
      </c>
      <c r="C85" t="s">
        <v>66</v>
      </c>
      <c r="D85">
        <v>591</v>
      </c>
      <c r="E85">
        <v>16</v>
      </c>
    </row>
    <row r="86" spans="1:5" x14ac:dyDescent="0.25">
      <c r="A86" t="s">
        <v>2084</v>
      </c>
      <c r="B86" t="s">
        <v>1380</v>
      </c>
      <c r="C86" t="s">
        <v>67</v>
      </c>
      <c r="D86">
        <v>591</v>
      </c>
      <c r="E86">
        <v>16</v>
      </c>
    </row>
    <row r="87" spans="1:5" x14ac:dyDescent="0.25">
      <c r="A87" t="s">
        <v>2084</v>
      </c>
      <c r="B87" t="s">
        <v>1381</v>
      </c>
      <c r="C87" t="s">
        <v>68</v>
      </c>
      <c r="D87">
        <v>591</v>
      </c>
      <c r="E87">
        <v>17</v>
      </c>
    </row>
    <row r="88" spans="1:5" x14ac:dyDescent="0.25">
      <c r="A88" t="s">
        <v>2084</v>
      </c>
      <c r="B88" t="s">
        <v>1382</v>
      </c>
      <c r="C88" t="s">
        <v>69</v>
      </c>
      <c r="D88">
        <v>591</v>
      </c>
      <c r="E88">
        <v>17</v>
      </c>
    </row>
    <row r="89" spans="1:5" x14ac:dyDescent="0.25">
      <c r="A89" t="s">
        <v>2084</v>
      </c>
      <c r="B89" t="s">
        <v>1383</v>
      </c>
      <c r="C89" t="s">
        <v>70</v>
      </c>
      <c r="D89">
        <v>924</v>
      </c>
      <c r="E89">
        <v>19</v>
      </c>
    </row>
    <row r="90" spans="1:5" x14ac:dyDescent="0.25">
      <c r="A90" t="s">
        <v>2084</v>
      </c>
      <c r="B90" t="s">
        <v>1384</v>
      </c>
      <c r="C90" t="s">
        <v>71</v>
      </c>
      <c r="D90">
        <v>924</v>
      </c>
      <c r="E90">
        <v>19</v>
      </c>
    </row>
    <row r="91" spans="1:5" x14ac:dyDescent="0.25">
      <c r="A91" t="s">
        <v>2084</v>
      </c>
      <c r="B91" t="s">
        <v>1385</v>
      </c>
      <c r="C91" t="s">
        <v>72</v>
      </c>
      <c r="D91">
        <v>1032</v>
      </c>
      <c r="E91">
        <v>19</v>
      </c>
    </row>
    <row r="92" spans="1:5" x14ac:dyDescent="0.25">
      <c r="A92" t="s">
        <v>2084</v>
      </c>
      <c r="B92" t="s">
        <v>1386</v>
      </c>
      <c r="C92" t="s">
        <v>73</v>
      </c>
      <c r="D92">
        <v>1464</v>
      </c>
      <c r="E92">
        <v>19</v>
      </c>
    </row>
    <row r="93" spans="1:5" x14ac:dyDescent="0.25">
      <c r="A93" t="s">
        <v>2084</v>
      </c>
      <c r="B93" t="s">
        <v>1387</v>
      </c>
      <c r="C93" t="s">
        <v>304</v>
      </c>
      <c r="D93">
        <v>1679</v>
      </c>
      <c r="E93">
        <v>19</v>
      </c>
    </row>
    <row r="94" spans="1:5" x14ac:dyDescent="0.25">
      <c r="A94" t="s">
        <v>2084</v>
      </c>
      <c r="B94" t="s">
        <v>1388</v>
      </c>
      <c r="C94" t="s">
        <v>306</v>
      </c>
      <c r="D94">
        <v>1787</v>
      </c>
      <c r="E94">
        <v>19</v>
      </c>
    </row>
    <row r="95" spans="1:5" x14ac:dyDescent="0.25">
      <c r="A95" t="s">
        <v>2084</v>
      </c>
      <c r="B95" t="s">
        <v>1389</v>
      </c>
      <c r="C95" t="s">
        <v>308</v>
      </c>
      <c r="D95">
        <v>20</v>
      </c>
      <c r="E95">
        <v>2</v>
      </c>
    </row>
    <row r="96" spans="1:5" x14ac:dyDescent="0.25">
      <c r="A96" t="s">
        <v>2084</v>
      </c>
      <c r="B96" t="s">
        <v>1390</v>
      </c>
      <c r="C96" t="s">
        <v>310</v>
      </c>
      <c r="D96">
        <v>20</v>
      </c>
      <c r="E96">
        <v>2</v>
      </c>
    </row>
    <row r="97" spans="1:5" x14ac:dyDescent="0.25">
      <c r="A97" t="s">
        <v>2084</v>
      </c>
      <c r="B97" t="s">
        <v>1391</v>
      </c>
      <c r="C97" t="s">
        <v>312</v>
      </c>
      <c r="D97">
        <v>20</v>
      </c>
      <c r="E97">
        <v>2</v>
      </c>
    </row>
    <row r="98" spans="1:5" x14ac:dyDescent="0.25">
      <c r="A98" t="s">
        <v>2084</v>
      </c>
      <c r="B98" t="s">
        <v>1392</v>
      </c>
      <c r="C98" t="s">
        <v>314</v>
      </c>
      <c r="D98">
        <v>31</v>
      </c>
      <c r="E98">
        <v>2</v>
      </c>
    </row>
    <row r="99" spans="1:5" x14ac:dyDescent="0.25">
      <c r="A99" t="s">
        <v>2084</v>
      </c>
      <c r="B99" t="s">
        <v>1393</v>
      </c>
      <c r="C99" t="s">
        <v>316</v>
      </c>
      <c r="D99">
        <v>31</v>
      </c>
      <c r="E99">
        <v>2</v>
      </c>
    </row>
    <row r="100" spans="1:5" x14ac:dyDescent="0.25">
      <c r="A100" t="s">
        <v>2084</v>
      </c>
      <c r="B100" t="s">
        <v>1394</v>
      </c>
      <c r="C100" t="s">
        <v>318</v>
      </c>
      <c r="D100">
        <v>31</v>
      </c>
      <c r="E100">
        <v>3</v>
      </c>
    </row>
    <row r="101" spans="1:5" x14ac:dyDescent="0.25">
      <c r="A101" t="s">
        <v>2084</v>
      </c>
      <c r="B101" t="s">
        <v>1395</v>
      </c>
      <c r="C101" t="s">
        <v>320</v>
      </c>
      <c r="D101">
        <v>55</v>
      </c>
      <c r="E101">
        <v>3</v>
      </c>
    </row>
    <row r="102" spans="1:5" x14ac:dyDescent="0.25">
      <c r="A102" t="s">
        <v>2084</v>
      </c>
      <c r="B102" t="s">
        <v>1396</v>
      </c>
      <c r="C102" t="s">
        <v>322</v>
      </c>
      <c r="D102">
        <v>70</v>
      </c>
      <c r="E102">
        <v>4</v>
      </c>
    </row>
  </sheetData>
  <mergeCells count="1">
    <mergeCell ref="D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4"/>
  <dimension ref="A1:H86"/>
  <sheetViews>
    <sheetView workbookViewId="0">
      <selection activeCell="B4" sqref="B4:B11"/>
    </sheetView>
  </sheetViews>
  <sheetFormatPr defaultRowHeight="15" x14ac:dyDescent="0.25"/>
  <cols>
    <col min="1" max="1" width="4.28515625" bestFit="1" customWidth="1"/>
    <col min="4" max="4" width="27.85546875" bestFit="1" customWidth="1"/>
    <col min="5" max="5" width="16" bestFit="1" customWidth="1"/>
    <col min="6" max="6" width="23.85546875" bestFit="1" customWidth="1"/>
  </cols>
  <sheetData>
    <row r="1" spans="1:8" x14ac:dyDescent="0.25">
      <c r="A1" s="58"/>
      <c r="B1" s="58" t="s">
        <v>630</v>
      </c>
      <c r="C1" s="58" t="s">
        <v>631</v>
      </c>
      <c r="D1" s="61" t="s">
        <v>853</v>
      </c>
      <c r="E1" s="60" t="s">
        <v>854</v>
      </c>
      <c r="F1" s="60" t="s">
        <v>2120</v>
      </c>
      <c r="G1" s="58" t="s">
        <v>633</v>
      </c>
      <c r="H1" s="58" t="s">
        <v>634</v>
      </c>
    </row>
    <row r="2" spans="1:8" x14ac:dyDescent="0.25">
      <c r="A2" s="58"/>
      <c r="B2" s="58" t="s">
        <v>632</v>
      </c>
      <c r="C2" s="58" t="s">
        <v>632</v>
      </c>
      <c r="D2" s="61" t="s">
        <v>632</v>
      </c>
      <c r="E2" s="60" t="s">
        <v>632</v>
      </c>
      <c r="F2" s="60"/>
      <c r="G2" s="58" t="s">
        <v>13</v>
      </c>
      <c r="H2" s="58" t="s">
        <v>14</v>
      </c>
    </row>
    <row r="3" spans="1:8" x14ac:dyDescent="0.25">
      <c r="A3" s="58" t="s">
        <v>2085</v>
      </c>
      <c r="B3" s="58" t="s">
        <v>855</v>
      </c>
      <c r="C3" s="58" t="s">
        <v>106</v>
      </c>
      <c r="D3" s="61" t="s">
        <v>856</v>
      </c>
      <c r="E3" s="60">
        <v>3</v>
      </c>
      <c r="F3" s="60" t="str">
        <f>CONCATENATE(D3," _ ","Вар. ",E3)</f>
        <v>20Б1; 20Ш1; 20К1 _ Вар. 3</v>
      </c>
      <c r="G3" s="58">
        <v>97</v>
      </c>
      <c r="H3" s="58">
        <v>3</v>
      </c>
    </row>
    <row r="4" spans="1:8" x14ac:dyDescent="0.25">
      <c r="A4" s="58" t="s">
        <v>2085</v>
      </c>
      <c r="B4" s="58" t="s">
        <v>857</v>
      </c>
      <c r="C4" s="58">
        <v>18</v>
      </c>
      <c r="D4" s="61" t="s">
        <v>856</v>
      </c>
      <c r="E4" s="60">
        <v>3</v>
      </c>
      <c r="F4" s="60" t="str">
        <f t="shared" ref="F4:F67" si="0">CONCATENATE(D4," _ ","Вар. ",E4)</f>
        <v>20Б1; 20Ш1; 20К1 _ Вар. 3</v>
      </c>
      <c r="G4" s="58">
        <v>146</v>
      </c>
      <c r="H4" s="58">
        <v>3</v>
      </c>
    </row>
    <row r="5" spans="1:8" x14ac:dyDescent="0.25">
      <c r="A5" s="58" t="s">
        <v>2085</v>
      </c>
      <c r="B5" s="58" t="s">
        <v>858</v>
      </c>
      <c r="C5" s="58" t="s">
        <v>37</v>
      </c>
      <c r="D5" s="61" t="s">
        <v>856</v>
      </c>
      <c r="E5" s="60">
        <v>2</v>
      </c>
      <c r="F5" s="60" t="str">
        <f t="shared" si="0"/>
        <v>20Б1; 20Ш1; 20К1 _ Вар. 2</v>
      </c>
      <c r="G5" s="58">
        <v>188</v>
      </c>
      <c r="H5" s="58">
        <v>4</v>
      </c>
    </row>
    <row r="6" spans="1:8" x14ac:dyDescent="0.25">
      <c r="A6" s="58" t="s">
        <v>2085</v>
      </c>
      <c r="B6" s="58" t="s">
        <v>859</v>
      </c>
      <c r="C6" s="58" t="s">
        <v>38</v>
      </c>
      <c r="D6" s="61" t="s">
        <v>856</v>
      </c>
      <c r="E6" s="60">
        <v>2</v>
      </c>
      <c r="F6" s="60" t="str">
        <f t="shared" si="0"/>
        <v>20Б1; 20Ш1; 20К1 _ Вар. 2</v>
      </c>
      <c r="G6" s="58">
        <v>224</v>
      </c>
      <c r="H6" s="58">
        <v>4</v>
      </c>
    </row>
    <row r="7" spans="1:8" x14ac:dyDescent="0.25">
      <c r="A7" s="58" t="s">
        <v>2085</v>
      </c>
      <c r="B7" s="58" t="s">
        <v>860</v>
      </c>
      <c r="C7" s="58" t="s">
        <v>39</v>
      </c>
      <c r="D7" s="61" t="s">
        <v>856</v>
      </c>
      <c r="E7" s="60">
        <v>2</v>
      </c>
      <c r="F7" s="60" t="str">
        <f t="shared" si="0"/>
        <v>20Б1; 20Ш1; 20К1 _ Вар. 2</v>
      </c>
      <c r="G7" s="58">
        <v>215</v>
      </c>
      <c r="H7" s="58">
        <v>5</v>
      </c>
    </row>
    <row r="8" spans="1:8" x14ac:dyDescent="0.25">
      <c r="A8" s="58" t="s">
        <v>2085</v>
      </c>
      <c r="B8" s="58" t="s">
        <v>861</v>
      </c>
      <c r="C8" s="58" t="s">
        <v>40</v>
      </c>
      <c r="D8" s="61" t="s">
        <v>856</v>
      </c>
      <c r="E8" s="60">
        <v>2</v>
      </c>
      <c r="F8" s="60" t="str">
        <f t="shared" si="0"/>
        <v>20Б1; 20Ш1; 20К1 _ Вар. 2</v>
      </c>
      <c r="G8" s="58">
        <v>259</v>
      </c>
      <c r="H8" s="58">
        <v>5</v>
      </c>
    </row>
    <row r="9" spans="1:8" x14ac:dyDescent="0.25">
      <c r="A9" s="58" t="s">
        <v>2085</v>
      </c>
      <c r="B9" s="58" t="s">
        <v>862</v>
      </c>
      <c r="C9" s="58" t="s">
        <v>41</v>
      </c>
      <c r="D9" s="61" t="s">
        <v>856</v>
      </c>
      <c r="E9" s="60">
        <v>2</v>
      </c>
      <c r="F9" s="60" t="str">
        <f t="shared" si="0"/>
        <v>20Б1; 20Ш1; 20К1 _ Вар. 2</v>
      </c>
      <c r="G9" s="58">
        <v>285</v>
      </c>
      <c r="H9" s="58">
        <v>6</v>
      </c>
    </row>
    <row r="10" spans="1:8" x14ac:dyDescent="0.25">
      <c r="A10" s="58" t="s">
        <v>2085</v>
      </c>
      <c r="B10" s="58" t="s">
        <v>863</v>
      </c>
      <c r="C10" s="58" t="s">
        <v>42</v>
      </c>
      <c r="D10" s="61" t="s">
        <v>856</v>
      </c>
      <c r="E10" s="60">
        <v>2</v>
      </c>
      <c r="F10" s="60" t="str">
        <f t="shared" si="0"/>
        <v>20Б1; 20Ш1; 20К1 _ Вар. 2</v>
      </c>
      <c r="G10" s="58">
        <v>336</v>
      </c>
      <c r="H10" s="58">
        <v>6</v>
      </c>
    </row>
    <row r="11" spans="1:8" x14ac:dyDescent="0.25">
      <c r="A11" s="58" t="s">
        <v>2085</v>
      </c>
      <c r="B11" s="58" t="s">
        <v>864</v>
      </c>
      <c r="C11" s="58" t="s">
        <v>43</v>
      </c>
      <c r="D11" s="61" t="s">
        <v>856</v>
      </c>
      <c r="E11" s="60">
        <v>1</v>
      </c>
      <c r="F11" s="60" t="str">
        <f t="shared" si="0"/>
        <v>20Б1; 20Ш1; 20К1 _ Вар. 1</v>
      </c>
      <c r="G11" s="58">
        <v>360</v>
      </c>
      <c r="H11" s="58">
        <v>8</v>
      </c>
    </row>
    <row r="12" spans="1:8" x14ac:dyDescent="0.25">
      <c r="A12" s="58" t="s">
        <v>2085</v>
      </c>
      <c r="B12" s="58" t="s">
        <v>865</v>
      </c>
      <c r="C12" s="58" t="s">
        <v>44</v>
      </c>
      <c r="D12" s="61" t="s">
        <v>856</v>
      </c>
      <c r="E12" s="60">
        <v>1</v>
      </c>
      <c r="F12" s="60" t="str">
        <f t="shared" si="0"/>
        <v>20Б1; 20Ш1; 20К1 _ Вар. 1</v>
      </c>
      <c r="G12" s="58">
        <v>360</v>
      </c>
      <c r="H12" s="58">
        <v>8</v>
      </c>
    </row>
    <row r="13" spans="1:8" x14ac:dyDescent="0.25">
      <c r="A13" s="58" t="s">
        <v>2085</v>
      </c>
      <c r="B13" s="58" t="s">
        <v>866</v>
      </c>
      <c r="C13" s="58" t="s">
        <v>45</v>
      </c>
      <c r="D13" s="61" t="s">
        <v>867</v>
      </c>
      <c r="E13" s="60">
        <v>1</v>
      </c>
      <c r="F13" s="60" t="str">
        <f t="shared" si="0"/>
        <v>35Б2; 25Ш1; 20К2 _ Вар. 1</v>
      </c>
      <c r="G13" s="58">
        <v>455</v>
      </c>
      <c r="H13" s="58">
        <v>9</v>
      </c>
    </row>
    <row r="14" spans="1:8" x14ac:dyDescent="0.25">
      <c r="A14" s="58" t="s">
        <v>2085</v>
      </c>
      <c r="B14" s="58" t="s">
        <v>868</v>
      </c>
      <c r="C14" s="58" t="s">
        <v>46</v>
      </c>
      <c r="D14" s="61" t="s">
        <v>867</v>
      </c>
      <c r="E14" s="60">
        <v>1</v>
      </c>
      <c r="F14" s="60" t="str">
        <f t="shared" si="0"/>
        <v>35Б2; 25Ш1; 20К2 _ Вар. 1</v>
      </c>
      <c r="G14" s="58">
        <v>523</v>
      </c>
      <c r="H14" s="58">
        <v>9</v>
      </c>
    </row>
    <row r="15" spans="1:8" x14ac:dyDescent="0.25">
      <c r="A15" s="58" t="s">
        <v>2085</v>
      </c>
      <c r="B15" s="58" t="s">
        <v>869</v>
      </c>
      <c r="C15" s="58" t="s">
        <v>47</v>
      </c>
      <c r="D15" s="61" t="s">
        <v>867</v>
      </c>
      <c r="E15" s="60">
        <v>1</v>
      </c>
      <c r="F15" s="60" t="str">
        <f t="shared" si="0"/>
        <v>35Б2; 25Ш1; 20К2 _ Вар. 1</v>
      </c>
      <c r="G15" s="58">
        <v>580</v>
      </c>
      <c r="H15" s="58">
        <v>10</v>
      </c>
    </row>
    <row r="16" spans="1:8" x14ac:dyDescent="0.25">
      <c r="A16" s="58" t="s">
        <v>2085</v>
      </c>
      <c r="B16" s="58" t="s">
        <v>870</v>
      </c>
      <c r="C16" s="58" t="s">
        <v>48</v>
      </c>
      <c r="D16" s="61" t="s">
        <v>867</v>
      </c>
      <c r="E16" s="60">
        <v>1</v>
      </c>
      <c r="F16" s="60" t="str">
        <f t="shared" si="0"/>
        <v>35Б2; 25Ш1; 20К2 _ Вар. 1</v>
      </c>
      <c r="G16" s="58">
        <v>600</v>
      </c>
      <c r="H16" s="58">
        <v>10</v>
      </c>
    </row>
    <row r="17" spans="1:8" x14ac:dyDescent="0.25">
      <c r="A17" s="58" t="s">
        <v>2085</v>
      </c>
      <c r="B17" s="58" t="s">
        <v>871</v>
      </c>
      <c r="C17" s="58" t="s">
        <v>49</v>
      </c>
      <c r="D17" s="61" t="s">
        <v>867</v>
      </c>
      <c r="E17" s="60">
        <v>1</v>
      </c>
      <c r="F17" s="60" t="str">
        <f t="shared" si="0"/>
        <v>35Б2; 25Ш1; 20К2 _ Вар. 1</v>
      </c>
      <c r="G17" s="58">
        <v>600</v>
      </c>
      <c r="H17" s="58">
        <v>11</v>
      </c>
    </row>
    <row r="18" spans="1:8" x14ac:dyDescent="0.25">
      <c r="A18" s="58" t="s">
        <v>2085</v>
      </c>
      <c r="B18" s="58" t="s">
        <v>872</v>
      </c>
      <c r="C18" s="58" t="s">
        <v>50</v>
      </c>
      <c r="D18" s="61" t="s">
        <v>867</v>
      </c>
      <c r="E18" s="60">
        <v>1</v>
      </c>
      <c r="F18" s="60" t="str">
        <f t="shared" si="0"/>
        <v>35Б2; 25Ш1; 20К2 _ Вар. 1</v>
      </c>
      <c r="G18" s="58">
        <v>600</v>
      </c>
      <c r="H18" s="58">
        <v>12</v>
      </c>
    </row>
    <row r="19" spans="1:8" x14ac:dyDescent="0.25">
      <c r="A19" s="58" t="s">
        <v>2085</v>
      </c>
      <c r="B19" s="58" t="s">
        <v>873</v>
      </c>
      <c r="C19" s="58" t="s">
        <v>121</v>
      </c>
      <c r="D19" s="61" t="s">
        <v>867</v>
      </c>
      <c r="E19" s="60">
        <v>1</v>
      </c>
      <c r="F19" s="60" t="str">
        <f t="shared" si="0"/>
        <v>35Б2; 25Ш1; 20К2 _ Вар. 1</v>
      </c>
      <c r="G19" s="58">
        <v>600</v>
      </c>
      <c r="H19" s="58">
        <v>12</v>
      </c>
    </row>
    <row r="20" spans="1:8" x14ac:dyDescent="0.25">
      <c r="A20" s="58" t="s">
        <v>2085</v>
      </c>
      <c r="B20" s="58" t="s">
        <v>874</v>
      </c>
      <c r="C20" s="58" t="s">
        <v>51</v>
      </c>
      <c r="D20" s="61" t="s">
        <v>875</v>
      </c>
      <c r="E20" s="60">
        <v>1</v>
      </c>
      <c r="F20" s="60" t="str">
        <f t="shared" si="0"/>
        <v>45Б1; 35Ш2; 30К1 _ Вар. 1</v>
      </c>
      <c r="G20" s="58">
        <v>900</v>
      </c>
      <c r="H20" s="58">
        <v>14</v>
      </c>
    </row>
    <row r="21" spans="1:8" x14ac:dyDescent="0.25">
      <c r="A21" s="58" t="s">
        <v>2085</v>
      </c>
      <c r="B21" s="58" t="s">
        <v>876</v>
      </c>
      <c r="C21" s="58" t="s">
        <v>52</v>
      </c>
      <c r="D21" s="61" t="s">
        <v>875</v>
      </c>
      <c r="E21" s="60">
        <v>1</v>
      </c>
      <c r="F21" s="60" t="str">
        <f t="shared" si="0"/>
        <v>45Б1; 35Ш2; 30К1 _ Вар. 1</v>
      </c>
      <c r="G21" s="58">
        <v>900</v>
      </c>
      <c r="H21" s="58">
        <v>14</v>
      </c>
    </row>
    <row r="22" spans="1:8" x14ac:dyDescent="0.25">
      <c r="A22" s="58" t="s">
        <v>2085</v>
      </c>
      <c r="B22" s="58" t="s">
        <v>877</v>
      </c>
      <c r="C22" s="58" t="s">
        <v>53</v>
      </c>
      <c r="D22" s="61" t="s">
        <v>856</v>
      </c>
      <c r="E22" s="60">
        <v>2</v>
      </c>
      <c r="F22" s="60" t="str">
        <f t="shared" si="0"/>
        <v>20Б1; 20Ш1; 20К1 _ Вар. 2</v>
      </c>
      <c r="G22" s="58">
        <v>204</v>
      </c>
      <c r="H22" s="58">
        <v>5</v>
      </c>
    </row>
    <row r="23" spans="1:8" x14ac:dyDescent="0.25">
      <c r="A23" s="58" t="s">
        <v>2085</v>
      </c>
      <c r="B23" s="58" t="s">
        <v>878</v>
      </c>
      <c r="C23" s="58" t="s">
        <v>54</v>
      </c>
      <c r="D23" s="61" t="s">
        <v>856</v>
      </c>
      <c r="E23" s="60">
        <v>1</v>
      </c>
      <c r="F23" s="60" t="str">
        <f t="shared" si="0"/>
        <v>20Б1; 20Ш1; 20К1 _ Вар. 1</v>
      </c>
      <c r="G23" s="58">
        <v>281</v>
      </c>
      <c r="H23" s="58">
        <v>5</v>
      </c>
    </row>
    <row r="24" spans="1:8" x14ac:dyDescent="0.25">
      <c r="A24" s="58" t="s">
        <v>2085</v>
      </c>
      <c r="B24" s="58" t="s">
        <v>879</v>
      </c>
      <c r="C24" s="58" t="s">
        <v>55</v>
      </c>
      <c r="D24" s="61" t="s">
        <v>856</v>
      </c>
      <c r="E24" s="60">
        <v>1</v>
      </c>
      <c r="F24" s="60" t="str">
        <f t="shared" si="0"/>
        <v>20Б1; 20Ш1; 20К1 _ Вар. 1</v>
      </c>
      <c r="G24" s="58">
        <v>360</v>
      </c>
      <c r="H24" s="58">
        <v>5</v>
      </c>
    </row>
    <row r="25" spans="1:8" x14ac:dyDescent="0.25">
      <c r="A25" s="58" t="s">
        <v>2085</v>
      </c>
      <c r="B25" s="58" t="s">
        <v>880</v>
      </c>
      <c r="C25" s="58" t="s">
        <v>56</v>
      </c>
      <c r="D25" s="61" t="s">
        <v>867</v>
      </c>
      <c r="E25" s="60">
        <v>1</v>
      </c>
      <c r="F25" s="60" t="str">
        <f t="shared" si="0"/>
        <v>35Б2; 25Ш1; 20К2 _ Вар. 1</v>
      </c>
      <c r="G25" s="58">
        <v>442</v>
      </c>
      <c r="H25" s="58">
        <v>6</v>
      </c>
    </row>
    <row r="26" spans="1:8" x14ac:dyDescent="0.25">
      <c r="A26" s="58" t="s">
        <v>2085</v>
      </c>
      <c r="B26" s="58" t="s">
        <v>881</v>
      </c>
      <c r="C26" s="58" t="s">
        <v>57</v>
      </c>
      <c r="D26" s="61" t="s">
        <v>867</v>
      </c>
      <c r="E26" s="60">
        <v>1</v>
      </c>
      <c r="F26" s="60" t="str">
        <f t="shared" si="0"/>
        <v>35Б2; 25Ш1; 20К2 _ Вар. 1</v>
      </c>
      <c r="G26" s="58">
        <v>443</v>
      </c>
      <c r="H26" s="58">
        <v>7</v>
      </c>
    </row>
    <row r="27" spans="1:8" x14ac:dyDescent="0.25">
      <c r="A27" s="58" t="s">
        <v>2085</v>
      </c>
      <c r="B27" s="58" t="s">
        <v>882</v>
      </c>
      <c r="C27" s="58" t="s">
        <v>58</v>
      </c>
      <c r="D27" s="61" t="s">
        <v>867</v>
      </c>
      <c r="E27" s="60">
        <v>1</v>
      </c>
      <c r="F27" s="60" t="str">
        <f t="shared" si="0"/>
        <v>35Б2; 25Ш1; 20К2 _ Вар. 1</v>
      </c>
      <c r="G27" s="58">
        <v>506</v>
      </c>
      <c r="H27" s="58">
        <v>7</v>
      </c>
    </row>
    <row r="28" spans="1:8" x14ac:dyDescent="0.25">
      <c r="A28" s="58" t="s">
        <v>2085</v>
      </c>
      <c r="B28" s="58" t="s">
        <v>883</v>
      </c>
      <c r="C28" s="58" t="s">
        <v>59</v>
      </c>
      <c r="D28" s="61" t="s">
        <v>867</v>
      </c>
      <c r="E28" s="60">
        <v>1</v>
      </c>
      <c r="F28" s="60" t="str">
        <f t="shared" si="0"/>
        <v>35Б2; 25Ш1; 20К2 _ Вар. 1</v>
      </c>
      <c r="G28" s="58">
        <v>600</v>
      </c>
      <c r="H28" s="58">
        <v>9</v>
      </c>
    </row>
    <row r="29" spans="1:8" x14ac:dyDescent="0.25">
      <c r="A29" s="58" t="s">
        <v>2085</v>
      </c>
      <c r="B29" s="58" t="s">
        <v>884</v>
      </c>
      <c r="C29" s="58" t="s">
        <v>60</v>
      </c>
      <c r="D29" s="61" t="s">
        <v>867</v>
      </c>
      <c r="E29" s="60">
        <v>1</v>
      </c>
      <c r="F29" s="60" t="str">
        <f t="shared" si="0"/>
        <v>35Б2; 25Ш1; 20К2 _ Вар. 1</v>
      </c>
      <c r="G29" s="58">
        <v>600</v>
      </c>
      <c r="H29" s="58">
        <v>10</v>
      </c>
    </row>
    <row r="30" spans="1:8" x14ac:dyDescent="0.25">
      <c r="A30" s="58" t="s">
        <v>2085</v>
      </c>
      <c r="B30" s="58" t="s">
        <v>885</v>
      </c>
      <c r="C30" s="58" t="s">
        <v>61</v>
      </c>
      <c r="D30" s="61" t="s">
        <v>867</v>
      </c>
      <c r="E30" s="60">
        <v>1</v>
      </c>
      <c r="F30" s="60" t="str">
        <f t="shared" si="0"/>
        <v>35Б2; 25Ш1; 20К2 _ Вар. 1</v>
      </c>
      <c r="G30" s="58">
        <v>600</v>
      </c>
      <c r="H30" s="58">
        <v>11</v>
      </c>
    </row>
    <row r="31" spans="1:8" x14ac:dyDescent="0.25">
      <c r="A31" s="58" t="s">
        <v>2085</v>
      </c>
      <c r="B31" s="58" t="s">
        <v>886</v>
      </c>
      <c r="C31" s="58" t="s">
        <v>62</v>
      </c>
      <c r="D31" s="61" t="s">
        <v>867</v>
      </c>
      <c r="E31" s="60">
        <v>1</v>
      </c>
      <c r="F31" s="60" t="str">
        <f t="shared" si="0"/>
        <v>35Б2; 25Ш1; 20К2 _ Вар. 1</v>
      </c>
      <c r="G31" s="58">
        <v>600</v>
      </c>
      <c r="H31" s="58">
        <v>13</v>
      </c>
    </row>
    <row r="32" spans="1:8" x14ac:dyDescent="0.25">
      <c r="A32" s="58" t="s">
        <v>2085</v>
      </c>
      <c r="B32" s="58" t="s">
        <v>887</v>
      </c>
      <c r="C32" s="58" t="s">
        <v>63</v>
      </c>
      <c r="D32" s="61" t="s">
        <v>875</v>
      </c>
      <c r="E32" s="60">
        <v>1</v>
      </c>
      <c r="F32" s="60" t="str">
        <f t="shared" si="0"/>
        <v>45Б1; 35Ш2; 30К1 _ Вар. 1</v>
      </c>
      <c r="G32" s="58">
        <v>1000</v>
      </c>
      <c r="H32" s="58">
        <v>13</v>
      </c>
    </row>
    <row r="33" spans="1:8" x14ac:dyDescent="0.25">
      <c r="A33" s="58" t="s">
        <v>2085</v>
      </c>
      <c r="B33" s="58" t="s">
        <v>888</v>
      </c>
      <c r="C33" s="58" t="s">
        <v>64</v>
      </c>
      <c r="D33" s="61" t="s">
        <v>875</v>
      </c>
      <c r="E33" s="60">
        <v>1</v>
      </c>
      <c r="F33" s="60" t="str">
        <f t="shared" si="0"/>
        <v>45Б1; 35Ш2; 30К1 _ Вар. 1</v>
      </c>
      <c r="G33" s="58">
        <v>1000</v>
      </c>
      <c r="H33" s="58">
        <v>14</v>
      </c>
    </row>
    <row r="34" spans="1:8" x14ac:dyDescent="0.25">
      <c r="A34" s="58" t="s">
        <v>2085</v>
      </c>
      <c r="B34" s="58" t="s">
        <v>889</v>
      </c>
      <c r="C34" s="58" t="s">
        <v>65</v>
      </c>
      <c r="D34" s="61" t="s">
        <v>875</v>
      </c>
      <c r="E34" s="60">
        <v>1</v>
      </c>
      <c r="F34" s="60" t="str">
        <f t="shared" si="0"/>
        <v>45Б1; 35Ш2; 30К1 _ Вар. 1</v>
      </c>
      <c r="G34" s="58">
        <v>1000</v>
      </c>
      <c r="H34" s="58">
        <v>14</v>
      </c>
    </row>
    <row r="35" spans="1:8" x14ac:dyDescent="0.25">
      <c r="A35" s="58" t="s">
        <v>2085</v>
      </c>
      <c r="B35" s="58" t="s">
        <v>890</v>
      </c>
      <c r="C35" s="58" t="s">
        <v>66</v>
      </c>
      <c r="D35" s="61" t="s">
        <v>875</v>
      </c>
      <c r="E35" s="60">
        <v>1</v>
      </c>
      <c r="F35" s="60" t="str">
        <f t="shared" si="0"/>
        <v>45Б1; 35Ш2; 30К1 _ Вар. 1</v>
      </c>
      <c r="G35" s="58">
        <v>1000</v>
      </c>
      <c r="H35" s="58">
        <v>16</v>
      </c>
    </row>
    <row r="36" spans="1:8" x14ac:dyDescent="0.25">
      <c r="A36" s="58" t="s">
        <v>2085</v>
      </c>
      <c r="B36" s="58" t="s">
        <v>891</v>
      </c>
      <c r="C36" s="58" t="s">
        <v>67</v>
      </c>
      <c r="D36" s="61" t="s">
        <v>875</v>
      </c>
      <c r="E36" s="60">
        <v>1</v>
      </c>
      <c r="F36" s="60" t="str">
        <f t="shared" si="0"/>
        <v>45Б1; 35Ш2; 30К1 _ Вар. 1</v>
      </c>
      <c r="G36" s="58">
        <v>1000</v>
      </c>
      <c r="H36" s="58">
        <v>16</v>
      </c>
    </row>
    <row r="37" spans="1:8" x14ac:dyDescent="0.25">
      <c r="A37" s="58" t="s">
        <v>2085</v>
      </c>
      <c r="B37" s="58" t="s">
        <v>892</v>
      </c>
      <c r="C37" s="58" t="s">
        <v>68</v>
      </c>
      <c r="D37" s="61" t="s">
        <v>875</v>
      </c>
      <c r="E37" s="60">
        <v>1</v>
      </c>
      <c r="F37" s="60" t="str">
        <f t="shared" si="0"/>
        <v>45Б1; 35Ш2; 30К1 _ Вар. 1</v>
      </c>
      <c r="G37" s="58">
        <v>1000</v>
      </c>
      <c r="H37" s="58">
        <v>17</v>
      </c>
    </row>
    <row r="38" spans="1:8" x14ac:dyDescent="0.25">
      <c r="A38" s="58" t="s">
        <v>2085</v>
      </c>
      <c r="B38" s="58" t="s">
        <v>893</v>
      </c>
      <c r="C38" s="58" t="s">
        <v>69</v>
      </c>
      <c r="D38" s="61" t="s">
        <v>875</v>
      </c>
      <c r="E38" s="60">
        <v>1</v>
      </c>
      <c r="F38" s="60" t="str">
        <f t="shared" si="0"/>
        <v>45Б1; 35Ш2; 30К1 _ Вар. 1</v>
      </c>
      <c r="G38" s="58">
        <v>1000</v>
      </c>
      <c r="H38" s="58">
        <v>17</v>
      </c>
    </row>
    <row r="39" spans="1:8" x14ac:dyDescent="0.25">
      <c r="A39" s="58" t="s">
        <v>2085</v>
      </c>
      <c r="B39" s="58" t="s">
        <v>894</v>
      </c>
      <c r="C39" s="58" t="s">
        <v>70</v>
      </c>
      <c r="D39" s="61" t="s">
        <v>875</v>
      </c>
      <c r="E39" s="60">
        <v>1</v>
      </c>
      <c r="F39" s="60" t="str">
        <f t="shared" si="0"/>
        <v>45Б1; 35Ш2; 30К1 _ Вар. 1</v>
      </c>
      <c r="G39" s="58">
        <v>1000</v>
      </c>
      <c r="H39" s="58">
        <v>19</v>
      </c>
    </row>
    <row r="40" spans="1:8" x14ac:dyDescent="0.25">
      <c r="A40" s="58" t="s">
        <v>2085</v>
      </c>
      <c r="B40" s="58" t="s">
        <v>895</v>
      </c>
      <c r="C40" s="58" t="s">
        <v>71</v>
      </c>
      <c r="D40" s="61" t="s">
        <v>875</v>
      </c>
      <c r="E40" s="60">
        <v>1</v>
      </c>
      <c r="F40" s="60" t="str">
        <f t="shared" si="0"/>
        <v>45Б1; 35Ш2; 30К1 _ Вар. 1</v>
      </c>
      <c r="G40" s="58">
        <v>1000</v>
      </c>
      <c r="H40" s="58">
        <v>19</v>
      </c>
    </row>
    <row r="41" spans="1:8" x14ac:dyDescent="0.25">
      <c r="A41" s="58" t="s">
        <v>2085</v>
      </c>
      <c r="B41" s="58" t="s">
        <v>896</v>
      </c>
      <c r="C41" s="58" t="s">
        <v>72</v>
      </c>
      <c r="D41" s="61" t="s">
        <v>875</v>
      </c>
      <c r="E41" s="60">
        <v>1</v>
      </c>
      <c r="F41" s="60" t="str">
        <f t="shared" si="0"/>
        <v>45Б1; 35Ш2; 30К1 _ Вар. 1</v>
      </c>
      <c r="G41" s="58">
        <v>1000</v>
      </c>
      <c r="H41" s="58">
        <v>19</v>
      </c>
    </row>
    <row r="42" spans="1:8" x14ac:dyDescent="0.25">
      <c r="A42" s="58" t="s">
        <v>2085</v>
      </c>
      <c r="B42" s="58" t="s">
        <v>897</v>
      </c>
      <c r="C42" s="58" t="s">
        <v>73</v>
      </c>
      <c r="D42" s="61" t="s">
        <v>875</v>
      </c>
      <c r="E42" s="60">
        <v>1</v>
      </c>
      <c r="F42" s="60" t="str">
        <f t="shared" si="0"/>
        <v>45Б1; 35Ш2; 30К1 _ Вар. 1</v>
      </c>
      <c r="G42" s="58">
        <v>1000</v>
      </c>
      <c r="H42" s="58">
        <v>19</v>
      </c>
    </row>
    <row r="43" spans="1:8" x14ac:dyDescent="0.25">
      <c r="A43" s="58" t="s">
        <v>2085</v>
      </c>
      <c r="B43" s="58" t="s">
        <v>898</v>
      </c>
      <c r="C43" s="58" t="s">
        <v>304</v>
      </c>
      <c r="D43" s="61" t="s">
        <v>875</v>
      </c>
      <c r="E43" s="60">
        <v>1</v>
      </c>
      <c r="F43" s="60" t="str">
        <f t="shared" si="0"/>
        <v>45Б1; 35Ш2; 30К1 _ Вар. 1</v>
      </c>
      <c r="G43" s="58">
        <v>1000</v>
      </c>
      <c r="H43" s="58">
        <v>19</v>
      </c>
    </row>
    <row r="44" spans="1:8" x14ac:dyDescent="0.25">
      <c r="A44" s="58" t="s">
        <v>2085</v>
      </c>
      <c r="B44" s="58" t="s">
        <v>899</v>
      </c>
      <c r="C44" s="58" t="s">
        <v>306</v>
      </c>
      <c r="D44" s="61" t="s">
        <v>875</v>
      </c>
      <c r="E44" s="60">
        <v>1</v>
      </c>
      <c r="F44" s="60" t="str">
        <f t="shared" si="0"/>
        <v>45Б1; 35Ш2; 30К1 _ Вар. 1</v>
      </c>
      <c r="G44" s="58">
        <v>1000</v>
      </c>
      <c r="H44" s="58">
        <v>19</v>
      </c>
    </row>
    <row r="45" spans="1:8" x14ac:dyDescent="0.25">
      <c r="A45" s="58" t="s">
        <v>2086</v>
      </c>
      <c r="B45" s="58" t="s">
        <v>1397</v>
      </c>
      <c r="C45" s="58" t="s">
        <v>106</v>
      </c>
      <c r="D45" s="61" t="s">
        <v>867</v>
      </c>
      <c r="E45" s="60">
        <v>3</v>
      </c>
      <c r="F45" s="60" t="str">
        <f t="shared" si="0"/>
        <v>35Б2; 25Ш1; 20К2 _ Вар. 3</v>
      </c>
      <c r="G45" s="58">
        <v>97</v>
      </c>
      <c r="H45" s="58">
        <v>3</v>
      </c>
    </row>
    <row r="46" spans="1:8" x14ac:dyDescent="0.25">
      <c r="A46" s="58" t="s">
        <v>2086</v>
      </c>
      <c r="B46" s="58" t="s">
        <v>1398</v>
      </c>
      <c r="C46" s="58">
        <v>18</v>
      </c>
      <c r="D46" s="61" t="s">
        <v>867</v>
      </c>
      <c r="E46" s="60">
        <v>3</v>
      </c>
      <c r="F46" s="60" t="str">
        <f t="shared" si="0"/>
        <v>35Б2; 25Ш1; 20К2 _ Вар. 3</v>
      </c>
      <c r="G46" s="58">
        <v>146</v>
      </c>
      <c r="H46" s="58">
        <v>3</v>
      </c>
    </row>
    <row r="47" spans="1:8" x14ac:dyDescent="0.25">
      <c r="A47" s="58" t="s">
        <v>2086</v>
      </c>
      <c r="B47" s="58" t="s">
        <v>1399</v>
      </c>
      <c r="C47" s="58" t="s">
        <v>37</v>
      </c>
      <c r="D47" s="61" t="s">
        <v>867</v>
      </c>
      <c r="E47" s="60">
        <v>2</v>
      </c>
      <c r="F47" s="60" t="str">
        <f t="shared" si="0"/>
        <v>35Б2; 25Ш1; 20К2 _ Вар. 2</v>
      </c>
      <c r="G47" s="58">
        <v>188</v>
      </c>
      <c r="H47" s="58">
        <v>4</v>
      </c>
    </row>
    <row r="48" spans="1:8" x14ac:dyDescent="0.25">
      <c r="A48" s="58" t="s">
        <v>2086</v>
      </c>
      <c r="B48" s="58" t="s">
        <v>1400</v>
      </c>
      <c r="C48" s="58" t="s">
        <v>38</v>
      </c>
      <c r="D48" s="61" t="s">
        <v>867</v>
      </c>
      <c r="E48" s="60">
        <v>2</v>
      </c>
      <c r="F48" s="60" t="str">
        <f t="shared" si="0"/>
        <v>35Б2; 25Ш1; 20К2 _ Вар. 2</v>
      </c>
      <c r="G48" s="58">
        <v>224</v>
      </c>
      <c r="H48" s="58">
        <v>4</v>
      </c>
    </row>
    <row r="49" spans="1:8" x14ac:dyDescent="0.25">
      <c r="A49" s="58" t="s">
        <v>2086</v>
      </c>
      <c r="B49" s="58" t="s">
        <v>1401</v>
      </c>
      <c r="C49" s="58" t="s">
        <v>39</v>
      </c>
      <c r="D49" s="61" t="s">
        <v>867</v>
      </c>
      <c r="E49" s="60">
        <v>2</v>
      </c>
      <c r="F49" s="60" t="str">
        <f t="shared" si="0"/>
        <v>35Б2; 25Ш1; 20К2 _ Вар. 2</v>
      </c>
      <c r="G49" s="58">
        <v>215</v>
      </c>
      <c r="H49" s="58">
        <v>5</v>
      </c>
    </row>
    <row r="50" spans="1:8" x14ac:dyDescent="0.25">
      <c r="A50" s="58" t="s">
        <v>2086</v>
      </c>
      <c r="B50" s="58" t="s">
        <v>1402</v>
      </c>
      <c r="C50" s="58" t="s">
        <v>40</v>
      </c>
      <c r="D50" s="61" t="s">
        <v>867</v>
      </c>
      <c r="E50" s="60">
        <v>2</v>
      </c>
      <c r="F50" s="60" t="str">
        <f t="shared" si="0"/>
        <v>35Б2; 25Ш1; 20К2 _ Вар. 2</v>
      </c>
      <c r="G50" s="58">
        <v>259</v>
      </c>
      <c r="H50" s="58">
        <v>5</v>
      </c>
    </row>
    <row r="51" spans="1:8" x14ac:dyDescent="0.25">
      <c r="A51" s="58" t="s">
        <v>2086</v>
      </c>
      <c r="B51" s="58" t="s">
        <v>1403</v>
      </c>
      <c r="C51" s="58" t="s">
        <v>41</v>
      </c>
      <c r="D51" s="61" t="s">
        <v>867</v>
      </c>
      <c r="E51" s="60">
        <v>2</v>
      </c>
      <c r="F51" s="60" t="str">
        <f t="shared" si="0"/>
        <v>35Б2; 25Ш1; 20К2 _ Вар. 2</v>
      </c>
      <c r="G51" s="58">
        <v>285</v>
      </c>
      <c r="H51" s="58">
        <v>6</v>
      </c>
    </row>
    <row r="52" spans="1:8" x14ac:dyDescent="0.25">
      <c r="A52" s="58" t="s">
        <v>2086</v>
      </c>
      <c r="B52" s="58" t="s">
        <v>1404</v>
      </c>
      <c r="C52" s="58" t="s">
        <v>42</v>
      </c>
      <c r="D52" s="61" t="s">
        <v>867</v>
      </c>
      <c r="E52" s="60">
        <v>2</v>
      </c>
      <c r="F52" s="60" t="str">
        <f t="shared" si="0"/>
        <v>35Б2; 25Ш1; 20К2 _ Вар. 2</v>
      </c>
      <c r="G52" s="58">
        <v>336</v>
      </c>
      <c r="H52" s="58">
        <v>6</v>
      </c>
    </row>
    <row r="53" spans="1:8" x14ac:dyDescent="0.25">
      <c r="A53" s="58" t="s">
        <v>2086</v>
      </c>
      <c r="B53" s="58" t="s">
        <v>1405</v>
      </c>
      <c r="C53" s="58" t="s">
        <v>43</v>
      </c>
      <c r="D53" s="61" t="s">
        <v>867</v>
      </c>
      <c r="E53" s="60">
        <v>1</v>
      </c>
      <c r="F53" s="60" t="str">
        <f t="shared" si="0"/>
        <v>35Б2; 25Ш1; 20К2 _ Вар. 1</v>
      </c>
      <c r="G53" s="58">
        <v>360</v>
      </c>
      <c r="H53" s="58">
        <v>8</v>
      </c>
    </row>
    <row r="54" spans="1:8" x14ac:dyDescent="0.25">
      <c r="A54" s="58" t="s">
        <v>2086</v>
      </c>
      <c r="B54" s="58" t="s">
        <v>1406</v>
      </c>
      <c r="C54" s="58" t="s">
        <v>44</v>
      </c>
      <c r="D54" s="61" t="s">
        <v>867</v>
      </c>
      <c r="E54" s="60">
        <v>1</v>
      </c>
      <c r="F54" s="60" t="str">
        <f t="shared" si="0"/>
        <v>35Б2; 25Ш1; 20К2 _ Вар. 1</v>
      </c>
      <c r="G54" s="58">
        <v>360</v>
      </c>
      <c r="H54" s="58">
        <v>8</v>
      </c>
    </row>
    <row r="55" spans="1:8" x14ac:dyDescent="0.25">
      <c r="A55" s="58" t="s">
        <v>2086</v>
      </c>
      <c r="B55" s="58" t="s">
        <v>1407</v>
      </c>
      <c r="C55" s="58" t="s">
        <v>45</v>
      </c>
      <c r="D55" s="61" t="s">
        <v>1408</v>
      </c>
      <c r="E55" s="60">
        <v>1</v>
      </c>
      <c r="F55" s="60" t="str">
        <f t="shared" si="0"/>
        <v>40Б2; 30Ш1; 20К2 _ Вар. 1</v>
      </c>
      <c r="G55" s="58">
        <v>455</v>
      </c>
      <c r="H55" s="58">
        <v>9</v>
      </c>
    </row>
    <row r="56" spans="1:8" x14ac:dyDescent="0.25">
      <c r="A56" s="58" t="s">
        <v>2086</v>
      </c>
      <c r="B56" s="58" t="s">
        <v>1409</v>
      </c>
      <c r="C56" s="58" t="s">
        <v>46</v>
      </c>
      <c r="D56" s="61" t="s">
        <v>1408</v>
      </c>
      <c r="E56" s="60">
        <v>1</v>
      </c>
      <c r="F56" s="60" t="str">
        <f t="shared" si="0"/>
        <v>40Б2; 30Ш1; 20К2 _ Вар. 1</v>
      </c>
      <c r="G56" s="58">
        <v>523</v>
      </c>
      <c r="H56" s="58">
        <v>9</v>
      </c>
    </row>
    <row r="57" spans="1:8" x14ac:dyDescent="0.25">
      <c r="A57" s="58" t="s">
        <v>2086</v>
      </c>
      <c r="B57" s="58" t="s">
        <v>1410</v>
      </c>
      <c r="C57" s="58" t="s">
        <v>47</v>
      </c>
      <c r="D57" s="61" t="s">
        <v>1408</v>
      </c>
      <c r="E57" s="60">
        <v>1</v>
      </c>
      <c r="F57" s="60" t="str">
        <f t="shared" si="0"/>
        <v>40Б2; 30Ш1; 20К2 _ Вар. 1</v>
      </c>
      <c r="G57" s="58">
        <v>580</v>
      </c>
      <c r="H57" s="58">
        <v>10</v>
      </c>
    </row>
    <row r="58" spans="1:8" x14ac:dyDescent="0.25">
      <c r="A58" s="58" t="s">
        <v>2086</v>
      </c>
      <c r="B58" s="58" t="s">
        <v>1411</v>
      </c>
      <c r="C58" s="58" t="s">
        <v>48</v>
      </c>
      <c r="D58" s="61" t="s">
        <v>1408</v>
      </c>
      <c r="E58" s="60">
        <v>1</v>
      </c>
      <c r="F58" s="60" t="str">
        <f t="shared" si="0"/>
        <v>40Б2; 30Ш1; 20К2 _ Вар. 1</v>
      </c>
      <c r="G58" s="58">
        <v>600</v>
      </c>
      <c r="H58" s="58">
        <v>10</v>
      </c>
    </row>
    <row r="59" spans="1:8" x14ac:dyDescent="0.25">
      <c r="A59" s="58" t="s">
        <v>2086</v>
      </c>
      <c r="B59" s="58" t="s">
        <v>1412</v>
      </c>
      <c r="C59" s="58" t="s">
        <v>49</v>
      </c>
      <c r="D59" s="61" t="s">
        <v>1408</v>
      </c>
      <c r="E59" s="60">
        <v>1</v>
      </c>
      <c r="F59" s="60" t="str">
        <f t="shared" si="0"/>
        <v>40Б2; 30Ш1; 20К2 _ Вар. 1</v>
      </c>
      <c r="G59" s="58">
        <v>600</v>
      </c>
      <c r="H59" s="58">
        <v>11</v>
      </c>
    </row>
    <row r="60" spans="1:8" x14ac:dyDescent="0.25">
      <c r="A60" s="58" t="s">
        <v>2086</v>
      </c>
      <c r="B60" s="58" t="s">
        <v>1413</v>
      </c>
      <c r="C60" s="58" t="s">
        <v>50</v>
      </c>
      <c r="D60" s="61" t="s">
        <v>1408</v>
      </c>
      <c r="E60" s="60">
        <v>1</v>
      </c>
      <c r="F60" s="60" t="str">
        <f t="shared" si="0"/>
        <v>40Б2; 30Ш1; 20К2 _ Вар. 1</v>
      </c>
      <c r="G60" s="58">
        <v>600</v>
      </c>
      <c r="H60" s="58">
        <v>12</v>
      </c>
    </row>
    <row r="61" spans="1:8" x14ac:dyDescent="0.25">
      <c r="A61" s="58" t="s">
        <v>2086</v>
      </c>
      <c r="B61" s="58" t="s">
        <v>1414</v>
      </c>
      <c r="C61" s="58" t="s">
        <v>121</v>
      </c>
      <c r="D61" s="61" t="s">
        <v>1408</v>
      </c>
      <c r="E61" s="60">
        <v>1</v>
      </c>
      <c r="F61" s="60" t="str">
        <f t="shared" si="0"/>
        <v>40Б2; 30Ш1; 20К2 _ Вар. 1</v>
      </c>
      <c r="G61" s="58">
        <v>600</v>
      </c>
      <c r="H61" s="58">
        <v>12</v>
      </c>
    </row>
    <row r="62" spans="1:8" x14ac:dyDescent="0.25">
      <c r="A62" s="58" t="s">
        <v>2086</v>
      </c>
      <c r="B62" s="58" t="s">
        <v>1415</v>
      </c>
      <c r="C62" s="58" t="s">
        <v>51</v>
      </c>
      <c r="D62" s="61" t="s">
        <v>1408</v>
      </c>
      <c r="E62" s="60">
        <v>1</v>
      </c>
      <c r="F62" s="60" t="str">
        <f t="shared" si="0"/>
        <v>40Б2; 30Ш1; 20К2 _ Вар. 1</v>
      </c>
      <c r="G62" s="58">
        <v>900</v>
      </c>
      <c r="H62" s="58">
        <v>14</v>
      </c>
    </row>
    <row r="63" spans="1:8" x14ac:dyDescent="0.25">
      <c r="A63" s="58" t="s">
        <v>2086</v>
      </c>
      <c r="B63" s="58" t="s">
        <v>1416</v>
      </c>
      <c r="C63" s="58" t="s">
        <v>52</v>
      </c>
      <c r="D63" s="61" t="s">
        <v>1408</v>
      </c>
      <c r="E63" s="60">
        <v>1</v>
      </c>
      <c r="F63" s="60" t="str">
        <f t="shared" si="0"/>
        <v>40Б2; 30Ш1; 20К2 _ Вар. 1</v>
      </c>
      <c r="G63" s="58">
        <v>900</v>
      </c>
      <c r="H63" s="58">
        <v>14</v>
      </c>
    </row>
    <row r="64" spans="1:8" x14ac:dyDescent="0.25">
      <c r="A64" s="58" t="s">
        <v>2086</v>
      </c>
      <c r="B64" s="58" t="s">
        <v>1417</v>
      </c>
      <c r="C64" s="58" t="s">
        <v>53</v>
      </c>
      <c r="D64" s="61" t="s">
        <v>867</v>
      </c>
      <c r="E64" s="60">
        <v>2</v>
      </c>
      <c r="F64" s="60" t="str">
        <f t="shared" si="0"/>
        <v>35Б2; 25Ш1; 20К2 _ Вар. 2</v>
      </c>
      <c r="G64" s="58">
        <v>204</v>
      </c>
      <c r="H64" s="58">
        <v>5</v>
      </c>
    </row>
    <row r="65" spans="1:8" x14ac:dyDescent="0.25">
      <c r="A65" s="58" t="s">
        <v>2086</v>
      </c>
      <c r="B65" s="58" t="s">
        <v>1418</v>
      </c>
      <c r="C65" s="58" t="s">
        <v>54</v>
      </c>
      <c r="D65" s="61" t="s">
        <v>867</v>
      </c>
      <c r="E65" s="60">
        <v>1</v>
      </c>
      <c r="F65" s="60" t="str">
        <f t="shared" si="0"/>
        <v>35Б2; 25Ш1; 20К2 _ Вар. 1</v>
      </c>
      <c r="G65" s="58">
        <v>281</v>
      </c>
      <c r="H65" s="58">
        <v>5</v>
      </c>
    </row>
    <row r="66" spans="1:8" x14ac:dyDescent="0.25">
      <c r="A66" s="58" t="s">
        <v>2086</v>
      </c>
      <c r="B66" s="58" t="s">
        <v>1419</v>
      </c>
      <c r="C66" s="58" t="s">
        <v>55</v>
      </c>
      <c r="D66" s="61" t="s">
        <v>867</v>
      </c>
      <c r="E66" s="60">
        <v>1</v>
      </c>
      <c r="F66" s="60" t="str">
        <f t="shared" si="0"/>
        <v>35Б2; 25Ш1; 20К2 _ Вар. 1</v>
      </c>
      <c r="G66" s="58">
        <v>360</v>
      </c>
      <c r="H66" s="58">
        <v>5</v>
      </c>
    </row>
    <row r="67" spans="1:8" x14ac:dyDescent="0.25">
      <c r="A67" s="58" t="s">
        <v>2086</v>
      </c>
      <c r="B67" s="58" t="s">
        <v>1420</v>
      </c>
      <c r="C67" s="58" t="s">
        <v>56</v>
      </c>
      <c r="D67" s="61" t="s">
        <v>1408</v>
      </c>
      <c r="E67" s="60">
        <v>1</v>
      </c>
      <c r="F67" s="60" t="str">
        <f t="shared" si="0"/>
        <v>40Б2; 30Ш1; 20К2 _ Вар. 1</v>
      </c>
      <c r="G67" s="58">
        <v>442</v>
      </c>
      <c r="H67" s="58">
        <v>6</v>
      </c>
    </row>
    <row r="68" spans="1:8" x14ac:dyDescent="0.25">
      <c r="A68" s="58" t="s">
        <v>2086</v>
      </c>
      <c r="B68" s="58" t="s">
        <v>1421</v>
      </c>
      <c r="C68" s="58" t="s">
        <v>57</v>
      </c>
      <c r="D68" s="61" t="s">
        <v>1408</v>
      </c>
      <c r="E68" s="60">
        <v>1</v>
      </c>
      <c r="F68" s="60" t="str">
        <f t="shared" ref="F68:F86" si="1">CONCATENATE(D68," _ ","Вар. ",E68)</f>
        <v>40Б2; 30Ш1; 20К2 _ Вар. 1</v>
      </c>
      <c r="G68" s="58">
        <v>443</v>
      </c>
      <c r="H68" s="58">
        <v>7</v>
      </c>
    </row>
    <row r="69" spans="1:8" x14ac:dyDescent="0.25">
      <c r="A69" s="58" t="s">
        <v>2086</v>
      </c>
      <c r="B69" s="58" t="s">
        <v>1422</v>
      </c>
      <c r="C69" s="58" t="s">
        <v>58</v>
      </c>
      <c r="D69" s="61" t="s">
        <v>1408</v>
      </c>
      <c r="E69" s="60">
        <v>1</v>
      </c>
      <c r="F69" s="60" t="str">
        <f t="shared" si="1"/>
        <v>40Б2; 30Ш1; 20К2 _ Вар. 1</v>
      </c>
      <c r="G69" s="58">
        <v>506</v>
      </c>
      <c r="H69" s="58">
        <v>7</v>
      </c>
    </row>
    <row r="70" spans="1:8" x14ac:dyDescent="0.25">
      <c r="A70" s="58" t="s">
        <v>2086</v>
      </c>
      <c r="B70" s="58" t="s">
        <v>1423</v>
      </c>
      <c r="C70" s="58" t="s">
        <v>59</v>
      </c>
      <c r="D70" s="61" t="s">
        <v>1408</v>
      </c>
      <c r="E70" s="60">
        <v>1</v>
      </c>
      <c r="F70" s="60" t="str">
        <f t="shared" si="1"/>
        <v>40Б2; 30Ш1; 20К2 _ Вар. 1</v>
      </c>
      <c r="G70" s="58">
        <v>600</v>
      </c>
      <c r="H70" s="58">
        <v>9</v>
      </c>
    </row>
    <row r="71" spans="1:8" x14ac:dyDescent="0.25">
      <c r="A71" s="58" t="s">
        <v>2086</v>
      </c>
      <c r="B71" s="58" t="s">
        <v>1424</v>
      </c>
      <c r="C71" s="58" t="s">
        <v>60</v>
      </c>
      <c r="D71" s="61" t="s">
        <v>1408</v>
      </c>
      <c r="E71" s="60">
        <v>1</v>
      </c>
      <c r="F71" s="60" t="str">
        <f t="shared" si="1"/>
        <v>40Б2; 30Ш1; 20К2 _ Вар. 1</v>
      </c>
      <c r="G71" s="58">
        <v>600</v>
      </c>
      <c r="H71" s="58">
        <v>10</v>
      </c>
    </row>
    <row r="72" spans="1:8" x14ac:dyDescent="0.25">
      <c r="A72" s="58" t="s">
        <v>2086</v>
      </c>
      <c r="B72" s="58" t="s">
        <v>1425</v>
      </c>
      <c r="C72" s="58" t="s">
        <v>61</v>
      </c>
      <c r="D72" s="61" t="s">
        <v>1408</v>
      </c>
      <c r="E72" s="60">
        <v>1</v>
      </c>
      <c r="F72" s="60" t="str">
        <f t="shared" si="1"/>
        <v>40Б2; 30Ш1; 20К2 _ Вар. 1</v>
      </c>
      <c r="G72" s="58">
        <v>600</v>
      </c>
      <c r="H72" s="58">
        <v>11</v>
      </c>
    </row>
    <row r="73" spans="1:8" x14ac:dyDescent="0.25">
      <c r="A73" s="58" t="s">
        <v>2086</v>
      </c>
      <c r="B73" s="58" t="s">
        <v>1426</v>
      </c>
      <c r="C73" s="58" t="s">
        <v>62</v>
      </c>
      <c r="D73" s="61" t="s">
        <v>1408</v>
      </c>
      <c r="E73" s="60">
        <v>1</v>
      </c>
      <c r="F73" s="60" t="str">
        <f t="shared" si="1"/>
        <v>40Б2; 30Ш1; 20К2 _ Вар. 1</v>
      </c>
      <c r="G73" s="58">
        <v>600</v>
      </c>
      <c r="H73" s="58">
        <v>13</v>
      </c>
    </row>
    <row r="74" spans="1:8" x14ac:dyDescent="0.25">
      <c r="A74" s="58" t="s">
        <v>2086</v>
      </c>
      <c r="B74" s="58" t="s">
        <v>1427</v>
      </c>
      <c r="C74" s="58" t="s">
        <v>63</v>
      </c>
      <c r="D74" s="61" t="s">
        <v>1408</v>
      </c>
      <c r="E74" s="60">
        <v>1</v>
      </c>
      <c r="F74" s="60" t="str">
        <f t="shared" si="1"/>
        <v>40Б2; 30Ш1; 20К2 _ Вар. 1</v>
      </c>
      <c r="G74" s="58">
        <v>1000</v>
      </c>
      <c r="H74" s="58">
        <v>13</v>
      </c>
    </row>
    <row r="75" spans="1:8" x14ac:dyDescent="0.25">
      <c r="A75" s="58" t="s">
        <v>2086</v>
      </c>
      <c r="B75" s="58" t="s">
        <v>1428</v>
      </c>
      <c r="C75" s="58" t="s">
        <v>64</v>
      </c>
      <c r="D75" s="61" t="s">
        <v>1408</v>
      </c>
      <c r="E75" s="60">
        <v>1</v>
      </c>
      <c r="F75" s="60" t="str">
        <f t="shared" si="1"/>
        <v>40Б2; 30Ш1; 20К2 _ Вар. 1</v>
      </c>
      <c r="G75" s="58">
        <v>1000</v>
      </c>
      <c r="H75" s="58">
        <v>14</v>
      </c>
    </row>
    <row r="76" spans="1:8" x14ac:dyDescent="0.25">
      <c r="A76" s="58" t="s">
        <v>2086</v>
      </c>
      <c r="B76" s="58" t="s">
        <v>1429</v>
      </c>
      <c r="C76" s="58" t="s">
        <v>65</v>
      </c>
      <c r="D76" s="61" t="s">
        <v>1408</v>
      </c>
      <c r="E76" s="60">
        <v>1</v>
      </c>
      <c r="F76" s="60" t="str">
        <f t="shared" si="1"/>
        <v>40Б2; 30Ш1; 20К2 _ Вар. 1</v>
      </c>
      <c r="G76" s="58">
        <v>1000</v>
      </c>
      <c r="H76" s="58">
        <v>14</v>
      </c>
    </row>
    <row r="77" spans="1:8" x14ac:dyDescent="0.25">
      <c r="A77" s="58" t="s">
        <v>2086</v>
      </c>
      <c r="B77" s="58" t="s">
        <v>1430</v>
      </c>
      <c r="C77" s="58" t="s">
        <v>66</v>
      </c>
      <c r="D77" s="61" t="s">
        <v>1408</v>
      </c>
      <c r="E77" s="60">
        <v>1</v>
      </c>
      <c r="F77" s="60" t="str">
        <f t="shared" si="1"/>
        <v>40Б2; 30Ш1; 20К2 _ Вар. 1</v>
      </c>
      <c r="G77" s="58">
        <v>1000</v>
      </c>
      <c r="H77" s="58">
        <v>16</v>
      </c>
    </row>
    <row r="78" spans="1:8" x14ac:dyDescent="0.25">
      <c r="A78" s="58" t="s">
        <v>2086</v>
      </c>
      <c r="B78" s="58" t="s">
        <v>1431</v>
      </c>
      <c r="C78" s="58" t="s">
        <v>67</v>
      </c>
      <c r="D78" s="61" t="s">
        <v>1408</v>
      </c>
      <c r="E78" s="60">
        <v>1</v>
      </c>
      <c r="F78" s="60" t="str">
        <f t="shared" si="1"/>
        <v>40Б2; 30Ш1; 20К2 _ Вар. 1</v>
      </c>
      <c r="G78" s="58">
        <v>1000</v>
      </c>
      <c r="H78" s="58">
        <v>16</v>
      </c>
    </row>
    <row r="79" spans="1:8" x14ac:dyDescent="0.25">
      <c r="A79" s="58" t="s">
        <v>2086</v>
      </c>
      <c r="B79" s="58" t="s">
        <v>1432</v>
      </c>
      <c r="C79" s="58" t="s">
        <v>68</v>
      </c>
      <c r="D79" s="61" t="s">
        <v>1408</v>
      </c>
      <c r="E79" s="60">
        <v>1</v>
      </c>
      <c r="F79" s="60" t="str">
        <f t="shared" si="1"/>
        <v>40Б2; 30Ш1; 20К2 _ Вар. 1</v>
      </c>
      <c r="G79" s="58">
        <v>1000</v>
      </c>
      <c r="H79" s="58">
        <v>17</v>
      </c>
    </row>
    <row r="80" spans="1:8" x14ac:dyDescent="0.25">
      <c r="A80" s="58" t="s">
        <v>2086</v>
      </c>
      <c r="B80" s="58" t="s">
        <v>1433</v>
      </c>
      <c r="C80" s="58" t="s">
        <v>69</v>
      </c>
      <c r="D80" s="61" t="s">
        <v>1408</v>
      </c>
      <c r="E80" s="60">
        <v>1</v>
      </c>
      <c r="F80" s="60" t="str">
        <f t="shared" si="1"/>
        <v>40Б2; 30Ш1; 20К2 _ Вар. 1</v>
      </c>
      <c r="G80" s="58">
        <v>1000</v>
      </c>
      <c r="H80" s="58">
        <v>17</v>
      </c>
    </row>
    <row r="81" spans="1:8" x14ac:dyDescent="0.25">
      <c r="A81" s="58" t="s">
        <v>2086</v>
      </c>
      <c r="B81" s="58" t="s">
        <v>1434</v>
      </c>
      <c r="C81" s="58" t="s">
        <v>70</v>
      </c>
      <c r="D81" s="61" t="s">
        <v>1408</v>
      </c>
      <c r="E81" s="60">
        <v>1</v>
      </c>
      <c r="F81" s="60" t="str">
        <f t="shared" si="1"/>
        <v>40Б2; 30Ш1; 20К2 _ Вар. 1</v>
      </c>
      <c r="G81" s="58">
        <v>1000</v>
      </c>
      <c r="H81" s="58">
        <v>19</v>
      </c>
    </row>
    <row r="82" spans="1:8" x14ac:dyDescent="0.25">
      <c r="A82" s="58" t="s">
        <v>2086</v>
      </c>
      <c r="B82" s="58" t="s">
        <v>1435</v>
      </c>
      <c r="C82" s="58" t="s">
        <v>71</v>
      </c>
      <c r="D82" s="61" t="s">
        <v>1408</v>
      </c>
      <c r="E82" s="60">
        <v>1</v>
      </c>
      <c r="F82" s="60" t="str">
        <f t="shared" si="1"/>
        <v>40Б2; 30Ш1; 20К2 _ Вар. 1</v>
      </c>
      <c r="G82" s="58">
        <v>1000</v>
      </c>
      <c r="H82" s="58">
        <v>19</v>
      </c>
    </row>
    <row r="83" spans="1:8" x14ac:dyDescent="0.25">
      <c r="A83" s="58" t="s">
        <v>2086</v>
      </c>
      <c r="B83" s="58" t="s">
        <v>1436</v>
      </c>
      <c r="C83" s="58" t="s">
        <v>72</v>
      </c>
      <c r="D83" s="61" t="s">
        <v>1408</v>
      </c>
      <c r="E83" s="60">
        <v>1</v>
      </c>
      <c r="F83" s="60" t="str">
        <f t="shared" si="1"/>
        <v>40Б2; 30Ш1; 20К2 _ Вар. 1</v>
      </c>
      <c r="G83" s="58">
        <v>1000</v>
      </c>
      <c r="H83" s="58">
        <v>19</v>
      </c>
    </row>
    <row r="84" spans="1:8" x14ac:dyDescent="0.25">
      <c r="A84" s="58" t="s">
        <v>2086</v>
      </c>
      <c r="B84" s="58" t="s">
        <v>1437</v>
      </c>
      <c r="C84" s="58" t="s">
        <v>73</v>
      </c>
      <c r="D84" s="61" t="s">
        <v>1408</v>
      </c>
      <c r="E84" s="60">
        <v>1</v>
      </c>
      <c r="F84" s="60" t="str">
        <f t="shared" si="1"/>
        <v>40Б2; 30Ш1; 20К2 _ Вар. 1</v>
      </c>
      <c r="G84" s="58">
        <v>1000</v>
      </c>
      <c r="H84" s="58">
        <v>19</v>
      </c>
    </row>
    <row r="85" spans="1:8" x14ac:dyDescent="0.25">
      <c r="A85" s="58" t="s">
        <v>2086</v>
      </c>
      <c r="B85" s="58" t="s">
        <v>1438</v>
      </c>
      <c r="C85" s="58" t="s">
        <v>304</v>
      </c>
      <c r="D85" s="61" t="s">
        <v>1408</v>
      </c>
      <c r="E85" s="60">
        <v>1</v>
      </c>
      <c r="F85" s="60" t="str">
        <f t="shared" si="1"/>
        <v>40Б2; 30Ш1; 20К2 _ Вар. 1</v>
      </c>
      <c r="G85" s="58">
        <v>1000</v>
      </c>
      <c r="H85" s="58">
        <v>19</v>
      </c>
    </row>
    <row r="86" spans="1:8" x14ac:dyDescent="0.25">
      <c r="A86" s="58" t="s">
        <v>2086</v>
      </c>
      <c r="B86" s="58" t="s">
        <v>1439</v>
      </c>
      <c r="C86" s="58" t="s">
        <v>306</v>
      </c>
      <c r="D86" s="61" t="s">
        <v>1408</v>
      </c>
      <c r="E86" s="60">
        <v>1</v>
      </c>
      <c r="F86" s="60" t="str">
        <f t="shared" si="1"/>
        <v>40Б2; 30Ш1; 20К2 _ Вар. 1</v>
      </c>
      <c r="G86" s="58">
        <v>1000</v>
      </c>
      <c r="H86" s="58">
        <v>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5"/>
  <dimension ref="A1:G51"/>
  <sheetViews>
    <sheetView workbookViewId="0">
      <selection activeCell="B3" sqref="B3"/>
    </sheetView>
  </sheetViews>
  <sheetFormatPr defaultRowHeight="15" x14ac:dyDescent="0.25"/>
  <cols>
    <col min="5" max="5" width="11" customWidth="1"/>
  </cols>
  <sheetData>
    <row r="1" spans="1:7" ht="210" x14ac:dyDescent="0.25">
      <c r="A1" s="58" t="s">
        <v>630</v>
      </c>
      <c r="B1" s="58" t="s">
        <v>631</v>
      </c>
      <c r="C1" s="65" t="s">
        <v>1152</v>
      </c>
      <c r="D1" s="66" t="s">
        <v>1153</v>
      </c>
      <c r="E1" s="67" t="s">
        <v>1154</v>
      </c>
      <c r="F1" s="68" t="s">
        <v>1155</v>
      </c>
      <c r="G1" s="69" t="s">
        <v>1156</v>
      </c>
    </row>
    <row r="2" spans="1:7" x14ac:dyDescent="0.25">
      <c r="A2" s="58" t="s">
        <v>632</v>
      </c>
      <c r="B2" s="58" t="s">
        <v>632</v>
      </c>
      <c r="C2" s="60" t="s">
        <v>684</v>
      </c>
      <c r="D2" s="59" t="s">
        <v>684</v>
      </c>
      <c r="E2" s="61" t="s">
        <v>684</v>
      </c>
      <c r="F2" s="62" t="s">
        <v>684</v>
      </c>
      <c r="G2" s="63" t="s">
        <v>684</v>
      </c>
    </row>
    <row r="3" spans="1:7" x14ac:dyDescent="0.25">
      <c r="A3" s="58" t="s">
        <v>1441</v>
      </c>
      <c r="B3" s="58" t="s">
        <v>106</v>
      </c>
      <c r="C3" s="60">
        <v>44</v>
      </c>
      <c r="D3" s="59">
        <v>44</v>
      </c>
      <c r="E3" s="61">
        <v>38</v>
      </c>
      <c r="F3" s="62">
        <v>28</v>
      </c>
      <c r="G3" s="63">
        <v>23</v>
      </c>
    </row>
    <row r="4" spans="1:7" x14ac:dyDescent="0.25">
      <c r="A4" s="58" t="s">
        <v>1442</v>
      </c>
      <c r="B4" s="58">
        <v>18</v>
      </c>
      <c r="C4" s="60">
        <v>73</v>
      </c>
      <c r="D4" s="59">
        <v>73</v>
      </c>
      <c r="E4" s="61">
        <v>67</v>
      </c>
      <c r="F4" s="62">
        <v>49</v>
      </c>
      <c r="G4" s="63">
        <v>41</v>
      </c>
    </row>
    <row r="5" spans="1:7" x14ac:dyDescent="0.25">
      <c r="A5" s="58" t="s">
        <v>1443</v>
      </c>
      <c r="B5" s="58" t="s">
        <v>37</v>
      </c>
      <c r="C5" s="60">
        <v>81</v>
      </c>
      <c r="D5" s="59">
        <v>81</v>
      </c>
      <c r="E5" s="61">
        <v>80</v>
      </c>
      <c r="F5" s="62">
        <v>60</v>
      </c>
      <c r="G5" s="63">
        <v>51</v>
      </c>
    </row>
    <row r="6" spans="1:7" x14ac:dyDescent="0.25">
      <c r="A6" s="58" t="s">
        <v>1444</v>
      </c>
      <c r="B6" s="58" t="s">
        <v>38</v>
      </c>
      <c r="C6" s="60">
        <v>96</v>
      </c>
      <c r="D6" s="59">
        <v>96</v>
      </c>
      <c r="E6" s="61">
        <v>94</v>
      </c>
      <c r="F6" s="62">
        <v>71</v>
      </c>
      <c r="G6" s="63">
        <v>60</v>
      </c>
    </row>
    <row r="7" spans="1:7" x14ac:dyDescent="0.25">
      <c r="A7" s="58" t="s">
        <v>1445</v>
      </c>
      <c r="B7" s="58" t="s">
        <v>39</v>
      </c>
      <c r="C7" s="60">
        <v>74</v>
      </c>
      <c r="D7" s="59">
        <v>74</v>
      </c>
      <c r="E7" s="61">
        <v>72</v>
      </c>
      <c r="F7" s="62">
        <v>54</v>
      </c>
      <c r="G7" s="63">
        <v>46</v>
      </c>
    </row>
    <row r="8" spans="1:7" x14ac:dyDescent="0.25">
      <c r="A8" s="58" t="s">
        <v>1446</v>
      </c>
      <c r="B8" s="58" t="s">
        <v>40</v>
      </c>
      <c r="C8" s="60">
        <v>88</v>
      </c>
      <c r="D8" s="59">
        <v>89</v>
      </c>
      <c r="E8" s="61">
        <v>87</v>
      </c>
      <c r="F8" s="62">
        <v>65</v>
      </c>
      <c r="G8" s="63">
        <v>55</v>
      </c>
    </row>
    <row r="9" spans="1:7" x14ac:dyDescent="0.25">
      <c r="A9" s="58" t="s">
        <v>1447</v>
      </c>
      <c r="B9" s="58" t="s">
        <v>41</v>
      </c>
      <c r="C9" s="60">
        <v>115</v>
      </c>
      <c r="D9" s="59">
        <v>115</v>
      </c>
      <c r="E9" s="61">
        <v>113</v>
      </c>
      <c r="F9" s="62">
        <v>87</v>
      </c>
      <c r="G9" s="63">
        <v>74</v>
      </c>
    </row>
    <row r="10" spans="1:7" x14ac:dyDescent="0.25">
      <c r="A10" s="58" t="s">
        <v>1448</v>
      </c>
      <c r="B10" s="58" t="s">
        <v>42</v>
      </c>
      <c r="C10" s="60">
        <v>136</v>
      </c>
      <c r="D10" s="59">
        <v>136</v>
      </c>
      <c r="E10" s="61">
        <v>134</v>
      </c>
      <c r="F10" s="62">
        <v>103</v>
      </c>
      <c r="G10" s="63">
        <v>87</v>
      </c>
    </row>
    <row r="11" spans="1:7" x14ac:dyDescent="0.25">
      <c r="A11" s="58" t="s">
        <v>1449</v>
      </c>
      <c r="B11" s="58" t="s">
        <v>43</v>
      </c>
      <c r="C11" s="60">
        <v>165</v>
      </c>
      <c r="D11" s="59" t="s">
        <v>629</v>
      </c>
      <c r="E11" s="61">
        <v>163</v>
      </c>
      <c r="F11" s="62">
        <v>128</v>
      </c>
      <c r="G11" s="63">
        <v>110</v>
      </c>
    </row>
    <row r="12" spans="1:7" x14ac:dyDescent="0.25">
      <c r="A12" s="58" t="s">
        <v>1450</v>
      </c>
      <c r="B12" s="58" t="s">
        <v>44</v>
      </c>
      <c r="C12" s="60">
        <v>192</v>
      </c>
      <c r="D12" s="59" t="s">
        <v>629</v>
      </c>
      <c r="E12" s="61">
        <v>190</v>
      </c>
      <c r="F12" s="62">
        <v>149</v>
      </c>
      <c r="G12" s="63">
        <v>128</v>
      </c>
    </row>
    <row r="13" spans="1:7" x14ac:dyDescent="0.25">
      <c r="A13" s="58" t="s">
        <v>1451</v>
      </c>
      <c r="B13" s="58" t="s">
        <v>45</v>
      </c>
      <c r="C13" s="60">
        <v>228</v>
      </c>
      <c r="D13" s="59" t="s">
        <v>629</v>
      </c>
      <c r="E13" s="61">
        <v>228</v>
      </c>
      <c r="F13" s="62">
        <v>192</v>
      </c>
      <c r="G13" s="63">
        <v>166</v>
      </c>
    </row>
    <row r="14" spans="1:7" x14ac:dyDescent="0.25">
      <c r="A14" s="58" t="s">
        <v>1452</v>
      </c>
      <c r="B14" s="58" t="s">
        <v>46</v>
      </c>
      <c r="C14" s="60">
        <v>261</v>
      </c>
      <c r="D14" s="59" t="s">
        <v>629</v>
      </c>
      <c r="E14" s="61">
        <v>261</v>
      </c>
      <c r="F14" s="62">
        <v>219</v>
      </c>
      <c r="G14" s="63">
        <v>190</v>
      </c>
    </row>
    <row r="15" spans="1:7" x14ac:dyDescent="0.25">
      <c r="A15" s="58" t="s">
        <v>1453</v>
      </c>
      <c r="B15" s="58" t="s">
        <v>47</v>
      </c>
      <c r="C15" s="60">
        <v>261</v>
      </c>
      <c r="D15" s="59" t="s">
        <v>629</v>
      </c>
      <c r="E15" s="61">
        <v>261</v>
      </c>
      <c r="F15" s="62">
        <v>219</v>
      </c>
      <c r="G15" s="63">
        <v>190</v>
      </c>
    </row>
    <row r="16" spans="1:7" x14ac:dyDescent="0.25">
      <c r="A16" s="58" t="s">
        <v>1454</v>
      </c>
      <c r="B16" s="58" t="s">
        <v>48</v>
      </c>
      <c r="C16" s="60">
        <v>293</v>
      </c>
      <c r="D16" s="59" t="s">
        <v>629</v>
      </c>
      <c r="E16" s="61">
        <v>293</v>
      </c>
      <c r="F16" s="62">
        <v>246</v>
      </c>
      <c r="G16" s="63">
        <v>213</v>
      </c>
    </row>
    <row r="17" spans="1:7" x14ac:dyDescent="0.25">
      <c r="A17" s="58" t="s">
        <v>1455</v>
      </c>
      <c r="B17" s="58" t="s">
        <v>49</v>
      </c>
      <c r="C17" s="60">
        <v>325</v>
      </c>
      <c r="D17" s="59" t="s">
        <v>629</v>
      </c>
      <c r="E17" s="61">
        <v>325</v>
      </c>
      <c r="F17" s="62">
        <v>298</v>
      </c>
      <c r="G17" s="63">
        <v>260</v>
      </c>
    </row>
    <row r="18" spans="1:7" x14ac:dyDescent="0.25">
      <c r="A18" s="58" t="s">
        <v>1456</v>
      </c>
      <c r="B18" s="58" t="s">
        <v>50</v>
      </c>
      <c r="C18" s="60">
        <v>332</v>
      </c>
      <c r="D18" s="59" t="s">
        <v>629</v>
      </c>
      <c r="E18" s="61">
        <v>332</v>
      </c>
      <c r="F18" s="62">
        <v>304</v>
      </c>
      <c r="G18" s="63">
        <v>266</v>
      </c>
    </row>
    <row r="19" spans="1:7" x14ac:dyDescent="0.25">
      <c r="A19" s="58" t="s">
        <v>1457</v>
      </c>
      <c r="B19" s="58" t="s">
        <v>121</v>
      </c>
      <c r="C19" s="60">
        <v>369</v>
      </c>
      <c r="D19" s="59" t="s">
        <v>629</v>
      </c>
      <c r="E19" s="61">
        <v>369</v>
      </c>
      <c r="F19" s="62">
        <v>338</v>
      </c>
      <c r="G19" s="63">
        <v>296</v>
      </c>
    </row>
    <row r="20" spans="1:7" x14ac:dyDescent="0.25">
      <c r="A20" s="58" t="s">
        <v>1458</v>
      </c>
      <c r="B20" s="58" t="s">
        <v>51</v>
      </c>
      <c r="C20" s="60">
        <v>456</v>
      </c>
      <c r="D20" s="59" t="s">
        <v>629</v>
      </c>
      <c r="E20" s="61">
        <v>456</v>
      </c>
      <c r="F20" s="62">
        <v>456</v>
      </c>
      <c r="G20" s="63">
        <v>424</v>
      </c>
    </row>
    <row r="21" spans="1:7" x14ac:dyDescent="0.25">
      <c r="A21" s="58" t="s">
        <v>1459</v>
      </c>
      <c r="B21" s="58" t="s">
        <v>52</v>
      </c>
      <c r="C21" s="60">
        <v>471</v>
      </c>
      <c r="D21" s="59" t="s">
        <v>629</v>
      </c>
      <c r="E21" s="61">
        <v>471</v>
      </c>
      <c r="F21" s="62">
        <v>471</v>
      </c>
      <c r="G21" s="63">
        <v>438</v>
      </c>
    </row>
    <row r="22" spans="1:7" x14ac:dyDescent="0.25">
      <c r="A22" s="58" t="s">
        <v>1460</v>
      </c>
      <c r="B22" s="58" t="s">
        <v>53</v>
      </c>
      <c r="C22" s="60">
        <v>88</v>
      </c>
      <c r="D22" s="59">
        <v>89</v>
      </c>
      <c r="E22" s="61">
        <v>87</v>
      </c>
      <c r="F22" s="62">
        <v>65</v>
      </c>
      <c r="G22" s="63">
        <v>55</v>
      </c>
    </row>
    <row r="23" spans="1:7" x14ac:dyDescent="0.25">
      <c r="A23" s="58" t="s">
        <v>1461</v>
      </c>
      <c r="B23" s="58" t="s">
        <v>54</v>
      </c>
      <c r="C23" s="60">
        <v>103</v>
      </c>
      <c r="D23" s="59">
        <v>103</v>
      </c>
      <c r="E23" s="61">
        <v>101</v>
      </c>
      <c r="F23" s="62">
        <v>76</v>
      </c>
      <c r="G23" s="63">
        <v>64</v>
      </c>
    </row>
    <row r="24" spans="1:7" x14ac:dyDescent="0.25">
      <c r="A24" s="58" t="s">
        <v>1462</v>
      </c>
      <c r="B24" s="58" t="s">
        <v>55</v>
      </c>
      <c r="C24" s="60">
        <v>167</v>
      </c>
      <c r="D24" s="59">
        <v>167</v>
      </c>
      <c r="E24" s="61">
        <v>164</v>
      </c>
      <c r="F24" s="62">
        <v>126</v>
      </c>
      <c r="G24" s="63">
        <v>107</v>
      </c>
    </row>
    <row r="25" spans="1:7" x14ac:dyDescent="0.25">
      <c r="A25" s="58" t="s">
        <v>1463</v>
      </c>
      <c r="B25" s="58" t="s">
        <v>56</v>
      </c>
      <c r="C25" s="60">
        <v>188</v>
      </c>
      <c r="D25" s="59">
        <v>188</v>
      </c>
      <c r="E25" s="61">
        <v>185</v>
      </c>
      <c r="F25" s="62">
        <v>142</v>
      </c>
      <c r="G25" s="63">
        <v>121</v>
      </c>
    </row>
    <row r="26" spans="1:7" x14ac:dyDescent="0.25">
      <c r="A26" s="58" t="s">
        <v>1464</v>
      </c>
      <c r="B26" s="58" t="s">
        <v>57</v>
      </c>
      <c r="C26" s="60">
        <v>220</v>
      </c>
      <c r="D26" s="59">
        <v>221</v>
      </c>
      <c r="E26" s="61">
        <v>217</v>
      </c>
      <c r="F26" s="62">
        <v>171</v>
      </c>
      <c r="G26" s="63">
        <v>146</v>
      </c>
    </row>
    <row r="27" spans="1:7" x14ac:dyDescent="0.25">
      <c r="A27" s="58" t="s">
        <v>1465</v>
      </c>
      <c r="B27" s="58" t="s">
        <v>58</v>
      </c>
      <c r="C27" s="60">
        <v>247</v>
      </c>
      <c r="D27" s="59">
        <v>248</v>
      </c>
      <c r="E27" s="61">
        <v>244</v>
      </c>
      <c r="F27" s="62">
        <v>192</v>
      </c>
      <c r="G27" s="63">
        <v>165</v>
      </c>
    </row>
    <row r="28" spans="1:7" x14ac:dyDescent="0.25">
      <c r="A28" s="58" t="s">
        <v>1466</v>
      </c>
      <c r="B28" s="58" t="s">
        <v>59</v>
      </c>
      <c r="C28" s="60">
        <v>251</v>
      </c>
      <c r="D28" s="59" t="s">
        <v>629</v>
      </c>
      <c r="E28" s="61">
        <v>251</v>
      </c>
      <c r="F28" s="62">
        <v>203</v>
      </c>
      <c r="G28" s="63">
        <v>174</v>
      </c>
    </row>
    <row r="29" spans="1:7" x14ac:dyDescent="0.25">
      <c r="A29" s="58" t="s">
        <v>1467</v>
      </c>
      <c r="B29" s="58" t="s">
        <v>60</v>
      </c>
      <c r="C29" s="60">
        <v>251</v>
      </c>
      <c r="D29" s="59" t="s">
        <v>629</v>
      </c>
      <c r="E29" s="61">
        <v>251</v>
      </c>
      <c r="F29" s="62">
        <v>213</v>
      </c>
      <c r="G29" s="63">
        <v>183</v>
      </c>
    </row>
    <row r="30" spans="1:7" x14ac:dyDescent="0.25">
      <c r="A30" s="58" t="s">
        <v>1468</v>
      </c>
      <c r="B30" s="58" t="s">
        <v>61</v>
      </c>
      <c r="C30" s="60">
        <v>301</v>
      </c>
      <c r="D30" s="59" t="s">
        <v>629</v>
      </c>
      <c r="E30" s="61">
        <v>301</v>
      </c>
      <c r="F30" s="62">
        <v>283</v>
      </c>
      <c r="G30" s="63">
        <v>245</v>
      </c>
    </row>
    <row r="31" spans="1:7" x14ac:dyDescent="0.25">
      <c r="A31" s="58" t="s">
        <v>1469</v>
      </c>
      <c r="B31" s="58" t="s">
        <v>62</v>
      </c>
      <c r="C31" s="60">
        <v>362</v>
      </c>
      <c r="D31" s="59" t="s">
        <v>629</v>
      </c>
      <c r="E31" s="61">
        <v>362</v>
      </c>
      <c r="F31" s="62">
        <v>350</v>
      </c>
      <c r="G31" s="63">
        <v>306</v>
      </c>
    </row>
    <row r="32" spans="1:7" x14ac:dyDescent="0.25">
      <c r="A32" s="58" t="s">
        <v>1470</v>
      </c>
      <c r="B32" s="58" t="s">
        <v>63</v>
      </c>
      <c r="C32" s="60">
        <v>434</v>
      </c>
      <c r="D32" s="59" t="s">
        <v>629</v>
      </c>
      <c r="E32" s="61">
        <v>434</v>
      </c>
      <c r="F32" s="62">
        <v>434</v>
      </c>
      <c r="G32" s="63">
        <v>403</v>
      </c>
    </row>
    <row r="33" spans="1:7" x14ac:dyDescent="0.25">
      <c r="A33" s="58" t="s">
        <v>1471</v>
      </c>
      <c r="B33" s="58" t="s">
        <v>64</v>
      </c>
      <c r="C33" s="60">
        <v>434</v>
      </c>
      <c r="D33" s="59" t="s">
        <v>629</v>
      </c>
      <c r="E33" s="61">
        <v>434</v>
      </c>
      <c r="F33" s="62">
        <v>434</v>
      </c>
      <c r="G33" s="63">
        <v>431</v>
      </c>
    </row>
    <row r="34" spans="1:7" x14ac:dyDescent="0.25">
      <c r="A34" s="58" t="s">
        <v>1472</v>
      </c>
      <c r="B34" s="58" t="s">
        <v>65</v>
      </c>
      <c r="C34" s="60">
        <v>434</v>
      </c>
      <c r="D34" s="59" t="s">
        <v>629</v>
      </c>
      <c r="E34" s="61">
        <v>434</v>
      </c>
      <c r="F34" s="62">
        <v>434</v>
      </c>
      <c r="G34" s="63">
        <v>434</v>
      </c>
    </row>
    <row r="35" spans="1:7" x14ac:dyDescent="0.25">
      <c r="A35" s="58" t="s">
        <v>1473</v>
      </c>
      <c r="B35" s="58" t="s">
        <v>66</v>
      </c>
      <c r="C35" s="60">
        <v>465</v>
      </c>
      <c r="D35" s="59" t="s">
        <v>629</v>
      </c>
      <c r="E35" s="61">
        <v>465</v>
      </c>
      <c r="F35" s="62">
        <v>458</v>
      </c>
      <c r="G35" s="63">
        <v>404</v>
      </c>
    </row>
    <row r="36" spans="1:7" x14ac:dyDescent="0.25">
      <c r="A36" s="58" t="s">
        <v>1474</v>
      </c>
      <c r="B36" s="58" t="s">
        <v>67</v>
      </c>
      <c r="C36" s="60">
        <v>506</v>
      </c>
      <c r="D36" s="59" t="s">
        <v>629</v>
      </c>
      <c r="E36" s="61">
        <v>506</v>
      </c>
      <c r="F36" s="62">
        <v>506</v>
      </c>
      <c r="G36" s="63">
        <v>506</v>
      </c>
    </row>
    <row r="37" spans="1:7" x14ac:dyDescent="0.25">
      <c r="A37" s="58" t="s">
        <v>1475</v>
      </c>
      <c r="B37" s="58" t="s">
        <v>68</v>
      </c>
      <c r="C37" s="60">
        <v>591</v>
      </c>
      <c r="D37" s="59" t="s">
        <v>629</v>
      </c>
      <c r="E37" s="61">
        <v>591</v>
      </c>
      <c r="F37" s="62">
        <v>591</v>
      </c>
      <c r="G37" s="63">
        <v>591</v>
      </c>
    </row>
    <row r="38" spans="1:7" x14ac:dyDescent="0.25">
      <c r="A38" s="58" t="s">
        <v>1476</v>
      </c>
      <c r="B38" s="58" t="s">
        <v>69</v>
      </c>
      <c r="C38" s="60" t="s">
        <v>629</v>
      </c>
      <c r="D38" s="59" t="s">
        <v>629</v>
      </c>
      <c r="E38" s="61">
        <v>591</v>
      </c>
      <c r="F38" s="62">
        <v>591</v>
      </c>
      <c r="G38" s="63">
        <v>591</v>
      </c>
    </row>
    <row r="39" spans="1:7" x14ac:dyDescent="0.25">
      <c r="A39" s="58" t="s">
        <v>1477</v>
      </c>
      <c r="B39" s="58" t="s">
        <v>70</v>
      </c>
      <c r="C39" s="60" t="s">
        <v>629</v>
      </c>
      <c r="D39" s="59" t="s">
        <v>629</v>
      </c>
      <c r="E39" s="61" t="s">
        <v>629</v>
      </c>
      <c r="F39" s="62">
        <v>867</v>
      </c>
      <c r="G39" s="63" t="s">
        <v>629</v>
      </c>
    </row>
    <row r="40" spans="1:7" x14ac:dyDescent="0.25">
      <c r="A40" s="58" t="s">
        <v>1478</v>
      </c>
      <c r="B40" s="58" t="s">
        <v>71</v>
      </c>
      <c r="C40" s="60" t="s">
        <v>629</v>
      </c>
      <c r="D40" s="59" t="s">
        <v>629</v>
      </c>
      <c r="E40" s="61">
        <v>903</v>
      </c>
      <c r="F40" s="62">
        <v>903</v>
      </c>
      <c r="G40" s="63">
        <v>903</v>
      </c>
    </row>
    <row r="41" spans="1:7" x14ac:dyDescent="0.25">
      <c r="A41" s="58" t="s">
        <v>1479</v>
      </c>
      <c r="B41" s="58" t="s">
        <v>72</v>
      </c>
      <c r="C41" s="60" t="s">
        <v>629</v>
      </c>
      <c r="D41" s="59" t="s">
        <v>629</v>
      </c>
      <c r="E41" s="61" t="s">
        <v>629</v>
      </c>
      <c r="F41" s="62">
        <v>1016</v>
      </c>
      <c r="G41" s="63">
        <v>1016</v>
      </c>
    </row>
    <row r="42" spans="1:7" x14ac:dyDescent="0.25">
      <c r="A42" s="58" t="s">
        <v>1480</v>
      </c>
      <c r="B42" s="58" t="s">
        <v>73</v>
      </c>
      <c r="C42" s="60" t="s">
        <v>629</v>
      </c>
      <c r="D42" s="59" t="s">
        <v>629</v>
      </c>
      <c r="E42" s="61" t="s">
        <v>629</v>
      </c>
      <c r="F42" s="62">
        <v>1436</v>
      </c>
      <c r="G42" s="63" t="s">
        <v>629</v>
      </c>
    </row>
    <row r="43" spans="1:7" x14ac:dyDescent="0.25">
      <c r="A43" s="58" t="s">
        <v>1481</v>
      </c>
      <c r="B43" s="58" t="s">
        <v>304</v>
      </c>
      <c r="C43" s="60" t="s">
        <v>629</v>
      </c>
      <c r="D43" s="59" t="s">
        <v>629</v>
      </c>
      <c r="E43" s="61" t="s">
        <v>629</v>
      </c>
      <c r="F43" s="62">
        <v>1653</v>
      </c>
      <c r="G43" s="63" t="s">
        <v>629</v>
      </c>
    </row>
    <row r="44" spans="1:7" x14ac:dyDescent="0.25">
      <c r="A44" s="58" t="s">
        <v>1482</v>
      </c>
      <c r="B44" s="58" t="s">
        <v>306</v>
      </c>
      <c r="C44" s="60" t="s">
        <v>629</v>
      </c>
      <c r="D44" s="59" t="s">
        <v>629</v>
      </c>
      <c r="E44" s="61" t="s">
        <v>629</v>
      </c>
      <c r="F44" s="62">
        <v>1763</v>
      </c>
      <c r="G44" s="63" t="s">
        <v>629</v>
      </c>
    </row>
    <row r="45" spans="1:7" x14ac:dyDescent="0.25">
      <c r="A45" s="58" t="s">
        <v>1483</v>
      </c>
      <c r="B45" s="58" t="s">
        <v>310</v>
      </c>
      <c r="C45" s="60" t="s">
        <v>629</v>
      </c>
      <c r="D45" s="59" t="s">
        <v>629</v>
      </c>
      <c r="E45" s="61" t="s">
        <v>629</v>
      </c>
      <c r="F45" s="62" t="s">
        <v>629</v>
      </c>
      <c r="G45" s="63" t="s">
        <v>629</v>
      </c>
    </row>
    <row r="46" spans="1:7" x14ac:dyDescent="0.25">
      <c r="A46" s="58" t="s">
        <v>1484</v>
      </c>
      <c r="B46" s="58" t="s">
        <v>312</v>
      </c>
      <c r="C46" s="60">
        <v>23</v>
      </c>
      <c r="D46" s="59" t="s">
        <v>629</v>
      </c>
      <c r="E46" s="61" t="s">
        <v>629</v>
      </c>
      <c r="F46" s="62" t="s">
        <v>629</v>
      </c>
      <c r="G46" s="63" t="s">
        <v>629</v>
      </c>
    </row>
    <row r="47" spans="1:7" x14ac:dyDescent="0.25">
      <c r="A47" s="58" t="s">
        <v>1485</v>
      </c>
      <c r="B47" s="58" t="s">
        <v>314</v>
      </c>
      <c r="C47" s="60">
        <v>24</v>
      </c>
      <c r="D47" s="59">
        <v>24</v>
      </c>
      <c r="E47" s="61">
        <v>23</v>
      </c>
      <c r="F47" s="62">
        <v>22</v>
      </c>
      <c r="G47" s="63" t="s">
        <v>629</v>
      </c>
    </row>
    <row r="48" spans="1:7" x14ac:dyDescent="0.25">
      <c r="A48" s="58" t="s">
        <v>1486</v>
      </c>
      <c r="B48" s="58" t="s">
        <v>316</v>
      </c>
      <c r="C48" s="60">
        <v>28</v>
      </c>
      <c r="D48" s="59">
        <v>30</v>
      </c>
      <c r="E48" s="61">
        <v>27</v>
      </c>
      <c r="F48" s="62">
        <v>26</v>
      </c>
      <c r="G48" s="63">
        <v>27</v>
      </c>
    </row>
    <row r="49" spans="1:7" x14ac:dyDescent="0.25">
      <c r="A49" s="58" t="s">
        <v>1487</v>
      </c>
      <c r="B49" s="58" t="s">
        <v>318</v>
      </c>
      <c r="C49" s="60">
        <v>32</v>
      </c>
      <c r="D49" s="59">
        <v>32</v>
      </c>
      <c r="E49" s="61">
        <v>30</v>
      </c>
      <c r="F49" s="62">
        <v>32</v>
      </c>
      <c r="G49" s="63">
        <v>32</v>
      </c>
    </row>
    <row r="50" spans="1:7" x14ac:dyDescent="0.25">
      <c r="A50" s="58" t="s">
        <v>1488</v>
      </c>
      <c r="B50" s="58" t="s">
        <v>320</v>
      </c>
      <c r="C50" s="60">
        <v>32</v>
      </c>
      <c r="D50" s="59">
        <v>32</v>
      </c>
      <c r="E50" s="61">
        <v>32</v>
      </c>
      <c r="F50" s="62">
        <v>44</v>
      </c>
      <c r="G50" s="63">
        <v>41</v>
      </c>
    </row>
    <row r="51" spans="1:7" x14ac:dyDescent="0.25">
      <c r="A51" s="58" t="s">
        <v>1489</v>
      </c>
      <c r="B51" s="58" t="s">
        <v>322</v>
      </c>
      <c r="C51" s="60">
        <v>47</v>
      </c>
      <c r="D51" s="59">
        <v>47</v>
      </c>
      <c r="E51" s="61">
        <v>47</v>
      </c>
      <c r="F51" s="62">
        <v>53</v>
      </c>
      <c r="G51" s="63">
        <v>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6"/>
  <dimension ref="A1:D44"/>
  <sheetViews>
    <sheetView workbookViewId="0">
      <selection activeCell="B4" sqref="B4:B11"/>
    </sheetView>
  </sheetViews>
  <sheetFormatPr defaultRowHeight="15" x14ac:dyDescent="0.25"/>
  <cols>
    <col min="3" max="3" width="16.42578125" bestFit="1" customWidth="1"/>
  </cols>
  <sheetData>
    <row r="1" spans="1:4" x14ac:dyDescent="0.25">
      <c r="A1" s="58" t="s">
        <v>630</v>
      </c>
      <c r="B1" s="58" t="s">
        <v>1299</v>
      </c>
      <c r="C1" s="60" t="s">
        <v>1300</v>
      </c>
      <c r="D1" s="58" t="s">
        <v>1301</v>
      </c>
    </row>
    <row r="2" spans="1:4" x14ac:dyDescent="0.25">
      <c r="A2" s="58" t="s">
        <v>632</v>
      </c>
      <c r="B2" s="58" t="s">
        <v>632</v>
      </c>
      <c r="C2" s="60" t="s">
        <v>632</v>
      </c>
      <c r="D2" s="58" t="s">
        <v>13</v>
      </c>
    </row>
    <row r="3" spans="1:4" x14ac:dyDescent="0.25">
      <c r="A3" s="58" t="s">
        <v>1834</v>
      </c>
      <c r="B3" s="58" t="s">
        <v>106</v>
      </c>
      <c r="C3" s="60" t="s">
        <v>1303</v>
      </c>
      <c r="D3" s="58">
        <v>120</v>
      </c>
    </row>
    <row r="4" spans="1:4" x14ac:dyDescent="0.25">
      <c r="A4" s="58" t="s">
        <v>1835</v>
      </c>
      <c r="B4" s="58">
        <v>18</v>
      </c>
      <c r="C4" s="60" t="s">
        <v>1303</v>
      </c>
      <c r="D4" s="58">
        <v>140</v>
      </c>
    </row>
    <row r="5" spans="1:4" x14ac:dyDescent="0.25">
      <c r="A5" s="58" t="s">
        <v>1836</v>
      </c>
      <c r="B5" s="58" t="s">
        <v>37</v>
      </c>
      <c r="C5" s="60" t="s">
        <v>1303</v>
      </c>
      <c r="D5" s="58">
        <v>190</v>
      </c>
    </row>
    <row r="6" spans="1:4" x14ac:dyDescent="0.25">
      <c r="A6" s="58" t="s">
        <v>1837</v>
      </c>
      <c r="B6" s="58" t="s">
        <v>38</v>
      </c>
      <c r="C6" s="60" t="s">
        <v>1303</v>
      </c>
      <c r="D6" s="58">
        <v>220</v>
      </c>
    </row>
    <row r="7" spans="1:4" x14ac:dyDescent="0.25">
      <c r="A7" s="58" t="s">
        <v>1838</v>
      </c>
      <c r="B7" s="58" t="s">
        <v>39</v>
      </c>
      <c r="C7" s="60" t="s">
        <v>1303</v>
      </c>
      <c r="D7" s="58">
        <v>230</v>
      </c>
    </row>
    <row r="8" spans="1:4" x14ac:dyDescent="0.25">
      <c r="A8" s="58" t="s">
        <v>1839</v>
      </c>
      <c r="B8" s="58" t="s">
        <v>40</v>
      </c>
      <c r="C8" s="60" t="s">
        <v>1303</v>
      </c>
      <c r="D8" s="58">
        <v>300</v>
      </c>
    </row>
    <row r="9" spans="1:4" x14ac:dyDescent="0.25">
      <c r="A9" s="58" t="s">
        <v>1840</v>
      </c>
      <c r="B9" s="58" t="s">
        <v>41</v>
      </c>
      <c r="C9" s="60" t="s">
        <v>1303</v>
      </c>
      <c r="D9" s="58">
        <v>220</v>
      </c>
    </row>
    <row r="10" spans="1:4" x14ac:dyDescent="0.25">
      <c r="A10" s="58" t="s">
        <v>1841</v>
      </c>
      <c r="B10" s="58" t="s">
        <v>42</v>
      </c>
      <c r="C10" s="60" t="s">
        <v>1303</v>
      </c>
      <c r="D10" s="58">
        <v>280</v>
      </c>
    </row>
    <row r="11" spans="1:4" x14ac:dyDescent="0.25">
      <c r="A11" s="58" t="s">
        <v>1842</v>
      </c>
      <c r="B11" s="58" t="s">
        <v>43</v>
      </c>
      <c r="C11" s="60" t="s">
        <v>1303</v>
      </c>
      <c r="D11" s="58">
        <v>326</v>
      </c>
    </row>
    <row r="12" spans="1:4" x14ac:dyDescent="0.25">
      <c r="A12" s="58" t="s">
        <v>1843</v>
      </c>
      <c r="B12" s="58" t="s">
        <v>44</v>
      </c>
      <c r="C12" s="60" t="s">
        <v>1303</v>
      </c>
      <c r="D12" s="58">
        <v>360</v>
      </c>
    </row>
    <row r="13" spans="1:4" x14ac:dyDescent="0.25">
      <c r="A13" s="58" t="s">
        <v>1844</v>
      </c>
      <c r="B13" s="58" t="s">
        <v>45</v>
      </c>
      <c r="C13" s="60" t="s">
        <v>1303</v>
      </c>
      <c r="D13" s="58">
        <v>409</v>
      </c>
    </row>
    <row r="14" spans="1:4" x14ac:dyDescent="0.25">
      <c r="A14" s="58" t="s">
        <v>1845</v>
      </c>
      <c r="B14" s="58" t="s">
        <v>46</v>
      </c>
      <c r="C14" s="60" t="s">
        <v>1303</v>
      </c>
      <c r="D14" s="58">
        <v>471</v>
      </c>
    </row>
    <row r="15" spans="1:4" x14ac:dyDescent="0.25">
      <c r="A15" s="58" t="s">
        <v>1846</v>
      </c>
      <c r="B15" s="58" t="s">
        <v>47</v>
      </c>
      <c r="C15" s="60" t="s">
        <v>1303</v>
      </c>
      <c r="D15" s="58">
        <v>522</v>
      </c>
    </row>
    <row r="16" spans="1:4" x14ac:dyDescent="0.25">
      <c r="A16" s="58" t="s">
        <v>1847</v>
      </c>
      <c r="B16" s="58" t="s">
        <v>48</v>
      </c>
      <c r="C16" s="60" t="s">
        <v>1303</v>
      </c>
      <c r="D16" s="58">
        <v>591</v>
      </c>
    </row>
    <row r="17" spans="1:4" x14ac:dyDescent="0.25">
      <c r="A17" s="58" t="s">
        <v>1848</v>
      </c>
      <c r="B17" s="58" t="s">
        <v>49</v>
      </c>
      <c r="C17" s="60" t="s">
        <v>1303</v>
      </c>
      <c r="D17" s="58">
        <v>626</v>
      </c>
    </row>
    <row r="18" spans="1:4" x14ac:dyDescent="0.25">
      <c r="A18" s="58" t="s">
        <v>1849</v>
      </c>
      <c r="B18" s="58" t="s">
        <v>50</v>
      </c>
      <c r="C18" s="60" t="s">
        <v>1303</v>
      </c>
      <c r="D18" s="58">
        <v>648</v>
      </c>
    </row>
    <row r="19" spans="1:4" x14ac:dyDescent="0.25">
      <c r="A19" s="58" t="s">
        <v>1850</v>
      </c>
      <c r="B19" s="58" t="s">
        <v>121</v>
      </c>
      <c r="C19" s="60" t="s">
        <v>1303</v>
      </c>
      <c r="D19" s="58">
        <v>700</v>
      </c>
    </row>
    <row r="20" spans="1:4" x14ac:dyDescent="0.25">
      <c r="A20" s="58" t="s">
        <v>1851</v>
      </c>
      <c r="B20" s="58" t="s">
        <v>51</v>
      </c>
      <c r="C20" s="60" t="s">
        <v>1303</v>
      </c>
      <c r="D20" s="58">
        <v>854</v>
      </c>
    </row>
    <row r="21" spans="1:4" x14ac:dyDescent="0.25">
      <c r="A21" s="58" t="s">
        <v>1852</v>
      </c>
      <c r="B21" s="58" t="s">
        <v>52</v>
      </c>
      <c r="C21" s="60" t="s">
        <v>1303</v>
      </c>
      <c r="D21" s="58">
        <v>944</v>
      </c>
    </row>
    <row r="22" spans="1:4" x14ac:dyDescent="0.25">
      <c r="A22" s="58" t="s">
        <v>1853</v>
      </c>
      <c r="B22" s="58" t="s">
        <v>53</v>
      </c>
      <c r="C22" s="60" t="s">
        <v>1303</v>
      </c>
      <c r="D22" s="58">
        <v>183</v>
      </c>
    </row>
    <row r="23" spans="1:4" x14ac:dyDescent="0.25">
      <c r="A23" s="58" t="s">
        <v>1854</v>
      </c>
      <c r="B23" s="58" t="s">
        <v>54</v>
      </c>
      <c r="C23" s="60" t="s">
        <v>1303</v>
      </c>
      <c r="D23" s="58">
        <v>253</v>
      </c>
    </row>
    <row r="24" spans="1:4" x14ac:dyDescent="0.25">
      <c r="A24" s="58" t="s">
        <v>1855</v>
      </c>
      <c r="B24" s="58" t="s">
        <v>55</v>
      </c>
      <c r="C24" s="60" t="s">
        <v>1303</v>
      </c>
      <c r="D24" s="58">
        <v>348</v>
      </c>
    </row>
    <row r="25" spans="1:4" x14ac:dyDescent="0.25">
      <c r="A25" s="58" t="s">
        <v>1856</v>
      </c>
      <c r="B25" s="58" t="s">
        <v>56</v>
      </c>
      <c r="C25" s="60" t="s">
        <v>1303</v>
      </c>
      <c r="D25" s="58">
        <v>398</v>
      </c>
    </row>
    <row r="26" spans="1:4" x14ac:dyDescent="0.25">
      <c r="A26" s="58" t="s">
        <v>1857</v>
      </c>
      <c r="B26" s="58" t="s">
        <v>57</v>
      </c>
      <c r="C26" s="60" t="s">
        <v>1303</v>
      </c>
      <c r="D26" s="58">
        <v>398</v>
      </c>
    </row>
    <row r="27" spans="1:4" x14ac:dyDescent="0.25">
      <c r="A27" s="58" t="s">
        <v>1858</v>
      </c>
      <c r="B27" s="58" t="s">
        <v>58</v>
      </c>
      <c r="C27" s="60" t="s">
        <v>1303</v>
      </c>
      <c r="D27" s="58">
        <v>455</v>
      </c>
    </row>
    <row r="28" spans="1:4" x14ac:dyDescent="0.25">
      <c r="A28" s="58" t="s">
        <v>1859</v>
      </c>
      <c r="B28" s="58" t="s">
        <v>59</v>
      </c>
      <c r="C28" s="60" t="s">
        <v>1314</v>
      </c>
      <c r="D28" s="58">
        <v>543</v>
      </c>
    </row>
    <row r="29" spans="1:4" x14ac:dyDescent="0.25">
      <c r="A29" s="58" t="s">
        <v>1860</v>
      </c>
      <c r="B29" s="58" t="s">
        <v>60</v>
      </c>
      <c r="C29" s="60" t="s">
        <v>1314</v>
      </c>
      <c r="D29" s="58">
        <v>582</v>
      </c>
    </row>
    <row r="30" spans="1:4" x14ac:dyDescent="0.25">
      <c r="A30" s="58" t="s">
        <v>1861</v>
      </c>
      <c r="B30" s="58" t="s">
        <v>61</v>
      </c>
      <c r="C30" s="60" t="s">
        <v>1314</v>
      </c>
      <c r="D30" s="58">
        <v>719</v>
      </c>
    </row>
    <row r="31" spans="1:4" x14ac:dyDescent="0.25">
      <c r="A31" s="58" t="s">
        <v>1862</v>
      </c>
      <c r="B31" s="58" t="s">
        <v>62</v>
      </c>
      <c r="C31" s="60" t="s">
        <v>1314</v>
      </c>
      <c r="D31" s="58">
        <v>784</v>
      </c>
    </row>
    <row r="32" spans="1:4" x14ac:dyDescent="0.25">
      <c r="A32" s="58" t="s">
        <v>1863</v>
      </c>
      <c r="B32" s="58" t="s">
        <v>63</v>
      </c>
      <c r="C32" s="60" t="s">
        <v>1314</v>
      </c>
      <c r="D32" s="58">
        <v>1030</v>
      </c>
    </row>
    <row r="33" spans="1:4" x14ac:dyDescent="0.25">
      <c r="A33" s="58" t="s">
        <v>1864</v>
      </c>
      <c r="B33" s="58" t="s">
        <v>64</v>
      </c>
      <c r="C33" s="60" t="s">
        <v>1314</v>
      </c>
      <c r="D33" s="58">
        <v>1047</v>
      </c>
    </row>
    <row r="34" spans="1:4" x14ac:dyDescent="0.25">
      <c r="A34" s="58" t="s">
        <v>1865</v>
      </c>
      <c r="B34" s="58" t="s">
        <v>65</v>
      </c>
      <c r="C34" s="60" t="s">
        <v>1314</v>
      </c>
      <c r="D34" s="58">
        <v>1126</v>
      </c>
    </row>
    <row r="35" spans="1:4" x14ac:dyDescent="0.25">
      <c r="A35" s="58" t="s">
        <v>1866</v>
      </c>
      <c r="B35" s="58" t="s">
        <v>66</v>
      </c>
      <c r="C35" s="60" t="s">
        <v>1314</v>
      </c>
      <c r="D35" s="58">
        <v>1025</v>
      </c>
    </row>
    <row r="36" spans="1:4" x14ac:dyDescent="0.25">
      <c r="A36" s="58" t="s">
        <v>1867</v>
      </c>
      <c r="B36" s="58" t="s">
        <v>67</v>
      </c>
      <c r="C36" s="60" t="s">
        <v>1314</v>
      </c>
      <c r="D36" s="58">
        <v>1282</v>
      </c>
    </row>
    <row r="37" spans="1:4" x14ac:dyDescent="0.25">
      <c r="A37" s="58" t="s">
        <v>1868</v>
      </c>
      <c r="B37" s="58" t="s">
        <v>68</v>
      </c>
      <c r="C37" s="60" t="s">
        <v>1314</v>
      </c>
      <c r="D37" s="58">
        <v>1457</v>
      </c>
    </row>
    <row r="38" spans="1:4" x14ac:dyDescent="0.25">
      <c r="A38" s="58" t="s">
        <v>1869</v>
      </c>
      <c r="B38" s="58" t="s">
        <v>69</v>
      </c>
      <c r="C38" s="60" t="s">
        <v>1314</v>
      </c>
      <c r="D38" s="58">
        <v>1634</v>
      </c>
    </row>
    <row r="39" spans="1:4" x14ac:dyDescent="0.25">
      <c r="A39" s="58" t="s">
        <v>1870</v>
      </c>
      <c r="B39" s="58" t="s">
        <v>70</v>
      </c>
      <c r="C39" s="60" t="s">
        <v>1314</v>
      </c>
      <c r="D39" s="58">
        <v>4676</v>
      </c>
    </row>
    <row r="40" spans="1:4" x14ac:dyDescent="0.25">
      <c r="A40" s="58" t="s">
        <v>1871</v>
      </c>
      <c r="B40" s="58" t="s">
        <v>71</v>
      </c>
      <c r="C40" s="60" t="s">
        <v>1314</v>
      </c>
      <c r="D40" s="58">
        <v>2074</v>
      </c>
    </row>
    <row r="41" spans="1:4" x14ac:dyDescent="0.25">
      <c r="A41" s="58" t="s">
        <v>1872</v>
      </c>
      <c r="B41" s="58" t="s">
        <v>72</v>
      </c>
      <c r="C41" s="60" t="s">
        <v>1328</v>
      </c>
      <c r="D41" s="58">
        <v>2324</v>
      </c>
    </row>
    <row r="42" spans="1:4" x14ac:dyDescent="0.25">
      <c r="A42" s="58" t="s">
        <v>1873</v>
      </c>
      <c r="B42" s="58" t="s">
        <v>73</v>
      </c>
      <c r="C42" s="60" t="s">
        <v>1328</v>
      </c>
      <c r="D42" s="58">
        <v>3239</v>
      </c>
    </row>
    <row r="43" spans="1:4" x14ac:dyDescent="0.25">
      <c r="A43" s="58" t="s">
        <v>1874</v>
      </c>
      <c r="B43" s="58" t="s">
        <v>304</v>
      </c>
      <c r="C43" s="60" t="s">
        <v>1328</v>
      </c>
      <c r="D43" s="58">
        <v>4441</v>
      </c>
    </row>
    <row r="44" spans="1:4" x14ac:dyDescent="0.25">
      <c r="A44" s="58" t="s">
        <v>1875</v>
      </c>
      <c r="B44" s="58" t="s">
        <v>306</v>
      </c>
      <c r="C44" s="60" t="s">
        <v>1328</v>
      </c>
      <c r="D44" s="58">
        <v>4800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7"/>
  <dimension ref="A1:H107"/>
  <sheetViews>
    <sheetView topLeftCell="A85" workbookViewId="0">
      <selection activeCell="B4" sqref="B4:B11"/>
    </sheetView>
  </sheetViews>
  <sheetFormatPr defaultRowHeight="15" x14ac:dyDescent="0.25"/>
  <cols>
    <col min="4" max="4" width="16.28515625" bestFit="1" customWidth="1"/>
  </cols>
  <sheetData>
    <row r="1" spans="1:8" x14ac:dyDescent="0.25">
      <c r="A1" s="58"/>
      <c r="B1" s="58" t="s">
        <v>630</v>
      </c>
      <c r="C1" s="58" t="s">
        <v>1490</v>
      </c>
      <c r="D1" s="65" t="s">
        <v>2121</v>
      </c>
      <c r="E1" s="58" t="s">
        <v>681</v>
      </c>
      <c r="F1" s="58" t="s">
        <v>632</v>
      </c>
      <c r="G1" s="58" t="s">
        <v>632</v>
      </c>
      <c r="H1" s="58" t="s">
        <v>632</v>
      </c>
    </row>
    <row r="2" spans="1:8" x14ac:dyDescent="0.25">
      <c r="A2" s="58"/>
      <c r="B2" s="58" t="s">
        <v>632</v>
      </c>
      <c r="C2" s="58" t="s">
        <v>632</v>
      </c>
      <c r="D2" s="60" t="s">
        <v>632</v>
      </c>
      <c r="E2" s="58" t="s">
        <v>1491</v>
      </c>
      <c r="F2" s="58" t="s">
        <v>1492</v>
      </c>
      <c r="G2" s="58" t="s">
        <v>13</v>
      </c>
      <c r="H2" s="58" t="s">
        <v>14</v>
      </c>
    </row>
    <row r="3" spans="1:8" x14ac:dyDescent="0.25">
      <c r="A3" s="58" t="s">
        <v>2087</v>
      </c>
      <c r="B3" s="58" t="s">
        <v>1493</v>
      </c>
      <c r="C3" s="58" t="s">
        <v>37</v>
      </c>
      <c r="D3" s="60" t="s">
        <v>856</v>
      </c>
      <c r="E3" s="58">
        <v>380</v>
      </c>
      <c r="F3" s="58">
        <v>228</v>
      </c>
      <c r="G3" s="58">
        <v>152</v>
      </c>
      <c r="H3" s="58">
        <v>33</v>
      </c>
    </row>
    <row r="4" spans="1:8" x14ac:dyDescent="0.25">
      <c r="A4" s="58" t="s">
        <v>2087</v>
      </c>
      <c r="B4" s="58" t="s">
        <v>1494</v>
      </c>
      <c r="C4" s="58" t="s">
        <v>38</v>
      </c>
      <c r="D4" s="60" t="s">
        <v>1495</v>
      </c>
      <c r="E4" s="58">
        <v>413</v>
      </c>
      <c r="F4" s="58">
        <v>257</v>
      </c>
      <c r="G4" s="58">
        <v>152</v>
      </c>
      <c r="H4" s="58">
        <v>33</v>
      </c>
    </row>
    <row r="5" spans="1:8" x14ac:dyDescent="0.25">
      <c r="A5" s="58" t="s">
        <v>2087</v>
      </c>
      <c r="B5" s="58" t="s">
        <v>1496</v>
      </c>
      <c r="C5" s="58" t="s">
        <v>39</v>
      </c>
      <c r="D5" s="60" t="s">
        <v>1497</v>
      </c>
      <c r="E5" s="58">
        <v>413</v>
      </c>
      <c r="F5" s="58">
        <v>257</v>
      </c>
      <c r="G5" s="58">
        <v>143</v>
      </c>
      <c r="H5" s="58">
        <v>48</v>
      </c>
    </row>
    <row r="6" spans="1:8" x14ac:dyDescent="0.25">
      <c r="A6" s="58" t="s">
        <v>2087</v>
      </c>
      <c r="B6" s="58" t="s">
        <v>1498</v>
      </c>
      <c r="C6" s="58" t="s">
        <v>40</v>
      </c>
      <c r="D6" s="60" t="s">
        <v>1499</v>
      </c>
      <c r="E6" s="58">
        <v>413</v>
      </c>
      <c r="F6" s="58">
        <v>257</v>
      </c>
      <c r="G6" s="58">
        <v>176</v>
      </c>
      <c r="H6" s="58">
        <v>48</v>
      </c>
    </row>
    <row r="7" spans="1:8" x14ac:dyDescent="0.25">
      <c r="A7" s="58" t="s">
        <v>2087</v>
      </c>
      <c r="B7" s="58" t="s">
        <v>1500</v>
      </c>
      <c r="C7" s="58" t="s">
        <v>43</v>
      </c>
      <c r="D7" s="60" t="s">
        <v>1501</v>
      </c>
      <c r="E7" s="58">
        <v>442</v>
      </c>
      <c r="F7" s="58">
        <v>257</v>
      </c>
      <c r="G7" s="58">
        <v>190</v>
      </c>
      <c r="H7" s="58">
        <v>57</v>
      </c>
    </row>
    <row r="8" spans="1:8" x14ac:dyDescent="0.25">
      <c r="A8" s="58" t="s">
        <v>2087</v>
      </c>
      <c r="B8" s="58" t="s">
        <v>1502</v>
      </c>
      <c r="C8" s="58" t="s">
        <v>44</v>
      </c>
      <c r="D8" s="60" t="s">
        <v>1501</v>
      </c>
      <c r="E8" s="58">
        <v>451</v>
      </c>
      <c r="F8" s="58">
        <v>257</v>
      </c>
      <c r="G8" s="58">
        <v>200</v>
      </c>
      <c r="H8" s="58">
        <v>57</v>
      </c>
    </row>
    <row r="9" spans="1:8" x14ac:dyDescent="0.25">
      <c r="A9" s="58" t="s">
        <v>2087</v>
      </c>
      <c r="B9" s="58" t="s">
        <v>1503</v>
      </c>
      <c r="C9" s="58" t="s">
        <v>45</v>
      </c>
      <c r="D9" s="60" t="s">
        <v>1504</v>
      </c>
      <c r="E9" s="58">
        <v>518</v>
      </c>
      <c r="F9" s="58">
        <v>257</v>
      </c>
      <c r="G9" s="58">
        <v>247</v>
      </c>
      <c r="H9" s="58">
        <v>76</v>
      </c>
    </row>
    <row r="10" spans="1:8" x14ac:dyDescent="0.25">
      <c r="A10" s="58" t="s">
        <v>2087</v>
      </c>
      <c r="B10" s="58" t="s">
        <v>1505</v>
      </c>
      <c r="C10" s="58" t="s">
        <v>46</v>
      </c>
      <c r="D10" s="60" t="s">
        <v>1504</v>
      </c>
      <c r="E10" s="58">
        <v>518</v>
      </c>
      <c r="F10" s="58">
        <v>257</v>
      </c>
      <c r="G10" s="58">
        <v>247</v>
      </c>
      <c r="H10" s="58">
        <v>76</v>
      </c>
    </row>
    <row r="11" spans="1:8" x14ac:dyDescent="0.25">
      <c r="A11" s="58" t="s">
        <v>2087</v>
      </c>
      <c r="B11" s="58" t="s">
        <v>1506</v>
      </c>
      <c r="C11" s="58" t="s">
        <v>47</v>
      </c>
      <c r="D11" s="60" t="s">
        <v>1507</v>
      </c>
      <c r="E11" s="58">
        <v>808</v>
      </c>
      <c r="F11" s="58">
        <v>333</v>
      </c>
      <c r="G11" s="58">
        <v>333</v>
      </c>
      <c r="H11" s="58">
        <v>105</v>
      </c>
    </row>
    <row r="12" spans="1:8" x14ac:dyDescent="0.25">
      <c r="A12" s="58" t="s">
        <v>2087</v>
      </c>
      <c r="B12" s="58" t="s">
        <v>1508</v>
      </c>
      <c r="C12" s="58" t="s">
        <v>48</v>
      </c>
      <c r="D12" s="60" t="s">
        <v>1509</v>
      </c>
      <c r="E12" s="58">
        <v>1093</v>
      </c>
      <c r="F12" s="58">
        <v>352</v>
      </c>
      <c r="G12" s="58">
        <v>352</v>
      </c>
      <c r="H12" s="58">
        <v>105</v>
      </c>
    </row>
    <row r="13" spans="1:8" x14ac:dyDescent="0.25">
      <c r="A13" s="58" t="s">
        <v>2087</v>
      </c>
      <c r="B13" s="58" t="s">
        <v>1510</v>
      </c>
      <c r="C13" s="58" t="s">
        <v>49</v>
      </c>
      <c r="D13" s="60" t="s">
        <v>1511</v>
      </c>
      <c r="E13" s="58">
        <v>1093</v>
      </c>
      <c r="F13" s="58">
        <v>352</v>
      </c>
      <c r="G13" s="58">
        <v>352</v>
      </c>
      <c r="H13" s="58">
        <v>105</v>
      </c>
    </row>
    <row r="14" spans="1:8" x14ac:dyDescent="0.25">
      <c r="A14" s="58" t="s">
        <v>2087</v>
      </c>
      <c r="B14" s="58" t="s">
        <v>1512</v>
      </c>
      <c r="C14" s="58" t="s">
        <v>50</v>
      </c>
      <c r="D14" s="60" t="s">
        <v>1513</v>
      </c>
      <c r="E14" s="58">
        <v>1292</v>
      </c>
      <c r="F14" s="58">
        <v>380</v>
      </c>
      <c r="G14" s="58">
        <v>352</v>
      </c>
      <c r="H14" s="58">
        <v>105</v>
      </c>
    </row>
    <row r="15" spans="1:8" x14ac:dyDescent="0.25">
      <c r="A15" s="58" t="s">
        <v>2087</v>
      </c>
      <c r="B15" s="58" t="s">
        <v>1514</v>
      </c>
      <c r="C15" s="58" t="s">
        <v>51</v>
      </c>
      <c r="D15" s="60" t="s">
        <v>1515</v>
      </c>
      <c r="E15" s="58">
        <v>1330</v>
      </c>
      <c r="F15" s="58">
        <v>380</v>
      </c>
      <c r="G15" s="58">
        <v>352</v>
      </c>
      <c r="H15" s="58">
        <v>105</v>
      </c>
    </row>
    <row r="16" spans="1:8" x14ac:dyDescent="0.25">
      <c r="A16" s="58" t="s">
        <v>2087</v>
      </c>
      <c r="B16" s="58" t="s">
        <v>1516</v>
      </c>
      <c r="C16" s="58" t="s">
        <v>52</v>
      </c>
      <c r="D16" s="60" t="s">
        <v>1517</v>
      </c>
      <c r="E16" s="58">
        <v>1520</v>
      </c>
      <c r="F16" s="58">
        <v>399</v>
      </c>
      <c r="G16" s="58">
        <v>352</v>
      </c>
      <c r="H16" s="58">
        <v>114</v>
      </c>
    </row>
    <row r="17" spans="1:8" x14ac:dyDescent="0.25">
      <c r="A17" s="58" t="s">
        <v>2087</v>
      </c>
      <c r="B17" s="58" t="s">
        <v>1518</v>
      </c>
      <c r="C17" s="58" t="s">
        <v>53</v>
      </c>
      <c r="D17" s="60" t="s">
        <v>856</v>
      </c>
      <c r="E17" s="58">
        <v>380</v>
      </c>
      <c r="F17" s="58">
        <v>215</v>
      </c>
      <c r="G17" s="58">
        <v>160</v>
      </c>
      <c r="H17" s="58">
        <v>65</v>
      </c>
    </row>
    <row r="18" spans="1:8" x14ac:dyDescent="0.25">
      <c r="A18" s="58" t="s">
        <v>2087</v>
      </c>
      <c r="B18" s="58" t="s">
        <v>1519</v>
      </c>
      <c r="C18" s="58" t="s">
        <v>54</v>
      </c>
      <c r="D18" s="60" t="s">
        <v>1520</v>
      </c>
      <c r="E18" s="58">
        <v>428</v>
      </c>
      <c r="F18" s="58">
        <v>238</v>
      </c>
      <c r="G18" s="58">
        <v>190</v>
      </c>
      <c r="H18" s="58">
        <v>95</v>
      </c>
    </row>
    <row r="19" spans="1:8" x14ac:dyDescent="0.25">
      <c r="A19" s="58" t="s">
        <v>2087</v>
      </c>
      <c r="B19" s="58" t="s">
        <v>1521</v>
      </c>
      <c r="C19" s="58" t="s">
        <v>55</v>
      </c>
      <c r="D19" s="60" t="s">
        <v>1504</v>
      </c>
      <c r="E19" s="58">
        <v>532</v>
      </c>
      <c r="F19" s="58">
        <v>238</v>
      </c>
      <c r="G19" s="58">
        <v>238</v>
      </c>
      <c r="H19" s="58">
        <v>95</v>
      </c>
    </row>
    <row r="20" spans="1:8" x14ac:dyDescent="0.25">
      <c r="A20" s="58" t="s">
        <v>2087</v>
      </c>
      <c r="B20" s="58" t="s">
        <v>1522</v>
      </c>
      <c r="C20" s="58" t="s">
        <v>56</v>
      </c>
      <c r="D20" s="60" t="s">
        <v>1504</v>
      </c>
      <c r="E20" s="58">
        <v>551</v>
      </c>
      <c r="F20" s="58">
        <v>247</v>
      </c>
      <c r="G20" s="58">
        <v>247</v>
      </c>
      <c r="H20" s="58">
        <v>114</v>
      </c>
    </row>
    <row r="21" spans="1:8" x14ac:dyDescent="0.25">
      <c r="A21" s="58" t="s">
        <v>2087</v>
      </c>
      <c r="B21" s="58" t="s">
        <v>1523</v>
      </c>
      <c r="C21" s="58" t="s">
        <v>57</v>
      </c>
      <c r="D21" s="60" t="s">
        <v>1524</v>
      </c>
      <c r="E21" s="58">
        <v>774</v>
      </c>
      <c r="F21" s="58">
        <v>266</v>
      </c>
      <c r="G21" s="58">
        <v>247</v>
      </c>
      <c r="H21" s="58">
        <v>143</v>
      </c>
    </row>
    <row r="22" spans="1:8" x14ac:dyDescent="0.25">
      <c r="A22" s="58" t="s">
        <v>2087</v>
      </c>
      <c r="B22" s="58" t="s">
        <v>1525</v>
      </c>
      <c r="C22" s="58" t="s">
        <v>58</v>
      </c>
      <c r="D22" s="60" t="s">
        <v>1526</v>
      </c>
      <c r="E22" s="58">
        <v>874</v>
      </c>
      <c r="F22" s="58">
        <v>285</v>
      </c>
      <c r="G22" s="58">
        <v>247</v>
      </c>
      <c r="H22" s="58">
        <v>171</v>
      </c>
    </row>
    <row r="23" spans="1:8" x14ac:dyDescent="0.25">
      <c r="A23" s="58" t="s">
        <v>2087</v>
      </c>
      <c r="B23" s="58" t="s">
        <v>1527</v>
      </c>
      <c r="C23" s="58" t="s">
        <v>59</v>
      </c>
      <c r="D23" s="60" t="s">
        <v>1528</v>
      </c>
      <c r="E23" s="58">
        <v>950</v>
      </c>
      <c r="F23" s="58">
        <v>304</v>
      </c>
      <c r="G23" s="58">
        <v>247</v>
      </c>
      <c r="H23" s="58">
        <v>171</v>
      </c>
    </row>
    <row r="24" spans="1:8" x14ac:dyDescent="0.25">
      <c r="A24" s="58" t="s">
        <v>2087</v>
      </c>
      <c r="B24" s="58" t="s">
        <v>1529</v>
      </c>
      <c r="C24" s="58" t="s">
        <v>60</v>
      </c>
      <c r="D24" s="60" t="s">
        <v>1530</v>
      </c>
      <c r="E24" s="58">
        <v>998</v>
      </c>
      <c r="F24" s="58">
        <v>314</v>
      </c>
      <c r="G24" s="58">
        <v>247</v>
      </c>
      <c r="H24" s="58">
        <v>190</v>
      </c>
    </row>
    <row r="25" spans="1:8" x14ac:dyDescent="0.25">
      <c r="A25" s="58" t="s">
        <v>2087</v>
      </c>
      <c r="B25" s="58" t="s">
        <v>1531</v>
      </c>
      <c r="C25" s="58" t="s">
        <v>61</v>
      </c>
      <c r="D25" s="60" t="s">
        <v>1532</v>
      </c>
      <c r="E25" s="58">
        <v>1235</v>
      </c>
      <c r="F25" s="58">
        <v>380</v>
      </c>
      <c r="G25" s="58">
        <v>342</v>
      </c>
      <c r="H25" s="58">
        <v>143</v>
      </c>
    </row>
    <row r="26" spans="1:8" x14ac:dyDescent="0.25">
      <c r="A26" s="58" t="s">
        <v>2087</v>
      </c>
      <c r="B26" s="58" t="s">
        <v>1533</v>
      </c>
      <c r="C26" s="58" t="s">
        <v>62</v>
      </c>
      <c r="D26" s="60" t="s">
        <v>1515</v>
      </c>
      <c r="E26" s="58">
        <v>1330</v>
      </c>
      <c r="F26" s="58">
        <v>380</v>
      </c>
      <c r="G26" s="58">
        <v>352</v>
      </c>
      <c r="H26" s="58">
        <v>171</v>
      </c>
    </row>
    <row r="27" spans="1:8" x14ac:dyDescent="0.25">
      <c r="A27" s="58" t="s">
        <v>2087</v>
      </c>
      <c r="B27" s="58" t="s">
        <v>1534</v>
      </c>
      <c r="C27" s="58" t="s">
        <v>63</v>
      </c>
      <c r="D27" s="60" t="s">
        <v>1535</v>
      </c>
      <c r="E27" s="58">
        <v>1520</v>
      </c>
      <c r="F27" s="58">
        <v>399</v>
      </c>
      <c r="G27" s="58">
        <v>356</v>
      </c>
      <c r="H27" s="58">
        <v>190</v>
      </c>
    </row>
    <row r="28" spans="1:8" x14ac:dyDescent="0.25">
      <c r="A28" s="58" t="s">
        <v>2087</v>
      </c>
      <c r="B28" s="58" t="s">
        <v>1536</v>
      </c>
      <c r="C28" s="58" t="s">
        <v>64</v>
      </c>
      <c r="D28" s="60" t="s">
        <v>1537</v>
      </c>
      <c r="E28" s="58">
        <v>1615</v>
      </c>
      <c r="F28" s="58">
        <v>399</v>
      </c>
      <c r="G28" s="58">
        <v>356</v>
      </c>
      <c r="H28" s="58">
        <v>209</v>
      </c>
    </row>
    <row r="29" spans="1:8" x14ac:dyDescent="0.25">
      <c r="A29" s="58" t="s">
        <v>2087</v>
      </c>
      <c r="B29" s="58" t="s">
        <v>1538</v>
      </c>
      <c r="C29" s="58" t="s">
        <v>65</v>
      </c>
      <c r="D29" s="60" t="s">
        <v>1539</v>
      </c>
      <c r="E29" s="58">
        <v>1663</v>
      </c>
      <c r="F29" s="58">
        <v>404</v>
      </c>
      <c r="G29" s="58">
        <v>356</v>
      </c>
      <c r="H29" s="58">
        <v>209</v>
      </c>
    </row>
    <row r="30" spans="1:8" x14ac:dyDescent="0.25">
      <c r="A30" s="58" t="s">
        <v>2087</v>
      </c>
      <c r="B30" s="58" t="s">
        <v>1540</v>
      </c>
      <c r="C30" s="58" t="s">
        <v>66</v>
      </c>
      <c r="D30" s="60" t="s">
        <v>1541</v>
      </c>
      <c r="E30" s="58">
        <v>1663</v>
      </c>
      <c r="F30" s="58">
        <v>399</v>
      </c>
      <c r="G30" s="58">
        <v>356</v>
      </c>
      <c r="H30" s="58">
        <v>209</v>
      </c>
    </row>
    <row r="31" spans="1:8" x14ac:dyDescent="0.25">
      <c r="A31" s="58" t="s">
        <v>2087</v>
      </c>
      <c r="B31" s="58" t="s">
        <v>1542</v>
      </c>
      <c r="C31" s="58" t="s">
        <v>67</v>
      </c>
      <c r="D31" s="60" t="s">
        <v>1543</v>
      </c>
      <c r="E31" s="58">
        <v>1663</v>
      </c>
      <c r="F31" s="58">
        <v>404</v>
      </c>
      <c r="G31" s="58">
        <v>356</v>
      </c>
      <c r="H31" s="58">
        <v>209</v>
      </c>
    </row>
    <row r="32" spans="1:8" x14ac:dyDescent="0.25">
      <c r="A32" s="58" t="s">
        <v>2087</v>
      </c>
      <c r="B32" s="58" t="s">
        <v>1544</v>
      </c>
      <c r="C32" s="58" t="s">
        <v>68</v>
      </c>
      <c r="D32" s="60" t="s">
        <v>1543</v>
      </c>
      <c r="E32" s="58">
        <v>1663</v>
      </c>
      <c r="F32" s="58">
        <v>404</v>
      </c>
      <c r="G32" s="58">
        <v>356</v>
      </c>
      <c r="H32" s="58">
        <v>209</v>
      </c>
    </row>
    <row r="33" spans="1:8" x14ac:dyDescent="0.25">
      <c r="A33" s="58" t="s">
        <v>2087</v>
      </c>
      <c r="B33" s="58" t="s">
        <v>1545</v>
      </c>
      <c r="C33" s="58" t="s">
        <v>69</v>
      </c>
      <c r="D33" s="60" t="s">
        <v>1543</v>
      </c>
      <c r="E33" s="58">
        <v>1663</v>
      </c>
      <c r="F33" s="58">
        <v>404</v>
      </c>
      <c r="G33" s="58">
        <v>356</v>
      </c>
      <c r="H33" s="58">
        <v>209</v>
      </c>
    </row>
    <row r="34" spans="1:8" x14ac:dyDescent="0.25">
      <c r="A34" s="58" t="s">
        <v>2087</v>
      </c>
      <c r="B34" s="58" t="s">
        <v>1546</v>
      </c>
      <c r="C34" s="58" t="s">
        <v>79</v>
      </c>
      <c r="D34" s="60" t="s">
        <v>1520</v>
      </c>
      <c r="E34" s="58">
        <v>360</v>
      </c>
      <c r="F34" s="58">
        <v>250</v>
      </c>
      <c r="G34" s="58">
        <v>185</v>
      </c>
      <c r="H34" s="58">
        <v>50</v>
      </c>
    </row>
    <row r="35" spans="1:8" x14ac:dyDescent="0.25">
      <c r="A35" s="58" t="s">
        <v>2087</v>
      </c>
      <c r="B35" s="58" t="s">
        <v>1547</v>
      </c>
      <c r="C35" s="58" t="s">
        <v>77</v>
      </c>
      <c r="D35" s="60" t="s">
        <v>1548</v>
      </c>
      <c r="E35" s="58">
        <v>475</v>
      </c>
      <c r="F35" s="58">
        <v>304</v>
      </c>
      <c r="G35" s="58">
        <v>209</v>
      </c>
      <c r="H35" s="58">
        <v>114</v>
      </c>
    </row>
    <row r="36" spans="1:8" x14ac:dyDescent="0.25">
      <c r="A36" s="58" t="s">
        <v>2087</v>
      </c>
      <c r="B36" s="58" t="s">
        <v>1549</v>
      </c>
      <c r="C36" s="58" t="s">
        <v>74</v>
      </c>
      <c r="D36" s="60" t="s">
        <v>867</v>
      </c>
      <c r="E36" s="58">
        <v>570</v>
      </c>
      <c r="F36" s="58">
        <v>314</v>
      </c>
      <c r="G36" s="58">
        <v>219</v>
      </c>
      <c r="H36" s="58">
        <v>124</v>
      </c>
    </row>
    <row r="37" spans="1:8" x14ac:dyDescent="0.25">
      <c r="A37" s="58" t="s">
        <v>2087</v>
      </c>
      <c r="B37" s="58" t="s">
        <v>1550</v>
      </c>
      <c r="C37" s="58" t="s">
        <v>80</v>
      </c>
      <c r="D37" s="60" t="s">
        <v>1551</v>
      </c>
      <c r="E37" s="58">
        <v>675</v>
      </c>
      <c r="F37" s="58">
        <v>323</v>
      </c>
      <c r="G37" s="58">
        <v>247</v>
      </c>
      <c r="H37" s="58">
        <v>143</v>
      </c>
    </row>
    <row r="38" spans="1:8" x14ac:dyDescent="0.25">
      <c r="A38" s="58" t="s">
        <v>2087</v>
      </c>
      <c r="B38" s="58" t="s">
        <v>1552</v>
      </c>
      <c r="C38" s="58" t="s">
        <v>81</v>
      </c>
      <c r="D38" s="60" t="s">
        <v>1551</v>
      </c>
      <c r="E38" s="58">
        <v>713</v>
      </c>
      <c r="F38" s="58">
        <v>323</v>
      </c>
      <c r="G38" s="58">
        <v>247</v>
      </c>
      <c r="H38" s="58">
        <v>162</v>
      </c>
    </row>
    <row r="39" spans="1:8" x14ac:dyDescent="0.25">
      <c r="A39" s="58" t="s">
        <v>2087</v>
      </c>
      <c r="B39" s="58" t="s">
        <v>1553</v>
      </c>
      <c r="C39" s="58" t="s">
        <v>82</v>
      </c>
      <c r="D39" s="60" t="s">
        <v>1554</v>
      </c>
      <c r="E39" s="58">
        <v>523</v>
      </c>
      <c r="F39" s="58">
        <v>361</v>
      </c>
      <c r="G39" s="58">
        <v>247</v>
      </c>
      <c r="H39" s="58">
        <v>114</v>
      </c>
    </row>
    <row r="40" spans="1:8" x14ac:dyDescent="0.25">
      <c r="A40" s="58" t="s">
        <v>2087</v>
      </c>
      <c r="B40" s="58" t="s">
        <v>1555</v>
      </c>
      <c r="C40" s="58" t="s">
        <v>83</v>
      </c>
      <c r="D40" s="60" t="s">
        <v>1556</v>
      </c>
      <c r="E40" s="58">
        <v>542</v>
      </c>
      <c r="F40" s="58">
        <v>361</v>
      </c>
      <c r="G40" s="58">
        <v>247</v>
      </c>
      <c r="H40" s="58">
        <v>114</v>
      </c>
    </row>
    <row r="41" spans="1:8" x14ac:dyDescent="0.25">
      <c r="A41" s="58" t="s">
        <v>2087</v>
      </c>
      <c r="B41" s="58" t="s">
        <v>1557</v>
      </c>
      <c r="C41" s="58" t="s">
        <v>84</v>
      </c>
      <c r="D41" s="60" t="s">
        <v>1556</v>
      </c>
      <c r="E41" s="58">
        <v>542</v>
      </c>
      <c r="F41" s="58">
        <v>361</v>
      </c>
      <c r="G41" s="58">
        <v>247</v>
      </c>
      <c r="H41" s="58">
        <v>114</v>
      </c>
    </row>
    <row r="42" spans="1:8" x14ac:dyDescent="0.25">
      <c r="A42" s="58" t="s">
        <v>2087</v>
      </c>
      <c r="B42" s="58" t="s">
        <v>1558</v>
      </c>
      <c r="C42" s="58" t="s">
        <v>75</v>
      </c>
      <c r="D42" s="60" t="s">
        <v>1559</v>
      </c>
      <c r="E42" s="58">
        <v>846</v>
      </c>
      <c r="F42" s="58">
        <v>361</v>
      </c>
      <c r="G42" s="58">
        <v>333</v>
      </c>
      <c r="H42" s="58">
        <v>171</v>
      </c>
    </row>
    <row r="43" spans="1:8" x14ac:dyDescent="0.25">
      <c r="A43" s="58" t="s">
        <v>2087</v>
      </c>
      <c r="B43" s="58" t="s">
        <v>1560</v>
      </c>
      <c r="C43" s="58" t="s">
        <v>85</v>
      </c>
      <c r="D43" s="60" t="s">
        <v>1561</v>
      </c>
      <c r="E43" s="58">
        <v>950</v>
      </c>
      <c r="F43" s="58">
        <v>371</v>
      </c>
      <c r="G43" s="58">
        <v>333</v>
      </c>
      <c r="H43" s="58">
        <v>171</v>
      </c>
    </row>
    <row r="44" spans="1:8" x14ac:dyDescent="0.25">
      <c r="A44" s="58" t="s">
        <v>2087</v>
      </c>
      <c r="B44" s="58" t="s">
        <v>1562</v>
      </c>
      <c r="C44" s="58" t="s">
        <v>76</v>
      </c>
      <c r="D44" s="60" t="s">
        <v>1563</v>
      </c>
      <c r="E44" s="58">
        <v>1093</v>
      </c>
      <c r="F44" s="58">
        <v>399</v>
      </c>
      <c r="G44" s="58">
        <v>352</v>
      </c>
      <c r="H44" s="58">
        <v>209</v>
      </c>
    </row>
    <row r="45" spans="1:8" x14ac:dyDescent="0.25">
      <c r="A45" s="58" t="s">
        <v>2087</v>
      </c>
      <c r="B45" s="58" t="s">
        <v>1564</v>
      </c>
      <c r="C45" s="58" t="s">
        <v>78</v>
      </c>
      <c r="D45" s="60" t="s">
        <v>1565</v>
      </c>
      <c r="E45" s="58">
        <v>1235</v>
      </c>
      <c r="F45" s="58">
        <v>418</v>
      </c>
      <c r="G45" s="58">
        <v>356</v>
      </c>
      <c r="H45" s="58">
        <v>247</v>
      </c>
    </row>
    <row r="46" spans="1:8" x14ac:dyDescent="0.25">
      <c r="A46" s="58" t="s">
        <v>2087</v>
      </c>
      <c r="B46" s="58" t="s">
        <v>1566</v>
      </c>
      <c r="C46" s="58" t="s">
        <v>86</v>
      </c>
      <c r="D46" s="60" t="s">
        <v>1565</v>
      </c>
      <c r="E46" s="58">
        <v>1235</v>
      </c>
      <c r="F46" s="58">
        <v>418</v>
      </c>
      <c r="G46" s="58">
        <v>356</v>
      </c>
      <c r="H46" s="58">
        <v>247</v>
      </c>
    </row>
    <row r="47" spans="1:8" x14ac:dyDescent="0.25">
      <c r="A47" s="58" t="s">
        <v>2087</v>
      </c>
      <c r="B47" s="58" t="s">
        <v>1567</v>
      </c>
      <c r="C47" s="58" t="s">
        <v>87</v>
      </c>
      <c r="D47" s="60" t="s">
        <v>1565</v>
      </c>
      <c r="E47" s="58">
        <v>1235</v>
      </c>
      <c r="F47" s="58">
        <v>418</v>
      </c>
      <c r="G47" s="58">
        <v>356</v>
      </c>
      <c r="H47" s="58">
        <v>247</v>
      </c>
    </row>
    <row r="48" spans="1:8" x14ac:dyDescent="0.25">
      <c r="A48" s="58" t="s">
        <v>2087</v>
      </c>
      <c r="B48" s="58" t="s">
        <v>1568</v>
      </c>
      <c r="C48" s="58" t="s">
        <v>252</v>
      </c>
      <c r="D48" s="60" t="s">
        <v>1565</v>
      </c>
      <c r="E48" s="58">
        <v>1235</v>
      </c>
      <c r="F48" s="58">
        <v>418</v>
      </c>
      <c r="G48" s="58">
        <v>356</v>
      </c>
      <c r="H48" s="58">
        <v>247</v>
      </c>
    </row>
    <row r="49" spans="1:8" x14ac:dyDescent="0.25">
      <c r="A49" s="58" t="s">
        <v>2087</v>
      </c>
      <c r="B49" s="58" t="s">
        <v>1569</v>
      </c>
      <c r="C49" s="58" t="s">
        <v>1570</v>
      </c>
      <c r="D49" s="60" t="s">
        <v>86</v>
      </c>
      <c r="E49" s="58">
        <v>1805</v>
      </c>
      <c r="F49" s="58">
        <v>570</v>
      </c>
      <c r="G49" s="58">
        <v>456</v>
      </c>
      <c r="H49" s="58">
        <v>333</v>
      </c>
    </row>
    <row r="50" spans="1:8" x14ac:dyDescent="0.25">
      <c r="A50" s="58" t="s">
        <v>2087</v>
      </c>
      <c r="B50" s="58" t="s">
        <v>1571</v>
      </c>
      <c r="C50" s="58" t="s">
        <v>89</v>
      </c>
      <c r="D50" s="60" t="s">
        <v>86</v>
      </c>
      <c r="E50" s="58">
        <v>1900</v>
      </c>
      <c r="F50" s="58">
        <v>570</v>
      </c>
      <c r="G50" s="58">
        <v>456</v>
      </c>
      <c r="H50" s="58">
        <v>333</v>
      </c>
    </row>
    <row r="51" spans="1:8" x14ac:dyDescent="0.25">
      <c r="A51" s="58" t="s">
        <v>2087</v>
      </c>
      <c r="B51" s="58" t="s">
        <v>1572</v>
      </c>
      <c r="C51" s="58" t="s">
        <v>90</v>
      </c>
      <c r="D51" s="60" t="s">
        <v>86</v>
      </c>
      <c r="E51" s="58">
        <v>2090</v>
      </c>
      <c r="F51" s="58">
        <v>570</v>
      </c>
      <c r="G51" s="58">
        <v>456</v>
      </c>
      <c r="H51" s="58">
        <v>333</v>
      </c>
    </row>
    <row r="52" spans="1:8" x14ac:dyDescent="0.25">
      <c r="A52" s="58" t="s">
        <v>2088</v>
      </c>
      <c r="B52" s="58" t="s">
        <v>1573</v>
      </c>
      <c r="C52" s="58" t="s">
        <v>37</v>
      </c>
      <c r="D52" s="60" t="s">
        <v>1520</v>
      </c>
      <c r="E52" s="58">
        <v>276</v>
      </c>
      <c r="F52" s="58">
        <v>285</v>
      </c>
      <c r="G52" s="58">
        <v>152</v>
      </c>
      <c r="H52" s="58">
        <v>48</v>
      </c>
    </row>
    <row r="53" spans="1:8" x14ac:dyDescent="0.25">
      <c r="A53" s="58" t="s">
        <v>2088</v>
      </c>
      <c r="B53" s="58" t="s">
        <v>1574</v>
      </c>
      <c r="C53" s="58" t="s">
        <v>38</v>
      </c>
      <c r="D53" s="60" t="s">
        <v>1575</v>
      </c>
      <c r="E53" s="58">
        <v>276</v>
      </c>
      <c r="F53" s="58">
        <v>285</v>
      </c>
      <c r="G53" s="58">
        <v>152</v>
      </c>
      <c r="H53" s="58">
        <v>48</v>
      </c>
    </row>
    <row r="54" spans="1:8" x14ac:dyDescent="0.25">
      <c r="A54" s="58" t="s">
        <v>2088</v>
      </c>
      <c r="B54" s="58" t="s">
        <v>1576</v>
      </c>
      <c r="C54" s="58" t="s">
        <v>39</v>
      </c>
      <c r="D54" s="60" t="s">
        <v>1577</v>
      </c>
      <c r="E54" s="58">
        <v>276</v>
      </c>
      <c r="F54" s="58">
        <v>285</v>
      </c>
      <c r="G54" s="58">
        <v>152</v>
      </c>
      <c r="H54" s="58">
        <v>57</v>
      </c>
    </row>
    <row r="55" spans="1:8" x14ac:dyDescent="0.25">
      <c r="A55" s="58" t="s">
        <v>2088</v>
      </c>
      <c r="B55" s="58" t="s">
        <v>1578</v>
      </c>
      <c r="C55" s="58" t="s">
        <v>40</v>
      </c>
      <c r="D55" s="60" t="s">
        <v>1579</v>
      </c>
      <c r="E55" s="58">
        <v>285</v>
      </c>
      <c r="F55" s="58">
        <v>285</v>
      </c>
      <c r="G55" s="58">
        <v>176</v>
      </c>
      <c r="H55" s="58">
        <v>67</v>
      </c>
    </row>
    <row r="56" spans="1:8" x14ac:dyDescent="0.25">
      <c r="A56" s="58" t="s">
        <v>2088</v>
      </c>
      <c r="B56" s="58" t="s">
        <v>1580</v>
      </c>
      <c r="C56" s="58" t="s">
        <v>43</v>
      </c>
      <c r="D56" s="60" t="s">
        <v>1501</v>
      </c>
      <c r="E56" s="58">
        <v>295</v>
      </c>
      <c r="F56" s="58">
        <v>285</v>
      </c>
      <c r="G56" s="58">
        <v>190</v>
      </c>
      <c r="H56" s="58">
        <v>76</v>
      </c>
    </row>
    <row r="57" spans="1:8" x14ac:dyDescent="0.25">
      <c r="A57" s="58" t="s">
        <v>2088</v>
      </c>
      <c r="B57" s="58" t="s">
        <v>1581</v>
      </c>
      <c r="C57" s="58" t="s">
        <v>44</v>
      </c>
      <c r="D57" s="60" t="s">
        <v>1501</v>
      </c>
      <c r="E57" s="58">
        <v>295</v>
      </c>
      <c r="F57" s="58">
        <v>285</v>
      </c>
      <c r="G57" s="58">
        <v>200</v>
      </c>
      <c r="H57" s="58">
        <v>90</v>
      </c>
    </row>
    <row r="58" spans="1:8" x14ac:dyDescent="0.25">
      <c r="A58" s="58" t="s">
        <v>2088</v>
      </c>
      <c r="B58" s="58" t="s">
        <v>1582</v>
      </c>
      <c r="C58" s="58" t="s">
        <v>45</v>
      </c>
      <c r="D58" s="60" t="s">
        <v>1504</v>
      </c>
      <c r="E58" s="58">
        <v>295</v>
      </c>
      <c r="F58" s="58">
        <v>314</v>
      </c>
      <c r="G58" s="58">
        <v>200</v>
      </c>
      <c r="H58" s="58">
        <v>105</v>
      </c>
    </row>
    <row r="59" spans="1:8" x14ac:dyDescent="0.25">
      <c r="A59" s="58" t="s">
        <v>2088</v>
      </c>
      <c r="B59" s="58" t="s">
        <v>1583</v>
      </c>
      <c r="C59" s="58" t="s">
        <v>46</v>
      </c>
      <c r="D59" s="60" t="s">
        <v>1504</v>
      </c>
      <c r="E59" s="58">
        <v>295</v>
      </c>
      <c r="F59" s="58">
        <v>314</v>
      </c>
      <c r="G59" s="58">
        <v>200</v>
      </c>
      <c r="H59" s="58">
        <v>105</v>
      </c>
    </row>
    <row r="60" spans="1:8" x14ac:dyDescent="0.25">
      <c r="A60" s="58" t="s">
        <v>2088</v>
      </c>
      <c r="B60" s="58" t="s">
        <v>1584</v>
      </c>
      <c r="C60" s="58" t="s">
        <v>47</v>
      </c>
      <c r="D60" s="60" t="s">
        <v>1507</v>
      </c>
      <c r="E60" s="58">
        <v>665</v>
      </c>
      <c r="F60" s="58">
        <v>380</v>
      </c>
      <c r="G60" s="58">
        <v>238</v>
      </c>
      <c r="H60" s="58">
        <v>105</v>
      </c>
    </row>
    <row r="61" spans="1:8" x14ac:dyDescent="0.25">
      <c r="A61" s="58" t="s">
        <v>2088</v>
      </c>
      <c r="B61" s="58" t="s">
        <v>1585</v>
      </c>
      <c r="C61" s="58" t="s">
        <v>48</v>
      </c>
      <c r="D61" s="60" t="s">
        <v>1509</v>
      </c>
      <c r="E61" s="58">
        <v>760</v>
      </c>
      <c r="F61" s="58">
        <v>380</v>
      </c>
      <c r="G61" s="58">
        <v>238</v>
      </c>
      <c r="H61" s="58">
        <v>105</v>
      </c>
    </row>
    <row r="62" spans="1:8" x14ac:dyDescent="0.25">
      <c r="A62" s="58" t="s">
        <v>2088</v>
      </c>
      <c r="B62" s="58" t="s">
        <v>1586</v>
      </c>
      <c r="C62" s="58" t="s">
        <v>49</v>
      </c>
      <c r="D62" s="60" t="s">
        <v>1511</v>
      </c>
      <c r="E62" s="58">
        <v>874</v>
      </c>
      <c r="F62" s="58">
        <v>380</v>
      </c>
      <c r="G62" s="58">
        <v>238</v>
      </c>
      <c r="H62" s="58">
        <v>105</v>
      </c>
    </row>
    <row r="63" spans="1:8" x14ac:dyDescent="0.25">
      <c r="A63" s="58" t="s">
        <v>2088</v>
      </c>
      <c r="B63" s="58" t="s">
        <v>1587</v>
      </c>
      <c r="C63" s="58" t="s">
        <v>50</v>
      </c>
      <c r="D63" s="60" t="s">
        <v>1513</v>
      </c>
      <c r="E63" s="58">
        <v>903</v>
      </c>
      <c r="F63" s="58">
        <v>380</v>
      </c>
      <c r="G63" s="58">
        <v>238</v>
      </c>
      <c r="H63" s="58">
        <v>114</v>
      </c>
    </row>
    <row r="64" spans="1:8" x14ac:dyDescent="0.25">
      <c r="A64" s="58" t="s">
        <v>2088</v>
      </c>
      <c r="B64" s="58" t="s">
        <v>1588</v>
      </c>
      <c r="C64" s="58" t="s">
        <v>51</v>
      </c>
      <c r="D64" s="60" t="s">
        <v>1515</v>
      </c>
      <c r="E64" s="58">
        <v>903</v>
      </c>
      <c r="F64" s="58">
        <v>380</v>
      </c>
      <c r="G64" s="58">
        <v>238</v>
      </c>
      <c r="H64" s="58">
        <v>114</v>
      </c>
    </row>
    <row r="65" spans="1:8" x14ac:dyDescent="0.25">
      <c r="A65" s="58" t="s">
        <v>2088</v>
      </c>
      <c r="B65" s="58" t="s">
        <v>1589</v>
      </c>
      <c r="C65" s="58" t="s">
        <v>52</v>
      </c>
      <c r="D65" s="60" t="s">
        <v>1517</v>
      </c>
      <c r="E65" s="58">
        <v>903</v>
      </c>
      <c r="F65" s="58">
        <v>380</v>
      </c>
      <c r="G65" s="58">
        <v>238</v>
      </c>
      <c r="H65" s="58">
        <v>128</v>
      </c>
    </row>
    <row r="66" spans="1:8" x14ac:dyDescent="0.25">
      <c r="A66" s="58" t="s">
        <v>2088</v>
      </c>
      <c r="B66" s="58" t="s">
        <v>1590</v>
      </c>
      <c r="C66" s="58" t="s">
        <v>53</v>
      </c>
      <c r="D66" s="60" t="s">
        <v>1591</v>
      </c>
      <c r="E66" s="58">
        <v>248</v>
      </c>
      <c r="F66" s="58">
        <v>256</v>
      </c>
      <c r="G66" s="58">
        <v>98</v>
      </c>
      <c r="H66" s="58">
        <v>106</v>
      </c>
    </row>
    <row r="67" spans="1:8" x14ac:dyDescent="0.25">
      <c r="A67" s="58" t="s">
        <v>2088</v>
      </c>
      <c r="B67" s="58" t="s">
        <v>1592</v>
      </c>
      <c r="C67" s="58" t="s">
        <v>54</v>
      </c>
      <c r="D67" s="60" t="s">
        <v>1520</v>
      </c>
      <c r="E67" s="58">
        <v>361</v>
      </c>
      <c r="F67" s="58">
        <v>266</v>
      </c>
      <c r="G67" s="58">
        <v>152</v>
      </c>
      <c r="H67" s="58">
        <v>152</v>
      </c>
    </row>
    <row r="68" spans="1:8" x14ac:dyDescent="0.25">
      <c r="A68" s="58" t="s">
        <v>2088</v>
      </c>
      <c r="B68" s="58" t="s">
        <v>1593</v>
      </c>
      <c r="C68" s="58" t="s">
        <v>55</v>
      </c>
      <c r="D68" s="60" t="s">
        <v>1504</v>
      </c>
      <c r="E68" s="58">
        <v>475</v>
      </c>
      <c r="F68" s="58">
        <v>285</v>
      </c>
      <c r="G68" s="58">
        <v>200</v>
      </c>
      <c r="H68" s="58">
        <v>228</v>
      </c>
    </row>
    <row r="69" spans="1:8" x14ac:dyDescent="0.25">
      <c r="A69" s="58" t="s">
        <v>2088</v>
      </c>
      <c r="B69" s="58" t="s">
        <v>1594</v>
      </c>
      <c r="C69" s="58" t="s">
        <v>56</v>
      </c>
      <c r="D69" s="60" t="s">
        <v>1504</v>
      </c>
      <c r="E69" s="58">
        <v>475</v>
      </c>
      <c r="F69" s="58">
        <v>285</v>
      </c>
      <c r="G69" s="58">
        <v>200</v>
      </c>
      <c r="H69" s="58">
        <v>228</v>
      </c>
    </row>
    <row r="70" spans="1:8" x14ac:dyDescent="0.25">
      <c r="A70" s="58" t="s">
        <v>2088</v>
      </c>
      <c r="B70" s="58" t="s">
        <v>1595</v>
      </c>
      <c r="C70" s="58" t="s">
        <v>57</v>
      </c>
      <c r="D70" s="60" t="s">
        <v>1524</v>
      </c>
      <c r="E70" s="58">
        <v>494</v>
      </c>
      <c r="F70" s="58">
        <v>323</v>
      </c>
      <c r="G70" s="58">
        <v>238</v>
      </c>
      <c r="H70" s="58">
        <v>228</v>
      </c>
    </row>
    <row r="71" spans="1:8" x14ac:dyDescent="0.25">
      <c r="A71" s="58" t="s">
        <v>2088</v>
      </c>
      <c r="B71" s="58" t="s">
        <v>1596</v>
      </c>
      <c r="C71" s="58" t="s">
        <v>58</v>
      </c>
      <c r="D71" s="60" t="s">
        <v>1526</v>
      </c>
      <c r="E71" s="58">
        <v>618</v>
      </c>
      <c r="F71" s="58">
        <v>323</v>
      </c>
      <c r="G71" s="58">
        <v>238</v>
      </c>
      <c r="H71" s="58">
        <v>238</v>
      </c>
    </row>
    <row r="72" spans="1:8" x14ac:dyDescent="0.25">
      <c r="A72" s="58" t="s">
        <v>2088</v>
      </c>
      <c r="B72" s="58" t="s">
        <v>1597</v>
      </c>
      <c r="C72" s="58" t="s">
        <v>59</v>
      </c>
      <c r="D72" s="60" t="s">
        <v>1528</v>
      </c>
      <c r="E72" s="58">
        <v>713</v>
      </c>
      <c r="F72" s="58">
        <v>323</v>
      </c>
      <c r="G72" s="58">
        <v>238</v>
      </c>
      <c r="H72" s="58">
        <v>238</v>
      </c>
    </row>
    <row r="73" spans="1:8" x14ac:dyDescent="0.25">
      <c r="A73" s="58" t="s">
        <v>2088</v>
      </c>
      <c r="B73" s="58" t="s">
        <v>1598</v>
      </c>
      <c r="C73" s="58" t="s">
        <v>60</v>
      </c>
      <c r="D73" s="60" t="s">
        <v>1530</v>
      </c>
      <c r="E73" s="58">
        <v>713</v>
      </c>
      <c r="F73" s="58">
        <v>323</v>
      </c>
      <c r="G73" s="58">
        <v>238</v>
      </c>
      <c r="H73" s="58">
        <v>238</v>
      </c>
    </row>
    <row r="74" spans="1:8" x14ac:dyDescent="0.25">
      <c r="A74" s="58" t="s">
        <v>2088</v>
      </c>
      <c r="B74" s="58" t="s">
        <v>1599</v>
      </c>
      <c r="C74" s="58" t="s">
        <v>61</v>
      </c>
      <c r="D74" s="60" t="s">
        <v>1532</v>
      </c>
      <c r="E74" s="58">
        <v>998</v>
      </c>
      <c r="F74" s="58">
        <v>475</v>
      </c>
      <c r="G74" s="58">
        <v>238</v>
      </c>
      <c r="H74" s="58">
        <v>295</v>
      </c>
    </row>
    <row r="75" spans="1:8" x14ac:dyDescent="0.25">
      <c r="A75" s="58" t="s">
        <v>2088</v>
      </c>
      <c r="B75" s="58" t="s">
        <v>1600</v>
      </c>
      <c r="C75" s="58" t="s">
        <v>62</v>
      </c>
      <c r="D75" s="60" t="s">
        <v>1515</v>
      </c>
      <c r="E75" s="58">
        <v>1045</v>
      </c>
      <c r="F75" s="58">
        <v>475</v>
      </c>
      <c r="G75" s="58">
        <v>238</v>
      </c>
      <c r="H75" s="58">
        <v>295</v>
      </c>
    </row>
    <row r="76" spans="1:8" x14ac:dyDescent="0.25">
      <c r="A76" s="58" t="s">
        <v>2088</v>
      </c>
      <c r="B76" s="58" t="s">
        <v>1601</v>
      </c>
      <c r="C76" s="58" t="s">
        <v>63</v>
      </c>
      <c r="D76" s="60" t="s">
        <v>1535</v>
      </c>
      <c r="E76" s="58">
        <v>1045</v>
      </c>
      <c r="F76" s="58">
        <v>475</v>
      </c>
      <c r="G76" s="58">
        <v>238</v>
      </c>
      <c r="H76" s="58">
        <v>295</v>
      </c>
    </row>
    <row r="77" spans="1:8" x14ac:dyDescent="0.25">
      <c r="A77" s="58" t="s">
        <v>2088</v>
      </c>
      <c r="B77" s="58" t="s">
        <v>1602</v>
      </c>
      <c r="C77" s="58" t="s">
        <v>64</v>
      </c>
      <c r="D77" s="60" t="s">
        <v>1537</v>
      </c>
      <c r="E77" s="58">
        <v>1045</v>
      </c>
      <c r="F77" s="58">
        <v>475</v>
      </c>
      <c r="G77" s="58">
        <v>238</v>
      </c>
      <c r="H77" s="58">
        <v>295</v>
      </c>
    </row>
    <row r="78" spans="1:8" x14ac:dyDescent="0.25">
      <c r="A78" s="58" t="s">
        <v>2088</v>
      </c>
      <c r="B78" s="58" t="s">
        <v>1603</v>
      </c>
      <c r="C78" s="58" t="s">
        <v>65</v>
      </c>
      <c r="D78" s="60" t="s">
        <v>1539</v>
      </c>
      <c r="E78" s="58">
        <v>1045</v>
      </c>
      <c r="F78" s="58">
        <v>475</v>
      </c>
      <c r="G78" s="58">
        <v>238</v>
      </c>
      <c r="H78" s="58">
        <v>295</v>
      </c>
    </row>
    <row r="79" spans="1:8" x14ac:dyDescent="0.25">
      <c r="A79" s="58" t="s">
        <v>2088</v>
      </c>
      <c r="B79" s="58" t="s">
        <v>1604</v>
      </c>
      <c r="C79" s="58" t="s">
        <v>66</v>
      </c>
      <c r="D79" s="60" t="s">
        <v>1541</v>
      </c>
      <c r="E79" s="58">
        <v>1045</v>
      </c>
      <c r="F79" s="58">
        <v>475</v>
      </c>
      <c r="G79" s="58">
        <v>238</v>
      </c>
      <c r="H79" s="58">
        <v>295</v>
      </c>
    </row>
    <row r="80" spans="1:8" x14ac:dyDescent="0.25">
      <c r="A80" s="58" t="s">
        <v>2088</v>
      </c>
      <c r="B80" s="58" t="s">
        <v>1605</v>
      </c>
      <c r="C80" s="58" t="s">
        <v>67</v>
      </c>
      <c r="D80" s="60" t="s">
        <v>1543</v>
      </c>
      <c r="E80" s="58">
        <v>1045</v>
      </c>
      <c r="F80" s="58">
        <v>475</v>
      </c>
      <c r="G80" s="58">
        <v>238</v>
      </c>
      <c r="H80" s="58">
        <v>314</v>
      </c>
    </row>
    <row r="81" spans="1:8" x14ac:dyDescent="0.25">
      <c r="A81" s="58" t="s">
        <v>2088</v>
      </c>
      <c r="B81" s="58" t="s">
        <v>1606</v>
      </c>
      <c r="C81" s="58" t="s">
        <v>68</v>
      </c>
      <c r="D81" s="60" t="s">
        <v>1543</v>
      </c>
      <c r="E81" s="58">
        <v>1045</v>
      </c>
      <c r="F81" s="58">
        <v>475</v>
      </c>
      <c r="G81" s="58">
        <v>238</v>
      </c>
      <c r="H81" s="58">
        <v>314</v>
      </c>
    </row>
    <row r="82" spans="1:8" x14ac:dyDescent="0.25">
      <c r="A82" s="58" t="s">
        <v>2088</v>
      </c>
      <c r="B82" s="58" t="s">
        <v>1607</v>
      </c>
      <c r="C82" s="58" t="s">
        <v>69</v>
      </c>
      <c r="D82" s="60" t="s">
        <v>1543</v>
      </c>
      <c r="E82" s="58">
        <v>1045</v>
      </c>
      <c r="F82" s="58">
        <v>475</v>
      </c>
      <c r="G82" s="58">
        <v>238</v>
      </c>
      <c r="H82" s="58">
        <v>314</v>
      </c>
    </row>
    <row r="83" spans="1:8" x14ac:dyDescent="0.25">
      <c r="A83" s="58" t="s">
        <v>2088</v>
      </c>
      <c r="B83" s="58" t="s">
        <v>1608</v>
      </c>
      <c r="C83" s="58" t="s">
        <v>79</v>
      </c>
      <c r="D83" s="60" t="s">
        <v>1609</v>
      </c>
      <c r="E83" s="58">
        <v>359</v>
      </c>
      <c r="F83" s="58">
        <v>265</v>
      </c>
      <c r="G83" s="58">
        <v>90</v>
      </c>
      <c r="H83" s="58">
        <v>198</v>
      </c>
    </row>
    <row r="84" spans="1:8" x14ac:dyDescent="0.25">
      <c r="A84" s="58" t="s">
        <v>2088</v>
      </c>
      <c r="B84" s="58" t="s">
        <v>1610</v>
      </c>
      <c r="C84" s="58" t="s">
        <v>77</v>
      </c>
      <c r="D84" s="60" t="s">
        <v>1548</v>
      </c>
      <c r="E84" s="58">
        <v>399</v>
      </c>
      <c r="F84" s="58">
        <v>323</v>
      </c>
      <c r="G84" s="58">
        <v>228</v>
      </c>
      <c r="H84" s="58">
        <v>238</v>
      </c>
    </row>
    <row r="85" spans="1:8" x14ac:dyDescent="0.25">
      <c r="A85" s="58" t="s">
        <v>2088</v>
      </c>
      <c r="B85" s="58" t="s">
        <v>1611</v>
      </c>
      <c r="C85" s="58" t="s">
        <v>74</v>
      </c>
      <c r="D85" s="60" t="s">
        <v>867</v>
      </c>
      <c r="E85" s="58">
        <v>428</v>
      </c>
      <c r="F85" s="58">
        <v>323</v>
      </c>
      <c r="G85" s="58">
        <v>228</v>
      </c>
      <c r="H85" s="58">
        <v>238</v>
      </c>
    </row>
    <row r="86" spans="1:8" x14ac:dyDescent="0.25">
      <c r="A86" s="58" t="s">
        <v>2088</v>
      </c>
      <c r="B86" s="58" t="s">
        <v>1612</v>
      </c>
      <c r="C86" s="58" t="s">
        <v>80</v>
      </c>
      <c r="D86" s="60" t="s">
        <v>1551</v>
      </c>
      <c r="E86" s="58">
        <v>428</v>
      </c>
      <c r="F86" s="58">
        <v>323</v>
      </c>
      <c r="G86" s="58">
        <v>238</v>
      </c>
      <c r="H86" s="58">
        <v>238</v>
      </c>
    </row>
    <row r="87" spans="1:8" x14ac:dyDescent="0.25">
      <c r="A87" s="58" t="s">
        <v>2088</v>
      </c>
      <c r="B87" s="58" t="s">
        <v>1613</v>
      </c>
      <c r="C87" s="58" t="s">
        <v>81</v>
      </c>
      <c r="D87" s="60" t="s">
        <v>1551</v>
      </c>
      <c r="E87" s="58">
        <v>428</v>
      </c>
      <c r="F87" s="58">
        <v>323</v>
      </c>
      <c r="G87" s="58">
        <v>238</v>
      </c>
      <c r="H87" s="58">
        <v>238</v>
      </c>
    </row>
    <row r="88" spans="1:8" x14ac:dyDescent="0.25">
      <c r="A88" s="58" t="s">
        <v>2088</v>
      </c>
      <c r="B88" s="58" t="s">
        <v>1614</v>
      </c>
      <c r="C88" s="58" t="s">
        <v>82</v>
      </c>
      <c r="D88" s="60" t="s">
        <v>1554</v>
      </c>
      <c r="E88" s="58">
        <v>428</v>
      </c>
      <c r="F88" s="58">
        <v>428</v>
      </c>
      <c r="G88" s="58">
        <v>238</v>
      </c>
      <c r="H88" s="58">
        <v>361</v>
      </c>
    </row>
    <row r="89" spans="1:8" x14ac:dyDescent="0.25">
      <c r="A89" s="58" t="s">
        <v>2088</v>
      </c>
      <c r="B89" s="58" t="s">
        <v>1615</v>
      </c>
      <c r="C89" s="58" t="s">
        <v>83</v>
      </c>
      <c r="D89" s="60" t="s">
        <v>1556</v>
      </c>
      <c r="E89" s="58">
        <v>428</v>
      </c>
      <c r="F89" s="58">
        <v>428</v>
      </c>
      <c r="G89" s="58">
        <v>238</v>
      </c>
      <c r="H89" s="58">
        <v>361</v>
      </c>
    </row>
    <row r="90" spans="1:8" x14ac:dyDescent="0.25">
      <c r="A90" s="58" t="s">
        <v>2088</v>
      </c>
      <c r="B90" s="58" t="s">
        <v>1616</v>
      </c>
      <c r="C90" s="58" t="s">
        <v>84</v>
      </c>
      <c r="D90" s="60" t="s">
        <v>1556</v>
      </c>
      <c r="E90" s="58">
        <v>428</v>
      </c>
      <c r="F90" s="58">
        <v>428</v>
      </c>
      <c r="G90" s="58">
        <v>238</v>
      </c>
      <c r="H90" s="58">
        <v>361</v>
      </c>
    </row>
    <row r="91" spans="1:8" x14ac:dyDescent="0.25">
      <c r="A91" s="58" t="s">
        <v>2088</v>
      </c>
      <c r="B91" s="58" t="s">
        <v>1617</v>
      </c>
      <c r="C91" s="58" t="s">
        <v>75</v>
      </c>
      <c r="D91" s="60" t="s">
        <v>1559</v>
      </c>
      <c r="E91" s="58">
        <v>684</v>
      </c>
      <c r="F91" s="58">
        <v>428</v>
      </c>
      <c r="G91" s="58">
        <v>238</v>
      </c>
      <c r="H91" s="58">
        <v>361</v>
      </c>
    </row>
    <row r="92" spans="1:8" x14ac:dyDescent="0.25">
      <c r="A92" s="58" t="s">
        <v>2088</v>
      </c>
      <c r="B92" s="58" t="s">
        <v>1618</v>
      </c>
      <c r="C92" s="58" t="s">
        <v>85</v>
      </c>
      <c r="D92" s="60" t="s">
        <v>1561</v>
      </c>
      <c r="E92" s="58">
        <v>817</v>
      </c>
      <c r="F92" s="58">
        <v>428</v>
      </c>
      <c r="G92" s="58">
        <v>238</v>
      </c>
      <c r="H92" s="58">
        <v>361</v>
      </c>
    </row>
    <row r="93" spans="1:8" x14ac:dyDescent="0.25">
      <c r="A93" s="58" t="s">
        <v>2088</v>
      </c>
      <c r="B93" s="58" t="s">
        <v>1619</v>
      </c>
      <c r="C93" s="58" t="s">
        <v>76</v>
      </c>
      <c r="D93" s="60" t="s">
        <v>1563</v>
      </c>
      <c r="E93" s="58">
        <v>931</v>
      </c>
      <c r="F93" s="58">
        <v>428</v>
      </c>
      <c r="G93" s="58">
        <v>352</v>
      </c>
      <c r="H93" s="58">
        <v>361</v>
      </c>
    </row>
    <row r="94" spans="1:8" x14ac:dyDescent="0.25">
      <c r="A94" s="58" t="s">
        <v>2088</v>
      </c>
      <c r="B94" s="58" t="s">
        <v>1620</v>
      </c>
      <c r="C94" s="58" t="s">
        <v>78</v>
      </c>
      <c r="D94" s="60" t="s">
        <v>1565</v>
      </c>
      <c r="E94" s="58">
        <v>1093</v>
      </c>
      <c r="F94" s="58">
        <v>428</v>
      </c>
      <c r="G94" s="58">
        <v>356</v>
      </c>
      <c r="H94" s="58">
        <v>361</v>
      </c>
    </row>
    <row r="95" spans="1:8" x14ac:dyDescent="0.25">
      <c r="A95" s="58" t="s">
        <v>2088</v>
      </c>
      <c r="B95" s="58" t="s">
        <v>1621</v>
      </c>
      <c r="C95" s="58" t="s">
        <v>86</v>
      </c>
      <c r="D95" s="60" t="s">
        <v>1565</v>
      </c>
      <c r="E95" s="58">
        <v>1093</v>
      </c>
      <c r="F95" s="58">
        <v>428</v>
      </c>
      <c r="G95" s="58">
        <v>356</v>
      </c>
      <c r="H95" s="58">
        <v>361</v>
      </c>
    </row>
    <row r="96" spans="1:8" x14ac:dyDescent="0.25">
      <c r="A96" s="58" t="s">
        <v>2088</v>
      </c>
      <c r="B96" s="58" t="s">
        <v>1622</v>
      </c>
      <c r="C96" s="58" t="s">
        <v>87</v>
      </c>
      <c r="D96" s="60" t="s">
        <v>1565</v>
      </c>
      <c r="E96" s="58">
        <v>1093</v>
      </c>
      <c r="F96" s="58">
        <v>428</v>
      </c>
      <c r="G96" s="58">
        <v>356</v>
      </c>
      <c r="H96" s="58">
        <v>361</v>
      </c>
    </row>
    <row r="97" spans="1:8" x14ac:dyDescent="0.25">
      <c r="A97" s="58" t="s">
        <v>2088</v>
      </c>
      <c r="B97" s="58" t="s">
        <v>1623</v>
      </c>
      <c r="C97" s="58" t="s">
        <v>252</v>
      </c>
      <c r="D97" s="60" t="s">
        <v>1565</v>
      </c>
      <c r="E97" s="58">
        <v>1093</v>
      </c>
      <c r="F97" s="58">
        <v>428</v>
      </c>
      <c r="G97" s="58">
        <v>356</v>
      </c>
      <c r="H97" s="58">
        <v>361</v>
      </c>
    </row>
    <row r="98" spans="1:8" x14ac:dyDescent="0.25">
      <c r="A98" s="58" t="s">
        <v>2088</v>
      </c>
      <c r="B98" s="58" t="s">
        <v>1624</v>
      </c>
      <c r="C98" s="58" t="s">
        <v>1570</v>
      </c>
      <c r="D98" s="60" t="s">
        <v>86</v>
      </c>
      <c r="E98" s="58">
        <v>1520</v>
      </c>
      <c r="F98" s="58">
        <v>561</v>
      </c>
      <c r="G98" s="58">
        <v>456</v>
      </c>
      <c r="H98" s="58">
        <v>456</v>
      </c>
    </row>
    <row r="99" spans="1:8" x14ac:dyDescent="0.25">
      <c r="A99" s="58" t="s">
        <v>2088</v>
      </c>
      <c r="B99" s="58" t="s">
        <v>1625</v>
      </c>
      <c r="C99" s="58" t="s">
        <v>89</v>
      </c>
      <c r="D99" s="60" t="s">
        <v>86</v>
      </c>
      <c r="E99" s="58">
        <v>1710</v>
      </c>
      <c r="F99" s="58">
        <v>561</v>
      </c>
      <c r="G99" s="58">
        <v>456</v>
      </c>
      <c r="H99" s="58">
        <v>456</v>
      </c>
    </row>
    <row r="100" spans="1:8" x14ac:dyDescent="0.25">
      <c r="A100" s="58" t="s">
        <v>2088</v>
      </c>
      <c r="B100" s="58" t="s">
        <v>1626</v>
      </c>
      <c r="C100" s="58" t="s">
        <v>90</v>
      </c>
      <c r="D100" s="60" t="s">
        <v>86</v>
      </c>
      <c r="E100" s="58">
        <v>1710</v>
      </c>
      <c r="F100" s="58">
        <v>561</v>
      </c>
      <c r="G100" s="58">
        <v>456</v>
      </c>
      <c r="H100" s="58">
        <v>456</v>
      </c>
    </row>
    <row r="101" spans="1:8" x14ac:dyDescent="0.25">
      <c r="A101" s="58" t="s">
        <v>2123</v>
      </c>
      <c r="B101" s="58" t="s">
        <v>2124</v>
      </c>
      <c r="C101" s="58" t="s">
        <v>595</v>
      </c>
      <c r="D101" s="60" t="s">
        <v>856</v>
      </c>
      <c r="E101" s="58">
        <v>257</v>
      </c>
      <c r="F101" s="58">
        <v>149</v>
      </c>
      <c r="G101" s="58">
        <v>33</v>
      </c>
      <c r="H101" s="58">
        <v>30</v>
      </c>
    </row>
    <row r="102" spans="1:8" x14ac:dyDescent="0.25">
      <c r="A102" s="58" t="s">
        <v>2123</v>
      </c>
      <c r="B102" s="58" t="s">
        <v>2125</v>
      </c>
      <c r="C102" s="58" t="s">
        <v>596</v>
      </c>
      <c r="D102" s="60" t="s">
        <v>1495</v>
      </c>
      <c r="E102" s="58">
        <v>329</v>
      </c>
      <c r="F102" s="58">
        <v>194</v>
      </c>
      <c r="G102" s="58">
        <v>57</v>
      </c>
      <c r="H102" s="58">
        <v>39</v>
      </c>
    </row>
    <row r="103" spans="1:8" x14ac:dyDescent="0.25">
      <c r="A103" s="58" t="s">
        <v>2123</v>
      </c>
      <c r="B103" s="58" t="s">
        <v>2126</v>
      </c>
      <c r="C103" s="58" t="s">
        <v>597</v>
      </c>
      <c r="D103" s="60" t="s">
        <v>1497</v>
      </c>
      <c r="E103" s="58">
        <v>338</v>
      </c>
      <c r="F103" s="58">
        <v>180</v>
      </c>
      <c r="G103" s="58">
        <v>77</v>
      </c>
      <c r="H103" s="58">
        <v>39</v>
      </c>
    </row>
    <row r="104" spans="1:8" x14ac:dyDescent="0.25">
      <c r="A104" s="58" t="s">
        <v>2123</v>
      </c>
      <c r="B104" s="58" t="s">
        <v>2127</v>
      </c>
      <c r="C104" s="58" t="s">
        <v>598</v>
      </c>
      <c r="D104" s="60" t="s">
        <v>1499</v>
      </c>
      <c r="E104" s="58">
        <v>396</v>
      </c>
      <c r="F104" s="58">
        <v>216</v>
      </c>
      <c r="G104" s="58">
        <v>113</v>
      </c>
      <c r="H104" s="58">
        <v>46</v>
      </c>
    </row>
    <row r="105" spans="1:8" x14ac:dyDescent="0.25">
      <c r="A105" s="58" t="s">
        <v>2123</v>
      </c>
      <c r="B105" s="58" t="s">
        <v>2128</v>
      </c>
      <c r="C105" s="58" t="s">
        <v>599</v>
      </c>
      <c r="D105" s="60" t="s">
        <v>1501</v>
      </c>
      <c r="E105" s="58">
        <v>534</v>
      </c>
      <c r="F105" s="58">
        <v>212</v>
      </c>
      <c r="G105" s="58">
        <v>137</v>
      </c>
      <c r="H105" s="58">
        <v>59</v>
      </c>
    </row>
    <row r="106" spans="1:8" x14ac:dyDescent="0.25">
      <c r="A106" s="58" t="s">
        <v>2123</v>
      </c>
      <c r="B106" s="58" t="s">
        <v>2129</v>
      </c>
      <c r="C106" s="58" t="s">
        <v>600</v>
      </c>
      <c r="D106" s="60" t="s">
        <v>1501</v>
      </c>
      <c r="E106" s="58">
        <v>549</v>
      </c>
      <c r="F106" s="58">
        <v>216</v>
      </c>
      <c r="G106" s="58">
        <v>206</v>
      </c>
      <c r="H106" s="58">
        <v>59</v>
      </c>
    </row>
    <row r="107" spans="1:8" x14ac:dyDescent="0.25">
      <c r="A107" s="58" t="s">
        <v>2123</v>
      </c>
      <c r="B107" s="58" t="s">
        <v>2130</v>
      </c>
      <c r="C107" s="58" t="s">
        <v>601</v>
      </c>
      <c r="D107" s="60" t="s">
        <v>1504</v>
      </c>
      <c r="E107" s="58">
        <v>558</v>
      </c>
      <c r="F107" s="58">
        <v>214</v>
      </c>
      <c r="G107" s="58">
        <v>290</v>
      </c>
      <c r="H107" s="58">
        <v>63</v>
      </c>
    </row>
  </sheetData>
  <autoFilter ref="A2:H2" xr:uid="{00000000-0009-0000-0000-000012000000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8"/>
  <dimension ref="A1:I100"/>
  <sheetViews>
    <sheetView topLeftCell="A32" workbookViewId="0">
      <selection activeCell="B4" sqref="B4:B11"/>
    </sheetView>
  </sheetViews>
  <sheetFormatPr defaultRowHeight="15" x14ac:dyDescent="0.25"/>
  <cols>
    <col min="4" max="4" width="16.7109375" customWidth="1"/>
    <col min="5" max="5" width="13.85546875" customWidth="1"/>
    <col min="7" max="7" width="12.42578125" customWidth="1"/>
  </cols>
  <sheetData>
    <row r="1" spans="1:9" ht="45" x14ac:dyDescent="0.25">
      <c r="A1" s="58"/>
      <c r="B1" s="58" t="s">
        <v>630</v>
      </c>
      <c r="C1" s="58" t="s">
        <v>1490</v>
      </c>
      <c r="D1" s="65" t="s">
        <v>1627</v>
      </c>
      <c r="E1" s="58" t="s">
        <v>681</v>
      </c>
      <c r="F1" s="58" t="s">
        <v>632</v>
      </c>
      <c r="G1" s="58" t="s">
        <v>632</v>
      </c>
      <c r="H1" s="58" t="s">
        <v>632</v>
      </c>
      <c r="I1" s="58" t="s">
        <v>632</v>
      </c>
    </row>
    <row r="2" spans="1:9" x14ac:dyDescent="0.25">
      <c r="A2" s="58"/>
      <c r="B2" s="58" t="s">
        <v>632</v>
      </c>
      <c r="C2" s="58" t="s">
        <v>632</v>
      </c>
      <c r="D2" s="60" t="s">
        <v>632</v>
      </c>
      <c r="E2" s="58" t="s">
        <v>1628</v>
      </c>
      <c r="F2" s="58" t="s">
        <v>13</v>
      </c>
      <c r="G2" s="58" t="s">
        <v>1629</v>
      </c>
      <c r="H2" s="58" t="s">
        <v>1630</v>
      </c>
      <c r="I2" s="58" t="s">
        <v>14</v>
      </c>
    </row>
    <row r="3" spans="1:9" x14ac:dyDescent="0.25">
      <c r="A3" s="58" t="s">
        <v>2089</v>
      </c>
      <c r="B3" s="58" t="s">
        <v>1631</v>
      </c>
      <c r="C3" s="58" t="s">
        <v>37</v>
      </c>
      <c r="D3" s="60" t="s">
        <v>1520</v>
      </c>
      <c r="E3" s="58">
        <v>57</v>
      </c>
      <c r="F3" s="58">
        <v>124</v>
      </c>
      <c r="G3" s="58">
        <v>209</v>
      </c>
      <c r="H3" s="58">
        <v>209</v>
      </c>
      <c r="I3" s="58">
        <v>25</v>
      </c>
    </row>
    <row r="4" spans="1:9" x14ac:dyDescent="0.25">
      <c r="A4" s="58" t="s">
        <v>2089</v>
      </c>
      <c r="B4" s="58" t="s">
        <v>1632</v>
      </c>
      <c r="C4" s="58" t="s">
        <v>38</v>
      </c>
      <c r="D4" s="60" t="s">
        <v>1520</v>
      </c>
      <c r="E4" s="58">
        <v>62</v>
      </c>
      <c r="F4" s="58">
        <v>151</v>
      </c>
      <c r="G4" s="58">
        <v>238</v>
      </c>
      <c r="H4" s="58">
        <v>238</v>
      </c>
      <c r="I4" s="58">
        <v>35</v>
      </c>
    </row>
    <row r="5" spans="1:9" x14ac:dyDescent="0.25">
      <c r="A5" s="58" t="s">
        <v>2089</v>
      </c>
      <c r="B5" s="58" t="s">
        <v>1633</v>
      </c>
      <c r="C5" s="58" t="s">
        <v>39</v>
      </c>
      <c r="D5" s="60" t="s">
        <v>1501</v>
      </c>
      <c r="E5" s="58">
        <v>86</v>
      </c>
      <c r="F5" s="58">
        <v>145</v>
      </c>
      <c r="G5" s="58">
        <v>361</v>
      </c>
      <c r="H5" s="58">
        <v>361</v>
      </c>
      <c r="I5" s="58">
        <v>40</v>
      </c>
    </row>
    <row r="6" spans="1:9" x14ac:dyDescent="0.25">
      <c r="A6" s="58" t="s">
        <v>2089</v>
      </c>
      <c r="B6" s="58" t="s">
        <v>1634</v>
      </c>
      <c r="C6" s="58" t="s">
        <v>40</v>
      </c>
      <c r="D6" s="60" t="s">
        <v>1501</v>
      </c>
      <c r="E6" s="58">
        <v>86</v>
      </c>
      <c r="F6" s="58">
        <v>173</v>
      </c>
      <c r="G6" s="58">
        <v>399</v>
      </c>
      <c r="H6" s="58">
        <v>399</v>
      </c>
      <c r="I6" s="58">
        <v>45</v>
      </c>
    </row>
    <row r="7" spans="1:9" x14ac:dyDescent="0.25">
      <c r="A7" s="58" t="s">
        <v>2089</v>
      </c>
      <c r="B7" s="58" t="s">
        <v>1635</v>
      </c>
      <c r="C7" s="58" t="s">
        <v>43</v>
      </c>
      <c r="D7" s="60" t="s">
        <v>1501</v>
      </c>
      <c r="E7" s="58">
        <v>114</v>
      </c>
      <c r="F7" s="58">
        <v>243</v>
      </c>
      <c r="G7" s="58">
        <v>665</v>
      </c>
      <c r="H7" s="58">
        <v>665</v>
      </c>
      <c r="I7" s="58">
        <v>70</v>
      </c>
    </row>
    <row r="8" spans="1:9" x14ac:dyDescent="0.25">
      <c r="A8" s="58" t="s">
        <v>2089</v>
      </c>
      <c r="B8" s="58" t="s">
        <v>1636</v>
      </c>
      <c r="C8" s="58" t="s">
        <v>44</v>
      </c>
      <c r="D8" s="60" t="s">
        <v>1501</v>
      </c>
      <c r="E8" s="58">
        <v>124</v>
      </c>
      <c r="F8" s="58">
        <v>269</v>
      </c>
      <c r="G8" s="58">
        <v>665</v>
      </c>
      <c r="H8" s="58">
        <v>760</v>
      </c>
      <c r="I8" s="58">
        <v>80</v>
      </c>
    </row>
    <row r="9" spans="1:9" x14ac:dyDescent="0.25">
      <c r="A9" s="58" t="s">
        <v>2089</v>
      </c>
      <c r="B9" s="58" t="s">
        <v>1637</v>
      </c>
      <c r="C9" s="58" t="s">
        <v>45</v>
      </c>
      <c r="D9" s="60" t="s">
        <v>1504</v>
      </c>
      <c r="E9" s="58">
        <v>133</v>
      </c>
      <c r="F9" s="58">
        <v>305</v>
      </c>
      <c r="G9" s="58">
        <v>665</v>
      </c>
      <c r="H9" s="58">
        <v>760</v>
      </c>
      <c r="I9" s="58">
        <v>85</v>
      </c>
    </row>
    <row r="10" spans="1:9" x14ac:dyDescent="0.25">
      <c r="A10" s="58" t="s">
        <v>2089</v>
      </c>
      <c r="B10" s="58" t="s">
        <v>1638</v>
      </c>
      <c r="C10" s="58" t="s">
        <v>46</v>
      </c>
      <c r="D10" s="60" t="s">
        <v>1504</v>
      </c>
      <c r="E10" s="58">
        <v>133</v>
      </c>
      <c r="F10" s="58">
        <v>351</v>
      </c>
      <c r="G10" s="58">
        <v>665</v>
      </c>
      <c r="H10" s="58">
        <v>760</v>
      </c>
      <c r="I10" s="58">
        <v>85</v>
      </c>
    </row>
    <row r="11" spans="1:9" x14ac:dyDescent="0.25">
      <c r="A11" s="58" t="s">
        <v>2089</v>
      </c>
      <c r="B11" s="58" t="s">
        <v>1639</v>
      </c>
      <c r="C11" s="58" t="s">
        <v>47</v>
      </c>
      <c r="D11" s="60" t="s">
        <v>1507</v>
      </c>
      <c r="E11" s="58">
        <v>209</v>
      </c>
      <c r="F11" s="58">
        <v>389</v>
      </c>
      <c r="G11" s="58">
        <v>950</v>
      </c>
      <c r="H11" s="58">
        <v>950</v>
      </c>
      <c r="I11" s="58">
        <v>85</v>
      </c>
    </row>
    <row r="12" spans="1:9" x14ac:dyDescent="0.25">
      <c r="A12" s="58" t="s">
        <v>2089</v>
      </c>
      <c r="B12" s="58" t="s">
        <v>1640</v>
      </c>
      <c r="C12" s="58" t="s">
        <v>48</v>
      </c>
      <c r="D12" s="60" t="s">
        <v>1641</v>
      </c>
      <c r="E12" s="58">
        <v>219</v>
      </c>
      <c r="F12" s="58">
        <v>441</v>
      </c>
      <c r="G12" s="58">
        <v>950</v>
      </c>
      <c r="H12" s="58">
        <v>950</v>
      </c>
      <c r="I12" s="58">
        <v>85</v>
      </c>
    </row>
    <row r="13" spans="1:9" x14ac:dyDescent="0.25">
      <c r="A13" s="58" t="s">
        <v>2089</v>
      </c>
      <c r="B13" s="58" t="s">
        <v>1642</v>
      </c>
      <c r="C13" s="58" t="s">
        <v>49</v>
      </c>
      <c r="D13" s="60" t="s">
        <v>1511</v>
      </c>
      <c r="E13" s="58">
        <v>238</v>
      </c>
      <c r="F13" s="58">
        <v>467</v>
      </c>
      <c r="G13" s="58">
        <v>950</v>
      </c>
      <c r="H13" s="58">
        <v>1045</v>
      </c>
      <c r="I13" s="58">
        <v>85</v>
      </c>
    </row>
    <row r="14" spans="1:9" x14ac:dyDescent="0.25">
      <c r="A14" s="58" t="s">
        <v>2089</v>
      </c>
      <c r="B14" s="58" t="s">
        <v>1643</v>
      </c>
      <c r="C14" s="58" t="s">
        <v>50</v>
      </c>
      <c r="D14" s="60" t="s">
        <v>1644</v>
      </c>
      <c r="E14" s="58">
        <v>238</v>
      </c>
      <c r="F14" s="58">
        <v>484</v>
      </c>
      <c r="G14" s="58">
        <v>950</v>
      </c>
      <c r="H14" s="58">
        <v>1045</v>
      </c>
      <c r="I14" s="58">
        <v>85</v>
      </c>
    </row>
    <row r="15" spans="1:9" x14ac:dyDescent="0.25">
      <c r="A15" s="58" t="s">
        <v>2089</v>
      </c>
      <c r="B15" s="58" t="s">
        <v>1645</v>
      </c>
      <c r="C15" s="58" t="s">
        <v>51</v>
      </c>
      <c r="D15" s="60" t="s">
        <v>1515</v>
      </c>
      <c r="E15" s="58">
        <v>380</v>
      </c>
      <c r="F15" s="58">
        <v>637</v>
      </c>
      <c r="G15" s="58">
        <v>1140</v>
      </c>
      <c r="H15" s="58">
        <v>1188</v>
      </c>
      <c r="I15" s="58">
        <v>95</v>
      </c>
    </row>
    <row r="16" spans="1:9" x14ac:dyDescent="0.25">
      <c r="A16" s="58" t="s">
        <v>2089</v>
      </c>
      <c r="B16" s="58" t="s">
        <v>1646</v>
      </c>
      <c r="C16" s="58" t="s">
        <v>52</v>
      </c>
      <c r="D16" s="60" t="s">
        <v>1515</v>
      </c>
      <c r="E16" s="58">
        <v>399</v>
      </c>
      <c r="F16" s="58">
        <v>704</v>
      </c>
      <c r="G16" s="58">
        <v>1235</v>
      </c>
      <c r="H16" s="58">
        <v>1378</v>
      </c>
      <c r="I16" s="58">
        <v>100</v>
      </c>
    </row>
    <row r="17" spans="1:9" x14ac:dyDescent="0.25">
      <c r="A17" s="58" t="s">
        <v>2089</v>
      </c>
      <c r="B17" s="58" t="s">
        <v>1647</v>
      </c>
      <c r="C17" s="58" t="s">
        <v>53</v>
      </c>
      <c r="D17" s="60" t="s">
        <v>1520</v>
      </c>
      <c r="E17" s="58">
        <v>71</v>
      </c>
      <c r="F17" s="58">
        <v>185</v>
      </c>
      <c r="G17" s="58">
        <v>405</v>
      </c>
      <c r="H17" s="58">
        <v>485</v>
      </c>
      <c r="I17" s="58">
        <v>60</v>
      </c>
    </row>
    <row r="18" spans="1:9" x14ac:dyDescent="0.25">
      <c r="A18" s="58" t="s">
        <v>2089</v>
      </c>
      <c r="B18" s="58" t="s">
        <v>1648</v>
      </c>
      <c r="C18" s="58" t="s">
        <v>54</v>
      </c>
      <c r="D18" s="60" t="s">
        <v>1520</v>
      </c>
      <c r="E18" s="58">
        <v>71</v>
      </c>
      <c r="F18" s="58">
        <v>200</v>
      </c>
      <c r="G18" s="58">
        <v>475</v>
      </c>
      <c r="H18" s="58">
        <v>599</v>
      </c>
      <c r="I18" s="58">
        <v>70</v>
      </c>
    </row>
    <row r="19" spans="1:9" x14ac:dyDescent="0.25">
      <c r="A19" s="58" t="s">
        <v>2089</v>
      </c>
      <c r="B19" s="58" t="s">
        <v>1649</v>
      </c>
      <c r="C19" s="58" t="s">
        <v>55</v>
      </c>
      <c r="D19" s="60" t="s">
        <v>1504</v>
      </c>
      <c r="E19" s="58">
        <v>105</v>
      </c>
      <c r="F19" s="58">
        <v>259</v>
      </c>
      <c r="G19" s="58">
        <v>713</v>
      </c>
      <c r="H19" s="58">
        <v>760</v>
      </c>
      <c r="I19" s="58">
        <v>80</v>
      </c>
    </row>
    <row r="20" spans="1:9" x14ac:dyDescent="0.25">
      <c r="A20" s="58" t="s">
        <v>2089</v>
      </c>
      <c r="B20" s="58" t="s">
        <v>1650</v>
      </c>
      <c r="C20" s="58" t="s">
        <v>56</v>
      </c>
      <c r="D20" s="60" t="s">
        <v>1504</v>
      </c>
      <c r="E20" s="58">
        <v>105</v>
      </c>
      <c r="F20" s="58">
        <v>297</v>
      </c>
      <c r="G20" s="58">
        <v>713</v>
      </c>
      <c r="H20" s="58">
        <v>760</v>
      </c>
      <c r="I20" s="58">
        <v>80</v>
      </c>
    </row>
    <row r="21" spans="1:9" x14ac:dyDescent="0.25">
      <c r="A21" s="58" t="s">
        <v>2089</v>
      </c>
      <c r="B21" s="58" t="s">
        <v>1651</v>
      </c>
      <c r="C21" s="58" t="s">
        <v>57</v>
      </c>
      <c r="D21" s="60" t="s">
        <v>1652</v>
      </c>
      <c r="E21" s="58">
        <v>133</v>
      </c>
      <c r="F21" s="58">
        <v>297</v>
      </c>
      <c r="G21" s="58">
        <v>732</v>
      </c>
      <c r="H21" s="58">
        <v>760</v>
      </c>
      <c r="I21" s="58">
        <v>95</v>
      </c>
    </row>
    <row r="22" spans="1:9" x14ac:dyDescent="0.25">
      <c r="A22" s="58" t="s">
        <v>2089</v>
      </c>
      <c r="B22" s="58" t="s">
        <v>1653</v>
      </c>
      <c r="C22" s="58" t="s">
        <v>58</v>
      </c>
      <c r="D22" s="60" t="s">
        <v>1526</v>
      </c>
      <c r="E22" s="58">
        <v>162</v>
      </c>
      <c r="F22" s="58">
        <v>339</v>
      </c>
      <c r="G22" s="58">
        <v>884</v>
      </c>
      <c r="H22" s="58">
        <v>760</v>
      </c>
      <c r="I22" s="58">
        <v>150</v>
      </c>
    </row>
    <row r="23" spans="1:9" x14ac:dyDescent="0.25">
      <c r="A23" s="58" t="s">
        <v>2089</v>
      </c>
      <c r="B23" s="58" t="s">
        <v>1654</v>
      </c>
      <c r="C23" s="58" t="s">
        <v>59</v>
      </c>
      <c r="D23" s="60" t="s">
        <v>1655</v>
      </c>
      <c r="E23" s="58">
        <v>181</v>
      </c>
      <c r="F23" s="58">
        <v>405</v>
      </c>
      <c r="G23" s="58">
        <v>884</v>
      </c>
      <c r="H23" s="58">
        <v>760</v>
      </c>
      <c r="I23" s="58">
        <v>150</v>
      </c>
    </row>
    <row r="24" spans="1:9" x14ac:dyDescent="0.25">
      <c r="A24" s="58" t="s">
        <v>2089</v>
      </c>
      <c r="B24" s="58" t="s">
        <v>1656</v>
      </c>
      <c r="C24" s="58" t="s">
        <v>60</v>
      </c>
      <c r="D24" s="60" t="s">
        <v>1657</v>
      </c>
      <c r="E24" s="58">
        <v>181</v>
      </c>
      <c r="F24" s="58">
        <v>434</v>
      </c>
      <c r="G24" s="58">
        <v>884</v>
      </c>
      <c r="H24" s="58">
        <v>760</v>
      </c>
      <c r="I24" s="58">
        <v>150</v>
      </c>
    </row>
    <row r="25" spans="1:9" x14ac:dyDescent="0.25">
      <c r="A25" s="58" t="s">
        <v>2089</v>
      </c>
      <c r="B25" s="58" t="s">
        <v>1658</v>
      </c>
      <c r="C25" s="58" t="s">
        <v>61</v>
      </c>
      <c r="D25" s="60" t="s">
        <v>1659</v>
      </c>
      <c r="E25" s="58">
        <v>247</v>
      </c>
      <c r="F25" s="58">
        <v>536</v>
      </c>
      <c r="G25" s="58">
        <v>1140</v>
      </c>
      <c r="H25" s="58">
        <v>1520</v>
      </c>
      <c r="I25" s="58">
        <v>150</v>
      </c>
    </row>
    <row r="26" spans="1:9" x14ac:dyDescent="0.25">
      <c r="A26" s="58" t="s">
        <v>2089</v>
      </c>
      <c r="B26" s="58" t="s">
        <v>1660</v>
      </c>
      <c r="C26" s="58" t="s">
        <v>62</v>
      </c>
      <c r="D26" s="60" t="s">
        <v>1515</v>
      </c>
      <c r="E26" s="58">
        <v>285</v>
      </c>
      <c r="F26" s="58">
        <v>585</v>
      </c>
      <c r="G26" s="58">
        <v>1140</v>
      </c>
      <c r="H26" s="58">
        <v>1710</v>
      </c>
      <c r="I26" s="58">
        <v>160</v>
      </c>
    </row>
    <row r="27" spans="1:9" x14ac:dyDescent="0.25">
      <c r="A27" s="58" t="s">
        <v>2089</v>
      </c>
      <c r="B27" s="58" t="s">
        <v>1661</v>
      </c>
      <c r="C27" s="58" t="s">
        <v>63</v>
      </c>
      <c r="D27" s="60" t="s">
        <v>1662</v>
      </c>
      <c r="E27" s="58">
        <v>304</v>
      </c>
      <c r="F27" s="58">
        <v>768</v>
      </c>
      <c r="G27" s="58">
        <v>1140</v>
      </c>
      <c r="H27" s="58">
        <v>1710</v>
      </c>
      <c r="I27" s="58">
        <v>160</v>
      </c>
    </row>
    <row r="28" spans="1:9" x14ac:dyDescent="0.25">
      <c r="A28" s="58" t="s">
        <v>2089</v>
      </c>
      <c r="B28" s="58" t="s">
        <v>1663</v>
      </c>
      <c r="C28" s="58" t="s">
        <v>64</v>
      </c>
      <c r="D28" s="60" t="s">
        <v>1664</v>
      </c>
      <c r="E28" s="58">
        <v>323</v>
      </c>
      <c r="F28" s="58">
        <v>779</v>
      </c>
      <c r="G28" s="58">
        <v>1140</v>
      </c>
      <c r="H28" s="58">
        <v>1710</v>
      </c>
      <c r="I28" s="58">
        <v>160</v>
      </c>
    </row>
    <row r="29" spans="1:9" x14ac:dyDescent="0.25">
      <c r="A29" s="58" t="s">
        <v>2089</v>
      </c>
      <c r="B29" s="58" t="s">
        <v>1665</v>
      </c>
      <c r="C29" s="58" t="s">
        <v>65</v>
      </c>
      <c r="D29" s="60" t="s">
        <v>1666</v>
      </c>
      <c r="E29" s="58">
        <v>323</v>
      </c>
      <c r="F29" s="58">
        <v>838</v>
      </c>
      <c r="G29" s="58">
        <v>1140</v>
      </c>
      <c r="H29" s="58">
        <v>1710</v>
      </c>
      <c r="I29" s="58">
        <v>160</v>
      </c>
    </row>
    <row r="30" spans="1:9" x14ac:dyDescent="0.25">
      <c r="A30" s="58" t="s">
        <v>2089</v>
      </c>
      <c r="B30" s="58" t="s">
        <v>1667</v>
      </c>
      <c r="C30" s="58" t="s">
        <v>66</v>
      </c>
      <c r="D30" s="60" t="s">
        <v>1668</v>
      </c>
      <c r="E30" s="58">
        <v>380</v>
      </c>
      <c r="F30" s="58">
        <v>764</v>
      </c>
      <c r="G30" s="58">
        <v>1140</v>
      </c>
      <c r="H30" s="58">
        <v>1805</v>
      </c>
      <c r="I30" s="58">
        <v>160</v>
      </c>
    </row>
    <row r="31" spans="1:9" x14ac:dyDescent="0.25">
      <c r="A31" s="58" t="s">
        <v>2089</v>
      </c>
      <c r="B31" s="58" t="s">
        <v>1669</v>
      </c>
      <c r="C31" s="58" t="s">
        <v>67</v>
      </c>
      <c r="D31" s="60" t="s">
        <v>1670</v>
      </c>
      <c r="E31" s="58">
        <v>390</v>
      </c>
      <c r="F31" s="58">
        <v>954</v>
      </c>
      <c r="G31" s="58">
        <v>1140</v>
      </c>
      <c r="H31" s="58">
        <v>1995</v>
      </c>
      <c r="I31" s="58">
        <v>160</v>
      </c>
    </row>
    <row r="32" spans="1:9" x14ac:dyDescent="0.25">
      <c r="A32" s="58" t="s">
        <v>2089</v>
      </c>
      <c r="B32" s="58" t="s">
        <v>1671</v>
      </c>
      <c r="C32" s="58" t="s">
        <v>68</v>
      </c>
      <c r="D32" s="60" t="s">
        <v>1670</v>
      </c>
      <c r="E32" s="58">
        <v>390</v>
      </c>
      <c r="F32" s="58">
        <v>1078</v>
      </c>
      <c r="G32" s="58">
        <v>1140</v>
      </c>
      <c r="H32" s="58">
        <v>1995</v>
      </c>
      <c r="I32" s="58">
        <v>160</v>
      </c>
    </row>
    <row r="33" spans="1:9" x14ac:dyDescent="0.25">
      <c r="A33" s="58" t="s">
        <v>2089</v>
      </c>
      <c r="B33" s="58" t="s">
        <v>1672</v>
      </c>
      <c r="C33" s="58" t="s">
        <v>69</v>
      </c>
      <c r="D33" s="60" t="s">
        <v>1670</v>
      </c>
      <c r="E33" s="58">
        <v>390</v>
      </c>
      <c r="F33" s="58">
        <v>1078</v>
      </c>
      <c r="G33" s="58">
        <v>1140</v>
      </c>
      <c r="H33" s="58">
        <v>1995</v>
      </c>
      <c r="I33" s="58">
        <v>160</v>
      </c>
    </row>
    <row r="34" spans="1:9" x14ac:dyDescent="0.25">
      <c r="A34" s="58" t="s">
        <v>2089</v>
      </c>
      <c r="B34" s="58" t="s">
        <v>1673</v>
      </c>
      <c r="C34" s="58" t="s">
        <v>79</v>
      </c>
      <c r="D34" s="60" t="s">
        <v>1577</v>
      </c>
      <c r="E34" s="58">
        <v>70</v>
      </c>
      <c r="F34" s="58">
        <v>180</v>
      </c>
      <c r="G34" s="58">
        <v>415</v>
      </c>
      <c r="H34" s="58">
        <v>550</v>
      </c>
      <c r="I34" s="58">
        <v>70</v>
      </c>
    </row>
    <row r="35" spans="1:9" x14ac:dyDescent="0.25">
      <c r="A35" s="58" t="s">
        <v>2089</v>
      </c>
      <c r="B35" s="58" t="s">
        <v>1674</v>
      </c>
      <c r="C35" s="58" t="s">
        <v>77</v>
      </c>
      <c r="D35" s="60" t="s">
        <v>1675</v>
      </c>
      <c r="E35" s="58">
        <v>86</v>
      </c>
      <c r="F35" s="58">
        <v>219</v>
      </c>
      <c r="G35" s="58">
        <v>627</v>
      </c>
      <c r="H35" s="58">
        <v>760</v>
      </c>
      <c r="I35" s="58">
        <v>110</v>
      </c>
    </row>
    <row r="36" spans="1:9" x14ac:dyDescent="0.25">
      <c r="A36" s="58" t="s">
        <v>2089</v>
      </c>
      <c r="B36" s="58" t="s">
        <v>1676</v>
      </c>
      <c r="C36" s="58" t="s">
        <v>74</v>
      </c>
      <c r="D36" s="60" t="s">
        <v>1677</v>
      </c>
      <c r="E36" s="58">
        <v>95</v>
      </c>
      <c r="F36" s="58">
        <v>249</v>
      </c>
      <c r="G36" s="58">
        <v>627</v>
      </c>
      <c r="H36" s="58">
        <v>760</v>
      </c>
      <c r="I36" s="58">
        <v>110</v>
      </c>
    </row>
    <row r="37" spans="1:9" x14ac:dyDescent="0.25">
      <c r="A37" s="58" t="s">
        <v>2089</v>
      </c>
      <c r="B37" s="58" t="s">
        <v>1678</v>
      </c>
      <c r="C37" s="58" t="s">
        <v>80</v>
      </c>
      <c r="D37" s="60" t="s">
        <v>1679</v>
      </c>
      <c r="E37" s="58">
        <v>105</v>
      </c>
      <c r="F37" s="58">
        <v>279</v>
      </c>
      <c r="G37" s="58">
        <v>732</v>
      </c>
      <c r="H37" s="58">
        <v>760</v>
      </c>
      <c r="I37" s="58">
        <v>150</v>
      </c>
    </row>
    <row r="38" spans="1:9" x14ac:dyDescent="0.25">
      <c r="A38" s="58" t="s">
        <v>2089</v>
      </c>
      <c r="B38" s="58" t="s">
        <v>1680</v>
      </c>
      <c r="C38" s="58" t="s">
        <v>81</v>
      </c>
      <c r="D38" s="60" t="s">
        <v>1679</v>
      </c>
      <c r="E38" s="58">
        <v>143</v>
      </c>
      <c r="F38" s="58">
        <v>300</v>
      </c>
      <c r="G38" s="58">
        <v>884</v>
      </c>
      <c r="H38" s="58">
        <v>760</v>
      </c>
      <c r="I38" s="58">
        <v>150</v>
      </c>
    </row>
    <row r="39" spans="1:9" x14ac:dyDescent="0.25">
      <c r="A39" s="58" t="s">
        <v>2089</v>
      </c>
      <c r="B39" s="58" t="s">
        <v>1681</v>
      </c>
      <c r="C39" s="58" t="s">
        <v>82</v>
      </c>
      <c r="D39" s="60" t="s">
        <v>1679</v>
      </c>
      <c r="E39" s="58">
        <v>128</v>
      </c>
      <c r="F39" s="58">
        <v>334</v>
      </c>
      <c r="G39" s="58">
        <v>808</v>
      </c>
      <c r="H39" s="58">
        <v>760</v>
      </c>
      <c r="I39" s="58">
        <v>120</v>
      </c>
    </row>
    <row r="40" spans="1:9" x14ac:dyDescent="0.25">
      <c r="A40" s="58" t="s">
        <v>2089</v>
      </c>
      <c r="B40" s="58" t="s">
        <v>1682</v>
      </c>
      <c r="C40" s="58" t="s">
        <v>83</v>
      </c>
      <c r="D40" s="60" t="s">
        <v>1683</v>
      </c>
      <c r="E40" s="58">
        <v>128</v>
      </c>
      <c r="F40" s="58">
        <v>492</v>
      </c>
      <c r="G40" s="58">
        <v>808</v>
      </c>
      <c r="H40" s="58">
        <v>760</v>
      </c>
      <c r="I40" s="58">
        <v>120</v>
      </c>
    </row>
    <row r="41" spans="1:9" x14ac:dyDescent="0.25">
      <c r="A41" s="58" t="s">
        <v>2089</v>
      </c>
      <c r="B41" s="58" t="s">
        <v>1684</v>
      </c>
      <c r="C41" s="58" t="s">
        <v>84</v>
      </c>
      <c r="D41" s="60" t="s">
        <v>1683</v>
      </c>
      <c r="E41" s="58">
        <v>133</v>
      </c>
      <c r="F41" s="58">
        <v>371</v>
      </c>
      <c r="G41" s="58">
        <v>884</v>
      </c>
      <c r="H41" s="58">
        <v>760</v>
      </c>
      <c r="I41" s="58">
        <v>120</v>
      </c>
    </row>
    <row r="42" spans="1:9" x14ac:dyDescent="0.25">
      <c r="A42" s="58" t="s">
        <v>2089</v>
      </c>
      <c r="B42" s="58" t="s">
        <v>1685</v>
      </c>
      <c r="C42" s="58" t="s">
        <v>75</v>
      </c>
      <c r="D42" s="60" t="s">
        <v>1686</v>
      </c>
      <c r="E42" s="58">
        <v>143</v>
      </c>
      <c r="F42" s="58">
        <v>383</v>
      </c>
      <c r="G42" s="58">
        <v>950</v>
      </c>
      <c r="H42" s="58">
        <v>1520</v>
      </c>
      <c r="I42" s="58">
        <v>140</v>
      </c>
    </row>
    <row r="43" spans="1:9" x14ac:dyDescent="0.25">
      <c r="A43" s="58" t="s">
        <v>2089</v>
      </c>
      <c r="B43" s="58" t="s">
        <v>1687</v>
      </c>
      <c r="C43" s="58" t="s">
        <v>85</v>
      </c>
      <c r="D43" s="60" t="s">
        <v>1688</v>
      </c>
      <c r="E43" s="58">
        <v>143</v>
      </c>
      <c r="F43" s="58">
        <v>467</v>
      </c>
      <c r="G43" s="58">
        <v>950</v>
      </c>
      <c r="H43" s="58">
        <v>1520</v>
      </c>
      <c r="I43" s="58">
        <v>140</v>
      </c>
    </row>
    <row r="44" spans="1:9" x14ac:dyDescent="0.25">
      <c r="A44" s="58" t="s">
        <v>2089</v>
      </c>
      <c r="B44" s="58" t="s">
        <v>1689</v>
      </c>
      <c r="C44" s="58" t="s">
        <v>76</v>
      </c>
      <c r="D44" s="60" t="s">
        <v>1690</v>
      </c>
      <c r="E44" s="58">
        <v>200</v>
      </c>
      <c r="F44" s="58">
        <v>487</v>
      </c>
      <c r="G44" s="58">
        <v>903</v>
      </c>
      <c r="H44" s="58">
        <v>950</v>
      </c>
      <c r="I44" s="58">
        <v>300</v>
      </c>
    </row>
    <row r="45" spans="1:9" x14ac:dyDescent="0.25">
      <c r="A45" s="58" t="s">
        <v>2089</v>
      </c>
      <c r="B45" s="58" t="s">
        <v>1691</v>
      </c>
      <c r="C45" s="58" t="s">
        <v>78</v>
      </c>
      <c r="D45" s="60" t="s">
        <v>1692</v>
      </c>
      <c r="E45" s="58">
        <v>266</v>
      </c>
      <c r="F45" s="58">
        <v>543</v>
      </c>
      <c r="G45" s="58">
        <v>1140</v>
      </c>
      <c r="H45" s="58">
        <v>1283</v>
      </c>
      <c r="I45" s="58">
        <v>400</v>
      </c>
    </row>
    <row r="46" spans="1:9" x14ac:dyDescent="0.25">
      <c r="A46" s="58" t="s">
        <v>2089</v>
      </c>
      <c r="B46" s="58" t="s">
        <v>1693</v>
      </c>
      <c r="C46" s="58" t="s">
        <v>86</v>
      </c>
      <c r="D46" s="60" t="s">
        <v>1692</v>
      </c>
      <c r="E46" s="58">
        <v>266</v>
      </c>
      <c r="F46" s="58">
        <v>672</v>
      </c>
      <c r="G46" s="58">
        <v>1140</v>
      </c>
      <c r="H46" s="58">
        <v>1283</v>
      </c>
      <c r="I46" s="58">
        <v>400</v>
      </c>
    </row>
    <row r="47" spans="1:9" x14ac:dyDescent="0.25">
      <c r="A47" s="58" t="s">
        <v>2089</v>
      </c>
      <c r="B47" s="58" t="s">
        <v>1694</v>
      </c>
      <c r="C47" s="58" t="s">
        <v>87</v>
      </c>
      <c r="D47" s="60" t="s">
        <v>1692</v>
      </c>
      <c r="E47" s="58">
        <v>276</v>
      </c>
      <c r="F47" s="58">
        <v>765</v>
      </c>
      <c r="G47" s="58">
        <v>1140</v>
      </c>
      <c r="H47" s="58">
        <v>1283</v>
      </c>
      <c r="I47" s="58">
        <v>400</v>
      </c>
    </row>
    <row r="48" spans="1:9" x14ac:dyDescent="0.25">
      <c r="A48" s="58" t="s">
        <v>2089</v>
      </c>
      <c r="B48" s="58" t="s">
        <v>1695</v>
      </c>
      <c r="C48" s="58" t="s">
        <v>252</v>
      </c>
      <c r="D48" s="60" t="s">
        <v>1692</v>
      </c>
      <c r="E48" s="58">
        <v>276</v>
      </c>
      <c r="F48" s="58">
        <v>996</v>
      </c>
      <c r="G48" s="58">
        <v>1140</v>
      </c>
      <c r="H48" s="58">
        <v>1283</v>
      </c>
      <c r="I48" s="58">
        <v>400</v>
      </c>
    </row>
    <row r="49" spans="1:9" x14ac:dyDescent="0.25">
      <c r="A49" s="58" t="s">
        <v>2089</v>
      </c>
      <c r="B49" s="58" t="s">
        <v>1696</v>
      </c>
      <c r="C49" s="58" t="s">
        <v>1570</v>
      </c>
      <c r="D49" s="60" t="s">
        <v>86</v>
      </c>
      <c r="E49" s="58">
        <v>998</v>
      </c>
      <c r="F49" s="58">
        <v>1364</v>
      </c>
      <c r="G49" s="58">
        <v>2090</v>
      </c>
      <c r="H49" s="58">
        <v>2280</v>
      </c>
      <c r="I49" s="58">
        <v>1300</v>
      </c>
    </row>
    <row r="50" spans="1:9" x14ac:dyDescent="0.25">
      <c r="A50" s="58" t="s">
        <v>2089</v>
      </c>
      <c r="B50" s="58" t="s">
        <v>1697</v>
      </c>
      <c r="C50" s="58" t="s">
        <v>89</v>
      </c>
      <c r="D50" s="60" t="s">
        <v>86</v>
      </c>
      <c r="E50" s="58">
        <v>998</v>
      </c>
      <c r="F50" s="58">
        <v>1364</v>
      </c>
      <c r="G50" s="58">
        <v>2090</v>
      </c>
      <c r="H50" s="58">
        <v>2280</v>
      </c>
      <c r="I50" s="58">
        <v>1300</v>
      </c>
    </row>
    <row r="51" spans="1:9" x14ac:dyDescent="0.25">
      <c r="A51" s="58" t="s">
        <v>2089</v>
      </c>
      <c r="B51" s="58" t="s">
        <v>1698</v>
      </c>
      <c r="C51" s="58" t="s">
        <v>90</v>
      </c>
      <c r="D51" s="60" t="s">
        <v>86</v>
      </c>
      <c r="E51" s="58">
        <v>998</v>
      </c>
      <c r="F51" s="58">
        <v>1364</v>
      </c>
      <c r="G51" s="58">
        <v>2090</v>
      </c>
      <c r="H51" s="58">
        <v>2280</v>
      </c>
      <c r="I51" s="58">
        <v>1300</v>
      </c>
    </row>
    <row r="52" spans="1:9" x14ac:dyDescent="0.25">
      <c r="A52" s="58" t="s">
        <v>2090</v>
      </c>
      <c r="B52" s="58" t="s">
        <v>1755</v>
      </c>
      <c r="C52" s="58" t="s">
        <v>37</v>
      </c>
      <c r="D52" s="60" t="s">
        <v>1520</v>
      </c>
      <c r="E52" s="58">
        <v>10</v>
      </c>
      <c r="F52" s="58">
        <v>105</v>
      </c>
      <c r="G52" s="58">
        <v>500</v>
      </c>
      <c r="H52" s="58">
        <v>500</v>
      </c>
      <c r="I52" s="58">
        <v>40</v>
      </c>
    </row>
    <row r="53" spans="1:9" x14ac:dyDescent="0.25">
      <c r="A53" s="58" t="s">
        <v>2090</v>
      </c>
      <c r="B53" s="58" t="s">
        <v>1756</v>
      </c>
      <c r="C53" s="58" t="s">
        <v>38</v>
      </c>
      <c r="D53" s="60" t="s">
        <v>1520</v>
      </c>
      <c r="E53" s="58">
        <v>10</v>
      </c>
      <c r="F53" s="58">
        <v>105</v>
      </c>
      <c r="G53" s="58">
        <v>500</v>
      </c>
      <c r="H53" s="58">
        <v>500</v>
      </c>
      <c r="I53" s="58">
        <v>40</v>
      </c>
    </row>
    <row r="54" spans="1:9" x14ac:dyDescent="0.25">
      <c r="A54" s="58" t="s">
        <v>2090</v>
      </c>
      <c r="B54" s="58" t="s">
        <v>1757</v>
      </c>
      <c r="C54" s="58" t="s">
        <v>39</v>
      </c>
      <c r="D54" s="60" t="s">
        <v>1501</v>
      </c>
      <c r="E54" s="58">
        <v>10</v>
      </c>
      <c r="F54" s="58">
        <v>139</v>
      </c>
      <c r="G54" s="58">
        <v>500</v>
      </c>
      <c r="H54" s="58">
        <v>690</v>
      </c>
      <c r="I54" s="58">
        <v>50</v>
      </c>
    </row>
    <row r="55" spans="1:9" x14ac:dyDescent="0.25">
      <c r="A55" s="58" t="s">
        <v>2090</v>
      </c>
      <c r="B55" s="58" t="s">
        <v>1758</v>
      </c>
      <c r="C55" s="58" t="s">
        <v>40</v>
      </c>
      <c r="D55" s="60" t="s">
        <v>1501</v>
      </c>
      <c r="E55" s="58">
        <v>10</v>
      </c>
      <c r="F55" s="58">
        <v>139</v>
      </c>
      <c r="G55" s="58">
        <v>500</v>
      </c>
      <c r="H55" s="58">
        <v>800</v>
      </c>
      <c r="I55" s="58">
        <v>60</v>
      </c>
    </row>
    <row r="56" spans="1:9" x14ac:dyDescent="0.25">
      <c r="A56" s="58" t="s">
        <v>2090</v>
      </c>
      <c r="B56" s="58" t="s">
        <v>1759</v>
      </c>
      <c r="C56" s="58" t="s">
        <v>43</v>
      </c>
      <c r="D56" s="60" t="s">
        <v>1501</v>
      </c>
      <c r="E56" s="58">
        <v>10</v>
      </c>
      <c r="F56" s="58">
        <v>139</v>
      </c>
      <c r="G56" s="58">
        <v>500</v>
      </c>
      <c r="H56" s="58">
        <v>800</v>
      </c>
      <c r="I56" s="58">
        <v>8</v>
      </c>
    </row>
    <row r="57" spans="1:9" x14ac:dyDescent="0.25">
      <c r="A57" s="58" t="s">
        <v>2090</v>
      </c>
      <c r="B57" s="58" t="s">
        <v>1760</v>
      </c>
      <c r="C57" s="58" t="s">
        <v>44</v>
      </c>
      <c r="D57" s="60" t="s">
        <v>1501</v>
      </c>
      <c r="E57" s="58">
        <v>10</v>
      </c>
      <c r="F57" s="58">
        <v>139</v>
      </c>
      <c r="G57" s="58">
        <v>500</v>
      </c>
      <c r="H57" s="58">
        <v>800</v>
      </c>
      <c r="I57" s="58">
        <v>130</v>
      </c>
    </row>
    <row r="58" spans="1:9" x14ac:dyDescent="0.25">
      <c r="A58" s="58" t="s">
        <v>2090</v>
      </c>
      <c r="B58" s="58" t="s">
        <v>1761</v>
      </c>
      <c r="C58" s="58" t="s">
        <v>45</v>
      </c>
      <c r="D58" s="60" t="s">
        <v>1504</v>
      </c>
      <c r="E58" s="58">
        <v>15</v>
      </c>
      <c r="F58" s="58">
        <v>139</v>
      </c>
      <c r="G58" s="58">
        <v>500</v>
      </c>
      <c r="H58" s="58">
        <v>800</v>
      </c>
      <c r="I58" s="58">
        <v>150</v>
      </c>
    </row>
    <row r="59" spans="1:9" x14ac:dyDescent="0.25">
      <c r="A59" s="58" t="s">
        <v>2090</v>
      </c>
      <c r="B59" s="58" t="s">
        <v>1762</v>
      </c>
      <c r="C59" s="58" t="s">
        <v>46</v>
      </c>
      <c r="D59" s="60" t="s">
        <v>1504</v>
      </c>
      <c r="E59" s="58">
        <v>15</v>
      </c>
      <c r="F59" s="58">
        <v>139</v>
      </c>
      <c r="G59" s="58">
        <v>500</v>
      </c>
      <c r="H59" s="58">
        <v>800</v>
      </c>
      <c r="I59" s="58">
        <v>150</v>
      </c>
    </row>
    <row r="60" spans="1:9" x14ac:dyDescent="0.25">
      <c r="A60" s="58" t="s">
        <v>2090</v>
      </c>
      <c r="B60" s="58" t="s">
        <v>1763</v>
      </c>
      <c r="C60" s="58" t="s">
        <v>47</v>
      </c>
      <c r="D60" s="60" t="s">
        <v>1507</v>
      </c>
      <c r="E60" s="58">
        <v>25</v>
      </c>
      <c r="F60" s="58">
        <v>183</v>
      </c>
      <c r="G60" s="58">
        <v>700</v>
      </c>
      <c r="H60" s="58">
        <v>1000</v>
      </c>
      <c r="I60" s="58">
        <v>150</v>
      </c>
    </row>
    <row r="61" spans="1:9" x14ac:dyDescent="0.25">
      <c r="A61" s="58" t="s">
        <v>2090</v>
      </c>
      <c r="B61" s="58" t="s">
        <v>1764</v>
      </c>
      <c r="C61" s="58" t="s">
        <v>48</v>
      </c>
      <c r="D61" s="60" t="s">
        <v>1641</v>
      </c>
      <c r="E61" s="58">
        <v>25</v>
      </c>
      <c r="F61" s="58">
        <v>183</v>
      </c>
      <c r="G61" s="58">
        <v>700</v>
      </c>
      <c r="H61" s="58">
        <v>1000</v>
      </c>
      <c r="I61" s="58">
        <v>150</v>
      </c>
    </row>
    <row r="62" spans="1:9" x14ac:dyDescent="0.25">
      <c r="A62" s="58" t="s">
        <v>2090</v>
      </c>
      <c r="B62" s="58" t="s">
        <v>1765</v>
      </c>
      <c r="C62" s="58" t="s">
        <v>49</v>
      </c>
      <c r="D62" s="60" t="s">
        <v>1511</v>
      </c>
      <c r="E62" s="58">
        <v>25</v>
      </c>
      <c r="F62" s="58">
        <v>198</v>
      </c>
      <c r="G62" s="58">
        <v>800</v>
      </c>
      <c r="H62" s="58">
        <v>1300</v>
      </c>
      <c r="I62" s="58">
        <v>150</v>
      </c>
    </row>
    <row r="63" spans="1:9" x14ac:dyDescent="0.25">
      <c r="A63" s="58" t="s">
        <v>2090</v>
      </c>
      <c r="B63" s="58" t="s">
        <v>1766</v>
      </c>
      <c r="C63" s="58" t="s">
        <v>50</v>
      </c>
      <c r="D63" s="60" t="s">
        <v>1644</v>
      </c>
      <c r="E63" s="58">
        <v>25</v>
      </c>
      <c r="F63" s="58">
        <v>198</v>
      </c>
      <c r="G63" s="58">
        <v>800</v>
      </c>
      <c r="H63" s="58">
        <v>1300</v>
      </c>
      <c r="I63" s="58">
        <v>170</v>
      </c>
    </row>
    <row r="64" spans="1:9" x14ac:dyDescent="0.25">
      <c r="A64" s="58" t="s">
        <v>2090</v>
      </c>
      <c r="B64" s="58" t="s">
        <v>1767</v>
      </c>
      <c r="C64" s="58" t="s">
        <v>51</v>
      </c>
      <c r="D64" s="60" t="s">
        <v>1515</v>
      </c>
      <c r="E64" s="58">
        <v>30</v>
      </c>
      <c r="F64" s="58">
        <v>244</v>
      </c>
      <c r="G64" s="58">
        <v>950</v>
      </c>
      <c r="H64" s="58">
        <v>1900</v>
      </c>
      <c r="I64" s="58">
        <v>170</v>
      </c>
    </row>
    <row r="65" spans="1:9" x14ac:dyDescent="0.25">
      <c r="A65" s="58" t="s">
        <v>2090</v>
      </c>
      <c r="B65" s="58" t="s">
        <v>1768</v>
      </c>
      <c r="C65" s="58" t="s">
        <v>52</v>
      </c>
      <c r="D65" s="60" t="s">
        <v>1515</v>
      </c>
      <c r="E65" s="58">
        <v>30</v>
      </c>
      <c r="F65" s="58">
        <v>244</v>
      </c>
      <c r="G65" s="58">
        <v>950</v>
      </c>
      <c r="H65" s="58">
        <v>1900</v>
      </c>
      <c r="I65" s="58">
        <v>170</v>
      </c>
    </row>
    <row r="66" spans="1:9" x14ac:dyDescent="0.25">
      <c r="A66" s="58" t="s">
        <v>2090</v>
      </c>
      <c r="B66" s="58" t="s">
        <v>1769</v>
      </c>
      <c r="C66" s="58" t="s">
        <v>53</v>
      </c>
      <c r="D66" s="60" t="s">
        <v>1520</v>
      </c>
      <c r="E66" s="58">
        <v>11</v>
      </c>
      <c r="F66" s="58">
        <v>81</v>
      </c>
      <c r="G66" s="58">
        <v>396</v>
      </c>
      <c r="H66" s="58">
        <v>414</v>
      </c>
      <c r="I66" s="58">
        <v>90</v>
      </c>
    </row>
    <row r="67" spans="1:9" x14ac:dyDescent="0.25">
      <c r="A67" s="58" t="s">
        <v>2090</v>
      </c>
      <c r="B67" s="58" t="s">
        <v>1770</v>
      </c>
      <c r="C67" s="58" t="s">
        <v>54</v>
      </c>
      <c r="D67" s="60" t="s">
        <v>1520</v>
      </c>
      <c r="E67" s="58">
        <v>15</v>
      </c>
      <c r="F67" s="58">
        <v>105</v>
      </c>
      <c r="G67" s="58">
        <v>500</v>
      </c>
      <c r="H67" s="58">
        <v>650</v>
      </c>
      <c r="I67" s="58">
        <v>150</v>
      </c>
    </row>
    <row r="68" spans="1:9" x14ac:dyDescent="0.25">
      <c r="A68" s="58" t="s">
        <v>2090</v>
      </c>
      <c r="B68" s="58" t="s">
        <v>1771</v>
      </c>
      <c r="C68" s="58" t="s">
        <v>55</v>
      </c>
      <c r="D68" s="60" t="s">
        <v>1504</v>
      </c>
      <c r="E68" s="58">
        <v>20</v>
      </c>
      <c r="F68" s="58">
        <v>139</v>
      </c>
      <c r="G68" s="58">
        <v>500</v>
      </c>
      <c r="H68" s="58">
        <v>850</v>
      </c>
      <c r="I68" s="58">
        <v>200</v>
      </c>
    </row>
    <row r="69" spans="1:9" x14ac:dyDescent="0.25">
      <c r="A69" s="58" t="s">
        <v>2090</v>
      </c>
      <c r="B69" s="58" t="s">
        <v>1772</v>
      </c>
      <c r="C69" s="58" t="s">
        <v>56</v>
      </c>
      <c r="D69" s="60" t="s">
        <v>1504</v>
      </c>
      <c r="E69" s="58">
        <v>20</v>
      </c>
      <c r="F69" s="58">
        <v>139</v>
      </c>
      <c r="G69" s="58">
        <v>500</v>
      </c>
      <c r="H69" s="58">
        <v>850</v>
      </c>
      <c r="I69" s="58">
        <v>240</v>
      </c>
    </row>
    <row r="70" spans="1:9" x14ac:dyDescent="0.25">
      <c r="A70" s="58" t="s">
        <v>2090</v>
      </c>
      <c r="B70" s="58" t="s">
        <v>1773</v>
      </c>
      <c r="C70" s="58" t="s">
        <v>57</v>
      </c>
      <c r="D70" s="60" t="s">
        <v>1652</v>
      </c>
      <c r="E70" s="58">
        <v>25</v>
      </c>
      <c r="F70" s="58">
        <v>139</v>
      </c>
      <c r="G70" s="58">
        <v>500</v>
      </c>
      <c r="H70" s="58">
        <v>850</v>
      </c>
      <c r="I70" s="58">
        <v>240</v>
      </c>
    </row>
    <row r="71" spans="1:9" x14ac:dyDescent="0.25">
      <c r="A71" s="58" t="s">
        <v>2090</v>
      </c>
      <c r="B71" s="58" t="s">
        <v>1774</v>
      </c>
      <c r="C71" s="58" t="s">
        <v>58</v>
      </c>
      <c r="D71" s="60" t="s">
        <v>1526</v>
      </c>
      <c r="E71" s="58">
        <v>30</v>
      </c>
      <c r="F71" s="58">
        <v>183</v>
      </c>
      <c r="G71" s="58">
        <v>700</v>
      </c>
      <c r="H71" s="58">
        <v>1000</v>
      </c>
      <c r="I71" s="58">
        <v>300</v>
      </c>
    </row>
    <row r="72" spans="1:9" x14ac:dyDescent="0.25">
      <c r="A72" s="58" t="s">
        <v>2090</v>
      </c>
      <c r="B72" s="58" t="s">
        <v>1775</v>
      </c>
      <c r="C72" s="58" t="s">
        <v>59</v>
      </c>
      <c r="D72" s="60" t="s">
        <v>1655</v>
      </c>
      <c r="E72" s="58">
        <v>50</v>
      </c>
      <c r="F72" s="58">
        <v>183</v>
      </c>
      <c r="G72" s="58">
        <v>700</v>
      </c>
      <c r="H72" s="58">
        <v>1000</v>
      </c>
      <c r="I72" s="58">
        <v>300</v>
      </c>
    </row>
    <row r="73" spans="1:9" x14ac:dyDescent="0.25">
      <c r="A73" s="58" t="s">
        <v>2090</v>
      </c>
      <c r="B73" s="58" t="s">
        <v>1776</v>
      </c>
      <c r="C73" s="58" t="s">
        <v>60</v>
      </c>
      <c r="D73" s="60" t="s">
        <v>1657</v>
      </c>
      <c r="E73" s="58">
        <v>50</v>
      </c>
      <c r="F73" s="58">
        <v>183</v>
      </c>
      <c r="G73" s="58">
        <v>700</v>
      </c>
      <c r="H73" s="58">
        <v>1000</v>
      </c>
      <c r="I73" s="58">
        <v>300</v>
      </c>
    </row>
    <row r="74" spans="1:9" x14ac:dyDescent="0.25">
      <c r="A74" s="58" t="s">
        <v>2090</v>
      </c>
      <c r="B74" s="58" t="s">
        <v>1777</v>
      </c>
      <c r="C74" s="58" t="s">
        <v>61</v>
      </c>
      <c r="D74" s="60" t="s">
        <v>1659</v>
      </c>
      <c r="E74" s="58">
        <v>50</v>
      </c>
      <c r="F74" s="58">
        <v>196</v>
      </c>
      <c r="G74" s="58">
        <v>900</v>
      </c>
      <c r="H74" s="58">
        <v>1600</v>
      </c>
      <c r="I74" s="58">
        <v>360</v>
      </c>
    </row>
    <row r="75" spans="1:9" x14ac:dyDescent="0.25">
      <c r="A75" s="58" t="s">
        <v>2090</v>
      </c>
      <c r="B75" s="58" t="s">
        <v>1778</v>
      </c>
      <c r="C75" s="58" t="s">
        <v>62</v>
      </c>
      <c r="D75" s="60" t="s">
        <v>1515</v>
      </c>
      <c r="E75" s="58">
        <v>60</v>
      </c>
      <c r="F75" s="58">
        <v>244</v>
      </c>
      <c r="G75" s="58">
        <v>1000</v>
      </c>
      <c r="H75" s="58">
        <v>1900</v>
      </c>
      <c r="I75" s="58">
        <v>360</v>
      </c>
    </row>
    <row r="76" spans="1:9" x14ac:dyDescent="0.25">
      <c r="A76" s="58" t="s">
        <v>2090</v>
      </c>
      <c r="B76" s="58" t="s">
        <v>1779</v>
      </c>
      <c r="C76" s="58" t="s">
        <v>63</v>
      </c>
      <c r="D76" s="60" t="s">
        <v>1662</v>
      </c>
      <c r="E76" s="58">
        <v>65</v>
      </c>
      <c r="F76" s="58">
        <v>244</v>
      </c>
      <c r="G76" s="58">
        <v>1000</v>
      </c>
      <c r="H76" s="58">
        <v>1900</v>
      </c>
      <c r="I76" s="58">
        <v>360</v>
      </c>
    </row>
    <row r="77" spans="1:9" x14ac:dyDescent="0.25">
      <c r="A77" s="58" t="s">
        <v>2090</v>
      </c>
      <c r="B77" s="58" t="s">
        <v>1780</v>
      </c>
      <c r="C77" s="58" t="s">
        <v>64</v>
      </c>
      <c r="D77" s="60" t="s">
        <v>1664</v>
      </c>
      <c r="E77" s="58">
        <v>65</v>
      </c>
      <c r="F77" s="58">
        <v>244</v>
      </c>
      <c r="G77" s="58">
        <v>1000</v>
      </c>
      <c r="H77" s="58">
        <v>1900</v>
      </c>
      <c r="I77" s="58">
        <v>360</v>
      </c>
    </row>
    <row r="78" spans="1:9" x14ac:dyDescent="0.25">
      <c r="A78" s="58" t="s">
        <v>2090</v>
      </c>
      <c r="B78" s="58" t="s">
        <v>1781</v>
      </c>
      <c r="C78" s="58" t="s">
        <v>65</v>
      </c>
      <c r="D78" s="60" t="s">
        <v>1666</v>
      </c>
      <c r="E78" s="58">
        <v>65</v>
      </c>
      <c r="F78" s="58">
        <v>244</v>
      </c>
      <c r="G78" s="58">
        <v>1000</v>
      </c>
      <c r="H78" s="58">
        <v>1900</v>
      </c>
      <c r="I78" s="58">
        <v>360</v>
      </c>
    </row>
    <row r="79" spans="1:9" x14ac:dyDescent="0.25">
      <c r="A79" s="58" t="s">
        <v>2090</v>
      </c>
      <c r="B79" s="58" t="s">
        <v>1782</v>
      </c>
      <c r="C79" s="58" t="s">
        <v>66</v>
      </c>
      <c r="D79" s="60" t="s">
        <v>1668</v>
      </c>
      <c r="E79" s="58">
        <v>65</v>
      </c>
      <c r="F79" s="58">
        <v>244</v>
      </c>
      <c r="G79" s="58">
        <v>1000</v>
      </c>
      <c r="H79" s="58">
        <v>1900</v>
      </c>
      <c r="I79" s="58">
        <v>360</v>
      </c>
    </row>
    <row r="80" spans="1:9" x14ac:dyDescent="0.25">
      <c r="A80" s="58" t="s">
        <v>2090</v>
      </c>
      <c r="B80" s="58" t="s">
        <v>1783</v>
      </c>
      <c r="C80" s="58" t="s">
        <v>67</v>
      </c>
      <c r="D80" s="60" t="s">
        <v>1670</v>
      </c>
      <c r="E80" s="58">
        <v>75</v>
      </c>
      <c r="F80" s="58">
        <v>243</v>
      </c>
      <c r="G80" s="58">
        <v>1050</v>
      </c>
      <c r="H80" s="58">
        <v>2250</v>
      </c>
      <c r="I80" s="58">
        <v>360</v>
      </c>
    </row>
    <row r="81" spans="1:9" x14ac:dyDescent="0.25">
      <c r="A81" s="58" t="s">
        <v>2090</v>
      </c>
      <c r="B81" s="58" t="s">
        <v>1784</v>
      </c>
      <c r="C81" s="58" t="s">
        <v>68</v>
      </c>
      <c r="D81" s="60" t="s">
        <v>1670</v>
      </c>
      <c r="E81" s="58">
        <v>75</v>
      </c>
      <c r="F81" s="58">
        <v>243</v>
      </c>
      <c r="G81" s="58">
        <v>1050</v>
      </c>
      <c r="H81" s="58">
        <v>2250</v>
      </c>
      <c r="I81" s="58">
        <v>360</v>
      </c>
    </row>
    <row r="82" spans="1:9" x14ac:dyDescent="0.25">
      <c r="A82" s="58" t="s">
        <v>2090</v>
      </c>
      <c r="B82" s="58" t="s">
        <v>1785</v>
      </c>
      <c r="C82" s="58" t="s">
        <v>69</v>
      </c>
      <c r="D82" s="60" t="s">
        <v>1670</v>
      </c>
      <c r="E82" s="58">
        <v>75</v>
      </c>
      <c r="F82" s="58">
        <v>243</v>
      </c>
      <c r="G82" s="58">
        <v>1050</v>
      </c>
      <c r="H82" s="58">
        <v>2250</v>
      </c>
      <c r="I82" s="58">
        <v>360</v>
      </c>
    </row>
    <row r="83" spans="1:9" x14ac:dyDescent="0.25">
      <c r="A83" s="58" t="s">
        <v>2090</v>
      </c>
      <c r="B83" s="58" t="s">
        <v>1786</v>
      </c>
      <c r="C83" s="58" t="s">
        <v>79</v>
      </c>
      <c r="D83" s="60" t="s">
        <v>1520</v>
      </c>
      <c r="E83" s="58">
        <v>23</v>
      </c>
      <c r="F83" s="58">
        <v>72</v>
      </c>
      <c r="G83" s="58">
        <v>360</v>
      </c>
      <c r="H83" s="58">
        <v>428</v>
      </c>
      <c r="I83" s="58">
        <v>180</v>
      </c>
    </row>
    <row r="84" spans="1:9" x14ac:dyDescent="0.25">
      <c r="A84" s="58" t="s">
        <v>2090</v>
      </c>
      <c r="B84" s="58" t="s">
        <v>1787</v>
      </c>
      <c r="C84" s="58" t="s">
        <v>77</v>
      </c>
      <c r="D84" s="60" t="s">
        <v>1675</v>
      </c>
      <c r="E84" s="58">
        <v>30</v>
      </c>
      <c r="F84" s="58">
        <v>139</v>
      </c>
      <c r="G84" s="58">
        <v>600</v>
      </c>
      <c r="H84" s="58">
        <v>800</v>
      </c>
      <c r="I84" s="58">
        <v>300</v>
      </c>
    </row>
    <row r="85" spans="1:9" x14ac:dyDescent="0.25">
      <c r="A85" s="58" t="s">
        <v>2090</v>
      </c>
      <c r="B85" s="58" t="s">
        <v>1788</v>
      </c>
      <c r="C85" s="58" t="s">
        <v>74</v>
      </c>
      <c r="D85" s="60" t="s">
        <v>1677</v>
      </c>
      <c r="E85" s="58">
        <v>30</v>
      </c>
      <c r="F85" s="58">
        <v>139</v>
      </c>
      <c r="G85" s="58">
        <v>600</v>
      </c>
      <c r="H85" s="58">
        <v>800</v>
      </c>
      <c r="I85" s="58">
        <v>300</v>
      </c>
    </row>
    <row r="86" spans="1:9" x14ac:dyDescent="0.25">
      <c r="A86" s="58" t="s">
        <v>2090</v>
      </c>
      <c r="B86" s="58" t="s">
        <v>1789</v>
      </c>
      <c r="C86" s="58" t="s">
        <v>80</v>
      </c>
      <c r="D86" s="60" t="s">
        <v>1679</v>
      </c>
      <c r="E86" s="58">
        <v>40</v>
      </c>
      <c r="F86" s="58">
        <v>183</v>
      </c>
      <c r="G86" s="58">
        <v>700</v>
      </c>
      <c r="H86" s="58">
        <v>1000</v>
      </c>
      <c r="I86" s="58">
        <v>300</v>
      </c>
    </row>
    <row r="87" spans="1:9" x14ac:dyDescent="0.25">
      <c r="A87" s="58" t="s">
        <v>2090</v>
      </c>
      <c r="B87" s="58" t="s">
        <v>1790</v>
      </c>
      <c r="C87" s="58" t="s">
        <v>81</v>
      </c>
      <c r="D87" s="60" t="s">
        <v>1679</v>
      </c>
      <c r="E87" s="58">
        <v>40</v>
      </c>
      <c r="F87" s="58">
        <v>183</v>
      </c>
      <c r="G87" s="58">
        <v>950</v>
      </c>
      <c r="H87" s="58">
        <v>1000</v>
      </c>
      <c r="I87" s="58">
        <v>300</v>
      </c>
    </row>
    <row r="88" spans="1:9" x14ac:dyDescent="0.25">
      <c r="A88" s="58" t="s">
        <v>2090</v>
      </c>
      <c r="B88" s="58" t="s">
        <v>1791</v>
      </c>
      <c r="C88" s="58" t="s">
        <v>82</v>
      </c>
      <c r="D88" s="60" t="s">
        <v>1679</v>
      </c>
      <c r="E88" s="58">
        <v>40</v>
      </c>
      <c r="F88" s="58">
        <v>183</v>
      </c>
      <c r="G88" s="58">
        <v>950</v>
      </c>
      <c r="H88" s="58">
        <v>1000</v>
      </c>
      <c r="I88" s="58">
        <v>300</v>
      </c>
    </row>
    <row r="89" spans="1:9" x14ac:dyDescent="0.25">
      <c r="A89" s="58" t="s">
        <v>2090</v>
      </c>
      <c r="B89" s="58" t="s">
        <v>1792</v>
      </c>
      <c r="C89" s="58" t="s">
        <v>83</v>
      </c>
      <c r="D89" s="60" t="s">
        <v>1683</v>
      </c>
      <c r="E89" s="58">
        <v>40</v>
      </c>
      <c r="F89" s="58">
        <v>183</v>
      </c>
      <c r="G89" s="58">
        <v>950</v>
      </c>
      <c r="H89" s="58">
        <v>1000</v>
      </c>
      <c r="I89" s="58">
        <v>300</v>
      </c>
    </row>
    <row r="90" spans="1:9" x14ac:dyDescent="0.25">
      <c r="A90" s="58" t="s">
        <v>2090</v>
      </c>
      <c r="B90" s="58" t="s">
        <v>1793</v>
      </c>
      <c r="C90" s="58" t="s">
        <v>84</v>
      </c>
      <c r="D90" s="60" t="s">
        <v>1683</v>
      </c>
      <c r="E90" s="58">
        <v>45</v>
      </c>
      <c r="F90" s="58">
        <v>183</v>
      </c>
      <c r="G90" s="58">
        <v>950</v>
      </c>
      <c r="H90" s="58">
        <v>1000</v>
      </c>
      <c r="I90" s="58">
        <v>300</v>
      </c>
    </row>
    <row r="91" spans="1:9" x14ac:dyDescent="0.25">
      <c r="A91" s="58" t="s">
        <v>2090</v>
      </c>
      <c r="B91" s="58" t="s">
        <v>1794</v>
      </c>
      <c r="C91" s="58" t="s">
        <v>75</v>
      </c>
      <c r="D91" s="60" t="s">
        <v>1686</v>
      </c>
      <c r="E91" s="58">
        <v>75</v>
      </c>
      <c r="F91" s="58">
        <v>196</v>
      </c>
      <c r="G91" s="58">
        <v>950</v>
      </c>
      <c r="H91" s="58">
        <v>1000</v>
      </c>
      <c r="I91" s="58">
        <v>500</v>
      </c>
    </row>
    <row r="92" spans="1:9" x14ac:dyDescent="0.25">
      <c r="A92" s="58" t="s">
        <v>2090</v>
      </c>
      <c r="B92" s="58" t="s">
        <v>1795</v>
      </c>
      <c r="C92" s="58" t="s">
        <v>85</v>
      </c>
      <c r="D92" s="60" t="s">
        <v>1688</v>
      </c>
      <c r="E92" s="58">
        <v>75</v>
      </c>
      <c r="F92" s="58">
        <v>196</v>
      </c>
      <c r="G92" s="58">
        <v>950</v>
      </c>
      <c r="H92" s="58">
        <v>1000</v>
      </c>
      <c r="I92" s="58">
        <v>500</v>
      </c>
    </row>
    <row r="93" spans="1:9" x14ac:dyDescent="0.25">
      <c r="A93" s="58" t="s">
        <v>2090</v>
      </c>
      <c r="B93" s="58" t="s">
        <v>1796</v>
      </c>
      <c r="C93" s="58" t="s">
        <v>76</v>
      </c>
      <c r="D93" s="60" t="s">
        <v>1690</v>
      </c>
      <c r="E93" s="58">
        <v>110</v>
      </c>
      <c r="F93" s="58">
        <v>444</v>
      </c>
      <c r="G93" s="58">
        <v>950</v>
      </c>
      <c r="H93" s="58">
        <v>1000</v>
      </c>
      <c r="I93" s="58">
        <v>500</v>
      </c>
    </row>
    <row r="94" spans="1:9" x14ac:dyDescent="0.25">
      <c r="A94" s="58" t="s">
        <v>2090</v>
      </c>
      <c r="B94" s="58" t="s">
        <v>1797</v>
      </c>
      <c r="C94" s="58" t="s">
        <v>78</v>
      </c>
      <c r="D94" s="60" t="s">
        <v>1692</v>
      </c>
      <c r="E94" s="58">
        <v>110</v>
      </c>
      <c r="F94" s="58">
        <v>566</v>
      </c>
      <c r="G94" s="58">
        <v>950</v>
      </c>
      <c r="H94" s="58">
        <v>1400</v>
      </c>
      <c r="I94" s="58">
        <v>600</v>
      </c>
    </row>
    <row r="95" spans="1:9" x14ac:dyDescent="0.25">
      <c r="A95" s="58" t="s">
        <v>2090</v>
      </c>
      <c r="B95" s="58" t="s">
        <v>1798</v>
      </c>
      <c r="C95" s="58" t="s">
        <v>86</v>
      </c>
      <c r="D95" s="60" t="s">
        <v>1692</v>
      </c>
      <c r="E95" s="58">
        <v>110</v>
      </c>
      <c r="F95" s="58">
        <v>566</v>
      </c>
      <c r="G95" s="58">
        <v>950</v>
      </c>
      <c r="H95" s="58">
        <v>1400</v>
      </c>
      <c r="I95" s="58">
        <v>600</v>
      </c>
    </row>
    <row r="96" spans="1:9" x14ac:dyDescent="0.25">
      <c r="A96" s="58" t="s">
        <v>2090</v>
      </c>
      <c r="B96" s="58" t="s">
        <v>1799</v>
      </c>
      <c r="C96" s="58" t="s">
        <v>87</v>
      </c>
      <c r="D96" s="60" t="s">
        <v>1692</v>
      </c>
      <c r="E96" s="58">
        <v>130</v>
      </c>
      <c r="F96" s="58">
        <v>566</v>
      </c>
      <c r="G96" s="58">
        <v>950</v>
      </c>
      <c r="H96" s="58">
        <v>1400</v>
      </c>
      <c r="I96" s="58">
        <v>600</v>
      </c>
    </row>
    <row r="97" spans="1:9" x14ac:dyDescent="0.25">
      <c r="A97" s="58" t="s">
        <v>2090</v>
      </c>
      <c r="B97" s="58" t="s">
        <v>1800</v>
      </c>
      <c r="C97" s="58" t="s">
        <v>252</v>
      </c>
      <c r="D97" s="60" t="s">
        <v>1692</v>
      </c>
      <c r="E97" s="58">
        <v>130</v>
      </c>
      <c r="F97" s="58">
        <v>566</v>
      </c>
      <c r="G97" s="58">
        <v>950</v>
      </c>
      <c r="H97" s="58">
        <v>1400</v>
      </c>
      <c r="I97" s="58">
        <v>600</v>
      </c>
    </row>
    <row r="98" spans="1:9" x14ac:dyDescent="0.25">
      <c r="A98" s="58" t="s">
        <v>2090</v>
      </c>
      <c r="B98" s="58" t="s">
        <v>1801</v>
      </c>
      <c r="C98" s="58" t="s">
        <v>1570</v>
      </c>
      <c r="D98" s="60" t="s">
        <v>86</v>
      </c>
      <c r="E98" s="58">
        <v>260</v>
      </c>
      <c r="F98" s="58">
        <v>771</v>
      </c>
      <c r="G98" s="58">
        <v>1300</v>
      </c>
      <c r="H98" s="58">
        <v>2700</v>
      </c>
      <c r="I98" s="58">
        <v>800</v>
      </c>
    </row>
    <row r="99" spans="1:9" x14ac:dyDescent="0.25">
      <c r="A99" s="58" t="s">
        <v>2090</v>
      </c>
      <c r="B99" s="58" t="s">
        <v>1802</v>
      </c>
      <c r="C99" s="58" t="s">
        <v>89</v>
      </c>
      <c r="D99" s="60" t="s">
        <v>86</v>
      </c>
      <c r="E99" s="58">
        <v>260</v>
      </c>
      <c r="F99" s="58">
        <v>771</v>
      </c>
      <c r="G99" s="58">
        <v>1300</v>
      </c>
      <c r="H99" s="58">
        <v>2700</v>
      </c>
      <c r="I99" s="58">
        <v>800</v>
      </c>
    </row>
    <row r="100" spans="1:9" x14ac:dyDescent="0.25">
      <c r="A100" s="58" t="s">
        <v>2090</v>
      </c>
      <c r="B100" s="58" t="s">
        <v>1803</v>
      </c>
      <c r="C100" s="58" t="s">
        <v>90</v>
      </c>
      <c r="D100" s="60" t="s">
        <v>86</v>
      </c>
      <c r="E100" s="58">
        <v>260</v>
      </c>
      <c r="F100" s="58">
        <v>771</v>
      </c>
      <c r="G100" s="58">
        <v>1300</v>
      </c>
      <c r="H100" s="58">
        <v>2700</v>
      </c>
      <c r="I100" s="58">
        <v>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19"/>
  <dimension ref="A1:C58"/>
  <sheetViews>
    <sheetView workbookViewId="0">
      <selection activeCell="B4" sqref="B4:B11"/>
    </sheetView>
  </sheetViews>
  <sheetFormatPr defaultRowHeight="15" x14ac:dyDescent="0.25"/>
  <sheetData>
    <row r="1" spans="1:3" x14ac:dyDescent="0.25">
      <c r="A1" t="s">
        <v>630</v>
      </c>
      <c r="B1" t="s">
        <v>1490</v>
      </c>
      <c r="C1" t="s">
        <v>633</v>
      </c>
    </row>
    <row r="2" spans="1:3" x14ac:dyDescent="0.25">
      <c r="A2" t="s">
        <v>632</v>
      </c>
      <c r="B2" t="s">
        <v>632</v>
      </c>
      <c r="C2" t="s">
        <v>13</v>
      </c>
    </row>
    <row r="3" spans="1:3" x14ac:dyDescent="0.25">
      <c r="A3" t="s">
        <v>1699</v>
      </c>
      <c r="B3" t="s">
        <v>37</v>
      </c>
      <c r="C3">
        <v>92</v>
      </c>
    </row>
    <row r="4" spans="1:3" x14ac:dyDescent="0.25">
      <c r="A4" t="s">
        <v>1700</v>
      </c>
      <c r="B4" t="s">
        <v>38</v>
      </c>
      <c r="C4">
        <v>92</v>
      </c>
    </row>
    <row r="5" spans="1:3" x14ac:dyDescent="0.25">
      <c r="A5" t="s">
        <v>1701</v>
      </c>
      <c r="B5" t="s">
        <v>39</v>
      </c>
      <c r="C5">
        <v>92</v>
      </c>
    </row>
    <row r="6" spans="1:3" x14ac:dyDescent="0.25">
      <c r="A6" t="s">
        <v>1702</v>
      </c>
      <c r="B6" t="s">
        <v>40</v>
      </c>
      <c r="C6">
        <v>92</v>
      </c>
    </row>
    <row r="7" spans="1:3" x14ac:dyDescent="0.25">
      <c r="A7" t="s">
        <v>1703</v>
      </c>
      <c r="B7" t="s">
        <v>43</v>
      </c>
      <c r="C7">
        <v>164</v>
      </c>
    </row>
    <row r="8" spans="1:3" x14ac:dyDescent="0.25">
      <c r="A8" t="s">
        <v>1704</v>
      </c>
      <c r="B8" t="s">
        <v>44</v>
      </c>
      <c r="C8">
        <v>164</v>
      </c>
    </row>
    <row r="9" spans="1:3" x14ac:dyDescent="0.25">
      <c r="A9" t="s">
        <v>1705</v>
      </c>
      <c r="B9" t="s">
        <v>45</v>
      </c>
      <c r="C9">
        <v>164</v>
      </c>
    </row>
    <row r="10" spans="1:3" x14ac:dyDescent="0.25">
      <c r="A10" t="s">
        <v>1706</v>
      </c>
      <c r="B10" t="s">
        <v>46</v>
      </c>
      <c r="C10">
        <v>164</v>
      </c>
    </row>
    <row r="11" spans="1:3" x14ac:dyDescent="0.25">
      <c r="A11" t="s">
        <v>1707</v>
      </c>
      <c r="B11" t="s">
        <v>47</v>
      </c>
      <c r="C11">
        <v>164</v>
      </c>
    </row>
    <row r="12" spans="1:3" x14ac:dyDescent="0.25">
      <c r="A12" t="s">
        <v>1708</v>
      </c>
      <c r="B12" t="s">
        <v>48</v>
      </c>
      <c r="C12">
        <v>164</v>
      </c>
    </row>
    <row r="13" spans="1:3" x14ac:dyDescent="0.25">
      <c r="A13" t="s">
        <v>1709</v>
      </c>
      <c r="B13" t="s">
        <v>49</v>
      </c>
      <c r="C13">
        <v>164</v>
      </c>
    </row>
    <row r="14" spans="1:3" x14ac:dyDescent="0.25">
      <c r="A14" t="s">
        <v>1710</v>
      </c>
      <c r="B14" t="s">
        <v>50</v>
      </c>
      <c r="C14">
        <v>164</v>
      </c>
    </row>
    <row r="15" spans="1:3" x14ac:dyDescent="0.25">
      <c r="A15" t="s">
        <v>1711</v>
      </c>
      <c r="B15" t="s">
        <v>51</v>
      </c>
      <c r="C15">
        <v>164</v>
      </c>
    </row>
    <row r="16" spans="1:3" x14ac:dyDescent="0.25">
      <c r="A16" t="s">
        <v>1712</v>
      </c>
      <c r="B16" t="s">
        <v>52</v>
      </c>
      <c r="C16">
        <v>164</v>
      </c>
    </row>
    <row r="17" spans="1:3" x14ac:dyDescent="0.25">
      <c r="A17" t="s">
        <v>1713</v>
      </c>
      <c r="B17" t="s">
        <v>53</v>
      </c>
      <c r="C17">
        <v>135</v>
      </c>
    </row>
    <row r="18" spans="1:3" x14ac:dyDescent="0.25">
      <c r="A18" t="s">
        <v>1714</v>
      </c>
      <c r="B18" t="s">
        <v>54</v>
      </c>
      <c r="C18">
        <v>92</v>
      </c>
    </row>
    <row r="19" spans="1:3" x14ac:dyDescent="0.25">
      <c r="A19" t="s">
        <v>1715</v>
      </c>
      <c r="B19" t="s">
        <v>55</v>
      </c>
      <c r="C19">
        <v>164</v>
      </c>
    </row>
    <row r="20" spans="1:3" x14ac:dyDescent="0.25">
      <c r="A20" t="s">
        <v>1716</v>
      </c>
      <c r="B20" t="s">
        <v>56</v>
      </c>
      <c r="C20">
        <v>164</v>
      </c>
    </row>
    <row r="21" spans="1:3" x14ac:dyDescent="0.25">
      <c r="A21" t="s">
        <v>1717</v>
      </c>
      <c r="B21" t="s">
        <v>57</v>
      </c>
      <c r="C21">
        <v>164</v>
      </c>
    </row>
    <row r="22" spans="1:3" x14ac:dyDescent="0.25">
      <c r="A22" t="s">
        <v>1718</v>
      </c>
      <c r="B22" t="s">
        <v>58</v>
      </c>
      <c r="C22">
        <v>164</v>
      </c>
    </row>
    <row r="23" spans="1:3" x14ac:dyDescent="0.25">
      <c r="A23" t="s">
        <v>1719</v>
      </c>
      <c r="B23" t="s">
        <v>59</v>
      </c>
      <c r="C23">
        <v>164</v>
      </c>
    </row>
    <row r="24" spans="1:3" x14ac:dyDescent="0.25">
      <c r="A24" t="s">
        <v>1720</v>
      </c>
      <c r="B24" t="s">
        <v>60</v>
      </c>
      <c r="C24">
        <v>164</v>
      </c>
    </row>
    <row r="25" spans="1:3" x14ac:dyDescent="0.25">
      <c r="A25" t="s">
        <v>1721</v>
      </c>
      <c r="B25" t="s">
        <v>61</v>
      </c>
      <c r="C25">
        <v>164</v>
      </c>
    </row>
    <row r="26" spans="1:3" x14ac:dyDescent="0.25">
      <c r="A26" t="s">
        <v>1722</v>
      </c>
      <c r="B26" t="s">
        <v>62</v>
      </c>
      <c r="C26">
        <v>164</v>
      </c>
    </row>
    <row r="27" spans="1:3" x14ac:dyDescent="0.25">
      <c r="A27" t="s">
        <v>1723</v>
      </c>
      <c r="B27" t="s">
        <v>63</v>
      </c>
      <c r="C27">
        <v>164</v>
      </c>
    </row>
    <row r="28" spans="1:3" x14ac:dyDescent="0.25">
      <c r="A28" t="s">
        <v>1724</v>
      </c>
      <c r="B28" t="s">
        <v>64</v>
      </c>
      <c r="C28">
        <v>164</v>
      </c>
    </row>
    <row r="29" spans="1:3" x14ac:dyDescent="0.25">
      <c r="A29" t="s">
        <v>1725</v>
      </c>
      <c r="B29" t="s">
        <v>65</v>
      </c>
      <c r="C29">
        <v>164</v>
      </c>
    </row>
    <row r="30" spans="1:3" x14ac:dyDescent="0.25">
      <c r="A30" t="s">
        <v>1726</v>
      </c>
      <c r="B30" t="s">
        <v>66</v>
      </c>
      <c r="C30">
        <v>164</v>
      </c>
    </row>
    <row r="31" spans="1:3" x14ac:dyDescent="0.25">
      <c r="A31" t="s">
        <v>1727</v>
      </c>
      <c r="B31" t="s">
        <v>67</v>
      </c>
      <c r="C31">
        <v>164</v>
      </c>
    </row>
    <row r="32" spans="1:3" x14ac:dyDescent="0.25">
      <c r="A32" t="s">
        <v>1728</v>
      </c>
      <c r="B32" t="s">
        <v>68</v>
      </c>
      <c r="C32">
        <v>164</v>
      </c>
    </row>
    <row r="33" spans="1:3" x14ac:dyDescent="0.25">
      <c r="A33" t="s">
        <v>1729</v>
      </c>
      <c r="B33" t="s">
        <v>69</v>
      </c>
      <c r="C33">
        <v>164</v>
      </c>
    </row>
    <row r="34" spans="1:3" x14ac:dyDescent="0.25">
      <c r="A34" t="s">
        <v>1730</v>
      </c>
      <c r="B34" t="s">
        <v>79</v>
      </c>
      <c r="C34">
        <v>92</v>
      </c>
    </row>
    <row r="35" spans="1:3" x14ac:dyDescent="0.25">
      <c r="A35" t="s">
        <v>1731</v>
      </c>
      <c r="B35" t="s">
        <v>77</v>
      </c>
      <c r="C35">
        <v>92</v>
      </c>
    </row>
    <row r="36" spans="1:3" x14ac:dyDescent="0.25">
      <c r="A36" t="s">
        <v>1732</v>
      </c>
      <c r="B36" t="s">
        <v>74</v>
      </c>
      <c r="C36">
        <v>92</v>
      </c>
    </row>
    <row r="37" spans="1:3" x14ac:dyDescent="0.25">
      <c r="A37" t="s">
        <v>1733</v>
      </c>
      <c r="B37" t="s">
        <v>80</v>
      </c>
      <c r="C37">
        <v>92</v>
      </c>
    </row>
    <row r="38" spans="1:3" x14ac:dyDescent="0.25">
      <c r="A38" t="s">
        <v>1734</v>
      </c>
      <c r="B38" t="s">
        <v>81</v>
      </c>
      <c r="C38">
        <v>92</v>
      </c>
    </row>
    <row r="39" spans="1:3" x14ac:dyDescent="0.25">
      <c r="A39" t="s">
        <v>1735</v>
      </c>
      <c r="B39" t="s">
        <v>82</v>
      </c>
      <c r="C39">
        <v>92</v>
      </c>
    </row>
    <row r="40" spans="1:3" x14ac:dyDescent="0.25">
      <c r="A40" t="s">
        <v>1736</v>
      </c>
      <c r="B40" t="s">
        <v>83</v>
      </c>
      <c r="C40">
        <v>92</v>
      </c>
    </row>
    <row r="41" spans="1:3" x14ac:dyDescent="0.25">
      <c r="A41" t="s">
        <v>1737</v>
      </c>
      <c r="B41" t="s">
        <v>84</v>
      </c>
      <c r="C41">
        <v>92</v>
      </c>
    </row>
    <row r="42" spans="1:3" x14ac:dyDescent="0.25">
      <c r="A42" t="s">
        <v>1738</v>
      </c>
      <c r="B42" t="s">
        <v>75</v>
      </c>
      <c r="C42">
        <v>164</v>
      </c>
    </row>
    <row r="43" spans="1:3" x14ac:dyDescent="0.25">
      <c r="A43" t="s">
        <v>1739</v>
      </c>
      <c r="B43" t="s">
        <v>85</v>
      </c>
      <c r="C43">
        <v>164</v>
      </c>
    </row>
    <row r="44" spans="1:3" x14ac:dyDescent="0.25">
      <c r="A44" t="s">
        <v>1740</v>
      </c>
      <c r="B44" t="s">
        <v>76</v>
      </c>
      <c r="C44">
        <v>164</v>
      </c>
    </row>
    <row r="45" spans="1:3" x14ac:dyDescent="0.25">
      <c r="A45" t="s">
        <v>1741</v>
      </c>
      <c r="B45" t="s">
        <v>78</v>
      </c>
      <c r="C45">
        <v>164</v>
      </c>
    </row>
    <row r="46" spans="1:3" x14ac:dyDescent="0.25">
      <c r="A46" t="s">
        <v>1742</v>
      </c>
      <c r="B46" t="s">
        <v>86</v>
      </c>
      <c r="C46">
        <v>164</v>
      </c>
    </row>
    <row r="47" spans="1:3" x14ac:dyDescent="0.25">
      <c r="A47" t="s">
        <v>1743</v>
      </c>
      <c r="B47" t="s">
        <v>87</v>
      </c>
      <c r="C47">
        <v>164</v>
      </c>
    </row>
    <row r="48" spans="1:3" x14ac:dyDescent="0.25">
      <c r="A48" t="s">
        <v>1744</v>
      </c>
      <c r="B48" t="s">
        <v>252</v>
      </c>
      <c r="C48">
        <v>164</v>
      </c>
    </row>
    <row r="49" spans="1:3" x14ac:dyDescent="0.25">
      <c r="A49" t="s">
        <v>1745</v>
      </c>
      <c r="B49" t="s">
        <v>88</v>
      </c>
      <c r="C49">
        <v>255</v>
      </c>
    </row>
    <row r="50" spans="1:3" x14ac:dyDescent="0.25">
      <c r="A50" t="s">
        <v>1746</v>
      </c>
      <c r="B50" t="s">
        <v>89</v>
      </c>
      <c r="C50">
        <v>255</v>
      </c>
    </row>
    <row r="51" spans="1:3" x14ac:dyDescent="0.25">
      <c r="A51" t="s">
        <v>1747</v>
      </c>
      <c r="B51" t="s">
        <v>90</v>
      </c>
      <c r="C51">
        <v>255</v>
      </c>
    </row>
    <row r="52" spans="1:3" x14ac:dyDescent="0.25">
      <c r="A52" t="s">
        <v>1748</v>
      </c>
      <c r="B52" s="1" t="s">
        <v>595</v>
      </c>
      <c r="C52">
        <v>32</v>
      </c>
    </row>
    <row r="53" spans="1:3" x14ac:dyDescent="0.25">
      <c r="A53" t="s">
        <v>1749</v>
      </c>
      <c r="B53" s="1" t="s">
        <v>596</v>
      </c>
      <c r="C53">
        <v>59</v>
      </c>
    </row>
    <row r="54" spans="1:3" x14ac:dyDescent="0.25">
      <c r="A54" t="s">
        <v>1750</v>
      </c>
      <c r="B54" s="1" t="s">
        <v>597</v>
      </c>
      <c r="C54">
        <v>82</v>
      </c>
    </row>
    <row r="55" spans="1:3" x14ac:dyDescent="0.25">
      <c r="A55" t="s">
        <v>1751</v>
      </c>
      <c r="B55" s="1" t="s">
        <v>598</v>
      </c>
      <c r="C55">
        <v>117</v>
      </c>
    </row>
    <row r="56" spans="1:3" x14ac:dyDescent="0.25">
      <c r="A56" t="s">
        <v>1752</v>
      </c>
      <c r="B56" s="1" t="s">
        <v>599</v>
      </c>
      <c r="C56">
        <v>150</v>
      </c>
    </row>
    <row r="57" spans="1:3" x14ac:dyDescent="0.25">
      <c r="A57" t="s">
        <v>1753</v>
      </c>
      <c r="B57" s="1" t="s">
        <v>600</v>
      </c>
      <c r="C57">
        <v>160</v>
      </c>
    </row>
    <row r="58" spans="1:3" x14ac:dyDescent="0.25">
      <c r="A58" t="s">
        <v>1754</v>
      </c>
      <c r="B58" s="1" t="s">
        <v>601</v>
      </c>
      <c r="C58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0"/>
  <dimension ref="A1:Q70"/>
  <sheetViews>
    <sheetView workbookViewId="0">
      <pane xSplit="1" ySplit="2" topLeftCell="B3" activePane="bottomRight" state="frozen"/>
      <selection activeCell="B4" sqref="B4:B11"/>
      <selection pane="topRight" activeCell="B4" sqref="B4:B11"/>
      <selection pane="bottomLeft" activeCell="B4" sqref="B4:B11"/>
      <selection pane="bottomRight" activeCell="G2" sqref="G2:H2"/>
    </sheetView>
  </sheetViews>
  <sheetFormatPr defaultRowHeight="15" x14ac:dyDescent="0.25"/>
  <sheetData>
    <row r="1" spans="1:17" ht="315" x14ac:dyDescent="0.25">
      <c r="A1" s="58"/>
      <c r="B1" s="64" t="s">
        <v>1876</v>
      </c>
      <c r="C1" s="58" t="s">
        <v>680</v>
      </c>
      <c r="D1" s="64" t="s">
        <v>1877</v>
      </c>
      <c r="E1" s="58" t="s">
        <v>632</v>
      </c>
      <c r="F1" s="65" t="s">
        <v>1878</v>
      </c>
      <c r="G1" s="66" t="s">
        <v>1879</v>
      </c>
      <c r="H1" s="59" t="s">
        <v>632</v>
      </c>
      <c r="I1" s="67" t="s">
        <v>1880</v>
      </c>
      <c r="J1" s="61" t="s">
        <v>632</v>
      </c>
    </row>
    <row r="2" spans="1:17" x14ac:dyDescent="0.25">
      <c r="A2" s="58"/>
      <c r="B2" s="58" t="s">
        <v>632</v>
      </c>
      <c r="C2" s="58" t="s">
        <v>632</v>
      </c>
      <c r="D2" s="58" t="s">
        <v>1147</v>
      </c>
      <c r="E2" s="58" t="s">
        <v>636</v>
      </c>
      <c r="F2" s="60" t="s">
        <v>14</v>
      </c>
      <c r="G2" s="59" t="s">
        <v>14</v>
      </c>
      <c r="H2" s="59" t="s">
        <v>612</v>
      </c>
      <c r="I2" s="61" t="s">
        <v>14</v>
      </c>
      <c r="J2" s="61" t="s">
        <v>612</v>
      </c>
    </row>
    <row r="3" spans="1:17" x14ac:dyDescent="0.25">
      <c r="A3" s="58" t="s">
        <v>2091</v>
      </c>
      <c r="B3" s="58" t="s">
        <v>1881</v>
      </c>
      <c r="C3" s="58" t="s">
        <v>37</v>
      </c>
      <c r="D3" s="58">
        <v>112</v>
      </c>
      <c r="E3" s="58">
        <v>100</v>
      </c>
      <c r="F3" s="60">
        <v>4</v>
      </c>
      <c r="G3" s="59">
        <v>20</v>
      </c>
      <c r="H3" s="59">
        <v>1</v>
      </c>
      <c r="I3" s="61">
        <v>127</v>
      </c>
      <c r="J3" s="61">
        <v>5</v>
      </c>
      <c r="L3">
        <v>1</v>
      </c>
      <c r="M3">
        <v>5</v>
      </c>
      <c r="N3" t="s">
        <v>629</v>
      </c>
    </row>
    <row r="4" spans="1:17" x14ac:dyDescent="0.25">
      <c r="A4" s="58" t="s">
        <v>2091</v>
      </c>
      <c r="B4" s="58" t="s">
        <v>1882</v>
      </c>
      <c r="C4" s="58" t="s">
        <v>38</v>
      </c>
      <c r="D4" s="58">
        <v>130</v>
      </c>
      <c r="E4" s="58">
        <v>122</v>
      </c>
      <c r="F4" s="60">
        <v>5</v>
      </c>
      <c r="G4" s="59">
        <v>24</v>
      </c>
      <c r="H4" s="59">
        <v>1</v>
      </c>
      <c r="I4" s="61">
        <v>150</v>
      </c>
      <c r="J4" s="61">
        <v>6</v>
      </c>
      <c r="L4">
        <v>2</v>
      </c>
      <c r="M4">
        <v>6</v>
      </c>
      <c r="N4">
        <v>7</v>
      </c>
      <c r="Q4" t="str">
        <f>IF(P7&gt;3,"-",VLOOKUP(P7,'R1,2'!L3:N5,2))</f>
        <v>-</v>
      </c>
    </row>
    <row r="5" spans="1:17" x14ac:dyDescent="0.25">
      <c r="A5" s="58" t="s">
        <v>2091</v>
      </c>
      <c r="B5" s="58" t="s">
        <v>1883</v>
      </c>
      <c r="C5" s="58" t="s">
        <v>39</v>
      </c>
      <c r="D5" s="58">
        <v>102</v>
      </c>
      <c r="E5" s="58">
        <v>97</v>
      </c>
      <c r="F5" s="60">
        <v>4</v>
      </c>
      <c r="G5" s="59">
        <v>11</v>
      </c>
      <c r="H5" s="59">
        <v>1</v>
      </c>
      <c r="I5" s="61">
        <v>163</v>
      </c>
      <c r="J5" s="61">
        <v>11</v>
      </c>
      <c r="L5">
        <v>3</v>
      </c>
      <c r="M5">
        <v>8</v>
      </c>
      <c r="N5">
        <v>9</v>
      </c>
    </row>
    <row r="6" spans="1:17" x14ac:dyDescent="0.25">
      <c r="A6" s="58" t="s">
        <v>2091</v>
      </c>
      <c r="B6" s="58" t="s">
        <v>1884</v>
      </c>
      <c r="C6" s="58" t="s">
        <v>40</v>
      </c>
      <c r="D6" s="58">
        <v>123</v>
      </c>
      <c r="E6" s="58">
        <v>117</v>
      </c>
      <c r="F6" s="60">
        <v>4</v>
      </c>
      <c r="G6" s="59">
        <v>16</v>
      </c>
      <c r="H6" s="59">
        <v>2</v>
      </c>
      <c r="I6" s="61">
        <v>166</v>
      </c>
      <c r="J6" s="61">
        <v>11</v>
      </c>
    </row>
    <row r="7" spans="1:17" x14ac:dyDescent="0.25">
      <c r="A7" s="58" t="s">
        <v>2091</v>
      </c>
      <c r="B7" s="58" t="s">
        <v>1885</v>
      </c>
      <c r="C7" s="58" t="s">
        <v>41</v>
      </c>
      <c r="D7" s="58">
        <v>152</v>
      </c>
      <c r="E7" s="58">
        <v>158</v>
      </c>
      <c r="F7" s="60">
        <v>4</v>
      </c>
      <c r="G7" s="59">
        <v>15</v>
      </c>
      <c r="H7" s="59">
        <v>2</v>
      </c>
      <c r="I7" s="61">
        <v>181</v>
      </c>
      <c r="J7" s="61">
        <v>12</v>
      </c>
      <c r="P7">
        <v>6</v>
      </c>
    </row>
    <row r="8" spans="1:17" x14ac:dyDescent="0.25">
      <c r="A8" s="58" t="s">
        <v>2091</v>
      </c>
      <c r="B8" s="58" t="s">
        <v>1886</v>
      </c>
      <c r="C8" s="58" t="s">
        <v>42</v>
      </c>
      <c r="D8" s="58">
        <v>183</v>
      </c>
      <c r="E8" s="58">
        <v>188</v>
      </c>
      <c r="F8" s="60">
        <v>5</v>
      </c>
      <c r="G8" s="59">
        <v>21</v>
      </c>
      <c r="H8" s="59">
        <v>2</v>
      </c>
      <c r="I8" s="61">
        <v>190</v>
      </c>
      <c r="J8" s="61">
        <v>12</v>
      </c>
    </row>
    <row r="9" spans="1:17" x14ac:dyDescent="0.25">
      <c r="A9" s="58" t="s">
        <v>2091</v>
      </c>
      <c r="B9" s="58" t="s">
        <v>1887</v>
      </c>
      <c r="C9" s="58" t="s">
        <v>43</v>
      </c>
      <c r="D9" s="58">
        <v>221</v>
      </c>
      <c r="E9" s="58">
        <v>230</v>
      </c>
      <c r="F9" s="60">
        <v>5</v>
      </c>
      <c r="G9" s="59">
        <v>20</v>
      </c>
      <c r="H9" s="59">
        <v>3</v>
      </c>
      <c r="I9" s="61">
        <v>201</v>
      </c>
      <c r="J9" s="61">
        <v>12</v>
      </c>
    </row>
    <row r="10" spans="1:17" x14ac:dyDescent="0.25">
      <c r="A10" s="58" t="s">
        <v>2091</v>
      </c>
      <c r="B10" s="58" t="s">
        <v>1888</v>
      </c>
      <c r="C10" s="58" t="s">
        <v>44</v>
      </c>
      <c r="D10" s="58">
        <v>251</v>
      </c>
      <c r="E10" s="58">
        <v>270</v>
      </c>
      <c r="F10" s="60">
        <v>5</v>
      </c>
      <c r="G10" s="59">
        <v>24</v>
      </c>
      <c r="H10" s="59">
        <v>4</v>
      </c>
      <c r="I10" s="61">
        <v>206</v>
      </c>
      <c r="J10" s="61">
        <v>13</v>
      </c>
    </row>
    <row r="11" spans="1:17" x14ac:dyDescent="0.25">
      <c r="A11" s="58" t="s">
        <v>2091</v>
      </c>
      <c r="B11" s="58" t="s">
        <v>1889</v>
      </c>
      <c r="C11" s="58" t="s">
        <v>45</v>
      </c>
      <c r="D11" s="58">
        <v>333</v>
      </c>
      <c r="E11" s="58">
        <v>335</v>
      </c>
      <c r="F11" s="60">
        <v>5</v>
      </c>
      <c r="G11" s="59">
        <v>22</v>
      </c>
      <c r="H11" s="59">
        <v>4</v>
      </c>
      <c r="I11" s="61">
        <v>281</v>
      </c>
      <c r="J11" s="61">
        <v>16</v>
      </c>
    </row>
    <row r="12" spans="1:17" x14ac:dyDescent="0.25">
      <c r="A12" s="58" t="s">
        <v>2091</v>
      </c>
      <c r="B12" s="58" t="s">
        <v>1890</v>
      </c>
      <c r="C12" s="58" t="s">
        <v>46</v>
      </c>
      <c r="D12" s="58">
        <v>350</v>
      </c>
      <c r="E12" s="58">
        <v>380</v>
      </c>
      <c r="F12" s="60">
        <v>6</v>
      </c>
      <c r="G12" s="59">
        <v>30</v>
      </c>
      <c r="H12" s="59">
        <v>6</v>
      </c>
      <c r="I12" s="61">
        <v>291</v>
      </c>
      <c r="J12" s="61">
        <v>16</v>
      </c>
    </row>
    <row r="13" spans="1:17" x14ac:dyDescent="0.25">
      <c r="A13" s="58" t="s">
        <v>2091</v>
      </c>
      <c r="B13" s="58" t="s">
        <v>1891</v>
      </c>
      <c r="C13" s="58" t="s">
        <v>47</v>
      </c>
      <c r="D13" s="58">
        <v>349</v>
      </c>
      <c r="E13" s="58">
        <v>395</v>
      </c>
      <c r="F13" s="60">
        <v>6</v>
      </c>
      <c r="G13" s="59">
        <v>28</v>
      </c>
      <c r="H13" s="59">
        <v>4</v>
      </c>
      <c r="I13" s="61">
        <v>283</v>
      </c>
      <c r="J13" s="61">
        <v>15</v>
      </c>
    </row>
    <row r="14" spans="1:17" x14ac:dyDescent="0.25">
      <c r="A14" s="58" t="s">
        <v>2091</v>
      </c>
      <c r="B14" s="58" t="s">
        <v>1892</v>
      </c>
      <c r="C14" s="58" t="s">
        <v>48</v>
      </c>
      <c r="D14" s="58">
        <v>390</v>
      </c>
      <c r="E14" s="58">
        <v>407</v>
      </c>
      <c r="F14" s="60">
        <v>7</v>
      </c>
      <c r="G14" s="59">
        <v>34</v>
      </c>
      <c r="H14" s="59">
        <v>6</v>
      </c>
      <c r="I14" s="61">
        <v>320</v>
      </c>
      <c r="J14" s="61">
        <v>19</v>
      </c>
    </row>
    <row r="15" spans="1:17" x14ac:dyDescent="0.25">
      <c r="A15" s="58" t="s">
        <v>2091</v>
      </c>
      <c r="B15" s="58" t="s">
        <v>1893</v>
      </c>
      <c r="C15" s="58" t="s">
        <v>49</v>
      </c>
      <c r="D15" s="58">
        <v>464</v>
      </c>
      <c r="E15" s="58">
        <v>490</v>
      </c>
      <c r="F15" s="60">
        <v>8</v>
      </c>
      <c r="G15" s="59">
        <v>38</v>
      </c>
      <c r="H15" s="59">
        <v>6</v>
      </c>
      <c r="I15" s="61">
        <v>332</v>
      </c>
      <c r="J15" s="61">
        <v>17</v>
      </c>
    </row>
    <row r="16" spans="1:17" x14ac:dyDescent="0.25">
      <c r="A16" s="58" t="s">
        <v>2091</v>
      </c>
      <c r="B16" s="58" t="s">
        <v>1894</v>
      </c>
      <c r="C16" s="58" t="s">
        <v>50</v>
      </c>
      <c r="D16" s="58">
        <v>464</v>
      </c>
      <c r="E16" s="58">
        <v>490</v>
      </c>
      <c r="F16" s="60">
        <v>8</v>
      </c>
      <c r="G16" s="59">
        <v>34</v>
      </c>
      <c r="H16" s="59">
        <v>7</v>
      </c>
      <c r="I16" s="61">
        <v>331</v>
      </c>
      <c r="J16" s="61">
        <v>18</v>
      </c>
    </row>
    <row r="17" spans="1:10" x14ac:dyDescent="0.25">
      <c r="A17" s="58" t="s">
        <v>2091</v>
      </c>
      <c r="B17" s="58" t="s">
        <v>1895</v>
      </c>
      <c r="C17" s="58" t="s">
        <v>121</v>
      </c>
      <c r="D17" s="58">
        <v>464</v>
      </c>
      <c r="E17" s="58">
        <v>490</v>
      </c>
      <c r="F17" s="60">
        <v>12</v>
      </c>
      <c r="G17" s="59">
        <v>42</v>
      </c>
      <c r="H17" s="59">
        <v>8</v>
      </c>
      <c r="I17" s="61">
        <v>327</v>
      </c>
      <c r="J17" s="61">
        <v>18</v>
      </c>
    </row>
    <row r="18" spans="1:10" x14ac:dyDescent="0.25">
      <c r="A18" s="58" t="s">
        <v>2091</v>
      </c>
      <c r="B18" s="58" t="s">
        <v>1896</v>
      </c>
      <c r="C18" s="58" t="s">
        <v>51</v>
      </c>
      <c r="D18" s="58">
        <v>607</v>
      </c>
      <c r="E18" s="58">
        <v>650</v>
      </c>
      <c r="F18" s="60">
        <v>12</v>
      </c>
      <c r="G18" s="59">
        <v>43</v>
      </c>
      <c r="H18" s="59">
        <v>9</v>
      </c>
      <c r="I18" s="61">
        <v>375</v>
      </c>
      <c r="J18" s="61">
        <v>18</v>
      </c>
    </row>
    <row r="19" spans="1:10" x14ac:dyDescent="0.25">
      <c r="A19" s="58" t="s">
        <v>2091</v>
      </c>
      <c r="B19" s="58" t="s">
        <v>1897</v>
      </c>
      <c r="C19" s="58" t="s">
        <v>52</v>
      </c>
      <c r="D19" s="58">
        <v>607</v>
      </c>
      <c r="E19" s="58">
        <v>650</v>
      </c>
      <c r="F19" s="60">
        <v>13</v>
      </c>
      <c r="G19" s="59">
        <v>57</v>
      </c>
      <c r="H19" s="59">
        <v>11</v>
      </c>
      <c r="I19" s="61">
        <v>380</v>
      </c>
      <c r="J19" s="61">
        <v>19</v>
      </c>
    </row>
    <row r="20" spans="1:10" x14ac:dyDescent="0.25">
      <c r="A20" s="58" t="s">
        <v>2091</v>
      </c>
      <c r="B20" s="58" t="s">
        <v>1898</v>
      </c>
      <c r="C20" s="58" t="s">
        <v>53</v>
      </c>
      <c r="D20" s="58">
        <v>112</v>
      </c>
      <c r="E20" s="58">
        <v>98</v>
      </c>
      <c r="F20" s="60">
        <v>4</v>
      </c>
      <c r="G20" s="59">
        <v>20</v>
      </c>
      <c r="H20" s="59">
        <v>2</v>
      </c>
      <c r="I20" s="61">
        <v>160</v>
      </c>
      <c r="J20" s="61">
        <v>12</v>
      </c>
    </row>
    <row r="21" spans="1:10" x14ac:dyDescent="0.25">
      <c r="A21" s="58" t="s">
        <v>2091</v>
      </c>
      <c r="B21" s="58" t="s">
        <v>1899</v>
      </c>
      <c r="C21" s="58" t="s">
        <v>54</v>
      </c>
      <c r="D21" s="58">
        <v>134</v>
      </c>
      <c r="E21" s="58">
        <v>115</v>
      </c>
      <c r="F21" s="60">
        <v>5</v>
      </c>
      <c r="G21" s="59">
        <v>22</v>
      </c>
      <c r="H21" s="59">
        <v>2</v>
      </c>
      <c r="I21" s="61">
        <v>176</v>
      </c>
      <c r="J21" s="61">
        <v>12</v>
      </c>
    </row>
    <row r="22" spans="1:10" x14ac:dyDescent="0.25">
      <c r="A22" s="58" t="s">
        <v>2091</v>
      </c>
      <c r="B22" s="58" t="s">
        <v>1900</v>
      </c>
      <c r="C22" s="58" t="s">
        <v>55</v>
      </c>
      <c r="D22" s="58">
        <v>211</v>
      </c>
      <c r="E22" s="58">
        <v>185</v>
      </c>
      <c r="F22" s="60">
        <v>5</v>
      </c>
      <c r="G22" s="59">
        <v>24</v>
      </c>
      <c r="H22" s="59">
        <v>4</v>
      </c>
      <c r="I22" s="61">
        <v>186</v>
      </c>
      <c r="J22" s="61">
        <v>14</v>
      </c>
    </row>
    <row r="23" spans="1:10" x14ac:dyDescent="0.25">
      <c r="A23" s="58" t="s">
        <v>2091</v>
      </c>
      <c r="B23" s="58" t="s">
        <v>1901</v>
      </c>
      <c r="C23" s="58" t="s">
        <v>56</v>
      </c>
      <c r="D23" s="58">
        <v>214</v>
      </c>
      <c r="E23" s="58">
        <v>208</v>
      </c>
      <c r="F23" s="60">
        <v>6</v>
      </c>
      <c r="G23" s="59">
        <v>23</v>
      </c>
      <c r="H23" s="59">
        <v>4</v>
      </c>
      <c r="I23" s="61">
        <v>199</v>
      </c>
      <c r="J23" s="61">
        <v>15</v>
      </c>
    </row>
    <row r="24" spans="1:10" x14ac:dyDescent="0.25">
      <c r="A24" s="58" t="s">
        <v>2091</v>
      </c>
      <c r="B24" s="58" t="s">
        <v>1902</v>
      </c>
      <c r="C24" s="58" t="s">
        <v>57</v>
      </c>
      <c r="D24" s="58">
        <v>305</v>
      </c>
      <c r="E24" s="58">
        <v>231</v>
      </c>
      <c r="F24" s="60">
        <v>7</v>
      </c>
      <c r="G24" s="59">
        <v>30</v>
      </c>
      <c r="H24" s="59">
        <v>4</v>
      </c>
      <c r="I24" s="61">
        <v>208</v>
      </c>
      <c r="J24" s="61">
        <v>15</v>
      </c>
    </row>
    <row r="25" spans="1:10" x14ac:dyDescent="0.25">
      <c r="A25" s="58" t="s">
        <v>2091</v>
      </c>
      <c r="B25" s="58" t="s">
        <v>1903</v>
      </c>
      <c r="C25" s="58" t="s">
        <v>58</v>
      </c>
      <c r="D25" s="58">
        <v>306</v>
      </c>
      <c r="E25" s="58">
        <v>290</v>
      </c>
      <c r="F25" s="60">
        <v>7</v>
      </c>
      <c r="G25" s="59">
        <v>39</v>
      </c>
      <c r="H25" s="59">
        <v>6</v>
      </c>
      <c r="I25" s="61">
        <v>218</v>
      </c>
      <c r="J25" s="61">
        <v>15</v>
      </c>
    </row>
    <row r="26" spans="1:10" x14ac:dyDescent="0.25">
      <c r="A26" s="58" t="s">
        <v>2091</v>
      </c>
      <c r="B26" s="58" t="s">
        <v>1904</v>
      </c>
      <c r="C26" s="58" t="s">
        <v>59</v>
      </c>
      <c r="D26" s="58">
        <v>331</v>
      </c>
      <c r="E26" s="58">
        <v>308</v>
      </c>
      <c r="F26" s="60">
        <v>10</v>
      </c>
      <c r="G26" s="59">
        <v>30</v>
      </c>
      <c r="H26" s="59">
        <v>6</v>
      </c>
      <c r="I26" s="61">
        <v>340</v>
      </c>
      <c r="J26" s="61">
        <v>16</v>
      </c>
    </row>
    <row r="27" spans="1:10" x14ac:dyDescent="0.25">
      <c r="A27" s="58" t="s">
        <v>2091</v>
      </c>
      <c r="B27" s="58" t="s">
        <v>1905</v>
      </c>
      <c r="C27" s="58" t="s">
        <v>60</v>
      </c>
      <c r="D27" s="58">
        <v>322</v>
      </c>
      <c r="E27" s="58">
        <v>322</v>
      </c>
      <c r="F27" s="60">
        <v>10</v>
      </c>
      <c r="G27" s="59">
        <v>42</v>
      </c>
      <c r="H27" s="59">
        <v>6</v>
      </c>
      <c r="I27" s="61">
        <v>348</v>
      </c>
      <c r="J27" s="61">
        <v>17</v>
      </c>
    </row>
    <row r="28" spans="1:10" x14ac:dyDescent="0.25">
      <c r="A28" s="58" t="s">
        <v>2091</v>
      </c>
      <c r="B28" s="58" t="s">
        <v>1906</v>
      </c>
      <c r="C28" s="58" t="s">
        <v>61</v>
      </c>
      <c r="D28" s="58">
        <v>412</v>
      </c>
      <c r="E28" s="58">
        <v>404</v>
      </c>
      <c r="F28" s="60">
        <v>13</v>
      </c>
      <c r="G28" s="59">
        <v>49</v>
      </c>
      <c r="H28" s="59">
        <v>9</v>
      </c>
      <c r="I28" s="61">
        <v>361</v>
      </c>
      <c r="J28" s="61">
        <v>18</v>
      </c>
    </row>
    <row r="29" spans="1:10" x14ac:dyDescent="0.25">
      <c r="A29" s="58" t="s">
        <v>2091</v>
      </c>
      <c r="B29" s="58" t="s">
        <v>1907</v>
      </c>
      <c r="C29" s="58" t="s">
        <v>62</v>
      </c>
      <c r="D29" s="58">
        <v>475</v>
      </c>
      <c r="E29" s="58">
        <v>477</v>
      </c>
      <c r="F29" s="60">
        <v>15</v>
      </c>
      <c r="G29" s="59">
        <v>52</v>
      </c>
      <c r="H29" s="59">
        <v>11</v>
      </c>
      <c r="I29" s="61">
        <v>370</v>
      </c>
      <c r="J29" s="61">
        <v>18</v>
      </c>
    </row>
    <row r="30" spans="1:10" x14ac:dyDescent="0.25">
      <c r="A30" s="58" t="s">
        <v>2091</v>
      </c>
      <c r="B30" s="58" t="s">
        <v>1908</v>
      </c>
      <c r="C30" s="58" t="s">
        <v>63</v>
      </c>
      <c r="D30" s="58">
        <v>480</v>
      </c>
      <c r="E30" s="58">
        <v>477</v>
      </c>
      <c r="F30" s="60">
        <v>15</v>
      </c>
      <c r="G30" s="59">
        <v>68</v>
      </c>
      <c r="H30" s="59">
        <v>14</v>
      </c>
      <c r="I30" s="61">
        <v>384</v>
      </c>
      <c r="J30" s="61">
        <v>18</v>
      </c>
    </row>
    <row r="31" spans="1:10" x14ac:dyDescent="0.25">
      <c r="A31" s="58" t="s">
        <v>2091</v>
      </c>
      <c r="B31" s="58" t="s">
        <v>1909</v>
      </c>
      <c r="C31" s="58" t="s">
        <v>64</v>
      </c>
      <c r="D31" s="58">
        <v>483</v>
      </c>
      <c r="E31" s="58">
        <v>507</v>
      </c>
      <c r="F31" s="60">
        <v>16</v>
      </c>
      <c r="G31" s="59">
        <v>70</v>
      </c>
      <c r="H31" s="59">
        <v>15</v>
      </c>
      <c r="I31" s="61">
        <v>390</v>
      </c>
      <c r="J31" s="61">
        <v>19</v>
      </c>
    </row>
    <row r="32" spans="1:10" x14ac:dyDescent="0.25">
      <c r="A32" s="58" t="s">
        <v>2091</v>
      </c>
      <c r="B32" s="58" t="s">
        <v>1910</v>
      </c>
      <c r="C32" s="58" t="s">
        <v>65</v>
      </c>
      <c r="D32" s="58">
        <v>484</v>
      </c>
      <c r="E32" s="58">
        <v>507</v>
      </c>
      <c r="F32" s="60">
        <v>16</v>
      </c>
      <c r="G32" s="59">
        <v>71</v>
      </c>
      <c r="H32" s="59">
        <v>15</v>
      </c>
      <c r="I32" s="61">
        <v>396</v>
      </c>
      <c r="J32" s="61">
        <v>19</v>
      </c>
    </row>
    <row r="33" spans="1:10" x14ac:dyDescent="0.25">
      <c r="A33" s="58" t="s">
        <v>2091</v>
      </c>
      <c r="B33" s="58" t="s">
        <v>1911</v>
      </c>
      <c r="C33" s="58" t="s">
        <v>66</v>
      </c>
      <c r="D33" s="58">
        <v>568</v>
      </c>
      <c r="E33" s="58">
        <v>591</v>
      </c>
      <c r="F33" s="60">
        <v>18</v>
      </c>
      <c r="G33" s="59">
        <v>55</v>
      </c>
      <c r="H33" s="59">
        <v>13</v>
      </c>
      <c r="I33" s="61">
        <v>382</v>
      </c>
      <c r="J33" s="61">
        <v>19</v>
      </c>
    </row>
    <row r="34" spans="1:10" x14ac:dyDescent="0.25">
      <c r="A34" s="58" t="s">
        <v>2091</v>
      </c>
      <c r="B34" s="58" t="s">
        <v>1912</v>
      </c>
      <c r="C34" s="58" t="s">
        <v>67</v>
      </c>
      <c r="D34" s="58">
        <v>570</v>
      </c>
      <c r="E34" s="58">
        <v>591</v>
      </c>
      <c r="F34" s="60">
        <v>18</v>
      </c>
      <c r="G34" s="59">
        <v>71</v>
      </c>
      <c r="H34" s="59">
        <v>15</v>
      </c>
      <c r="I34" s="61">
        <v>401</v>
      </c>
      <c r="J34" s="61">
        <v>19</v>
      </c>
    </row>
    <row r="35" spans="1:10" x14ac:dyDescent="0.25">
      <c r="A35" s="58" t="s">
        <v>2091</v>
      </c>
      <c r="B35" s="58" t="s">
        <v>1913</v>
      </c>
      <c r="C35" s="58" t="s">
        <v>68</v>
      </c>
      <c r="D35" s="58">
        <v>571</v>
      </c>
      <c r="E35" s="58">
        <v>591</v>
      </c>
      <c r="F35" s="60">
        <v>19</v>
      </c>
      <c r="G35" s="59">
        <v>75</v>
      </c>
      <c r="H35" s="59">
        <v>17</v>
      </c>
      <c r="I35" s="61">
        <v>416</v>
      </c>
      <c r="J35" s="61">
        <v>20</v>
      </c>
    </row>
    <row r="36" spans="1:10" x14ac:dyDescent="0.25">
      <c r="A36" s="58" t="s">
        <v>2091</v>
      </c>
      <c r="B36" s="58" t="s">
        <v>1914</v>
      </c>
      <c r="C36" s="58" t="s">
        <v>69</v>
      </c>
      <c r="D36" s="58">
        <v>572</v>
      </c>
      <c r="E36" s="58">
        <v>591</v>
      </c>
      <c r="F36" s="60">
        <v>19</v>
      </c>
      <c r="G36" s="59">
        <v>78</v>
      </c>
      <c r="H36" s="59">
        <v>19</v>
      </c>
      <c r="I36" s="61">
        <v>429</v>
      </c>
      <c r="J36" s="61">
        <v>21</v>
      </c>
    </row>
    <row r="37" spans="1:10" x14ac:dyDescent="0.25">
      <c r="A37" s="58" t="s">
        <v>2092</v>
      </c>
      <c r="B37" s="58" t="s">
        <v>1916</v>
      </c>
      <c r="C37" s="58" t="s">
        <v>37</v>
      </c>
      <c r="D37" s="58">
        <v>113</v>
      </c>
      <c r="E37" s="58">
        <v>34</v>
      </c>
      <c r="F37" s="60">
        <v>9</v>
      </c>
      <c r="G37" s="59">
        <v>26</v>
      </c>
      <c r="H37" s="59">
        <v>1</v>
      </c>
      <c r="I37" s="61">
        <v>80</v>
      </c>
      <c r="J37" s="61">
        <v>10</v>
      </c>
    </row>
    <row r="38" spans="1:10" x14ac:dyDescent="0.25">
      <c r="A38" s="58" t="s">
        <v>2092</v>
      </c>
      <c r="B38" s="58" t="s">
        <v>1917</v>
      </c>
      <c r="C38" s="58" t="s">
        <v>38</v>
      </c>
      <c r="D38" s="58">
        <v>134</v>
      </c>
      <c r="E38" s="58">
        <v>40</v>
      </c>
      <c r="F38" s="60">
        <v>13</v>
      </c>
      <c r="G38" s="59">
        <v>28</v>
      </c>
      <c r="H38" s="59">
        <v>1</v>
      </c>
      <c r="I38" s="61">
        <v>85</v>
      </c>
      <c r="J38" s="61">
        <v>10</v>
      </c>
    </row>
    <row r="39" spans="1:10" x14ac:dyDescent="0.25">
      <c r="A39" s="58" t="s">
        <v>2092</v>
      </c>
      <c r="B39" s="58" t="s">
        <v>1918</v>
      </c>
      <c r="C39" s="58" t="s">
        <v>39</v>
      </c>
      <c r="D39" s="58">
        <v>151</v>
      </c>
      <c r="E39" s="58">
        <v>60</v>
      </c>
      <c r="F39" s="60">
        <v>9</v>
      </c>
      <c r="G39" s="59">
        <v>20</v>
      </c>
      <c r="H39" s="59">
        <v>1</v>
      </c>
      <c r="I39" s="61">
        <v>110</v>
      </c>
      <c r="J39" s="61">
        <v>10</v>
      </c>
    </row>
    <row r="40" spans="1:10" x14ac:dyDescent="0.25">
      <c r="A40" s="58" t="s">
        <v>2092</v>
      </c>
      <c r="B40" s="58" t="s">
        <v>1919</v>
      </c>
      <c r="C40" s="58" t="s">
        <v>40</v>
      </c>
      <c r="D40" s="58">
        <v>181</v>
      </c>
      <c r="E40" s="58">
        <v>72</v>
      </c>
      <c r="F40" s="60">
        <v>14</v>
      </c>
      <c r="G40" s="59">
        <v>26</v>
      </c>
      <c r="H40" s="59">
        <v>1</v>
      </c>
      <c r="I40" s="61">
        <v>120</v>
      </c>
      <c r="J40" s="61">
        <v>10</v>
      </c>
    </row>
    <row r="41" spans="1:10" x14ac:dyDescent="0.25">
      <c r="A41" s="58" t="s">
        <v>2092</v>
      </c>
      <c r="B41" s="58" t="s">
        <v>1920</v>
      </c>
      <c r="C41" s="58" t="s">
        <v>41</v>
      </c>
      <c r="D41" s="58">
        <v>215</v>
      </c>
      <c r="E41" s="58">
        <v>104</v>
      </c>
      <c r="F41" s="60">
        <v>14</v>
      </c>
      <c r="G41" s="59">
        <v>24</v>
      </c>
      <c r="H41" s="59">
        <v>1</v>
      </c>
      <c r="I41" s="61">
        <v>120</v>
      </c>
      <c r="J41" s="61">
        <v>9</v>
      </c>
    </row>
    <row r="42" spans="1:10" x14ac:dyDescent="0.25">
      <c r="A42" s="58" t="s">
        <v>2092</v>
      </c>
      <c r="B42" s="58" t="s">
        <v>1921</v>
      </c>
      <c r="C42" s="58" t="s">
        <v>42</v>
      </c>
      <c r="D42" s="58">
        <v>260</v>
      </c>
      <c r="E42" s="58">
        <v>120</v>
      </c>
      <c r="F42" s="60">
        <v>18</v>
      </c>
      <c r="G42" s="59">
        <v>26</v>
      </c>
      <c r="H42" s="59">
        <v>2</v>
      </c>
      <c r="I42" s="61">
        <v>130</v>
      </c>
      <c r="J42" s="61">
        <v>10</v>
      </c>
    </row>
    <row r="43" spans="1:10" x14ac:dyDescent="0.25">
      <c r="A43" s="58" t="s">
        <v>2092</v>
      </c>
      <c r="B43" s="58" t="s">
        <v>1922</v>
      </c>
      <c r="C43" s="58" t="s">
        <v>43</v>
      </c>
      <c r="D43" s="58">
        <v>240</v>
      </c>
      <c r="E43" s="58">
        <v>114</v>
      </c>
      <c r="F43" s="60">
        <v>13</v>
      </c>
      <c r="G43" s="59">
        <v>18</v>
      </c>
      <c r="H43" s="59">
        <v>2</v>
      </c>
      <c r="I43" s="61">
        <v>210</v>
      </c>
      <c r="J43" s="61">
        <v>10</v>
      </c>
    </row>
    <row r="44" spans="1:10" x14ac:dyDescent="0.25">
      <c r="A44" s="58" t="s">
        <v>2092</v>
      </c>
      <c r="B44" s="58" t="s">
        <v>1923</v>
      </c>
      <c r="C44" s="58" t="s">
        <v>44</v>
      </c>
      <c r="D44" s="58">
        <v>285</v>
      </c>
      <c r="E44" s="58">
        <v>134</v>
      </c>
      <c r="F44" s="60">
        <v>16</v>
      </c>
      <c r="G44" s="59">
        <v>19</v>
      </c>
      <c r="H44" s="59">
        <v>2</v>
      </c>
      <c r="I44" s="61">
        <v>220</v>
      </c>
      <c r="J44" s="61">
        <v>9</v>
      </c>
    </row>
    <row r="45" spans="1:10" x14ac:dyDescent="0.25">
      <c r="A45" s="58" t="s">
        <v>2092</v>
      </c>
      <c r="B45" s="58" t="s">
        <v>1924</v>
      </c>
      <c r="C45" s="58" t="s">
        <v>45</v>
      </c>
      <c r="D45" s="58">
        <v>343</v>
      </c>
      <c r="E45" s="58">
        <v>187</v>
      </c>
      <c r="F45" s="60">
        <v>17</v>
      </c>
      <c r="G45" s="59">
        <v>29</v>
      </c>
      <c r="H45" s="59">
        <v>2</v>
      </c>
      <c r="I45" s="61">
        <v>230</v>
      </c>
      <c r="J45" s="61">
        <v>10</v>
      </c>
    </row>
    <row r="46" spans="1:10" x14ac:dyDescent="0.25">
      <c r="A46" s="58" t="s">
        <v>2092</v>
      </c>
      <c r="B46" s="58" t="s">
        <v>1925</v>
      </c>
      <c r="C46" s="58" t="s">
        <v>46</v>
      </c>
      <c r="D46" s="58">
        <v>400</v>
      </c>
      <c r="E46" s="58">
        <v>217</v>
      </c>
      <c r="F46" s="60">
        <v>24</v>
      </c>
      <c r="G46" s="59">
        <v>28</v>
      </c>
      <c r="H46" s="59">
        <v>2</v>
      </c>
      <c r="I46" s="61">
        <v>280</v>
      </c>
      <c r="J46" s="61">
        <v>12</v>
      </c>
    </row>
    <row r="47" spans="1:10" x14ac:dyDescent="0.25">
      <c r="A47" s="58" t="s">
        <v>2092</v>
      </c>
      <c r="B47" s="58" t="s">
        <v>1926</v>
      </c>
      <c r="C47" s="58" t="s">
        <v>47</v>
      </c>
      <c r="D47" s="58">
        <v>460</v>
      </c>
      <c r="E47" s="58">
        <v>282</v>
      </c>
      <c r="F47" s="60">
        <v>30</v>
      </c>
      <c r="G47" s="59">
        <v>38</v>
      </c>
      <c r="H47" s="59">
        <v>2</v>
      </c>
      <c r="I47" s="61">
        <v>320</v>
      </c>
      <c r="J47" s="61">
        <v>14</v>
      </c>
    </row>
    <row r="48" spans="1:10" x14ac:dyDescent="0.25">
      <c r="A48" s="58" t="s">
        <v>2092</v>
      </c>
      <c r="B48" s="58" t="s">
        <v>1927</v>
      </c>
      <c r="C48" s="58" t="s">
        <v>48</v>
      </c>
      <c r="D48" s="58">
        <v>467</v>
      </c>
      <c r="E48" s="58">
        <v>298</v>
      </c>
      <c r="F48" s="60">
        <v>29</v>
      </c>
      <c r="G48" s="59">
        <v>42</v>
      </c>
      <c r="H48" s="59">
        <v>3</v>
      </c>
      <c r="I48" s="61">
        <v>330</v>
      </c>
      <c r="J48" s="61">
        <v>14</v>
      </c>
    </row>
    <row r="49" spans="1:10" x14ac:dyDescent="0.25">
      <c r="A49" s="58" t="s">
        <v>2092</v>
      </c>
      <c r="B49" s="58" t="s">
        <v>1928</v>
      </c>
      <c r="C49" s="58" t="s">
        <v>49</v>
      </c>
      <c r="D49" s="58">
        <v>471</v>
      </c>
      <c r="E49" s="58">
        <v>298</v>
      </c>
      <c r="F49" s="60">
        <v>23</v>
      </c>
      <c r="G49" s="59">
        <v>34</v>
      </c>
      <c r="H49" s="59">
        <v>4</v>
      </c>
      <c r="I49" s="61">
        <v>350</v>
      </c>
      <c r="J49" s="61">
        <v>14</v>
      </c>
    </row>
    <row r="50" spans="1:10" x14ac:dyDescent="0.25">
      <c r="A50" s="58" t="s">
        <v>2092</v>
      </c>
      <c r="B50" s="58" t="s">
        <v>1929</v>
      </c>
      <c r="C50" s="58" t="s">
        <v>50</v>
      </c>
      <c r="D50" s="58">
        <v>473</v>
      </c>
      <c r="E50" s="58">
        <v>293</v>
      </c>
      <c r="F50" s="60">
        <v>25</v>
      </c>
      <c r="G50" s="59">
        <v>38</v>
      </c>
      <c r="H50" s="59">
        <v>7</v>
      </c>
      <c r="I50" s="61">
        <v>360</v>
      </c>
      <c r="J50" s="61">
        <v>14</v>
      </c>
    </row>
    <row r="51" spans="1:10" x14ac:dyDescent="0.25">
      <c r="A51" s="58" t="s">
        <v>2092</v>
      </c>
      <c r="B51" s="58" t="s">
        <v>1930</v>
      </c>
      <c r="C51" s="58" t="s">
        <v>121</v>
      </c>
      <c r="D51" s="58">
        <v>480</v>
      </c>
      <c r="E51" s="58">
        <v>294</v>
      </c>
      <c r="F51" s="60">
        <v>31</v>
      </c>
      <c r="G51" s="59">
        <v>46</v>
      </c>
      <c r="H51" s="59">
        <v>7</v>
      </c>
      <c r="I51" s="61">
        <v>370</v>
      </c>
      <c r="J51" s="61">
        <v>14</v>
      </c>
    </row>
    <row r="52" spans="1:10" x14ac:dyDescent="0.25">
      <c r="A52" s="58" t="s">
        <v>2092</v>
      </c>
      <c r="B52" s="58" t="s">
        <v>1931</v>
      </c>
      <c r="C52" s="58" t="s">
        <v>51</v>
      </c>
      <c r="D52" s="58">
        <v>620</v>
      </c>
      <c r="E52" s="58">
        <v>452</v>
      </c>
      <c r="F52" s="60">
        <v>34</v>
      </c>
      <c r="G52" s="59">
        <v>47</v>
      </c>
      <c r="H52" s="59">
        <v>8</v>
      </c>
      <c r="I52" s="61">
        <v>380</v>
      </c>
      <c r="J52" s="61">
        <v>14</v>
      </c>
    </row>
    <row r="53" spans="1:10" x14ac:dyDescent="0.25">
      <c r="A53" s="58" t="s">
        <v>2092</v>
      </c>
      <c r="B53" s="58" t="s">
        <v>1932</v>
      </c>
      <c r="C53" s="58" t="s">
        <v>52</v>
      </c>
      <c r="D53" s="58">
        <v>623</v>
      </c>
      <c r="E53" s="58">
        <v>451</v>
      </c>
      <c r="F53" s="60">
        <v>41</v>
      </c>
      <c r="G53" s="59">
        <v>57</v>
      </c>
      <c r="H53" s="59">
        <v>8</v>
      </c>
      <c r="I53" s="61">
        <v>400</v>
      </c>
      <c r="J53" s="61">
        <v>15</v>
      </c>
    </row>
    <row r="54" spans="1:10" x14ac:dyDescent="0.25">
      <c r="A54" s="58" t="s">
        <v>2092</v>
      </c>
      <c r="B54" s="58" t="s">
        <v>1933</v>
      </c>
      <c r="C54" s="58" t="s">
        <v>53</v>
      </c>
      <c r="D54" s="58">
        <v>125</v>
      </c>
      <c r="E54" s="58">
        <v>27</v>
      </c>
      <c r="F54" s="60">
        <v>10</v>
      </c>
      <c r="G54" s="59">
        <v>22</v>
      </c>
      <c r="H54" s="59">
        <v>1</v>
      </c>
      <c r="I54" s="61">
        <v>120</v>
      </c>
      <c r="J54" s="61">
        <v>12</v>
      </c>
    </row>
    <row r="55" spans="1:10" x14ac:dyDescent="0.25">
      <c r="A55" s="58" t="s">
        <v>2092</v>
      </c>
      <c r="B55" s="58" t="s">
        <v>1934</v>
      </c>
      <c r="C55" s="58" t="s">
        <v>54</v>
      </c>
      <c r="D55" s="58">
        <v>141</v>
      </c>
      <c r="E55" s="58">
        <v>30</v>
      </c>
      <c r="F55" s="60">
        <v>14</v>
      </c>
      <c r="G55" s="59">
        <v>23</v>
      </c>
      <c r="H55" s="59">
        <v>2</v>
      </c>
      <c r="I55" s="61">
        <v>160</v>
      </c>
      <c r="J55" s="61">
        <v>13</v>
      </c>
    </row>
    <row r="56" spans="1:10" x14ac:dyDescent="0.25">
      <c r="A56" s="58" t="s">
        <v>2092</v>
      </c>
      <c r="B56" s="58" t="s">
        <v>1935</v>
      </c>
      <c r="C56" s="58" t="s">
        <v>55</v>
      </c>
      <c r="D56" s="58">
        <v>241</v>
      </c>
      <c r="E56" s="58">
        <v>94</v>
      </c>
      <c r="F56" s="60">
        <v>20</v>
      </c>
      <c r="G56" s="59">
        <v>18</v>
      </c>
      <c r="H56" s="59">
        <v>2</v>
      </c>
      <c r="I56" s="61">
        <v>185</v>
      </c>
      <c r="J56" s="61">
        <v>13</v>
      </c>
    </row>
    <row r="57" spans="1:10" x14ac:dyDescent="0.25">
      <c r="A57" s="58" t="s">
        <v>2092</v>
      </c>
      <c r="B57" s="58" t="s">
        <v>1936</v>
      </c>
      <c r="C57" s="58" t="s">
        <v>56</v>
      </c>
      <c r="D57" s="58">
        <v>253</v>
      </c>
      <c r="E57" s="58">
        <v>98</v>
      </c>
      <c r="F57" s="60">
        <v>24</v>
      </c>
      <c r="G57" s="59">
        <v>38</v>
      </c>
      <c r="H57" s="59">
        <v>3</v>
      </c>
      <c r="I57" s="61">
        <v>200</v>
      </c>
      <c r="J57" s="61">
        <v>15</v>
      </c>
    </row>
    <row r="58" spans="1:10" x14ac:dyDescent="0.25">
      <c r="A58" s="58" t="s">
        <v>2092</v>
      </c>
      <c r="B58" s="58" t="s">
        <v>1937</v>
      </c>
      <c r="C58" s="58" t="s">
        <v>57</v>
      </c>
      <c r="D58" s="58">
        <v>321</v>
      </c>
      <c r="E58" s="58">
        <v>150</v>
      </c>
      <c r="F58" s="60">
        <v>26</v>
      </c>
      <c r="G58" s="59">
        <v>29</v>
      </c>
      <c r="H58" s="59">
        <v>2</v>
      </c>
      <c r="I58" s="61">
        <v>200</v>
      </c>
      <c r="J58" s="61">
        <v>16</v>
      </c>
    </row>
    <row r="59" spans="1:10" x14ac:dyDescent="0.25">
      <c r="A59" s="58" t="s">
        <v>2092</v>
      </c>
      <c r="B59" s="58" t="s">
        <v>1938</v>
      </c>
      <c r="C59" s="58" t="s">
        <v>58</v>
      </c>
      <c r="D59" s="58">
        <v>334</v>
      </c>
      <c r="E59" s="58">
        <v>157</v>
      </c>
      <c r="F59" s="60">
        <v>27</v>
      </c>
      <c r="G59" s="59">
        <v>42</v>
      </c>
      <c r="H59" s="59">
        <v>5</v>
      </c>
      <c r="I59" s="61">
        <v>310</v>
      </c>
      <c r="J59" s="61">
        <v>20</v>
      </c>
    </row>
    <row r="60" spans="1:10" x14ac:dyDescent="0.25">
      <c r="A60" s="58" t="s">
        <v>2092</v>
      </c>
      <c r="B60" s="58" t="s">
        <v>1939</v>
      </c>
      <c r="C60" s="58" t="s">
        <v>59</v>
      </c>
      <c r="D60" s="58">
        <v>334</v>
      </c>
      <c r="E60" s="58">
        <v>157</v>
      </c>
      <c r="F60" s="60">
        <v>28</v>
      </c>
      <c r="G60" s="59">
        <v>38</v>
      </c>
      <c r="H60" s="59">
        <v>5</v>
      </c>
      <c r="I60" s="61">
        <v>310</v>
      </c>
      <c r="J60" s="61">
        <v>15</v>
      </c>
    </row>
    <row r="61" spans="1:10" x14ac:dyDescent="0.25">
      <c r="A61" s="58" t="s">
        <v>2092</v>
      </c>
      <c r="B61" s="58" t="s">
        <v>1940</v>
      </c>
      <c r="C61" s="58" t="s">
        <v>60</v>
      </c>
      <c r="D61" s="58">
        <v>338</v>
      </c>
      <c r="E61" s="58">
        <v>157</v>
      </c>
      <c r="F61" s="60">
        <v>30</v>
      </c>
      <c r="G61" s="59">
        <v>45</v>
      </c>
      <c r="H61" s="59">
        <v>5</v>
      </c>
      <c r="I61" s="61">
        <v>320</v>
      </c>
      <c r="J61" s="61">
        <v>20</v>
      </c>
    </row>
    <row r="62" spans="1:10" x14ac:dyDescent="0.25">
      <c r="A62" s="58" t="s">
        <v>2092</v>
      </c>
      <c r="B62" s="58" t="s">
        <v>1941</v>
      </c>
      <c r="C62" s="58" t="s">
        <v>61</v>
      </c>
      <c r="D62" s="58">
        <v>422</v>
      </c>
      <c r="E62" s="58">
        <v>225</v>
      </c>
      <c r="F62" s="60">
        <v>45</v>
      </c>
      <c r="G62" s="59">
        <v>53</v>
      </c>
      <c r="H62" s="59">
        <v>8</v>
      </c>
      <c r="I62" s="61">
        <v>330</v>
      </c>
      <c r="J62" s="61">
        <v>20</v>
      </c>
    </row>
    <row r="63" spans="1:10" x14ac:dyDescent="0.25">
      <c r="A63" s="58" t="s">
        <v>2092</v>
      </c>
      <c r="B63" s="58" t="s">
        <v>1942</v>
      </c>
      <c r="C63" s="58" t="s">
        <v>62</v>
      </c>
      <c r="D63" s="58">
        <v>503</v>
      </c>
      <c r="E63" s="58">
        <v>301</v>
      </c>
      <c r="F63" s="60">
        <v>50</v>
      </c>
      <c r="G63" s="59">
        <v>54</v>
      </c>
      <c r="H63" s="59">
        <v>8</v>
      </c>
      <c r="I63" s="61">
        <v>350</v>
      </c>
      <c r="J63" s="61">
        <v>20</v>
      </c>
    </row>
    <row r="64" spans="1:10" x14ac:dyDescent="0.25">
      <c r="A64" s="58" t="s">
        <v>2092</v>
      </c>
      <c r="B64" s="58" t="s">
        <v>1943</v>
      </c>
      <c r="C64" s="58" t="s">
        <v>63</v>
      </c>
      <c r="D64" s="58">
        <v>503</v>
      </c>
      <c r="E64" s="58">
        <v>301</v>
      </c>
      <c r="F64" s="60">
        <v>67</v>
      </c>
      <c r="G64" s="59">
        <v>89</v>
      </c>
      <c r="H64" s="59">
        <v>9</v>
      </c>
      <c r="I64" s="61">
        <v>380</v>
      </c>
      <c r="J64" s="61">
        <v>20</v>
      </c>
    </row>
    <row r="65" spans="1:10" x14ac:dyDescent="0.25">
      <c r="A65" s="58" t="s">
        <v>2092</v>
      </c>
      <c r="B65" s="58" t="s">
        <v>1944</v>
      </c>
      <c r="C65" s="58" t="s">
        <v>64</v>
      </c>
      <c r="D65" s="58">
        <v>503</v>
      </c>
      <c r="E65" s="58">
        <v>301</v>
      </c>
      <c r="F65" s="60">
        <v>74</v>
      </c>
      <c r="G65" s="59">
        <v>95</v>
      </c>
      <c r="H65" s="59">
        <v>8</v>
      </c>
      <c r="I65" s="61">
        <v>400</v>
      </c>
      <c r="J65" s="61">
        <v>20</v>
      </c>
    </row>
    <row r="66" spans="1:10" x14ac:dyDescent="0.25">
      <c r="A66" s="58" t="s">
        <v>2092</v>
      </c>
      <c r="B66" s="58" t="s">
        <v>1945</v>
      </c>
      <c r="C66" s="58" t="s">
        <v>65</v>
      </c>
      <c r="D66" s="58">
        <v>503</v>
      </c>
      <c r="E66" s="58">
        <v>301</v>
      </c>
      <c r="F66" s="60">
        <v>80</v>
      </c>
      <c r="G66" s="59">
        <v>100</v>
      </c>
      <c r="H66" s="59">
        <v>8</v>
      </c>
      <c r="I66" s="61">
        <v>430</v>
      </c>
      <c r="J66" s="61">
        <v>22</v>
      </c>
    </row>
    <row r="67" spans="1:10" x14ac:dyDescent="0.25">
      <c r="A67" s="58" t="s">
        <v>2092</v>
      </c>
      <c r="B67" s="58" t="s">
        <v>1946</v>
      </c>
      <c r="C67" s="58" t="s">
        <v>66</v>
      </c>
      <c r="D67" s="58">
        <v>587</v>
      </c>
      <c r="E67" s="58">
        <v>381</v>
      </c>
      <c r="F67" s="60">
        <v>88</v>
      </c>
      <c r="G67" s="59">
        <v>80</v>
      </c>
      <c r="H67" s="59">
        <v>5</v>
      </c>
      <c r="I67" s="61">
        <v>400</v>
      </c>
      <c r="J67" s="61">
        <v>20</v>
      </c>
    </row>
    <row r="68" spans="1:10" x14ac:dyDescent="0.25">
      <c r="A68" s="58" t="s">
        <v>2092</v>
      </c>
      <c r="B68" s="58" t="s">
        <v>1947</v>
      </c>
      <c r="C68" s="58" t="s">
        <v>67</v>
      </c>
      <c r="D68" s="58">
        <v>587</v>
      </c>
      <c r="E68" s="58">
        <v>381</v>
      </c>
      <c r="F68" s="60">
        <v>94</v>
      </c>
      <c r="G68" s="59">
        <v>95</v>
      </c>
      <c r="H68" s="59">
        <v>6</v>
      </c>
      <c r="I68" s="61">
        <v>420</v>
      </c>
      <c r="J68" s="61">
        <v>23</v>
      </c>
    </row>
    <row r="69" spans="1:10" x14ac:dyDescent="0.25">
      <c r="A69" s="58" t="s">
        <v>2092</v>
      </c>
      <c r="B69" s="58" t="s">
        <v>1948</v>
      </c>
      <c r="C69" s="58" t="s">
        <v>68</v>
      </c>
      <c r="D69" s="58">
        <v>587</v>
      </c>
      <c r="E69" s="58">
        <v>381</v>
      </c>
      <c r="F69" s="60">
        <v>100</v>
      </c>
      <c r="G69" s="59">
        <v>90</v>
      </c>
      <c r="H69" s="59">
        <v>8</v>
      </c>
      <c r="I69" s="61">
        <v>440</v>
      </c>
      <c r="J69" s="61">
        <v>23</v>
      </c>
    </row>
    <row r="70" spans="1:10" x14ac:dyDescent="0.25">
      <c r="A70" s="58" t="s">
        <v>2092</v>
      </c>
      <c r="B70" s="58" t="s">
        <v>1949</v>
      </c>
      <c r="C70" s="58" t="s">
        <v>69</v>
      </c>
      <c r="D70" s="58">
        <v>587</v>
      </c>
      <c r="E70" s="58">
        <v>381</v>
      </c>
      <c r="F70" s="60">
        <v>104</v>
      </c>
      <c r="G70" s="59">
        <v>100</v>
      </c>
      <c r="H70" s="59">
        <v>9</v>
      </c>
      <c r="I70" s="61">
        <v>460</v>
      </c>
      <c r="J70" s="61">
        <v>24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1"/>
  <dimension ref="A1:AA36"/>
  <sheetViews>
    <sheetView workbookViewId="0">
      <selection activeCell="B4" sqref="B4:B11"/>
    </sheetView>
  </sheetViews>
  <sheetFormatPr defaultRowHeight="15" x14ac:dyDescent="0.25"/>
  <cols>
    <col min="3" max="4" width="10.140625" customWidth="1"/>
  </cols>
  <sheetData>
    <row r="1" spans="1:27" ht="120" x14ac:dyDescent="0.25">
      <c r="A1" s="64" t="s">
        <v>1950</v>
      </c>
      <c r="B1" s="58" t="s">
        <v>680</v>
      </c>
      <c r="C1" s="362" t="s">
        <v>2132</v>
      </c>
      <c r="D1" s="363"/>
      <c r="E1" s="342" t="s">
        <v>1951</v>
      </c>
      <c r="F1" s="342"/>
      <c r="G1" s="342"/>
      <c r="H1" s="343" t="s">
        <v>1952</v>
      </c>
      <c r="I1" s="343"/>
      <c r="J1" s="343"/>
      <c r="K1" s="366" t="s">
        <v>1953</v>
      </c>
      <c r="L1" s="366"/>
      <c r="M1" s="366"/>
      <c r="N1" s="365" t="s">
        <v>1954</v>
      </c>
      <c r="O1" s="365"/>
      <c r="P1" s="365"/>
      <c r="Q1" s="365"/>
      <c r="R1" s="364" t="s">
        <v>1955</v>
      </c>
      <c r="S1" s="364"/>
      <c r="T1" s="364"/>
      <c r="U1" s="364"/>
    </row>
    <row r="2" spans="1:27" x14ac:dyDescent="0.25">
      <c r="A2" s="58" t="s">
        <v>632</v>
      </c>
      <c r="B2" s="58" t="s">
        <v>632</v>
      </c>
      <c r="C2" s="75" t="s">
        <v>13</v>
      </c>
      <c r="D2" s="75" t="s">
        <v>14</v>
      </c>
      <c r="E2" s="60" t="s">
        <v>13</v>
      </c>
      <c r="F2" s="60" t="s">
        <v>14</v>
      </c>
      <c r="G2" s="60" t="s">
        <v>612</v>
      </c>
      <c r="H2" s="59" t="s">
        <v>13</v>
      </c>
      <c r="I2" s="59" t="s">
        <v>14</v>
      </c>
      <c r="J2" s="59" t="s">
        <v>612</v>
      </c>
      <c r="K2" s="61" t="s">
        <v>1147</v>
      </c>
      <c r="L2" s="61" t="s">
        <v>636</v>
      </c>
      <c r="M2" s="61" t="s">
        <v>14</v>
      </c>
      <c r="N2" s="62" t="s">
        <v>1147</v>
      </c>
      <c r="O2" s="62" t="s">
        <v>636</v>
      </c>
      <c r="P2" s="62" t="s">
        <v>14</v>
      </c>
      <c r="Q2" s="62" t="s">
        <v>612</v>
      </c>
      <c r="R2" s="63" t="s">
        <v>1147</v>
      </c>
      <c r="S2" s="63" t="s">
        <v>636</v>
      </c>
      <c r="T2" s="63" t="s">
        <v>14</v>
      </c>
      <c r="U2" s="63" t="s">
        <v>612</v>
      </c>
      <c r="X2" t="s">
        <v>1147</v>
      </c>
      <c r="Y2" t="s">
        <v>636</v>
      </c>
      <c r="Z2" t="s">
        <v>14</v>
      </c>
      <c r="AA2" t="s">
        <v>612</v>
      </c>
    </row>
    <row r="3" spans="1:27" x14ac:dyDescent="0.25">
      <c r="A3" s="58" t="s">
        <v>1956</v>
      </c>
      <c r="B3" s="58" t="s">
        <v>37</v>
      </c>
      <c r="C3" s="75">
        <v>100</v>
      </c>
      <c r="D3" s="75">
        <v>4</v>
      </c>
      <c r="E3" s="60">
        <v>113</v>
      </c>
      <c r="F3" s="60">
        <v>29</v>
      </c>
      <c r="G3" s="60">
        <v>3</v>
      </c>
      <c r="H3" s="59">
        <v>131</v>
      </c>
      <c r="I3" s="59">
        <v>33</v>
      </c>
      <c r="J3" s="59">
        <v>3</v>
      </c>
      <c r="K3" s="61">
        <v>112</v>
      </c>
      <c r="L3" s="61">
        <v>100</v>
      </c>
      <c r="M3" s="61">
        <v>4</v>
      </c>
      <c r="N3" s="62">
        <v>80</v>
      </c>
      <c r="O3" s="62">
        <v>113</v>
      </c>
      <c r="P3" s="62">
        <v>29</v>
      </c>
      <c r="Q3" s="62">
        <v>3</v>
      </c>
      <c r="R3" s="63">
        <v>80</v>
      </c>
      <c r="S3" s="63">
        <v>131</v>
      </c>
      <c r="T3" s="63">
        <v>33</v>
      </c>
      <c r="U3" s="63">
        <v>3</v>
      </c>
      <c r="W3">
        <v>1</v>
      </c>
      <c r="X3" s="1" t="s">
        <v>629</v>
      </c>
      <c r="Y3" s="1">
        <v>3</v>
      </c>
      <c r="Z3" s="1">
        <v>4</v>
      </c>
      <c r="AA3" s="1" t="s">
        <v>629</v>
      </c>
    </row>
    <row r="4" spans="1:27" x14ac:dyDescent="0.25">
      <c r="A4" s="58" t="s">
        <v>1957</v>
      </c>
      <c r="B4" s="58" t="s">
        <v>38</v>
      </c>
      <c r="C4" s="75">
        <v>122</v>
      </c>
      <c r="D4" s="75">
        <v>5</v>
      </c>
      <c r="E4" s="60">
        <v>140</v>
      </c>
      <c r="F4" s="60">
        <v>32</v>
      </c>
      <c r="G4" s="60">
        <v>3</v>
      </c>
      <c r="H4" s="59">
        <v>159</v>
      </c>
      <c r="I4" s="59">
        <v>37</v>
      </c>
      <c r="J4" s="59">
        <v>3</v>
      </c>
      <c r="K4" s="61">
        <v>140</v>
      </c>
      <c r="L4" s="61">
        <v>122</v>
      </c>
      <c r="M4" s="61">
        <v>5</v>
      </c>
      <c r="N4" s="62">
        <v>80</v>
      </c>
      <c r="O4" s="62">
        <v>130</v>
      </c>
      <c r="P4" s="62">
        <v>32</v>
      </c>
      <c r="Q4" s="62">
        <v>3</v>
      </c>
      <c r="R4" s="63">
        <v>80</v>
      </c>
      <c r="S4" s="63">
        <v>159</v>
      </c>
      <c r="T4" s="63">
        <v>37</v>
      </c>
      <c r="U4" s="63">
        <v>3</v>
      </c>
      <c r="W4">
        <v>2</v>
      </c>
      <c r="X4" s="1" t="s">
        <v>629</v>
      </c>
      <c r="Y4" s="1">
        <v>5</v>
      </c>
      <c r="Z4" s="1">
        <v>6</v>
      </c>
      <c r="AA4" s="1">
        <v>7</v>
      </c>
    </row>
    <row r="5" spans="1:27" x14ac:dyDescent="0.25">
      <c r="A5" s="58" t="s">
        <v>1958</v>
      </c>
      <c r="B5" s="58" t="s">
        <v>39</v>
      </c>
      <c r="C5" s="75">
        <v>97</v>
      </c>
      <c r="D5" s="75">
        <v>4</v>
      </c>
      <c r="E5" s="60">
        <v>114</v>
      </c>
      <c r="F5" s="60">
        <v>15</v>
      </c>
      <c r="G5" s="60">
        <v>2</v>
      </c>
      <c r="H5" s="59">
        <v>127</v>
      </c>
      <c r="I5" s="59">
        <v>16</v>
      </c>
      <c r="J5" s="59">
        <v>3</v>
      </c>
      <c r="K5" s="61">
        <v>102</v>
      </c>
      <c r="L5" s="61">
        <v>97</v>
      </c>
      <c r="M5" s="61">
        <v>4</v>
      </c>
      <c r="N5" s="62">
        <v>85</v>
      </c>
      <c r="O5" s="62">
        <v>114</v>
      </c>
      <c r="P5" s="62">
        <v>15</v>
      </c>
      <c r="Q5" s="62">
        <v>2</v>
      </c>
      <c r="R5" s="63">
        <v>85</v>
      </c>
      <c r="S5" s="63">
        <v>127</v>
      </c>
      <c r="T5" s="63">
        <v>16</v>
      </c>
      <c r="U5" s="63">
        <v>2</v>
      </c>
      <c r="W5">
        <v>3</v>
      </c>
      <c r="X5" s="1" t="s">
        <v>629</v>
      </c>
      <c r="Y5" s="1">
        <v>8</v>
      </c>
      <c r="Z5" s="1">
        <v>9</v>
      </c>
      <c r="AA5" s="1">
        <v>10</v>
      </c>
    </row>
    <row r="6" spans="1:27" x14ac:dyDescent="0.25">
      <c r="A6" s="58" t="s">
        <v>1959</v>
      </c>
      <c r="B6" s="58" t="s">
        <v>40</v>
      </c>
      <c r="C6" s="75">
        <v>117</v>
      </c>
      <c r="D6" s="75">
        <v>4</v>
      </c>
      <c r="E6" s="60">
        <v>136</v>
      </c>
      <c r="F6" s="60">
        <v>19</v>
      </c>
      <c r="G6" s="60">
        <v>3</v>
      </c>
      <c r="H6" s="59">
        <v>151</v>
      </c>
      <c r="I6" s="59">
        <v>21</v>
      </c>
      <c r="J6" s="59">
        <v>3</v>
      </c>
      <c r="K6" s="61">
        <v>123</v>
      </c>
      <c r="L6" s="61">
        <v>117</v>
      </c>
      <c r="M6" s="61">
        <v>4</v>
      </c>
      <c r="N6" s="62">
        <v>88</v>
      </c>
      <c r="O6" s="62">
        <v>136</v>
      </c>
      <c r="P6" s="62">
        <v>19</v>
      </c>
      <c r="Q6" s="62">
        <v>3</v>
      </c>
      <c r="R6" s="63">
        <v>88</v>
      </c>
      <c r="S6" s="63">
        <v>151</v>
      </c>
      <c r="T6" s="63">
        <v>21</v>
      </c>
      <c r="U6" s="63">
        <v>3</v>
      </c>
      <c r="W6">
        <v>4</v>
      </c>
      <c r="X6" s="1">
        <v>11</v>
      </c>
      <c r="Y6" s="1">
        <v>12</v>
      </c>
      <c r="Z6" s="1">
        <v>13</v>
      </c>
      <c r="AA6" s="1" t="s">
        <v>629</v>
      </c>
    </row>
    <row r="7" spans="1:27" x14ac:dyDescent="0.25">
      <c r="A7" s="58" t="s">
        <v>1960</v>
      </c>
      <c r="B7" s="58" t="s">
        <v>41</v>
      </c>
      <c r="C7" s="75">
        <v>158</v>
      </c>
      <c r="D7" s="75">
        <v>4</v>
      </c>
      <c r="E7" s="60">
        <v>175</v>
      </c>
      <c r="F7" s="60">
        <v>19</v>
      </c>
      <c r="G7" s="60">
        <v>3</v>
      </c>
      <c r="H7" s="59">
        <v>203</v>
      </c>
      <c r="I7" s="59">
        <v>22</v>
      </c>
      <c r="J7" s="59">
        <v>3</v>
      </c>
      <c r="K7" s="61">
        <v>168</v>
      </c>
      <c r="L7" s="61">
        <v>158</v>
      </c>
      <c r="M7" s="61">
        <v>4</v>
      </c>
      <c r="N7" s="62">
        <v>120</v>
      </c>
      <c r="O7" s="62">
        <v>175</v>
      </c>
      <c r="P7" s="62">
        <v>19</v>
      </c>
      <c r="Q7" s="62">
        <v>3</v>
      </c>
      <c r="R7" s="63">
        <v>120</v>
      </c>
      <c r="S7" s="63">
        <v>203</v>
      </c>
      <c r="T7" s="63">
        <v>22</v>
      </c>
      <c r="U7" s="63">
        <v>2</v>
      </c>
      <c r="W7">
        <v>5</v>
      </c>
      <c r="X7" s="1">
        <v>14</v>
      </c>
      <c r="Y7" s="1">
        <v>15</v>
      </c>
      <c r="Z7" s="1">
        <v>16</v>
      </c>
      <c r="AA7" s="1">
        <v>17</v>
      </c>
    </row>
    <row r="8" spans="1:27" x14ac:dyDescent="0.25">
      <c r="A8" s="58" t="s">
        <v>1961</v>
      </c>
      <c r="B8" s="58" t="s">
        <v>42</v>
      </c>
      <c r="C8" s="75">
        <v>188</v>
      </c>
      <c r="D8" s="75">
        <v>5</v>
      </c>
      <c r="E8" s="60">
        <v>209</v>
      </c>
      <c r="F8" s="60">
        <v>24</v>
      </c>
      <c r="G8" s="60">
        <v>4</v>
      </c>
      <c r="H8" s="59">
        <v>241</v>
      </c>
      <c r="I8" s="59">
        <v>27</v>
      </c>
      <c r="J8" s="59">
        <v>4</v>
      </c>
      <c r="K8" s="61">
        <v>195</v>
      </c>
      <c r="L8" s="61">
        <v>188</v>
      </c>
      <c r="M8" s="61">
        <v>5</v>
      </c>
      <c r="N8" s="62">
        <v>140</v>
      </c>
      <c r="O8" s="62">
        <v>190</v>
      </c>
      <c r="P8" s="62">
        <v>24</v>
      </c>
      <c r="Q8" s="62">
        <v>2</v>
      </c>
      <c r="R8" s="63">
        <v>140</v>
      </c>
      <c r="S8" s="63">
        <v>241</v>
      </c>
      <c r="T8" s="63">
        <v>27</v>
      </c>
      <c r="U8" s="63">
        <v>2</v>
      </c>
      <c r="W8">
        <v>6</v>
      </c>
      <c r="X8" s="1">
        <v>18</v>
      </c>
      <c r="Y8" s="1">
        <v>19</v>
      </c>
      <c r="Z8" s="1">
        <v>20</v>
      </c>
      <c r="AA8" s="1">
        <v>21</v>
      </c>
    </row>
    <row r="9" spans="1:27" x14ac:dyDescent="0.25">
      <c r="A9" s="58" t="s">
        <v>1962</v>
      </c>
      <c r="B9" s="58" t="s">
        <v>43</v>
      </c>
      <c r="C9" s="75">
        <v>230</v>
      </c>
      <c r="D9" s="75">
        <v>5</v>
      </c>
      <c r="E9" s="60">
        <v>253</v>
      </c>
      <c r="F9" s="60">
        <v>22</v>
      </c>
      <c r="G9" s="60">
        <v>4</v>
      </c>
      <c r="H9" s="59">
        <v>295</v>
      </c>
      <c r="I9" s="59">
        <v>26</v>
      </c>
      <c r="J9" s="59">
        <v>4</v>
      </c>
      <c r="K9" s="61">
        <v>238</v>
      </c>
      <c r="L9" s="61">
        <v>230</v>
      </c>
      <c r="M9" s="61">
        <v>5</v>
      </c>
      <c r="N9" s="62">
        <v>170</v>
      </c>
      <c r="O9" s="62">
        <v>253</v>
      </c>
      <c r="P9" s="62">
        <v>22</v>
      </c>
      <c r="Q9" s="62">
        <v>3</v>
      </c>
      <c r="R9" s="63">
        <v>170</v>
      </c>
      <c r="S9" s="63">
        <v>295</v>
      </c>
      <c r="T9" s="63">
        <v>26</v>
      </c>
      <c r="U9" s="63">
        <v>3</v>
      </c>
    </row>
    <row r="10" spans="1:27" x14ac:dyDescent="0.25">
      <c r="A10" s="58" t="s">
        <v>1963</v>
      </c>
      <c r="B10" s="58" t="s">
        <v>44</v>
      </c>
      <c r="C10" s="75">
        <v>270</v>
      </c>
      <c r="D10" s="75">
        <v>5</v>
      </c>
      <c r="E10" s="60">
        <v>300</v>
      </c>
      <c r="F10" s="60">
        <v>27</v>
      </c>
      <c r="G10" s="60">
        <v>5</v>
      </c>
      <c r="H10" s="59">
        <v>346</v>
      </c>
      <c r="I10" s="59">
        <v>31</v>
      </c>
      <c r="J10" s="59">
        <v>6</v>
      </c>
      <c r="K10" s="61">
        <v>265</v>
      </c>
      <c r="L10" s="61">
        <v>270</v>
      </c>
      <c r="M10" s="61">
        <v>5</v>
      </c>
      <c r="N10" s="62">
        <v>180</v>
      </c>
      <c r="O10" s="62">
        <v>300</v>
      </c>
      <c r="P10" s="62">
        <v>27</v>
      </c>
      <c r="Q10" s="62">
        <v>3</v>
      </c>
      <c r="R10" s="63">
        <v>180</v>
      </c>
      <c r="S10" s="63">
        <v>346</v>
      </c>
      <c r="T10" s="63">
        <v>31</v>
      </c>
      <c r="U10" s="63">
        <v>3</v>
      </c>
    </row>
    <row r="11" spans="1:27" x14ac:dyDescent="0.25">
      <c r="A11" s="58" t="s">
        <v>1964</v>
      </c>
      <c r="B11" s="58" t="s">
        <v>45</v>
      </c>
      <c r="C11" s="75">
        <v>335</v>
      </c>
      <c r="D11" s="75">
        <v>5</v>
      </c>
      <c r="E11" s="60">
        <v>359</v>
      </c>
      <c r="F11" s="60">
        <v>27</v>
      </c>
      <c r="G11" s="60">
        <v>6</v>
      </c>
      <c r="H11" s="59">
        <v>426</v>
      </c>
      <c r="I11" s="59">
        <v>32</v>
      </c>
      <c r="J11" s="59">
        <v>7</v>
      </c>
      <c r="K11" s="61">
        <v>333</v>
      </c>
      <c r="L11" s="61">
        <v>335</v>
      </c>
      <c r="M11" s="61">
        <v>5</v>
      </c>
      <c r="N11" s="62">
        <v>236</v>
      </c>
      <c r="O11" s="62">
        <v>359</v>
      </c>
      <c r="P11" s="62">
        <v>27</v>
      </c>
      <c r="Q11" s="62">
        <v>4</v>
      </c>
      <c r="R11" s="63">
        <v>236</v>
      </c>
      <c r="S11" s="63">
        <v>426</v>
      </c>
      <c r="T11" s="63">
        <v>32</v>
      </c>
      <c r="U11" s="63">
        <v>4</v>
      </c>
    </row>
    <row r="12" spans="1:27" x14ac:dyDescent="0.25">
      <c r="A12" s="58" t="s">
        <v>1965</v>
      </c>
      <c r="B12" s="58" t="s">
        <v>46</v>
      </c>
      <c r="C12" s="75">
        <v>380</v>
      </c>
      <c r="D12" s="75">
        <v>6</v>
      </c>
      <c r="E12" s="60">
        <v>403</v>
      </c>
      <c r="F12" s="60">
        <v>32</v>
      </c>
      <c r="G12" s="60">
        <v>7</v>
      </c>
      <c r="H12" s="59">
        <v>479</v>
      </c>
      <c r="I12" s="59">
        <v>38</v>
      </c>
      <c r="J12" s="59">
        <v>8</v>
      </c>
      <c r="K12" s="61">
        <v>378</v>
      </c>
      <c r="L12" s="61">
        <v>380</v>
      </c>
      <c r="M12" s="61">
        <v>6</v>
      </c>
      <c r="N12" s="62">
        <v>260</v>
      </c>
      <c r="O12" s="62">
        <v>403</v>
      </c>
      <c r="P12" s="62">
        <v>32</v>
      </c>
      <c r="Q12" s="62">
        <v>4</v>
      </c>
      <c r="R12" s="63">
        <v>260</v>
      </c>
      <c r="S12" s="63">
        <v>479</v>
      </c>
      <c r="T12" s="63">
        <v>38</v>
      </c>
      <c r="U12" s="63">
        <v>3</v>
      </c>
    </row>
    <row r="13" spans="1:27" x14ac:dyDescent="0.25">
      <c r="A13" s="58" t="s">
        <v>1966</v>
      </c>
      <c r="B13" s="58" t="s">
        <v>47</v>
      </c>
      <c r="C13" s="75">
        <v>386</v>
      </c>
      <c r="D13" s="75">
        <v>6</v>
      </c>
      <c r="E13" s="60">
        <v>421</v>
      </c>
      <c r="F13" s="60">
        <v>31</v>
      </c>
      <c r="G13" s="60">
        <v>6</v>
      </c>
      <c r="H13" s="59">
        <v>483</v>
      </c>
      <c r="I13" s="59">
        <v>35</v>
      </c>
      <c r="J13" s="59">
        <v>7</v>
      </c>
      <c r="K13" s="61">
        <v>378</v>
      </c>
      <c r="L13" s="61">
        <v>386</v>
      </c>
      <c r="M13" s="61">
        <v>6</v>
      </c>
      <c r="N13" s="62">
        <v>260</v>
      </c>
      <c r="O13" s="62">
        <v>421</v>
      </c>
      <c r="P13" s="62">
        <v>31</v>
      </c>
      <c r="Q13" s="62">
        <v>5</v>
      </c>
      <c r="R13" s="63">
        <v>260</v>
      </c>
      <c r="S13" s="63">
        <v>483</v>
      </c>
      <c r="T13" s="63">
        <v>35</v>
      </c>
      <c r="U13" s="63">
        <v>4</v>
      </c>
    </row>
    <row r="14" spans="1:27" x14ac:dyDescent="0.25">
      <c r="A14" s="58" t="s">
        <v>1967</v>
      </c>
      <c r="B14" s="58" t="s">
        <v>48</v>
      </c>
      <c r="C14" s="75">
        <v>407</v>
      </c>
      <c r="D14" s="75">
        <v>7</v>
      </c>
      <c r="E14" s="60">
        <v>440</v>
      </c>
      <c r="F14" s="60">
        <v>37</v>
      </c>
      <c r="G14" s="60">
        <v>8</v>
      </c>
      <c r="H14" s="59">
        <v>505</v>
      </c>
      <c r="I14" s="59">
        <v>43</v>
      </c>
      <c r="J14" s="59">
        <v>9</v>
      </c>
      <c r="K14" s="61">
        <v>390</v>
      </c>
      <c r="L14" s="61">
        <v>407</v>
      </c>
      <c r="M14" s="61">
        <v>7</v>
      </c>
      <c r="N14" s="62">
        <v>279</v>
      </c>
      <c r="O14" s="62">
        <v>440</v>
      </c>
      <c r="P14" s="62">
        <v>37</v>
      </c>
      <c r="Q14" s="62">
        <v>7</v>
      </c>
      <c r="R14" s="63">
        <v>279</v>
      </c>
      <c r="S14" s="63">
        <v>505</v>
      </c>
      <c r="T14" s="63">
        <v>43</v>
      </c>
      <c r="U14" s="63">
        <v>6</v>
      </c>
    </row>
    <row r="15" spans="1:27" x14ac:dyDescent="0.25">
      <c r="A15" s="58" t="s">
        <v>1968</v>
      </c>
      <c r="B15" s="58" t="s">
        <v>49</v>
      </c>
      <c r="C15" s="75">
        <v>490</v>
      </c>
      <c r="D15" s="75">
        <v>8</v>
      </c>
      <c r="E15" s="60">
        <v>530</v>
      </c>
      <c r="F15" s="60">
        <v>42</v>
      </c>
      <c r="G15" s="60">
        <v>7</v>
      </c>
      <c r="H15" s="59">
        <v>549</v>
      </c>
      <c r="I15" s="59">
        <v>43</v>
      </c>
      <c r="J15" s="59">
        <v>8</v>
      </c>
      <c r="K15" s="61">
        <v>464</v>
      </c>
      <c r="L15" s="61">
        <v>490</v>
      </c>
      <c r="M15" s="61">
        <v>8</v>
      </c>
      <c r="N15" s="62">
        <v>332</v>
      </c>
      <c r="O15" s="62">
        <v>530</v>
      </c>
      <c r="P15" s="62">
        <v>42</v>
      </c>
      <c r="Q15" s="62">
        <v>6</v>
      </c>
      <c r="R15" s="63">
        <v>332</v>
      </c>
      <c r="S15" s="63">
        <v>549</v>
      </c>
      <c r="T15" s="63">
        <v>43</v>
      </c>
      <c r="U15" s="63">
        <v>6</v>
      </c>
    </row>
    <row r="16" spans="1:27" x14ac:dyDescent="0.25">
      <c r="A16" s="58" t="s">
        <v>1969</v>
      </c>
      <c r="B16" s="58" t="s">
        <v>50</v>
      </c>
      <c r="C16" s="75">
        <v>490</v>
      </c>
      <c r="D16" s="75">
        <v>8</v>
      </c>
      <c r="E16" s="60">
        <v>520</v>
      </c>
      <c r="F16" s="60">
        <v>37</v>
      </c>
      <c r="G16" s="60">
        <v>8</v>
      </c>
      <c r="H16" s="59">
        <v>588</v>
      </c>
      <c r="I16" s="59">
        <v>41</v>
      </c>
      <c r="J16" s="59">
        <v>9</v>
      </c>
      <c r="K16" s="61">
        <v>464</v>
      </c>
      <c r="L16" s="61">
        <v>490</v>
      </c>
      <c r="M16" s="61">
        <v>8</v>
      </c>
      <c r="N16" s="62">
        <v>332</v>
      </c>
      <c r="O16" s="62">
        <v>520</v>
      </c>
      <c r="P16" s="62">
        <v>37</v>
      </c>
      <c r="Q16" s="62">
        <v>7</v>
      </c>
      <c r="R16" s="63">
        <v>332</v>
      </c>
      <c r="S16" s="63">
        <v>588</v>
      </c>
      <c r="T16" s="63">
        <v>41</v>
      </c>
      <c r="U16" s="63">
        <v>7</v>
      </c>
    </row>
    <row r="17" spans="1:21" x14ac:dyDescent="0.25">
      <c r="A17" s="58" t="s">
        <v>1970</v>
      </c>
      <c r="B17" s="58" t="s">
        <v>121</v>
      </c>
      <c r="C17" s="75">
        <v>490</v>
      </c>
      <c r="D17" s="75">
        <v>12</v>
      </c>
      <c r="E17" s="60">
        <v>535</v>
      </c>
      <c r="F17" s="60">
        <v>46</v>
      </c>
      <c r="G17" s="60">
        <v>9</v>
      </c>
      <c r="H17" s="59">
        <v>588</v>
      </c>
      <c r="I17" s="59">
        <v>51</v>
      </c>
      <c r="J17" s="59">
        <v>10</v>
      </c>
      <c r="K17" s="61">
        <v>464</v>
      </c>
      <c r="L17" s="61">
        <v>490</v>
      </c>
      <c r="M17" s="61">
        <v>12</v>
      </c>
      <c r="N17" s="62">
        <v>332</v>
      </c>
      <c r="O17" s="62">
        <v>535</v>
      </c>
      <c r="P17" s="62">
        <v>46</v>
      </c>
      <c r="Q17" s="62">
        <v>8</v>
      </c>
      <c r="R17" s="63">
        <v>332</v>
      </c>
      <c r="S17" s="63">
        <v>588</v>
      </c>
      <c r="T17" s="63">
        <v>51</v>
      </c>
      <c r="U17" s="63">
        <v>8</v>
      </c>
    </row>
    <row r="18" spans="1:21" x14ac:dyDescent="0.25">
      <c r="A18" s="58" t="s">
        <v>1971</v>
      </c>
      <c r="B18" s="58" t="s">
        <v>51</v>
      </c>
      <c r="C18" s="75">
        <v>650</v>
      </c>
      <c r="D18" s="75">
        <v>12</v>
      </c>
      <c r="E18" s="60">
        <v>689</v>
      </c>
      <c r="F18" s="60">
        <v>46</v>
      </c>
      <c r="G18" s="60">
        <v>10</v>
      </c>
      <c r="H18" s="59">
        <v>715</v>
      </c>
      <c r="I18" s="59">
        <v>48</v>
      </c>
      <c r="J18" s="59">
        <v>11</v>
      </c>
      <c r="K18" s="61">
        <v>607</v>
      </c>
      <c r="L18" s="61">
        <v>650</v>
      </c>
      <c r="M18" s="61">
        <v>12</v>
      </c>
      <c r="N18" s="62">
        <v>336</v>
      </c>
      <c r="O18" s="62">
        <v>689</v>
      </c>
      <c r="P18" s="62">
        <v>46</v>
      </c>
      <c r="Q18" s="62">
        <v>8</v>
      </c>
      <c r="R18" s="63">
        <v>332</v>
      </c>
      <c r="S18" s="63">
        <v>715</v>
      </c>
      <c r="T18" s="63">
        <v>48</v>
      </c>
      <c r="U18" s="63">
        <v>7</v>
      </c>
    </row>
    <row r="19" spans="1:21" x14ac:dyDescent="0.25">
      <c r="A19" s="58" t="s">
        <v>1972</v>
      </c>
      <c r="B19" s="58" t="s">
        <v>52</v>
      </c>
      <c r="C19" s="75">
        <v>650</v>
      </c>
      <c r="D19" s="75">
        <v>13</v>
      </c>
      <c r="E19" s="60">
        <v>683</v>
      </c>
      <c r="F19" s="60">
        <v>60</v>
      </c>
      <c r="G19" s="60">
        <v>12</v>
      </c>
      <c r="H19" s="59">
        <v>728</v>
      </c>
      <c r="I19" s="59">
        <v>64</v>
      </c>
      <c r="J19" s="59">
        <v>13</v>
      </c>
      <c r="K19" s="61">
        <v>607</v>
      </c>
      <c r="L19" s="61">
        <v>650</v>
      </c>
      <c r="M19" s="61">
        <v>13</v>
      </c>
      <c r="N19" s="62">
        <v>336</v>
      </c>
      <c r="O19" s="62">
        <v>683</v>
      </c>
      <c r="P19" s="62">
        <v>60</v>
      </c>
      <c r="Q19" s="62">
        <v>10</v>
      </c>
      <c r="R19" s="63">
        <v>336</v>
      </c>
      <c r="S19" s="63">
        <v>728</v>
      </c>
      <c r="T19" s="63">
        <v>64</v>
      </c>
      <c r="U19" s="63">
        <v>8</v>
      </c>
    </row>
    <row r="20" spans="1:21" x14ac:dyDescent="0.25">
      <c r="A20" s="58" t="s">
        <v>1973</v>
      </c>
      <c r="B20" s="58" t="s">
        <v>53</v>
      </c>
      <c r="C20" s="75">
        <v>98</v>
      </c>
      <c r="D20" s="75">
        <v>4</v>
      </c>
      <c r="E20" s="60">
        <v>113</v>
      </c>
      <c r="F20" s="60">
        <v>23</v>
      </c>
      <c r="G20" s="60">
        <v>3</v>
      </c>
      <c r="H20" s="59">
        <v>129</v>
      </c>
      <c r="I20" s="59">
        <v>27</v>
      </c>
      <c r="J20" s="59">
        <v>3</v>
      </c>
      <c r="K20" s="61">
        <v>115</v>
      </c>
      <c r="L20" s="61">
        <v>98</v>
      </c>
      <c r="M20" s="61">
        <v>4</v>
      </c>
      <c r="N20" s="62">
        <v>70</v>
      </c>
      <c r="O20" s="62">
        <v>113</v>
      </c>
      <c r="P20" s="62">
        <v>23</v>
      </c>
      <c r="Q20" s="62">
        <v>2</v>
      </c>
      <c r="R20" s="63">
        <v>70</v>
      </c>
      <c r="S20" s="63">
        <v>129</v>
      </c>
      <c r="T20" s="63">
        <v>27</v>
      </c>
      <c r="U20" s="63">
        <v>3</v>
      </c>
    </row>
    <row r="21" spans="1:21" x14ac:dyDescent="0.25">
      <c r="A21" s="58" t="s">
        <v>1974</v>
      </c>
      <c r="B21" s="58" t="s">
        <v>54</v>
      </c>
      <c r="C21" s="75">
        <v>115</v>
      </c>
      <c r="D21" s="75">
        <v>5</v>
      </c>
      <c r="E21" s="60">
        <v>133</v>
      </c>
      <c r="F21" s="60">
        <v>26</v>
      </c>
      <c r="G21" s="60">
        <v>4</v>
      </c>
      <c r="H21" s="59">
        <v>150</v>
      </c>
      <c r="I21" s="59">
        <v>29</v>
      </c>
      <c r="J21" s="59">
        <v>4</v>
      </c>
      <c r="K21" s="61">
        <v>141</v>
      </c>
      <c r="L21" s="61">
        <v>115</v>
      </c>
      <c r="M21" s="61">
        <v>5</v>
      </c>
      <c r="N21" s="62">
        <v>141</v>
      </c>
      <c r="O21" s="62">
        <v>133</v>
      </c>
      <c r="P21" s="62">
        <v>26</v>
      </c>
      <c r="Q21" s="62">
        <v>4</v>
      </c>
      <c r="R21" s="63">
        <v>141</v>
      </c>
      <c r="S21" s="63">
        <v>150</v>
      </c>
      <c r="T21" s="63">
        <v>29</v>
      </c>
      <c r="U21" s="63">
        <v>4</v>
      </c>
    </row>
    <row r="22" spans="1:21" x14ac:dyDescent="0.25">
      <c r="A22" s="58" t="s">
        <v>1975</v>
      </c>
      <c r="B22" s="58" t="s">
        <v>55</v>
      </c>
      <c r="C22" s="75">
        <v>185</v>
      </c>
      <c r="D22" s="75">
        <v>5</v>
      </c>
      <c r="E22" s="60">
        <v>206</v>
      </c>
      <c r="F22" s="60">
        <v>32</v>
      </c>
      <c r="G22" s="60">
        <v>6</v>
      </c>
      <c r="H22" s="59">
        <v>239</v>
      </c>
      <c r="I22" s="59">
        <v>37</v>
      </c>
      <c r="J22" s="59">
        <v>7</v>
      </c>
      <c r="K22" s="61">
        <v>241</v>
      </c>
      <c r="L22" s="61">
        <v>185</v>
      </c>
      <c r="M22" s="61">
        <v>5</v>
      </c>
      <c r="N22" s="62">
        <v>193</v>
      </c>
      <c r="O22" s="62">
        <v>206</v>
      </c>
      <c r="P22" s="62">
        <v>32</v>
      </c>
      <c r="Q22" s="62">
        <v>6</v>
      </c>
      <c r="R22" s="63">
        <v>193</v>
      </c>
      <c r="S22" s="63">
        <v>239</v>
      </c>
      <c r="T22" s="63">
        <v>37</v>
      </c>
      <c r="U22" s="63">
        <v>6</v>
      </c>
    </row>
    <row r="23" spans="1:21" x14ac:dyDescent="0.25">
      <c r="A23" s="58" t="s">
        <v>1976</v>
      </c>
      <c r="B23" s="58" t="s">
        <v>56</v>
      </c>
      <c r="C23" s="75">
        <v>208</v>
      </c>
      <c r="D23" s="75">
        <v>6</v>
      </c>
      <c r="E23" s="60">
        <v>233</v>
      </c>
      <c r="F23" s="60">
        <v>39</v>
      </c>
      <c r="G23" s="60">
        <v>7</v>
      </c>
      <c r="H23" s="59">
        <v>271</v>
      </c>
      <c r="I23" s="59">
        <v>45</v>
      </c>
      <c r="J23" s="59">
        <v>8</v>
      </c>
      <c r="K23" s="61">
        <v>253</v>
      </c>
      <c r="L23" s="61">
        <v>208</v>
      </c>
      <c r="M23" s="61">
        <v>6</v>
      </c>
      <c r="N23" s="62">
        <v>193</v>
      </c>
      <c r="O23" s="62">
        <v>233</v>
      </c>
      <c r="P23" s="62">
        <v>39</v>
      </c>
      <c r="Q23" s="62">
        <v>7</v>
      </c>
      <c r="R23" s="63">
        <v>193</v>
      </c>
      <c r="S23" s="63">
        <v>271</v>
      </c>
      <c r="T23" s="63">
        <v>45</v>
      </c>
      <c r="U23" s="63">
        <v>7</v>
      </c>
    </row>
    <row r="24" spans="1:21" x14ac:dyDescent="0.25">
      <c r="A24" s="58" t="s">
        <v>1977</v>
      </c>
      <c r="B24" s="58" t="s">
        <v>57</v>
      </c>
      <c r="C24" s="75">
        <v>231</v>
      </c>
      <c r="D24" s="75">
        <v>7</v>
      </c>
      <c r="E24" s="60">
        <v>250</v>
      </c>
      <c r="F24" s="60">
        <v>36</v>
      </c>
      <c r="G24" s="60">
        <v>7</v>
      </c>
      <c r="H24" s="59">
        <v>301</v>
      </c>
      <c r="I24" s="59">
        <v>43</v>
      </c>
      <c r="J24" s="59">
        <v>8</v>
      </c>
      <c r="K24" s="61">
        <v>321</v>
      </c>
      <c r="L24" s="61">
        <v>231</v>
      </c>
      <c r="M24" s="61">
        <v>7</v>
      </c>
      <c r="N24" s="62">
        <v>268</v>
      </c>
      <c r="O24" s="62">
        <v>250</v>
      </c>
      <c r="P24" s="62">
        <v>36</v>
      </c>
      <c r="Q24" s="62">
        <v>7</v>
      </c>
      <c r="R24" s="63">
        <v>268</v>
      </c>
      <c r="S24" s="63">
        <v>301</v>
      </c>
      <c r="T24" s="63">
        <v>43</v>
      </c>
      <c r="U24" s="63">
        <v>7</v>
      </c>
    </row>
    <row r="25" spans="1:21" x14ac:dyDescent="0.25">
      <c r="A25" s="58" t="s">
        <v>1978</v>
      </c>
      <c r="B25" s="58" t="s">
        <v>58</v>
      </c>
      <c r="C25" s="75">
        <v>290</v>
      </c>
      <c r="D25" s="75">
        <v>7</v>
      </c>
      <c r="E25" s="60">
        <v>322</v>
      </c>
      <c r="F25" s="60">
        <v>44</v>
      </c>
      <c r="G25" s="60">
        <v>8</v>
      </c>
      <c r="H25" s="59">
        <v>377</v>
      </c>
      <c r="I25" s="59">
        <v>51</v>
      </c>
      <c r="J25" s="59">
        <v>10</v>
      </c>
      <c r="K25" s="61">
        <v>334</v>
      </c>
      <c r="L25" s="61">
        <v>290</v>
      </c>
      <c r="M25" s="61">
        <v>7</v>
      </c>
      <c r="N25" s="62">
        <v>334</v>
      </c>
      <c r="O25" s="62">
        <v>322</v>
      </c>
      <c r="P25" s="62">
        <v>44</v>
      </c>
      <c r="Q25" s="62">
        <v>8</v>
      </c>
      <c r="R25" s="63">
        <v>334</v>
      </c>
      <c r="S25" s="63">
        <v>377</v>
      </c>
      <c r="T25" s="63">
        <v>51</v>
      </c>
      <c r="U25" s="63">
        <v>8</v>
      </c>
    </row>
    <row r="26" spans="1:21" x14ac:dyDescent="0.25">
      <c r="A26" s="58" t="s">
        <v>1979</v>
      </c>
      <c r="B26" s="58" t="s">
        <v>59</v>
      </c>
      <c r="C26" s="75">
        <v>308</v>
      </c>
      <c r="D26" s="75">
        <v>9</v>
      </c>
      <c r="E26" s="60">
        <v>339</v>
      </c>
      <c r="F26" s="60">
        <v>39</v>
      </c>
      <c r="G26" s="60">
        <v>8</v>
      </c>
      <c r="H26" s="59">
        <v>404</v>
      </c>
      <c r="I26" s="59">
        <v>46</v>
      </c>
      <c r="J26" s="59">
        <v>10</v>
      </c>
      <c r="K26" s="61">
        <v>334</v>
      </c>
      <c r="L26" s="61">
        <v>308</v>
      </c>
      <c r="M26" s="61">
        <v>9</v>
      </c>
      <c r="N26" s="62">
        <v>334</v>
      </c>
      <c r="O26" s="62">
        <v>339</v>
      </c>
      <c r="P26" s="62">
        <v>39</v>
      </c>
      <c r="Q26" s="62">
        <v>8</v>
      </c>
      <c r="R26" s="63">
        <v>334</v>
      </c>
      <c r="S26" s="63">
        <v>404</v>
      </c>
      <c r="T26" s="63">
        <v>46</v>
      </c>
      <c r="U26" s="63">
        <v>8</v>
      </c>
    </row>
    <row r="27" spans="1:21" x14ac:dyDescent="0.25">
      <c r="A27" s="58" t="s">
        <v>1980</v>
      </c>
      <c r="B27" s="58" t="s">
        <v>60</v>
      </c>
      <c r="C27" s="75">
        <v>322</v>
      </c>
      <c r="D27" s="75">
        <v>10</v>
      </c>
      <c r="E27" s="60">
        <v>374</v>
      </c>
      <c r="F27" s="60">
        <v>52</v>
      </c>
      <c r="G27" s="60">
        <v>10</v>
      </c>
      <c r="H27" s="59">
        <v>422</v>
      </c>
      <c r="I27" s="59">
        <v>58</v>
      </c>
      <c r="J27" s="59">
        <v>11</v>
      </c>
      <c r="K27" s="61">
        <v>338</v>
      </c>
      <c r="L27" s="61">
        <v>322</v>
      </c>
      <c r="M27" s="61">
        <v>10</v>
      </c>
      <c r="N27" s="62">
        <v>338</v>
      </c>
      <c r="O27" s="62">
        <v>374</v>
      </c>
      <c r="P27" s="62">
        <v>52</v>
      </c>
      <c r="Q27" s="62">
        <v>10</v>
      </c>
      <c r="R27" s="63">
        <v>338</v>
      </c>
      <c r="S27" s="63">
        <v>422</v>
      </c>
      <c r="T27" s="63">
        <v>58</v>
      </c>
      <c r="U27" s="63">
        <v>10</v>
      </c>
    </row>
    <row r="28" spans="1:21" x14ac:dyDescent="0.25">
      <c r="A28" s="58" t="s">
        <v>1981</v>
      </c>
      <c r="B28" s="58" t="s">
        <v>61</v>
      </c>
      <c r="C28" s="75">
        <v>404</v>
      </c>
      <c r="D28" s="75">
        <v>13</v>
      </c>
      <c r="E28" s="60">
        <v>457</v>
      </c>
      <c r="F28" s="60">
        <v>59</v>
      </c>
      <c r="G28" s="60">
        <v>12</v>
      </c>
      <c r="H28" s="59">
        <v>526</v>
      </c>
      <c r="I28" s="59">
        <v>68</v>
      </c>
      <c r="J28" s="59">
        <v>13</v>
      </c>
      <c r="K28" s="61">
        <v>422</v>
      </c>
      <c r="L28" s="61">
        <v>404</v>
      </c>
      <c r="M28" s="61">
        <v>13</v>
      </c>
      <c r="N28" s="62">
        <v>338</v>
      </c>
      <c r="O28" s="62">
        <v>457</v>
      </c>
      <c r="P28" s="62">
        <v>59</v>
      </c>
      <c r="Q28" s="62">
        <v>12</v>
      </c>
      <c r="R28" s="63">
        <v>338</v>
      </c>
      <c r="S28" s="63">
        <v>526</v>
      </c>
      <c r="T28" s="63">
        <v>68</v>
      </c>
      <c r="U28" s="63">
        <v>12</v>
      </c>
    </row>
    <row r="29" spans="1:21" x14ac:dyDescent="0.25">
      <c r="A29" s="58" t="s">
        <v>1982</v>
      </c>
      <c r="B29" s="58" t="s">
        <v>62</v>
      </c>
      <c r="C29" s="75">
        <v>477</v>
      </c>
      <c r="D29" s="75">
        <v>15</v>
      </c>
      <c r="E29" s="60">
        <v>520</v>
      </c>
      <c r="F29" s="60">
        <v>57</v>
      </c>
      <c r="G29" s="60">
        <v>12</v>
      </c>
      <c r="H29" s="59">
        <v>616</v>
      </c>
      <c r="I29" s="59">
        <v>68</v>
      </c>
      <c r="J29" s="59">
        <v>15</v>
      </c>
      <c r="K29" s="61">
        <v>503</v>
      </c>
      <c r="L29" s="61">
        <v>477</v>
      </c>
      <c r="M29" s="61">
        <v>15</v>
      </c>
      <c r="N29" s="62">
        <v>400</v>
      </c>
      <c r="O29" s="62">
        <v>520</v>
      </c>
      <c r="P29" s="62">
        <v>57</v>
      </c>
      <c r="Q29" s="62">
        <v>12</v>
      </c>
      <c r="R29" s="63">
        <v>400</v>
      </c>
      <c r="S29" s="63">
        <v>616</v>
      </c>
      <c r="T29" s="63">
        <v>68</v>
      </c>
      <c r="U29" s="63">
        <v>12</v>
      </c>
    </row>
    <row r="30" spans="1:21" x14ac:dyDescent="0.25">
      <c r="A30" s="58" t="s">
        <v>1983</v>
      </c>
      <c r="B30" s="58" t="s">
        <v>63</v>
      </c>
      <c r="C30" s="75">
        <v>477</v>
      </c>
      <c r="D30" s="75">
        <v>15</v>
      </c>
      <c r="E30" s="60">
        <v>497</v>
      </c>
      <c r="F30" s="60">
        <v>91</v>
      </c>
      <c r="G30" s="60">
        <v>18</v>
      </c>
      <c r="H30" s="59">
        <v>616</v>
      </c>
      <c r="I30" s="59">
        <v>113</v>
      </c>
      <c r="J30" s="59">
        <v>22</v>
      </c>
      <c r="K30" s="61">
        <v>503</v>
      </c>
      <c r="L30" s="61">
        <v>477</v>
      </c>
      <c r="M30" s="61">
        <v>15</v>
      </c>
      <c r="N30" s="62">
        <v>400</v>
      </c>
      <c r="O30" s="62">
        <v>497</v>
      </c>
      <c r="P30" s="62">
        <v>91</v>
      </c>
      <c r="Q30" s="62">
        <v>18</v>
      </c>
      <c r="R30" s="63">
        <v>400</v>
      </c>
      <c r="S30" s="63">
        <v>616</v>
      </c>
      <c r="T30" s="63">
        <v>113</v>
      </c>
      <c r="U30" s="63">
        <v>18</v>
      </c>
    </row>
    <row r="31" spans="1:21" x14ac:dyDescent="0.25">
      <c r="A31" s="58" t="s">
        <v>1984</v>
      </c>
      <c r="B31" s="58" t="s">
        <v>64</v>
      </c>
      <c r="C31" s="75">
        <v>507</v>
      </c>
      <c r="D31" s="75">
        <v>16</v>
      </c>
      <c r="E31" s="60">
        <v>528</v>
      </c>
      <c r="F31" s="60">
        <v>99</v>
      </c>
      <c r="G31" s="60">
        <v>21</v>
      </c>
      <c r="H31" s="59">
        <v>655</v>
      </c>
      <c r="I31" s="59">
        <v>123</v>
      </c>
      <c r="J31" s="59">
        <v>26</v>
      </c>
      <c r="K31" s="61">
        <v>503</v>
      </c>
      <c r="L31" s="61">
        <v>507</v>
      </c>
      <c r="M31" s="61">
        <v>16</v>
      </c>
      <c r="N31" s="62">
        <v>418</v>
      </c>
      <c r="O31" s="62">
        <v>528</v>
      </c>
      <c r="P31" s="62">
        <v>99</v>
      </c>
      <c r="Q31" s="62">
        <v>21</v>
      </c>
      <c r="R31" s="63">
        <v>418</v>
      </c>
      <c r="S31" s="63">
        <v>655</v>
      </c>
      <c r="T31" s="63">
        <v>123</v>
      </c>
      <c r="U31" s="63">
        <v>21</v>
      </c>
    </row>
    <row r="32" spans="1:21" x14ac:dyDescent="0.25">
      <c r="A32" s="58" t="s">
        <v>1985</v>
      </c>
      <c r="B32" s="58" t="s">
        <v>65</v>
      </c>
      <c r="C32" s="75">
        <v>507</v>
      </c>
      <c r="D32" s="75">
        <v>16</v>
      </c>
      <c r="E32" s="60">
        <v>518</v>
      </c>
      <c r="F32" s="60">
        <v>107</v>
      </c>
      <c r="G32" s="60">
        <v>25</v>
      </c>
      <c r="H32" s="59">
        <v>649</v>
      </c>
      <c r="I32" s="59">
        <v>134</v>
      </c>
      <c r="J32" s="59">
        <v>31</v>
      </c>
      <c r="K32" s="61">
        <v>503</v>
      </c>
      <c r="L32" s="61">
        <v>507</v>
      </c>
      <c r="M32" s="61">
        <v>16</v>
      </c>
      <c r="N32" s="62">
        <v>418</v>
      </c>
      <c r="O32" s="62">
        <v>518</v>
      </c>
      <c r="P32" s="62">
        <v>107</v>
      </c>
      <c r="Q32" s="62">
        <v>25</v>
      </c>
      <c r="R32" s="63">
        <v>418</v>
      </c>
      <c r="S32" s="63">
        <v>649</v>
      </c>
      <c r="T32" s="63">
        <v>134</v>
      </c>
      <c r="U32" s="63">
        <v>25</v>
      </c>
    </row>
    <row r="33" spans="1:21" x14ac:dyDescent="0.25">
      <c r="A33" s="58" t="s">
        <v>1986</v>
      </c>
      <c r="B33" s="58" t="s">
        <v>66</v>
      </c>
      <c r="C33" s="75">
        <v>591</v>
      </c>
      <c r="D33" s="75">
        <v>18</v>
      </c>
      <c r="E33" s="60">
        <v>633</v>
      </c>
      <c r="F33" s="60">
        <v>64</v>
      </c>
      <c r="G33" s="60">
        <v>17</v>
      </c>
      <c r="H33" s="59">
        <v>757</v>
      </c>
      <c r="I33" s="59">
        <v>76</v>
      </c>
      <c r="J33" s="59">
        <v>20</v>
      </c>
      <c r="K33" s="61">
        <v>587</v>
      </c>
      <c r="L33" s="61">
        <v>591</v>
      </c>
      <c r="M33" s="61">
        <v>18</v>
      </c>
      <c r="N33" s="62">
        <v>470</v>
      </c>
      <c r="O33" s="62">
        <v>633</v>
      </c>
      <c r="P33" s="62">
        <v>64</v>
      </c>
      <c r="Q33" s="62">
        <v>17</v>
      </c>
      <c r="R33" s="63">
        <v>470</v>
      </c>
      <c r="S33" s="63">
        <v>757</v>
      </c>
      <c r="T33" s="63">
        <v>76</v>
      </c>
      <c r="U33" s="63">
        <v>17</v>
      </c>
    </row>
    <row r="34" spans="1:21" x14ac:dyDescent="0.25">
      <c r="A34" s="58" t="s">
        <v>1987</v>
      </c>
      <c r="B34" s="58" t="s">
        <v>67</v>
      </c>
      <c r="C34" s="75">
        <v>591</v>
      </c>
      <c r="D34" s="75">
        <v>18</v>
      </c>
      <c r="E34" s="60">
        <v>615</v>
      </c>
      <c r="F34" s="60">
        <v>85</v>
      </c>
      <c r="G34" s="60">
        <v>24</v>
      </c>
      <c r="H34" s="59">
        <v>757</v>
      </c>
      <c r="I34" s="59">
        <v>104</v>
      </c>
      <c r="J34" s="59">
        <v>30</v>
      </c>
      <c r="K34" s="61">
        <v>587</v>
      </c>
      <c r="L34" s="61">
        <v>591</v>
      </c>
      <c r="M34" s="61">
        <v>18</v>
      </c>
      <c r="N34" s="62">
        <v>470</v>
      </c>
      <c r="O34" s="62">
        <v>615</v>
      </c>
      <c r="P34" s="62">
        <v>85</v>
      </c>
      <c r="Q34" s="62">
        <v>24</v>
      </c>
      <c r="R34" s="63">
        <v>470</v>
      </c>
      <c r="S34" s="63">
        <v>757</v>
      </c>
      <c r="T34" s="63">
        <v>104</v>
      </c>
      <c r="U34" s="63">
        <v>22</v>
      </c>
    </row>
    <row r="35" spans="1:21" x14ac:dyDescent="0.25">
      <c r="A35" s="58" t="s">
        <v>1988</v>
      </c>
      <c r="B35" s="58" t="s">
        <v>68</v>
      </c>
      <c r="C35" s="75">
        <v>591</v>
      </c>
      <c r="D35" s="75">
        <v>19</v>
      </c>
      <c r="E35" s="60">
        <v>591</v>
      </c>
      <c r="F35" s="60">
        <v>105</v>
      </c>
      <c r="G35" s="60">
        <v>31</v>
      </c>
      <c r="H35" s="59">
        <v>757</v>
      </c>
      <c r="I35" s="59">
        <v>135</v>
      </c>
      <c r="J35" s="59">
        <v>40</v>
      </c>
      <c r="K35" s="61">
        <v>587</v>
      </c>
      <c r="L35" s="61">
        <v>591</v>
      </c>
      <c r="M35" s="61">
        <v>19</v>
      </c>
      <c r="N35" s="62">
        <v>470</v>
      </c>
      <c r="O35" s="62">
        <v>591</v>
      </c>
      <c r="P35" s="62">
        <v>105</v>
      </c>
      <c r="Q35" s="62">
        <v>31</v>
      </c>
      <c r="R35" s="63">
        <v>470</v>
      </c>
      <c r="S35" s="63">
        <v>757</v>
      </c>
      <c r="T35" s="63">
        <v>135</v>
      </c>
      <c r="U35" s="63">
        <v>25</v>
      </c>
    </row>
    <row r="36" spans="1:21" x14ac:dyDescent="0.25">
      <c r="A36" s="58" t="s">
        <v>1989</v>
      </c>
      <c r="B36" s="58" t="s">
        <v>69</v>
      </c>
      <c r="C36" s="75">
        <v>591</v>
      </c>
      <c r="D36" s="75">
        <v>19</v>
      </c>
      <c r="E36" s="60">
        <v>591</v>
      </c>
      <c r="F36" s="60">
        <v>116</v>
      </c>
      <c r="G36" s="60">
        <v>35</v>
      </c>
      <c r="H36" s="59">
        <v>757</v>
      </c>
      <c r="I36" s="59">
        <v>149</v>
      </c>
      <c r="J36" s="59">
        <v>45</v>
      </c>
      <c r="K36" s="61">
        <v>587</v>
      </c>
      <c r="L36" s="61">
        <v>591</v>
      </c>
      <c r="M36" s="61">
        <v>19</v>
      </c>
      <c r="N36" s="62">
        <v>470</v>
      </c>
      <c r="O36" s="62">
        <v>591</v>
      </c>
      <c r="P36" s="62">
        <v>116</v>
      </c>
      <c r="Q36" s="62">
        <v>35</v>
      </c>
      <c r="R36" s="63">
        <v>470</v>
      </c>
      <c r="S36" s="63">
        <v>757</v>
      </c>
      <c r="T36" s="63">
        <v>149</v>
      </c>
      <c r="U36" s="63">
        <v>28</v>
      </c>
    </row>
  </sheetData>
  <mergeCells count="6">
    <mergeCell ref="C1:D1"/>
    <mergeCell ref="R1:U1"/>
    <mergeCell ref="N1:Q1"/>
    <mergeCell ref="K1:M1"/>
    <mergeCell ref="H1:J1"/>
    <mergeCell ref="E1:G1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22"/>
  <dimension ref="A1:AA36"/>
  <sheetViews>
    <sheetView workbookViewId="0">
      <selection activeCell="B4" sqref="B4:B11"/>
    </sheetView>
  </sheetViews>
  <sheetFormatPr defaultRowHeight="15" x14ac:dyDescent="0.25"/>
  <cols>
    <col min="4" max="4" width="13.140625" customWidth="1"/>
  </cols>
  <sheetData>
    <row r="1" spans="1:27" ht="107.25" customHeight="1" x14ac:dyDescent="0.25">
      <c r="A1" s="58" t="s">
        <v>679</v>
      </c>
      <c r="B1" s="58" t="s">
        <v>680</v>
      </c>
      <c r="C1" s="76"/>
      <c r="D1" s="77" t="s">
        <v>2133</v>
      </c>
      <c r="E1" s="343" t="s">
        <v>1915</v>
      </c>
      <c r="F1" s="343"/>
      <c r="G1" s="342" t="s">
        <v>1991</v>
      </c>
      <c r="H1" s="342"/>
      <c r="I1" s="366" t="s">
        <v>1992</v>
      </c>
      <c r="J1" s="366"/>
      <c r="K1" s="366"/>
      <c r="L1" s="365" t="s">
        <v>1993</v>
      </c>
      <c r="M1" s="365"/>
      <c r="N1" s="365"/>
      <c r="O1" s="364" t="s">
        <v>1994</v>
      </c>
      <c r="P1" s="364"/>
      <c r="Q1" s="364"/>
    </row>
    <row r="2" spans="1:27" x14ac:dyDescent="0.25">
      <c r="A2" s="58" t="s">
        <v>632</v>
      </c>
      <c r="B2" s="58" t="s">
        <v>632</v>
      </c>
      <c r="C2" s="76" t="s">
        <v>13</v>
      </c>
      <c r="D2" s="75" t="s">
        <v>14</v>
      </c>
      <c r="E2" s="59" t="s">
        <v>14</v>
      </c>
      <c r="F2" s="59" t="s">
        <v>612</v>
      </c>
      <c r="G2" s="60" t="s">
        <v>14</v>
      </c>
      <c r="H2" s="60" t="s">
        <v>612</v>
      </c>
      <c r="I2" s="61" t="s">
        <v>625</v>
      </c>
      <c r="J2" s="61" t="s">
        <v>14</v>
      </c>
      <c r="K2" s="61" t="s">
        <v>612</v>
      </c>
      <c r="L2" s="62" t="s">
        <v>625</v>
      </c>
      <c r="M2" s="62" t="s">
        <v>14</v>
      </c>
      <c r="N2" s="62" t="s">
        <v>612</v>
      </c>
      <c r="O2" s="63" t="s">
        <v>625</v>
      </c>
      <c r="P2" s="63" t="s">
        <v>14</v>
      </c>
      <c r="Q2" s="63" t="s">
        <v>612</v>
      </c>
      <c r="X2" t="s">
        <v>1147</v>
      </c>
      <c r="Y2" t="s">
        <v>636</v>
      </c>
      <c r="Z2" t="s">
        <v>14</v>
      </c>
      <c r="AA2" t="s">
        <v>612</v>
      </c>
    </row>
    <row r="3" spans="1:27" x14ac:dyDescent="0.25">
      <c r="A3" s="58" t="s">
        <v>1995</v>
      </c>
      <c r="B3" s="58" t="s">
        <v>37</v>
      </c>
      <c r="C3" s="58">
        <v>100</v>
      </c>
      <c r="D3" s="75">
        <v>9</v>
      </c>
      <c r="E3" s="59">
        <v>26</v>
      </c>
      <c r="F3" s="59">
        <v>2</v>
      </c>
      <c r="G3" s="60">
        <v>110</v>
      </c>
      <c r="H3" s="60">
        <v>12</v>
      </c>
      <c r="I3" s="61">
        <v>130</v>
      </c>
      <c r="J3" s="61">
        <v>25</v>
      </c>
      <c r="K3" s="61">
        <v>1</v>
      </c>
      <c r="L3" s="62">
        <v>130</v>
      </c>
      <c r="M3" s="62">
        <v>30</v>
      </c>
      <c r="N3" s="62">
        <v>2</v>
      </c>
      <c r="O3" s="63">
        <v>130</v>
      </c>
      <c r="P3" s="63">
        <v>45</v>
      </c>
      <c r="Q3" s="63">
        <v>2</v>
      </c>
      <c r="W3">
        <v>1</v>
      </c>
      <c r="X3" s="1" t="s">
        <v>629</v>
      </c>
      <c r="Y3" s="1">
        <v>3</v>
      </c>
      <c r="Z3" s="1">
        <v>4</v>
      </c>
      <c r="AA3" s="1" t="s">
        <v>629</v>
      </c>
    </row>
    <row r="4" spans="1:27" x14ac:dyDescent="0.25">
      <c r="A4" s="58" t="s">
        <v>1996</v>
      </c>
      <c r="B4" s="58" t="s">
        <v>38</v>
      </c>
      <c r="C4" s="58">
        <v>121</v>
      </c>
      <c r="D4" s="75">
        <v>13</v>
      </c>
      <c r="E4" s="59">
        <v>33</v>
      </c>
      <c r="F4" s="59">
        <v>2</v>
      </c>
      <c r="G4" s="60">
        <v>115</v>
      </c>
      <c r="H4" s="60">
        <v>12</v>
      </c>
      <c r="I4" s="61">
        <v>134</v>
      </c>
      <c r="J4" s="61">
        <v>23</v>
      </c>
      <c r="K4" s="61">
        <v>2</v>
      </c>
      <c r="L4" s="62">
        <v>134</v>
      </c>
      <c r="M4" s="62">
        <v>30</v>
      </c>
      <c r="N4" s="62">
        <v>3</v>
      </c>
      <c r="O4" s="63">
        <v>134</v>
      </c>
      <c r="P4" s="63">
        <v>50</v>
      </c>
      <c r="Q4" s="63">
        <v>3</v>
      </c>
      <c r="W4">
        <v>2</v>
      </c>
      <c r="X4" s="1" t="s">
        <v>629</v>
      </c>
      <c r="Y4" s="1">
        <v>3</v>
      </c>
      <c r="Z4" s="1">
        <v>5</v>
      </c>
      <c r="AA4" s="1">
        <v>6</v>
      </c>
    </row>
    <row r="5" spans="1:27" x14ac:dyDescent="0.25">
      <c r="A5" s="58" t="s">
        <v>1997</v>
      </c>
      <c r="B5" s="58" t="s">
        <v>39</v>
      </c>
      <c r="C5" s="58">
        <v>97</v>
      </c>
      <c r="D5" s="75">
        <v>9</v>
      </c>
      <c r="E5" s="59">
        <v>17</v>
      </c>
      <c r="F5" s="59">
        <v>1</v>
      </c>
      <c r="G5" s="60">
        <v>115</v>
      </c>
      <c r="H5" s="60">
        <v>12</v>
      </c>
      <c r="I5" s="61">
        <v>151</v>
      </c>
      <c r="J5" s="61">
        <v>20</v>
      </c>
      <c r="K5" s="61">
        <v>1</v>
      </c>
      <c r="L5" s="62">
        <v>151</v>
      </c>
      <c r="M5" s="62">
        <v>20</v>
      </c>
      <c r="N5" s="62">
        <v>1</v>
      </c>
      <c r="O5" s="63">
        <v>151</v>
      </c>
      <c r="P5" s="63">
        <v>50</v>
      </c>
      <c r="Q5" s="63">
        <v>3</v>
      </c>
      <c r="W5">
        <v>3</v>
      </c>
      <c r="X5" s="1" t="s">
        <v>629</v>
      </c>
      <c r="Y5" s="1">
        <v>3</v>
      </c>
      <c r="Z5" s="1">
        <v>7</v>
      </c>
      <c r="AA5" s="1">
        <v>8</v>
      </c>
    </row>
    <row r="6" spans="1:27" x14ac:dyDescent="0.25">
      <c r="A6" s="58" t="s">
        <v>1998</v>
      </c>
      <c r="B6" s="58" t="s">
        <v>40</v>
      </c>
      <c r="C6" s="58">
        <v>115</v>
      </c>
      <c r="D6" s="75">
        <v>14</v>
      </c>
      <c r="E6" s="59">
        <v>20</v>
      </c>
      <c r="F6" s="59">
        <v>1</v>
      </c>
      <c r="G6" s="60">
        <v>120</v>
      </c>
      <c r="H6" s="60">
        <v>10</v>
      </c>
      <c r="I6" s="61">
        <v>181</v>
      </c>
      <c r="J6" s="61">
        <v>30</v>
      </c>
      <c r="K6" s="61">
        <v>1</v>
      </c>
      <c r="L6" s="62">
        <v>181</v>
      </c>
      <c r="M6" s="62">
        <v>30</v>
      </c>
      <c r="N6" s="62">
        <v>1</v>
      </c>
      <c r="O6" s="63">
        <v>181</v>
      </c>
      <c r="P6" s="63">
        <v>50</v>
      </c>
      <c r="Q6" s="63">
        <v>2</v>
      </c>
      <c r="W6">
        <v>4</v>
      </c>
      <c r="X6" s="1">
        <v>9</v>
      </c>
      <c r="Y6" s="1">
        <v>3</v>
      </c>
      <c r="Z6" s="1">
        <v>10</v>
      </c>
      <c r="AA6" s="1">
        <v>11</v>
      </c>
    </row>
    <row r="7" spans="1:27" x14ac:dyDescent="0.25">
      <c r="A7" s="58" t="s">
        <v>1999</v>
      </c>
      <c r="B7" s="58" t="s">
        <v>41</v>
      </c>
      <c r="C7" s="58">
        <v>130</v>
      </c>
      <c r="D7" s="75">
        <v>14</v>
      </c>
      <c r="E7" s="59">
        <v>18</v>
      </c>
      <c r="F7" s="59">
        <v>2</v>
      </c>
      <c r="G7" s="60">
        <v>120</v>
      </c>
      <c r="H7" s="60">
        <v>9</v>
      </c>
      <c r="I7" s="61">
        <v>215</v>
      </c>
      <c r="J7" s="61">
        <v>21</v>
      </c>
      <c r="K7" s="61">
        <v>1</v>
      </c>
      <c r="L7" s="62">
        <v>215</v>
      </c>
      <c r="M7" s="62">
        <v>25</v>
      </c>
      <c r="N7" s="62">
        <v>1</v>
      </c>
      <c r="O7" s="63">
        <v>215</v>
      </c>
      <c r="P7" s="63">
        <v>45</v>
      </c>
      <c r="Q7" s="63">
        <v>2</v>
      </c>
      <c r="W7">
        <v>5</v>
      </c>
      <c r="X7" s="1">
        <v>12</v>
      </c>
      <c r="Y7" s="1">
        <v>3</v>
      </c>
      <c r="Z7" s="1">
        <v>13</v>
      </c>
      <c r="AA7" s="1">
        <v>14</v>
      </c>
    </row>
    <row r="8" spans="1:27" x14ac:dyDescent="0.25">
      <c r="A8" s="58" t="s">
        <v>2000</v>
      </c>
      <c r="B8" s="58" t="s">
        <v>42</v>
      </c>
      <c r="C8" s="58">
        <v>156</v>
      </c>
      <c r="D8" s="75">
        <v>18</v>
      </c>
      <c r="E8" s="59">
        <v>21</v>
      </c>
      <c r="F8" s="59">
        <v>3</v>
      </c>
      <c r="G8" s="60">
        <v>130</v>
      </c>
      <c r="H8" s="60">
        <v>10</v>
      </c>
      <c r="I8" s="61">
        <v>260</v>
      </c>
      <c r="J8" s="61">
        <v>23</v>
      </c>
      <c r="K8" s="61">
        <v>1</v>
      </c>
      <c r="L8" s="62">
        <v>260</v>
      </c>
      <c r="M8" s="62">
        <v>29</v>
      </c>
      <c r="N8" s="62">
        <v>1</v>
      </c>
      <c r="O8" s="63">
        <v>260</v>
      </c>
      <c r="P8" s="63">
        <v>40</v>
      </c>
      <c r="Q8" s="63">
        <v>2</v>
      </c>
      <c r="W8">
        <v>6</v>
      </c>
      <c r="X8" s="1">
        <v>15</v>
      </c>
      <c r="Y8" s="1">
        <v>3</v>
      </c>
      <c r="Z8" s="1">
        <v>16</v>
      </c>
      <c r="AA8" s="1">
        <v>17</v>
      </c>
    </row>
    <row r="9" spans="1:27" x14ac:dyDescent="0.25">
      <c r="A9" s="58" t="s">
        <v>2001</v>
      </c>
      <c r="B9" s="58" t="s">
        <v>43</v>
      </c>
      <c r="C9" s="58">
        <v>153</v>
      </c>
      <c r="D9" s="75">
        <v>13</v>
      </c>
      <c r="E9" s="59">
        <v>18</v>
      </c>
      <c r="F9" s="59">
        <v>2</v>
      </c>
      <c r="G9" s="60">
        <v>210</v>
      </c>
      <c r="H9" s="60">
        <v>10</v>
      </c>
      <c r="I9" s="61">
        <v>240</v>
      </c>
      <c r="J9" s="61">
        <v>25</v>
      </c>
      <c r="K9" s="61">
        <v>1</v>
      </c>
      <c r="L9" s="62">
        <v>240</v>
      </c>
      <c r="M9" s="62">
        <v>25</v>
      </c>
      <c r="N9" s="62">
        <v>2</v>
      </c>
      <c r="O9" s="63">
        <v>240</v>
      </c>
      <c r="P9" s="63">
        <v>45</v>
      </c>
      <c r="Q9" s="63">
        <v>4</v>
      </c>
    </row>
    <row r="10" spans="1:27" x14ac:dyDescent="0.25">
      <c r="A10" s="58" t="s">
        <v>2002</v>
      </c>
      <c r="B10" s="58" t="s">
        <v>44</v>
      </c>
      <c r="C10" s="58">
        <v>177</v>
      </c>
      <c r="D10" s="75">
        <v>16</v>
      </c>
      <c r="E10" s="59">
        <v>28</v>
      </c>
      <c r="F10" s="59">
        <v>4</v>
      </c>
      <c r="G10" s="60">
        <v>220</v>
      </c>
      <c r="H10" s="60">
        <v>10</v>
      </c>
      <c r="I10" s="61">
        <v>285</v>
      </c>
      <c r="J10" s="61">
        <v>35</v>
      </c>
      <c r="K10" s="61">
        <v>2</v>
      </c>
      <c r="L10" s="62">
        <v>285</v>
      </c>
      <c r="M10" s="62">
        <v>35</v>
      </c>
      <c r="N10" s="62">
        <v>3</v>
      </c>
      <c r="O10" s="63">
        <v>285</v>
      </c>
      <c r="P10" s="63">
        <v>50</v>
      </c>
      <c r="Q10" s="63">
        <v>3</v>
      </c>
    </row>
    <row r="11" spans="1:27" x14ac:dyDescent="0.25">
      <c r="A11" s="58" t="s">
        <v>2003</v>
      </c>
      <c r="B11" s="58" t="s">
        <v>45</v>
      </c>
      <c r="C11" s="58">
        <v>193</v>
      </c>
      <c r="D11" s="75">
        <v>17</v>
      </c>
      <c r="E11" s="59">
        <v>25</v>
      </c>
      <c r="F11" s="59">
        <v>3</v>
      </c>
      <c r="G11" s="60">
        <v>230</v>
      </c>
      <c r="H11" s="60">
        <v>10</v>
      </c>
      <c r="I11" s="61">
        <v>343</v>
      </c>
      <c r="J11" s="61">
        <v>26</v>
      </c>
      <c r="K11" s="61">
        <v>1</v>
      </c>
      <c r="L11" s="62">
        <v>343</v>
      </c>
      <c r="M11" s="62">
        <v>29</v>
      </c>
      <c r="N11" s="62">
        <v>2</v>
      </c>
      <c r="O11" s="63">
        <v>343</v>
      </c>
      <c r="P11" s="63">
        <v>55</v>
      </c>
      <c r="Q11" s="63">
        <v>4</v>
      </c>
    </row>
    <row r="12" spans="1:27" x14ac:dyDescent="0.25">
      <c r="A12" s="58" t="s">
        <v>2004</v>
      </c>
      <c r="B12" s="58" t="s">
        <v>46</v>
      </c>
      <c r="C12" s="58">
        <v>225</v>
      </c>
      <c r="D12" s="75">
        <v>24</v>
      </c>
      <c r="E12" s="59">
        <v>30</v>
      </c>
      <c r="F12" s="59">
        <v>4</v>
      </c>
      <c r="G12" s="60">
        <v>280</v>
      </c>
      <c r="H12" s="60">
        <v>12</v>
      </c>
      <c r="I12" s="61">
        <v>400</v>
      </c>
      <c r="J12" s="61">
        <v>30</v>
      </c>
      <c r="K12" s="61">
        <v>1</v>
      </c>
      <c r="L12" s="62">
        <v>400</v>
      </c>
      <c r="M12" s="62">
        <v>30</v>
      </c>
      <c r="N12" s="62">
        <v>2</v>
      </c>
      <c r="O12" s="63">
        <v>400</v>
      </c>
      <c r="P12" s="63">
        <v>60</v>
      </c>
      <c r="Q12" s="63">
        <v>5</v>
      </c>
    </row>
    <row r="13" spans="1:27" x14ac:dyDescent="0.25">
      <c r="A13" s="58" t="s">
        <v>2005</v>
      </c>
      <c r="B13" s="58" t="s">
        <v>47</v>
      </c>
      <c r="C13" s="58">
        <v>209</v>
      </c>
      <c r="D13" s="75">
        <v>30</v>
      </c>
      <c r="E13" s="59">
        <v>32</v>
      </c>
      <c r="F13" s="59">
        <v>5</v>
      </c>
      <c r="G13" s="60">
        <v>320</v>
      </c>
      <c r="H13" s="60">
        <v>16</v>
      </c>
      <c r="I13" s="61">
        <v>460</v>
      </c>
      <c r="J13" s="61">
        <v>32</v>
      </c>
      <c r="K13" s="61">
        <v>2</v>
      </c>
      <c r="L13" s="62">
        <v>460</v>
      </c>
      <c r="M13" s="62">
        <v>42</v>
      </c>
      <c r="N13" s="62">
        <v>2</v>
      </c>
      <c r="O13" s="63">
        <v>460</v>
      </c>
      <c r="P13" s="63">
        <v>55</v>
      </c>
      <c r="Q13" s="63">
        <v>4</v>
      </c>
    </row>
    <row r="14" spans="1:27" x14ac:dyDescent="0.25">
      <c r="A14" s="58" t="s">
        <v>2006</v>
      </c>
      <c r="B14" s="58" t="s">
        <v>48</v>
      </c>
      <c r="C14" s="58">
        <v>228</v>
      </c>
      <c r="D14" s="75">
        <v>29</v>
      </c>
      <c r="E14" s="59">
        <v>43</v>
      </c>
      <c r="F14" s="59">
        <v>5</v>
      </c>
      <c r="G14" s="60">
        <v>330</v>
      </c>
      <c r="H14" s="60">
        <v>18</v>
      </c>
      <c r="I14" s="61">
        <v>467</v>
      </c>
      <c r="J14" s="61">
        <v>35</v>
      </c>
      <c r="K14" s="61">
        <v>2</v>
      </c>
      <c r="L14" s="62">
        <v>467</v>
      </c>
      <c r="M14" s="62">
        <v>51</v>
      </c>
      <c r="N14" s="62">
        <v>3</v>
      </c>
      <c r="O14" s="63">
        <v>467</v>
      </c>
      <c r="P14" s="63">
        <v>55</v>
      </c>
      <c r="Q14" s="63">
        <v>4</v>
      </c>
    </row>
    <row r="15" spans="1:27" x14ac:dyDescent="0.25">
      <c r="A15" s="58" t="s">
        <v>2007</v>
      </c>
      <c r="B15" s="58" t="s">
        <v>49</v>
      </c>
      <c r="C15" s="58">
        <v>480</v>
      </c>
      <c r="D15" s="75">
        <v>23</v>
      </c>
      <c r="E15" s="59">
        <v>34</v>
      </c>
      <c r="F15" s="59">
        <v>6</v>
      </c>
      <c r="G15" s="60">
        <v>350</v>
      </c>
      <c r="H15" s="60">
        <v>16</v>
      </c>
      <c r="I15" s="61">
        <v>471</v>
      </c>
      <c r="J15" s="61">
        <v>35</v>
      </c>
      <c r="K15" s="61">
        <v>2</v>
      </c>
      <c r="L15" s="62">
        <v>471</v>
      </c>
      <c r="M15" s="62">
        <v>45</v>
      </c>
      <c r="N15" s="62">
        <v>4</v>
      </c>
      <c r="O15" s="63">
        <v>471</v>
      </c>
      <c r="P15" s="63">
        <v>65</v>
      </c>
      <c r="Q15" s="63">
        <v>5</v>
      </c>
    </row>
    <row r="16" spans="1:27" x14ac:dyDescent="0.25">
      <c r="A16" s="58" t="s">
        <v>2008</v>
      </c>
      <c r="B16" s="58" t="s">
        <v>50</v>
      </c>
      <c r="C16" s="58">
        <v>495</v>
      </c>
      <c r="D16" s="75">
        <v>25</v>
      </c>
      <c r="E16" s="59">
        <v>38</v>
      </c>
      <c r="F16" s="59">
        <v>7</v>
      </c>
      <c r="G16" s="60">
        <v>350</v>
      </c>
      <c r="H16" s="60">
        <v>16</v>
      </c>
      <c r="I16" s="61">
        <v>473</v>
      </c>
      <c r="J16" s="61">
        <v>40</v>
      </c>
      <c r="K16" s="61">
        <v>2</v>
      </c>
      <c r="L16" s="62">
        <v>473</v>
      </c>
      <c r="M16" s="62">
        <v>45</v>
      </c>
      <c r="N16" s="62">
        <v>5</v>
      </c>
      <c r="O16" s="63">
        <v>473</v>
      </c>
      <c r="P16" s="63">
        <v>65</v>
      </c>
      <c r="Q16" s="63">
        <v>5</v>
      </c>
    </row>
    <row r="17" spans="1:17" x14ac:dyDescent="0.25">
      <c r="A17" s="58" t="s">
        <v>2009</v>
      </c>
      <c r="B17" s="58" t="s">
        <v>121</v>
      </c>
      <c r="C17" s="58">
        <v>500</v>
      </c>
      <c r="D17" s="75">
        <v>31</v>
      </c>
      <c r="E17" s="59">
        <v>46</v>
      </c>
      <c r="F17" s="59">
        <v>8</v>
      </c>
      <c r="G17" s="60">
        <v>370</v>
      </c>
      <c r="H17" s="60">
        <v>16</v>
      </c>
      <c r="I17" s="61">
        <v>480</v>
      </c>
      <c r="J17" s="61">
        <v>60</v>
      </c>
      <c r="K17" s="61">
        <v>5</v>
      </c>
      <c r="L17" s="62">
        <v>480</v>
      </c>
      <c r="M17" s="62">
        <v>62</v>
      </c>
      <c r="N17" s="62">
        <v>7</v>
      </c>
      <c r="O17" s="63">
        <v>480</v>
      </c>
      <c r="P17" s="63">
        <v>73</v>
      </c>
      <c r="Q17" s="63">
        <v>9</v>
      </c>
    </row>
    <row r="18" spans="1:17" x14ac:dyDescent="0.25">
      <c r="A18" s="58" t="s">
        <v>2010</v>
      </c>
      <c r="B18" s="58" t="s">
        <v>51</v>
      </c>
      <c r="C18" s="58">
        <v>570</v>
      </c>
      <c r="D18" s="75">
        <v>34</v>
      </c>
      <c r="E18" s="59">
        <v>45</v>
      </c>
      <c r="F18" s="59">
        <v>9</v>
      </c>
      <c r="G18" s="60">
        <v>380</v>
      </c>
      <c r="H18" s="60">
        <v>16</v>
      </c>
      <c r="I18" s="61">
        <v>620</v>
      </c>
      <c r="J18" s="61">
        <v>60</v>
      </c>
      <c r="K18" s="61">
        <v>4</v>
      </c>
      <c r="L18" s="62">
        <v>620</v>
      </c>
      <c r="M18" s="62">
        <v>63</v>
      </c>
      <c r="N18" s="62">
        <v>6</v>
      </c>
      <c r="O18" s="63">
        <v>620</v>
      </c>
      <c r="P18" s="63">
        <v>75</v>
      </c>
      <c r="Q18" s="63">
        <v>8</v>
      </c>
    </row>
    <row r="19" spans="1:17" x14ac:dyDescent="0.25">
      <c r="A19" s="58" t="s">
        <v>2011</v>
      </c>
      <c r="B19" s="58" t="s">
        <v>52</v>
      </c>
      <c r="C19" s="58">
        <v>588</v>
      </c>
      <c r="D19" s="75">
        <v>41</v>
      </c>
      <c r="E19" s="59">
        <v>53</v>
      </c>
      <c r="F19" s="59">
        <v>11</v>
      </c>
      <c r="G19" s="60">
        <v>400</v>
      </c>
      <c r="H19" s="60">
        <v>16</v>
      </c>
      <c r="I19" s="61">
        <v>623</v>
      </c>
      <c r="J19" s="61">
        <v>65</v>
      </c>
      <c r="K19" s="61">
        <v>4</v>
      </c>
      <c r="L19" s="62">
        <v>623</v>
      </c>
      <c r="M19" s="62">
        <v>65</v>
      </c>
      <c r="N19" s="62">
        <v>6</v>
      </c>
      <c r="O19" s="63">
        <v>623</v>
      </c>
      <c r="P19" s="63">
        <v>75</v>
      </c>
      <c r="Q19" s="63">
        <v>8</v>
      </c>
    </row>
    <row r="20" spans="1:17" x14ac:dyDescent="0.25">
      <c r="A20" s="58" t="s">
        <v>2012</v>
      </c>
      <c r="B20" s="58" t="s">
        <v>53</v>
      </c>
      <c r="C20" s="58">
        <v>90</v>
      </c>
      <c r="D20" s="75">
        <v>8</v>
      </c>
      <c r="E20" s="59">
        <v>25</v>
      </c>
      <c r="F20" s="59">
        <v>2</v>
      </c>
      <c r="G20" s="60">
        <v>120</v>
      </c>
      <c r="H20" s="60">
        <v>12</v>
      </c>
      <c r="I20" s="61">
        <v>125</v>
      </c>
      <c r="J20" s="61">
        <v>30</v>
      </c>
      <c r="K20" s="61">
        <v>1</v>
      </c>
      <c r="L20" s="62">
        <v>125</v>
      </c>
      <c r="M20" s="62">
        <v>32</v>
      </c>
      <c r="N20" s="62">
        <v>2</v>
      </c>
      <c r="O20" s="63">
        <v>125</v>
      </c>
      <c r="P20" s="63">
        <v>40</v>
      </c>
      <c r="Q20" s="63">
        <v>4</v>
      </c>
    </row>
    <row r="21" spans="1:17" x14ac:dyDescent="0.25">
      <c r="A21" s="58" t="s">
        <v>2013</v>
      </c>
      <c r="B21" s="58" t="s">
        <v>54</v>
      </c>
      <c r="C21" s="58">
        <v>105</v>
      </c>
      <c r="D21" s="75">
        <v>14</v>
      </c>
      <c r="E21" s="59">
        <v>27</v>
      </c>
      <c r="F21" s="59">
        <v>2</v>
      </c>
      <c r="G21" s="60">
        <v>160</v>
      </c>
      <c r="H21" s="60">
        <v>13</v>
      </c>
      <c r="I21" s="61">
        <v>141</v>
      </c>
      <c r="J21" s="61">
        <v>35</v>
      </c>
      <c r="K21" s="61">
        <v>1</v>
      </c>
      <c r="L21" s="62">
        <v>141</v>
      </c>
      <c r="M21" s="62">
        <v>35</v>
      </c>
      <c r="N21" s="62">
        <v>1</v>
      </c>
      <c r="O21" s="63">
        <v>141</v>
      </c>
      <c r="P21" s="63">
        <v>50</v>
      </c>
      <c r="Q21" s="63">
        <v>6</v>
      </c>
    </row>
    <row r="22" spans="1:17" x14ac:dyDescent="0.25">
      <c r="A22" s="58" t="s">
        <v>2014</v>
      </c>
      <c r="B22" s="58" t="s">
        <v>55</v>
      </c>
      <c r="C22" s="58">
        <v>112</v>
      </c>
      <c r="D22" s="75">
        <v>20</v>
      </c>
      <c r="E22" s="59">
        <v>25</v>
      </c>
      <c r="F22" s="59">
        <v>5</v>
      </c>
      <c r="G22" s="60">
        <v>185</v>
      </c>
      <c r="H22" s="60">
        <v>13</v>
      </c>
      <c r="I22" s="61">
        <v>241</v>
      </c>
      <c r="J22" s="61">
        <v>40</v>
      </c>
      <c r="K22" s="61">
        <v>3</v>
      </c>
      <c r="L22" s="62">
        <v>241</v>
      </c>
      <c r="M22" s="62">
        <v>42</v>
      </c>
      <c r="N22" s="62">
        <v>5</v>
      </c>
      <c r="O22" s="63">
        <v>241</v>
      </c>
      <c r="P22" s="63">
        <v>60</v>
      </c>
      <c r="Q22" s="63">
        <v>8</v>
      </c>
    </row>
    <row r="23" spans="1:17" x14ac:dyDescent="0.25">
      <c r="A23" s="58" t="s">
        <v>2015</v>
      </c>
      <c r="B23" s="58" t="s">
        <v>56</v>
      </c>
      <c r="C23" s="58">
        <v>140</v>
      </c>
      <c r="D23" s="75">
        <v>24</v>
      </c>
      <c r="E23" s="59">
        <v>35</v>
      </c>
      <c r="F23" s="59">
        <v>6</v>
      </c>
      <c r="G23" s="60">
        <v>200</v>
      </c>
      <c r="H23" s="60">
        <v>15</v>
      </c>
      <c r="I23" s="61">
        <v>253</v>
      </c>
      <c r="J23" s="61">
        <v>55</v>
      </c>
      <c r="K23" s="61">
        <v>5</v>
      </c>
      <c r="L23" s="62">
        <v>253</v>
      </c>
      <c r="M23" s="62">
        <v>56</v>
      </c>
      <c r="N23" s="62">
        <v>8</v>
      </c>
      <c r="O23" s="63">
        <v>253</v>
      </c>
      <c r="P23" s="63">
        <v>75</v>
      </c>
      <c r="Q23" s="63">
        <v>10</v>
      </c>
    </row>
    <row r="24" spans="1:17" x14ac:dyDescent="0.25">
      <c r="A24" s="58" t="s">
        <v>2016</v>
      </c>
      <c r="B24" s="58" t="s">
        <v>57</v>
      </c>
      <c r="C24" s="58">
        <v>231</v>
      </c>
      <c r="D24" s="75">
        <v>26</v>
      </c>
      <c r="E24" s="59">
        <v>32</v>
      </c>
      <c r="F24" s="59">
        <v>5</v>
      </c>
      <c r="G24" s="60">
        <v>200</v>
      </c>
      <c r="H24" s="60">
        <v>16</v>
      </c>
      <c r="I24" s="61">
        <v>321</v>
      </c>
      <c r="J24" s="61">
        <v>55</v>
      </c>
      <c r="K24" s="61">
        <v>5</v>
      </c>
      <c r="L24" s="62">
        <v>321</v>
      </c>
      <c r="M24" s="62">
        <v>56</v>
      </c>
      <c r="N24" s="62">
        <v>8</v>
      </c>
      <c r="O24" s="63">
        <v>321</v>
      </c>
      <c r="P24" s="63">
        <v>65</v>
      </c>
      <c r="Q24" s="63">
        <v>8</v>
      </c>
    </row>
    <row r="25" spans="1:17" x14ac:dyDescent="0.25">
      <c r="A25" s="58" t="s">
        <v>2017</v>
      </c>
      <c r="B25" s="58" t="s">
        <v>58</v>
      </c>
      <c r="C25" s="58">
        <v>231</v>
      </c>
      <c r="D25" s="75">
        <v>27</v>
      </c>
      <c r="E25" s="59">
        <v>42</v>
      </c>
      <c r="F25" s="59">
        <v>6</v>
      </c>
      <c r="G25" s="60">
        <v>310</v>
      </c>
      <c r="H25" s="60">
        <v>20</v>
      </c>
      <c r="I25" s="61">
        <v>334</v>
      </c>
      <c r="J25" s="61">
        <v>60</v>
      </c>
      <c r="K25" s="61">
        <v>5</v>
      </c>
      <c r="L25" s="62">
        <v>334</v>
      </c>
      <c r="M25" s="62">
        <v>62</v>
      </c>
      <c r="N25" s="62">
        <v>8</v>
      </c>
      <c r="O25" s="63">
        <v>334</v>
      </c>
      <c r="P25" s="63">
        <v>70</v>
      </c>
      <c r="Q25" s="63">
        <v>10</v>
      </c>
    </row>
    <row r="26" spans="1:17" x14ac:dyDescent="0.25">
      <c r="A26" s="58" t="s">
        <v>2018</v>
      </c>
      <c r="B26" s="58" t="s">
        <v>59</v>
      </c>
      <c r="C26" s="58">
        <v>231</v>
      </c>
      <c r="D26" s="75">
        <v>28</v>
      </c>
      <c r="E26" s="59">
        <v>41</v>
      </c>
      <c r="F26" s="59">
        <v>6</v>
      </c>
      <c r="G26" s="60">
        <v>310</v>
      </c>
      <c r="H26" s="60">
        <v>15</v>
      </c>
      <c r="I26" s="61">
        <v>334</v>
      </c>
      <c r="J26" s="61">
        <v>65</v>
      </c>
      <c r="K26" s="61">
        <v>5</v>
      </c>
      <c r="L26" s="62">
        <v>334</v>
      </c>
      <c r="M26" s="62">
        <v>67</v>
      </c>
      <c r="N26" s="62">
        <v>7</v>
      </c>
      <c r="O26" s="63">
        <v>334</v>
      </c>
      <c r="P26" s="63">
        <v>80</v>
      </c>
      <c r="Q26" s="63">
        <v>11</v>
      </c>
    </row>
    <row r="27" spans="1:17" x14ac:dyDescent="0.25">
      <c r="A27" s="58" t="s">
        <v>2019</v>
      </c>
      <c r="B27" s="58" t="s">
        <v>60</v>
      </c>
      <c r="C27" s="58">
        <v>231</v>
      </c>
      <c r="D27" s="75">
        <v>30</v>
      </c>
      <c r="E27" s="59">
        <v>42</v>
      </c>
      <c r="F27" s="59">
        <v>8</v>
      </c>
      <c r="G27" s="60">
        <v>320</v>
      </c>
      <c r="H27" s="60">
        <v>20</v>
      </c>
      <c r="I27" s="61">
        <v>338</v>
      </c>
      <c r="J27" s="61">
        <v>65</v>
      </c>
      <c r="K27" s="61">
        <v>5</v>
      </c>
      <c r="L27" s="62">
        <v>338</v>
      </c>
      <c r="M27" s="62">
        <v>67</v>
      </c>
      <c r="N27" s="62">
        <v>9</v>
      </c>
      <c r="O27" s="63">
        <v>338</v>
      </c>
      <c r="P27" s="63">
        <v>85</v>
      </c>
      <c r="Q27" s="63">
        <v>12</v>
      </c>
    </row>
    <row r="28" spans="1:17" x14ac:dyDescent="0.25">
      <c r="A28" s="58" t="s">
        <v>2020</v>
      </c>
      <c r="B28" s="58" t="s">
        <v>61</v>
      </c>
      <c r="C28" s="58">
        <v>404</v>
      </c>
      <c r="D28" s="75">
        <v>45</v>
      </c>
      <c r="E28" s="59">
        <v>47</v>
      </c>
      <c r="F28" s="59">
        <v>11</v>
      </c>
      <c r="G28" s="60">
        <v>330</v>
      </c>
      <c r="H28" s="60">
        <v>20</v>
      </c>
      <c r="I28" s="61">
        <v>422</v>
      </c>
      <c r="J28" s="61">
        <v>65</v>
      </c>
      <c r="K28" s="61">
        <v>5</v>
      </c>
      <c r="L28" s="62">
        <v>422</v>
      </c>
      <c r="M28" s="62">
        <v>68</v>
      </c>
      <c r="N28" s="62">
        <v>11</v>
      </c>
      <c r="O28" s="63">
        <v>422</v>
      </c>
      <c r="P28" s="63">
        <v>90</v>
      </c>
      <c r="Q28" s="63">
        <v>15</v>
      </c>
    </row>
    <row r="29" spans="1:17" x14ac:dyDescent="0.25">
      <c r="A29" s="58" t="s">
        <v>2021</v>
      </c>
      <c r="B29" s="58" t="s">
        <v>62</v>
      </c>
      <c r="C29" s="58">
        <v>477</v>
      </c>
      <c r="D29" s="75">
        <v>50</v>
      </c>
      <c r="E29" s="59">
        <v>50</v>
      </c>
      <c r="F29" s="59">
        <v>12</v>
      </c>
      <c r="G29" s="60">
        <v>350</v>
      </c>
      <c r="H29" s="60">
        <v>20</v>
      </c>
      <c r="I29" s="61">
        <v>503</v>
      </c>
      <c r="J29" s="61">
        <v>70</v>
      </c>
      <c r="K29" s="61">
        <v>6</v>
      </c>
      <c r="L29" s="62">
        <v>503</v>
      </c>
      <c r="M29" s="62">
        <v>72</v>
      </c>
      <c r="N29" s="62">
        <v>12</v>
      </c>
      <c r="O29" s="63">
        <v>503</v>
      </c>
      <c r="P29" s="63">
        <v>100</v>
      </c>
      <c r="Q29" s="63">
        <v>18</v>
      </c>
    </row>
    <row r="30" spans="1:17" x14ac:dyDescent="0.25">
      <c r="A30" s="58" t="s">
        <v>2022</v>
      </c>
      <c r="B30" s="58" t="s">
        <v>63</v>
      </c>
      <c r="C30" s="58">
        <v>477</v>
      </c>
      <c r="D30" s="75">
        <v>67</v>
      </c>
      <c r="E30" s="59">
        <v>89</v>
      </c>
      <c r="F30" s="59">
        <v>18</v>
      </c>
      <c r="G30" s="60">
        <v>380</v>
      </c>
      <c r="H30" s="60">
        <v>20</v>
      </c>
      <c r="I30" s="61">
        <v>503</v>
      </c>
      <c r="J30" s="61">
        <v>75</v>
      </c>
      <c r="K30" s="61">
        <v>6</v>
      </c>
      <c r="L30" s="62">
        <v>503</v>
      </c>
      <c r="M30" s="62">
        <v>89</v>
      </c>
      <c r="N30" s="62">
        <v>16</v>
      </c>
      <c r="O30" s="63">
        <v>503</v>
      </c>
      <c r="P30" s="63">
        <v>105</v>
      </c>
      <c r="Q30" s="63">
        <v>20</v>
      </c>
    </row>
    <row r="31" spans="1:17" x14ac:dyDescent="0.25">
      <c r="A31" s="58" t="s">
        <v>2023</v>
      </c>
      <c r="B31" s="58" t="s">
        <v>64</v>
      </c>
      <c r="C31" s="58">
        <v>507</v>
      </c>
      <c r="D31" s="75">
        <v>74</v>
      </c>
      <c r="E31" s="59">
        <v>95</v>
      </c>
      <c r="F31" s="59">
        <v>19</v>
      </c>
      <c r="G31" s="60">
        <v>400</v>
      </c>
      <c r="H31" s="60">
        <v>20</v>
      </c>
      <c r="I31" s="61">
        <v>503</v>
      </c>
      <c r="J31" s="61">
        <v>90</v>
      </c>
      <c r="K31" s="61">
        <v>7</v>
      </c>
      <c r="L31" s="62">
        <v>503</v>
      </c>
      <c r="M31" s="62">
        <v>99</v>
      </c>
      <c r="N31" s="62">
        <v>20</v>
      </c>
      <c r="O31" s="63">
        <v>503</v>
      </c>
      <c r="P31" s="63">
        <v>110</v>
      </c>
      <c r="Q31" s="63">
        <v>25</v>
      </c>
    </row>
    <row r="32" spans="1:17" x14ac:dyDescent="0.25">
      <c r="A32" s="58" t="s">
        <v>2024</v>
      </c>
      <c r="B32" s="58" t="s">
        <v>65</v>
      </c>
      <c r="C32" s="58">
        <v>507</v>
      </c>
      <c r="D32" s="75">
        <v>80</v>
      </c>
      <c r="E32" s="59">
        <v>95</v>
      </c>
      <c r="F32" s="59">
        <v>19</v>
      </c>
      <c r="G32" s="60">
        <v>390</v>
      </c>
      <c r="H32" s="60">
        <v>24</v>
      </c>
      <c r="I32" s="61">
        <v>503</v>
      </c>
      <c r="J32" s="61">
        <v>95</v>
      </c>
      <c r="K32" s="61">
        <v>7</v>
      </c>
      <c r="L32" s="62">
        <v>503</v>
      </c>
      <c r="M32" s="62">
        <v>109</v>
      </c>
      <c r="N32" s="62">
        <v>22</v>
      </c>
      <c r="O32" s="63">
        <v>503</v>
      </c>
      <c r="P32" s="63">
        <v>135</v>
      </c>
      <c r="Q32" s="63">
        <v>28</v>
      </c>
    </row>
    <row r="33" spans="1:17" x14ac:dyDescent="0.25">
      <c r="A33" s="58" t="s">
        <v>2025</v>
      </c>
      <c r="B33" s="58" t="s">
        <v>66</v>
      </c>
      <c r="C33" s="58">
        <v>507</v>
      </c>
      <c r="D33" s="75">
        <v>88</v>
      </c>
      <c r="E33" s="59">
        <v>67</v>
      </c>
      <c r="F33" s="59">
        <v>13</v>
      </c>
      <c r="G33" s="60">
        <v>380</v>
      </c>
      <c r="H33" s="60">
        <v>22</v>
      </c>
      <c r="I33" s="61">
        <v>587</v>
      </c>
      <c r="J33" s="61">
        <v>95</v>
      </c>
      <c r="K33" s="61">
        <v>5</v>
      </c>
      <c r="L33" s="62">
        <v>587</v>
      </c>
      <c r="M33" s="62">
        <v>100</v>
      </c>
      <c r="N33" s="62">
        <v>15</v>
      </c>
      <c r="O33" s="63">
        <v>587</v>
      </c>
      <c r="P33" s="63">
        <v>135</v>
      </c>
      <c r="Q33" s="63">
        <v>22</v>
      </c>
    </row>
    <row r="34" spans="1:17" x14ac:dyDescent="0.25">
      <c r="A34" s="58" t="s">
        <v>2026</v>
      </c>
      <c r="B34" s="58" t="s">
        <v>67</v>
      </c>
      <c r="C34" s="58">
        <v>591</v>
      </c>
      <c r="D34" s="75">
        <v>94</v>
      </c>
      <c r="E34" s="59">
        <v>90</v>
      </c>
      <c r="F34" s="59">
        <v>19</v>
      </c>
      <c r="G34" s="60">
        <v>400</v>
      </c>
      <c r="H34" s="60">
        <v>25</v>
      </c>
      <c r="I34" s="61">
        <v>587</v>
      </c>
      <c r="J34" s="61">
        <v>94</v>
      </c>
      <c r="K34" s="61">
        <v>5</v>
      </c>
      <c r="L34" s="62">
        <v>587</v>
      </c>
      <c r="M34" s="62">
        <v>100</v>
      </c>
      <c r="N34" s="62">
        <v>23</v>
      </c>
      <c r="O34" s="63">
        <v>587</v>
      </c>
      <c r="P34" s="63">
        <v>145</v>
      </c>
      <c r="Q34" s="63">
        <v>30</v>
      </c>
    </row>
    <row r="35" spans="1:17" x14ac:dyDescent="0.25">
      <c r="A35" s="58" t="s">
        <v>2027</v>
      </c>
      <c r="B35" s="58" t="s">
        <v>68</v>
      </c>
      <c r="C35" s="58">
        <v>591</v>
      </c>
      <c r="D35" s="75">
        <v>100</v>
      </c>
      <c r="E35" s="59">
        <v>100</v>
      </c>
      <c r="F35" s="59">
        <v>18</v>
      </c>
      <c r="G35" s="60">
        <v>410</v>
      </c>
      <c r="H35" s="60">
        <v>31</v>
      </c>
      <c r="I35" s="61">
        <v>587</v>
      </c>
      <c r="J35" s="61">
        <v>100</v>
      </c>
      <c r="K35" s="61">
        <v>9</v>
      </c>
      <c r="L35" s="62">
        <v>587</v>
      </c>
      <c r="M35" s="62">
        <v>110</v>
      </c>
      <c r="N35" s="62">
        <v>25</v>
      </c>
      <c r="O35" s="63">
        <v>587</v>
      </c>
      <c r="P35" s="63">
        <v>150</v>
      </c>
      <c r="Q35" s="63">
        <v>28</v>
      </c>
    </row>
    <row r="36" spans="1:17" x14ac:dyDescent="0.25">
      <c r="A36" s="58" t="s">
        <v>2028</v>
      </c>
      <c r="B36" s="58" t="s">
        <v>69</v>
      </c>
      <c r="C36" s="58">
        <v>591</v>
      </c>
      <c r="D36" s="75">
        <v>104</v>
      </c>
      <c r="E36" s="59">
        <v>104</v>
      </c>
      <c r="F36" s="59">
        <v>20</v>
      </c>
      <c r="G36" s="60">
        <v>410</v>
      </c>
      <c r="H36" s="60">
        <v>35</v>
      </c>
      <c r="I36" s="61">
        <v>587</v>
      </c>
      <c r="J36" s="61">
        <v>104</v>
      </c>
      <c r="K36" s="61">
        <v>9</v>
      </c>
      <c r="L36" s="62">
        <v>587</v>
      </c>
      <c r="M36" s="62">
        <v>125</v>
      </c>
      <c r="N36" s="62">
        <v>30</v>
      </c>
      <c r="O36" s="63">
        <v>587</v>
      </c>
      <c r="P36" s="63">
        <v>170</v>
      </c>
      <c r="Q36" s="63">
        <v>36</v>
      </c>
    </row>
  </sheetData>
  <mergeCells count="5">
    <mergeCell ref="O1:Q1"/>
    <mergeCell ref="L1:N1"/>
    <mergeCell ref="I1:K1"/>
    <mergeCell ref="G1:H1"/>
    <mergeCell ref="E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24</vt:i4>
      </vt:variant>
      <vt:variant>
        <vt:lpstr>Именованные диапазоны</vt:lpstr>
      </vt:variant>
      <vt:variant>
        <vt:i4>47</vt:i4>
      </vt:variant>
    </vt:vector>
  </HeadingPairs>
  <TitlesOfParts>
    <vt:vector size="71" baseType="lpstr">
      <vt:lpstr>Проверка</vt:lpstr>
      <vt:lpstr>DCL(РСН)</vt:lpstr>
      <vt:lpstr>IDEA StatiCA</vt:lpstr>
      <vt:lpstr>Interaction</vt:lpstr>
      <vt:lpstr>Data</vt:lpstr>
      <vt:lpstr>H1,3-6</vt:lpstr>
      <vt:lpstr>B,BH,BSH</vt:lpstr>
      <vt:lpstr>H2</vt:lpstr>
      <vt:lpstr>H2SH</vt:lpstr>
      <vt:lpstr>H7,11</vt:lpstr>
      <vt:lpstr>H8-10</vt:lpstr>
      <vt:lpstr>H12</vt:lpstr>
      <vt:lpstr>H13</vt:lpstr>
      <vt:lpstr>H14</vt:lpstr>
      <vt:lpstr>S1,2</vt:lpstr>
      <vt:lpstr>S1Н,2H</vt:lpstr>
      <vt:lpstr>S3</vt:lpstr>
      <vt:lpstr>S4</vt:lpstr>
      <vt:lpstr>P1,2,6</vt:lpstr>
      <vt:lpstr>P3,4</vt:lpstr>
      <vt:lpstr>P5</vt:lpstr>
      <vt:lpstr>R1,2</vt:lpstr>
      <vt:lpstr>R3</vt:lpstr>
      <vt:lpstr>R4</vt:lpstr>
      <vt:lpstr>_B</vt:lpstr>
      <vt:lpstr>_BH</vt:lpstr>
      <vt:lpstr>_BSH</vt:lpstr>
      <vt:lpstr>_H1</vt:lpstr>
      <vt:lpstr>_H10</vt:lpstr>
      <vt:lpstr>_H11</vt:lpstr>
      <vt:lpstr>_H12</vt:lpstr>
      <vt:lpstr>_H13</vt:lpstr>
      <vt:lpstr>_H14</vt:lpstr>
      <vt:lpstr>_H1H</vt:lpstr>
      <vt:lpstr>_H2</vt:lpstr>
      <vt:lpstr>_H2H</vt:lpstr>
      <vt:lpstr>_H2HZ</vt:lpstr>
      <vt:lpstr>_H2SH</vt:lpstr>
      <vt:lpstr>_H2Z</vt:lpstr>
      <vt:lpstr>_H3</vt:lpstr>
      <vt:lpstr>_H3H</vt:lpstr>
      <vt:lpstr>_H4</vt:lpstr>
      <vt:lpstr>_H4H</vt:lpstr>
      <vt:lpstr>_H5</vt:lpstr>
      <vt:lpstr>_H5H</vt:lpstr>
      <vt:lpstr>_H6</vt:lpstr>
      <vt:lpstr>_H6H</vt:lpstr>
      <vt:lpstr>_H7</vt:lpstr>
      <vt:lpstr>_H7H</vt:lpstr>
      <vt:lpstr>_H8</vt:lpstr>
      <vt:lpstr>_H9</vt:lpstr>
      <vt:lpstr>_P1</vt:lpstr>
      <vt:lpstr>_P2</vt:lpstr>
      <vt:lpstr>_P3</vt:lpstr>
      <vt:lpstr>_P4</vt:lpstr>
      <vt:lpstr>_P5</vt:lpstr>
      <vt:lpstr>_P6</vt:lpstr>
      <vt:lpstr>_R1</vt:lpstr>
      <vt:lpstr>_R1_R2_Var</vt:lpstr>
      <vt:lpstr>_R2</vt:lpstr>
      <vt:lpstr>_R3</vt:lpstr>
      <vt:lpstr>_R3_R4_Var</vt:lpstr>
      <vt:lpstr>_R4</vt:lpstr>
      <vt:lpstr>_S1</vt:lpstr>
      <vt:lpstr>_S1H</vt:lpstr>
      <vt:lpstr>_S2</vt:lpstr>
      <vt:lpstr>_S2H</vt:lpstr>
      <vt:lpstr>_S3</vt:lpstr>
      <vt:lpstr>_S4</vt:lpstr>
      <vt:lpstr>H13_Var</vt:lpstr>
      <vt:lpstr>H14_Var</vt:lpstr>
    </vt:vector>
  </TitlesOfParts>
  <Company>SIBUR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Канотопский Николай Владимирович</dc:creator>
  <cp:lastModifiedBy>Щеголев</cp:lastModifiedBy>
  <dcterms:created xsi:type="dcterms:W3CDTF">2022-05-16T11:00:06Z</dcterms:created>
  <dcterms:modified xsi:type="dcterms:W3CDTF">2026-04-06T07:33:48Z</dcterms:modified>
</cp:coreProperties>
</file>